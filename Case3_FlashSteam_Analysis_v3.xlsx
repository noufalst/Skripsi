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 Statement" sheetId="1" r:id="rId1"/>
    <sheet name="Assumptions" sheetId="2" r:id="rId2"/>
    <sheet name="Technical Calcs" sheetId="3" r:id="rId3"/>
    <sheet name="Financials" sheetId="4" r:id="rId4"/>
    <sheet name="Sensitivity" sheetId="5" r:id="rId5"/>
    <sheet name="2‑Way NPV" sheetId="6" r:id="rId6"/>
    <sheet name="GHG Impact" sheetId="7" r:id="rId7"/>
    <sheet name="Summary" sheetId="8" r:id="rId8"/>
  </sheets>
  <definedNames>
    <definedName name="AnnualSavings">Assumptions!$C$9</definedName>
    <definedName name="CapexY0">Assumptions!$C$11</definedName>
    <definedName name="CapexY1">Assumptions!$C$12</definedName>
    <definedName name="CO2_kg_per_kgCoal">Assumptions!$C$20</definedName>
    <definedName name="Coal_TPH">Assumptions!$C$21</definedName>
    <definedName name="Coal_tpy">Assumptions!$C$23</definedName>
    <definedName name="DepLife">Assumptions!$C$18</definedName>
    <definedName name="DepMethod">Assumptions!$C$17</definedName>
    <definedName name="DiscountRate">Assumptions!$C$15</definedName>
    <definedName name="HoursPerYear">Assumptions!$C$7</definedName>
    <definedName name="InvestmentTotal">Assumptions!$C$14</definedName>
    <definedName name="LP_TPD">Assumptions!$C$6</definedName>
    <definedName name="OMCost">Assumptions!$C$10</definedName>
    <definedName name="ProjectLife">Assumptions!$C$14</definedName>
    <definedName name="ResidualValue">Assumptions!$C$19</definedName>
    <definedName name="SteamSavings_tpy">Assumptions!$C$9</definedName>
    <definedName name="TaxRate">Assumptions!$C$16</definedName>
  </definedNames>
  <calcPr calcId="124519" fullCalcOnLoad="1"/>
</workbook>
</file>

<file path=xl/sharedStrings.xml><?xml version="1.0" encoding="utf-8"?>
<sst xmlns="http://schemas.openxmlformats.org/spreadsheetml/2006/main" count="155" uniqueCount="125">
  <si>
    <t>Case 3 – Flash Steam Recovery (ITC Ltd.)</t>
  </si>
  <si>
    <t>Ringkasan</t>
  </si>
  <si>
    <t>Pemulihan flash steam dari blowdown &amp; kondensat SAH untuk memanaskan DM water ke deaerator.
Dampak: LP steam ↓ ~19.5 TPD (±6,500 t/yr), investasi ~USD 35k, penghematan ~USD 45,349/yr.
Workbook v3 menambahkan: capex bertahap (Y0 &amp; Y1), residual value, 2‑way sensitivity NPV (Rate×Savings), dan tornado chart.</t>
  </si>
  <si>
    <t>Cara pakai</t>
  </si>
  <si>
    <t>1) Masukkan/ubah input di sheet Assumptions (kolom C biru).
2) Financials menghitung arus kas after-tax &amp; KPI.
3) Sensitivity: one‑way (tabel) + tornado.
4) 2‑Way NPV: grid NPV terhadap (Discount Rate × Annual Savings).</t>
  </si>
  <si>
    <t>Key Inputs (edit kolom C saja)</t>
  </si>
  <si>
    <t>Category</t>
  </si>
  <si>
    <t>Input</t>
  </si>
  <si>
    <t>Value</t>
  </si>
  <si>
    <t>Unit / Note</t>
  </si>
  <si>
    <t>Project</t>
  </si>
  <si>
    <t>Currency</t>
  </si>
  <si>
    <t>USD</t>
  </si>
  <si>
    <t>Analysis start year</t>
  </si>
  <si>
    <t>Performance</t>
  </si>
  <si>
    <t>LP steam reduction (TPD)</t>
  </si>
  <si>
    <t>Per case study</t>
  </si>
  <si>
    <t>Operating hours per year</t>
  </si>
  <si>
    <t>hr/yr</t>
  </si>
  <si>
    <t>Steam savings (t/yr) [calc]</t>
  </si>
  <si>
    <t>Economics</t>
  </si>
  <si>
    <t>Annual gross savings ($/yr)</t>
  </si>
  <si>
    <t>From case study</t>
  </si>
  <si>
    <t>O&amp;M</t>
  </si>
  <si>
    <t>Annual O&amp;M cost ($/yr)</t>
  </si>
  <si>
    <t>Capex</t>
  </si>
  <si>
    <t>Capex Year 0 ($)</t>
  </si>
  <si>
    <t>Paid at t=0</t>
  </si>
  <si>
    <t>Capex Year 1 ($)</t>
  </si>
  <si>
    <t>Optional, paid at t=1</t>
  </si>
  <si>
    <t>Total Investment [calc]</t>
  </si>
  <si>
    <t>Project life (years)</t>
  </si>
  <si>
    <t>Discount rate (WACC)</t>
  </si>
  <si>
    <t>Tax &amp; Depreciation</t>
  </si>
  <si>
    <t>Corporate tax rate</t>
  </si>
  <si>
    <t>Depreciation method</t>
  </si>
  <si>
    <t>Straight-line</t>
  </si>
  <si>
    <t>Choose "Straight-line" or "WDV 20%"</t>
  </si>
  <si>
    <t>Depreciation life (years)</t>
  </si>
  <si>
    <t>For Straight-line</t>
  </si>
  <si>
    <t>End of Life</t>
  </si>
  <si>
    <t>Residual value ($ at year end)</t>
  </si>
  <si>
    <t>Cash inflow at final year (no tax modeled)</t>
  </si>
  <si>
    <t>Emissions</t>
  </si>
  <si>
    <t>Coal CO2 factor (kg CO2/kg)</t>
  </si>
  <si>
    <t>Coal conserved (TPH)</t>
  </si>
  <si>
    <t>Coal conserved (t/yr) [calc]</t>
  </si>
  <si>
    <t>Notes:</t>
  </si>
  <si>
    <t>Edit di kolom C (biru). Total Investment &amp; Steam/Coal calc otomatis.</t>
  </si>
  <si>
    <t>Technical Calculations</t>
  </si>
  <si>
    <t>Description</t>
  </si>
  <si>
    <t>Formula</t>
  </si>
  <si>
    <t>Result</t>
  </si>
  <si>
    <t>Unit/Note</t>
  </si>
  <si>
    <t>Steam savings (t/yr)</t>
  </si>
  <si>
    <t>t/yr</t>
  </si>
  <si>
    <t>Annual hours (hr/yr)</t>
  </si>
  <si>
    <t>TPD</t>
  </si>
  <si>
    <t>Coal conserved (t/yr)</t>
  </si>
  <si>
    <t>Annual cost savings ($/yr)</t>
  </si>
  <si>
    <t>$/yr</t>
  </si>
  <si>
    <t>Financial Model (After-Tax Cash Flows)</t>
  </si>
  <si>
    <t>Year</t>
  </si>
  <si>
    <t>Capex ($)</t>
  </si>
  <si>
    <t>Revenue/Savings ($)</t>
  </si>
  <si>
    <t>O&amp;M ($)</t>
  </si>
  <si>
    <t>Depreciation ($)</t>
  </si>
  <si>
    <t>EBIT ($)</t>
  </si>
  <si>
    <t>Tax ($)</t>
  </si>
  <si>
    <t>Net Income ($)</t>
  </si>
  <si>
    <t>Add-back Depreciation ($)</t>
  </si>
  <si>
    <t>Free Cash Flow ($)</t>
  </si>
  <si>
    <t>Discount Factor</t>
  </si>
  <si>
    <t>PV of FCF ($)</t>
  </si>
  <si>
    <t>Cumulative PV ($)</t>
  </si>
  <si>
    <t>Opening Book ($)</t>
  </si>
  <si>
    <t>Closing Book ($)</t>
  </si>
  <si>
    <t>Tax rate</t>
  </si>
  <si>
    <t>Discount rate</t>
  </si>
  <si>
    <t>Capex Y0</t>
  </si>
  <si>
    <t>Capex Y1</t>
  </si>
  <si>
    <t>Total Investment</t>
  </si>
  <si>
    <t>Annual savings</t>
  </si>
  <si>
    <t>Dep life (years)</t>
  </si>
  <si>
    <t>Dep method</t>
  </si>
  <si>
    <t>Residual value (final year)</t>
  </si>
  <si>
    <t>KPIs</t>
  </si>
  <si>
    <t>NPV ($)</t>
  </si>
  <si>
    <t>IRR (%)</t>
  </si>
  <si>
    <t>Simple Payback (yrs)</t>
  </si>
  <si>
    <t>Discounted Payback (yrs)</t>
  </si>
  <si>
    <t>One‑Way Sensitivity &amp; Tornado</t>
  </si>
  <si>
    <t>Variable</t>
  </si>
  <si>
    <t>Low</t>
  </si>
  <si>
    <t>Base</t>
  </si>
  <si>
    <t>High</t>
  </si>
  <si>
    <t>NPV@Low</t>
  </si>
  <si>
    <t>NPV@Base</t>
  </si>
  <si>
    <t>NPV@High</t>
  </si>
  <si>
    <t>Investment ($)</t>
  </si>
  <si>
    <t>Annual savings ($/yr)</t>
  </si>
  <si>
    <t>Tornado Inputs</t>
  </si>
  <si>
    <t>ΔNPV Low vs Base</t>
  </si>
  <si>
    <t>ΔNPV High vs Base</t>
  </si>
  <si>
    <t>NPV Grid: Discount Rate × Annual Savings</t>
  </si>
  <si>
    <t>Rates → (rows) | Savings → (columns)</t>
  </si>
  <si>
    <t>Rate \ Savings</t>
  </si>
  <si>
    <t>Greenhouse Gas Impact</t>
  </si>
  <si>
    <t>Metric</t>
  </si>
  <si>
    <t>CO2 factor (tCO2/t coal)</t>
  </si>
  <si>
    <t>tCO2/t coal</t>
  </si>
  <si>
    <t>Annual CO2 avoided (tCO2/yr)</t>
  </si>
  <si>
    <t>Indicative ~1.9 ktCO2/yr</t>
  </si>
  <si>
    <t>Project Dashboard</t>
  </si>
  <si>
    <t>KPI</t>
  </si>
  <si>
    <t>Unit</t>
  </si>
  <si>
    <t>$</t>
  </si>
  <si>
    <t>NPV</t>
  </si>
  <si>
    <t>IRR</t>
  </si>
  <si>
    <t>%</t>
  </si>
  <si>
    <t>Simple Payback</t>
  </si>
  <si>
    <t>years</t>
  </si>
  <si>
    <t>Steam savings</t>
  </si>
  <si>
    <t>CO2 avoided</t>
  </si>
  <si>
    <t>tCO2/yr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</si>
</sst>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&quot;$&quot;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55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Free Cash Flow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Free Cash Flow</c:v>
          </c:tx>
          <c:cat>
            <c:numRef>
              <c:f>Financials!$A$4:$A$15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Financials!$J$4:$J$15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&quot;$&quot;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Present Value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PV</c:v>
          </c:tx>
          <c:marker>
            <c:symbol val="none"/>
          </c:marker>
          <c:cat>
            <c:numRef>
              <c:f>Financials!$A$4:$A$15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Financials!$M$4:$M$15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&quot;$&quot;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Tornado Chart – NPV Sensitivity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ΔNPV Low vs Base</c:v>
          </c:tx>
          <c:cat>
            <c:numRef>
              <c:f>Sensitivity!$A$12:$A$14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Sensitivity!$B$12:$B$14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v>ΔNPV High vs Base</c:v>
          </c:tx>
          <c:cat>
            <c:numRef>
              <c:f>Sensitivity!$A$12:$A$14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Sensitivity!$C$12:$C$14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Free Cash Flow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FCF</c:v>
          </c:tx>
          <c:cat>
            <c:numRef>
              <c:f>Financials!$A$4:$A$15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Financials!$J$4:$J$15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&quot;$&quot;#,##0" sourceLinked="0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PV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PV</c:v>
          </c:tx>
          <c:marker>
            <c:symbol val="none"/>
          </c:marker>
          <c:cat>
            <c:numRef>
              <c:f>Financials!$A$4:$A$15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Financials!$M$4:$M$15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&quot;$&quot;#,##0" sourceLinked="0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95250</xdr:colOff>
      <xdr:row>3</xdr:row>
      <xdr:rowOff>95250</xdr:rowOff>
    </xdr:from>
    <xdr:to>
      <xdr:col>23</xdr:col>
      <xdr:colOff>400050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95250</xdr:colOff>
      <xdr:row>19</xdr:row>
      <xdr:rowOff>95250</xdr:rowOff>
    </xdr:from>
    <xdr:to>
      <xdr:col>23</xdr:col>
      <xdr:colOff>400050</xdr:colOff>
      <xdr:row>33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11</xdr:row>
      <xdr:rowOff>95250</xdr:rowOff>
    </xdr:from>
    <xdr:to>
      <xdr:col>8</xdr:col>
      <xdr:colOff>314325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</xdr:row>
      <xdr:rowOff>95250</xdr:rowOff>
    </xdr:from>
    <xdr:to>
      <xdr:col>11</xdr:col>
      <xdr:colOff>400050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19</xdr:row>
      <xdr:rowOff>95250</xdr:rowOff>
    </xdr:from>
    <xdr:to>
      <xdr:col>11</xdr:col>
      <xdr:colOff>400050</xdr:colOff>
      <xdr:row>33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</row>
    <row r="3" spans="1:8">
      <c r="A3" s="2" t="s">
        <v>1</v>
      </c>
    </row>
    <row r="4" spans="1:8">
      <c r="A4" s="3" t="s">
        <v>2</v>
      </c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2" spans="1:8">
      <c r="A12" s="2" t="s">
        <v>3</v>
      </c>
    </row>
    <row r="13" spans="1:8">
      <c r="A13" s="3" t="s">
        <v>4</v>
      </c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</sheetData>
  <mergeCells count="2">
    <mergeCell ref="A4:H10"/>
    <mergeCell ref="A13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18.7109375" customWidth="1"/>
    <col min="2" max="2" width="36.7109375" customWidth="1"/>
    <col min="3" max="3" width="22.7109375" customWidth="1"/>
    <col min="4" max="4" width="40.7109375" customWidth="1"/>
  </cols>
  <sheetData>
    <row r="1" spans="1:4">
      <c r="A1" s="1" t="s">
        <v>5</v>
      </c>
    </row>
    <row r="3" spans="1:4">
      <c r="A3" s="2" t="s">
        <v>6</v>
      </c>
      <c r="B3" s="2" t="s">
        <v>7</v>
      </c>
      <c r="C3" s="2" t="s">
        <v>8</v>
      </c>
      <c r="D3" s="2" t="s">
        <v>9</v>
      </c>
    </row>
    <row r="4" spans="1:4">
      <c r="A4" t="s">
        <v>10</v>
      </c>
      <c r="B4" t="s">
        <v>11</v>
      </c>
      <c r="C4" t="s">
        <v>12</v>
      </c>
    </row>
    <row r="5" spans="1:4">
      <c r="A5" t="s">
        <v>10</v>
      </c>
      <c r="B5" t="s">
        <v>13</v>
      </c>
      <c r="C5" s="4">
        <v>2025</v>
      </c>
    </row>
    <row r="6" spans="1:4">
      <c r="A6" t="s">
        <v>14</v>
      </c>
      <c r="B6" t="s">
        <v>15</v>
      </c>
      <c r="C6" s="4">
        <v>19.5</v>
      </c>
      <c r="D6" t="s">
        <v>16</v>
      </c>
    </row>
    <row r="7" spans="1:4">
      <c r="A7" t="s">
        <v>14</v>
      </c>
      <c r="B7" t="s">
        <v>17</v>
      </c>
      <c r="C7" s="4">
        <v>8000</v>
      </c>
      <c r="D7" t="s">
        <v>18</v>
      </c>
    </row>
    <row r="8" spans="1:4">
      <c r="A8" t="s">
        <v>14</v>
      </c>
      <c r="B8" t="s">
        <v>19</v>
      </c>
      <c r="C8" s="4">
        <f>LP_TPD/24*HoursPerYear</f>
        <v>0</v>
      </c>
      <c r="D8">
        <f> TPD/24 * hours</f>
        <v>0</v>
      </c>
    </row>
    <row r="9" spans="1:4">
      <c r="A9" t="s">
        <v>20</v>
      </c>
      <c r="B9" t="s">
        <v>21</v>
      </c>
      <c r="C9" s="5">
        <v>45349</v>
      </c>
      <c r="D9" t="s">
        <v>22</v>
      </c>
    </row>
    <row r="10" spans="1:4">
      <c r="A10" t="s">
        <v>23</v>
      </c>
      <c r="B10" t="s">
        <v>24</v>
      </c>
      <c r="C10" s="4">
        <v>0</v>
      </c>
    </row>
    <row r="11" spans="1:4">
      <c r="A11" t="s">
        <v>25</v>
      </c>
      <c r="B11" t="s">
        <v>26</v>
      </c>
      <c r="C11" s="5">
        <v>35000</v>
      </c>
      <c r="D11" t="s">
        <v>27</v>
      </c>
    </row>
    <row r="12" spans="1:4">
      <c r="A12" t="s">
        <v>25</v>
      </c>
      <c r="B12" t="s">
        <v>28</v>
      </c>
      <c r="C12" s="5">
        <v>0</v>
      </c>
      <c r="D12" t="s">
        <v>29</v>
      </c>
    </row>
    <row r="13" spans="1:4">
      <c r="A13" t="s">
        <v>25</v>
      </c>
      <c r="B13" t="s">
        <v>30</v>
      </c>
      <c r="C13" s="5">
        <f>CapexY0+CapexY1</f>
        <v>0</v>
      </c>
      <c r="D13">
        <f> Y0 + Y1</f>
        <v>0</v>
      </c>
    </row>
    <row r="14" spans="1:4">
      <c r="A14" t="s">
        <v>20</v>
      </c>
      <c r="B14" t="s">
        <v>31</v>
      </c>
      <c r="C14" s="4">
        <v>10</v>
      </c>
    </row>
    <row r="15" spans="1:4">
      <c r="A15" t="s">
        <v>20</v>
      </c>
      <c r="B15" t="s">
        <v>32</v>
      </c>
      <c r="C15" s="6">
        <v>0.1</v>
      </c>
    </row>
    <row r="16" spans="1:4">
      <c r="A16" t="s">
        <v>33</v>
      </c>
      <c r="B16" t="s">
        <v>34</v>
      </c>
      <c r="C16" s="6">
        <v>0.25</v>
      </c>
    </row>
    <row r="17" spans="1:4">
      <c r="A17" t="s">
        <v>33</v>
      </c>
      <c r="B17" t="s">
        <v>35</v>
      </c>
      <c r="C17" t="s">
        <v>36</v>
      </c>
      <c r="D17" t="s">
        <v>37</v>
      </c>
    </row>
    <row r="18" spans="1:4">
      <c r="A18" t="s">
        <v>33</v>
      </c>
      <c r="B18" t="s">
        <v>38</v>
      </c>
      <c r="C18" s="4">
        <v>5</v>
      </c>
      <c r="D18" t="s">
        <v>39</v>
      </c>
    </row>
    <row r="19" spans="1:4">
      <c r="A19" t="s">
        <v>40</v>
      </c>
      <c r="B19" t="s">
        <v>41</v>
      </c>
      <c r="C19" s="5">
        <v>0</v>
      </c>
      <c r="D19" t="s">
        <v>42</v>
      </c>
    </row>
    <row r="20" spans="1:4">
      <c r="A20" t="s">
        <v>43</v>
      </c>
      <c r="B20" t="s">
        <v>44</v>
      </c>
      <c r="C20" s="4">
        <v>1.53</v>
      </c>
    </row>
    <row r="21" spans="1:4">
      <c r="A21" t="s">
        <v>43</v>
      </c>
      <c r="B21" t="s">
        <v>45</v>
      </c>
      <c r="C21" s="4">
        <v>0.156</v>
      </c>
      <c r="D21" t="s">
        <v>16</v>
      </c>
    </row>
    <row r="22" spans="1:4">
      <c r="A22" t="s">
        <v>43</v>
      </c>
      <c r="B22" t="s">
        <v>46</v>
      </c>
      <c r="C22" s="4">
        <f>Coal_TPH*1000*HoursPerYear</f>
        <v>0</v>
      </c>
      <c r="D22">
        <f> TPH*1000*hours</f>
        <v>0</v>
      </c>
    </row>
    <row r="25" spans="1:4">
      <c r="A25" s="7" t="s">
        <v>47</v>
      </c>
    </row>
    <row r="26" spans="1:4">
      <c r="A26" s="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32.7109375" customWidth="1"/>
    <col min="2" max="3" width="24.7109375" customWidth="1"/>
    <col min="4" max="4" width="18.7109375" customWidth="1"/>
  </cols>
  <sheetData>
    <row r="1" spans="1:4">
      <c r="A1" s="1" t="s">
        <v>49</v>
      </c>
    </row>
    <row r="3" spans="1:4">
      <c r="A3" s="2" t="s">
        <v>50</v>
      </c>
      <c r="B3" s="2" t="s">
        <v>51</v>
      </c>
      <c r="C3" s="2" t="s">
        <v>52</v>
      </c>
      <c r="D3" s="2" t="s">
        <v>53</v>
      </c>
    </row>
    <row r="5" spans="1:4">
      <c r="A5" t="s">
        <v>54</v>
      </c>
      <c r="B5">
        <f>SteamSavings_tpy</f>
        <v>0</v>
      </c>
      <c r="C5" s="4">
        <f>SteamSavings_tpy</f>
        <v>0</v>
      </c>
      <c r="D5" t="s">
        <v>55</v>
      </c>
    </row>
    <row r="6" spans="1:4">
      <c r="A6" t="s">
        <v>56</v>
      </c>
      <c r="B6">
        <f>HoursPerYear</f>
        <v>0</v>
      </c>
      <c r="C6" s="4">
        <f>HoursPerYear</f>
        <v>0</v>
      </c>
      <c r="D6" t="s">
        <v>18</v>
      </c>
    </row>
    <row r="7" spans="1:4">
      <c r="A7" t="s">
        <v>15</v>
      </c>
      <c r="B7">
        <f>LP_TPD</f>
        <v>0</v>
      </c>
      <c r="C7" s="4">
        <f>LP_TPD</f>
        <v>0</v>
      </c>
      <c r="D7" t="s">
        <v>57</v>
      </c>
    </row>
    <row r="8" spans="1:4">
      <c r="A8" t="s">
        <v>58</v>
      </c>
      <c r="B8">
        <f>Coal_tpy</f>
        <v>0</v>
      </c>
      <c r="C8" s="4">
        <f>Coal_tpy</f>
        <v>0</v>
      </c>
      <c r="D8" t="s">
        <v>55</v>
      </c>
    </row>
    <row r="9" spans="1:4">
      <c r="A9" t="s">
        <v>59</v>
      </c>
      <c r="B9">
        <f>AnnualSavings</f>
        <v>0</v>
      </c>
      <c r="C9" s="5">
        <f>AnnualSavings</f>
        <v>0</v>
      </c>
      <c r="D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cols>
    <col min="1" max="1" width="6.7109375" customWidth="1"/>
    <col min="2" max="13" width="15.7109375" customWidth="1"/>
    <col min="14" max="15" width="22.7109375" customWidth="1"/>
  </cols>
  <sheetData>
    <row r="1" spans="1:17">
      <c r="A1" s="1" t="s">
        <v>61</v>
      </c>
    </row>
    <row r="3" spans="1:17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75</v>
      </c>
      <c r="O3" s="2" t="s">
        <v>76</v>
      </c>
      <c r="P3" t="s">
        <v>31</v>
      </c>
      <c r="Q3">
        <f>ProjectLife</f>
        <v>0</v>
      </c>
    </row>
    <row r="4" spans="1:17">
      <c r="A4" s="4">
        <v>0</v>
      </c>
      <c r="B4" s="5">
        <f>-CapexY0</f>
        <v>0</v>
      </c>
      <c r="C4" s="5">
        <v>0</v>
      </c>
      <c r="D4" s="5">
        <v>0</v>
      </c>
      <c r="E4" s="5">
        <v>0</v>
      </c>
      <c r="F4" s="5">
        <f>(C4-D4-E4)</f>
        <v>0</v>
      </c>
      <c r="G4" s="5">
        <f>MAX(F4*TaxRate,0)</f>
        <v>0</v>
      </c>
      <c r="H4" s="5">
        <f>F4-G4</f>
        <v>0</v>
      </c>
      <c r="I4" s="5">
        <f>E4</f>
        <v>0</v>
      </c>
      <c r="J4" s="5">
        <f>B4+C4-D4-G4</f>
        <v>0</v>
      </c>
      <c r="K4">
        <f>1/(1+DiscountRate)^A4</f>
        <v>0</v>
      </c>
      <c r="L4" s="5">
        <f>J4*K4</f>
        <v>0</v>
      </c>
      <c r="M4" s="5">
        <f>SUM(L$4:L4)</f>
        <v>0</v>
      </c>
      <c r="N4" s="5">
        <v>0</v>
      </c>
      <c r="O4" s="5">
        <f>MAX(N4-E4,0)</f>
        <v>0</v>
      </c>
      <c r="P4" t="s">
        <v>77</v>
      </c>
      <c r="Q4">
        <f>TaxRate</f>
        <v>0</v>
      </c>
    </row>
    <row r="5" spans="1:17">
      <c r="A5" s="4">
        <v>1</v>
      </c>
      <c r="B5" s="5">
        <f>-CapexY1</f>
        <v>0</v>
      </c>
      <c r="C5" s="5">
        <f>AnnualSavings</f>
        <v>0</v>
      </c>
      <c r="D5" s="5">
        <f>OMCost</f>
        <v>0</v>
      </c>
      <c r="E5" s="5">
        <f>IF(DepMethod="Straight-line", IF(AND(A5&gt;0, A5&lt;=DepLife), InvestmentTotal/DepLife, 0), N5*20%)</f>
        <v>0</v>
      </c>
      <c r="F5" s="5">
        <f>(C5-D5-E5)</f>
        <v>0</v>
      </c>
      <c r="G5" s="5">
        <f>MAX(F5*TaxRate,0)</f>
        <v>0</v>
      </c>
      <c r="H5" s="5">
        <f>F5-G5</f>
        <v>0</v>
      </c>
      <c r="I5" s="5">
        <f>E5</f>
        <v>0</v>
      </c>
      <c r="J5" s="5">
        <f>B5+C5-D5-G5</f>
        <v>0</v>
      </c>
      <c r="K5">
        <f>1/(1+DiscountRate)^A5</f>
        <v>0</v>
      </c>
      <c r="L5" s="5">
        <f>J5*K5</f>
        <v>0</v>
      </c>
      <c r="M5" s="5">
        <f>SUM(L$4:L5)</f>
        <v>0</v>
      </c>
      <c r="N5" s="5">
        <f>O4+(-B5)</f>
        <v>0</v>
      </c>
      <c r="O5" s="5">
        <f>MAX(N5-E5,0)</f>
        <v>0</v>
      </c>
      <c r="P5" t="s">
        <v>78</v>
      </c>
      <c r="Q5">
        <f>DiscountRate</f>
        <v>0</v>
      </c>
    </row>
    <row r="6" spans="1:17">
      <c r="A6" s="4">
        <v>2</v>
      </c>
      <c r="B6" s="5">
        <v>0</v>
      </c>
      <c r="C6" s="5">
        <f>AnnualSavings</f>
        <v>0</v>
      </c>
      <c r="D6" s="5">
        <f>OMCost</f>
        <v>0</v>
      </c>
      <c r="E6" s="5">
        <f>IF(DepMethod="Straight-line", IF(AND(A6&gt;0, A6&lt;=DepLife), InvestmentTotal/DepLife, 0), N6*20%)</f>
        <v>0</v>
      </c>
      <c r="F6" s="5">
        <f>(C6-D6-E6)</f>
        <v>0</v>
      </c>
      <c r="G6" s="5">
        <f>MAX(F6*TaxRate,0)</f>
        <v>0</v>
      </c>
      <c r="H6" s="5">
        <f>F6-G6</f>
        <v>0</v>
      </c>
      <c r="I6" s="5">
        <f>E6</f>
        <v>0</v>
      </c>
      <c r="J6" s="5">
        <f>B6+C6-D6-G6</f>
        <v>0</v>
      </c>
      <c r="K6">
        <f>1/(1+DiscountRate)^A6</f>
        <v>0</v>
      </c>
      <c r="L6" s="5">
        <f>J6*K6</f>
        <v>0</v>
      </c>
      <c r="M6" s="5">
        <f>SUM(L$4:L6)</f>
        <v>0</v>
      </c>
      <c r="N6" s="5">
        <f>O5+(-B6)</f>
        <v>0</v>
      </c>
      <c r="O6" s="5">
        <f>MAX(N6-E6,0)</f>
        <v>0</v>
      </c>
      <c r="P6" t="s">
        <v>79</v>
      </c>
      <c r="Q6">
        <f>CapexY0</f>
        <v>0</v>
      </c>
    </row>
    <row r="7" spans="1:17">
      <c r="A7" s="4">
        <v>3</v>
      </c>
      <c r="B7" s="5">
        <v>0</v>
      </c>
      <c r="C7" s="5">
        <f>AnnualSavings</f>
        <v>0</v>
      </c>
      <c r="D7" s="5">
        <f>OMCost</f>
        <v>0</v>
      </c>
      <c r="E7" s="5">
        <f>IF(DepMethod="Straight-line", IF(AND(A7&gt;0, A7&lt;=DepLife), InvestmentTotal/DepLife, 0), N7*20%)</f>
        <v>0</v>
      </c>
      <c r="F7" s="5">
        <f>(C7-D7-E7)</f>
        <v>0</v>
      </c>
      <c r="G7" s="5">
        <f>MAX(F7*TaxRate,0)</f>
        <v>0</v>
      </c>
      <c r="H7" s="5">
        <f>F7-G7</f>
        <v>0</v>
      </c>
      <c r="I7" s="5">
        <f>E7</f>
        <v>0</v>
      </c>
      <c r="J7" s="5">
        <f>B7+C7-D7-G7</f>
        <v>0</v>
      </c>
      <c r="K7">
        <f>1/(1+DiscountRate)^A7</f>
        <v>0</v>
      </c>
      <c r="L7" s="5">
        <f>J7*K7</f>
        <v>0</v>
      </c>
      <c r="M7" s="5">
        <f>SUM(L$4:L7)</f>
        <v>0</v>
      </c>
      <c r="N7" s="5">
        <f>O6+(-B7)</f>
        <v>0</v>
      </c>
      <c r="O7" s="5">
        <f>MAX(N7-E7,0)</f>
        <v>0</v>
      </c>
      <c r="P7" t="s">
        <v>80</v>
      </c>
      <c r="Q7">
        <f>CapexY1</f>
        <v>0</v>
      </c>
    </row>
    <row r="8" spans="1:17">
      <c r="A8" s="4">
        <v>4</v>
      </c>
      <c r="B8" s="5">
        <v>0</v>
      </c>
      <c r="C8" s="5">
        <f>AnnualSavings</f>
        <v>0</v>
      </c>
      <c r="D8" s="5">
        <f>OMCost</f>
        <v>0</v>
      </c>
      <c r="E8" s="5">
        <f>IF(DepMethod="Straight-line", IF(AND(A8&gt;0, A8&lt;=DepLife), InvestmentTotal/DepLife, 0), N8*20%)</f>
        <v>0</v>
      </c>
      <c r="F8" s="5">
        <f>(C8-D8-E8)</f>
        <v>0</v>
      </c>
      <c r="G8" s="5">
        <f>MAX(F8*TaxRate,0)</f>
        <v>0</v>
      </c>
      <c r="H8" s="5">
        <f>F8-G8</f>
        <v>0</v>
      </c>
      <c r="I8" s="5">
        <f>E8</f>
        <v>0</v>
      </c>
      <c r="J8" s="5">
        <f>B8+C8-D8-G8</f>
        <v>0</v>
      </c>
      <c r="K8">
        <f>1/(1+DiscountRate)^A8</f>
        <v>0</v>
      </c>
      <c r="L8" s="5">
        <f>J8*K8</f>
        <v>0</v>
      </c>
      <c r="M8" s="5">
        <f>SUM(L$4:L8)</f>
        <v>0</v>
      </c>
      <c r="N8" s="5">
        <f>O7+(-B8)</f>
        <v>0</v>
      </c>
      <c r="O8" s="5">
        <f>MAX(N8-E8,0)</f>
        <v>0</v>
      </c>
      <c r="P8" t="s">
        <v>81</v>
      </c>
      <c r="Q8">
        <f>InvestmentTotal</f>
        <v>0</v>
      </c>
    </row>
    <row r="9" spans="1:17">
      <c r="A9" s="4">
        <v>5</v>
      </c>
      <c r="B9" s="5">
        <v>0</v>
      </c>
      <c r="C9" s="5">
        <f>AnnualSavings</f>
        <v>0</v>
      </c>
      <c r="D9" s="5">
        <f>OMCost</f>
        <v>0</v>
      </c>
      <c r="E9" s="5">
        <f>IF(DepMethod="Straight-line", IF(AND(A9&gt;0, A9&lt;=DepLife), InvestmentTotal/DepLife, 0), N9*20%)</f>
        <v>0</v>
      </c>
      <c r="F9" s="5">
        <f>(C9-D9-E9)</f>
        <v>0</v>
      </c>
      <c r="G9" s="5">
        <f>MAX(F9*TaxRate,0)</f>
        <v>0</v>
      </c>
      <c r="H9" s="5">
        <f>F9-G9</f>
        <v>0</v>
      </c>
      <c r="I9" s="5">
        <f>E9</f>
        <v>0</v>
      </c>
      <c r="J9" s="5">
        <f>B9+C9-D9-G9</f>
        <v>0</v>
      </c>
      <c r="K9">
        <f>1/(1+DiscountRate)^A9</f>
        <v>0</v>
      </c>
      <c r="L9" s="5">
        <f>J9*K9</f>
        <v>0</v>
      </c>
      <c r="M9" s="5">
        <f>SUM(L$4:L9)</f>
        <v>0</v>
      </c>
      <c r="N9" s="5">
        <f>O8+(-B9)</f>
        <v>0</v>
      </c>
      <c r="O9" s="5">
        <f>MAX(N9-E9,0)</f>
        <v>0</v>
      </c>
      <c r="P9" t="s">
        <v>82</v>
      </c>
      <c r="Q9">
        <f>AnnualSavings</f>
        <v>0</v>
      </c>
    </row>
    <row r="10" spans="1:17">
      <c r="A10" s="4">
        <v>6</v>
      </c>
      <c r="B10" s="5">
        <v>0</v>
      </c>
      <c r="C10" s="5">
        <f>AnnualSavings</f>
        <v>0</v>
      </c>
      <c r="D10" s="5">
        <f>OMCost</f>
        <v>0</v>
      </c>
      <c r="E10" s="5">
        <f>IF(DepMethod="Straight-line", IF(AND(A10&gt;0, A10&lt;=DepLife), InvestmentTotal/DepLife, 0), N10*20%)</f>
        <v>0</v>
      </c>
      <c r="F10" s="5">
        <f>(C10-D10-E10)</f>
        <v>0</v>
      </c>
      <c r="G10" s="5">
        <f>MAX(F10*TaxRate,0)</f>
        <v>0</v>
      </c>
      <c r="H10" s="5">
        <f>F10-G10</f>
        <v>0</v>
      </c>
      <c r="I10" s="5">
        <f>E10</f>
        <v>0</v>
      </c>
      <c r="J10" s="5">
        <f>B10+C10-D10-G10</f>
        <v>0</v>
      </c>
      <c r="K10">
        <f>1/(1+DiscountRate)^A10</f>
        <v>0</v>
      </c>
      <c r="L10" s="5">
        <f>J10*K10</f>
        <v>0</v>
      </c>
      <c r="M10" s="5">
        <f>SUM(L$4:L10)</f>
        <v>0</v>
      </c>
      <c r="N10" s="5">
        <f>O9+(-B10)</f>
        <v>0</v>
      </c>
      <c r="O10" s="5">
        <f>MAX(N10-E10,0)</f>
        <v>0</v>
      </c>
      <c r="P10" t="s">
        <v>23</v>
      </c>
      <c r="Q10">
        <f>OMCost</f>
        <v>0</v>
      </c>
    </row>
    <row r="11" spans="1:17">
      <c r="A11" s="4">
        <v>7</v>
      </c>
      <c r="B11" s="5">
        <v>0</v>
      </c>
      <c r="C11" s="5">
        <f>AnnualSavings</f>
        <v>0</v>
      </c>
      <c r="D11" s="5">
        <f>OMCost</f>
        <v>0</v>
      </c>
      <c r="E11" s="5">
        <f>IF(DepMethod="Straight-line", IF(AND(A11&gt;0, A11&lt;=DepLife), InvestmentTotal/DepLife, 0), N11*20%)</f>
        <v>0</v>
      </c>
      <c r="F11" s="5">
        <f>(C11-D11-E11)</f>
        <v>0</v>
      </c>
      <c r="G11" s="5">
        <f>MAX(F11*TaxRate,0)</f>
        <v>0</v>
      </c>
      <c r="H11" s="5">
        <f>F11-G11</f>
        <v>0</v>
      </c>
      <c r="I11" s="5">
        <f>E11</f>
        <v>0</v>
      </c>
      <c r="J11" s="5">
        <f>B11+C11-D11-G11</f>
        <v>0</v>
      </c>
      <c r="K11">
        <f>1/(1+DiscountRate)^A11</f>
        <v>0</v>
      </c>
      <c r="L11" s="5">
        <f>J11*K11</f>
        <v>0</v>
      </c>
      <c r="M11" s="5">
        <f>SUM(L$4:L11)</f>
        <v>0</v>
      </c>
      <c r="N11" s="5">
        <f>O10+(-B11)</f>
        <v>0</v>
      </c>
      <c r="O11" s="5">
        <f>MAX(N11-E11,0)</f>
        <v>0</v>
      </c>
      <c r="P11" t="s">
        <v>83</v>
      </c>
      <c r="Q11">
        <f>DepLife</f>
        <v>0</v>
      </c>
    </row>
    <row r="12" spans="1:17">
      <c r="A12" s="4">
        <v>8</v>
      </c>
      <c r="B12" s="5">
        <v>0</v>
      </c>
      <c r="C12" s="5">
        <f>AnnualSavings</f>
        <v>0</v>
      </c>
      <c r="D12" s="5">
        <f>OMCost</f>
        <v>0</v>
      </c>
      <c r="E12" s="5">
        <f>IF(DepMethod="Straight-line", IF(AND(A12&gt;0, A12&lt;=DepLife), InvestmentTotal/DepLife, 0), N12*20%)</f>
        <v>0</v>
      </c>
      <c r="F12" s="5">
        <f>(C12-D12-E12)</f>
        <v>0</v>
      </c>
      <c r="G12" s="5">
        <f>MAX(F12*TaxRate,0)</f>
        <v>0</v>
      </c>
      <c r="H12" s="5">
        <f>F12-G12</f>
        <v>0</v>
      </c>
      <c r="I12" s="5">
        <f>E12</f>
        <v>0</v>
      </c>
      <c r="J12" s="5">
        <f>B12+C12-D12-G12</f>
        <v>0</v>
      </c>
      <c r="K12">
        <f>1/(1+DiscountRate)^A12</f>
        <v>0</v>
      </c>
      <c r="L12" s="5">
        <f>J12*K12</f>
        <v>0</v>
      </c>
      <c r="M12" s="5">
        <f>SUM(L$4:L12)</f>
        <v>0</v>
      </c>
      <c r="N12" s="5">
        <f>O11+(-B12)</f>
        <v>0</v>
      </c>
      <c r="O12" s="5">
        <f>MAX(N12-E12,0)</f>
        <v>0</v>
      </c>
      <c r="P12" t="s">
        <v>84</v>
      </c>
      <c r="Q12">
        <f>DepMethod</f>
        <v>0</v>
      </c>
    </row>
    <row r="13" spans="1:17">
      <c r="A13" s="4">
        <v>9</v>
      </c>
      <c r="B13" s="5">
        <v>0</v>
      </c>
      <c r="C13" s="5">
        <f>AnnualSavings</f>
        <v>0</v>
      </c>
      <c r="D13" s="5">
        <f>OMCost</f>
        <v>0</v>
      </c>
      <c r="E13" s="5">
        <f>IF(DepMethod="Straight-line", IF(AND(A13&gt;0, A13&lt;=DepLife), InvestmentTotal/DepLife, 0), N13*20%)</f>
        <v>0</v>
      </c>
      <c r="F13" s="5">
        <f>(C13-D13-E13)</f>
        <v>0</v>
      </c>
      <c r="G13" s="5">
        <f>MAX(F13*TaxRate,0)</f>
        <v>0</v>
      </c>
      <c r="H13" s="5">
        <f>F13-G13</f>
        <v>0</v>
      </c>
      <c r="I13" s="5">
        <f>E13</f>
        <v>0</v>
      </c>
      <c r="J13" s="5">
        <f>B13+C13-D13-G13</f>
        <v>0</v>
      </c>
      <c r="K13">
        <f>1/(1+DiscountRate)^A13</f>
        <v>0</v>
      </c>
      <c r="L13" s="5">
        <f>J13*K13</f>
        <v>0</v>
      </c>
      <c r="M13" s="5">
        <f>SUM(L$4:L13)</f>
        <v>0</v>
      </c>
      <c r="N13" s="5">
        <f>O12+(-B13)</f>
        <v>0</v>
      </c>
      <c r="O13" s="5">
        <f>MAX(N13-E13,0)</f>
        <v>0</v>
      </c>
      <c r="P13" t="s">
        <v>85</v>
      </c>
      <c r="Q13">
        <f>ResidualValue</f>
        <v>0</v>
      </c>
    </row>
    <row r="14" spans="1:17">
      <c r="A14" s="4">
        <v>10</v>
      </c>
      <c r="B14" s="5">
        <v>0</v>
      </c>
      <c r="C14" s="5">
        <f>AnnualSavings</f>
        <v>0</v>
      </c>
      <c r="D14" s="5">
        <f>OMCost</f>
        <v>0</v>
      </c>
      <c r="E14" s="5">
        <f>IF(DepMethod="Straight-line", IF(AND(A14&gt;0, A14&lt;=DepLife), InvestmentTotal/DepLife, 0), N14*20%)</f>
        <v>0</v>
      </c>
      <c r="F14" s="5">
        <f>(C14-D14-E14)</f>
        <v>0</v>
      </c>
      <c r="G14" s="5">
        <f>MAX(F14*TaxRate,0)</f>
        <v>0</v>
      </c>
      <c r="H14" s="5">
        <f>F14-G14</f>
        <v>0</v>
      </c>
      <c r="I14" s="5">
        <f>E14</f>
        <v>0</v>
      </c>
      <c r="J14" s="5">
        <f>B14+C14-D14-G14+ResidualValue</f>
        <v>0</v>
      </c>
      <c r="K14">
        <f>1/(1+DiscountRate)^A14</f>
        <v>0</v>
      </c>
      <c r="L14" s="5">
        <f>J14*K14</f>
        <v>0</v>
      </c>
      <c r="M14" s="5">
        <f>SUM(L$4:L14)</f>
        <v>0</v>
      </c>
      <c r="N14" s="5">
        <f>O13+(-B14)</f>
        <v>0</v>
      </c>
      <c r="O14" s="5">
        <f>MAX(N14-E14,0)</f>
        <v>0</v>
      </c>
    </row>
    <row r="16" spans="1:17">
      <c r="N16" s="2" t="s">
        <v>86</v>
      </c>
    </row>
    <row r="17" spans="14:15">
      <c r="N17" t="s">
        <v>87</v>
      </c>
      <c r="O17" s="5">
        <f>SUM(L4:L15)</f>
        <v>0</v>
      </c>
    </row>
    <row r="18" spans="14:15">
      <c r="N18" t="s">
        <v>88</v>
      </c>
      <c r="O18" s="6">
        <f>IRR(J4:J15)</f>
        <v>0</v>
      </c>
    </row>
    <row r="19" spans="14:15">
      <c r="N19" t="s">
        <v>89</v>
      </c>
      <c r="O19" s="4">
        <f>IFERROR(MATCH(TRUE,INDEX(M4:M15&gt;0,0),0)-1,"")</f>
        <v>0</v>
      </c>
    </row>
    <row r="20" spans="14:15">
      <c r="N20" t="s">
        <v>90</v>
      </c>
      <c r="O20" s="4">
        <f>IFERROR(MATCH(TRUE,INDEX(M4:M15&gt;0,0),0)-1,"")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3" width="26.7109375" customWidth="1"/>
    <col min="4" max="7" width="18.7109375" customWidth="1"/>
  </cols>
  <sheetData>
    <row r="1" spans="1:7">
      <c r="A1" s="1" t="s">
        <v>91</v>
      </c>
    </row>
    <row r="3" spans="1:7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</row>
    <row r="5" spans="1:7">
      <c r="A5" t="s">
        <v>78</v>
      </c>
      <c r="B5" s="6">
        <v>0.08</v>
      </c>
      <c r="C5" s="6">
        <f>DiscountRate</f>
        <v>0</v>
      </c>
      <c r="D5" s="6">
        <v>0.15</v>
      </c>
      <c r="E5" s="5">
        <f>NPV(B5,Financials!J5:J15)+Financials!J4</f>
        <v>0</v>
      </c>
      <c r="F5" s="5">
        <f>NPV(C5,Financials!J5:J15)+Financials!J4</f>
        <v>0</v>
      </c>
      <c r="G5" s="5">
        <f>NPV(D5,Financials!J5:J15)+Financials!J4</f>
        <v>0</v>
      </c>
    </row>
    <row r="6" spans="1:7">
      <c r="A6" t="s">
        <v>99</v>
      </c>
      <c r="B6" s="5">
        <v>30000</v>
      </c>
      <c r="C6" s="5">
        <f>InvestmentTotal</f>
        <v>0</v>
      </c>
      <c r="D6" s="5">
        <v>45000</v>
      </c>
      <c r="E6" s="5">
        <f>NPV(DiscountRate,Financials!J5:J15)+(-B6)</f>
        <v>0</v>
      </c>
      <c r="F6" s="5">
        <f>NPV(DiscountRate,Financials!J5:J15)+(-C6)</f>
        <v>0</v>
      </c>
      <c r="G6" s="5">
        <f>NPV(DiscountRate,Financials!J5:J15)+(-D6)</f>
        <v>0</v>
      </c>
    </row>
    <row r="7" spans="1:7">
      <c r="A7" t="s">
        <v>100</v>
      </c>
      <c r="B7" s="5">
        <v>40000</v>
      </c>
      <c r="C7" s="5">
        <f>AnnualSavings</f>
        <v>0</v>
      </c>
      <c r="D7" s="5">
        <v>50000</v>
      </c>
      <c r="E7" s="5">
        <f>NPV(DiscountRate,Financials!J5:J15)+Financials!J4 + (B7-AnnualSavings)*(1-TaxRate)*( (1-(1+DiscountRate)^-ProjectLife)/DiscountRate )</f>
        <v>0</v>
      </c>
      <c r="F7" s="5">
        <f>NPV(DiscountRate,Financials!J5:J15)+Financials!J4</f>
        <v>0</v>
      </c>
      <c r="G7" s="5">
        <f>NPV(DiscountRate,Financials!J5:J15)+Financials!J4 + (D7-AnnualSavings)*(1-TaxRate)*( (1-(1+DiscountRate)^-ProjectLife)/DiscountRate )</f>
        <v>0</v>
      </c>
    </row>
    <row r="9" spans="1:7">
      <c r="A9" s="2" t="s">
        <v>101</v>
      </c>
    </row>
    <row r="10" spans="1:7">
      <c r="A10" s="2" t="s">
        <v>92</v>
      </c>
      <c r="B10" s="2" t="s">
        <v>102</v>
      </c>
      <c r="C10" s="2" t="s">
        <v>103</v>
      </c>
    </row>
    <row r="12" spans="1:7">
      <c r="A12">
        <f>A4</f>
        <v>0</v>
      </c>
      <c r="B12" s="5">
        <f>E4-F4</f>
        <v>0</v>
      </c>
      <c r="C12" s="5">
        <f>G4-F4</f>
        <v>0</v>
      </c>
    </row>
    <row r="13" spans="1:7">
      <c r="A13">
        <f>A5</f>
        <v>0</v>
      </c>
      <c r="B13" s="5">
        <f>E5-F5</f>
        <v>0</v>
      </c>
      <c r="C13" s="5">
        <f>G5-F5</f>
        <v>0</v>
      </c>
    </row>
    <row r="14" spans="1:7">
      <c r="A14">
        <f>A6</f>
        <v>0</v>
      </c>
      <c r="B14" s="5">
        <f>E6-F6</f>
        <v>0</v>
      </c>
      <c r="C14" s="5">
        <f>G6-F6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8.7109375" customWidth="1"/>
    <col min="2" max="6" width="16.7109375" customWidth="1"/>
  </cols>
  <sheetData>
    <row r="1" spans="1:6">
      <c r="A1" s="1" t="s">
        <v>104</v>
      </c>
    </row>
    <row r="3" spans="1:6">
      <c r="A3" s="8" t="s">
        <v>105</v>
      </c>
    </row>
    <row r="5" spans="1:6">
      <c r="A5" s="2" t="s">
        <v>106</v>
      </c>
      <c r="B5" s="5">
        <v>38000</v>
      </c>
      <c r="C5" s="5">
        <v>42000</v>
      </c>
      <c r="D5" s="5">
        <v>45349</v>
      </c>
      <c r="E5" s="5">
        <v>48000</v>
      </c>
      <c r="F5" s="5">
        <v>52000</v>
      </c>
    </row>
    <row r="6" spans="1:6">
      <c r="A6" s="6">
        <v>0.06</v>
      </c>
      <c r="B6" s="5">
        <f>NPV($A$6,Financials!J5:J15)+Financials!J4 + ($B$5-AnnualSavings)*(1-TaxRate)*((1-(1+$A$6)^-ProjectLife)/$A$6)</f>
        <v>0</v>
      </c>
      <c r="C6" s="5">
        <f>NPV($A$6,Financials!J5:J15)+Financials!J4 + ($C$5-AnnualSavings)*(1-TaxRate)*((1-(1+$A$6)^-ProjectLife)/$A$6)</f>
        <v>0</v>
      </c>
      <c r="D6" s="5">
        <f>NPV($A$6,Financials!J5:J15)+Financials!J4 + ($D$5-AnnualSavings)*(1-TaxRate)*((1-(1+$A$6)^-ProjectLife)/$A$6)</f>
        <v>0</v>
      </c>
      <c r="E6" s="5">
        <f>NPV($A$6,Financials!J5:J15)+Financials!J4 + ($E$5-AnnualSavings)*(1-TaxRate)*((1-(1+$A$6)^-ProjectLife)/$A$6)</f>
        <v>0</v>
      </c>
      <c r="F6" s="5">
        <f>NPV($A$6,Financials!J5:J15)+Financials!J4 + ($F$5-AnnualSavings)*(1-TaxRate)*((1-(1+$A$6)^-ProjectLife)/$A$6)</f>
        <v>0</v>
      </c>
    </row>
    <row r="7" spans="1:6">
      <c r="A7" s="6">
        <v>0.08</v>
      </c>
      <c r="B7" s="5">
        <f>NPV($A$7,Financials!J5:J15)+Financials!J4 + ($B$5-AnnualSavings)*(1-TaxRate)*((1-(1+$A$7)^-ProjectLife)/$A$7)</f>
        <v>0</v>
      </c>
      <c r="C7" s="5">
        <f>NPV($A$7,Financials!J5:J15)+Financials!J4 + ($C$5-AnnualSavings)*(1-TaxRate)*((1-(1+$A$7)^-ProjectLife)/$A$7)</f>
        <v>0</v>
      </c>
      <c r="D7" s="5">
        <f>NPV($A$7,Financials!J5:J15)+Financials!J4 + ($D$5-AnnualSavings)*(1-TaxRate)*((1-(1+$A$7)^-ProjectLife)/$A$7)</f>
        <v>0</v>
      </c>
      <c r="E7" s="5">
        <f>NPV($A$7,Financials!J5:J15)+Financials!J4 + ($E$5-AnnualSavings)*(1-TaxRate)*((1-(1+$A$7)^-ProjectLife)/$A$7)</f>
        <v>0</v>
      </c>
      <c r="F7" s="5">
        <f>NPV($A$7,Financials!J5:J15)+Financials!J4 + ($F$5-AnnualSavings)*(1-TaxRate)*((1-(1+$A$7)^-ProjectLife)/$A$7)</f>
        <v>0</v>
      </c>
    </row>
    <row r="8" spans="1:6">
      <c r="A8" s="6">
        <v>0.1</v>
      </c>
      <c r="B8" s="5">
        <f>NPV($A$8,Financials!J5:J15)+Financials!J4 + ($B$5-AnnualSavings)*(1-TaxRate)*((1-(1+$A$8)^-ProjectLife)/$A$8)</f>
        <v>0</v>
      </c>
      <c r="C8" s="5">
        <f>NPV($A$8,Financials!J5:J15)+Financials!J4 + ($C$5-AnnualSavings)*(1-TaxRate)*((1-(1+$A$8)^-ProjectLife)/$A$8)</f>
        <v>0</v>
      </c>
      <c r="D8" s="5">
        <f>NPV($A$8,Financials!J5:J15)+Financials!J4 + ($D$5-AnnualSavings)*(1-TaxRate)*((1-(1+$A$8)^-ProjectLife)/$A$8)</f>
        <v>0</v>
      </c>
      <c r="E8" s="5">
        <f>NPV($A$8,Financials!J5:J15)+Financials!J4 + ($E$5-AnnualSavings)*(1-TaxRate)*((1-(1+$A$8)^-ProjectLife)/$A$8)</f>
        <v>0</v>
      </c>
      <c r="F8" s="5">
        <f>NPV($A$8,Financials!J5:J15)+Financials!J4 + ($F$5-AnnualSavings)*(1-TaxRate)*((1-(1+$A$8)^-ProjectLife)/$A$8)</f>
        <v>0</v>
      </c>
    </row>
    <row r="9" spans="1:6">
      <c r="A9" s="6">
        <v>0.12</v>
      </c>
      <c r="B9" s="5">
        <f>NPV($A$9,Financials!J5:J15)+Financials!J4 + ($B$5-AnnualSavings)*(1-TaxRate)*((1-(1+$A$9)^-ProjectLife)/$A$9)</f>
        <v>0</v>
      </c>
      <c r="C9" s="5">
        <f>NPV($A$9,Financials!J5:J15)+Financials!J4 + ($C$5-AnnualSavings)*(1-TaxRate)*((1-(1+$A$9)^-ProjectLife)/$A$9)</f>
        <v>0</v>
      </c>
      <c r="D9" s="5">
        <f>NPV($A$9,Financials!J5:J15)+Financials!J4 + ($D$5-AnnualSavings)*(1-TaxRate)*((1-(1+$A$9)^-ProjectLife)/$A$9)</f>
        <v>0</v>
      </c>
      <c r="E9" s="5">
        <f>NPV($A$9,Financials!J5:J15)+Financials!J4 + ($E$5-AnnualSavings)*(1-TaxRate)*((1-(1+$A$9)^-ProjectLife)/$A$9)</f>
        <v>0</v>
      </c>
      <c r="F9" s="5">
        <f>NPV($A$9,Financials!J5:J15)+Financials!J4 + ($F$5-AnnualSavings)*(1-TaxRate)*((1-(1+$A$9)^-ProjectLife)/$A$9)</f>
        <v>0</v>
      </c>
    </row>
    <row r="10" spans="1:6">
      <c r="A10" s="6">
        <v>0.15</v>
      </c>
      <c r="B10" s="5">
        <f>NPV($A$10,Financials!J5:J15)+Financials!J4 + ($B$5-AnnualSavings)*(1-TaxRate)*((1-(1+$A$10)^-ProjectLife)/$A$10)</f>
        <v>0</v>
      </c>
      <c r="C10" s="5">
        <f>NPV($A$10,Financials!J5:J15)+Financials!J4 + ($C$5-AnnualSavings)*(1-TaxRate)*((1-(1+$A$10)^-ProjectLife)/$A$10)</f>
        <v>0</v>
      </c>
      <c r="D10" s="5">
        <f>NPV($A$10,Financials!J5:J15)+Financials!J4 + ($D$5-AnnualSavings)*(1-TaxRate)*((1-(1+$A$10)^-ProjectLife)/$A$10)</f>
        <v>0</v>
      </c>
      <c r="E10" s="5">
        <f>NPV($A$10,Financials!J5:J15)+Financials!J4 + ($E$5-AnnualSavings)*(1-TaxRate)*((1-(1+$A$10)^-ProjectLife)/$A$10)</f>
        <v>0</v>
      </c>
      <c r="F10" s="5">
        <f>NPV($A$10,Financials!J5:J15)+Financials!J4 + ($F$5-AnnualSavings)*(1-TaxRate)*((1-(1+$A$10)^-ProjectLife)/$A$10)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3" width="22.7109375" customWidth="1"/>
    <col min="4" max="4" width="36.7109375" customWidth="1"/>
  </cols>
  <sheetData>
    <row r="1" spans="1:4">
      <c r="A1" s="1" t="s">
        <v>107</v>
      </c>
    </row>
    <row r="3" spans="1:4">
      <c r="A3" s="2" t="s">
        <v>108</v>
      </c>
      <c r="B3" s="2" t="s">
        <v>51</v>
      </c>
      <c r="C3" s="2" t="s">
        <v>52</v>
      </c>
      <c r="D3" s="2" t="s">
        <v>53</v>
      </c>
    </row>
    <row r="4" spans="1:4">
      <c r="A4" t="s">
        <v>58</v>
      </c>
      <c r="B4">
        <f>Coal_tpy</f>
        <v>0</v>
      </c>
      <c r="C4" s="4">
        <f>B4</f>
        <v>0</v>
      </c>
      <c r="D4" t="s">
        <v>55</v>
      </c>
    </row>
    <row r="5" spans="1:4">
      <c r="A5" t="s">
        <v>109</v>
      </c>
      <c r="B5">
        <f>CO2_kg_per_kgCoal/1000</f>
        <v>0</v>
      </c>
      <c r="C5" s="4">
        <f>B5</f>
        <v>0</v>
      </c>
      <c r="D5" t="s">
        <v>110</v>
      </c>
    </row>
    <row r="6" spans="1:4">
      <c r="A6" t="s">
        <v>111</v>
      </c>
      <c r="B6">
        <f>C4*C5</f>
        <v>0</v>
      </c>
      <c r="C6" s="4">
        <f>B6</f>
        <v>0</v>
      </c>
      <c r="D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2.7109375" customWidth="1"/>
  </cols>
  <sheetData>
    <row r="1" spans="1:3">
      <c r="A1" s="1" t="s">
        <v>113</v>
      </c>
    </row>
    <row r="3" spans="1:3">
      <c r="A3" s="2" t="s">
        <v>114</v>
      </c>
      <c r="B3" s="2" t="s">
        <v>8</v>
      </c>
      <c r="C3" s="2" t="s">
        <v>115</v>
      </c>
    </row>
    <row r="5" spans="1:3">
      <c r="A5" t="s">
        <v>81</v>
      </c>
      <c r="B5" s="5">
        <f>InvestmentTotal</f>
        <v>0</v>
      </c>
      <c r="C5" t="s">
        <v>116</v>
      </c>
    </row>
    <row r="6" spans="1:3">
      <c r="A6" t="s">
        <v>82</v>
      </c>
      <c r="B6" s="5">
        <f>AnnualSavings</f>
        <v>0</v>
      </c>
      <c r="C6" t="s">
        <v>60</v>
      </c>
    </row>
    <row r="7" spans="1:3">
      <c r="A7" t="s">
        <v>117</v>
      </c>
      <c r="B7" s="5">
        <f>SUM(Financials!L4:L15)</f>
        <v>0</v>
      </c>
      <c r="C7" t="s">
        <v>116</v>
      </c>
    </row>
    <row r="8" spans="1:3">
      <c r="A8" t="s">
        <v>118</v>
      </c>
      <c r="B8" s="6">
        <f>IRR(Financials!J4:J15)</f>
        <v>0</v>
      </c>
      <c r="C8" t="s">
        <v>119</v>
      </c>
    </row>
    <row r="9" spans="1:3">
      <c r="A9" t="s">
        <v>120</v>
      </c>
      <c r="B9" s="4">
        <f>IFERROR(InvestmentTotal/AnnualSavings,"")</f>
        <v>0</v>
      </c>
      <c r="C9" t="s">
        <v>121</v>
      </c>
    </row>
    <row r="10" spans="1:3">
      <c r="A10" t="s">
        <v>122</v>
      </c>
      <c r="B10" s="4">
        <f>SteamSavings_tpy</f>
        <v>0</v>
      </c>
      <c r="C10" t="s">
        <v>55</v>
      </c>
    </row>
    <row r="11" spans="1:3">
      <c r="A11" t="s">
        <v>123</v>
      </c>
      <c r="B11" s="4">
        <f>GHG Impact!C6</f>
        <v>0</v>
      </c>
      <c r="C11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Problem Statement</vt:lpstr>
      <vt:lpstr>Assumptions</vt:lpstr>
      <vt:lpstr>Technical Calcs</vt:lpstr>
      <vt:lpstr>Financials</vt:lpstr>
      <vt:lpstr>Sensitivity</vt:lpstr>
      <vt:lpstr>2‑Way NPV</vt:lpstr>
      <vt:lpstr>GHG Impact</vt:lpstr>
      <vt:lpstr>Summary</vt:lpstr>
      <vt:lpstr>AnnualSavings</vt:lpstr>
      <vt:lpstr>CapexY0</vt:lpstr>
      <vt:lpstr>CapexY1</vt:lpstr>
      <vt:lpstr>CO2_kg_per_kgCoal</vt:lpstr>
      <vt:lpstr>Coal_TPH</vt:lpstr>
      <vt:lpstr>Coal_tpy</vt:lpstr>
      <vt:lpstr>DepLife</vt:lpstr>
      <vt:lpstr>DepMethod</vt:lpstr>
      <vt:lpstr>DiscountRate</vt:lpstr>
      <vt:lpstr>HoursPerYear</vt:lpstr>
      <vt:lpstr>InvestmentTotal</vt:lpstr>
      <vt:lpstr>LP_TPD</vt:lpstr>
      <vt:lpstr>OMCost</vt:lpstr>
      <vt:lpstr>ProjectLife</vt:lpstr>
      <vt:lpstr>ResidualValue</vt:lpstr>
      <vt:lpstr>SteamSavings_tpy</vt:lpstr>
      <vt:lpstr>TaxRate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2025-10-03T10:28:21Z</dcterms:created>
  <dcterms:modified xsi:type="dcterms:W3CDTF">2025-10-03T10:28:21Z</dcterms:modified>
</cp:coreProperties>
</file>