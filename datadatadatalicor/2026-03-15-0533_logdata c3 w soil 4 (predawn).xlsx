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<sst xmlns="http://schemas.openxmlformats.org/spreadsheetml/2006/main" count="3478" uniqueCount="633">
  <si>
    <t>File opened</t>
  </si>
  <si>
    <t>2026-03-15 05:34:11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</si>
  <si>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</si>
  <si>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</si>
  <si>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</si>
  <si>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</si>
  <si>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</si>
  <si>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</si>
  <si>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</si>
  <si>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</si>
  <si>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</si>
  <si>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</si>
  <si>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</si>
  <si>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"0.957319", "co2aspan1": "1.00014", "co2aspan2": "-0.028185", "co2aspan2a": "0.309472", "co2aspan2b": "0.306816", "co2aspanconc1": "2492", "co2aspanconc2": "285.6", "co2bzero": "0.910895", "co2bspan1": "0.999964", "co2bspan2": "-0.0275681", "co2bspan2a": "0.309881", "co2bspan2b": "0.307222", "co2bspanconc1": "2492", "co2bspanconc2": "285.6", "h2oazero": "1.16136", "h2oaspan1": "0.999718", "h2oaspan2": "0", "h2oaspan2a": "0.067854", "h2oaspan2b": "0.0678349", "h2oaspanconc1": "12.33", "h2oaspanconc2": "0", "h2obzero": "1.17232", "h2obspan1": "1.00595", "h2obspan2": "0", "h2obspan2a": "0.0676005", "h2obspan2b": "0.0680027", "h2obspanconc1": "12.33", "h2obspanconc2": "0", "tazero": "0.021019", "tbzero": "0.151497",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</si>
  <si>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</si>
  <si>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</si>
  <si>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</si>
  <si>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Thu Dec 18 10:59</t>
  </si>
  <si>
    <t>H2O rangematch</t>
  </si>
  <si>
    <t>Tue Sep 23 19:56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</si>
  <si>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</si>
  <si>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</si>
  <si>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</si>
  <si>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</si>
  <si>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</si>
  <si>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</si>
  <si>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</si>
  <si>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</si>
  <si>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HeadLS type</t>
  </si>
  <si>
    <t>6800-02</t>
  </si>
  <si>
    <t>HeadLS s/n</t>
  </si>
  <si>
    <t>751854</t>
  </si>
  <si>
    <t>HeadLS f</t>
  </si>
  <si>
    <t>0.0483 0.0757</t>
  </si>
  <si>
    <t>HeadLS u0</t>
  </si>
  <si>
    <t>530 1285</t>
  </si>
  <si>
    <t>05:34:11</t>
  </si>
  <si>
    <t>Stability Definition:	Flow (Meas): Per=15	CO2_r (Meas): Per=15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</si>
  <si>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</si>
  <si>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</si>
  <si>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</si>
  <si>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</si>
  <si>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</si>
  <si>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</si>
  <si>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</si>
  <si>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</si>
  <si>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</si>
  <si>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</si>
  <si>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</si>
  <si>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</si>
  <si>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</si>
  <si>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</si>
  <si>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</si>
  <si>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</si>
  <si>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</si>
  <si>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</si>
  <si>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</si>
  <si>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</si>
  <si>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</si>
  <si>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</si>
  <si>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</si>
  <si>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</si>
  <si>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</si>
  <si>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</si>
  <si>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</si>
  <si>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</si>
  <si>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</si>
  <si>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</si>
  <si>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</si>
  <si>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</si>
  <si>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</si>
  <si>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</si>
  <si>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</si>
  <si>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</si>
  <si>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</si>
  <si>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</si>
  <si>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</si>
  <si>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</si>
  <si>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</si>
  <si>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</si>
  <si>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</si>
  <si>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</si>
  <si>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</si>
  <si>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</si>
  <si>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</si>
  <si>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</si>
  <si>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</si>
  <si>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</si>
  <si>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</si>
  <si>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</si>
  <si>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</si>
  <si>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2.83595 187.946 375.523 615.401 853.636 1068.33 1225.85 1390.65</t>
  </si>
  <si>
    <t>Fs_true</t>
  </si>
  <si>
    <t>0.329467 201.302 389.075 597.656 802.815 1001.5 1200.79 1400.89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</si>
  <si>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</si>
  <si>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</si>
  <si>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</si>
  <si>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</si>
  <si>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</si>
  <si>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</si>
  <si>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</si>
  <si>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</si>
  <si>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</si>
  <si>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</si>
  <si>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</si>
  <si>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</si>
  <si>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</si>
  <si>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</si>
  <si>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</si>
  <si>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</si>
  <si>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</si>
  <si>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</si>
  <si>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</si>
  <si>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</si>
  <si>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</si>
  <si>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</si>
  <si>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</si>
  <si>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</si>
  <si>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</si>
  <si>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</si>
  <si>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</si>
  <si>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</si>
  <si>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</si>
  <si>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</si>
  <si>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</si>
  <si>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</si>
  <si>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</si>
  <si>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</si>
  <si>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</si>
  <si>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</si>
  <si>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</si>
  <si>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</si>
  <si>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</si>
  <si>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</si>
  <si>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</si>
  <si>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</si>
  <si>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</si>
  <si>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</si>
  <si>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</si>
  <si>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</si>
  <si>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</si>
  <si>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</si>
  <si>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</si>
  <si>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</si>
  <si>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</si>
  <si>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</si>
  <si>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</si>
  <si>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</si>
  <si>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</si>
  <si>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</si>
  <si>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</si>
  <si>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</si>
  <si>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</si>
  <si>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</si>
  <si>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</si>
  <si>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</si>
  <si>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</si>
  <si>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</si>
  <si>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</si>
  <si>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</si>
  <si>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</si>
  <si>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</si>
  <si>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</si>
  <si>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</si>
  <si>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</si>
  <si>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</si>
  <si>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</si>
  <si>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</si>
  <si>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</si>
  <si>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</si>
  <si>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</si>
  <si>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</si>
  <si>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</si>
  <si>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</si>
  <si>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</si>
  <si>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</si>
  <si>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</si>
  <si>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</si>
  <si>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</si>
  <si>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</si>
  <si>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</si>
  <si>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</si>
  <si>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</si>
  <si>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</si>
  <si>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</si>
  <si>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</si>
  <si>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</si>
  <si>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</si>
  <si>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</si>
  <si>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</si>
  <si>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</si>
  <si>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</si>
  <si>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</si>
  <si>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</si>
  <si>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</si>
  <si>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</si>
  <si>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</si>
  <si>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</si>
  <si>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</si>
  <si>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</si>
  <si>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</si>
  <si>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</si>
  <si>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</si>
  <si>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</si>
  <si>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</si>
  <si>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</si>
  <si>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</si>
  <si>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</si>
  <si>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</si>
  <si>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</si>
  <si>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</si>
  <si>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</si>
  <si>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</si>
  <si>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</si>
  <si>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</si>
  <si>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</si>
  <si>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</si>
  <si>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</si>
  <si>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</si>
  <si>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</si>
  <si>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</si>
  <si>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</si>
  <si>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</si>
  <si>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</si>
  <si>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</si>
  <si>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</si>
  <si>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</si>
  <si>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</si>
  <si>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</si>
  <si>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</si>
  <si>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</si>
  <si>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</si>
  <si>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</si>
  <si>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</si>
  <si>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</si>
  <si>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</si>
  <si>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</si>
  <si>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</si>
  <si>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</si>
  <si>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</si>
  <si>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</si>
  <si>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</si>
  <si>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</si>
  <si>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</si>
  <si>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</si>
  <si>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</si>
  <si>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</si>
  <si>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</si>
  <si>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</si>
  <si>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</si>
  <si>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</si>
  <si>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</si>
  <si>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</si>
  <si>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</si>
  <si>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</si>
  <si>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</si>
  <si>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</si>
  <si>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</si>
  <si>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</si>
  <si>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</si>
  <si>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</si>
  <si>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</si>
  <si>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</si>
  <si>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</si>
  <si>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</si>
  <si>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</si>
  <si>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</si>
  <si>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</si>
  <si>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</si>
  <si>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</si>
  <si>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</si>
  <si>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</si>
  <si>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</si>
  <si>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</si>
  <si>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</si>
  <si>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</si>
  <si>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</si>
  <si>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</si>
  <si>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</si>
  <si>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</si>
  <si>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</si>
  <si>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</si>
  <si>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</si>
  <si>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</si>
  <si>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</si>
  <si>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</si>
  <si>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</si>
  <si>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</si>
  <si>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</si>
  <si>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</si>
  <si>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</si>
  <si>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</si>
  <si>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</si>
  <si>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</si>
  <si>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</si>
  <si>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</si>
  <si>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</si>
  <si>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</si>
  <si>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</si>
  <si>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</si>
  <si>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</si>
  <si>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</si>
  <si>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</si>
  <si>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</si>
  <si>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</si>
  <si>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</si>
  <si>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</si>
  <si>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</si>
  <si>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</si>
  <si>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</si>
  <si>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</si>
  <si>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</si>
  <si>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</si>
  <si>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</si>
  <si>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</si>
  <si>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</si>
  <si>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</si>
  <si>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</si>
  <si>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</si>
  <si>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</si>
  <si>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</si>
  <si>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</si>
  <si>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</si>
  <si>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</si>
  <si>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</si>
  <si>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</si>
  <si>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</si>
  <si>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</si>
  <si>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</si>
  <si>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20260312 05:41:03</t>
  </si>
  <si>
    <t>05:41:03</t>
  </si>
  <si>
    <t>0: Broadleaf</t>
  </si>
  <si>
    <t>05:39:46</t>
  </si>
  <si>
    <t>0/0</t>
  </si>
  <si>
    <t>11111111</t>
  </si>
  <si>
    <t>oooooooo</t>
  </si>
  <si>
    <t>on</t>
  </si>
  <si>
    <t>20260312 05:42:03</t>
  </si>
  <si>
    <t>05:42:03</t>
  </si>
  <si>
    <t>20260312 05:43:03</t>
  </si>
  <si>
    <t>05:43:03</t>
  </si>
  <si>
    <t>20260312 05:44:03</t>
  </si>
  <si>
    <t>05:44:03</t>
  </si>
  <si>
    <t>20260312 05:45:03</t>
  </si>
  <si>
    <t>05:45:03</t>
  </si>
  <si>
    <t>20260312 05:46:03</t>
  </si>
  <si>
    <t>05:46:03</t>
  </si>
  <si>
    <t>20260312 05:47:03</t>
  </si>
  <si>
    <t>05:47:03</t>
  </si>
  <si>
    <t>20260312 05:48:03</t>
  </si>
  <si>
    <t>05:48:03</t>
  </si>
  <si>
    <t>20260312 05:49:03</t>
  </si>
  <si>
    <t>05:49:03</t>
  </si>
  <si>
    <t>20260312 05:50:04</t>
  </si>
  <si>
    <t>05:50:04</t>
  </si>
  <si>
    <t>20260312 05:51:04</t>
  </si>
  <si>
    <t>05:51:04</t>
  </si>
  <si>
    <t>20260312 05:52:04</t>
  </si>
  <si>
    <t>05:52:04</t>
  </si>
  <si>
    <t>20260312 05:53:04</t>
  </si>
  <si>
    <t>05:53:04</t>
  </si>
  <si>
    <t>20260312 05:54:04</t>
  </si>
  <si>
    <t>05:54:04</t>
  </si>
  <si>
    <t>20260312 05:55:04</t>
  </si>
  <si>
    <t>05:55:04</t>
  </si>
  <si>
    <t>20260312 05:56:04</t>
  </si>
  <si>
    <t>05:56:04</t>
  </si>
  <si>
    <t>20260312 05:57:04</t>
  </si>
  <si>
    <t>05:57:04</t>
  </si>
  <si>
    <t>20260312 05:58:04</t>
  </si>
  <si>
    <t>05:58:04</t>
  </si>
  <si>
    <t>20260312 05:59:04</t>
  </si>
  <si>
    <t>05:59:04</t>
  </si>
  <si>
    <t>20260312 06:00:04</t>
  </si>
  <si>
    <t>06:00:04</t>
  </si>
  <si>
    <t>20260312 06:01:04</t>
  </si>
  <si>
    <t>06:01:04</t>
  </si>
  <si>
    <t>20260312 06:02:04</t>
  </si>
  <si>
    <t>06:02:04</t>
  </si>
  <si>
    <t>20260312 06:03:04</t>
  </si>
  <si>
    <t>06:03:04</t>
  </si>
  <si>
    <t>20260312 06:04:04</t>
  </si>
  <si>
    <t>06:04:04</t>
  </si>
  <si>
    <t>20260312 06:05:04</t>
  </si>
  <si>
    <t>06:05:04</t>
  </si>
  <si>
    <t>20260312 06:06:04</t>
  </si>
  <si>
    <t>06:06:04</t>
  </si>
  <si>
    <t>20260312 06:07:04</t>
  </si>
  <si>
    <t>06:07:04</t>
  </si>
  <si>
    <t>20260312 06:08:04</t>
  </si>
  <si>
    <t>06:08:04</t>
  </si>
  <si>
    <t>20260312 06:09:04</t>
  </si>
  <si>
    <t>06:09:04</t>
  </si>
  <si>
    <t>20260312 06:10:04</t>
  </si>
  <si>
    <t>06:10:04</t>
  </si>
  <si>
    <t>20260312 06:11:04</t>
  </si>
  <si>
    <t>06:11:04</t>
  </si>
  <si>
    <t>20260312 06:12:04</t>
  </si>
  <si>
    <t>06:12:04</t>
  </si>
  <si>
    <t>20260312 06:13:04</t>
  </si>
  <si>
    <t>06:13:04</t>
  </si>
  <si>
    <t>20260312 06:14:04</t>
  </si>
  <si>
    <t>06:14:04</t>
  </si>
  <si>
    <t>20260312 06:15:04</t>
  </si>
  <si>
    <t>06:15:04</t>
  </si>
  <si>
    <t>20260312 06:16:04</t>
  </si>
  <si>
    <t>06:16:04</t>
  </si>
  <si>
    <t>20260312 06:17:04</t>
  </si>
  <si>
    <t>06:17:04</t>
  </si>
  <si>
    <t>20260312 06:18:04</t>
  </si>
  <si>
    <t>06:18:04</t>
  </si>
  <si>
    <t>20260312 06:19:04</t>
  </si>
  <si>
    <t>06:19:04</t>
  </si>
  <si>
    <t>20260312 06:20:04</t>
  </si>
  <si>
    <t>06:20:04</t>
  </si>
  <si>
    <t>20260312 06:21:04</t>
  </si>
  <si>
    <t>06:21:04</t>
  </si>
  <si>
    <t>20260312 06:22:04</t>
  </si>
  <si>
    <t>06:22:04</t>
  </si>
  <si>
    <t>20260312 06:23:04</t>
  </si>
  <si>
    <t>06:23:04</t>
  </si>
  <si>
    <t>20260312 06:24:04</t>
  </si>
  <si>
    <t>06:24:04</t>
  </si>
  <si>
    <t>20260312 06:25:04</t>
  </si>
  <si>
    <t>06:25:04</t>
  </si>
  <si>
    <t>20260312 06:26:04</t>
  </si>
  <si>
    <t>06:26:04</t>
  </si>
  <si>
    <t>20260312 06:27:04</t>
  </si>
  <si>
    <t>06:27:04</t>
  </si>
  <si>
    <t>20260312 06:28:04</t>
  </si>
  <si>
    <t>06:28:04</t>
  </si>
  <si>
    <t>20260312 06:29:04</t>
  </si>
  <si>
    <t>06:29:04</t>
  </si>
  <si>
    <t>20260312 06:30:04</t>
  </si>
  <si>
    <t>06:30:04</t>
  </si>
  <si>
    <t>20260312 06:31:04</t>
  </si>
  <si>
    <t>06:31:04</t>
  </si>
  <si>
    <t>20260312 06:32:04</t>
  </si>
  <si>
    <t>06:32:04</t>
  </si>
  <si>
    <t>20260312 06:33:04</t>
  </si>
  <si>
    <t>06:33:04</t>
  </si>
  <si>
    <t>20260312 06:34:04</t>
  </si>
  <si>
    <t>06:34:04</t>
  </si>
  <si>
    <t>20260312 06:35:04</t>
  </si>
  <si>
    <t>06:35:04</t>
  </si>
  <si>
    <t>20260312 06:36:04</t>
  </si>
  <si>
    <t>06:36:04</t>
  </si>
  <si>
    <t>20260312 06:37:04</t>
  </si>
  <si>
    <t>06:37:04</t>
  </si>
  <si>
    <t>20260312 06:38:04</t>
  </si>
  <si>
    <t>06:38:04</t>
  </si>
  <si>
    <t>20260312 06:39:04</t>
  </si>
  <si>
    <t>06:39:04</t>
  </si>
  <si>
    <t>20260312 06:40:04</t>
  </si>
  <si>
    <t>06:40:04</t>
  </si>
  <si>
    <t>20260312 06:41:04</t>
  </si>
  <si>
    <t>06:41:04</t>
  </si>
  <si>
    <t>20260312 06:42:04</t>
  </si>
  <si>
    <t>06:42:04</t>
  </si>
  <si>
    <t>20260312 06:43:04</t>
  </si>
  <si>
    <t>06:43:04</t>
  </si>
  <si>
    <t>20260312 06:44:04</t>
  </si>
  <si>
    <t>06:44:04</t>
  </si>
  <si>
    <t>20260312 06:45:04</t>
  </si>
  <si>
    <t>06:45:04</t>
  </si>
  <si>
    <t>20260312 06:46:04</t>
  </si>
  <si>
    <t>06:46:04</t>
  </si>
  <si>
    <t>20260312 06:47:04</t>
  </si>
  <si>
    <t>06:47:04</t>
  </si>
  <si>
    <t>20260312 06:48:04</t>
  </si>
  <si>
    <t>06:48:04</t>
  </si>
  <si>
    <t>20260312 06:49:04</t>
  </si>
  <si>
    <t>06:49:04</t>
  </si>
  <si>
    <t>20260312 06:50:04</t>
  </si>
  <si>
    <t>06:50:04</t>
  </si>
  <si>
    <t>20260312 06:51:04</t>
  </si>
  <si>
    <t>06:51:04</t>
  </si>
  <si>
    <t>20260312 06:52:04</t>
  </si>
  <si>
    <t>06:52:04</t>
  </si>
  <si>
    <t>20260312 06:53:04</t>
  </si>
  <si>
    <t>06:53:04</t>
  </si>
  <si>
    <t>20260312 06:54:04</t>
  </si>
  <si>
    <t>06:54:04</t>
  </si>
  <si>
    <t>20260312 06:55:04</t>
  </si>
  <si>
    <t>06:55:04</t>
  </si>
  <si>
    <t>20260312 06:56:04</t>
  </si>
  <si>
    <t>06:56:04</t>
  </si>
  <si>
    <t>20260312 06:57:04</t>
  </si>
  <si>
    <t>06:57:04</t>
  </si>
  <si>
    <t>20260312 06:58:04</t>
  </si>
  <si>
    <t>06:58:04</t>
  </si>
  <si>
    <t>20260312 06:59:04</t>
  </si>
  <si>
    <t>06:59:04</t>
  </si>
  <si>
    <t>20260312 07:00:04</t>
  </si>
  <si>
    <t>07:00:04</t>
  </si>
  <si>
    <t>20260312 07:01:04</t>
  </si>
  <si>
    <t>07:01:04</t>
  </si>
  <si>
    <t>20260312 07:02:04</t>
  </si>
  <si>
    <t>07:02:04</t>
  </si>
  <si>
    <t>20260312 07:03:04</t>
  </si>
  <si>
    <t>07:03:04</t>
  </si>
  <si>
    <t>20260312 07:04:04</t>
  </si>
  <si>
    <t>07:04:04</t>
  </si>
  <si>
    <t>20260312 07:05:04</t>
  </si>
  <si>
    <t>07:05:04</t>
  </si>
  <si>
    <t>20260312 07:06:04</t>
  </si>
  <si>
    <t>07:06:04</t>
  </si>
  <si>
    <t>20260312 07:07:04</t>
  </si>
  <si>
    <t>07:07:04</t>
  </si>
  <si>
    <t>20260312 07:08:04</t>
  </si>
  <si>
    <t>07:08:04</t>
  </si>
  <si>
    <t>20260312 07:09:04</t>
  </si>
  <si>
    <t>07:09:04</t>
  </si>
  <si>
    <t>20260312 07:10:04</t>
  </si>
  <si>
    <t>07:10:04</t>
  </si>
  <si>
    <t>20260312 07:11:04</t>
  </si>
  <si>
    <t>07:11:04</t>
  </si>
  <si>
    <t>20260312 07:12:04</t>
  </si>
  <si>
    <t>07:12:04</t>
  </si>
  <si>
    <t>20260312 07:13:04</t>
  </si>
  <si>
    <t>07:13:04</t>
  </si>
  <si>
    <t>20260312 07:14:04</t>
  </si>
  <si>
    <t>07:14:04</t>
  </si>
  <si>
    <t>20260312 07:15:04</t>
  </si>
  <si>
    <t>07:15:04</t>
  </si>
  <si>
    <t>20260312 07:16:04</t>
  </si>
  <si>
    <t>07:16:04</t>
  </si>
  <si>
    <t>20260312 07:17:04</t>
  </si>
  <si>
    <t>07:17:04</t>
  </si>
  <si>
    <t>20260312 07:18:04</t>
  </si>
  <si>
    <t>07:18:04</t>
  </si>
  <si>
    <t>20260312 07:19:04</t>
  </si>
  <si>
    <t>07:19:04</t>
  </si>
  <si>
    <t>20260312 07:20:04</t>
  </si>
  <si>
    <t>07:20:04</t>
  </si>
  <si>
    <t>20260312 07:21:04</t>
  </si>
  <si>
    <t>07:21:04</t>
  </si>
  <si>
    <t>20260312 07:22:04</t>
  </si>
  <si>
    <t>07:22:04</t>
  </si>
  <si>
    <t>20260312 07:23:04</t>
  </si>
  <si>
    <t>07:23:04</t>
  </si>
  <si>
    <t>20260312 07:24:04</t>
  </si>
  <si>
    <t>07:24:04</t>
  </si>
  <si>
    <t>20260312 07:25:04</t>
  </si>
  <si>
    <t>07:25:04</t>
  </si>
  <si>
    <t>20260312 07:26:04</t>
  </si>
  <si>
    <t>07:26:04</t>
  </si>
  <si>
    <t>20260312 07:27:04</t>
  </si>
  <si>
    <t>07:27:04</t>
  </si>
  <si>
    <t>20260312 07:28:04</t>
  </si>
  <si>
    <t>07:28:04</t>
  </si>
  <si>
    <t>20260312 07:29:04</t>
  </si>
  <si>
    <t>07:29:04</t>
  </si>
  <si>
    <t>20260312 07:30:04</t>
  </si>
  <si>
    <t>07:30:04</t>
  </si>
  <si>
    <t>20260312 07:31:04</t>
  </si>
  <si>
    <t>07:31:04</t>
  </si>
  <si>
    <t>20260312 07:32:04</t>
  </si>
  <si>
    <t>07:32:04</t>
  </si>
  <si>
    <t>20260312 07:33:04</t>
  </si>
  <si>
    <t>07:33:04</t>
  </si>
  <si>
    <t>20260312 07:34:04</t>
  </si>
  <si>
    <t>07:34:04</t>
  </si>
  <si>
    <t>20260312 07:35:04</t>
  </si>
  <si>
    <t>07:35:04</t>
  </si>
  <si>
    <t>20260312 07:36:04</t>
  </si>
  <si>
    <t>07:36:04</t>
  </si>
  <si>
    <t>20260312 07:37:04</t>
  </si>
  <si>
    <t>07:37:04</t>
  </si>
  <si>
    <t>20260312 07:38:04</t>
  </si>
  <si>
    <t>07:38:04</t>
  </si>
  <si>
    <t>20260312 07:39:04</t>
  </si>
  <si>
    <t>07:39:04</t>
  </si>
  <si>
    <t>20260312 07:40:04</t>
  </si>
  <si>
    <t>07:40:04</t>
  </si>
  <si>
    <t>20260312 07:41:04</t>
  </si>
  <si>
    <t>07:41:04</t>
  </si>
  <si>
    <t>20260312 07:42:04</t>
  </si>
  <si>
    <t>07:42:04</t>
  </si>
  <si>
    <t>20260312 07:43:04</t>
  </si>
  <si>
    <t>07:43:04</t>
  </si>
  <si>
    <t>20260312 07:44:04</t>
  </si>
  <si>
    <t>07:44:04</t>
  </si>
  <si>
    <t>20260312 07:45:05</t>
  </si>
  <si>
    <t>07:45:05</t>
  </si>
  <si>
    <t>20260312 07:46:05</t>
  </si>
  <si>
    <t>07:46:05</t>
  </si>
  <si>
    <t>20260312 07:47:05</t>
  </si>
  <si>
    <t>07:47:05</t>
  </si>
  <si>
    <t>20260312 07:48:05</t>
  </si>
  <si>
    <t>07:48:05</t>
  </si>
  <si>
    <t>20260312 07:49:05</t>
  </si>
  <si>
    <t>07:49:05</t>
  </si>
  <si>
    <t>20260312 07:50:05</t>
  </si>
  <si>
    <t>07:50:05</t>
  </si>
  <si>
    <t>20260312 07:51:05</t>
  </si>
  <si>
    <t>07:51:05</t>
  </si>
  <si>
    <t>20260312 07:52:05</t>
  </si>
  <si>
    <t>07:52:05</t>
  </si>
  <si>
    <t>20260312 07:53:05</t>
  </si>
  <si>
    <t>07:53:05</t>
  </si>
  <si>
    <t>20260312 07:54:05</t>
  </si>
  <si>
    <t>07:54:05</t>
  </si>
  <si>
    <t>20260312 07:55:05</t>
  </si>
  <si>
    <t>07:55:05</t>
  </si>
  <si>
    <t>20260312 07:56:05</t>
  </si>
  <si>
    <t>07:56:05</t>
  </si>
  <si>
    <t>20260312 07:57:05</t>
  </si>
  <si>
    <t>07:57:05</t>
  </si>
  <si>
    <t>20260312 07:58:05</t>
  </si>
  <si>
    <t>07:58:05</t>
  </si>
  <si>
    <t>20260312 07:59:05</t>
  </si>
  <si>
    <t>07:59:05</t>
  </si>
  <si>
    <t>20260312 08:00:05</t>
  </si>
  <si>
    <t>08:00:05</t>
  </si>
  <si>
    <t>20260312 08:01:05</t>
  </si>
  <si>
    <t>08:01:05</t>
  </si>
  <si>
    <t>20260312 08:02:05</t>
  </si>
  <si>
    <t>08:02:05</t>
  </si>
  <si>
    <t>20260312 08:03:05</t>
  </si>
  <si>
    <t>08:03:05</t>
  </si>
  <si>
    <t>20260312 08:04:05</t>
  </si>
  <si>
    <t>08:04:05</t>
  </si>
  <si>
    <t>20260312 08:05:05</t>
  </si>
  <si>
    <t>08:05:05</t>
  </si>
  <si>
    <t>20260312 08:06:05</t>
  </si>
  <si>
    <t>08:06:05</t>
  </si>
  <si>
    <t>20260312 08:07:05</t>
  </si>
  <si>
    <t>08:07:05</t>
  </si>
  <si>
    <t>20260312 08:08:05</t>
  </si>
  <si>
    <t>08:08:05</t>
  </si>
  <si>
    <t>20260312 08:09:05</t>
  </si>
  <si>
    <t>08:09:05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</si>
</sst>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P165"/>
  <sheetViews>
    <sheetView tabSelected="1" workbookViewId="0"/>
  </sheetViews>
  <sheetFormatPr defaultRowHeight="15"/>
  <sheetData>
    <row r="2" spans="1:198">
      <c r="A2" t="s">
        <v>38</v>
      </c>
      <c r="B2" t="s">
        <v>39</v>
      </c>
      <c r="C2" t="s">
        <v>41</v>
      </c>
    </row>
    <row r="3" spans="1:198">
      <c r="B3" t="s">
        <v>40</v>
      </c>
      <c r="C3" t="s">
        <v>42</v>
      </c>
    </row>
    <row r="4" spans="1:198">
      <c r="A4" t="s">
        <v>43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1:198">
      <c r="B5" t="s">
        <v>21</v>
      </c>
      <c r="C5" t="s">
        <v>46</v>
      </c>
      <c r="D5">
        <v>0.188</v>
      </c>
      <c r="E5">
        <v>0.5795409</v>
      </c>
      <c r="F5">
        <v>-0.0115295</v>
      </c>
      <c r="G5">
        <v>0</v>
      </c>
      <c r="H5">
        <v>-0.009725900000000001</v>
      </c>
      <c r="I5">
        <v>1</v>
      </c>
      <c r="J5">
        <v>3</v>
      </c>
      <c r="K5">
        <v>96.7</v>
      </c>
    </row>
    <row r="6" spans="1:198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198">
      <c r="B7">
        <v>0</v>
      </c>
      <c r="C7">
        <v>1</v>
      </c>
      <c r="D7">
        <v>0</v>
      </c>
      <c r="E7">
        <v>0</v>
      </c>
    </row>
    <row r="8" spans="1:198">
      <c r="A8" t="s">
        <v>60</v>
      </c>
      <c r="B8" t="s">
        <v>61</v>
      </c>
      <c r="C8" t="s">
        <v>63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</row>
    <row r="9" spans="1:198">
      <c r="B9" t="s">
        <v>62</v>
      </c>
      <c r="C9" t="s">
        <v>64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198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</row>
    <row r="11" spans="1:198">
      <c r="B11">
        <v>0</v>
      </c>
      <c r="C11">
        <v>0</v>
      </c>
      <c r="D11">
        <v>1</v>
      </c>
      <c r="E11">
        <v>0</v>
      </c>
      <c r="F11">
        <v>0</v>
      </c>
    </row>
    <row r="12" spans="1:198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92</v>
      </c>
      <c r="H12" t="s">
        <v>94</v>
      </c>
    </row>
    <row r="13" spans="1:198">
      <c r="B13">
        <v>-6276</v>
      </c>
      <c r="C13">
        <v>6.6</v>
      </c>
      <c r="D13">
        <v>1.709E-05</v>
      </c>
      <c r="E13">
        <v>3.11</v>
      </c>
      <c r="F13" t="s">
        <v>91</v>
      </c>
      <c r="G13" t="s">
        <v>93</v>
      </c>
      <c r="H13">
        <v>0</v>
      </c>
    </row>
    <row r="14" spans="1:198">
      <c r="A14" t="s">
        <v>95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98</v>
      </c>
      <c r="AK14" t="s">
        <v>98</v>
      </c>
      <c r="AL14" t="s">
        <v>98</v>
      </c>
      <c r="AM14" t="s">
        <v>98</v>
      </c>
      <c r="AN14" t="s">
        <v>99</v>
      </c>
      <c r="AO14" t="s">
        <v>99</v>
      </c>
      <c r="AP14" t="s">
        <v>99</v>
      </c>
      <c r="AQ14" t="s">
        <v>99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  <c r="BR14" t="s">
        <v>101</v>
      </c>
      <c r="BS14" t="s">
        <v>101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105</v>
      </c>
      <c r="CX14" t="s">
        <v>105</v>
      </c>
      <c r="CY14" t="s">
        <v>105</v>
      </c>
      <c r="CZ14" t="s">
        <v>105</v>
      </c>
      <c r="DA14" t="s">
        <v>105</v>
      </c>
      <c r="DB14" t="s">
        <v>105</v>
      </c>
      <c r="DC14" t="s">
        <v>105</v>
      </c>
      <c r="DD14" t="s">
        <v>105</v>
      </c>
      <c r="DE14" t="s">
        <v>105</v>
      </c>
      <c r="DF14" t="s">
        <v>105</v>
      </c>
      <c r="DG14" t="s">
        <v>105</v>
      </c>
      <c r="DH14" t="s">
        <v>105</v>
      </c>
      <c r="DI14" t="s">
        <v>105</v>
      </c>
      <c r="DJ14" t="s">
        <v>105</v>
      </c>
      <c r="DK14" t="s">
        <v>105</v>
      </c>
      <c r="DL14" t="s">
        <v>105</v>
      </c>
      <c r="DM14" t="s">
        <v>105</v>
      </c>
      <c r="DN14" t="s">
        <v>105</v>
      </c>
      <c r="DO14" t="s">
        <v>106</v>
      </c>
      <c r="DP14" t="s">
        <v>106</v>
      </c>
      <c r="DQ14" t="s">
        <v>106</v>
      </c>
      <c r="DR14" t="s">
        <v>106</v>
      </c>
      <c r="DS14" t="s">
        <v>106</v>
      </c>
      <c r="DT14" t="s">
        <v>106</v>
      </c>
      <c r="DU14" t="s">
        <v>106</v>
      </c>
      <c r="DV14" t="s">
        <v>106</v>
      </c>
      <c r="DW14" t="s">
        <v>106</v>
      </c>
      <c r="DX14" t="s">
        <v>106</v>
      </c>
      <c r="DY14" t="s">
        <v>106</v>
      </c>
      <c r="DZ14" t="s">
        <v>106</v>
      </c>
      <c r="EA14" t="s">
        <v>106</v>
      </c>
      <c r="EB14" t="s">
        <v>106</v>
      </c>
      <c r="EC14" t="s">
        <v>106</v>
      </c>
      <c r="ED14" t="s">
        <v>106</v>
      </c>
      <c r="EE14" t="s">
        <v>106</v>
      </c>
      <c r="EF14" t="s">
        <v>106</v>
      </c>
      <c r="EG14" t="s">
        <v>106</v>
      </c>
      <c r="EH14" t="s">
        <v>107</v>
      </c>
      <c r="EI14" t="s">
        <v>107</v>
      </c>
      <c r="EJ14" t="s">
        <v>107</v>
      </c>
      <c r="EK14" t="s">
        <v>107</v>
      </c>
      <c r="EL14" t="s">
        <v>107</v>
      </c>
      <c r="EM14" t="s">
        <v>107</v>
      </c>
      <c r="EN14" t="s">
        <v>107</v>
      </c>
      <c r="EO14" t="s">
        <v>107</v>
      </c>
      <c r="EP14" t="s">
        <v>107</v>
      </c>
      <c r="EQ14" t="s">
        <v>107</v>
      </c>
      <c r="ER14" t="s">
        <v>107</v>
      </c>
      <c r="ES14" t="s">
        <v>107</v>
      </c>
      <c r="ET14" t="s">
        <v>107</v>
      </c>
      <c r="EU14" t="s">
        <v>107</v>
      </c>
      <c r="EV14" t="s">
        <v>107</v>
      </c>
      <c r="EW14" t="s">
        <v>107</v>
      </c>
      <c r="EX14" t="s">
        <v>107</v>
      </c>
      <c r="EY14" t="s">
        <v>107</v>
      </c>
      <c r="EZ14" t="s">
        <v>107</v>
      </c>
      <c r="FA14" t="s">
        <v>108</v>
      </c>
      <c r="FB14" t="s">
        <v>108</v>
      </c>
      <c r="FC14" t="s">
        <v>108</v>
      </c>
      <c r="FD14" t="s">
        <v>108</v>
      </c>
      <c r="FE14" t="s">
        <v>108</v>
      </c>
      <c r="FF14" t="s">
        <v>108</v>
      </c>
      <c r="FG14" t="s">
        <v>108</v>
      </c>
      <c r="FH14" t="s">
        <v>108</v>
      </c>
      <c r="FI14" t="s">
        <v>108</v>
      </c>
      <c r="FJ14" t="s">
        <v>108</v>
      </c>
      <c r="FK14" t="s">
        <v>108</v>
      </c>
      <c r="FL14" t="s">
        <v>108</v>
      </c>
      <c r="FM14" t="s">
        <v>108</v>
      </c>
      <c r="FN14" t="s">
        <v>108</v>
      </c>
      <c r="FO14" t="s">
        <v>108</v>
      </c>
      <c r="FP14" t="s">
        <v>108</v>
      </c>
      <c r="FQ14" t="s">
        <v>108</v>
      </c>
      <c r="FR14" t="s">
        <v>108</v>
      </c>
      <c r="FS14" t="s">
        <v>109</v>
      </c>
      <c r="FT14" t="s">
        <v>109</v>
      </c>
      <c r="FU14" t="s">
        <v>109</v>
      </c>
      <c r="FV14" t="s">
        <v>109</v>
      </c>
      <c r="FW14" t="s">
        <v>109</v>
      </c>
      <c r="FX14" t="s">
        <v>109</v>
      </c>
      <c r="FY14" t="s">
        <v>109</v>
      </c>
      <c r="FZ14" t="s">
        <v>109</v>
      </c>
      <c r="GA14" t="s">
        <v>110</v>
      </c>
      <c r="GB14" t="s">
        <v>110</v>
      </c>
      <c r="GC14" t="s">
        <v>110</v>
      </c>
      <c r="GD14" t="s">
        <v>110</v>
      </c>
      <c r="GE14" t="s">
        <v>110</v>
      </c>
      <c r="GF14" t="s">
        <v>110</v>
      </c>
      <c r="GG14" t="s">
        <v>110</v>
      </c>
      <c r="GH14" t="s">
        <v>110</v>
      </c>
      <c r="GI14" t="s">
        <v>110</v>
      </c>
      <c r="GJ14" t="s">
        <v>110</v>
      </c>
      <c r="GK14" t="s">
        <v>110</v>
      </c>
      <c r="GL14" t="s">
        <v>110</v>
      </c>
      <c r="GM14" t="s">
        <v>110</v>
      </c>
      <c r="GN14" t="s">
        <v>110</v>
      </c>
      <c r="GO14" t="s">
        <v>110</v>
      </c>
      <c r="GP14" t="s">
        <v>110</v>
      </c>
    </row>
    <row r="15" spans="1:198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97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117</v>
      </c>
      <c r="AS15" t="s">
        <v>153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112</v>
      </c>
      <c r="BZ15" t="s">
        <v>115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227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</row>
    <row r="16" spans="1:198">
      <c r="B16" t="s">
        <v>305</v>
      </c>
      <c r="C16" t="s">
        <v>305</v>
      </c>
      <c r="F16" t="s">
        <v>305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309</v>
      </c>
      <c r="M16" t="s">
        <v>160</v>
      </c>
      <c r="N16" t="s">
        <v>160</v>
      </c>
      <c r="O16" t="s">
        <v>306</v>
      </c>
      <c r="P16" t="s">
        <v>306</v>
      </c>
      <c r="Q16" t="s">
        <v>306</v>
      </c>
      <c r="R16" t="s">
        <v>306</v>
      </c>
      <c r="S16" t="s">
        <v>310</v>
      </c>
      <c r="T16" t="s">
        <v>311</v>
      </c>
      <c r="U16" t="s">
        <v>311</v>
      </c>
      <c r="V16" t="s">
        <v>312</v>
      </c>
      <c r="W16" t="s">
        <v>313</v>
      </c>
      <c r="X16" t="s">
        <v>312</v>
      </c>
      <c r="Y16" t="s">
        <v>312</v>
      </c>
      <c r="Z16" t="s">
        <v>312</v>
      </c>
      <c r="AA16" t="s">
        <v>310</v>
      </c>
      <c r="AB16" t="s">
        <v>310</v>
      </c>
      <c r="AC16" t="s">
        <v>310</v>
      </c>
      <c r="AD16" t="s">
        <v>310</v>
      </c>
      <c r="AE16" t="s">
        <v>314</v>
      </c>
      <c r="AF16" t="s">
        <v>313</v>
      </c>
      <c r="AH16" t="s">
        <v>313</v>
      </c>
      <c r="AI16" t="s">
        <v>314</v>
      </c>
      <c r="AJ16" t="s">
        <v>308</v>
      </c>
      <c r="AK16" t="s">
        <v>308</v>
      </c>
      <c r="AM16" t="s">
        <v>315</v>
      </c>
      <c r="AN16" t="s">
        <v>316</v>
      </c>
      <c r="AQ16" t="s">
        <v>306</v>
      </c>
      <c r="AR16" t="s">
        <v>305</v>
      </c>
      <c r="AS16" t="s">
        <v>309</v>
      </c>
      <c r="AT16" t="s">
        <v>309</v>
      </c>
      <c r="AU16" t="s">
        <v>317</v>
      </c>
      <c r="AV16" t="s">
        <v>317</v>
      </c>
      <c r="AW16" t="s">
        <v>309</v>
      </c>
      <c r="AX16" t="s">
        <v>317</v>
      </c>
      <c r="AY16" t="s">
        <v>314</v>
      </c>
      <c r="AZ16" t="s">
        <v>312</v>
      </c>
      <c r="BA16" t="s">
        <v>312</v>
      </c>
      <c r="BB16" t="s">
        <v>311</v>
      </c>
      <c r="BC16" t="s">
        <v>311</v>
      </c>
      <c r="BD16" t="s">
        <v>311</v>
      </c>
      <c r="BE16" t="s">
        <v>311</v>
      </c>
      <c r="BF16" t="s">
        <v>311</v>
      </c>
      <c r="BG16" t="s">
        <v>318</v>
      </c>
      <c r="BH16" t="s">
        <v>308</v>
      </c>
      <c r="BI16" t="s">
        <v>308</v>
      </c>
      <c r="BJ16" t="s">
        <v>309</v>
      </c>
      <c r="BK16" t="s">
        <v>309</v>
      </c>
      <c r="BL16" t="s">
        <v>309</v>
      </c>
      <c r="BM16" t="s">
        <v>317</v>
      </c>
      <c r="BN16" t="s">
        <v>309</v>
      </c>
      <c r="BO16" t="s">
        <v>317</v>
      </c>
      <c r="BP16" t="s">
        <v>312</v>
      </c>
      <c r="BQ16" t="s">
        <v>312</v>
      </c>
      <c r="BR16" t="s">
        <v>311</v>
      </c>
      <c r="BS16" t="s">
        <v>311</v>
      </c>
      <c r="BT16" t="s">
        <v>308</v>
      </c>
      <c r="BW16" t="s">
        <v>311</v>
      </c>
      <c r="BY16" t="s">
        <v>319</v>
      </c>
      <c r="CA16" t="s">
        <v>305</v>
      </c>
      <c r="CB16" t="s">
        <v>305</v>
      </c>
      <c r="CD16" t="s">
        <v>320</v>
      </c>
      <c r="CE16" t="s">
        <v>321</v>
      </c>
      <c r="CF16" t="s">
        <v>320</v>
      </c>
      <c r="CG16" t="s">
        <v>321</v>
      </c>
      <c r="CH16" t="s">
        <v>320</v>
      </c>
      <c r="CI16" t="s">
        <v>321</v>
      </c>
      <c r="CJ16" t="s">
        <v>313</v>
      </c>
      <c r="CK16" t="s">
        <v>313</v>
      </c>
      <c r="CL16" t="s">
        <v>309</v>
      </c>
      <c r="CM16" t="s">
        <v>322</v>
      </c>
      <c r="CN16" t="s">
        <v>309</v>
      </c>
      <c r="CP16" t="s">
        <v>314</v>
      </c>
      <c r="CQ16" t="s">
        <v>323</v>
      </c>
      <c r="CR16" t="s">
        <v>314</v>
      </c>
      <c r="CW16" t="s">
        <v>324</v>
      </c>
      <c r="CX16" t="s">
        <v>324</v>
      </c>
      <c r="DK16" t="s">
        <v>324</v>
      </c>
      <c r="DL16" t="s">
        <v>324</v>
      </c>
      <c r="DM16" t="s">
        <v>325</v>
      </c>
      <c r="DN16" t="s">
        <v>325</v>
      </c>
      <c r="DO16" t="s">
        <v>311</v>
      </c>
      <c r="DP16" t="s">
        <v>311</v>
      </c>
      <c r="DQ16" t="s">
        <v>313</v>
      </c>
      <c r="DR16" t="s">
        <v>311</v>
      </c>
      <c r="DS16" t="s">
        <v>317</v>
      </c>
      <c r="DT16" t="s">
        <v>313</v>
      </c>
      <c r="DU16" t="s">
        <v>313</v>
      </c>
      <c r="DW16" t="s">
        <v>324</v>
      </c>
      <c r="DX16" t="s">
        <v>324</v>
      </c>
      <c r="DY16" t="s">
        <v>324</v>
      </c>
      <c r="DZ16" t="s">
        <v>324</v>
      </c>
      <c r="EA16" t="s">
        <v>324</v>
      </c>
      <c r="EB16" t="s">
        <v>324</v>
      </c>
      <c r="EC16" t="s">
        <v>324</v>
      </c>
      <c r="ED16" t="s">
        <v>326</v>
      </c>
      <c r="EE16" t="s">
        <v>326</v>
      </c>
      <c r="EF16" t="s">
        <v>326</v>
      </c>
      <c r="EG16" t="s">
        <v>327</v>
      </c>
      <c r="EH16" t="s">
        <v>324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Z16" t="s">
        <v>324</v>
      </c>
      <c r="FA16" t="s">
        <v>313</v>
      </c>
      <c r="FB16" t="s">
        <v>313</v>
      </c>
      <c r="FC16" t="s">
        <v>320</v>
      </c>
      <c r="FD16" t="s">
        <v>321</v>
      </c>
      <c r="FE16" t="s">
        <v>320</v>
      </c>
      <c r="FI16" t="s">
        <v>321</v>
      </c>
      <c r="FM16" t="s">
        <v>309</v>
      </c>
      <c r="FN16" t="s">
        <v>309</v>
      </c>
      <c r="FO16" t="s">
        <v>317</v>
      </c>
      <c r="FP16" t="s">
        <v>317</v>
      </c>
      <c r="FQ16" t="s">
        <v>328</v>
      </c>
      <c r="FR16" t="s">
        <v>328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311</v>
      </c>
      <c r="FZ16" t="s">
        <v>324</v>
      </c>
      <c r="GB16" t="s">
        <v>314</v>
      </c>
      <c r="GC16" t="s">
        <v>314</v>
      </c>
      <c r="GD16" t="s">
        <v>311</v>
      </c>
      <c r="GE16" t="s">
        <v>311</v>
      </c>
      <c r="GF16" t="s">
        <v>311</v>
      </c>
      <c r="GG16" t="s">
        <v>311</v>
      </c>
      <c r="GH16" t="s">
        <v>311</v>
      </c>
      <c r="GI16" t="s">
        <v>313</v>
      </c>
      <c r="GJ16" t="s">
        <v>313</v>
      </c>
      <c r="GK16" t="s">
        <v>313</v>
      </c>
      <c r="GL16" t="s">
        <v>311</v>
      </c>
      <c r="GM16" t="s">
        <v>309</v>
      </c>
      <c r="GN16" t="s">
        <v>317</v>
      </c>
      <c r="GO16" t="s">
        <v>313</v>
      </c>
      <c r="GP16" t="s">
        <v>313</v>
      </c>
    </row>
    <row r="17" spans="1:198">
      <c r="A17">
        <v>1</v>
      </c>
      <c r="B17">
        <v>1773268863.6</v>
      </c>
      <c r="C17">
        <v>0</v>
      </c>
      <c r="D17" t="s">
        <v>329</v>
      </c>
      <c r="E17" t="s">
        <v>330</v>
      </c>
      <c r="F17">
        <v>15</v>
      </c>
      <c r="G17">
        <v>1773268855.849999</v>
      </c>
      <c r="H17">
        <f>(I17)/1000</f>
        <v>0</v>
      </c>
      <c r="I17">
        <f>1000*AY17*AG17*(AU17-AV17)/(100*AN17*(1000-AG17*AU17))</f>
        <v>0</v>
      </c>
      <c r="J17">
        <f>AY17*AG17*(AT17-AS17*(1000-AG17*AV17)/(1000-AG17*AU17))/(100*AN17)</f>
        <v>0</v>
      </c>
      <c r="K17">
        <f>AS17 - IF(AG17&gt;1, J17*AN17*100.0/(AI17), 0)</f>
        <v>0</v>
      </c>
      <c r="L17">
        <f>((R17-H17/2)*K17-J17)/(R17+H17/2)</f>
        <v>0</v>
      </c>
      <c r="M17">
        <f>L17*(AZ17+BA17)/1000.0</f>
        <v>0</v>
      </c>
      <c r="N17">
        <f>(AS17 - IF(AG17&gt;1, J17*AN17*100.0/(AI17), 0))*(AZ17+BA17)/1000.0</f>
        <v>0</v>
      </c>
      <c r="O17">
        <f>2.0/((1/Q17-1/P17)+SIGN(Q17)*SQRT((1/Q17-1/P17)*(1/Q17-1/P17) + 4*AO17/((AO17+1)*(AO17+1))*(2*1/Q17*1/P17-1/P17*1/P17)))</f>
        <v>0</v>
      </c>
      <c r="P17">
        <f>IF(LEFT(AP17,1)&lt;&gt;"0",IF(LEFT(AP17,1)="1",3.0,AQ17),$D$5+$E$5*(BG17*AZ17/($K$5*1000))+$F$5*(BG17*AZ17/($K$5*1000))*MAX(MIN(AN17,$J$5),$I$5)*MAX(MIN(AN17,$J$5),$I$5)+$G$5*MAX(MIN(AN17,$J$5),$I$5)*(BG17*AZ17/($K$5*1000))+$H$5*(BG17*AZ17/($K$5*1000))*(BG17*AZ17/($K$5*1000)))</f>
        <v>0</v>
      </c>
      <c r="Q17">
        <f>H17*(1000-(1000*0.61365*exp(17.502*U17/(240.97+U17))/(AZ17+BA17)+AU17)/2)/(1000*0.61365*exp(17.502*U17/(240.97+U17))/(AZ17+BA17)-AU17)</f>
        <v>0</v>
      </c>
      <c r="R17">
        <f>1/((AO17+1)/(O17/1.6)+1/(P17/1.37)) + AO17/((AO17+1)/(O17/1.6) + AO17/(P17/1.37))</f>
        <v>0</v>
      </c>
      <c r="S17">
        <f>(AJ17*AM17)</f>
        <v>0</v>
      </c>
      <c r="T17">
        <f>(BB17+(S17+2*0.95*5.67E-8*(((BB17+$B$7)+273)^4-(BB17+273)^4)-44100*H17)/(1.84*29.3*P17+8*0.95*5.67E-8*(BB17+273)^3))</f>
        <v>0</v>
      </c>
      <c r="U17">
        <f>($C$7*BC17+$D$7*BD17+$E$7*T17)</f>
        <v>0</v>
      </c>
      <c r="V17">
        <f>0.61365*exp(17.502*U17/(240.97+U17))</f>
        <v>0</v>
      </c>
      <c r="W17">
        <f>(X17/Y17*100)</f>
        <v>0</v>
      </c>
      <c r="X17">
        <f>AU17*(AZ17+BA17)/1000</f>
        <v>0</v>
      </c>
      <c r="Y17">
        <f>0.61365*exp(17.502*BB17/(240.97+BB17))</f>
        <v>0</v>
      </c>
      <c r="Z17">
        <f>(V17-AU17*(AZ17+BA17)/1000)</f>
        <v>0</v>
      </c>
      <c r="AA17">
        <f>(-H17*44100)</f>
        <v>0</v>
      </c>
      <c r="AB17">
        <f>2*29.3*P17*0.92*(BB17-U17)</f>
        <v>0</v>
      </c>
      <c r="AC17">
        <f>2*0.95*5.67E-8*(((BB17+$B$7)+273)^4-(U17+273)^4)</f>
        <v>0</v>
      </c>
      <c r="AD17">
        <f>S17+AC17+AA17+AB17</f>
        <v>0</v>
      </c>
      <c r="AE17">
        <v>6</v>
      </c>
      <c r="AF17">
        <v>1</v>
      </c>
      <c r="AG17">
        <f>IF(AE17*$H$13&gt;=AI17,1.0,(AI17/(AI17-AE17*$H$13)))</f>
        <v>0</v>
      </c>
      <c r="AH17">
        <f>(AG17-1)*100</f>
        <v>0</v>
      </c>
      <c r="AI17">
        <f>MAX(0,($B$13+$C$13*BG17)/(1+$D$13*BG17)*AZ17/(BB17+273)*$E$13)</f>
        <v>0</v>
      </c>
      <c r="AJ17">
        <f>$B$11*BH17+$C$11*BI17+$D$11*BT17</f>
        <v>0</v>
      </c>
      <c r="AK17">
        <f>AJ17*AL17</f>
        <v>0</v>
      </c>
      <c r="AL17">
        <f>($B$11*$D$9+$C$11*$D$9+$D$11*(BU17*$E$9+BV17*$G$9))/($B$11+$C$11+$D$11)</f>
        <v>0</v>
      </c>
      <c r="AM17">
        <f>($B$11*$K$9+$C$11*$K$9+$D$11*(BU17*$L$9+BV17*$N$9))/($B$11+$C$11+$D$11)</f>
        <v>0</v>
      </c>
      <c r="AN17">
        <v>3</v>
      </c>
      <c r="AO17">
        <v>0.5</v>
      </c>
      <c r="AP17" t="s">
        <v>331</v>
      </c>
      <c r="AQ17">
        <v>2</v>
      </c>
      <c r="AR17">
        <v>1773268855.849999</v>
      </c>
      <c r="AS17">
        <v>493.8715666666666</v>
      </c>
      <c r="AT17">
        <v>495.2754666666667</v>
      </c>
      <c r="AU17">
        <v>10.41603333333333</v>
      </c>
      <c r="AV17">
        <v>6.257780666666666</v>
      </c>
      <c r="AW17">
        <v>487.3760333333333</v>
      </c>
      <c r="AX17">
        <v>10.35722</v>
      </c>
      <c r="AY17">
        <v>499.9994333333333</v>
      </c>
      <c r="AZ17">
        <v>100.1933</v>
      </c>
      <c r="BA17">
        <v>0.03080769666666667</v>
      </c>
      <c r="BB17">
        <v>24.83268333333333</v>
      </c>
      <c r="BC17">
        <v>23.35626</v>
      </c>
      <c r="BD17">
        <v>999.9000000000002</v>
      </c>
      <c r="BE17">
        <v>0</v>
      </c>
      <c r="BF17">
        <v>0</v>
      </c>
      <c r="BG17">
        <v>5003.033333333334</v>
      </c>
      <c r="BH17">
        <v>0.4014707666666668</v>
      </c>
      <c r="BI17">
        <v>0.9203381333333334</v>
      </c>
      <c r="BJ17">
        <v>-1.403895</v>
      </c>
      <c r="BK17">
        <v>499.0698666666666</v>
      </c>
      <c r="BL17">
        <v>498.3942666666667</v>
      </c>
      <c r="BM17">
        <v>4.158260666666667</v>
      </c>
      <c r="BN17">
        <v>495.2754666666667</v>
      </c>
      <c r="BO17">
        <v>6.257780666666666</v>
      </c>
      <c r="BP17">
        <v>1.043618</v>
      </c>
      <c r="BQ17">
        <v>0.6269876333333334</v>
      </c>
      <c r="BR17">
        <v>7.539555333333333</v>
      </c>
      <c r="BS17">
        <v>0.2961482666666667</v>
      </c>
      <c r="BT17">
        <v>0</v>
      </c>
      <c r="BU17">
        <v>0</v>
      </c>
      <c r="BV17">
        <v>0</v>
      </c>
      <c r="BW17">
        <v>24</v>
      </c>
      <c r="BX17">
        <v>-0.7844444999999999</v>
      </c>
      <c r="BY17">
        <v>1773268786.6</v>
      </c>
      <c r="BZ17" t="s">
        <v>332</v>
      </c>
      <c r="CA17">
        <v>1773268786.6</v>
      </c>
      <c r="CB17">
        <v>1773268774.1</v>
      </c>
      <c r="CC17">
        <v>2</v>
      </c>
      <c r="CD17">
        <v>0.264</v>
      </c>
      <c r="CE17">
        <v>-0.024</v>
      </c>
      <c r="CF17">
        <v>6.495</v>
      </c>
      <c r="CG17">
        <v>0.059</v>
      </c>
      <c r="CH17">
        <v>488</v>
      </c>
      <c r="CI17">
        <v>25</v>
      </c>
      <c r="CJ17">
        <v>0.48</v>
      </c>
      <c r="CK17">
        <v>0.14</v>
      </c>
      <c r="CL17">
        <v>495.2753</v>
      </c>
      <c r="CM17">
        <v>-0.311252502779404</v>
      </c>
      <c r="CN17">
        <v>0.03134873734830831</v>
      </c>
      <c r="CO17">
        <v>-1</v>
      </c>
      <c r="CP17">
        <v>499.9971333333333</v>
      </c>
      <c r="CQ17">
        <v>-0.4086674082313269</v>
      </c>
      <c r="CR17">
        <v>0.04807960990783369</v>
      </c>
      <c r="CS17">
        <v>-1</v>
      </c>
      <c r="CT17">
        <v>0</v>
      </c>
      <c r="CU17">
        <v>0</v>
      </c>
      <c r="CV17" t="s">
        <v>333</v>
      </c>
      <c r="CW17">
        <v>3.1688</v>
      </c>
      <c r="CX17">
        <v>2.65219</v>
      </c>
      <c r="CY17">
        <v>0.114848</v>
      </c>
      <c r="CZ17">
        <v>0.116178</v>
      </c>
      <c r="DA17">
        <v>0.0613134</v>
      </c>
      <c r="DB17">
        <v>0.0407648</v>
      </c>
      <c r="DC17">
        <v>21460.5</v>
      </c>
      <c r="DD17">
        <v>21836.6</v>
      </c>
      <c r="DE17">
        <v>23326</v>
      </c>
      <c r="DF17">
        <v>22586.4</v>
      </c>
      <c r="DG17">
        <v>33062.7</v>
      </c>
      <c r="DH17">
        <v>30585</v>
      </c>
      <c r="DI17">
        <v>40965.1</v>
      </c>
      <c r="DJ17">
        <v>37406.5</v>
      </c>
      <c r="DK17">
        <v>2.13532</v>
      </c>
      <c r="DL17">
        <v>1.80176</v>
      </c>
      <c r="DM17">
        <v>-0.0756323</v>
      </c>
      <c r="DN17">
        <v>0</v>
      </c>
      <c r="DO17">
        <v>24.5736</v>
      </c>
      <c r="DP17">
        <v>999.9</v>
      </c>
      <c r="DQ17">
        <v>69.2</v>
      </c>
      <c r="DR17">
        <v>25.5</v>
      </c>
      <c r="DS17">
        <v>22.6241</v>
      </c>
      <c r="DT17">
        <v>30.27</v>
      </c>
      <c r="DU17">
        <v>11.1178</v>
      </c>
      <c r="DV17">
        <v>1</v>
      </c>
      <c r="DW17">
        <v>-0.0651159</v>
      </c>
      <c r="DX17">
        <v>-0.172758</v>
      </c>
      <c r="DY17">
        <v>20.3672</v>
      </c>
      <c r="DZ17">
        <v>5.21406</v>
      </c>
      <c r="EA17">
        <v>11.8483</v>
      </c>
      <c r="EB17">
        <v>4.96952</v>
      </c>
      <c r="EC17">
        <v>3.292</v>
      </c>
      <c r="ED17">
        <v>879.4</v>
      </c>
      <c r="EE17">
        <v>9999</v>
      </c>
      <c r="EF17">
        <v>9999</v>
      </c>
      <c r="EG17">
        <v>80.09999999999999</v>
      </c>
      <c r="EH17">
        <v>4.97165</v>
      </c>
      <c r="EI17">
        <v>1.87164</v>
      </c>
      <c r="EJ17">
        <v>1.86872</v>
      </c>
      <c r="EK17">
        <v>1.87119</v>
      </c>
      <c r="EL17">
        <v>1.86889</v>
      </c>
      <c r="EM17">
        <v>1.86783</v>
      </c>
      <c r="EN17">
        <v>1.86967</v>
      </c>
      <c r="EO17">
        <v>1.87158</v>
      </c>
      <c r="EP17">
        <v>0</v>
      </c>
      <c r="EQ17">
        <v>0</v>
      </c>
      <c r="ER17">
        <v>0</v>
      </c>
      <c r="ES17">
        <v>0</v>
      </c>
      <c r="ET17" t="s">
        <v>334</v>
      </c>
      <c r="EU17" t="s">
        <v>335</v>
      </c>
      <c r="EV17" t="s">
        <v>336</v>
      </c>
      <c r="EW17" t="s">
        <v>336</v>
      </c>
      <c r="EX17" t="s">
        <v>336</v>
      </c>
      <c r="EY17" t="s">
        <v>336</v>
      </c>
      <c r="EZ17">
        <v>0</v>
      </c>
      <c r="FA17">
        <v>100</v>
      </c>
      <c r="FB17">
        <v>100</v>
      </c>
      <c r="FC17">
        <v>6.495</v>
      </c>
      <c r="FD17">
        <v>0.0588</v>
      </c>
      <c r="FE17">
        <v>6.495476190476325</v>
      </c>
      <c r="FF17">
        <v>0</v>
      </c>
      <c r="FG17">
        <v>0</v>
      </c>
      <c r="FH17">
        <v>0</v>
      </c>
      <c r="FI17">
        <v>0.05881499999999917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1.3</v>
      </c>
      <c r="FR17">
        <v>1.5</v>
      </c>
      <c r="FS17">
        <v>0.146484</v>
      </c>
      <c r="FT17">
        <v>4.99756</v>
      </c>
      <c r="FU17">
        <v>1.5979</v>
      </c>
      <c r="FV17">
        <v>2.18628</v>
      </c>
      <c r="FW17">
        <v>1.54785</v>
      </c>
      <c r="FX17">
        <v>2.38403</v>
      </c>
      <c r="FY17">
        <v>28.9013</v>
      </c>
      <c r="FZ17">
        <v>16.2685</v>
      </c>
      <c r="GA17">
        <v>3</v>
      </c>
      <c r="GB17">
        <v>495.673</v>
      </c>
      <c r="GC17">
        <v>381.844</v>
      </c>
      <c r="GD17">
        <v>25.469</v>
      </c>
      <c r="GE17">
        <v>26.3509</v>
      </c>
      <c r="GF17">
        <v>30.0014</v>
      </c>
      <c r="GG17">
        <v>26.0374</v>
      </c>
      <c r="GH17">
        <v>25.9889</v>
      </c>
      <c r="GI17">
        <v>-1</v>
      </c>
      <c r="GJ17">
        <v>100</v>
      </c>
      <c r="GK17">
        <v>0</v>
      </c>
      <c r="GL17">
        <v>25.4987</v>
      </c>
      <c r="GM17">
        <v>1200</v>
      </c>
      <c r="GN17">
        <v>26.7455</v>
      </c>
      <c r="GO17">
        <v>103.142</v>
      </c>
      <c r="GP17">
        <v>97.6319</v>
      </c>
    </row>
    <row r="18" spans="1:198">
      <c r="A18">
        <v>2</v>
      </c>
      <c r="B18">
        <v>1773268923.6</v>
      </c>
      <c r="C18">
        <v>60</v>
      </c>
      <c r="D18" t="s">
        <v>337</v>
      </c>
      <c r="E18" t="s">
        <v>338</v>
      </c>
      <c r="F18">
        <v>15</v>
      </c>
      <c r="G18">
        <v>1773268915.599999</v>
      </c>
      <c r="H18">
        <f>(I18)/1000</f>
        <v>0</v>
      </c>
      <c r="I18">
        <f>1000*AY18*AG18*(AU18-AV18)/(100*AN18*(1000-AG18*AU18))</f>
        <v>0</v>
      </c>
      <c r="J18">
        <f>AY18*AG18*(AT18-AS18*(1000-AG18*AV18)/(1000-AG18*AU18))/(100*AN18)</f>
        <v>0</v>
      </c>
      <c r="K18">
        <f>AS18 - IF(AG18&gt;1, J18*AN18*100.0/(AI18), 0)</f>
        <v>0</v>
      </c>
      <c r="L18">
        <f>((R18-H18/2)*K18-J18)/(R18+H18/2)</f>
        <v>0</v>
      </c>
      <c r="M18">
        <f>L18*(AZ18+BA18)/1000.0</f>
        <v>0</v>
      </c>
      <c r="N18">
        <f>(AS18 - IF(AG18&gt;1, J18*AN18*100.0/(AI18), 0))*(AZ18+BA18)/1000.0</f>
        <v>0</v>
      </c>
      <c r="O18">
        <f>2.0/((1/Q18-1/P18)+SIGN(Q18)*SQRT((1/Q18-1/P18)*(1/Q18-1/P18) + 4*AO18/((AO18+1)*(AO18+1))*(2*1/Q18*1/P18-1/P18*1/P18)))</f>
        <v>0</v>
      </c>
      <c r="P18">
        <f>IF(LEFT(AP18,1)&lt;&gt;"0",IF(LEFT(AP18,1)="1",3.0,AQ18),$D$5+$E$5*(BG18*AZ18/($K$5*1000))+$F$5*(BG18*AZ18/($K$5*1000))*MAX(MIN(AN18,$J$5),$I$5)*MAX(MIN(AN18,$J$5),$I$5)+$G$5*MAX(MIN(AN18,$J$5),$I$5)*(BG18*AZ18/($K$5*1000))+$H$5*(BG18*AZ18/($K$5*1000))*(BG18*AZ18/($K$5*1000)))</f>
        <v>0</v>
      </c>
      <c r="Q18">
        <f>H18*(1000-(1000*0.61365*exp(17.502*U18/(240.97+U18))/(AZ18+BA18)+AU18)/2)/(1000*0.61365*exp(17.502*U18/(240.97+U18))/(AZ18+BA18)-AU18)</f>
        <v>0</v>
      </c>
      <c r="R18">
        <f>1/((AO18+1)/(O18/1.6)+1/(P18/1.37)) + AO18/((AO18+1)/(O18/1.6) + AO18/(P18/1.37))</f>
        <v>0</v>
      </c>
      <c r="S18">
        <f>(AJ18*AM18)</f>
        <v>0</v>
      </c>
      <c r="T18">
        <f>(BB18+(S18+2*0.95*5.67E-8*(((BB18+$B$7)+273)^4-(BB18+273)^4)-44100*H18)/(1.84*29.3*P18+8*0.95*5.67E-8*(BB18+273)^3))</f>
        <v>0</v>
      </c>
      <c r="U18">
        <f>($C$7*BC18+$D$7*BD18+$E$7*T18)</f>
        <v>0</v>
      </c>
      <c r="V18">
        <f>0.61365*exp(17.502*U18/(240.97+U18))</f>
        <v>0</v>
      </c>
      <c r="W18">
        <f>(X18/Y18*100)</f>
        <v>0</v>
      </c>
      <c r="X18">
        <f>AU18*(AZ18+BA18)/1000</f>
        <v>0</v>
      </c>
      <c r="Y18">
        <f>0.61365*exp(17.502*BB18/(240.97+BB18))</f>
        <v>0</v>
      </c>
      <c r="Z18">
        <f>(V18-AU18*(AZ18+BA18)/1000)</f>
        <v>0</v>
      </c>
      <c r="AA18">
        <f>(-H18*44100)</f>
        <v>0</v>
      </c>
      <c r="AB18">
        <f>2*29.3*P18*0.92*(BB18-U18)</f>
        <v>0</v>
      </c>
      <c r="AC18">
        <f>2*0.95*5.67E-8*(((BB18+$B$7)+273)^4-(U18+273)^4)</f>
        <v>0</v>
      </c>
      <c r="AD18">
        <f>S18+AC18+AA18+AB18</f>
        <v>0</v>
      </c>
      <c r="AE18">
        <v>7</v>
      </c>
      <c r="AF18">
        <v>1</v>
      </c>
      <c r="AG18">
        <f>IF(AE18*$H$13&gt;=AI18,1.0,(AI18/(AI18-AE18*$H$13)))</f>
        <v>0</v>
      </c>
      <c r="AH18">
        <f>(AG18-1)*100</f>
        <v>0</v>
      </c>
      <c r="AI18">
        <f>MAX(0,($B$13+$C$13*BG18)/(1+$D$13*BG18)*AZ18/(BB18+273)*$E$13)</f>
        <v>0</v>
      </c>
      <c r="AJ18">
        <f>$B$11*BH18+$C$11*BI18+$D$11*BT18</f>
        <v>0</v>
      </c>
      <c r="AK18">
        <f>AJ18*AL18</f>
        <v>0</v>
      </c>
      <c r="AL18">
        <f>($B$11*$D$9+$C$11*$D$9+$D$11*(BU18*$E$9+BV18*$G$9))/($B$11+$C$11+$D$11)</f>
        <v>0</v>
      </c>
      <c r="AM18">
        <f>($B$11*$K$9+$C$11*$K$9+$D$11*(BU18*$L$9+BV18*$N$9))/($B$11+$C$11+$D$11)</f>
        <v>0</v>
      </c>
      <c r="AN18">
        <v>3</v>
      </c>
      <c r="AO18">
        <v>0.5</v>
      </c>
      <c r="AP18" t="s">
        <v>331</v>
      </c>
      <c r="AQ18">
        <v>2</v>
      </c>
      <c r="AR18">
        <v>1773268915.599999</v>
      </c>
      <c r="AS18">
        <v>496.6779999999999</v>
      </c>
      <c r="AT18">
        <v>496.8525483870967</v>
      </c>
      <c r="AU18">
        <v>9.902602258064517</v>
      </c>
      <c r="AV18">
        <v>5.992042580645161</v>
      </c>
      <c r="AW18">
        <v>490.1825161290323</v>
      </c>
      <c r="AX18">
        <v>9.843786774193545</v>
      </c>
      <c r="AY18">
        <v>500.0001935483871</v>
      </c>
      <c r="AZ18">
        <v>100.1950967741935</v>
      </c>
      <c r="BA18">
        <v>0.03121094193548387</v>
      </c>
      <c r="BB18">
        <v>24.94259677419355</v>
      </c>
      <c r="BC18">
        <v>23.38597419354839</v>
      </c>
      <c r="BD18">
        <v>999.9000000000003</v>
      </c>
      <c r="BE18">
        <v>0</v>
      </c>
      <c r="BF18">
        <v>0</v>
      </c>
      <c r="BG18">
        <v>4999.677419354839</v>
      </c>
      <c r="BH18">
        <v>0.4366633548387097</v>
      </c>
      <c r="BI18">
        <v>1.172003548387097</v>
      </c>
      <c r="BJ18">
        <v>-0.1745871483870968</v>
      </c>
      <c r="BK18">
        <v>501.6455806451613</v>
      </c>
      <c r="BL18">
        <v>499.8477419354839</v>
      </c>
      <c r="BM18">
        <v>3.910559999999999</v>
      </c>
      <c r="BN18">
        <v>496.8525483870967</v>
      </c>
      <c r="BO18">
        <v>5.992042580645161</v>
      </c>
      <c r="BP18">
        <v>0.992192677419355</v>
      </c>
      <c r="BQ18">
        <v>0.6003737096774194</v>
      </c>
      <c r="BR18">
        <v>6.802206774193548</v>
      </c>
      <c r="BS18">
        <v>-0.3007814193548388</v>
      </c>
      <c r="BT18">
        <v>0</v>
      </c>
      <c r="BU18">
        <v>0</v>
      </c>
      <c r="BV18">
        <v>0</v>
      </c>
      <c r="BW18">
        <v>24</v>
      </c>
      <c r="BX18">
        <v>-0.7924731612903225</v>
      </c>
      <c r="BY18">
        <v>1773268786.6</v>
      </c>
      <c r="BZ18" t="s">
        <v>332</v>
      </c>
      <c r="CA18">
        <v>1773268786.6</v>
      </c>
      <c r="CB18">
        <v>1773268774.1</v>
      </c>
      <c r="CC18">
        <v>2</v>
      </c>
      <c r="CD18">
        <v>0.264</v>
      </c>
      <c r="CE18">
        <v>-0.024</v>
      </c>
      <c r="CF18">
        <v>6.495</v>
      </c>
      <c r="CG18">
        <v>0.059</v>
      </c>
      <c r="CH18">
        <v>488</v>
      </c>
      <c r="CI18">
        <v>25</v>
      </c>
      <c r="CJ18">
        <v>0.48</v>
      </c>
      <c r="CK18">
        <v>0.14</v>
      </c>
      <c r="CL18">
        <v>496.8897999999999</v>
      </c>
      <c r="CM18">
        <v>-3.189730812012817</v>
      </c>
      <c r="CN18">
        <v>0.3404965393852569</v>
      </c>
      <c r="CO18">
        <v>-1</v>
      </c>
      <c r="CP18">
        <v>500.0008</v>
      </c>
      <c r="CQ18">
        <v>0.05323248053392008</v>
      </c>
      <c r="CR18">
        <v>0.03895501679287871</v>
      </c>
      <c r="CS18">
        <v>-1</v>
      </c>
      <c r="CT18">
        <v>0</v>
      </c>
      <c r="CU18">
        <v>0</v>
      </c>
      <c r="CV18" t="s">
        <v>333</v>
      </c>
      <c r="CW18">
        <v>3.16878</v>
      </c>
      <c r="CX18">
        <v>2.6527</v>
      </c>
      <c r="CY18">
        <v>0.115133</v>
      </c>
      <c r="CZ18">
        <v>0.116182</v>
      </c>
      <c r="DA18">
        <v>0.0593182</v>
      </c>
      <c r="DB18">
        <v>0.0395778</v>
      </c>
      <c r="DC18">
        <v>21441.2</v>
      </c>
      <c r="DD18">
        <v>21834</v>
      </c>
      <c r="DE18">
        <v>23313.4</v>
      </c>
      <c r="DF18">
        <v>22584.4</v>
      </c>
      <c r="DG18">
        <v>33116.7</v>
      </c>
      <c r="DH18">
        <v>30617.3</v>
      </c>
      <c r="DI18">
        <v>40945.1</v>
      </c>
      <c r="DJ18">
        <v>37400.3</v>
      </c>
      <c r="DK18">
        <v>2.13268</v>
      </c>
      <c r="DL18">
        <v>1.79672</v>
      </c>
      <c r="DM18">
        <v>-0.0666201</v>
      </c>
      <c r="DN18">
        <v>0</v>
      </c>
      <c r="DO18">
        <v>24.5093</v>
      </c>
      <c r="DP18">
        <v>999.9</v>
      </c>
      <c r="DQ18">
        <v>70.09999999999999</v>
      </c>
      <c r="DR18">
        <v>25.5</v>
      </c>
      <c r="DS18">
        <v>22.917</v>
      </c>
      <c r="DT18">
        <v>30.63</v>
      </c>
      <c r="DU18">
        <v>10.8293</v>
      </c>
      <c r="DV18">
        <v>1</v>
      </c>
      <c r="DW18">
        <v>-0.0476057</v>
      </c>
      <c r="DX18">
        <v>-0.665638</v>
      </c>
      <c r="DY18">
        <v>20.3652</v>
      </c>
      <c r="DZ18">
        <v>5.21406</v>
      </c>
      <c r="EA18">
        <v>11.8482</v>
      </c>
      <c r="EB18">
        <v>4.96952</v>
      </c>
      <c r="EC18">
        <v>3.292</v>
      </c>
      <c r="ED18">
        <v>879.4</v>
      </c>
      <c r="EE18">
        <v>9999</v>
      </c>
      <c r="EF18">
        <v>9999</v>
      </c>
      <c r="EG18">
        <v>80.09999999999999</v>
      </c>
      <c r="EH18">
        <v>4.97164</v>
      </c>
      <c r="EI18">
        <v>1.87164</v>
      </c>
      <c r="EJ18">
        <v>1.86874</v>
      </c>
      <c r="EK18">
        <v>1.87119</v>
      </c>
      <c r="EL18">
        <v>1.8689</v>
      </c>
      <c r="EM18">
        <v>1.86784</v>
      </c>
      <c r="EN18">
        <v>1.86966</v>
      </c>
      <c r="EO18">
        <v>1.87163</v>
      </c>
      <c r="EP18">
        <v>0</v>
      </c>
      <c r="EQ18">
        <v>0</v>
      </c>
      <c r="ER18">
        <v>0</v>
      </c>
      <c r="ES18">
        <v>0</v>
      </c>
      <c r="ET18" t="s">
        <v>334</v>
      </c>
      <c r="EU18" t="s">
        <v>335</v>
      </c>
      <c r="EV18" t="s">
        <v>336</v>
      </c>
      <c r="EW18" t="s">
        <v>336</v>
      </c>
      <c r="EX18" t="s">
        <v>336</v>
      </c>
      <c r="EY18" t="s">
        <v>336</v>
      </c>
      <c r="EZ18">
        <v>0</v>
      </c>
      <c r="FA18">
        <v>100</v>
      </c>
      <c r="FB18">
        <v>100</v>
      </c>
      <c r="FC18">
        <v>6.496</v>
      </c>
      <c r="FD18">
        <v>0.0588</v>
      </c>
      <c r="FE18">
        <v>6.495476190476325</v>
      </c>
      <c r="FF18">
        <v>0</v>
      </c>
      <c r="FG18">
        <v>0</v>
      </c>
      <c r="FH18">
        <v>0</v>
      </c>
      <c r="FI18">
        <v>0.05881499999999917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2.3</v>
      </c>
      <c r="FR18">
        <v>2.5</v>
      </c>
      <c r="FS18">
        <v>0.145264</v>
      </c>
      <c r="FT18">
        <v>4.99756</v>
      </c>
      <c r="FU18">
        <v>1.5979</v>
      </c>
      <c r="FV18">
        <v>2.18506</v>
      </c>
      <c r="FW18">
        <v>1.54785</v>
      </c>
      <c r="FX18">
        <v>2.32666</v>
      </c>
      <c r="FY18">
        <v>29.1978</v>
      </c>
      <c r="FZ18">
        <v>16.251</v>
      </c>
      <c r="GA18">
        <v>3</v>
      </c>
      <c r="GB18">
        <v>495.547</v>
      </c>
      <c r="GC18">
        <v>380.159</v>
      </c>
      <c r="GD18">
        <v>26.5153</v>
      </c>
      <c r="GE18">
        <v>26.5399</v>
      </c>
      <c r="GF18">
        <v>30.0013</v>
      </c>
      <c r="GG18">
        <v>26.2043</v>
      </c>
      <c r="GH18">
        <v>26.1422</v>
      </c>
      <c r="GI18">
        <v>-1</v>
      </c>
      <c r="GJ18">
        <v>100</v>
      </c>
      <c r="GK18">
        <v>0</v>
      </c>
      <c r="GL18">
        <v>26.5182</v>
      </c>
      <c r="GM18">
        <v>1200</v>
      </c>
      <c r="GN18">
        <v>26.7455</v>
      </c>
      <c r="GO18">
        <v>103.09</v>
      </c>
      <c r="GP18">
        <v>97.6186</v>
      </c>
    </row>
    <row r="19" spans="1:198">
      <c r="A19">
        <v>3</v>
      </c>
      <c r="B19">
        <v>1773268983.6</v>
      </c>
      <c r="C19">
        <v>120</v>
      </c>
      <c r="D19" t="s">
        <v>339</v>
      </c>
      <c r="E19" t="s">
        <v>340</v>
      </c>
      <c r="F19">
        <v>15</v>
      </c>
      <c r="G19">
        <v>1773268975.599999</v>
      </c>
      <c r="H19">
        <f>(I19)/1000</f>
        <v>0</v>
      </c>
      <c r="I19">
        <f>1000*AY19*AG19*(AU19-AV19)/(100*AN19*(1000-AG19*AU19))</f>
        <v>0</v>
      </c>
      <c r="J19">
        <f>AY19*AG19*(AT19-AS19*(1000-AG19*AV19)/(1000-AG19*AU19))/(100*AN19)</f>
        <v>0</v>
      </c>
      <c r="K19">
        <f>AS19 - IF(AG19&gt;1, J19*AN19*100.0/(AI19), 0)</f>
        <v>0</v>
      </c>
      <c r="L19">
        <f>((R19-H19/2)*K19-J19)/(R19+H19/2)</f>
        <v>0</v>
      </c>
      <c r="M19">
        <f>L19*(AZ19+BA19)/1000.0</f>
        <v>0</v>
      </c>
      <c r="N19">
        <f>(AS19 - IF(AG19&gt;1, J19*AN19*100.0/(AI19), 0))*(AZ19+BA19)/1000.0</f>
        <v>0</v>
      </c>
      <c r="O19">
        <f>2.0/((1/Q19-1/P19)+SIGN(Q19)*SQRT((1/Q19-1/P19)*(1/Q19-1/P19) + 4*AO19/((AO19+1)*(AO19+1))*(2*1/Q19*1/P19-1/P19*1/P19)))</f>
        <v>0</v>
      </c>
      <c r="P19">
        <f>IF(LEFT(AP19,1)&lt;&gt;"0",IF(LEFT(AP19,1)="1",3.0,AQ19),$D$5+$E$5*(BG19*AZ19/($K$5*1000))+$F$5*(BG19*AZ19/($K$5*1000))*MAX(MIN(AN19,$J$5),$I$5)*MAX(MIN(AN19,$J$5),$I$5)+$G$5*MAX(MIN(AN19,$J$5),$I$5)*(BG19*AZ19/($K$5*1000))+$H$5*(BG19*AZ19/($K$5*1000))*(BG19*AZ19/($K$5*1000)))</f>
        <v>0</v>
      </c>
      <c r="Q19">
        <f>H19*(1000-(1000*0.61365*exp(17.502*U19/(240.97+U19))/(AZ19+BA19)+AU19)/2)/(1000*0.61365*exp(17.502*U19/(240.97+U19))/(AZ19+BA19)-AU19)</f>
        <v>0</v>
      </c>
      <c r="R19">
        <f>1/((AO19+1)/(O19/1.6)+1/(P19/1.37)) + AO19/((AO19+1)/(O19/1.6) + AO19/(P19/1.37))</f>
        <v>0</v>
      </c>
      <c r="S19">
        <f>(AJ19*AM19)</f>
        <v>0</v>
      </c>
      <c r="T19">
        <f>(BB19+(S19+2*0.95*5.67E-8*(((BB19+$B$7)+273)^4-(BB19+273)^4)-44100*H19)/(1.84*29.3*P19+8*0.95*5.67E-8*(BB19+273)^3))</f>
        <v>0</v>
      </c>
      <c r="U19">
        <f>($C$7*BC19+$D$7*BD19+$E$7*T19)</f>
        <v>0</v>
      </c>
      <c r="V19">
        <f>0.61365*exp(17.502*U19/(240.97+U19))</f>
        <v>0</v>
      </c>
      <c r="W19">
        <f>(X19/Y19*100)</f>
        <v>0</v>
      </c>
      <c r="X19">
        <f>AU19*(AZ19+BA19)/1000</f>
        <v>0</v>
      </c>
      <c r="Y19">
        <f>0.61365*exp(17.502*BB19/(240.97+BB19))</f>
        <v>0</v>
      </c>
      <c r="Z19">
        <f>(V19-AU19*(AZ19+BA19)/1000)</f>
        <v>0</v>
      </c>
      <c r="AA19">
        <f>(-H19*44100)</f>
        <v>0</v>
      </c>
      <c r="AB19">
        <f>2*29.3*P19*0.92*(BB19-U19)</f>
        <v>0</v>
      </c>
      <c r="AC19">
        <f>2*0.95*5.67E-8*(((BB19+$B$7)+273)^4-(U19+273)^4)</f>
        <v>0</v>
      </c>
      <c r="AD19">
        <f>S19+AC19+AA19+AB19</f>
        <v>0</v>
      </c>
      <c r="AE19">
        <v>6</v>
      </c>
      <c r="AF19">
        <v>1</v>
      </c>
      <c r="AG19">
        <f>IF(AE19*$H$13&gt;=AI19,1.0,(AI19/(AI19-AE19*$H$13)))</f>
        <v>0</v>
      </c>
      <c r="AH19">
        <f>(AG19-1)*100</f>
        <v>0</v>
      </c>
      <c r="AI19">
        <f>MAX(0,($B$13+$C$13*BG19)/(1+$D$13*BG19)*AZ19/(BB19+273)*$E$13)</f>
        <v>0</v>
      </c>
      <c r="AJ19">
        <f>$B$11*BH19+$C$11*BI19+$D$11*BT19</f>
        <v>0</v>
      </c>
      <c r="AK19">
        <f>AJ19*AL19</f>
        <v>0</v>
      </c>
      <c r="AL19">
        <f>($B$11*$D$9+$C$11*$D$9+$D$11*(BU19*$E$9+BV19*$G$9))/($B$11+$C$11+$D$11)</f>
        <v>0</v>
      </c>
      <c r="AM19">
        <f>($B$11*$K$9+$C$11*$K$9+$D$11*(BU19*$L$9+BV19*$N$9))/($B$11+$C$11+$D$11)</f>
        <v>0</v>
      </c>
      <c r="AN19">
        <v>3</v>
      </c>
      <c r="AO19">
        <v>0.5</v>
      </c>
      <c r="AP19" t="s">
        <v>331</v>
      </c>
      <c r="AQ19">
        <v>2</v>
      </c>
      <c r="AR19">
        <v>1773268975.599999</v>
      </c>
      <c r="AS19">
        <v>492.8682580645162</v>
      </c>
      <c r="AT19">
        <v>494.0123870967742</v>
      </c>
      <c r="AU19">
        <v>9.645494838709677</v>
      </c>
      <c r="AV19">
        <v>5.939047419354839</v>
      </c>
      <c r="AW19">
        <v>486.3727419354838</v>
      </c>
      <c r="AX19">
        <v>9.58667935483871</v>
      </c>
      <c r="AY19">
        <v>500.0082258064517</v>
      </c>
      <c r="AZ19">
        <v>100.2017096774194</v>
      </c>
      <c r="BA19">
        <v>0.03182352258064516</v>
      </c>
      <c r="BB19">
        <v>24.94536774193548</v>
      </c>
      <c r="BC19">
        <v>23.43324516129032</v>
      </c>
      <c r="BD19">
        <v>999.9000000000003</v>
      </c>
      <c r="BE19">
        <v>0</v>
      </c>
      <c r="BF19">
        <v>0</v>
      </c>
      <c r="BG19">
        <v>5005.032258064516</v>
      </c>
      <c r="BH19">
        <v>0.4441533870967743</v>
      </c>
      <c r="BI19">
        <v>1.493983870967742</v>
      </c>
      <c r="BJ19">
        <v>-1.144148032258065</v>
      </c>
      <c r="BK19">
        <v>497.6685483870968</v>
      </c>
      <c r="BL19">
        <v>496.9639032258063</v>
      </c>
      <c r="BM19">
        <v>3.706448387096775</v>
      </c>
      <c r="BN19">
        <v>494.0123870967742</v>
      </c>
      <c r="BO19">
        <v>5.939047419354839</v>
      </c>
      <c r="BP19">
        <v>0.9664960000000001</v>
      </c>
      <c r="BQ19">
        <v>0.5951031612903227</v>
      </c>
      <c r="BR19">
        <v>6.420838387096776</v>
      </c>
      <c r="BS19">
        <v>-0.4218020322580645</v>
      </c>
      <c r="BT19">
        <v>0</v>
      </c>
      <c r="BU19">
        <v>0</v>
      </c>
      <c r="BV19">
        <v>0</v>
      </c>
      <c r="BW19">
        <v>24</v>
      </c>
      <c r="BX19">
        <v>-0.5473117741935485</v>
      </c>
      <c r="BY19">
        <v>1773268786.6</v>
      </c>
      <c r="BZ19" t="s">
        <v>332</v>
      </c>
      <c r="CA19">
        <v>1773268786.6</v>
      </c>
      <c r="CB19">
        <v>1773268774.1</v>
      </c>
      <c r="CC19">
        <v>2</v>
      </c>
      <c r="CD19">
        <v>0.264</v>
      </c>
      <c r="CE19">
        <v>-0.024</v>
      </c>
      <c r="CF19">
        <v>6.495</v>
      </c>
      <c r="CG19">
        <v>0.059</v>
      </c>
      <c r="CH19">
        <v>488</v>
      </c>
      <c r="CI19">
        <v>25</v>
      </c>
      <c r="CJ19">
        <v>0.48</v>
      </c>
      <c r="CK19">
        <v>0.14</v>
      </c>
      <c r="CL19">
        <v>494.0123870967742</v>
      </c>
      <c r="CM19">
        <v>-0.4369838709688103</v>
      </c>
      <c r="CN19">
        <v>0.2774898635079087</v>
      </c>
      <c r="CO19">
        <v>-1</v>
      </c>
      <c r="CP19">
        <v>500.0082258064517</v>
      </c>
      <c r="CQ19">
        <v>-0.2742580645176962</v>
      </c>
      <c r="CR19">
        <v>0.04475936353824992</v>
      </c>
      <c r="CS19">
        <v>-1</v>
      </c>
      <c r="CT19">
        <v>0</v>
      </c>
      <c r="CU19">
        <v>0</v>
      </c>
      <c r="CV19" t="s">
        <v>333</v>
      </c>
      <c r="CW19">
        <v>3.16876</v>
      </c>
      <c r="CX19">
        <v>2.65317</v>
      </c>
      <c r="CY19">
        <v>0.114602</v>
      </c>
      <c r="CZ19">
        <v>0.115804</v>
      </c>
      <c r="DA19">
        <v>0.0581085</v>
      </c>
      <c r="DB19">
        <v>0.0393418</v>
      </c>
      <c r="DC19">
        <v>21446.1</v>
      </c>
      <c r="DD19">
        <v>21842.2</v>
      </c>
      <c r="DE19">
        <v>23305.3</v>
      </c>
      <c r="DF19">
        <v>22583.7</v>
      </c>
      <c r="DG19">
        <v>33148.9</v>
      </c>
      <c r="DH19">
        <v>30622.6</v>
      </c>
      <c r="DI19">
        <v>40932.4</v>
      </c>
      <c r="DJ19">
        <v>37397.9</v>
      </c>
      <c r="DK19">
        <v>2.13096</v>
      </c>
      <c r="DL19">
        <v>1.79464</v>
      </c>
      <c r="DM19">
        <v>-0.0640452</v>
      </c>
      <c r="DN19">
        <v>0</v>
      </c>
      <c r="DO19">
        <v>24.492</v>
      </c>
      <c r="DP19">
        <v>999.9</v>
      </c>
      <c r="DQ19">
        <v>70.40000000000001</v>
      </c>
      <c r="DR19">
        <v>25.6</v>
      </c>
      <c r="DS19">
        <v>23.1508</v>
      </c>
      <c r="DT19">
        <v>30.54</v>
      </c>
      <c r="DU19">
        <v>10.9495</v>
      </c>
      <c r="DV19">
        <v>1</v>
      </c>
      <c r="DW19">
        <v>-0.0358923</v>
      </c>
      <c r="DX19">
        <v>-0.313486</v>
      </c>
      <c r="DY19">
        <v>20.3669</v>
      </c>
      <c r="DZ19">
        <v>5.21417</v>
      </c>
      <c r="EA19">
        <v>11.8482</v>
      </c>
      <c r="EB19">
        <v>4.96952</v>
      </c>
      <c r="EC19">
        <v>3.29202</v>
      </c>
      <c r="ED19">
        <v>879.4</v>
      </c>
      <c r="EE19">
        <v>9999</v>
      </c>
      <c r="EF19">
        <v>9999</v>
      </c>
      <c r="EG19">
        <v>80.09999999999999</v>
      </c>
      <c r="EH19">
        <v>4.97164</v>
      </c>
      <c r="EI19">
        <v>1.87164</v>
      </c>
      <c r="EJ19">
        <v>1.86874</v>
      </c>
      <c r="EK19">
        <v>1.87119</v>
      </c>
      <c r="EL19">
        <v>1.8689</v>
      </c>
      <c r="EM19">
        <v>1.86783</v>
      </c>
      <c r="EN19">
        <v>1.86969</v>
      </c>
      <c r="EO19">
        <v>1.87163</v>
      </c>
      <c r="EP19">
        <v>0</v>
      </c>
      <c r="EQ19">
        <v>0</v>
      </c>
      <c r="ER19">
        <v>0</v>
      </c>
      <c r="ES19">
        <v>0</v>
      </c>
      <c r="ET19" t="s">
        <v>334</v>
      </c>
      <c r="EU19" t="s">
        <v>335</v>
      </c>
      <c r="EV19" t="s">
        <v>336</v>
      </c>
      <c r="EW19" t="s">
        <v>336</v>
      </c>
      <c r="EX19" t="s">
        <v>336</v>
      </c>
      <c r="EY19" t="s">
        <v>336</v>
      </c>
      <c r="EZ19">
        <v>0</v>
      </c>
      <c r="FA19">
        <v>100</v>
      </c>
      <c r="FB19">
        <v>100</v>
      </c>
      <c r="FC19">
        <v>6.496</v>
      </c>
      <c r="FD19">
        <v>0.0588</v>
      </c>
      <c r="FE19">
        <v>6.495476190476325</v>
      </c>
      <c r="FF19">
        <v>0</v>
      </c>
      <c r="FG19">
        <v>0</v>
      </c>
      <c r="FH19">
        <v>0</v>
      </c>
      <c r="FI19">
        <v>0.05881499999999917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3.3</v>
      </c>
      <c r="FR19">
        <v>3.5</v>
      </c>
      <c r="FS19">
        <v>0.145264</v>
      </c>
      <c r="FT19">
        <v>4.99756</v>
      </c>
      <c r="FU19">
        <v>1.5979</v>
      </c>
      <c r="FV19">
        <v>2.18262</v>
      </c>
      <c r="FW19">
        <v>1.54785</v>
      </c>
      <c r="FX19">
        <v>2.37671</v>
      </c>
      <c r="FY19">
        <v>29.4314</v>
      </c>
      <c r="FZ19">
        <v>16.2422</v>
      </c>
      <c r="GA19">
        <v>3</v>
      </c>
      <c r="GB19">
        <v>495.749</v>
      </c>
      <c r="GC19">
        <v>379.969</v>
      </c>
      <c r="GD19">
        <v>25.8738</v>
      </c>
      <c r="GE19">
        <v>26.6767</v>
      </c>
      <c r="GF19">
        <v>30.0009</v>
      </c>
      <c r="GG19">
        <v>26.3483</v>
      </c>
      <c r="GH19">
        <v>26.2832</v>
      </c>
      <c r="GI19">
        <v>-1</v>
      </c>
      <c r="GJ19">
        <v>100</v>
      </c>
      <c r="GK19">
        <v>0</v>
      </c>
      <c r="GL19">
        <v>25.8847</v>
      </c>
      <c r="GM19">
        <v>1200</v>
      </c>
      <c r="GN19">
        <v>26.7455</v>
      </c>
      <c r="GO19">
        <v>103.057</v>
      </c>
      <c r="GP19">
        <v>97.61360000000001</v>
      </c>
    </row>
    <row r="20" spans="1:198">
      <c r="A20">
        <v>4</v>
      </c>
      <c r="B20">
        <v>1773269043.6</v>
      </c>
      <c r="C20">
        <v>180</v>
      </c>
      <c r="D20" t="s">
        <v>341</v>
      </c>
      <c r="E20" t="s">
        <v>342</v>
      </c>
      <c r="F20">
        <v>15</v>
      </c>
      <c r="G20">
        <v>1773269035.599999</v>
      </c>
      <c r="H20">
        <f>(I20)/1000</f>
        <v>0</v>
      </c>
      <c r="I20">
        <f>1000*AY20*AG20*(AU20-AV20)/(100*AN20*(1000-AG20*AU20))</f>
        <v>0</v>
      </c>
      <c r="J20">
        <f>AY20*AG20*(AT20-AS20*(1000-AG20*AV20)/(1000-AG20*AU20))/(100*AN20)</f>
        <v>0</v>
      </c>
      <c r="K20">
        <f>AS20 - IF(AG20&gt;1, J20*AN20*100.0/(AI20), 0)</f>
        <v>0</v>
      </c>
      <c r="L20">
        <f>((R20-H20/2)*K20-J20)/(R20+H20/2)</f>
        <v>0</v>
      </c>
      <c r="M20">
        <f>L20*(AZ20+BA20)/1000.0</f>
        <v>0</v>
      </c>
      <c r="N20">
        <f>(AS20 - IF(AG20&gt;1, J20*AN20*100.0/(AI20), 0))*(AZ20+BA20)/1000.0</f>
        <v>0</v>
      </c>
      <c r="O20">
        <f>2.0/((1/Q20-1/P20)+SIGN(Q20)*SQRT((1/Q20-1/P20)*(1/Q20-1/P20) + 4*AO20/((AO20+1)*(AO20+1))*(2*1/Q20*1/P20-1/P20*1/P20)))</f>
        <v>0</v>
      </c>
      <c r="P20">
        <f>IF(LEFT(AP20,1)&lt;&gt;"0",IF(LEFT(AP20,1)="1",3.0,AQ20),$D$5+$E$5*(BG20*AZ20/($K$5*1000))+$F$5*(BG20*AZ20/($K$5*1000))*MAX(MIN(AN20,$J$5),$I$5)*MAX(MIN(AN20,$J$5),$I$5)+$G$5*MAX(MIN(AN20,$J$5),$I$5)*(BG20*AZ20/($K$5*1000))+$H$5*(BG20*AZ20/($K$5*1000))*(BG20*AZ20/($K$5*1000)))</f>
        <v>0</v>
      </c>
      <c r="Q20">
        <f>H20*(1000-(1000*0.61365*exp(17.502*U20/(240.97+U20))/(AZ20+BA20)+AU20)/2)/(1000*0.61365*exp(17.502*U20/(240.97+U20))/(AZ20+BA20)-AU20)</f>
        <v>0</v>
      </c>
      <c r="R20">
        <f>1/((AO20+1)/(O20/1.6)+1/(P20/1.37)) + AO20/((AO20+1)/(O20/1.6) + AO20/(P20/1.37))</f>
        <v>0</v>
      </c>
      <c r="S20">
        <f>(AJ20*AM20)</f>
        <v>0</v>
      </c>
      <c r="T20">
        <f>(BB20+(S20+2*0.95*5.67E-8*(((BB20+$B$7)+273)^4-(BB20+273)^4)-44100*H20)/(1.84*29.3*P20+8*0.95*5.67E-8*(BB20+273)^3))</f>
        <v>0</v>
      </c>
      <c r="U20">
        <f>($C$7*BC20+$D$7*BD20+$E$7*T20)</f>
        <v>0</v>
      </c>
      <c r="V20">
        <f>0.61365*exp(17.502*U20/(240.97+U20))</f>
        <v>0</v>
      </c>
      <c r="W20">
        <f>(X20/Y20*100)</f>
        <v>0</v>
      </c>
      <c r="X20">
        <f>AU20*(AZ20+BA20)/1000</f>
        <v>0</v>
      </c>
      <c r="Y20">
        <f>0.61365*exp(17.502*BB20/(240.97+BB20))</f>
        <v>0</v>
      </c>
      <c r="Z20">
        <f>(V20-AU20*(AZ20+BA20)/1000)</f>
        <v>0</v>
      </c>
      <c r="AA20">
        <f>(-H20*44100)</f>
        <v>0</v>
      </c>
      <c r="AB20">
        <f>2*29.3*P20*0.92*(BB20-U20)</f>
        <v>0</v>
      </c>
      <c r="AC20">
        <f>2*0.95*5.67E-8*(((BB20+$B$7)+273)^4-(U20+273)^4)</f>
        <v>0</v>
      </c>
      <c r="AD20">
        <f>S20+AC20+AA20+AB20</f>
        <v>0</v>
      </c>
      <c r="AE20">
        <v>6</v>
      </c>
      <c r="AF20">
        <v>1</v>
      </c>
      <c r="AG20">
        <f>IF(AE20*$H$13&gt;=AI20,1.0,(AI20/(AI20-AE20*$H$13)))</f>
        <v>0</v>
      </c>
      <c r="AH20">
        <f>(AG20-1)*100</f>
        <v>0</v>
      </c>
      <c r="AI20">
        <f>MAX(0,($B$13+$C$13*BG20)/(1+$D$13*BG20)*AZ20/(BB20+273)*$E$13)</f>
        <v>0</v>
      </c>
      <c r="AJ20">
        <f>$B$11*BH20+$C$11*BI20+$D$11*BT20</f>
        <v>0</v>
      </c>
      <c r="AK20">
        <f>AJ20*AL20</f>
        <v>0</v>
      </c>
      <c r="AL20">
        <f>($B$11*$D$9+$C$11*$D$9+$D$11*(BU20*$E$9+BV20*$G$9))/($B$11+$C$11+$D$11)</f>
        <v>0</v>
      </c>
      <c r="AM20">
        <f>($B$11*$K$9+$C$11*$K$9+$D$11*(BU20*$L$9+BV20*$N$9))/($B$11+$C$11+$D$11)</f>
        <v>0</v>
      </c>
      <c r="AN20">
        <v>3</v>
      </c>
      <c r="AO20">
        <v>0.5</v>
      </c>
      <c r="AP20" t="s">
        <v>331</v>
      </c>
      <c r="AQ20">
        <v>2</v>
      </c>
      <c r="AR20">
        <v>1773269035.599999</v>
      </c>
      <c r="AS20">
        <v>491.6628387096774</v>
      </c>
      <c r="AT20">
        <v>493.4091612903226</v>
      </c>
      <c r="AU20">
        <v>9.457593225806452</v>
      </c>
      <c r="AV20">
        <v>5.947214193548387</v>
      </c>
      <c r="AW20">
        <v>485.1673548387096</v>
      </c>
      <c r="AX20">
        <v>9.398778709677419</v>
      </c>
      <c r="AY20">
        <v>500.0047419354838</v>
      </c>
      <c r="AZ20">
        <v>100.2079354838709</v>
      </c>
      <c r="BA20">
        <v>0.03180667096774194</v>
      </c>
      <c r="BB20">
        <v>24.99163870967742</v>
      </c>
      <c r="BC20">
        <v>23.56091290322581</v>
      </c>
      <c r="BD20">
        <v>999.9000000000003</v>
      </c>
      <c r="BE20">
        <v>0</v>
      </c>
      <c r="BF20">
        <v>0</v>
      </c>
      <c r="BG20">
        <v>4999.903225806452</v>
      </c>
      <c r="BH20">
        <v>0.4245483870967742</v>
      </c>
      <c r="BI20">
        <v>1.911957741935483</v>
      </c>
      <c r="BJ20">
        <v>-1.746344774193548</v>
      </c>
      <c r="BK20">
        <v>496.3572580645161</v>
      </c>
      <c r="BL20">
        <v>496.361129032258</v>
      </c>
      <c r="BM20">
        <v>3.51037935483871</v>
      </c>
      <c r="BN20">
        <v>493.4091612903226</v>
      </c>
      <c r="BO20">
        <v>5.947214193548387</v>
      </c>
      <c r="BP20">
        <v>0.9477254193548387</v>
      </c>
      <c r="BQ20">
        <v>0.5959578064516128</v>
      </c>
      <c r="BR20">
        <v>6.136569354838711</v>
      </c>
      <c r="BS20">
        <v>-0.4021146451612903</v>
      </c>
      <c r="BT20">
        <v>0</v>
      </c>
      <c r="BU20">
        <v>0</v>
      </c>
      <c r="BV20">
        <v>0</v>
      </c>
      <c r="BW20">
        <v>24</v>
      </c>
      <c r="BX20">
        <v>-0.1516129709677419</v>
      </c>
      <c r="BY20">
        <v>1773268786.6</v>
      </c>
      <c r="BZ20" t="s">
        <v>332</v>
      </c>
      <c r="CA20">
        <v>1773268786.6</v>
      </c>
      <c r="CB20">
        <v>1773268774.1</v>
      </c>
      <c r="CC20">
        <v>2</v>
      </c>
      <c r="CD20">
        <v>0.264</v>
      </c>
      <c r="CE20">
        <v>-0.024</v>
      </c>
      <c r="CF20">
        <v>6.495</v>
      </c>
      <c r="CG20">
        <v>0.059</v>
      </c>
      <c r="CH20">
        <v>488</v>
      </c>
      <c r="CI20">
        <v>25</v>
      </c>
      <c r="CJ20">
        <v>0.48</v>
      </c>
      <c r="CK20">
        <v>0.14</v>
      </c>
      <c r="CL20">
        <v>493.4091612903226</v>
      </c>
      <c r="CM20">
        <v>18.04277419354831</v>
      </c>
      <c r="CN20">
        <v>1.365242554292073</v>
      </c>
      <c r="CO20">
        <v>-1</v>
      </c>
      <c r="CP20">
        <v>500.0047419354838</v>
      </c>
      <c r="CQ20">
        <v>-0.1807258064517624</v>
      </c>
      <c r="CR20">
        <v>0.04926227879811595</v>
      </c>
      <c r="CS20">
        <v>-1</v>
      </c>
      <c r="CT20">
        <v>0</v>
      </c>
      <c r="CU20">
        <v>0</v>
      </c>
      <c r="CV20" t="s">
        <v>333</v>
      </c>
      <c r="CW20">
        <v>3.16877</v>
      </c>
      <c r="CX20">
        <v>2.65324</v>
      </c>
      <c r="CY20">
        <v>0.114561</v>
      </c>
      <c r="CZ20">
        <v>0.116159</v>
      </c>
      <c r="DA20">
        <v>0.0572366</v>
      </c>
      <c r="DB20">
        <v>0.0394042</v>
      </c>
      <c r="DC20">
        <v>21439.8</v>
      </c>
      <c r="DD20">
        <v>21832.7</v>
      </c>
      <c r="DE20">
        <v>23297.8</v>
      </c>
      <c r="DF20">
        <v>22583.2</v>
      </c>
      <c r="DG20">
        <v>33170</v>
      </c>
      <c r="DH20">
        <v>30618.7</v>
      </c>
      <c r="DI20">
        <v>40920.8</v>
      </c>
      <c r="DJ20">
        <v>37395.9</v>
      </c>
      <c r="DK20">
        <v>2.1295</v>
      </c>
      <c r="DL20">
        <v>1.79254</v>
      </c>
      <c r="DM20">
        <v>-0.0544488</v>
      </c>
      <c r="DN20">
        <v>0</v>
      </c>
      <c r="DO20">
        <v>24.4715</v>
      </c>
      <c r="DP20">
        <v>999.9</v>
      </c>
      <c r="DQ20">
        <v>70.5</v>
      </c>
      <c r="DR20">
        <v>25.7</v>
      </c>
      <c r="DS20">
        <v>23.3208</v>
      </c>
      <c r="DT20">
        <v>30.36</v>
      </c>
      <c r="DU20">
        <v>10.8894</v>
      </c>
      <c r="DV20">
        <v>1</v>
      </c>
      <c r="DW20">
        <v>-0.0265508</v>
      </c>
      <c r="DX20">
        <v>-0.431972</v>
      </c>
      <c r="DY20">
        <v>20.3669</v>
      </c>
      <c r="DZ20">
        <v>5.2131</v>
      </c>
      <c r="EA20">
        <v>11.8482</v>
      </c>
      <c r="EB20">
        <v>4.9694</v>
      </c>
      <c r="EC20">
        <v>3.292</v>
      </c>
      <c r="ED20">
        <v>879.4</v>
      </c>
      <c r="EE20">
        <v>9999</v>
      </c>
      <c r="EF20">
        <v>9999</v>
      </c>
      <c r="EG20">
        <v>80.2</v>
      </c>
      <c r="EH20">
        <v>4.97164</v>
      </c>
      <c r="EI20">
        <v>1.87164</v>
      </c>
      <c r="EJ20">
        <v>1.86874</v>
      </c>
      <c r="EK20">
        <v>1.87119</v>
      </c>
      <c r="EL20">
        <v>1.8689</v>
      </c>
      <c r="EM20">
        <v>1.86784</v>
      </c>
      <c r="EN20">
        <v>1.86973</v>
      </c>
      <c r="EO20">
        <v>1.87163</v>
      </c>
      <c r="EP20">
        <v>0</v>
      </c>
      <c r="EQ20">
        <v>0</v>
      </c>
      <c r="ER20">
        <v>0</v>
      </c>
      <c r="ES20">
        <v>0</v>
      </c>
      <c r="ET20" t="s">
        <v>334</v>
      </c>
      <c r="EU20" t="s">
        <v>335</v>
      </c>
      <c r="EV20" t="s">
        <v>336</v>
      </c>
      <c r="EW20" t="s">
        <v>336</v>
      </c>
      <c r="EX20" t="s">
        <v>336</v>
      </c>
      <c r="EY20" t="s">
        <v>336</v>
      </c>
      <c r="EZ20">
        <v>0</v>
      </c>
      <c r="FA20">
        <v>100</v>
      </c>
      <c r="FB20">
        <v>100</v>
      </c>
      <c r="FC20">
        <v>6.495</v>
      </c>
      <c r="FD20">
        <v>0.0588</v>
      </c>
      <c r="FE20">
        <v>6.495476190476325</v>
      </c>
      <c r="FF20">
        <v>0</v>
      </c>
      <c r="FG20">
        <v>0</v>
      </c>
      <c r="FH20">
        <v>0</v>
      </c>
      <c r="FI20">
        <v>0.05881499999999917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4.3</v>
      </c>
      <c r="FR20">
        <v>4.5</v>
      </c>
      <c r="FS20">
        <v>0.145264</v>
      </c>
      <c r="FT20">
        <v>4.99756</v>
      </c>
      <c r="FU20">
        <v>1.5979</v>
      </c>
      <c r="FV20">
        <v>2.1814</v>
      </c>
      <c r="FW20">
        <v>1.54785</v>
      </c>
      <c r="FX20">
        <v>2.33398</v>
      </c>
      <c r="FY20">
        <v>29.623</v>
      </c>
      <c r="FZ20">
        <v>16.2335</v>
      </c>
      <c r="GA20">
        <v>3</v>
      </c>
      <c r="GB20">
        <v>495.949</v>
      </c>
      <c r="GC20">
        <v>379.678</v>
      </c>
      <c r="GD20">
        <v>26.1958</v>
      </c>
      <c r="GE20">
        <v>26.7845</v>
      </c>
      <c r="GF20">
        <v>30.0007</v>
      </c>
      <c r="GG20">
        <v>26.4742</v>
      </c>
      <c r="GH20">
        <v>26.4108</v>
      </c>
      <c r="GI20">
        <v>-1</v>
      </c>
      <c r="GJ20">
        <v>100</v>
      </c>
      <c r="GK20">
        <v>0</v>
      </c>
      <c r="GL20">
        <v>26.1931</v>
      </c>
      <c r="GM20">
        <v>1200</v>
      </c>
      <c r="GN20">
        <v>26.7455</v>
      </c>
      <c r="GO20">
        <v>103.026</v>
      </c>
      <c r="GP20">
        <v>97.6096</v>
      </c>
    </row>
    <row r="21" spans="1:198">
      <c r="A21">
        <v>5</v>
      </c>
      <c r="B21">
        <v>1773269103.6</v>
      </c>
      <c r="C21">
        <v>240</v>
      </c>
      <c r="D21" t="s">
        <v>343</v>
      </c>
      <c r="E21" t="s">
        <v>344</v>
      </c>
      <c r="F21">
        <v>15</v>
      </c>
      <c r="G21">
        <v>1773269095.599999</v>
      </c>
      <c r="H21">
        <f>(I21)/1000</f>
        <v>0</v>
      </c>
      <c r="I21">
        <f>1000*AY21*AG21*(AU21-AV21)/(100*AN21*(1000-AG21*AU21))</f>
        <v>0</v>
      </c>
      <c r="J21">
        <f>AY21*AG21*(AT21-AS21*(1000-AG21*AV21)/(1000-AG21*AU21))/(100*AN21)</f>
        <v>0</v>
      </c>
      <c r="K21">
        <f>AS21 - IF(AG21&gt;1, J21*AN21*100.0/(AI21), 0)</f>
        <v>0</v>
      </c>
      <c r="L21">
        <f>((R21-H21/2)*K21-J21)/(R21+H21/2)</f>
        <v>0</v>
      </c>
      <c r="M21">
        <f>L21*(AZ21+BA21)/1000.0</f>
        <v>0</v>
      </c>
      <c r="N21">
        <f>(AS21 - IF(AG21&gt;1, J21*AN21*100.0/(AI21), 0))*(AZ21+BA21)/1000.0</f>
        <v>0</v>
      </c>
      <c r="O21">
        <f>2.0/((1/Q21-1/P21)+SIGN(Q21)*SQRT((1/Q21-1/P21)*(1/Q21-1/P21) + 4*AO21/((AO21+1)*(AO21+1))*(2*1/Q21*1/P21-1/P21*1/P21)))</f>
        <v>0</v>
      </c>
      <c r="P21">
        <f>IF(LEFT(AP21,1)&lt;&gt;"0",IF(LEFT(AP21,1)="1",3.0,AQ21),$D$5+$E$5*(BG21*AZ21/($K$5*1000))+$F$5*(BG21*AZ21/($K$5*1000))*MAX(MIN(AN21,$J$5),$I$5)*MAX(MIN(AN21,$J$5),$I$5)+$G$5*MAX(MIN(AN21,$J$5),$I$5)*(BG21*AZ21/($K$5*1000))+$H$5*(BG21*AZ21/($K$5*1000))*(BG21*AZ21/($K$5*1000)))</f>
        <v>0</v>
      </c>
      <c r="Q21">
        <f>H21*(1000-(1000*0.61365*exp(17.502*U21/(240.97+U21))/(AZ21+BA21)+AU21)/2)/(1000*0.61365*exp(17.502*U21/(240.97+U21))/(AZ21+BA21)-AU21)</f>
        <v>0</v>
      </c>
      <c r="R21">
        <f>1/((AO21+1)/(O21/1.6)+1/(P21/1.37)) + AO21/((AO21+1)/(O21/1.6) + AO21/(P21/1.37))</f>
        <v>0</v>
      </c>
      <c r="S21">
        <f>(AJ21*AM21)</f>
        <v>0</v>
      </c>
      <c r="T21">
        <f>(BB21+(S21+2*0.95*5.67E-8*(((BB21+$B$7)+273)^4-(BB21+273)^4)-44100*H21)/(1.84*29.3*P21+8*0.95*5.67E-8*(BB21+273)^3))</f>
        <v>0</v>
      </c>
      <c r="U21">
        <f>($C$7*BC21+$D$7*BD21+$E$7*T21)</f>
        <v>0</v>
      </c>
      <c r="V21">
        <f>0.61365*exp(17.502*U21/(240.97+U21))</f>
        <v>0</v>
      </c>
      <c r="W21">
        <f>(X21/Y21*100)</f>
        <v>0</v>
      </c>
      <c r="X21">
        <f>AU21*(AZ21+BA21)/1000</f>
        <v>0</v>
      </c>
      <c r="Y21">
        <f>0.61365*exp(17.502*BB21/(240.97+BB21))</f>
        <v>0</v>
      </c>
      <c r="Z21">
        <f>(V21-AU21*(AZ21+BA21)/1000)</f>
        <v>0</v>
      </c>
      <c r="AA21">
        <f>(-H21*44100)</f>
        <v>0</v>
      </c>
      <c r="AB21">
        <f>2*29.3*P21*0.92*(BB21-U21)</f>
        <v>0</v>
      </c>
      <c r="AC21">
        <f>2*0.95*5.67E-8*(((BB21+$B$7)+273)^4-(U21+273)^4)</f>
        <v>0</v>
      </c>
      <c r="AD21">
        <f>S21+AC21+AA21+AB21</f>
        <v>0</v>
      </c>
      <c r="AE21">
        <v>6</v>
      </c>
      <c r="AF21">
        <v>1</v>
      </c>
      <c r="AG21">
        <f>IF(AE21*$H$13&gt;=AI21,1.0,(AI21/(AI21-AE21*$H$13)))</f>
        <v>0</v>
      </c>
      <c r="AH21">
        <f>(AG21-1)*100</f>
        <v>0</v>
      </c>
      <c r="AI21">
        <f>MAX(0,($B$13+$C$13*BG21)/(1+$D$13*BG21)*AZ21/(BB21+273)*$E$13)</f>
        <v>0</v>
      </c>
      <c r="AJ21">
        <f>$B$11*BH21+$C$11*BI21+$D$11*BT21</f>
        <v>0</v>
      </c>
      <c r="AK21">
        <f>AJ21*AL21</f>
        <v>0</v>
      </c>
      <c r="AL21">
        <f>($B$11*$D$9+$C$11*$D$9+$D$11*(BU21*$E$9+BV21*$G$9))/($B$11+$C$11+$D$11)</f>
        <v>0</v>
      </c>
      <c r="AM21">
        <f>($B$11*$K$9+$C$11*$K$9+$D$11*(BU21*$L$9+BV21*$N$9))/($B$11+$C$11+$D$11)</f>
        <v>0</v>
      </c>
      <c r="AN21">
        <v>3</v>
      </c>
      <c r="AO21">
        <v>0.5</v>
      </c>
      <c r="AP21" t="s">
        <v>331</v>
      </c>
      <c r="AQ21">
        <v>2</v>
      </c>
      <c r="AR21">
        <v>1773269095.599999</v>
      </c>
      <c r="AS21">
        <v>492.6236129032258</v>
      </c>
      <c r="AT21">
        <v>492.8220967741935</v>
      </c>
      <c r="AU21">
        <v>9.284377096774195</v>
      </c>
      <c r="AV21">
        <v>5.979195806451611</v>
      </c>
      <c r="AW21">
        <v>486.1280645161291</v>
      </c>
      <c r="AX21">
        <v>9.225561612903228</v>
      </c>
      <c r="AY21">
        <v>500.012870967742</v>
      </c>
      <c r="AZ21">
        <v>100.2097096774193</v>
      </c>
      <c r="BA21">
        <v>0.0319825806451613</v>
      </c>
      <c r="BB21">
        <v>24.98668064516129</v>
      </c>
      <c r="BC21">
        <v>23.61578387096775</v>
      </c>
      <c r="BD21">
        <v>999.9000000000003</v>
      </c>
      <c r="BE21">
        <v>0</v>
      </c>
      <c r="BF21">
        <v>0</v>
      </c>
      <c r="BG21">
        <v>5002.580645161291</v>
      </c>
      <c r="BH21">
        <v>0.4238706129032259</v>
      </c>
      <c r="BI21">
        <v>2.456665806451613</v>
      </c>
      <c r="BJ21">
        <v>-0.1985828612903226</v>
      </c>
      <c r="BK21">
        <v>497.2400645161291</v>
      </c>
      <c r="BL21">
        <v>495.7865483870968</v>
      </c>
      <c r="BM21">
        <v>3.305181612903227</v>
      </c>
      <c r="BN21">
        <v>492.8220967741935</v>
      </c>
      <c r="BO21">
        <v>5.979195806451611</v>
      </c>
      <c r="BP21">
        <v>0.9303842903225809</v>
      </c>
      <c r="BQ21">
        <v>0.5991731935483872</v>
      </c>
      <c r="BR21">
        <v>5.869480967741937</v>
      </c>
      <c r="BS21">
        <v>-0.3282560322580644</v>
      </c>
      <c r="BT21">
        <v>0</v>
      </c>
      <c r="BU21">
        <v>0</v>
      </c>
      <c r="BV21">
        <v>0</v>
      </c>
      <c r="BW21">
        <v>24</v>
      </c>
      <c r="BX21">
        <v>-0.04086017741935485</v>
      </c>
      <c r="BY21">
        <v>1773268786.6</v>
      </c>
      <c r="BZ21" t="s">
        <v>332</v>
      </c>
      <c r="CA21">
        <v>1773268786.6</v>
      </c>
      <c r="CB21">
        <v>1773268774.1</v>
      </c>
      <c r="CC21">
        <v>2</v>
      </c>
      <c r="CD21">
        <v>0.264</v>
      </c>
      <c r="CE21">
        <v>-0.024</v>
      </c>
      <c r="CF21">
        <v>6.495</v>
      </c>
      <c r="CG21">
        <v>0.059</v>
      </c>
      <c r="CH21">
        <v>488</v>
      </c>
      <c r="CI21">
        <v>25</v>
      </c>
      <c r="CJ21">
        <v>0.48</v>
      </c>
      <c r="CK21">
        <v>0.14</v>
      </c>
      <c r="CL21">
        <v>492.8256</v>
      </c>
      <c r="CM21">
        <v>3.33810901001075</v>
      </c>
      <c r="CN21">
        <v>0.3227405149651997</v>
      </c>
      <c r="CO21">
        <v>-1</v>
      </c>
      <c r="CP21">
        <v>500.0120333333334</v>
      </c>
      <c r="CQ21">
        <v>-0.205641824249622</v>
      </c>
      <c r="CR21">
        <v>0.03552321619572853</v>
      </c>
      <c r="CS21">
        <v>-1</v>
      </c>
      <c r="CT21">
        <v>0</v>
      </c>
      <c r="CU21">
        <v>0</v>
      </c>
      <c r="CV21" t="s">
        <v>333</v>
      </c>
      <c r="CW21">
        <v>3.16881</v>
      </c>
      <c r="CX21">
        <v>2.653</v>
      </c>
      <c r="CY21">
        <v>0.11444</v>
      </c>
      <c r="CZ21">
        <v>0.115589</v>
      </c>
      <c r="DA21">
        <v>0.0563776</v>
      </c>
      <c r="DB21">
        <v>0.0395794</v>
      </c>
      <c r="DC21">
        <v>21437</v>
      </c>
      <c r="DD21">
        <v>21845.8</v>
      </c>
      <c r="DE21">
        <v>23292</v>
      </c>
      <c r="DF21">
        <v>22582.4</v>
      </c>
      <c r="DG21">
        <v>33192.9</v>
      </c>
      <c r="DH21">
        <v>30610.9</v>
      </c>
      <c r="DI21">
        <v>40911.9</v>
      </c>
      <c r="DJ21">
        <v>37393.5</v>
      </c>
      <c r="DK21">
        <v>2.12832</v>
      </c>
      <c r="DL21">
        <v>1.79152</v>
      </c>
      <c r="DM21">
        <v>-0.0517964</v>
      </c>
      <c r="DN21">
        <v>0</v>
      </c>
      <c r="DO21">
        <v>24.4797</v>
      </c>
      <c r="DP21">
        <v>999.9</v>
      </c>
      <c r="DQ21">
        <v>70.7</v>
      </c>
      <c r="DR21">
        <v>25.8</v>
      </c>
      <c r="DS21">
        <v>23.5275</v>
      </c>
      <c r="DT21">
        <v>30.51</v>
      </c>
      <c r="DU21">
        <v>11.0016</v>
      </c>
      <c r="DV21">
        <v>1</v>
      </c>
      <c r="DW21">
        <v>-0.0190102</v>
      </c>
      <c r="DX21">
        <v>-0.353752</v>
      </c>
      <c r="DY21">
        <v>20.3674</v>
      </c>
      <c r="DZ21">
        <v>5.21118</v>
      </c>
      <c r="EA21">
        <v>11.8482</v>
      </c>
      <c r="EB21">
        <v>4.96904</v>
      </c>
      <c r="EC21">
        <v>3.292</v>
      </c>
      <c r="ED21">
        <v>879.4</v>
      </c>
      <c r="EE21">
        <v>9999</v>
      </c>
      <c r="EF21">
        <v>9999</v>
      </c>
      <c r="EG21">
        <v>80.2</v>
      </c>
      <c r="EH21">
        <v>4.97166</v>
      </c>
      <c r="EI21">
        <v>1.87164</v>
      </c>
      <c r="EJ21">
        <v>1.86874</v>
      </c>
      <c r="EK21">
        <v>1.8712</v>
      </c>
      <c r="EL21">
        <v>1.86891</v>
      </c>
      <c r="EM21">
        <v>1.8679</v>
      </c>
      <c r="EN21">
        <v>1.86976</v>
      </c>
      <c r="EO21">
        <v>1.87164</v>
      </c>
      <c r="EP21">
        <v>0</v>
      </c>
      <c r="EQ21">
        <v>0</v>
      </c>
      <c r="ER21">
        <v>0</v>
      </c>
      <c r="ES21">
        <v>0</v>
      </c>
      <c r="ET21" t="s">
        <v>334</v>
      </c>
      <c r="EU21" t="s">
        <v>335</v>
      </c>
      <c r="EV21" t="s">
        <v>336</v>
      </c>
      <c r="EW21" t="s">
        <v>336</v>
      </c>
      <c r="EX21" t="s">
        <v>336</v>
      </c>
      <c r="EY21" t="s">
        <v>336</v>
      </c>
      <c r="EZ21">
        <v>0</v>
      </c>
      <c r="FA21">
        <v>100</v>
      </c>
      <c r="FB21">
        <v>100</v>
      </c>
      <c r="FC21">
        <v>6.495</v>
      </c>
      <c r="FD21">
        <v>0.0588</v>
      </c>
      <c r="FE21">
        <v>6.495476190476325</v>
      </c>
      <c r="FF21">
        <v>0</v>
      </c>
      <c r="FG21">
        <v>0</v>
      </c>
      <c r="FH21">
        <v>0</v>
      </c>
      <c r="FI21">
        <v>0.05881499999999917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5.3</v>
      </c>
      <c r="FR21">
        <v>5.5</v>
      </c>
      <c r="FS21">
        <v>0.145264</v>
      </c>
      <c r="FT21">
        <v>4.99756</v>
      </c>
      <c r="FU21">
        <v>1.5979</v>
      </c>
      <c r="FV21">
        <v>2.18018</v>
      </c>
      <c r="FW21">
        <v>1.54785</v>
      </c>
      <c r="FX21">
        <v>2.30591</v>
      </c>
      <c r="FY21">
        <v>29.7724</v>
      </c>
      <c r="FZ21">
        <v>16.2335</v>
      </c>
      <c r="GA21">
        <v>3</v>
      </c>
      <c r="GB21">
        <v>496.19</v>
      </c>
      <c r="GC21">
        <v>379.885</v>
      </c>
      <c r="GD21">
        <v>25.9787</v>
      </c>
      <c r="GE21">
        <v>26.8721</v>
      </c>
      <c r="GF21">
        <v>30.0006</v>
      </c>
      <c r="GG21">
        <v>26.5861</v>
      </c>
      <c r="GH21">
        <v>26.5267</v>
      </c>
      <c r="GI21">
        <v>-1</v>
      </c>
      <c r="GJ21">
        <v>100</v>
      </c>
      <c r="GK21">
        <v>0</v>
      </c>
      <c r="GL21">
        <v>25.9823</v>
      </c>
      <c r="GM21">
        <v>1200</v>
      </c>
      <c r="GN21">
        <v>26.7455</v>
      </c>
      <c r="GO21">
        <v>103.002</v>
      </c>
      <c r="GP21">
        <v>97.6044</v>
      </c>
    </row>
    <row r="22" spans="1:198">
      <c r="A22">
        <v>6</v>
      </c>
      <c r="B22">
        <v>1773269163.6</v>
      </c>
      <c r="C22">
        <v>300</v>
      </c>
      <c r="D22" t="s">
        <v>345</v>
      </c>
      <c r="E22" t="s">
        <v>346</v>
      </c>
      <c r="F22">
        <v>15</v>
      </c>
      <c r="G22">
        <v>1773269155.599999</v>
      </c>
      <c r="H22">
        <f>(I22)/1000</f>
        <v>0</v>
      </c>
      <c r="I22">
        <f>1000*AY22*AG22*(AU22-AV22)/(100*AN22*(1000-AG22*AU22))</f>
        <v>0</v>
      </c>
      <c r="J22">
        <f>AY22*AG22*(AT22-AS22*(1000-AG22*AV22)/(1000-AG22*AU22))/(100*AN22)</f>
        <v>0</v>
      </c>
      <c r="K22">
        <f>AS22 - IF(AG22&gt;1, J22*AN22*100.0/(AI22), 0)</f>
        <v>0</v>
      </c>
      <c r="L22">
        <f>((R22-H22/2)*K22-J22)/(R22+H22/2)</f>
        <v>0</v>
      </c>
      <c r="M22">
        <f>L22*(AZ22+BA22)/1000.0</f>
        <v>0</v>
      </c>
      <c r="N22">
        <f>(AS22 - IF(AG22&gt;1, J22*AN22*100.0/(AI22), 0))*(AZ22+BA22)/1000.0</f>
        <v>0</v>
      </c>
      <c r="O22">
        <f>2.0/((1/Q22-1/P22)+SIGN(Q22)*SQRT((1/Q22-1/P22)*(1/Q22-1/P22) + 4*AO22/((AO22+1)*(AO22+1))*(2*1/Q22*1/P22-1/P22*1/P22)))</f>
        <v>0</v>
      </c>
      <c r="P22">
        <f>IF(LEFT(AP22,1)&lt;&gt;"0",IF(LEFT(AP22,1)="1",3.0,AQ22),$D$5+$E$5*(BG22*AZ22/($K$5*1000))+$F$5*(BG22*AZ22/($K$5*1000))*MAX(MIN(AN22,$J$5),$I$5)*MAX(MIN(AN22,$J$5),$I$5)+$G$5*MAX(MIN(AN22,$J$5),$I$5)*(BG22*AZ22/($K$5*1000))+$H$5*(BG22*AZ22/($K$5*1000))*(BG22*AZ22/($K$5*1000)))</f>
        <v>0</v>
      </c>
      <c r="Q22">
        <f>H22*(1000-(1000*0.61365*exp(17.502*U22/(240.97+U22))/(AZ22+BA22)+AU22)/2)/(1000*0.61365*exp(17.502*U22/(240.97+U22))/(AZ22+BA22)-AU22)</f>
        <v>0</v>
      </c>
      <c r="R22">
        <f>1/((AO22+1)/(O22/1.6)+1/(P22/1.37)) + AO22/((AO22+1)/(O22/1.6) + AO22/(P22/1.37))</f>
        <v>0</v>
      </c>
      <c r="S22">
        <f>(AJ22*AM22)</f>
        <v>0</v>
      </c>
      <c r="T22">
        <f>(BB22+(S22+2*0.95*5.67E-8*(((BB22+$B$7)+273)^4-(BB22+273)^4)-44100*H22)/(1.84*29.3*P22+8*0.95*5.67E-8*(BB22+273)^3))</f>
        <v>0</v>
      </c>
      <c r="U22">
        <f>($C$7*BC22+$D$7*BD22+$E$7*T22)</f>
        <v>0</v>
      </c>
      <c r="V22">
        <f>0.61365*exp(17.502*U22/(240.97+U22))</f>
        <v>0</v>
      </c>
      <c r="W22">
        <f>(X22/Y22*100)</f>
        <v>0</v>
      </c>
      <c r="X22">
        <f>AU22*(AZ22+BA22)/1000</f>
        <v>0</v>
      </c>
      <c r="Y22">
        <f>0.61365*exp(17.502*BB22/(240.97+BB22))</f>
        <v>0</v>
      </c>
      <c r="Z22">
        <f>(V22-AU22*(AZ22+BA22)/1000)</f>
        <v>0</v>
      </c>
      <c r="AA22">
        <f>(-H22*44100)</f>
        <v>0</v>
      </c>
      <c r="AB22">
        <f>2*29.3*P22*0.92*(BB22-U22)</f>
        <v>0</v>
      </c>
      <c r="AC22">
        <f>2*0.95*5.67E-8*(((BB22+$B$7)+273)^4-(U22+273)^4)</f>
        <v>0</v>
      </c>
      <c r="AD22">
        <f>S22+AC22+AA22+AB22</f>
        <v>0</v>
      </c>
      <c r="AE22">
        <v>6</v>
      </c>
      <c r="AF22">
        <v>1</v>
      </c>
      <c r="AG22">
        <f>IF(AE22*$H$13&gt;=AI22,1.0,(AI22/(AI22-AE22*$H$13)))</f>
        <v>0</v>
      </c>
      <c r="AH22">
        <f>(AG22-1)*100</f>
        <v>0</v>
      </c>
      <c r="AI22">
        <f>MAX(0,($B$13+$C$13*BG22)/(1+$D$13*BG22)*AZ22/(BB22+273)*$E$13)</f>
        <v>0</v>
      </c>
      <c r="AJ22">
        <f>$B$11*BH22+$C$11*BI22+$D$11*BT22</f>
        <v>0</v>
      </c>
      <c r="AK22">
        <f>AJ22*AL22</f>
        <v>0</v>
      </c>
      <c r="AL22">
        <f>($B$11*$D$9+$C$11*$D$9+$D$11*(BU22*$E$9+BV22*$G$9))/($B$11+$C$11+$D$11)</f>
        <v>0</v>
      </c>
      <c r="AM22">
        <f>($B$11*$K$9+$C$11*$K$9+$D$11*(BU22*$L$9+BV22*$N$9))/($B$11+$C$11+$D$11)</f>
        <v>0</v>
      </c>
      <c r="AN22">
        <v>3</v>
      </c>
      <c r="AO22">
        <v>0.5</v>
      </c>
      <c r="AP22" t="s">
        <v>331</v>
      </c>
      <c r="AQ22">
        <v>2</v>
      </c>
      <c r="AR22">
        <v>1773269155.599999</v>
      </c>
      <c r="AS22">
        <v>490.4004193548387</v>
      </c>
      <c r="AT22">
        <v>490.4730967741936</v>
      </c>
      <c r="AU22">
        <v>9.126949354838708</v>
      </c>
      <c r="AV22">
        <v>6.02222258064516</v>
      </c>
      <c r="AW22">
        <v>483.905</v>
      </c>
      <c r="AX22">
        <v>9.068133870967742</v>
      </c>
      <c r="AY22">
        <v>500.0007096774194</v>
      </c>
      <c r="AZ22">
        <v>100.2139032258065</v>
      </c>
      <c r="BA22">
        <v>0.03201275483870968</v>
      </c>
      <c r="BB22">
        <v>25.00082580645161</v>
      </c>
      <c r="BC22">
        <v>23.71349677419355</v>
      </c>
      <c r="BD22">
        <v>999.9000000000003</v>
      </c>
      <c r="BE22">
        <v>0</v>
      </c>
      <c r="BF22">
        <v>0</v>
      </c>
      <c r="BG22">
        <v>4998.096774193548</v>
      </c>
      <c r="BH22">
        <v>0.4128343548387097</v>
      </c>
      <c r="BI22">
        <v>3.169067419354838</v>
      </c>
      <c r="BJ22">
        <v>-0.07270566325806453</v>
      </c>
      <c r="BK22">
        <v>494.9175806451614</v>
      </c>
      <c r="BL22">
        <v>493.4447741935484</v>
      </c>
      <c r="BM22">
        <v>3.104725806451613</v>
      </c>
      <c r="BN22">
        <v>490.4730967741936</v>
      </c>
      <c r="BO22">
        <v>6.02222258064516</v>
      </c>
      <c r="BP22">
        <v>0.9146474838709678</v>
      </c>
      <c r="BQ22">
        <v>0.6035105483870967</v>
      </c>
      <c r="BR22">
        <v>5.62327935483871</v>
      </c>
      <c r="BS22">
        <v>-0.2291774838709678</v>
      </c>
      <c r="BT22">
        <v>0</v>
      </c>
      <c r="BU22">
        <v>0</v>
      </c>
      <c r="BV22">
        <v>0</v>
      </c>
      <c r="BW22">
        <v>24</v>
      </c>
      <c r="BX22">
        <v>0</v>
      </c>
      <c r="BY22">
        <v>1773268786.6</v>
      </c>
      <c r="BZ22" t="s">
        <v>332</v>
      </c>
      <c r="CA22">
        <v>1773268786.6</v>
      </c>
      <c r="CB22">
        <v>1773268774.1</v>
      </c>
      <c r="CC22">
        <v>2</v>
      </c>
      <c r="CD22">
        <v>0.264</v>
      </c>
      <c r="CE22">
        <v>-0.024</v>
      </c>
      <c r="CF22">
        <v>6.495</v>
      </c>
      <c r="CG22">
        <v>0.059</v>
      </c>
      <c r="CH22">
        <v>488</v>
      </c>
      <c r="CI22">
        <v>25</v>
      </c>
      <c r="CJ22">
        <v>0.48</v>
      </c>
      <c r="CK22">
        <v>0.14</v>
      </c>
      <c r="CL22">
        <v>490.4621</v>
      </c>
      <c r="CM22">
        <v>2.51321913237002</v>
      </c>
      <c r="CN22">
        <v>0.1815893444010409</v>
      </c>
      <c r="CO22">
        <v>-1</v>
      </c>
      <c r="CP22">
        <v>500.0012</v>
      </c>
      <c r="CQ22">
        <v>0.005446051167030237</v>
      </c>
      <c r="CR22">
        <v>0.0369237051228619</v>
      </c>
      <c r="CS22">
        <v>-1</v>
      </c>
      <c r="CT22">
        <v>0</v>
      </c>
      <c r="CU22">
        <v>0</v>
      </c>
      <c r="CV22" t="s">
        <v>333</v>
      </c>
      <c r="CW22">
        <v>3.16871</v>
      </c>
      <c r="CX22">
        <v>2.65321</v>
      </c>
      <c r="CY22">
        <v>0.114033</v>
      </c>
      <c r="CZ22">
        <v>0.115251</v>
      </c>
      <c r="DA22">
        <v>0.0556176</v>
      </c>
      <c r="DB22">
        <v>0.039811</v>
      </c>
      <c r="DC22">
        <v>21442.1</v>
      </c>
      <c r="DD22">
        <v>21854</v>
      </c>
      <c r="DE22">
        <v>23287.2</v>
      </c>
      <c r="DF22">
        <v>22582.6</v>
      </c>
      <c r="DG22">
        <v>33213.6</v>
      </c>
      <c r="DH22">
        <v>30603</v>
      </c>
      <c r="DI22">
        <v>40904.5</v>
      </c>
      <c r="DJ22">
        <v>37393</v>
      </c>
      <c r="DK22">
        <v>2.12728</v>
      </c>
      <c r="DL22">
        <v>1.79012</v>
      </c>
      <c r="DM22">
        <v>-0.0456095</v>
      </c>
      <c r="DN22">
        <v>0</v>
      </c>
      <c r="DO22">
        <v>24.4818</v>
      </c>
      <c r="DP22">
        <v>999.9</v>
      </c>
      <c r="DQ22">
        <v>70.59999999999999</v>
      </c>
      <c r="DR22">
        <v>25.9</v>
      </c>
      <c r="DS22">
        <v>23.6297</v>
      </c>
      <c r="DT22">
        <v>30.36</v>
      </c>
      <c r="DU22">
        <v>11.1859</v>
      </c>
      <c r="DV22">
        <v>1</v>
      </c>
      <c r="DW22">
        <v>-0.0128577</v>
      </c>
      <c r="DX22">
        <v>-0.131623</v>
      </c>
      <c r="DY22">
        <v>20.3678</v>
      </c>
      <c r="DZ22">
        <v>5.2113</v>
      </c>
      <c r="EA22">
        <v>11.8482</v>
      </c>
      <c r="EB22">
        <v>4.96784</v>
      </c>
      <c r="EC22">
        <v>3.292</v>
      </c>
      <c r="ED22">
        <v>879.4</v>
      </c>
      <c r="EE22">
        <v>9999</v>
      </c>
      <c r="EF22">
        <v>9999</v>
      </c>
      <c r="EG22">
        <v>80.2</v>
      </c>
      <c r="EH22">
        <v>4.97164</v>
      </c>
      <c r="EI22">
        <v>1.87165</v>
      </c>
      <c r="EJ22">
        <v>1.86874</v>
      </c>
      <c r="EK22">
        <v>1.87119</v>
      </c>
      <c r="EL22">
        <v>1.8689</v>
      </c>
      <c r="EM22">
        <v>1.8679</v>
      </c>
      <c r="EN22">
        <v>1.86977</v>
      </c>
      <c r="EO22">
        <v>1.87164</v>
      </c>
      <c r="EP22">
        <v>0</v>
      </c>
      <c r="EQ22">
        <v>0</v>
      </c>
      <c r="ER22">
        <v>0</v>
      </c>
      <c r="ES22">
        <v>0</v>
      </c>
      <c r="ET22" t="s">
        <v>334</v>
      </c>
      <c r="EU22" t="s">
        <v>335</v>
      </c>
      <c r="EV22" t="s">
        <v>336</v>
      </c>
      <c r="EW22" t="s">
        <v>336</v>
      </c>
      <c r="EX22" t="s">
        <v>336</v>
      </c>
      <c r="EY22" t="s">
        <v>336</v>
      </c>
      <c r="EZ22">
        <v>0</v>
      </c>
      <c r="FA22">
        <v>100</v>
      </c>
      <c r="FB22">
        <v>100</v>
      </c>
      <c r="FC22">
        <v>6.496</v>
      </c>
      <c r="FD22">
        <v>0.0588</v>
      </c>
      <c r="FE22">
        <v>6.495476190476325</v>
      </c>
      <c r="FF22">
        <v>0</v>
      </c>
      <c r="FG22">
        <v>0</v>
      </c>
      <c r="FH22">
        <v>0</v>
      </c>
      <c r="FI22">
        <v>0.05881499999999917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6.3</v>
      </c>
      <c r="FR22">
        <v>6.5</v>
      </c>
      <c r="FS22">
        <v>0.145264</v>
      </c>
      <c r="FT22">
        <v>4.99756</v>
      </c>
      <c r="FU22">
        <v>1.5979</v>
      </c>
      <c r="FV22">
        <v>2.17896</v>
      </c>
      <c r="FW22">
        <v>1.54785</v>
      </c>
      <c r="FX22">
        <v>2.40601</v>
      </c>
      <c r="FY22">
        <v>29.922</v>
      </c>
      <c r="FZ22">
        <v>16.2335</v>
      </c>
      <c r="GA22">
        <v>3</v>
      </c>
      <c r="GB22">
        <v>496.398</v>
      </c>
      <c r="GC22">
        <v>379.81</v>
      </c>
      <c r="GD22">
        <v>26.011</v>
      </c>
      <c r="GE22">
        <v>26.9452</v>
      </c>
      <c r="GF22">
        <v>30.0006</v>
      </c>
      <c r="GG22">
        <v>26.6844</v>
      </c>
      <c r="GH22">
        <v>26.6307</v>
      </c>
      <c r="GI22">
        <v>-1</v>
      </c>
      <c r="GJ22">
        <v>100</v>
      </c>
      <c r="GK22">
        <v>0</v>
      </c>
      <c r="GL22">
        <v>25.9733</v>
      </c>
      <c r="GM22">
        <v>1200</v>
      </c>
      <c r="GN22">
        <v>26.7455</v>
      </c>
      <c r="GO22">
        <v>102.983</v>
      </c>
      <c r="GP22">
        <v>97.60380000000001</v>
      </c>
    </row>
    <row r="23" spans="1:198">
      <c r="A23">
        <v>7</v>
      </c>
      <c r="B23">
        <v>1773269223.6</v>
      </c>
      <c r="C23">
        <v>360</v>
      </c>
      <c r="D23" t="s">
        <v>347</v>
      </c>
      <c r="E23" t="s">
        <v>348</v>
      </c>
      <c r="F23">
        <v>15</v>
      </c>
      <c r="G23">
        <v>1773269215.599999</v>
      </c>
      <c r="H23">
        <f>(I23)/1000</f>
        <v>0</v>
      </c>
      <c r="I23">
        <f>1000*AY23*AG23*(AU23-AV23)/(100*AN23*(1000-AG23*AU23))</f>
        <v>0</v>
      </c>
      <c r="J23">
        <f>AY23*AG23*(AT23-AS23*(1000-AG23*AV23)/(1000-AG23*AU23))/(100*AN23)</f>
        <v>0</v>
      </c>
      <c r="K23">
        <f>AS23 - IF(AG23&gt;1, J23*AN23*100.0/(AI23), 0)</f>
        <v>0</v>
      </c>
      <c r="L23">
        <f>((R23-H23/2)*K23-J23)/(R23+H23/2)</f>
        <v>0</v>
      </c>
      <c r="M23">
        <f>L23*(AZ23+BA23)/1000.0</f>
        <v>0</v>
      </c>
      <c r="N23">
        <f>(AS23 - IF(AG23&gt;1, J23*AN23*100.0/(AI23), 0))*(AZ23+BA23)/1000.0</f>
        <v>0</v>
      </c>
      <c r="O23">
        <f>2.0/((1/Q23-1/P23)+SIGN(Q23)*SQRT((1/Q23-1/P23)*(1/Q23-1/P23) + 4*AO23/((AO23+1)*(AO23+1))*(2*1/Q23*1/P23-1/P23*1/P23)))</f>
        <v>0</v>
      </c>
      <c r="P23">
        <f>IF(LEFT(AP23,1)&lt;&gt;"0",IF(LEFT(AP23,1)="1",3.0,AQ23),$D$5+$E$5*(BG23*AZ23/($K$5*1000))+$F$5*(BG23*AZ23/($K$5*1000))*MAX(MIN(AN23,$J$5),$I$5)*MAX(MIN(AN23,$J$5),$I$5)+$G$5*MAX(MIN(AN23,$J$5),$I$5)*(BG23*AZ23/($K$5*1000))+$H$5*(BG23*AZ23/($K$5*1000))*(BG23*AZ23/($K$5*1000)))</f>
        <v>0</v>
      </c>
      <c r="Q23">
        <f>H23*(1000-(1000*0.61365*exp(17.502*U23/(240.97+U23))/(AZ23+BA23)+AU23)/2)/(1000*0.61365*exp(17.502*U23/(240.97+U23))/(AZ23+BA23)-AU23)</f>
        <v>0</v>
      </c>
      <c r="R23">
        <f>1/((AO23+1)/(O23/1.6)+1/(P23/1.37)) + AO23/((AO23+1)/(O23/1.6) + AO23/(P23/1.37))</f>
        <v>0</v>
      </c>
      <c r="S23">
        <f>(AJ23*AM23)</f>
        <v>0</v>
      </c>
      <c r="T23">
        <f>(BB23+(S23+2*0.95*5.67E-8*(((BB23+$B$7)+273)^4-(BB23+273)^4)-44100*H23)/(1.84*29.3*P23+8*0.95*5.67E-8*(BB23+273)^3))</f>
        <v>0</v>
      </c>
      <c r="U23">
        <f>($C$7*BC23+$D$7*BD23+$E$7*T23)</f>
        <v>0</v>
      </c>
      <c r="V23">
        <f>0.61365*exp(17.502*U23/(240.97+U23))</f>
        <v>0</v>
      </c>
      <c r="W23">
        <f>(X23/Y23*100)</f>
        <v>0</v>
      </c>
      <c r="X23">
        <f>AU23*(AZ23+BA23)/1000</f>
        <v>0</v>
      </c>
      <c r="Y23">
        <f>0.61365*exp(17.502*BB23/(240.97+BB23))</f>
        <v>0</v>
      </c>
      <c r="Z23">
        <f>(V23-AU23*(AZ23+BA23)/1000)</f>
        <v>0</v>
      </c>
      <c r="AA23">
        <f>(-H23*44100)</f>
        <v>0</v>
      </c>
      <c r="AB23">
        <f>2*29.3*P23*0.92*(BB23-U23)</f>
        <v>0</v>
      </c>
      <c r="AC23">
        <f>2*0.95*5.67E-8*(((BB23+$B$7)+273)^4-(U23+273)^4)</f>
        <v>0</v>
      </c>
      <c r="AD23">
        <f>S23+AC23+AA23+AB23</f>
        <v>0</v>
      </c>
      <c r="AE23">
        <v>6</v>
      </c>
      <c r="AF23">
        <v>1</v>
      </c>
      <c r="AG23">
        <f>IF(AE23*$H$13&gt;=AI23,1.0,(AI23/(AI23-AE23*$H$13)))</f>
        <v>0</v>
      </c>
      <c r="AH23">
        <f>(AG23-1)*100</f>
        <v>0</v>
      </c>
      <c r="AI23">
        <f>MAX(0,($B$13+$C$13*BG23)/(1+$D$13*BG23)*AZ23/(BB23+273)*$E$13)</f>
        <v>0</v>
      </c>
      <c r="AJ23">
        <f>$B$11*BH23+$C$11*BI23+$D$11*BT23</f>
        <v>0</v>
      </c>
      <c r="AK23">
        <f>AJ23*AL23</f>
        <v>0</v>
      </c>
      <c r="AL23">
        <f>($B$11*$D$9+$C$11*$D$9+$D$11*(BU23*$E$9+BV23*$G$9))/($B$11+$C$11+$D$11)</f>
        <v>0</v>
      </c>
      <c r="AM23">
        <f>($B$11*$K$9+$C$11*$K$9+$D$11*(BU23*$L$9+BV23*$N$9))/($B$11+$C$11+$D$11)</f>
        <v>0</v>
      </c>
      <c r="AN23">
        <v>3</v>
      </c>
      <c r="AO23">
        <v>0.5</v>
      </c>
      <c r="AP23" t="s">
        <v>331</v>
      </c>
      <c r="AQ23">
        <v>2</v>
      </c>
      <c r="AR23">
        <v>1773269215.599999</v>
      </c>
      <c r="AS23">
        <v>492.91</v>
      </c>
      <c r="AT23">
        <v>492.2320967741936</v>
      </c>
      <c r="AU23">
        <v>8.982700322580644</v>
      </c>
      <c r="AV23">
        <v>6.072829032258064</v>
      </c>
      <c r="AW23">
        <v>486.4145161290323</v>
      </c>
      <c r="AX23">
        <v>8.923884516129032</v>
      </c>
      <c r="AY23">
        <v>499.9958387096773</v>
      </c>
      <c r="AZ23">
        <v>100.2167096774193</v>
      </c>
      <c r="BA23">
        <v>0.03253310645161291</v>
      </c>
      <c r="BB23">
        <v>24.99631612903226</v>
      </c>
      <c r="BC23">
        <v>23.77146774193548</v>
      </c>
      <c r="BD23">
        <v>999.9000000000003</v>
      </c>
      <c r="BE23">
        <v>0</v>
      </c>
      <c r="BF23">
        <v>0</v>
      </c>
      <c r="BG23">
        <v>5000.193548387097</v>
      </c>
      <c r="BH23">
        <v>0.4313920967741936</v>
      </c>
      <c r="BI23">
        <v>4.045902903225806</v>
      </c>
      <c r="BJ23">
        <v>0.6778870032258064</v>
      </c>
      <c r="BK23">
        <v>497.3778064516129</v>
      </c>
      <c r="BL23">
        <v>495.2396451612904</v>
      </c>
      <c r="BM23">
        <v>2.909870322580645</v>
      </c>
      <c r="BN23">
        <v>492.2320967741936</v>
      </c>
      <c r="BO23">
        <v>6.072829032258064</v>
      </c>
      <c r="BP23">
        <v>0.9002166774193547</v>
      </c>
      <c r="BQ23">
        <v>0.6085990967741934</v>
      </c>
      <c r="BR23">
        <v>5.394199032258063</v>
      </c>
      <c r="BS23">
        <v>-0.1137456612903226</v>
      </c>
      <c r="BT23">
        <v>0</v>
      </c>
      <c r="BU23">
        <v>0</v>
      </c>
      <c r="BV23">
        <v>0</v>
      </c>
      <c r="BW23">
        <v>24</v>
      </c>
      <c r="BX23">
        <v>0</v>
      </c>
      <c r="BY23">
        <v>1773268786.6</v>
      </c>
      <c r="BZ23" t="s">
        <v>332</v>
      </c>
      <c r="CA23">
        <v>1773268786.6</v>
      </c>
      <c r="CB23">
        <v>1773268774.1</v>
      </c>
      <c r="CC23">
        <v>2</v>
      </c>
      <c r="CD23">
        <v>0.264</v>
      </c>
      <c r="CE23">
        <v>-0.024</v>
      </c>
      <c r="CF23">
        <v>6.495</v>
      </c>
      <c r="CG23">
        <v>0.059</v>
      </c>
      <c r="CH23">
        <v>488</v>
      </c>
      <c r="CI23">
        <v>25</v>
      </c>
      <c r="CJ23">
        <v>0.48</v>
      </c>
      <c r="CK23">
        <v>0.14</v>
      </c>
      <c r="CL23">
        <v>492.235</v>
      </c>
      <c r="CM23">
        <v>-6.830736373748839</v>
      </c>
      <c r="CN23">
        <v>0.587408886551775</v>
      </c>
      <c r="CO23">
        <v>-1</v>
      </c>
      <c r="CP23">
        <v>499.9954333333333</v>
      </c>
      <c r="CQ23">
        <v>-0.03911012235726143</v>
      </c>
      <c r="CR23">
        <v>0.04109394386307938</v>
      </c>
      <c r="CS23">
        <v>-1</v>
      </c>
      <c r="CT23">
        <v>0</v>
      </c>
      <c r="CU23">
        <v>0</v>
      </c>
      <c r="CV23" t="s">
        <v>333</v>
      </c>
      <c r="CW23">
        <v>3.16877</v>
      </c>
      <c r="CX23">
        <v>2.65332</v>
      </c>
      <c r="CY23">
        <v>0.11431</v>
      </c>
      <c r="CZ23">
        <v>0.115468</v>
      </c>
      <c r="DA23">
        <v>0.0549091</v>
      </c>
      <c r="DB23">
        <v>0.0400821</v>
      </c>
      <c r="DC23">
        <v>21431.2</v>
      </c>
      <c r="DD23">
        <v>21848.4</v>
      </c>
      <c r="DE23">
        <v>23282.9</v>
      </c>
      <c r="DF23">
        <v>22582.4</v>
      </c>
      <c r="DG23">
        <v>33233.2</v>
      </c>
      <c r="DH23">
        <v>30593.4</v>
      </c>
      <c r="DI23">
        <v>40898.1</v>
      </c>
      <c r="DJ23">
        <v>37392</v>
      </c>
      <c r="DK23">
        <v>2.12638</v>
      </c>
      <c r="DL23">
        <v>1.78846</v>
      </c>
      <c r="DM23">
        <v>-0.0428975</v>
      </c>
      <c r="DN23">
        <v>0</v>
      </c>
      <c r="DO23">
        <v>24.4941</v>
      </c>
      <c r="DP23">
        <v>999.9</v>
      </c>
      <c r="DQ23">
        <v>70.7</v>
      </c>
      <c r="DR23">
        <v>25.9</v>
      </c>
      <c r="DS23">
        <v>23.6645</v>
      </c>
      <c r="DT23">
        <v>29.94</v>
      </c>
      <c r="DU23">
        <v>11.0737</v>
      </c>
      <c r="DV23">
        <v>1</v>
      </c>
      <c r="DW23">
        <v>-0.00733333</v>
      </c>
      <c r="DX23">
        <v>-0.34742</v>
      </c>
      <c r="DY23">
        <v>20.3676</v>
      </c>
      <c r="DZ23">
        <v>5.21094</v>
      </c>
      <c r="EA23">
        <v>11.8482</v>
      </c>
      <c r="EB23">
        <v>4.96776</v>
      </c>
      <c r="EC23">
        <v>3.292</v>
      </c>
      <c r="ED23">
        <v>879.4</v>
      </c>
      <c r="EE23">
        <v>9999</v>
      </c>
      <c r="EF23">
        <v>9999</v>
      </c>
      <c r="EG23">
        <v>80.2</v>
      </c>
      <c r="EH23">
        <v>4.97162</v>
      </c>
      <c r="EI23">
        <v>1.87165</v>
      </c>
      <c r="EJ23">
        <v>1.86874</v>
      </c>
      <c r="EK23">
        <v>1.87119</v>
      </c>
      <c r="EL23">
        <v>1.8689</v>
      </c>
      <c r="EM23">
        <v>1.86788</v>
      </c>
      <c r="EN23">
        <v>1.86976</v>
      </c>
      <c r="EO23">
        <v>1.87163</v>
      </c>
      <c r="EP23">
        <v>0</v>
      </c>
      <c r="EQ23">
        <v>0</v>
      </c>
      <c r="ER23">
        <v>0</v>
      </c>
      <c r="ES23">
        <v>0</v>
      </c>
      <c r="ET23" t="s">
        <v>334</v>
      </c>
      <c r="EU23" t="s">
        <v>335</v>
      </c>
      <c r="EV23" t="s">
        <v>336</v>
      </c>
      <c r="EW23" t="s">
        <v>336</v>
      </c>
      <c r="EX23" t="s">
        <v>336</v>
      </c>
      <c r="EY23" t="s">
        <v>336</v>
      </c>
      <c r="EZ23">
        <v>0</v>
      </c>
      <c r="FA23">
        <v>100</v>
      </c>
      <c r="FB23">
        <v>100</v>
      </c>
      <c r="FC23">
        <v>6.495</v>
      </c>
      <c r="FD23">
        <v>0.0588</v>
      </c>
      <c r="FE23">
        <v>6.495476190476325</v>
      </c>
      <c r="FF23">
        <v>0</v>
      </c>
      <c r="FG23">
        <v>0</v>
      </c>
      <c r="FH23">
        <v>0</v>
      </c>
      <c r="FI23">
        <v>0.05881499999999917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7.3</v>
      </c>
      <c r="FR23">
        <v>7.5</v>
      </c>
      <c r="FS23">
        <v>0.145264</v>
      </c>
      <c r="FT23">
        <v>4.99756</v>
      </c>
      <c r="FU23">
        <v>1.5979</v>
      </c>
      <c r="FV23">
        <v>2.17773</v>
      </c>
      <c r="FW23">
        <v>1.54785</v>
      </c>
      <c r="FX23">
        <v>2.37793</v>
      </c>
      <c r="FY23">
        <v>30.0504</v>
      </c>
      <c r="FZ23">
        <v>16.2247</v>
      </c>
      <c r="GA23">
        <v>3</v>
      </c>
      <c r="GB23">
        <v>496.605</v>
      </c>
      <c r="GC23">
        <v>379.53</v>
      </c>
      <c r="GD23">
        <v>25.9634</v>
      </c>
      <c r="GE23">
        <v>27.011</v>
      </c>
      <c r="GF23">
        <v>30.0005</v>
      </c>
      <c r="GG23">
        <v>26.7729</v>
      </c>
      <c r="GH23">
        <v>26.7247</v>
      </c>
      <c r="GI23">
        <v>-1</v>
      </c>
      <c r="GJ23">
        <v>100</v>
      </c>
      <c r="GK23">
        <v>0</v>
      </c>
      <c r="GL23">
        <v>25.964</v>
      </c>
      <c r="GM23">
        <v>1200</v>
      </c>
      <c r="GN23">
        <v>26.7455</v>
      </c>
      <c r="GO23">
        <v>102.966</v>
      </c>
      <c r="GP23">
        <v>97.602</v>
      </c>
    </row>
    <row r="24" spans="1:198">
      <c r="A24">
        <v>8</v>
      </c>
      <c r="B24">
        <v>1773269283.6</v>
      </c>
      <c r="C24">
        <v>420</v>
      </c>
      <c r="D24" t="s">
        <v>349</v>
      </c>
      <c r="E24" t="s">
        <v>350</v>
      </c>
      <c r="F24">
        <v>15</v>
      </c>
      <c r="G24">
        <v>1773269275.599999</v>
      </c>
      <c r="H24">
        <f>(I24)/1000</f>
        <v>0</v>
      </c>
      <c r="I24">
        <f>1000*AY24*AG24*(AU24-AV24)/(100*AN24*(1000-AG24*AU24))</f>
        <v>0</v>
      </c>
      <c r="J24">
        <f>AY24*AG24*(AT24-AS24*(1000-AG24*AV24)/(1000-AG24*AU24))/(100*AN24)</f>
        <v>0</v>
      </c>
      <c r="K24">
        <f>AS24 - IF(AG24&gt;1, J24*AN24*100.0/(AI24), 0)</f>
        <v>0</v>
      </c>
      <c r="L24">
        <f>((R24-H24/2)*K24-J24)/(R24+H24/2)</f>
        <v>0</v>
      </c>
      <c r="M24">
        <f>L24*(AZ24+BA24)/1000.0</f>
        <v>0</v>
      </c>
      <c r="N24">
        <f>(AS24 - IF(AG24&gt;1, J24*AN24*100.0/(AI24), 0))*(AZ24+BA24)/1000.0</f>
        <v>0</v>
      </c>
      <c r="O24">
        <f>2.0/((1/Q24-1/P24)+SIGN(Q24)*SQRT((1/Q24-1/P24)*(1/Q24-1/P24) + 4*AO24/((AO24+1)*(AO24+1))*(2*1/Q24*1/P24-1/P24*1/P24)))</f>
        <v>0</v>
      </c>
      <c r="P24">
        <f>IF(LEFT(AP24,1)&lt;&gt;"0",IF(LEFT(AP24,1)="1",3.0,AQ24),$D$5+$E$5*(BG24*AZ24/($K$5*1000))+$F$5*(BG24*AZ24/($K$5*1000))*MAX(MIN(AN24,$J$5),$I$5)*MAX(MIN(AN24,$J$5),$I$5)+$G$5*MAX(MIN(AN24,$J$5),$I$5)*(BG24*AZ24/($K$5*1000))+$H$5*(BG24*AZ24/($K$5*1000))*(BG24*AZ24/($K$5*1000)))</f>
        <v>0</v>
      </c>
      <c r="Q24">
        <f>H24*(1000-(1000*0.61365*exp(17.502*U24/(240.97+U24))/(AZ24+BA24)+AU24)/2)/(1000*0.61365*exp(17.502*U24/(240.97+U24))/(AZ24+BA24)-AU24)</f>
        <v>0</v>
      </c>
      <c r="R24">
        <f>1/((AO24+1)/(O24/1.6)+1/(P24/1.37)) + AO24/((AO24+1)/(O24/1.6) + AO24/(P24/1.37))</f>
        <v>0</v>
      </c>
      <c r="S24">
        <f>(AJ24*AM24)</f>
        <v>0</v>
      </c>
      <c r="T24">
        <f>(BB24+(S24+2*0.95*5.67E-8*(((BB24+$B$7)+273)^4-(BB24+273)^4)-44100*H24)/(1.84*29.3*P24+8*0.95*5.67E-8*(BB24+273)^3))</f>
        <v>0</v>
      </c>
      <c r="U24">
        <f>($C$7*BC24+$D$7*BD24+$E$7*T24)</f>
        <v>0</v>
      </c>
      <c r="V24">
        <f>0.61365*exp(17.502*U24/(240.97+U24))</f>
        <v>0</v>
      </c>
      <c r="W24">
        <f>(X24/Y24*100)</f>
        <v>0</v>
      </c>
      <c r="X24">
        <f>AU24*(AZ24+BA24)/1000</f>
        <v>0</v>
      </c>
      <c r="Y24">
        <f>0.61365*exp(17.502*BB24/(240.97+BB24))</f>
        <v>0</v>
      </c>
      <c r="Z24">
        <f>(V24-AU24*(AZ24+BA24)/1000)</f>
        <v>0</v>
      </c>
      <c r="AA24">
        <f>(-H24*44100)</f>
        <v>0</v>
      </c>
      <c r="AB24">
        <f>2*29.3*P24*0.92*(BB24-U24)</f>
        <v>0</v>
      </c>
      <c r="AC24">
        <f>2*0.95*5.67E-8*(((BB24+$B$7)+273)^4-(U24+273)^4)</f>
        <v>0</v>
      </c>
      <c r="AD24">
        <f>S24+AC24+AA24+AB24</f>
        <v>0</v>
      </c>
      <c r="AE24">
        <v>5</v>
      </c>
      <c r="AF24">
        <v>1</v>
      </c>
      <c r="AG24">
        <f>IF(AE24*$H$13&gt;=AI24,1.0,(AI24/(AI24-AE24*$H$13)))</f>
        <v>0</v>
      </c>
      <c r="AH24">
        <f>(AG24-1)*100</f>
        <v>0</v>
      </c>
      <c r="AI24">
        <f>MAX(0,($B$13+$C$13*BG24)/(1+$D$13*BG24)*AZ24/(BB24+273)*$E$13)</f>
        <v>0</v>
      </c>
      <c r="AJ24">
        <f>$B$11*BH24+$C$11*BI24+$D$11*BT24</f>
        <v>0</v>
      </c>
      <c r="AK24">
        <f>AJ24*AL24</f>
        <v>0</v>
      </c>
      <c r="AL24">
        <f>($B$11*$D$9+$C$11*$D$9+$D$11*(BU24*$E$9+BV24*$G$9))/($B$11+$C$11+$D$11)</f>
        <v>0</v>
      </c>
      <c r="AM24">
        <f>($B$11*$K$9+$C$11*$K$9+$D$11*(BU24*$L$9+BV24*$N$9))/($B$11+$C$11+$D$11)</f>
        <v>0</v>
      </c>
      <c r="AN24">
        <v>3</v>
      </c>
      <c r="AO24">
        <v>0.5</v>
      </c>
      <c r="AP24" t="s">
        <v>331</v>
      </c>
      <c r="AQ24">
        <v>2</v>
      </c>
      <c r="AR24">
        <v>1773269275.599999</v>
      </c>
      <c r="AS24">
        <v>494.7366451612903</v>
      </c>
      <c r="AT24">
        <v>493.6680967741935</v>
      </c>
      <c r="AU24">
        <v>8.841990645161291</v>
      </c>
      <c r="AV24">
        <v>6.126381935483871</v>
      </c>
      <c r="AW24">
        <v>488.2411612903227</v>
      </c>
      <c r="AX24">
        <v>8.783176129032258</v>
      </c>
      <c r="AY24">
        <v>500.0126451612903</v>
      </c>
      <c r="AZ24">
        <v>100.2182903225807</v>
      </c>
      <c r="BA24">
        <v>0.03261234516129032</v>
      </c>
      <c r="BB24">
        <v>24.9943258064516</v>
      </c>
      <c r="BC24">
        <v>23.85741612903226</v>
      </c>
      <c r="BD24">
        <v>999.9000000000003</v>
      </c>
      <c r="BE24">
        <v>0</v>
      </c>
      <c r="BF24">
        <v>0</v>
      </c>
      <c r="BG24">
        <v>5003.612903225807</v>
      </c>
      <c r="BH24">
        <v>0.4173049677419357</v>
      </c>
      <c r="BI24">
        <v>5.071581612903226</v>
      </c>
      <c r="BJ24">
        <v>1.068590193548387</v>
      </c>
      <c r="BK24">
        <v>499.1501612903226</v>
      </c>
      <c r="BL24">
        <v>496.7111612903227</v>
      </c>
      <c r="BM24">
        <v>2.715609354838709</v>
      </c>
      <c r="BN24">
        <v>493.6680967741935</v>
      </c>
      <c r="BO24">
        <v>6.126381935483871</v>
      </c>
      <c r="BP24">
        <v>0.8861289677419354</v>
      </c>
      <c r="BQ24">
        <v>0.6139754193548386</v>
      </c>
      <c r="BR24">
        <v>5.167410645161291</v>
      </c>
      <c r="BS24">
        <v>0.007295952867741936</v>
      </c>
      <c r="BT24">
        <v>0</v>
      </c>
      <c r="BU24">
        <v>0</v>
      </c>
      <c r="BV24">
        <v>0</v>
      </c>
      <c r="BW24">
        <v>24</v>
      </c>
      <c r="BX24">
        <v>0</v>
      </c>
      <c r="BY24">
        <v>1773268786.6</v>
      </c>
      <c r="BZ24" t="s">
        <v>332</v>
      </c>
      <c r="CA24">
        <v>1773268786.6</v>
      </c>
      <c r="CB24">
        <v>1773268774.1</v>
      </c>
      <c r="CC24">
        <v>2</v>
      </c>
      <c r="CD24">
        <v>0.264</v>
      </c>
      <c r="CE24">
        <v>-0.024</v>
      </c>
      <c r="CF24">
        <v>6.495</v>
      </c>
      <c r="CG24">
        <v>0.059</v>
      </c>
      <c r="CH24">
        <v>488</v>
      </c>
      <c r="CI24">
        <v>25</v>
      </c>
      <c r="CJ24">
        <v>0.48</v>
      </c>
      <c r="CK24">
        <v>0.14</v>
      </c>
      <c r="CL24">
        <v>493.6883999999999</v>
      </c>
      <c r="CM24">
        <v>-6.163648498330902</v>
      </c>
      <c r="CN24">
        <v>0.4892602306884699</v>
      </c>
      <c r="CO24">
        <v>-1</v>
      </c>
      <c r="CP24">
        <v>500.0125</v>
      </c>
      <c r="CQ24">
        <v>-0.3735617352608328</v>
      </c>
      <c r="CR24">
        <v>0.05638424720906758</v>
      </c>
      <c r="CS24">
        <v>-1</v>
      </c>
      <c r="CT24">
        <v>0</v>
      </c>
      <c r="CU24">
        <v>0</v>
      </c>
      <c r="CV24" t="s">
        <v>333</v>
      </c>
      <c r="CW24">
        <v>3.16875</v>
      </c>
      <c r="CX24">
        <v>2.6542</v>
      </c>
      <c r="CY24">
        <v>0.114576</v>
      </c>
      <c r="CZ24">
        <v>0.115582</v>
      </c>
      <c r="DA24">
        <v>0.0542058</v>
      </c>
      <c r="DB24">
        <v>0.0403704</v>
      </c>
      <c r="DC24">
        <v>21420.6</v>
      </c>
      <c r="DD24">
        <v>21844.9</v>
      </c>
      <c r="DE24">
        <v>23278.6</v>
      </c>
      <c r="DF24">
        <v>22582</v>
      </c>
      <c r="DG24">
        <v>33252.4</v>
      </c>
      <c r="DH24">
        <v>30583</v>
      </c>
      <c r="DI24">
        <v>40891.3</v>
      </c>
      <c r="DJ24">
        <v>37390.7</v>
      </c>
      <c r="DK24">
        <v>2.12558</v>
      </c>
      <c r="DL24">
        <v>1.78778</v>
      </c>
      <c r="DM24">
        <v>-0.0381291</v>
      </c>
      <c r="DN24">
        <v>0</v>
      </c>
      <c r="DO24">
        <v>24.4921</v>
      </c>
      <c r="DP24">
        <v>999.9</v>
      </c>
      <c r="DQ24">
        <v>70.90000000000001</v>
      </c>
      <c r="DR24">
        <v>26</v>
      </c>
      <c r="DS24">
        <v>23.8712</v>
      </c>
      <c r="DT24">
        <v>29.76</v>
      </c>
      <c r="DU24">
        <v>11.0938</v>
      </c>
      <c r="DV24">
        <v>1</v>
      </c>
      <c r="DW24">
        <v>-0.00258943</v>
      </c>
      <c r="DX24">
        <v>-0.377083</v>
      </c>
      <c r="DY24">
        <v>20.3675</v>
      </c>
      <c r="DZ24">
        <v>5.21286</v>
      </c>
      <c r="EA24">
        <v>11.8482</v>
      </c>
      <c r="EB24">
        <v>4.9686</v>
      </c>
      <c r="EC24">
        <v>3.292</v>
      </c>
      <c r="ED24">
        <v>879.4</v>
      </c>
      <c r="EE24">
        <v>9999</v>
      </c>
      <c r="EF24">
        <v>9999</v>
      </c>
      <c r="EG24">
        <v>80.2</v>
      </c>
      <c r="EH24">
        <v>4.97161</v>
      </c>
      <c r="EI24">
        <v>1.87165</v>
      </c>
      <c r="EJ24">
        <v>1.86875</v>
      </c>
      <c r="EK24">
        <v>1.87119</v>
      </c>
      <c r="EL24">
        <v>1.86891</v>
      </c>
      <c r="EM24">
        <v>1.86785</v>
      </c>
      <c r="EN24">
        <v>1.86974</v>
      </c>
      <c r="EO24">
        <v>1.87164</v>
      </c>
      <c r="EP24">
        <v>0</v>
      </c>
      <c r="EQ24">
        <v>0</v>
      </c>
      <c r="ER24">
        <v>0</v>
      </c>
      <c r="ES24">
        <v>0</v>
      </c>
      <c r="ET24" t="s">
        <v>334</v>
      </c>
      <c r="EU24" t="s">
        <v>335</v>
      </c>
      <c r="EV24" t="s">
        <v>336</v>
      </c>
      <c r="EW24" t="s">
        <v>336</v>
      </c>
      <c r="EX24" t="s">
        <v>336</v>
      </c>
      <c r="EY24" t="s">
        <v>336</v>
      </c>
      <c r="EZ24">
        <v>0</v>
      </c>
      <c r="FA24">
        <v>100</v>
      </c>
      <c r="FB24">
        <v>100</v>
      </c>
      <c r="FC24">
        <v>6.496</v>
      </c>
      <c r="FD24">
        <v>0.0588</v>
      </c>
      <c r="FE24">
        <v>6.495476190476325</v>
      </c>
      <c r="FF24">
        <v>0</v>
      </c>
      <c r="FG24">
        <v>0</v>
      </c>
      <c r="FH24">
        <v>0</v>
      </c>
      <c r="FI24">
        <v>0.05881499999999917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8.300000000000001</v>
      </c>
      <c r="FR24">
        <v>8.5</v>
      </c>
      <c r="FS24">
        <v>0.145264</v>
      </c>
      <c r="FT24">
        <v>4.99756</v>
      </c>
      <c r="FU24">
        <v>1.5979</v>
      </c>
      <c r="FV24">
        <v>2.17773</v>
      </c>
      <c r="FW24">
        <v>1.54785</v>
      </c>
      <c r="FX24">
        <v>2.35596</v>
      </c>
      <c r="FY24">
        <v>30.1576</v>
      </c>
      <c r="FZ24">
        <v>16.2159</v>
      </c>
      <c r="GA24">
        <v>3</v>
      </c>
      <c r="GB24">
        <v>496.777</v>
      </c>
      <c r="GC24">
        <v>379.693</v>
      </c>
      <c r="GD24">
        <v>25.9701</v>
      </c>
      <c r="GE24">
        <v>27.0673</v>
      </c>
      <c r="GF24">
        <v>30.0004</v>
      </c>
      <c r="GG24">
        <v>26.8502</v>
      </c>
      <c r="GH24">
        <v>26.8065</v>
      </c>
      <c r="GI24">
        <v>-1</v>
      </c>
      <c r="GJ24">
        <v>100</v>
      </c>
      <c r="GK24">
        <v>0</v>
      </c>
      <c r="GL24">
        <v>25.9718</v>
      </c>
      <c r="GM24">
        <v>1200</v>
      </c>
      <c r="GN24">
        <v>26.7455</v>
      </c>
      <c r="GO24">
        <v>102.948</v>
      </c>
      <c r="GP24">
        <v>97.59910000000001</v>
      </c>
    </row>
    <row r="25" spans="1:198">
      <c r="A25">
        <v>9</v>
      </c>
      <c r="B25">
        <v>1773269343.6</v>
      </c>
      <c r="C25">
        <v>480</v>
      </c>
      <c r="D25" t="s">
        <v>351</v>
      </c>
      <c r="E25" t="s">
        <v>352</v>
      </c>
      <c r="F25">
        <v>15</v>
      </c>
      <c r="G25">
        <v>1773269335.599999</v>
      </c>
      <c r="H25">
        <f>(I25)/1000</f>
        <v>0</v>
      </c>
      <c r="I25">
        <f>1000*AY25*AG25*(AU25-AV25)/(100*AN25*(1000-AG25*AU25))</f>
        <v>0</v>
      </c>
      <c r="J25">
        <f>AY25*AG25*(AT25-AS25*(1000-AG25*AV25)/(1000-AG25*AU25))/(100*AN25)</f>
        <v>0</v>
      </c>
      <c r="K25">
        <f>AS25 - IF(AG25&gt;1, J25*AN25*100.0/(AI25), 0)</f>
        <v>0</v>
      </c>
      <c r="L25">
        <f>((R25-H25/2)*K25-J25)/(R25+H25/2)</f>
        <v>0</v>
      </c>
      <c r="M25">
        <f>L25*(AZ25+BA25)/1000.0</f>
        <v>0</v>
      </c>
      <c r="N25">
        <f>(AS25 - IF(AG25&gt;1, J25*AN25*100.0/(AI25), 0))*(AZ25+BA25)/1000.0</f>
        <v>0</v>
      </c>
      <c r="O25">
        <f>2.0/((1/Q25-1/P25)+SIGN(Q25)*SQRT((1/Q25-1/P25)*(1/Q25-1/P25) + 4*AO25/((AO25+1)*(AO25+1))*(2*1/Q25*1/P25-1/P25*1/P25)))</f>
        <v>0</v>
      </c>
      <c r="P25">
        <f>IF(LEFT(AP25,1)&lt;&gt;"0",IF(LEFT(AP25,1)="1",3.0,AQ25),$D$5+$E$5*(BG25*AZ25/($K$5*1000))+$F$5*(BG25*AZ25/($K$5*1000))*MAX(MIN(AN25,$J$5),$I$5)*MAX(MIN(AN25,$J$5),$I$5)+$G$5*MAX(MIN(AN25,$J$5),$I$5)*(BG25*AZ25/($K$5*1000))+$H$5*(BG25*AZ25/($K$5*1000))*(BG25*AZ25/($K$5*1000)))</f>
        <v>0</v>
      </c>
      <c r="Q25">
        <f>H25*(1000-(1000*0.61365*exp(17.502*U25/(240.97+U25))/(AZ25+BA25)+AU25)/2)/(1000*0.61365*exp(17.502*U25/(240.97+U25))/(AZ25+BA25)-AU25)</f>
        <v>0</v>
      </c>
      <c r="R25">
        <f>1/((AO25+1)/(O25/1.6)+1/(P25/1.37)) + AO25/((AO25+1)/(O25/1.6) + AO25/(P25/1.37))</f>
        <v>0</v>
      </c>
      <c r="S25">
        <f>(AJ25*AM25)</f>
        <v>0</v>
      </c>
      <c r="T25">
        <f>(BB25+(S25+2*0.95*5.67E-8*(((BB25+$B$7)+273)^4-(BB25+273)^4)-44100*H25)/(1.84*29.3*P25+8*0.95*5.67E-8*(BB25+273)^3))</f>
        <v>0</v>
      </c>
      <c r="U25">
        <f>($C$7*BC25+$D$7*BD25+$E$7*T25)</f>
        <v>0</v>
      </c>
      <c r="V25">
        <f>0.61365*exp(17.502*U25/(240.97+U25))</f>
        <v>0</v>
      </c>
      <c r="W25">
        <f>(X25/Y25*100)</f>
        <v>0</v>
      </c>
      <c r="X25">
        <f>AU25*(AZ25+BA25)/1000</f>
        <v>0</v>
      </c>
      <c r="Y25">
        <f>0.61365*exp(17.502*BB25/(240.97+BB25))</f>
        <v>0</v>
      </c>
      <c r="Z25">
        <f>(V25-AU25*(AZ25+BA25)/1000)</f>
        <v>0</v>
      </c>
      <c r="AA25">
        <f>(-H25*44100)</f>
        <v>0</v>
      </c>
      <c r="AB25">
        <f>2*29.3*P25*0.92*(BB25-U25)</f>
        <v>0</v>
      </c>
      <c r="AC25">
        <f>2*0.95*5.67E-8*(((BB25+$B$7)+273)^4-(U25+273)^4)</f>
        <v>0</v>
      </c>
      <c r="AD25">
        <f>S25+AC25+AA25+AB25</f>
        <v>0</v>
      </c>
      <c r="AE25">
        <v>5</v>
      </c>
      <c r="AF25">
        <v>1</v>
      </c>
      <c r="AG25">
        <f>IF(AE25*$H$13&gt;=AI25,1.0,(AI25/(AI25-AE25*$H$13)))</f>
        <v>0</v>
      </c>
      <c r="AH25">
        <f>(AG25-1)*100</f>
        <v>0</v>
      </c>
      <c r="AI25">
        <f>MAX(0,($B$13+$C$13*BG25)/(1+$D$13*BG25)*AZ25/(BB25+273)*$E$13)</f>
        <v>0</v>
      </c>
      <c r="AJ25">
        <f>$B$11*BH25+$C$11*BI25+$D$11*BT25</f>
        <v>0</v>
      </c>
      <c r="AK25">
        <f>AJ25*AL25</f>
        <v>0</v>
      </c>
      <c r="AL25">
        <f>($B$11*$D$9+$C$11*$D$9+$D$11*(BU25*$E$9+BV25*$G$9))/($B$11+$C$11+$D$11)</f>
        <v>0</v>
      </c>
      <c r="AM25">
        <f>($B$11*$K$9+$C$11*$K$9+$D$11*(BU25*$L$9+BV25*$N$9))/($B$11+$C$11+$D$11)</f>
        <v>0</v>
      </c>
      <c r="AN25">
        <v>3</v>
      </c>
      <c r="AO25">
        <v>0.5</v>
      </c>
      <c r="AP25" t="s">
        <v>331</v>
      </c>
      <c r="AQ25">
        <v>2</v>
      </c>
      <c r="AR25">
        <v>1773269335.599999</v>
      </c>
      <c r="AS25">
        <v>493.1219677419355</v>
      </c>
      <c r="AT25">
        <v>493.0575806451612</v>
      </c>
      <c r="AU25">
        <v>8.69617193548387</v>
      </c>
      <c r="AV25">
        <v>6.178709032258065</v>
      </c>
      <c r="AW25">
        <v>486.6263548387098</v>
      </c>
      <c r="AX25">
        <v>8.637358387096773</v>
      </c>
      <c r="AY25">
        <v>500.0026451612903</v>
      </c>
      <c r="AZ25">
        <v>100.2218387096774</v>
      </c>
      <c r="BA25">
        <v>0.03211716129032258</v>
      </c>
      <c r="BB25">
        <v>25.00380645161291</v>
      </c>
      <c r="BC25">
        <v>23.95373225806452</v>
      </c>
      <c r="BD25">
        <v>999.9000000000003</v>
      </c>
      <c r="BE25">
        <v>0</v>
      </c>
      <c r="BF25">
        <v>0</v>
      </c>
      <c r="BG25">
        <v>4995.903225806452</v>
      </c>
      <c r="BH25">
        <v>0.3972967741935484</v>
      </c>
      <c r="BI25">
        <v>6.151145161290321</v>
      </c>
      <c r="BJ25">
        <v>0.06436650999999999</v>
      </c>
      <c r="BK25">
        <v>497.447806451613</v>
      </c>
      <c r="BL25">
        <v>496.1230322580645</v>
      </c>
      <c r="BM25">
        <v>2.517463870967742</v>
      </c>
      <c r="BN25">
        <v>493.0575806451612</v>
      </c>
      <c r="BO25">
        <v>6.178709032258065</v>
      </c>
      <c r="BP25">
        <v>0.8715457419354837</v>
      </c>
      <c r="BQ25">
        <v>0.6192409999999999</v>
      </c>
      <c r="BR25">
        <v>4.929262580645162</v>
      </c>
      <c r="BS25">
        <v>0.1249364516129032</v>
      </c>
      <c r="BT25">
        <v>0</v>
      </c>
      <c r="BU25">
        <v>0</v>
      </c>
      <c r="BV25">
        <v>0</v>
      </c>
      <c r="BW25">
        <v>24</v>
      </c>
      <c r="BX25">
        <v>0</v>
      </c>
      <c r="BY25">
        <v>1773268786.6</v>
      </c>
      <c r="BZ25" t="s">
        <v>332</v>
      </c>
      <c r="CA25">
        <v>1773268786.6</v>
      </c>
      <c r="CB25">
        <v>1773268774.1</v>
      </c>
      <c r="CC25">
        <v>2</v>
      </c>
      <c r="CD25">
        <v>0.264</v>
      </c>
      <c r="CE25">
        <v>-0.024</v>
      </c>
      <c r="CF25">
        <v>6.495</v>
      </c>
      <c r="CG25">
        <v>0.059</v>
      </c>
      <c r="CH25">
        <v>488</v>
      </c>
      <c r="CI25">
        <v>25</v>
      </c>
      <c r="CJ25">
        <v>0.48</v>
      </c>
      <c r="CK25">
        <v>0.14</v>
      </c>
      <c r="CL25">
        <v>493.0575806451612</v>
      </c>
      <c r="CM25">
        <v>3.615919354838342</v>
      </c>
      <c r="CN25">
        <v>0.2814785586509755</v>
      </c>
      <c r="CO25">
        <v>-1</v>
      </c>
      <c r="CP25">
        <v>500.0026451612903</v>
      </c>
      <c r="CQ25">
        <v>-0.2233064516137081</v>
      </c>
      <c r="CR25">
        <v>0.0518748794865885</v>
      </c>
      <c r="CS25">
        <v>-1</v>
      </c>
      <c r="CT25">
        <v>0</v>
      </c>
      <c r="CU25">
        <v>0</v>
      </c>
      <c r="CV25" t="s">
        <v>333</v>
      </c>
      <c r="CW25">
        <v>3.16872</v>
      </c>
      <c r="CX25">
        <v>2.6534</v>
      </c>
      <c r="CY25">
        <v>0.114471</v>
      </c>
      <c r="CZ25">
        <v>0.115696</v>
      </c>
      <c r="DA25">
        <v>0.0534792</v>
      </c>
      <c r="DB25">
        <v>0.0406496</v>
      </c>
      <c r="DC25">
        <v>21420</v>
      </c>
      <c r="DD25">
        <v>21841.9</v>
      </c>
      <c r="DE25">
        <v>23275.4</v>
      </c>
      <c r="DF25">
        <v>22581.8</v>
      </c>
      <c r="DG25">
        <v>33273.9</v>
      </c>
      <c r="DH25">
        <v>30573.1</v>
      </c>
      <c r="DI25">
        <v>40886.4</v>
      </c>
      <c r="DJ25">
        <v>37389.7</v>
      </c>
      <c r="DK25">
        <v>2.12498</v>
      </c>
      <c r="DL25">
        <v>1.78668</v>
      </c>
      <c r="DM25">
        <v>-0.0325322</v>
      </c>
      <c r="DN25">
        <v>0</v>
      </c>
      <c r="DO25">
        <v>24.4967</v>
      </c>
      <c r="DP25">
        <v>999.9</v>
      </c>
      <c r="DQ25">
        <v>70.90000000000001</v>
      </c>
      <c r="DR25">
        <v>26</v>
      </c>
      <c r="DS25">
        <v>23.8706</v>
      </c>
      <c r="DT25">
        <v>30.63</v>
      </c>
      <c r="DU25">
        <v>11.23</v>
      </c>
      <c r="DV25">
        <v>1</v>
      </c>
      <c r="DW25">
        <v>0.0010061</v>
      </c>
      <c r="DX25">
        <v>-0.349044</v>
      </c>
      <c r="DY25">
        <v>20.3673</v>
      </c>
      <c r="DZ25">
        <v>5.2119</v>
      </c>
      <c r="EA25">
        <v>11.8482</v>
      </c>
      <c r="EB25">
        <v>4.96868</v>
      </c>
      <c r="EC25">
        <v>3.292</v>
      </c>
      <c r="ED25">
        <v>879.4</v>
      </c>
      <c r="EE25">
        <v>9999</v>
      </c>
      <c r="EF25">
        <v>9999</v>
      </c>
      <c r="EG25">
        <v>80.2</v>
      </c>
      <c r="EH25">
        <v>4.97162</v>
      </c>
      <c r="EI25">
        <v>1.87164</v>
      </c>
      <c r="EJ25">
        <v>1.86875</v>
      </c>
      <c r="EK25">
        <v>1.87121</v>
      </c>
      <c r="EL25">
        <v>1.8689</v>
      </c>
      <c r="EM25">
        <v>1.86788</v>
      </c>
      <c r="EN25">
        <v>1.86979</v>
      </c>
      <c r="EO25">
        <v>1.87164</v>
      </c>
      <c r="EP25">
        <v>0</v>
      </c>
      <c r="EQ25">
        <v>0</v>
      </c>
      <c r="ER25">
        <v>0</v>
      </c>
      <c r="ES25">
        <v>0</v>
      </c>
      <c r="ET25" t="s">
        <v>334</v>
      </c>
      <c r="EU25" t="s">
        <v>335</v>
      </c>
      <c r="EV25" t="s">
        <v>336</v>
      </c>
      <c r="EW25" t="s">
        <v>336</v>
      </c>
      <c r="EX25" t="s">
        <v>336</v>
      </c>
      <c r="EY25" t="s">
        <v>336</v>
      </c>
      <c r="EZ25">
        <v>0</v>
      </c>
      <c r="FA25">
        <v>100</v>
      </c>
      <c r="FB25">
        <v>100</v>
      </c>
      <c r="FC25">
        <v>6.496</v>
      </c>
      <c r="FD25">
        <v>0.0588</v>
      </c>
      <c r="FE25">
        <v>6.495476190476325</v>
      </c>
      <c r="FF25">
        <v>0</v>
      </c>
      <c r="FG25">
        <v>0</v>
      </c>
      <c r="FH25">
        <v>0</v>
      </c>
      <c r="FI25">
        <v>0.05881499999999917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9.300000000000001</v>
      </c>
      <c r="FR25">
        <v>9.5</v>
      </c>
      <c r="FS25">
        <v>0.145264</v>
      </c>
      <c r="FT25">
        <v>4.99756</v>
      </c>
      <c r="FU25">
        <v>1.5979</v>
      </c>
      <c r="FV25">
        <v>2.17651</v>
      </c>
      <c r="FW25">
        <v>1.54785</v>
      </c>
      <c r="FX25">
        <v>2.42798</v>
      </c>
      <c r="FY25">
        <v>30.2649</v>
      </c>
      <c r="FZ25">
        <v>16.2159</v>
      </c>
      <c r="GA25">
        <v>3</v>
      </c>
      <c r="GB25">
        <v>496.978</v>
      </c>
      <c r="GC25">
        <v>379.569</v>
      </c>
      <c r="GD25">
        <v>25.9783</v>
      </c>
      <c r="GE25">
        <v>27.1134</v>
      </c>
      <c r="GF25">
        <v>30.0003</v>
      </c>
      <c r="GG25">
        <v>26.9172</v>
      </c>
      <c r="GH25">
        <v>26.8786</v>
      </c>
      <c r="GI25">
        <v>-1</v>
      </c>
      <c r="GJ25">
        <v>100</v>
      </c>
      <c r="GK25">
        <v>0</v>
      </c>
      <c r="GL25">
        <v>25.9806</v>
      </c>
      <c r="GM25">
        <v>1200</v>
      </c>
      <c r="GN25">
        <v>26.7455</v>
      </c>
      <c r="GO25">
        <v>102.935</v>
      </c>
      <c r="GP25">
        <v>97.5972</v>
      </c>
    </row>
    <row r="26" spans="1:198">
      <c r="A26">
        <v>10</v>
      </c>
      <c r="B26">
        <v>1773269404</v>
      </c>
      <c r="C26">
        <v>540.4000000953674</v>
      </c>
      <c r="D26" t="s">
        <v>353</v>
      </c>
      <c r="E26" t="s">
        <v>354</v>
      </c>
      <c r="F26">
        <v>15</v>
      </c>
      <c r="G26">
        <v>1773269396</v>
      </c>
      <c r="H26">
        <f>(I26)/1000</f>
        <v>0</v>
      </c>
      <c r="I26">
        <f>1000*AY26*AG26*(AU26-AV26)/(100*AN26*(1000-AG26*AU26))</f>
        <v>0</v>
      </c>
      <c r="J26">
        <f>AY26*AG26*(AT26-AS26*(1000-AG26*AV26)/(1000-AG26*AU26))/(100*AN26)</f>
        <v>0</v>
      </c>
      <c r="K26">
        <f>AS26 - IF(AG26&gt;1, J26*AN26*100.0/(AI26), 0)</f>
        <v>0</v>
      </c>
      <c r="L26">
        <f>((R26-H26/2)*K26-J26)/(R26+H26/2)</f>
        <v>0</v>
      </c>
      <c r="M26">
        <f>L26*(AZ26+BA26)/1000.0</f>
        <v>0</v>
      </c>
      <c r="N26">
        <f>(AS26 - IF(AG26&gt;1, J26*AN26*100.0/(AI26), 0))*(AZ26+BA26)/1000.0</f>
        <v>0</v>
      </c>
      <c r="O26">
        <f>2.0/((1/Q26-1/P26)+SIGN(Q26)*SQRT((1/Q26-1/P26)*(1/Q26-1/P26) + 4*AO26/((AO26+1)*(AO26+1))*(2*1/Q26*1/P26-1/P26*1/P26)))</f>
        <v>0</v>
      </c>
      <c r="P26">
        <f>IF(LEFT(AP26,1)&lt;&gt;"0",IF(LEFT(AP26,1)="1",3.0,AQ26),$D$5+$E$5*(BG26*AZ26/($K$5*1000))+$F$5*(BG26*AZ26/($K$5*1000))*MAX(MIN(AN26,$J$5),$I$5)*MAX(MIN(AN26,$J$5),$I$5)+$G$5*MAX(MIN(AN26,$J$5),$I$5)*(BG26*AZ26/($K$5*1000))+$H$5*(BG26*AZ26/($K$5*1000))*(BG26*AZ26/($K$5*1000)))</f>
        <v>0</v>
      </c>
      <c r="Q26">
        <f>H26*(1000-(1000*0.61365*exp(17.502*U26/(240.97+U26))/(AZ26+BA26)+AU26)/2)/(1000*0.61365*exp(17.502*U26/(240.97+U26))/(AZ26+BA26)-AU26)</f>
        <v>0</v>
      </c>
      <c r="R26">
        <f>1/((AO26+1)/(O26/1.6)+1/(P26/1.37)) + AO26/((AO26+1)/(O26/1.6) + AO26/(P26/1.37))</f>
        <v>0</v>
      </c>
      <c r="S26">
        <f>(AJ26*AM26)</f>
        <v>0</v>
      </c>
      <c r="T26">
        <f>(BB26+(S26+2*0.95*5.67E-8*(((BB26+$B$7)+273)^4-(BB26+273)^4)-44100*H26)/(1.84*29.3*P26+8*0.95*5.67E-8*(BB26+273)^3))</f>
        <v>0</v>
      </c>
      <c r="U26">
        <f>($C$7*BC26+$D$7*BD26+$E$7*T26)</f>
        <v>0</v>
      </c>
      <c r="V26">
        <f>0.61365*exp(17.502*U26/(240.97+U26))</f>
        <v>0</v>
      </c>
      <c r="W26">
        <f>(X26/Y26*100)</f>
        <v>0</v>
      </c>
      <c r="X26">
        <f>AU26*(AZ26+BA26)/1000</f>
        <v>0</v>
      </c>
      <c r="Y26">
        <f>0.61365*exp(17.502*BB26/(240.97+BB26))</f>
        <v>0</v>
      </c>
      <c r="Z26">
        <f>(V26-AU26*(AZ26+BA26)/1000)</f>
        <v>0</v>
      </c>
      <c r="AA26">
        <f>(-H26*44100)</f>
        <v>0</v>
      </c>
      <c r="AB26">
        <f>2*29.3*P26*0.92*(BB26-U26)</f>
        <v>0</v>
      </c>
      <c r="AC26">
        <f>2*0.95*5.67E-8*(((BB26+$B$7)+273)^4-(U26+273)^4)</f>
        <v>0</v>
      </c>
      <c r="AD26">
        <f>S26+AC26+AA26+AB26</f>
        <v>0</v>
      </c>
      <c r="AE26">
        <v>5</v>
      </c>
      <c r="AF26">
        <v>1</v>
      </c>
      <c r="AG26">
        <f>IF(AE26*$H$13&gt;=AI26,1.0,(AI26/(AI26-AE26*$H$13)))</f>
        <v>0</v>
      </c>
      <c r="AH26">
        <f>(AG26-1)*100</f>
        <v>0</v>
      </c>
      <c r="AI26">
        <f>MAX(0,($B$13+$C$13*BG26)/(1+$D$13*BG26)*AZ26/(BB26+273)*$E$13)</f>
        <v>0</v>
      </c>
      <c r="AJ26">
        <f>$B$11*BH26+$C$11*BI26+$D$11*BT26</f>
        <v>0</v>
      </c>
      <c r="AK26">
        <f>AJ26*AL26</f>
        <v>0</v>
      </c>
      <c r="AL26">
        <f>($B$11*$D$9+$C$11*$D$9+$D$11*(BU26*$E$9+BV26*$G$9))/($B$11+$C$11+$D$11)</f>
        <v>0</v>
      </c>
      <c r="AM26">
        <f>($B$11*$K$9+$C$11*$K$9+$D$11*(BU26*$L$9+BV26*$N$9))/($B$11+$C$11+$D$11)</f>
        <v>0</v>
      </c>
      <c r="AN26">
        <v>3</v>
      </c>
      <c r="AO26">
        <v>0.5</v>
      </c>
      <c r="AP26" t="s">
        <v>331</v>
      </c>
      <c r="AQ26">
        <v>2</v>
      </c>
      <c r="AR26">
        <v>1773269396</v>
      </c>
      <c r="AS26">
        <v>493.3583870967742</v>
      </c>
      <c r="AT26">
        <v>492.1998387096775</v>
      </c>
      <c r="AU26">
        <v>8.54703741935484</v>
      </c>
      <c r="AV26">
        <v>6.232479677419355</v>
      </c>
      <c r="AW26">
        <v>486.8628709677419</v>
      </c>
      <c r="AX26">
        <v>8.488222580645161</v>
      </c>
      <c r="AY26">
        <v>500.0113870967742</v>
      </c>
      <c r="AZ26">
        <v>100.2242580645161</v>
      </c>
      <c r="BA26">
        <v>0.03268708064516129</v>
      </c>
      <c r="BB26">
        <v>24.99551612903226</v>
      </c>
      <c r="BC26">
        <v>24.03617419354839</v>
      </c>
      <c r="BD26">
        <v>999.9000000000003</v>
      </c>
      <c r="BE26">
        <v>0</v>
      </c>
      <c r="BF26">
        <v>0</v>
      </c>
      <c r="BG26">
        <v>4998.451612903225</v>
      </c>
      <c r="BH26">
        <v>0.4359220322580646</v>
      </c>
      <c r="BI26">
        <v>7.069830322580645</v>
      </c>
      <c r="BJ26">
        <v>1.158550225806452</v>
      </c>
      <c r="BK26">
        <v>497.6115161290323</v>
      </c>
      <c r="BL26">
        <v>495.2866129032259</v>
      </c>
      <c r="BM26">
        <v>2.314557741935484</v>
      </c>
      <c r="BN26">
        <v>492.1998387096775</v>
      </c>
      <c r="BO26">
        <v>6.232479677419355</v>
      </c>
      <c r="BP26">
        <v>0.8566203548387098</v>
      </c>
      <c r="BQ26">
        <v>0.6246454838709677</v>
      </c>
      <c r="BR26">
        <v>4.681858709677419</v>
      </c>
      <c r="BS26">
        <v>0.2447607419354838</v>
      </c>
      <c r="BT26">
        <v>0</v>
      </c>
      <c r="BU26">
        <v>0</v>
      </c>
      <c r="BV26">
        <v>0</v>
      </c>
      <c r="BW26">
        <v>24</v>
      </c>
      <c r="BX26">
        <v>0</v>
      </c>
      <c r="BY26">
        <v>1773268786.6</v>
      </c>
      <c r="BZ26" t="s">
        <v>332</v>
      </c>
      <c r="CA26">
        <v>1773268786.6</v>
      </c>
      <c r="CB26">
        <v>1773268774.1</v>
      </c>
      <c r="CC26">
        <v>2</v>
      </c>
      <c r="CD26">
        <v>0.264</v>
      </c>
      <c r="CE26">
        <v>-0.024</v>
      </c>
      <c r="CF26">
        <v>6.495</v>
      </c>
      <c r="CG26">
        <v>0.059</v>
      </c>
      <c r="CH26">
        <v>488</v>
      </c>
      <c r="CI26">
        <v>25</v>
      </c>
      <c r="CJ26">
        <v>0.48</v>
      </c>
      <c r="CK26">
        <v>0.14</v>
      </c>
      <c r="CL26">
        <v>492.2435666666667</v>
      </c>
      <c r="CM26">
        <v>-8.893481646274067</v>
      </c>
      <c r="CN26">
        <v>0.6547629435316412</v>
      </c>
      <c r="CO26">
        <v>-1</v>
      </c>
      <c r="CP26">
        <v>500.0134</v>
      </c>
      <c r="CQ26">
        <v>0.2406407119026007</v>
      </c>
      <c r="CR26">
        <v>0.06414701863688026</v>
      </c>
      <c r="CS26">
        <v>-1</v>
      </c>
      <c r="CT26">
        <v>0</v>
      </c>
      <c r="CU26">
        <v>0</v>
      </c>
      <c r="CV26" t="s">
        <v>333</v>
      </c>
      <c r="CW26">
        <v>3.16875</v>
      </c>
      <c r="CX26">
        <v>2.6539</v>
      </c>
      <c r="CY26">
        <v>0.114308</v>
      </c>
      <c r="CZ26">
        <v>0.115173</v>
      </c>
      <c r="DA26">
        <v>0.052735</v>
      </c>
      <c r="DB26">
        <v>0.0409314</v>
      </c>
      <c r="DC26">
        <v>21421.1</v>
      </c>
      <c r="DD26">
        <v>21854.8</v>
      </c>
      <c r="DE26">
        <v>23272.5</v>
      </c>
      <c r="DF26">
        <v>22582</v>
      </c>
      <c r="DG26">
        <v>33296.2</v>
      </c>
      <c r="DH26">
        <v>30563.9</v>
      </c>
      <c r="DI26">
        <v>40881.7</v>
      </c>
      <c r="DJ26">
        <v>37389.5</v>
      </c>
      <c r="DK26">
        <v>2.12432</v>
      </c>
      <c r="DL26">
        <v>1.78628</v>
      </c>
      <c r="DM26">
        <v>-0.0273228</v>
      </c>
      <c r="DN26">
        <v>0</v>
      </c>
      <c r="DO26">
        <v>24.4982</v>
      </c>
      <c r="DP26">
        <v>999.9</v>
      </c>
      <c r="DQ26">
        <v>70.90000000000001</v>
      </c>
      <c r="DR26">
        <v>26.1</v>
      </c>
      <c r="DS26">
        <v>24.0137</v>
      </c>
      <c r="DT26">
        <v>30.19</v>
      </c>
      <c r="DU26">
        <v>11.1218</v>
      </c>
      <c r="DV26">
        <v>1</v>
      </c>
      <c r="DW26">
        <v>0.00424594</v>
      </c>
      <c r="DX26">
        <v>-0.392954</v>
      </c>
      <c r="DY26">
        <v>20.3671</v>
      </c>
      <c r="DZ26">
        <v>5.21142</v>
      </c>
      <c r="EA26">
        <v>11.8482</v>
      </c>
      <c r="EB26">
        <v>4.96888</v>
      </c>
      <c r="EC26">
        <v>3.292</v>
      </c>
      <c r="ED26">
        <v>879.4</v>
      </c>
      <c r="EE26">
        <v>9999</v>
      </c>
      <c r="EF26">
        <v>9999</v>
      </c>
      <c r="EG26">
        <v>80.3</v>
      </c>
      <c r="EH26">
        <v>4.97162</v>
      </c>
      <c r="EI26">
        <v>1.87165</v>
      </c>
      <c r="EJ26">
        <v>1.86876</v>
      </c>
      <c r="EK26">
        <v>1.87121</v>
      </c>
      <c r="EL26">
        <v>1.8689</v>
      </c>
      <c r="EM26">
        <v>1.86788</v>
      </c>
      <c r="EN26">
        <v>1.8698</v>
      </c>
      <c r="EO26">
        <v>1.87164</v>
      </c>
      <c r="EP26">
        <v>0</v>
      </c>
      <c r="EQ26">
        <v>0</v>
      </c>
      <c r="ER26">
        <v>0</v>
      </c>
      <c r="ES26">
        <v>0</v>
      </c>
      <c r="ET26" t="s">
        <v>334</v>
      </c>
      <c r="EU26" t="s">
        <v>335</v>
      </c>
      <c r="EV26" t="s">
        <v>336</v>
      </c>
      <c r="EW26" t="s">
        <v>336</v>
      </c>
      <c r="EX26" t="s">
        <v>336</v>
      </c>
      <c r="EY26" t="s">
        <v>336</v>
      </c>
      <c r="EZ26">
        <v>0</v>
      </c>
      <c r="FA26">
        <v>100</v>
      </c>
      <c r="FB26">
        <v>100</v>
      </c>
      <c r="FC26">
        <v>6.495</v>
      </c>
      <c r="FD26">
        <v>0.0588</v>
      </c>
      <c r="FE26">
        <v>6.495476190476325</v>
      </c>
      <c r="FF26">
        <v>0</v>
      </c>
      <c r="FG26">
        <v>0</v>
      </c>
      <c r="FH26">
        <v>0</v>
      </c>
      <c r="FI26">
        <v>0.05881499999999917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10.3</v>
      </c>
      <c r="FR26">
        <v>10.5</v>
      </c>
      <c r="FS26">
        <v>0.145264</v>
      </c>
      <c r="FT26">
        <v>4.99756</v>
      </c>
      <c r="FU26">
        <v>1.5979</v>
      </c>
      <c r="FV26">
        <v>2.17651</v>
      </c>
      <c r="FW26">
        <v>1.54785</v>
      </c>
      <c r="FX26">
        <v>2.39014</v>
      </c>
      <c r="FY26">
        <v>30.3509</v>
      </c>
      <c r="FZ26">
        <v>16.2159</v>
      </c>
      <c r="GA26">
        <v>3</v>
      </c>
      <c r="GB26">
        <v>497.091</v>
      </c>
      <c r="GC26">
        <v>379.77</v>
      </c>
      <c r="GD26">
        <v>25.9843</v>
      </c>
      <c r="GE26">
        <v>27.1545</v>
      </c>
      <c r="GF26">
        <v>30.0003</v>
      </c>
      <c r="GG26">
        <v>26.9776</v>
      </c>
      <c r="GH26">
        <v>26.9433</v>
      </c>
      <c r="GI26">
        <v>-1</v>
      </c>
      <c r="GJ26">
        <v>100</v>
      </c>
      <c r="GK26">
        <v>0</v>
      </c>
      <c r="GL26">
        <v>25.989</v>
      </c>
      <c r="GM26">
        <v>1200</v>
      </c>
      <c r="GN26">
        <v>26.7455</v>
      </c>
      <c r="GO26">
        <v>102.923</v>
      </c>
      <c r="GP26">
        <v>97.5971</v>
      </c>
    </row>
    <row r="27" spans="1:198">
      <c r="A27">
        <v>11</v>
      </c>
      <c r="B27">
        <v>1773269464</v>
      </c>
      <c r="C27">
        <v>600.4000000953674</v>
      </c>
      <c r="D27" t="s">
        <v>355</v>
      </c>
      <c r="E27" t="s">
        <v>356</v>
      </c>
      <c r="F27">
        <v>15</v>
      </c>
      <c r="G27">
        <v>1773269456</v>
      </c>
      <c r="H27">
        <f>(I27)/1000</f>
        <v>0</v>
      </c>
      <c r="I27">
        <f>1000*AY27*AG27*(AU27-AV27)/(100*AN27*(1000-AG27*AU27))</f>
        <v>0</v>
      </c>
      <c r="J27">
        <f>AY27*AG27*(AT27-AS27*(1000-AG27*AV27)/(1000-AG27*AU27))/(100*AN27)</f>
        <v>0</v>
      </c>
      <c r="K27">
        <f>AS27 - IF(AG27&gt;1, J27*AN27*100.0/(AI27), 0)</f>
        <v>0</v>
      </c>
      <c r="L27">
        <f>((R27-H27/2)*K27-J27)/(R27+H27/2)</f>
        <v>0</v>
      </c>
      <c r="M27">
        <f>L27*(AZ27+BA27)/1000.0</f>
        <v>0</v>
      </c>
      <c r="N27">
        <f>(AS27 - IF(AG27&gt;1, J27*AN27*100.0/(AI27), 0))*(AZ27+BA27)/1000.0</f>
        <v>0</v>
      </c>
      <c r="O27">
        <f>2.0/((1/Q27-1/P27)+SIGN(Q27)*SQRT((1/Q27-1/P27)*(1/Q27-1/P27) + 4*AO27/((AO27+1)*(AO27+1))*(2*1/Q27*1/P27-1/P27*1/P27)))</f>
        <v>0</v>
      </c>
      <c r="P27">
        <f>IF(LEFT(AP27,1)&lt;&gt;"0",IF(LEFT(AP27,1)="1",3.0,AQ27),$D$5+$E$5*(BG27*AZ27/($K$5*1000))+$F$5*(BG27*AZ27/($K$5*1000))*MAX(MIN(AN27,$J$5),$I$5)*MAX(MIN(AN27,$J$5),$I$5)+$G$5*MAX(MIN(AN27,$J$5),$I$5)*(BG27*AZ27/($K$5*1000))+$H$5*(BG27*AZ27/($K$5*1000))*(BG27*AZ27/($K$5*1000)))</f>
        <v>0</v>
      </c>
      <c r="Q27">
        <f>H27*(1000-(1000*0.61365*exp(17.502*U27/(240.97+U27))/(AZ27+BA27)+AU27)/2)/(1000*0.61365*exp(17.502*U27/(240.97+U27))/(AZ27+BA27)-AU27)</f>
        <v>0</v>
      </c>
      <c r="R27">
        <f>1/((AO27+1)/(O27/1.6)+1/(P27/1.37)) + AO27/((AO27+1)/(O27/1.6) + AO27/(P27/1.37))</f>
        <v>0</v>
      </c>
      <c r="S27">
        <f>(AJ27*AM27)</f>
        <v>0</v>
      </c>
      <c r="T27">
        <f>(BB27+(S27+2*0.95*5.67E-8*(((BB27+$B$7)+273)^4-(BB27+273)^4)-44100*H27)/(1.84*29.3*P27+8*0.95*5.67E-8*(BB27+273)^3))</f>
        <v>0</v>
      </c>
      <c r="U27">
        <f>($C$7*BC27+$D$7*BD27+$E$7*T27)</f>
        <v>0</v>
      </c>
      <c r="V27">
        <f>0.61365*exp(17.502*U27/(240.97+U27))</f>
        <v>0</v>
      </c>
      <c r="W27">
        <f>(X27/Y27*100)</f>
        <v>0</v>
      </c>
      <c r="X27">
        <f>AU27*(AZ27+BA27)/1000</f>
        <v>0</v>
      </c>
      <c r="Y27">
        <f>0.61365*exp(17.502*BB27/(240.97+BB27))</f>
        <v>0</v>
      </c>
      <c r="Z27">
        <f>(V27-AU27*(AZ27+BA27)/1000)</f>
        <v>0</v>
      </c>
      <c r="AA27">
        <f>(-H27*44100)</f>
        <v>0</v>
      </c>
      <c r="AB27">
        <f>2*29.3*P27*0.92*(BB27-U27)</f>
        <v>0</v>
      </c>
      <c r="AC27">
        <f>2*0.95*5.67E-8*(((BB27+$B$7)+273)^4-(U27+273)^4)</f>
        <v>0</v>
      </c>
      <c r="AD27">
        <f>S27+AC27+AA27+AB27</f>
        <v>0</v>
      </c>
      <c r="AE27">
        <v>5</v>
      </c>
      <c r="AF27">
        <v>1</v>
      </c>
      <c r="AG27">
        <f>IF(AE27*$H$13&gt;=AI27,1.0,(AI27/(AI27-AE27*$H$13)))</f>
        <v>0</v>
      </c>
      <c r="AH27">
        <f>(AG27-1)*100</f>
        <v>0</v>
      </c>
      <c r="AI27">
        <f>MAX(0,($B$13+$C$13*BG27)/(1+$D$13*BG27)*AZ27/(BB27+273)*$E$13)</f>
        <v>0</v>
      </c>
      <c r="AJ27">
        <f>$B$11*BH27+$C$11*BI27+$D$11*BT27</f>
        <v>0</v>
      </c>
      <c r="AK27">
        <f>AJ27*AL27</f>
        <v>0</v>
      </c>
      <c r="AL27">
        <f>($B$11*$D$9+$C$11*$D$9+$D$11*(BU27*$E$9+BV27*$G$9))/($B$11+$C$11+$D$11)</f>
        <v>0</v>
      </c>
      <c r="AM27">
        <f>($B$11*$K$9+$C$11*$K$9+$D$11*(BU27*$L$9+BV27*$N$9))/($B$11+$C$11+$D$11)</f>
        <v>0</v>
      </c>
      <c r="AN27">
        <v>3</v>
      </c>
      <c r="AO27">
        <v>0.5</v>
      </c>
      <c r="AP27" t="s">
        <v>331</v>
      </c>
      <c r="AQ27">
        <v>2</v>
      </c>
      <c r="AR27">
        <v>1773269456</v>
      </c>
      <c r="AS27">
        <v>490.8704516129033</v>
      </c>
      <c r="AT27">
        <v>490.4168709677419</v>
      </c>
      <c r="AU27">
        <v>8.406696774193549</v>
      </c>
      <c r="AV27">
        <v>6.283997096774192</v>
      </c>
      <c r="AW27">
        <v>484.375</v>
      </c>
      <c r="AX27">
        <v>8.347881290322579</v>
      </c>
      <c r="AY27">
        <v>500.0047741935484</v>
      </c>
      <c r="AZ27">
        <v>100.225</v>
      </c>
      <c r="BA27">
        <v>0.03261961935483871</v>
      </c>
      <c r="BB27">
        <v>24.99440322580645</v>
      </c>
      <c r="BC27">
        <v>24.13109677419355</v>
      </c>
      <c r="BD27">
        <v>999.9000000000003</v>
      </c>
      <c r="BE27">
        <v>0</v>
      </c>
      <c r="BF27">
        <v>0</v>
      </c>
      <c r="BG27">
        <v>5004.83870967742</v>
      </c>
      <c r="BH27">
        <v>0.4439981935483872</v>
      </c>
      <c r="BI27">
        <v>7.825971290322581</v>
      </c>
      <c r="BJ27">
        <v>0.4535386874193548</v>
      </c>
      <c r="BK27">
        <v>495.032064516129</v>
      </c>
      <c r="BL27">
        <v>493.5181612903227</v>
      </c>
      <c r="BM27">
        <v>2.12269935483871</v>
      </c>
      <c r="BN27">
        <v>490.4168709677419</v>
      </c>
      <c r="BO27">
        <v>6.283997096774192</v>
      </c>
      <c r="BP27">
        <v>0.8425611290322582</v>
      </c>
      <c r="BQ27">
        <v>0.6298135161290322</v>
      </c>
      <c r="BR27">
        <v>4.445306451612903</v>
      </c>
      <c r="BS27">
        <v>0.3584896451612903</v>
      </c>
      <c r="BT27">
        <v>0</v>
      </c>
      <c r="BU27">
        <v>0</v>
      </c>
      <c r="BV27">
        <v>0</v>
      </c>
      <c r="BW27">
        <v>24</v>
      </c>
      <c r="BX27">
        <v>0</v>
      </c>
      <c r="BY27">
        <v>1773268786.6</v>
      </c>
      <c r="BZ27" t="s">
        <v>332</v>
      </c>
      <c r="CA27">
        <v>1773268786.6</v>
      </c>
      <c r="CB27">
        <v>1773268774.1</v>
      </c>
      <c r="CC27">
        <v>2</v>
      </c>
      <c r="CD27">
        <v>0.264</v>
      </c>
      <c r="CE27">
        <v>-0.024</v>
      </c>
      <c r="CF27">
        <v>6.495</v>
      </c>
      <c r="CG27">
        <v>0.059</v>
      </c>
      <c r="CH27">
        <v>488</v>
      </c>
      <c r="CI27">
        <v>25</v>
      </c>
      <c r="CJ27">
        <v>0.48</v>
      </c>
      <c r="CK27">
        <v>0.14</v>
      </c>
      <c r="CL27">
        <v>490.3266129032259</v>
      </c>
      <c r="CM27">
        <v>7.96214516128957</v>
      </c>
      <c r="CN27">
        <v>0.6473844984750331</v>
      </c>
      <c r="CO27">
        <v>-1</v>
      </c>
      <c r="CP27">
        <v>500.002870967742</v>
      </c>
      <c r="CQ27">
        <v>0.01209677419220084</v>
      </c>
      <c r="CR27">
        <v>0.04850190680354656</v>
      </c>
      <c r="CS27">
        <v>-1</v>
      </c>
      <c r="CT27">
        <v>0</v>
      </c>
      <c r="CU27">
        <v>0</v>
      </c>
      <c r="CV27" t="s">
        <v>333</v>
      </c>
      <c r="CW27">
        <v>3.16894</v>
      </c>
      <c r="CX27">
        <v>2.65414</v>
      </c>
      <c r="CY27">
        <v>0.114043</v>
      </c>
      <c r="CZ27">
        <v>0.115087</v>
      </c>
      <c r="DA27">
        <v>0.0520354</v>
      </c>
      <c r="DB27">
        <v>0.0412041</v>
      </c>
      <c r="DC27">
        <v>21424.8</v>
      </c>
      <c r="DD27">
        <v>21857</v>
      </c>
      <c r="DE27">
        <v>23269.8</v>
      </c>
      <c r="DF27">
        <v>22582.2</v>
      </c>
      <c r="DG27">
        <v>33317.5</v>
      </c>
      <c r="DH27">
        <v>30555</v>
      </c>
      <c r="DI27">
        <v>40877.7</v>
      </c>
      <c r="DJ27">
        <v>37389.3</v>
      </c>
      <c r="DK27">
        <v>2.12402</v>
      </c>
      <c r="DL27">
        <v>1.78518</v>
      </c>
      <c r="DM27">
        <v>-0.0213474</v>
      </c>
      <c r="DN27">
        <v>0</v>
      </c>
      <c r="DO27">
        <v>24.4914</v>
      </c>
      <c r="DP27">
        <v>999.9</v>
      </c>
      <c r="DQ27">
        <v>70.59999999999999</v>
      </c>
      <c r="DR27">
        <v>26.2</v>
      </c>
      <c r="DS27">
        <v>24.052</v>
      </c>
      <c r="DT27">
        <v>30.34</v>
      </c>
      <c r="DU27">
        <v>10.8534</v>
      </c>
      <c r="DV27">
        <v>1</v>
      </c>
      <c r="DW27">
        <v>0.00663415</v>
      </c>
      <c r="DX27">
        <v>-0.434331</v>
      </c>
      <c r="DY27">
        <v>20.3672</v>
      </c>
      <c r="DZ27">
        <v>5.21118</v>
      </c>
      <c r="EA27">
        <v>11.8482</v>
      </c>
      <c r="EB27">
        <v>4.96788</v>
      </c>
      <c r="EC27">
        <v>3.292</v>
      </c>
      <c r="ED27">
        <v>879.4</v>
      </c>
      <c r="EE27">
        <v>9999</v>
      </c>
      <c r="EF27">
        <v>9999</v>
      </c>
      <c r="EG27">
        <v>80.3</v>
      </c>
      <c r="EH27">
        <v>4.97163</v>
      </c>
      <c r="EI27">
        <v>1.87168</v>
      </c>
      <c r="EJ27">
        <v>1.86874</v>
      </c>
      <c r="EK27">
        <v>1.87121</v>
      </c>
      <c r="EL27">
        <v>1.86891</v>
      </c>
      <c r="EM27">
        <v>1.8679</v>
      </c>
      <c r="EN27">
        <v>1.86977</v>
      </c>
      <c r="EO27">
        <v>1.87164</v>
      </c>
      <c r="EP27">
        <v>0</v>
      </c>
      <c r="EQ27">
        <v>0</v>
      </c>
      <c r="ER27">
        <v>0</v>
      </c>
      <c r="ES27">
        <v>0</v>
      </c>
      <c r="ET27" t="s">
        <v>334</v>
      </c>
      <c r="EU27" t="s">
        <v>335</v>
      </c>
      <c r="EV27" t="s">
        <v>336</v>
      </c>
      <c r="EW27" t="s">
        <v>336</v>
      </c>
      <c r="EX27" t="s">
        <v>336</v>
      </c>
      <c r="EY27" t="s">
        <v>336</v>
      </c>
      <c r="EZ27">
        <v>0</v>
      </c>
      <c r="FA27">
        <v>100</v>
      </c>
      <c r="FB27">
        <v>100</v>
      </c>
      <c r="FC27">
        <v>6.495</v>
      </c>
      <c r="FD27">
        <v>0.0588</v>
      </c>
      <c r="FE27">
        <v>6.495476190476325</v>
      </c>
      <c r="FF27">
        <v>0</v>
      </c>
      <c r="FG27">
        <v>0</v>
      </c>
      <c r="FH27">
        <v>0</v>
      </c>
      <c r="FI27">
        <v>0.05881499999999917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11.3</v>
      </c>
      <c r="FR27">
        <v>11.5</v>
      </c>
      <c r="FS27">
        <v>0.145264</v>
      </c>
      <c r="FT27">
        <v>4.99756</v>
      </c>
      <c r="FU27">
        <v>1.5979</v>
      </c>
      <c r="FV27">
        <v>2.17651</v>
      </c>
      <c r="FW27">
        <v>1.54785</v>
      </c>
      <c r="FX27">
        <v>2.37183</v>
      </c>
      <c r="FY27">
        <v>30.4369</v>
      </c>
      <c r="FZ27">
        <v>16.2072</v>
      </c>
      <c r="GA27">
        <v>3</v>
      </c>
      <c r="GB27">
        <v>497.334</v>
      </c>
      <c r="GC27">
        <v>379.531</v>
      </c>
      <c r="GD27">
        <v>26.0261</v>
      </c>
      <c r="GE27">
        <v>27.1886</v>
      </c>
      <c r="GF27">
        <v>30.0003</v>
      </c>
      <c r="GG27">
        <v>27.0288</v>
      </c>
      <c r="GH27">
        <v>26.9978</v>
      </c>
      <c r="GI27">
        <v>-1</v>
      </c>
      <c r="GJ27">
        <v>100</v>
      </c>
      <c r="GK27">
        <v>0</v>
      </c>
      <c r="GL27">
        <v>26.0308</v>
      </c>
      <c r="GM27">
        <v>1200</v>
      </c>
      <c r="GN27">
        <v>26.7455</v>
      </c>
      <c r="GO27">
        <v>102.912</v>
      </c>
      <c r="GP27">
        <v>97.5971</v>
      </c>
    </row>
    <row r="28" spans="1:198">
      <c r="A28">
        <v>12</v>
      </c>
      <c r="B28">
        <v>1773269524</v>
      </c>
      <c r="C28">
        <v>660.4000000953674</v>
      </c>
      <c r="D28" t="s">
        <v>357</v>
      </c>
      <c r="E28" t="s">
        <v>358</v>
      </c>
      <c r="F28">
        <v>15</v>
      </c>
      <c r="G28">
        <v>1773269516</v>
      </c>
      <c r="H28">
        <f>(I28)/1000</f>
        <v>0</v>
      </c>
      <c r="I28">
        <f>1000*AY28*AG28*(AU28-AV28)/(100*AN28*(1000-AG28*AU28))</f>
        <v>0</v>
      </c>
      <c r="J28">
        <f>AY28*AG28*(AT28-AS28*(1000-AG28*AV28)/(1000-AG28*AU28))/(100*AN28)</f>
        <v>0</v>
      </c>
      <c r="K28">
        <f>AS28 - IF(AG28&gt;1, J28*AN28*100.0/(AI28), 0)</f>
        <v>0</v>
      </c>
      <c r="L28">
        <f>((R28-H28/2)*K28-J28)/(R28+H28/2)</f>
        <v>0</v>
      </c>
      <c r="M28">
        <f>L28*(AZ28+BA28)/1000.0</f>
        <v>0</v>
      </c>
      <c r="N28">
        <f>(AS28 - IF(AG28&gt;1, J28*AN28*100.0/(AI28), 0))*(AZ28+BA28)/1000.0</f>
        <v>0</v>
      </c>
      <c r="O28">
        <f>2.0/((1/Q28-1/P28)+SIGN(Q28)*SQRT((1/Q28-1/P28)*(1/Q28-1/P28) + 4*AO28/((AO28+1)*(AO28+1))*(2*1/Q28*1/P28-1/P28*1/P28)))</f>
        <v>0</v>
      </c>
      <c r="P28">
        <f>IF(LEFT(AP28,1)&lt;&gt;"0",IF(LEFT(AP28,1)="1",3.0,AQ28),$D$5+$E$5*(BG28*AZ28/($K$5*1000))+$F$5*(BG28*AZ28/($K$5*1000))*MAX(MIN(AN28,$J$5),$I$5)*MAX(MIN(AN28,$J$5),$I$5)+$G$5*MAX(MIN(AN28,$J$5),$I$5)*(BG28*AZ28/($K$5*1000))+$H$5*(BG28*AZ28/($K$5*1000))*(BG28*AZ28/($K$5*1000)))</f>
        <v>0</v>
      </c>
      <c r="Q28">
        <f>H28*(1000-(1000*0.61365*exp(17.502*U28/(240.97+U28))/(AZ28+BA28)+AU28)/2)/(1000*0.61365*exp(17.502*U28/(240.97+U28))/(AZ28+BA28)-AU28)</f>
        <v>0</v>
      </c>
      <c r="R28">
        <f>1/((AO28+1)/(O28/1.6)+1/(P28/1.37)) + AO28/((AO28+1)/(O28/1.6) + AO28/(P28/1.37))</f>
        <v>0</v>
      </c>
      <c r="S28">
        <f>(AJ28*AM28)</f>
        <v>0</v>
      </c>
      <c r="T28">
        <f>(BB28+(S28+2*0.95*5.67E-8*(((BB28+$B$7)+273)^4-(BB28+273)^4)-44100*H28)/(1.84*29.3*P28+8*0.95*5.67E-8*(BB28+273)^3))</f>
        <v>0</v>
      </c>
      <c r="U28">
        <f>($C$7*BC28+$D$7*BD28+$E$7*T28)</f>
        <v>0</v>
      </c>
      <c r="V28">
        <f>0.61365*exp(17.502*U28/(240.97+U28))</f>
        <v>0</v>
      </c>
      <c r="W28">
        <f>(X28/Y28*100)</f>
        <v>0</v>
      </c>
      <c r="X28">
        <f>AU28*(AZ28+BA28)/1000</f>
        <v>0</v>
      </c>
      <c r="Y28">
        <f>0.61365*exp(17.502*BB28/(240.97+BB28))</f>
        <v>0</v>
      </c>
      <c r="Z28">
        <f>(V28-AU28*(AZ28+BA28)/1000)</f>
        <v>0</v>
      </c>
      <c r="AA28">
        <f>(-H28*44100)</f>
        <v>0</v>
      </c>
      <c r="AB28">
        <f>2*29.3*P28*0.92*(BB28-U28)</f>
        <v>0</v>
      </c>
      <c r="AC28">
        <f>2*0.95*5.67E-8*(((BB28+$B$7)+273)^4-(U28+273)^4)</f>
        <v>0</v>
      </c>
      <c r="AD28">
        <f>S28+AC28+AA28+AB28</f>
        <v>0</v>
      </c>
      <c r="AE28">
        <v>5</v>
      </c>
      <c r="AF28">
        <v>1</v>
      </c>
      <c r="AG28">
        <f>IF(AE28*$H$13&gt;=AI28,1.0,(AI28/(AI28-AE28*$H$13)))</f>
        <v>0</v>
      </c>
      <c r="AH28">
        <f>(AG28-1)*100</f>
        <v>0</v>
      </c>
      <c r="AI28">
        <f>MAX(0,($B$13+$C$13*BG28)/(1+$D$13*BG28)*AZ28/(BB28+273)*$E$13)</f>
        <v>0</v>
      </c>
      <c r="AJ28">
        <f>$B$11*BH28+$C$11*BI28+$D$11*BT28</f>
        <v>0</v>
      </c>
      <c r="AK28">
        <f>AJ28*AL28</f>
        <v>0</v>
      </c>
      <c r="AL28">
        <f>($B$11*$D$9+$C$11*$D$9+$D$11*(BU28*$E$9+BV28*$G$9))/($B$11+$C$11+$D$11)</f>
        <v>0</v>
      </c>
      <c r="AM28">
        <f>($B$11*$K$9+$C$11*$K$9+$D$11*(BU28*$L$9+BV28*$N$9))/($B$11+$C$11+$D$11)</f>
        <v>0</v>
      </c>
      <c r="AN28">
        <v>3</v>
      </c>
      <c r="AO28">
        <v>0.5</v>
      </c>
      <c r="AP28" t="s">
        <v>331</v>
      </c>
      <c r="AQ28">
        <v>2</v>
      </c>
      <c r="AR28">
        <v>1773269516</v>
      </c>
      <c r="AS28">
        <v>493.8133870967741</v>
      </c>
      <c r="AT28">
        <v>495.4781612903226</v>
      </c>
      <c r="AU28">
        <v>8.276135161290322</v>
      </c>
      <c r="AV28">
        <v>6.335241935483872</v>
      </c>
      <c r="AW28">
        <v>487.3179354838709</v>
      </c>
      <c r="AX28">
        <v>8.217320967741935</v>
      </c>
      <c r="AY28">
        <v>500.0009032258064</v>
      </c>
      <c r="AZ28">
        <v>100.2263548387097</v>
      </c>
      <c r="BA28">
        <v>0.03227672258064516</v>
      </c>
      <c r="BB28">
        <v>25.00953870967741</v>
      </c>
      <c r="BC28">
        <v>24.22320967741936</v>
      </c>
      <c r="BD28">
        <v>999.9000000000003</v>
      </c>
      <c r="BE28">
        <v>0</v>
      </c>
      <c r="BF28">
        <v>0</v>
      </c>
      <c r="BG28">
        <v>5004.16129032258</v>
      </c>
      <c r="BH28">
        <v>0.4216194516129033</v>
      </c>
      <c r="BI28">
        <v>8.796097096774194</v>
      </c>
      <c r="BJ28">
        <v>-1.664804732258064</v>
      </c>
      <c r="BK28">
        <v>497.9343225806451</v>
      </c>
      <c r="BL28">
        <v>498.6371935483871</v>
      </c>
      <c r="BM28">
        <v>1.940894193548387</v>
      </c>
      <c r="BN28">
        <v>495.4781612903226</v>
      </c>
      <c r="BO28">
        <v>6.335241935483872</v>
      </c>
      <c r="BP28">
        <v>0.8294870322580646</v>
      </c>
      <c r="BQ28">
        <v>0.6349582258064516</v>
      </c>
      <c r="BR28">
        <v>4.222174838709678</v>
      </c>
      <c r="BS28">
        <v>0.4708849677419355</v>
      </c>
      <c r="BT28">
        <v>0</v>
      </c>
      <c r="BU28">
        <v>0</v>
      </c>
      <c r="BV28">
        <v>0</v>
      </c>
      <c r="BW28">
        <v>24</v>
      </c>
      <c r="BX28">
        <v>0</v>
      </c>
      <c r="BY28">
        <v>1773268786.6</v>
      </c>
      <c r="BZ28" t="s">
        <v>332</v>
      </c>
      <c r="CA28">
        <v>1773268786.6</v>
      </c>
      <c r="CB28">
        <v>1773268774.1</v>
      </c>
      <c r="CC28">
        <v>2</v>
      </c>
      <c r="CD28">
        <v>0.264</v>
      </c>
      <c r="CE28">
        <v>-0.024</v>
      </c>
      <c r="CF28">
        <v>6.495</v>
      </c>
      <c r="CG28">
        <v>0.059</v>
      </c>
      <c r="CH28">
        <v>488</v>
      </c>
      <c r="CI28">
        <v>25</v>
      </c>
      <c r="CJ28">
        <v>0.48</v>
      </c>
      <c r="CK28">
        <v>0.14</v>
      </c>
      <c r="CL28">
        <v>495.2656129032258</v>
      </c>
      <c r="CM28">
        <v>19.82075806451463</v>
      </c>
      <c r="CN28">
        <v>1.962111776721606</v>
      </c>
      <c r="CO28">
        <v>-1</v>
      </c>
      <c r="CP28">
        <v>499.9994838709677</v>
      </c>
      <c r="CQ28">
        <v>-0.1606451612913284</v>
      </c>
      <c r="CR28">
        <v>0.05496384205459642</v>
      </c>
      <c r="CS28">
        <v>-1</v>
      </c>
      <c r="CT28">
        <v>0</v>
      </c>
      <c r="CU28">
        <v>0</v>
      </c>
      <c r="CV28" t="s">
        <v>333</v>
      </c>
      <c r="CW28">
        <v>3.16894</v>
      </c>
      <c r="CX28">
        <v>2.65404</v>
      </c>
      <c r="CY28">
        <v>0.114843</v>
      </c>
      <c r="CZ28">
        <v>0.115837</v>
      </c>
      <c r="DA28">
        <v>0.0513788</v>
      </c>
      <c r="DB28">
        <v>0.0414791</v>
      </c>
      <c r="DC28">
        <v>21402.8</v>
      </c>
      <c r="DD28">
        <v>21838.6</v>
      </c>
      <c r="DE28">
        <v>23267</v>
      </c>
      <c r="DF28">
        <v>22582.4</v>
      </c>
      <c r="DG28">
        <v>33336.9</v>
      </c>
      <c r="DH28">
        <v>30546.5</v>
      </c>
      <c r="DI28">
        <v>40873.2</v>
      </c>
      <c r="DJ28">
        <v>37389.6</v>
      </c>
      <c r="DK28">
        <v>2.12364</v>
      </c>
      <c r="DL28">
        <v>1.78466</v>
      </c>
      <c r="DM28">
        <v>-0.0162959</v>
      </c>
      <c r="DN28">
        <v>0</v>
      </c>
      <c r="DO28">
        <v>24.4944</v>
      </c>
      <c r="DP28">
        <v>999.9</v>
      </c>
      <c r="DQ28">
        <v>70.5</v>
      </c>
      <c r="DR28">
        <v>26.2</v>
      </c>
      <c r="DS28">
        <v>24.0156</v>
      </c>
      <c r="DT28">
        <v>29.98</v>
      </c>
      <c r="DU28">
        <v>10.9135</v>
      </c>
      <c r="DV28">
        <v>1</v>
      </c>
      <c r="DW28">
        <v>0.00883333</v>
      </c>
      <c r="DX28">
        <v>-0.315974</v>
      </c>
      <c r="DY28">
        <v>20.3679</v>
      </c>
      <c r="DZ28">
        <v>5.21178</v>
      </c>
      <c r="EA28">
        <v>11.8482</v>
      </c>
      <c r="EB28">
        <v>4.9686</v>
      </c>
      <c r="EC28">
        <v>3.292</v>
      </c>
      <c r="ED28">
        <v>879.4</v>
      </c>
      <c r="EE28">
        <v>9999</v>
      </c>
      <c r="EF28">
        <v>9999</v>
      </c>
      <c r="EG28">
        <v>80.3</v>
      </c>
      <c r="EH28">
        <v>4.97161</v>
      </c>
      <c r="EI28">
        <v>1.87164</v>
      </c>
      <c r="EJ28">
        <v>1.86875</v>
      </c>
      <c r="EK28">
        <v>1.8712</v>
      </c>
      <c r="EL28">
        <v>1.86891</v>
      </c>
      <c r="EM28">
        <v>1.86788</v>
      </c>
      <c r="EN28">
        <v>1.86977</v>
      </c>
      <c r="EO28">
        <v>1.87163</v>
      </c>
      <c r="EP28">
        <v>0</v>
      </c>
      <c r="EQ28">
        <v>0</v>
      </c>
      <c r="ER28">
        <v>0</v>
      </c>
      <c r="ES28">
        <v>0</v>
      </c>
      <c r="ET28" t="s">
        <v>334</v>
      </c>
      <c r="EU28" t="s">
        <v>335</v>
      </c>
      <c r="EV28" t="s">
        <v>336</v>
      </c>
      <c r="EW28" t="s">
        <v>336</v>
      </c>
      <c r="EX28" t="s">
        <v>336</v>
      </c>
      <c r="EY28" t="s">
        <v>336</v>
      </c>
      <c r="EZ28">
        <v>0</v>
      </c>
      <c r="FA28">
        <v>100</v>
      </c>
      <c r="FB28">
        <v>100</v>
      </c>
      <c r="FC28">
        <v>6.496</v>
      </c>
      <c r="FD28">
        <v>0.0588</v>
      </c>
      <c r="FE28">
        <v>6.495476190476325</v>
      </c>
      <c r="FF28">
        <v>0</v>
      </c>
      <c r="FG28">
        <v>0</v>
      </c>
      <c r="FH28">
        <v>0</v>
      </c>
      <c r="FI28">
        <v>0.05881499999999917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12.3</v>
      </c>
      <c r="FR28">
        <v>12.5</v>
      </c>
      <c r="FS28">
        <v>0.145264</v>
      </c>
      <c r="FT28">
        <v>4.99756</v>
      </c>
      <c r="FU28">
        <v>1.5979</v>
      </c>
      <c r="FV28">
        <v>2.17651</v>
      </c>
      <c r="FW28">
        <v>1.54785</v>
      </c>
      <c r="FX28">
        <v>2.27661</v>
      </c>
      <c r="FY28">
        <v>30.5015</v>
      </c>
      <c r="FZ28">
        <v>16.1897</v>
      </c>
      <c r="GA28">
        <v>3</v>
      </c>
      <c r="GB28">
        <v>497.469</v>
      </c>
      <c r="GC28">
        <v>379.557</v>
      </c>
      <c r="GD28">
        <v>25.9713</v>
      </c>
      <c r="GE28">
        <v>27.2186</v>
      </c>
      <c r="GF28">
        <v>30.0003</v>
      </c>
      <c r="GG28">
        <v>27.0723</v>
      </c>
      <c r="GH28">
        <v>27.0452</v>
      </c>
      <c r="GI28">
        <v>-1</v>
      </c>
      <c r="GJ28">
        <v>100</v>
      </c>
      <c r="GK28">
        <v>0</v>
      </c>
      <c r="GL28">
        <v>25.9562</v>
      </c>
      <c r="GM28">
        <v>1200</v>
      </c>
      <c r="GN28">
        <v>26.7455</v>
      </c>
      <c r="GO28">
        <v>102.9</v>
      </c>
      <c r="GP28">
        <v>97.598</v>
      </c>
    </row>
    <row r="29" spans="1:198">
      <c r="A29">
        <v>13</v>
      </c>
      <c r="B29">
        <v>1773269584</v>
      </c>
      <c r="C29">
        <v>720.4000000953674</v>
      </c>
      <c r="D29" t="s">
        <v>359</v>
      </c>
      <c r="E29" t="s">
        <v>360</v>
      </c>
      <c r="F29">
        <v>15</v>
      </c>
      <c r="G29">
        <v>1773269576</v>
      </c>
      <c r="H29">
        <f>(I29)/1000</f>
        <v>0</v>
      </c>
      <c r="I29">
        <f>1000*AY29*AG29*(AU29-AV29)/(100*AN29*(1000-AG29*AU29))</f>
        <v>0</v>
      </c>
      <c r="J29">
        <f>AY29*AG29*(AT29-AS29*(1000-AG29*AV29)/(1000-AG29*AU29))/(100*AN29)</f>
        <v>0</v>
      </c>
      <c r="K29">
        <f>AS29 - IF(AG29&gt;1, J29*AN29*100.0/(AI29), 0)</f>
        <v>0</v>
      </c>
      <c r="L29">
        <f>((R29-H29/2)*K29-J29)/(R29+H29/2)</f>
        <v>0</v>
      </c>
      <c r="M29">
        <f>L29*(AZ29+BA29)/1000.0</f>
        <v>0</v>
      </c>
      <c r="N29">
        <f>(AS29 - IF(AG29&gt;1, J29*AN29*100.0/(AI29), 0))*(AZ29+BA29)/1000.0</f>
        <v>0</v>
      </c>
      <c r="O29">
        <f>2.0/((1/Q29-1/P29)+SIGN(Q29)*SQRT((1/Q29-1/P29)*(1/Q29-1/P29) + 4*AO29/((AO29+1)*(AO29+1))*(2*1/Q29*1/P29-1/P29*1/P29)))</f>
        <v>0</v>
      </c>
      <c r="P29">
        <f>IF(LEFT(AP29,1)&lt;&gt;"0",IF(LEFT(AP29,1)="1",3.0,AQ29),$D$5+$E$5*(BG29*AZ29/($K$5*1000))+$F$5*(BG29*AZ29/($K$5*1000))*MAX(MIN(AN29,$J$5),$I$5)*MAX(MIN(AN29,$J$5),$I$5)+$G$5*MAX(MIN(AN29,$J$5),$I$5)*(BG29*AZ29/($K$5*1000))+$H$5*(BG29*AZ29/($K$5*1000))*(BG29*AZ29/($K$5*1000)))</f>
        <v>0</v>
      </c>
      <c r="Q29">
        <f>H29*(1000-(1000*0.61365*exp(17.502*U29/(240.97+U29))/(AZ29+BA29)+AU29)/2)/(1000*0.61365*exp(17.502*U29/(240.97+U29))/(AZ29+BA29)-AU29)</f>
        <v>0</v>
      </c>
      <c r="R29">
        <f>1/((AO29+1)/(O29/1.6)+1/(P29/1.37)) + AO29/((AO29+1)/(O29/1.6) + AO29/(P29/1.37))</f>
        <v>0</v>
      </c>
      <c r="S29">
        <f>(AJ29*AM29)</f>
        <v>0</v>
      </c>
      <c r="T29">
        <f>(BB29+(S29+2*0.95*5.67E-8*(((BB29+$B$7)+273)^4-(BB29+273)^4)-44100*H29)/(1.84*29.3*P29+8*0.95*5.67E-8*(BB29+273)^3))</f>
        <v>0</v>
      </c>
      <c r="U29">
        <f>($C$7*BC29+$D$7*BD29+$E$7*T29)</f>
        <v>0</v>
      </c>
      <c r="V29">
        <f>0.61365*exp(17.502*U29/(240.97+U29))</f>
        <v>0</v>
      </c>
      <c r="W29">
        <f>(X29/Y29*100)</f>
        <v>0</v>
      </c>
      <c r="X29">
        <f>AU29*(AZ29+BA29)/1000</f>
        <v>0</v>
      </c>
      <c r="Y29">
        <f>0.61365*exp(17.502*BB29/(240.97+BB29))</f>
        <v>0</v>
      </c>
      <c r="Z29">
        <f>(V29-AU29*(AZ29+BA29)/1000)</f>
        <v>0</v>
      </c>
      <c r="AA29">
        <f>(-H29*44100)</f>
        <v>0</v>
      </c>
      <c r="AB29">
        <f>2*29.3*P29*0.92*(BB29-U29)</f>
        <v>0</v>
      </c>
      <c r="AC29">
        <f>2*0.95*5.67E-8*(((BB29+$B$7)+273)^4-(U29+273)^4)</f>
        <v>0</v>
      </c>
      <c r="AD29">
        <f>S29+AC29+AA29+AB29</f>
        <v>0</v>
      </c>
      <c r="AE29">
        <v>5</v>
      </c>
      <c r="AF29">
        <v>1</v>
      </c>
      <c r="AG29">
        <f>IF(AE29*$H$13&gt;=AI29,1.0,(AI29/(AI29-AE29*$H$13)))</f>
        <v>0</v>
      </c>
      <c r="AH29">
        <f>(AG29-1)*100</f>
        <v>0</v>
      </c>
      <c r="AI29">
        <f>MAX(0,($B$13+$C$13*BG29)/(1+$D$13*BG29)*AZ29/(BB29+273)*$E$13)</f>
        <v>0</v>
      </c>
      <c r="AJ29">
        <f>$B$11*BH29+$C$11*BI29+$D$11*BT29</f>
        <v>0</v>
      </c>
      <c r="AK29">
        <f>AJ29*AL29</f>
        <v>0</v>
      </c>
      <c r="AL29">
        <f>($B$11*$D$9+$C$11*$D$9+$D$11*(BU29*$E$9+BV29*$G$9))/($B$11+$C$11+$D$11)</f>
        <v>0</v>
      </c>
      <c r="AM29">
        <f>($B$11*$K$9+$C$11*$K$9+$D$11*(BU29*$L$9+BV29*$N$9))/($B$11+$C$11+$D$11)</f>
        <v>0</v>
      </c>
      <c r="AN29">
        <v>3</v>
      </c>
      <c r="AO29">
        <v>0.5</v>
      </c>
      <c r="AP29" t="s">
        <v>331</v>
      </c>
      <c r="AQ29">
        <v>2</v>
      </c>
      <c r="AR29">
        <v>1773269576</v>
      </c>
      <c r="AS29">
        <v>494.3078064516129</v>
      </c>
      <c r="AT29">
        <v>493.7889677419355</v>
      </c>
      <c r="AU29">
        <v>8.152104838709677</v>
      </c>
      <c r="AV29">
        <v>6.383951612903226</v>
      </c>
      <c r="AW29">
        <v>487.8124193548387</v>
      </c>
      <c r="AX29">
        <v>8.09329</v>
      </c>
      <c r="AY29">
        <v>499.9974193548386</v>
      </c>
      <c r="AZ29">
        <v>100.2284193548387</v>
      </c>
      <c r="BA29">
        <v>0.03230166129032258</v>
      </c>
      <c r="BB29">
        <v>25.00120967741937</v>
      </c>
      <c r="BC29">
        <v>24.28957096774193</v>
      </c>
      <c r="BD29">
        <v>999.9000000000003</v>
      </c>
      <c r="BE29">
        <v>0</v>
      </c>
      <c r="BF29">
        <v>0</v>
      </c>
      <c r="BG29">
        <v>5000.870967741936</v>
      </c>
      <c r="BH29">
        <v>0.4335206451612904</v>
      </c>
      <c r="BI29">
        <v>10.0696470967742</v>
      </c>
      <c r="BJ29">
        <v>0.5187967741935485</v>
      </c>
      <c r="BK29">
        <v>498.3707096774194</v>
      </c>
      <c r="BL29">
        <v>496.9617096774194</v>
      </c>
      <c r="BM29">
        <v>1.768152580645161</v>
      </c>
      <c r="BN29">
        <v>493.7889677419355</v>
      </c>
      <c r="BO29">
        <v>6.383951612903226</v>
      </c>
      <c r="BP29">
        <v>0.8170729032258064</v>
      </c>
      <c r="BQ29">
        <v>0.6398537419354838</v>
      </c>
      <c r="BR29">
        <v>4.007415483870967</v>
      </c>
      <c r="BS29">
        <v>0.5770885161290322</v>
      </c>
      <c r="BT29">
        <v>0</v>
      </c>
      <c r="BU29">
        <v>0</v>
      </c>
      <c r="BV29">
        <v>0</v>
      </c>
      <c r="BW29">
        <v>24</v>
      </c>
      <c r="BX29">
        <v>0</v>
      </c>
      <c r="BY29">
        <v>1773268786.6</v>
      </c>
      <c r="BZ29" t="s">
        <v>332</v>
      </c>
      <c r="CA29">
        <v>1773268786.6</v>
      </c>
      <c r="CB29">
        <v>1773268774.1</v>
      </c>
      <c r="CC29">
        <v>2</v>
      </c>
      <c r="CD29">
        <v>0.264</v>
      </c>
      <c r="CE29">
        <v>-0.024</v>
      </c>
      <c r="CF29">
        <v>6.495</v>
      </c>
      <c r="CG29">
        <v>0.059</v>
      </c>
      <c r="CH29">
        <v>488</v>
      </c>
      <c r="CI29">
        <v>25</v>
      </c>
      <c r="CJ29">
        <v>0.48</v>
      </c>
      <c r="CK29">
        <v>0.14</v>
      </c>
      <c r="CL29">
        <v>493.7841333333334</v>
      </c>
      <c r="CM29">
        <v>1.135394883204312</v>
      </c>
      <c r="CN29">
        <v>0.08367187234801955</v>
      </c>
      <c r="CO29">
        <v>-1</v>
      </c>
      <c r="CP29">
        <v>499.9971666666666</v>
      </c>
      <c r="CQ29">
        <v>0.1653303670742949</v>
      </c>
      <c r="CR29">
        <v>0.05335983716450261</v>
      </c>
      <c r="CS29">
        <v>-1</v>
      </c>
      <c r="CT29">
        <v>0</v>
      </c>
      <c r="CU29">
        <v>0</v>
      </c>
      <c r="CV29" t="s">
        <v>333</v>
      </c>
      <c r="CW29">
        <v>3.16878</v>
      </c>
      <c r="CX29">
        <v>2.65362</v>
      </c>
      <c r="CY29">
        <v>0.114599</v>
      </c>
      <c r="CZ29">
        <v>0.115679</v>
      </c>
      <c r="DA29">
        <v>0.0507605</v>
      </c>
      <c r="DB29">
        <v>0.0417389</v>
      </c>
      <c r="DC29">
        <v>21406.9</v>
      </c>
      <c r="DD29">
        <v>21842.4</v>
      </c>
      <c r="DE29">
        <v>23265.1</v>
      </c>
      <c r="DF29">
        <v>22582.4</v>
      </c>
      <c r="DG29">
        <v>33356.3</v>
      </c>
      <c r="DH29">
        <v>30537.7</v>
      </c>
      <c r="DI29">
        <v>40870.4</v>
      </c>
      <c r="DJ29">
        <v>37389.2</v>
      </c>
      <c r="DK29">
        <v>2.12298</v>
      </c>
      <c r="DL29">
        <v>1.78406</v>
      </c>
      <c r="DM29">
        <v>-0.0133932</v>
      </c>
      <c r="DN29">
        <v>0</v>
      </c>
      <c r="DO29">
        <v>24.5056</v>
      </c>
      <c r="DP29">
        <v>999.9</v>
      </c>
      <c r="DQ29">
        <v>70.59999999999999</v>
      </c>
      <c r="DR29">
        <v>26.3</v>
      </c>
      <c r="DS29">
        <v>24.1943</v>
      </c>
      <c r="DT29">
        <v>30.16</v>
      </c>
      <c r="DU29">
        <v>11.27</v>
      </c>
      <c r="DV29">
        <v>1</v>
      </c>
      <c r="DW29">
        <v>0.010815</v>
      </c>
      <c r="DX29">
        <v>-0.320063</v>
      </c>
      <c r="DY29">
        <v>20.3677</v>
      </c>
      <c r="DZ29">
        <v>5.2113</v>
      </c>
      <c r="EA29">
        <v>11.8482</v>
      </c>
      <c r="EB29">
        <v>4.96776</v>
      </c>
      <c r="EC29">
        <v>3.292</v>
      </c>
      <c r="ED29">
        <v>879.4</v>
      </c>
      <c r="EE29">
        <v>9999</v>
      </c>
      <c r="EF29">
        <v>9999</v>
      </c>
      <c r="EG29">
        <v>80.3</v>
      </c>
      <c r="EH29">
        <v>4.97164</v>
      </c>
      <c r="EI29">
        <v>1.87169</v>
      </c>
      <c r="EJ29">
        <v>1.86875</v>
      </c>
      <c r="EK29">
        <v>1.87124</v>
      </c>
      <c r="EL29">
        <v>1.86892</v>
      </c>
      <c r="EM29">
        <v>1.86793</v>
      </c>
      <c r="EN29">
        <v>1.86981</v>
      </c>
      <c r="EO29">
        <v>1.87164</v>
      </c>
      <c r="EP29">
        <v>0</v>
      </c>
      <c r="EQ29">
        <v>0</v>
      </c>
      <c r="ER29">
        <v>0</v>
      </c>
      <c r="ES29">
        <v>0</v>
      </c>
      <c r="ET29" t="s">
        <v>334</v>
      </c>
      <c r="EU29" t="s">
        <v>335</v>
      </c>
      <c r="EV29" t="s">
        <v>336</v>
      </c>
      <c r="EW29" t="s">
        <v>336</v>
      </c>
      <c r="EX29" t="s">
        <v>336</v>
      </c>
      <c r="EY29" t="s">
        <v>336</v>
      </c>
      <c r="EZ29">
        <v>0</v>
      </c>
      <c r="FA29">
        <v>100</v>
      </c>
      <c r="FB29">
        <v>100</v>
      </c>
      <c r="FC29">
        <v>6.495</v>
      </c>
      <c r="FD29">
        <v>0.0588</v>
      </c>
      <c r="FE29">
        <v>6.495476190476325</v>
      </c>
      <c r="FF29">
        <v>0</v>
      </c>
      <c r="FG29">
        <v>0</v>
      </c>
      <c r="FH29">
        <v>0</v>
      </c>
      <c r="FI29">
        <v>0.05881499999999917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13.3</v>
      </c>
      <c r="FR29">
        <v>13.5</v>
      </c>
      <c r="FS29">
        <v>0.145264</v>
      </c>
      <c r="FT29">
        <v>4.99756</v>
      </c>
      <c r="FU29">
        <v>1.5979</v>
      </c>
      <c r="FV29">
        <v>2.17529</v>
      </c>
      <c r="FW29">
        <v>1.54785</v>
      </c>
      <c r="FX29">
        <v>2.34741</v>
      </c>
      <c r="FY29">
        <v>30.5877</v>
      </c>
      <c r="FZ29">
        <v>16.1809</v>
      </c>
      <c r="GA29">
        <v>3</v>
      </c>
      <c r="GB29">
        <v>497.414</v>
      </c>
      <c r="GC29">
        <v>379.508</v>
      </c>
      <c r="GD29">
        <v>25.892</v>
      </c>
      <c r="GE29">
        <v>27.2472</v>
      </c>
      <c r="GF29">
        <v>30.0002</v>
      </c>
      <c r="GG29">
        <v>27.1122</v>
      </c>
      <c r="GH29">
        <v>27.0878</v>
      </c>
      <c r="GI29">
        <v>-1</v>
      </c>
      <c r="GJ29">
        <v>100</v>
      </c>
      <c r="GK29">
        <v>0</v>
      </c>
      <c r="GL29">
        <v>25.9488</v>
      </c>
      <c r="GM29">
        <v>1200</v>
      </c>
      <c r="GN29">
        <v>26.7455</v>
      </c>
      <c r="GO29">
        <v>102.893</v>
      </c>
      <c r="GP29">
        <v>97.5973</v>
      </c>
    </row>
    <row r="30" spans="1:198">
      <c r="A30">
        <v>14</v>
      </c>
      <c r="B30">
        <v>1773269644</v>
      </c>
      <c r="C30">
        <v>780.4000000953674</v>
      </c>
      <c r="D30" t="s">
        <v>361</v>
      </c>
      <c r="E30" t="s">
        <v>362</v>
      </c>
      <c r="F30">
        <v>15</v>
      </c>
      <c r="G30">
        <v>1773269636</v>
      </c>
      <c r="H30">
        <f>(I30)/1000</f>
        <v>0</v>
      </c>
      <c r="I30">
        <f>1000*AY30*AG30*(AU30-AV30)/(100*AN30*(1000-AG30*AU30))</f>
        <v>0</v>
      </c>
      <c r="J30">
        <f>AY30*AG30*(AT30-AS30*(1000-AG30*AV30)/(1000-AG30*AU30))/(100*AN30)</f>
        <v>0</v>
      </c>
      <c r="K30">
        <f>AS30 - IF(AG30&gt;1, J30*AN30*100.0/(AI30), 0)</f>
        <v>0</v>
      </c>
      <c r="L30">
        <f>((R30-H30/2)*K30-J30)/(R30+H30/2)</f>
        <v>0</v>
      </c>
      <c r="M30">
        <f>L30*(AZ30+BA30)/1000.0</f>
        <v>0</v>
      </c>
      <c r="N30">
        <f>(AS30 - IF(AG30&gt;1, J30*AN30*100.0/(AI30), 0))*(AZ30+BA30)/1000.0</f>
        <v>0</v>
      </c>
      <c r="O30">
        <f>2.0/((1/Q30-1/P30)+SIGN(Q30)*SQRT((1/Q30-1/P30)*(1/Q30-1/P30) + 4*AO30/((AO30+1)*(AO30+1))*(2*1/Q30*1/P30-1/P30*1/P30)))</f>
        <v>0</v>
      </c>
      <c r="P30">
        <f>IF(LEFT(AP30,1)&lt;&gt;"0",IF(LEFT(AP30,1)="1",3.0,AQ30),$D$5+$E$5*(BG30*AZ30/($K$5*1000))+$F$5*(BG30*AZ30/($K$5*1000))*MAX(MIN(AN30,$J$5),$I$5)*MAX(MIN(AN30,$J$5),$I$5)+$G$5*MAX(MIN(AN30,$J$5),$I$5)*(BG30*AZ30/($K$5*1000))+$H$5*(BG30*AZ30/($K$5*1000))*(BG30*AZ30/($K$5*1000)))</f>
        <v>0</v>
      </c>
      <c r="Q30">
        <f>H30*(1000-(1000*0.61365*exp(17.502*U30/(240.97+U30))/(AZ30+BA30)+AU30)/2)/(1000*0.61365*exp(17.502*U30/(240.97+U30))/(AZ30+BA30)-AU30)</f>
        <v>0</v>
      </c>
      <c r="R30">
        <f>1/((AO30+1)/(O30/1.6)+1/(P30/1.37)) + AO30/((AO30+1)/(O30/1.6) + AO30/(P30/1.37))</f>
        <v>0</v>
      </c>
      <c r="S30">
        <f>(AJ30*AM30)</f>
        <v>0</v>
      </c>
      <c r="T30">
        <f>(BB30+(S30+2*0.95*5.67E-8*(((BB30+$B$7)+273)^4-(BB30+273)^4)-44100*H30)/(1.84*29.3*P30+8*0.95*5.67E-8*(BB30+273)^3))</f>
        <v>0</v>
      </c>
      <c r="U30">
        <f>($C$7*BC30+$D$7*BD30+$E$7*T30)</f>
        <v>0</v>
      </c>
      <c r="V30">
        <f>0.61365*exp(17.502*U30/(240.97+U30))</f>
        <v>0</v>
      </c>
      <c r="W30">
        <f>(X30/Y30*100)</f>
        <v>0</v>
      </c>
      <c r="X30">
        <f>AU30*(AZ30+BA30)/1000</f>
        <v>0</v>
      </c>
      <c r="Y30">
        <f>0.61365*exp(17.502*BB30/(240.97+BB30))</f>
        <v>0</v>
      </c>
      <c r="Z30">
        <f>(V30-AU30*(AZ30+BA30)/1000)</f>
        <v>0</v>
      </c>
      <c r="AA30">
        <f>(-H30*44100)</f>
        <v>0</v>
      </c>
      <c r="AB30">
        <f>2*29.3*P30*0.92*(BB30-U30)</f>
        <v>0</v>
      </c>
      <c r="AC30">
        <f>2*0.95*5.67E-8*(((BB30+$B$7)+273)^4-(U30+273)^4)</f>
        <v>0</v>
      </c>
      <c r="AD30">
        <f>S30+AC30+AA30+AB30</f>
        <v>0</v>
      </c>
      <c r="AE30">
        <v>5</v>
      </c>
      <c r="AF30">
        <v>1</v>
      </c>
      <c r="AG30">
        <f>IF(AE30*$H$13&gt;=AI30,1.0,(AI30/(AI30-AE30*$H$13)))</f>
        <v>0</v>
      </c>
      <c r="AH30">
        <f>(AG30-1)*100</f>
        <v>0</v>
      </c>
      <c r="AI30">
        <f>MAX(0,($B$13+$C$13*BG30)/(1+$D$13*BG30)*AZ30/(BB30+273)*$E$13)</f>
        <v>0</v>
      </c>
      <c r="AJ30">
        <f>$B$11*BH30+$C$11*BI30+$D$11*BT30</f>
        <v>0</v>
      </c>
      <c r="AK30">
        <f>AJ30*AL30</f>
        <v>0</v>
      </c>
      <c r="AL30">
        <f>($B$11*$D$9+$C$11*$D$9+$D$11*(BU30*$E$9+BV30*$G$9))/($B$11+$C$11+$D$11)</f>
        <v>0</v>
      </c>
      <c r="AM30">
        <f>($B$11*$K$9+$C$11*$K$9+$D$11*(BU30*$L$9+BV30*$N$9))/($B$11+$C$11+$D$11)</f>
        <v>0</v>
      </c>
      <c r="AN30">
        <v>3</v>
      </c>
      <c r="AO30">
        <v>0.5</v>
      </c>
      <c r="AP30" t="s">
        <v>331</v>
      </c>
      <c r="AQ30">
        <v>2</v>
      </c>
      <c r="AR30">
        <v>1773269636</v>
      </c>
      <c r="AS30">
        <v>495.2952258064517</v>
      </c>
      <c r="AT30">
        <v>493.9588387096774</v>
      </c>
      <c r="AU30">
        <v>8.044370000000001</v>
      </c>
      <c r="AV30">
        <v>6.436323225806452</v>
      </c>
      <c r="AW30">
        <v>488.799935483871</v>
      </c>
      <c r="AX30">
        <v>7.985557096774194</v>
      </c>
      <c r="AY30">
        <v>499.9986451612903</v>
      </c>
      <c r="AZ30">
        <v>100.2311935483871</v>
      </c>
      <c r="BA30">
        <v>0.03319242580645161</v>
      </c>
      <c r="BB30">
        <v>25.00233548387097</v>
      </c>
      <c r="BC30">
        <v>24.35746774193549</v>
      </c>
      <c r="BD30">
        <v>999.9000000000003</v>
      </c>
      <c r="BE30">
        <v>0</v>
      </c>
      <c r="BF30">
        <v>0</v>
      </c>
      <c r="BG30">
        <v>5002.887096774193</v>
      </c>
      <c r="BH30">
        <v>0.4289235483870967</v>
      </c>
      <c r="BI30">
        <v>11.47345483870968</v>
      </c>
      <c r="BJ30">
        <v>1.336454161290322</v>
      </c>
      <c r="BK30">
        <v>499.3119677419356</v>
      </c>
      <c r="BL30">
        <v>497.1587419354839</v>
      </c>
      <c r="BM30">
        <v>1.608047741935484</v>
      </c>
      <c r="BN30">
        <v>493.9588387096774</v>
      </c>
      <c r="BO30">
        <v>6.436323225806452</v>
      </c>
      <c r="BP30">
        <v>0.8062963225806453</v>
      </c>
      <c r="BQ30">
        <v>0.6451200322580645</v>
      </c>
      <c r="BR30">
        <v>3.818632258064516</v>
      </c>
      <c r="BS30">
        <v>0.6905366129032258</v>
      </c>
      <c r="BT30">
        <v>0</v>
      </c>
      <c r="BU30">
        <v>0</v>
      </c>
      <c r="BV30">
        <v>0</v>
      </c>
      <c r="BW30">
        <v>24</v>
      </c>
      <c r="BX30">
        <v>0</v>
      </c>
      <c r="BY30">
        <v>1773268786.6</v>
      </c>
      <c r="BZ30" t="s">
        <v>332</v>
      </c>
      <c r="CA30">
        <v>1773268786.6</v>
      </c>
      <c r="CB30">
        <v>1773268774.1</v>
      </c>
      <c r="CC30">
        <v>2</v>
      </c>
      <c r="CD30">
        <v>0.264</v>
      </c>
      <c r="CE30">
        <v>-0.024</v>
      </c>
      <c r="CF30">
        <v>6.495</v>
      </c>
      <c r="CG30">
        <v>0.059</v>
      </c>
      <c r="CH30">
        <v>488</v>
      </c>
      <c r="CI30">
        <v>25</v>
      </c>
      <c r="CJ30">
        <v>0.48</v>
      </c>
      <c r="CK30">
        <v>0.14</v>
      </c>
      <c r="CL30">
        <v>494.0296774193548</v>
      </c>
      <c r="CM30">
        <v>-5.347838709677024</v>
      </c>
      <c r="CN30">
        <v>0.4277909790402095</v>
      </c>
      <c r="CO30">
        <v>-1</v>
      </c>
      <c r="CP30">
        <v>499.999193548387</v>
      </c>
      <c r="CQ30">
        <v>-0.219725806450922</v>
      </c>
      <c r="CR30">
        <v>0.0538974051412268</v>
      </c>
      <c r="CS30">
        <v>-1</v>
      </c>
      <c r="CT30">
        <v>0</v>
      </c>
      <c r="CU30">
        <v>0</v>
      </c>
      <c r="CV30" t="s">
        <v>333</v>
      </c>
      <c r="CW30">
        <v>3.16893</v>
      </c>
      <c r="CX30">
        <v>2.65433</v>
      </c>
      <c r="CY30">
        <v>0.11464</v>
      </c>
      <c r="CZ30">
        <v>0.115648</v>
      </c>
      <c r="DA30">
        <v>0.0502255</v>
      </c>
      <c r="DB30">
        <v>0.0420198</v>
      </c>
      <c r="DC30">
        <v>21403.4</v>
      </c>
      <c r="DD30">
        <v>21843.2</v>
      </c>
      <c r="DE30">
        <v>23262.5</v>
      </c>
      <c r="DF30">
        <v>22582.5</v>
      </c>
      <c r="DG30">
        <v>33371.7</v>
      </c>
      <c r="DH30">
        <v>30528.5</v>
      </c>
      <c r="DI30">
        <v>40866.2</v>
      </c>
      <c r="DJ30">
        <v>37388.9</v>
      </c>
      <c r="DK30">
        <v>2.12272</v>
      </c>
      <c r="DL30">
        <v>1.78308</v>
      </c>
      <c r="DM30">
        <v>-0.009489060000000001</v>
      </c>
      <c r="DN30">
        <v>0</v>
      </c>
      <c r="DO30">
        <v>24.5086</v>
      </c>
      <c r="DP30">
        <v>999.9</v>
      </c>
      <c r="DQ30">
        <v>70.59999999999999</v>
      </c>
      <c r="DR30">
        <v>26.3</v>
      </c>
      <c r="DS30">
        <v>24.1928</v>
      </c>
      <c r="DT30">
        <v>29.95</v>
      </c>
      <c r="DU30">
        <v>11.1098</v>
      </c>
      <c r="DV30">
        <v>1</v>
      </c>
      <c r="DW30">
        <v>0.0125935</v>
      </c>
      <c r="DX30">
        <v>-0.331185</v>
      </c>
      <c r="DY30">
        <v>20.3676</v>
      </c>
      <c r="DZ30">
        <v>5.21382</v>
      </c>
      <c r="EA30">
        <v>11.8482</v>
      </c>
      <c r="EB30">
        <v>4.96916</v>
      </c>
      <c r="EC30">
        <v>3.292</v>
      </c>
      <c r="ED30">
        <v>879.4</v>
      </c>
      <c r="EE30">
        <v>9999</v>
      </c>
      <c r="EF30">
        <v>9999</v>
      </c>
      <c r="EG30">
        <v>80.3</v>
      </c>
      <c r="EH30">
        <v>4.97164</v>
      </c>
      <c r="EI30">
        <v>1.87167</v>
      </c>
      <c r="EJ30">
        <v>1.86875</v>
      </c>
      <c r="EK30">
        <v>1.87123</v>
      </c>
      <c r="EL30">
        <v>1.86894</v>
      </c>
      <c r="EM30">
        <v>1.86795</v>
      </c>
      <c r="EN30">
        <v>1.8698</v>
      </c>
      <c r="EO30">
        <v>1.87164</v>
      </c>
      <c r="EP30">
        <v>0</v>
      </c>
      <c r="EQ30">
        <v>0</v>
      </c>
      <c r="ER30">
        <v>0</v>
      </c>
      <c r="ES30">
        <v>0</v>
      </c>
      <c r="ET30" t="s">
        <v>334</v>
      </c>
      <c r="EU30" t="s">
        <v>335</v>
      </c>
      <c r="EV30" t="s">
        <v>336</v>
      </c>
      <c r="EW30" t="s">
        <v>336</v>
      </c>
      <c r="EX30" t="s">
        <v>336</v>
      </c>
      <c r="EY30" t="s">
        <v>336</v>
      </c>
      <c r="EZ30">
        <v>0</v>
      </c>
      <c r="FA30">
        <v>100</v>
      </c>
      <c r="FB30">
        <v>100</v>
      </c>
      <c r="FC30">
        <v>6.495</v>
      </c>
      <c r="FD30">
        <v>0.0588</v>
      </c>
      <c r="FE30">
        <v>6.495476190476325</v>
      </c>
      <c r="FF30">
        <v>0</v>
      </c>
      <c r="FG30">
        <v>0</v>
      </c>
      <c r="FH30">
        <v>0</v>
      </c>
      <c r="FI30">
        <v>0.05881499999999917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14.3</v>
      </c>
      <c r="FR30">
        <v>14.5</v>
      </c>
      <c r="FS30">
        <v>0.145264</v>
      </c>
      <c r="FT30">
        <v>4.99756</v>
      </c>
      <c r="FU30">
        <v>1.5979</v>
      </c>
      <c r="FV30">
        <v>2.17529</v>
      </c>
      <c r="FW30">
        <v>1.54785</v>
      </c>
      <c r="FX30">
        <v>2.32788</v>
      </c>
      <c r="FY30">
        <v>30.6309</v>
      </c>
      <c r="FZ30">
        <v>16.1809</v>
      </c>
      <c r="GA30">
        <v>3</v>
      </c>
      <c r="GB30">
        <v>497.544</v>
      </c>
      <c r="GC30">
        <v>379.224</v>
      </c>
      <c r="GD30">
        <v>25.9112</v>
      </c>
      <c r="GE30">
        <v>27.2713</v>
      </c>
      <c r="GF30">
        <v>30.0002</v>
      </c>
      <c r="GG30">
        <v>27.1466</v>
      </c>
      <c r="GH30">
        <v>27.1254</v>
      </c>
      <c r="GI30">
        <v>-1</v>
      </c>
      <c r="GJ30">
        <v>100</v>
      </c>
      <c r="GK30">
        <v>0</v>
      </c>
      <c r="GL30">
        <v>25.9118</v>
      </c>
      <c r="GM30">
        <v>1200</v>
      </c>
      <c r="GN30">
        <v>26.7455</v>
      </c>
      <c r="GO30">
        <v>102.882</v>
      </c>
      <c r="GP30">
        <v>97.59690000000001</v>
      </c>
    </row>
    <row r="31" spans="1:198">
      <c r="A31">
        <v>15</v>
      </c>
      <c r="B31">
        <v>1773269704</v>
      </c>
      <c r="C31">
        <v>840.4000000953674</v>
      </c>
      <c r="D31" t="s">
        <v>363</v>
      </c>
      <c r="E31" t="s">
        <v>364</v>
      </c>
      <c r="F31">
        <v>15</v>
      </c>
      <c r="G31">
        <v>1773269696</v>
      </c>
      <c r="H31">
        <f>(I31)/1000</f>
        <v>0</v>
      </c>
      <c r="I31">
        <f>1000*AY31*AG31*(AU31-AV31)/(100*AN31*(1000-AG31*AU31))</f>
        <v>0</v>
      </c>
      <c r="J31">
        <f>AY31*AG31*(AT31-AS31*(1000-AG31*AV31)/(1000-AG31*AU31))/(100*AN31)</f>
        <v>0</v>
      </c>
      <c r="K31">
        <f>AS31 - IF(AG31&gt;1, J31*AN31*100.0/(AI31), 0)</f>
        <v>0</v>
      </c>
      <c r="L31">
        <f>((R31-H31/2)*K31-J31)/(R31+H31/2)</f>
        <v>0</v>
      </c>
      <c r="M31">
        <f>L31*(AZ31+BA31)/1000.0</f>
        <v>0</v>
      </c>
      <c r="N31">
        <f>(AS31 - IF(AG31&gt;1, J31*AN31*100.0/(AI31), 0))*(AZ31+BA31)/1000.0</f>
        <v>0</v>
      </c>
      <c r="O31">
        <f>2.0/((1/Q31-1/P31)+SIGN(Q31)*SQRT((1/Q31-1/P31)*(1/Q31-1/P31) + 4*AO31/((AO31+1)*(AO31+1))*(2*1/Q31*1/P31-1/P31*1/P31)))</f>
        <v>0</v>
      </c>
      <c r="P31">
        <f>IF(LEFT(AP31,1)&lt;&gt;"0",IF(LEFT(AP31,1)="1",3.0,AQ31),$D$5+$E$5*(BG31*AZ31/($K$5*1000))+$F$5*(BG31*AZ31/($K$5*1000))*MAX(MIN(AN31,$J$5),$I$5)*MAX(MIN(AN31,$J$5),$I$5)+$G$5*MAX(MIN(AN31,$J$5),$I$5)*(BG31*AZ31/($K$5*1000))+$H$5*(BG31*AZ31/($K$5*1000))*(BG31*AZ31/($K$5*1000)))</f>
        <v>0</v>
      </c>
      <c r="Q31">
        <f>H31*(1000-(1000*0.61365*exp(17.502*U31/(240.97+U31))/(AZ31+BA31)+AU31)/2)/(1000*0.61365*exp(17.502*U31/(240.97+U31))/(AZ31+BA31)-AU31)</f>
        <v>0</v>
      </c>
      <c r="R31">
        <f>1/((AO31+1)/(O31/1.6)+1/(P31/1.37)) + AO31/((AO31+1)/(O31/1.6) + AO31/(P31/1.37))</f>
        <v>0</v>
      </c>
      <c r="S31">
        <f>(AJ31*AM31)</f>
        <v>0</v>
      </c>
      <c r="T31">
        <f>(BB31+(S31+2*0.95*5.67E-8*(((BB31+$B$7)+273)^4-(BB31+273)^4)-44100*H31)/(1.84*29.3*P31+8*0.95*5.67E-8*(BB31+273)^3))</f>
        <v>0</v>
      </c>
      <c r="U31">
        <f>($C$7*BC31+$D$7*BD31+$E$7*T31)</f>
        <v>0</v>
      </c>
      <c r="V31">
        <f>0.61365*exp(17.502*U31/(240.97+U31))</f>
        <v>0</v>
      </c>
      <c r="W31">
        <f>(X31/Y31*100)</f>
        <v>0</v>
      </c>
      <c r="X31">
        <f>AU31*(AZ31+BA31)/1000</f>
        <v>0</v>
      </c>
      <c r="Y31">
        <f>0.61365*exp(17.502*BB31/(240.97+BB31))</f>
        <v>0</v>
      </c>
      <c r="Z31">
        <f>(V31-AU31*(AZ31+BA31)/1000)</f>
        <v>0</v>
      </c>
      <c r="AA31">
        <f>(-H31*44100)</f>
        <v>0</v>
      </c>
      <c r="AB31">
        <f>2*29.3*P31*0.92*(BB31-U31)</f>
        <v>0</v>
      </c>
      <c r="AC31">
        <f>2*0.95*5.67E-8*(((BB31+$B$7)+273)^4-(U31+273)^4)</f>
        <v>0</v>
      </c>
      <c r="AD31">
        <f>S31+AC31+AA31+AB31</f>
        <v>0</v>
      </c>
      <c r="AE31">
        <v>5</v>
      </c>
      <c r="AF31">
        <v>1</v>
      </c>
      <c r="AG31">
        <f>IF(AE31*$H$13&gt;=AI31,1.0,(AI31/(AI31-AE31*$H$13)))</f>
        <v>0</v>
      </c>
      <c r="AH31">
        <f>(AG31-1)*100</f>
        <v>0</v>
      </c>
      <c r="AI31">
        <f>MAX(0,($B$13+$C$13*BG31)/(1+$D$13*BG31)*AZ31/(BB31+273)*$E$13)</f>
        <v>0</v>
      </c>
      <c r="AJ31">
        <f>$B$11*BH31+$C$11*BI31+$D$11*BT31</f>
        <v>0</v>
      </c>
      <c r="AK31">
        <f>AJ31*AL31</f>
        <v>0</v>
      </c>
      <c r="AL31">
        <f>($B$11*$D$9+$C$11*$D$9+$D$11*(BU31*$E$9+BV31*$G$9))/($B$11+$C$11+$D$11)</f>
        <v>0</v>
      </c>
      <c r="AM31">
        <f>($B$11*$K$9+$C$11*$K$9+$D$11*(BU31*$L$9+BV31*$N$9))/($B$11+$C$11+$D$11)</f>
        <v>0</v>
      </c>
      <c r="AN31">
        <v>3</v>
      </c>
      <c r="AO31">
        <v>0.5</v>
      </c>
      <c r="AP31" t="s">
        <v>331</v>
      </c>
      <c r="AQ31">
        <v>2</v>
      </c>
      <c r="AR31">
        <v>1773269696</v>
      </c>
      <c r="AS31">
        <v>495.0900322580645</v>
      </c>
      <c r="AT31">
        <v>494.2481290322581</v>
      </c>
      <c r="AU31">
        <v>7.945385806451612</v>
      </c>
      <c r="AV31">
        <v>6.486972903225806</v>
      </c>
      <c r="AW31">
        <v>488.5945806451612</v>
      </c>
      <c r="AX31">
        <v>7.886572580645161</v>
      </c>
      <c r="AY31">
        <v>500.0206451612904</v>
      </c>
      <c r="AZ31">
        <v>100.2318064516129</v>
      </c>
      <c r="BA31">
        <v>0.03312363225806452</v>
      </c>
      <c r="BB31">
        <v>24.99976451612902</v>
      </c>
      <c r="BC31">
        <v>24.40466129032258</v>
      </c>
      <c r="BD31">
        <v>999.9000000000003</v>
      </c>
      <c r="BE31">
        <v>0</v>
      </c>
      <c r="BF31">
        <v>0</v>
      </c>
      <c r="BG31">
        <v>4999.483870967741</v>
      </c>
      <c r="BH31">
        <v>0.4228243548387097</v>
      </c>
      <c r="BI31">
        <v>13.06581290322581</v>
      </c>
      <c r="BJ31">
        <v>0.8419239032258065</v>
      </c>
      <c r="BK31">
        <v>499.0551935483871</v>
      </c>
      <c r="BL31">
        <v>497.4752258064515</v>
      </c>
      <c r="BM31">
        <v>1.458412580645161</v>
      </c>
      <c r="BN31">
        <v>494.2481290322581</v>
      </c>
      <c r="BO31">
        <v>6.486972903225806</v>
      </c>
      <c r="BP31">
        <v>0.7963808064516129</v>
      </c>
      <c r="BQ31">
        <v>0.6502013548387098</v>
      </c>
      <c r="BR31">
        <v>3.642951612903226</v>
      </c>
      <c r="BS31">
        <v>0.7992285806451612</v>
      </c>
      <c r="BT31">
        <v>0</v>
      </c>
      <c r="BU31">
        <v>0</v>
      </c>
      <c r="BV31">
        <v>0</v>
      </c>
      <c r="BW31">
        <v>24</v>
      </c>
      <c r="BX31">
        <v>0</v>
      </c>
      <c r="BY31">
        <v>1773268786.6</v>
      </c>
      <c r="BZ31" t="s">
        <v>332</v>
      </c>
      <c r="CA31">
        <v>1773268786.6</v>
      </c>
      <c r="CB31">
        <v>1773268774.1</v>
      </c>
      <c r="CC31">
        <v>2</v>
      </c>
      <c r="CD31">
        <v>0.264</v>
      </c>
      <c r="CE31">
        <v>-0.024</v>
      </c>
      <c r="CF31">
        <v>6.495</v>
      </c>
      <c r="CG31">
        <v>0.059</v>
      </c>
      <c r="CH31">
        <v>488</v>
      </c>
      <c r="CI31">
        <v>25</v>
      </c>
      <c r="CJ31">
        <v>0.48</v>
      </c>
      <c r="CK31">
        <v>0.14</v>
      </c>
      <c r="CL31">
        <v>494.2508666666667</v>
      </c>
      <c r="CM31">
        <v>-0.6347853170187987</v>
      </c>
      <c r="CN31">
        <v>0.05002981333387192</v>
      </c>
      <c r="CO31">
        <v>-1</v>
      </c>
      <c r="CP31">
        <v>500.0197000000001</v>
      </c>
      <c r="CQ31">
        <v>0.03393103448106973</v>
      </c>
      <c r="CR31">
        <v>0.05766694604941512</v>
      </c>
      <c r="CS31">
        <v>-1</v>
      </c>
      <c r="CT31">
        <v>0</v>
      </c>
      <c r="CU31">
        <v>0</v>
      </c>
      <c r="CV31" t="s">
        <v>333</v>
      </c>
      <c r="CW31">
        <v>3.16891</v>
      </c>
      <c r="CX31">
        <v>2.65418</v>
      </c>
      <c r="CY31">
        <v>0.114691</v>
      </c>
      <c r="CZ31">
        <v>0.115702</v>
      </c>
      <c r="DA31">
        <v>0.0497224</v>
      </c>
      <c r="DB31">
        <v>0.0422846</v>
      </c>
      <c r="DC31">
        <v>21400.6</v>
      </c>
      <c r="DD31">
        <v>21842</v>
      </c>
      <c r="DE31">
        <v>23260.9</v>
      </c>
      <c r="DF31">
        <v>22582.7</v>
      </c>
      <c r="DG31">
        <v>33387.2</v>
      </c>
      <c r="DH31">
        <v>30519.9</v>
      </c>
      <c r="DI31">
        <v>40863.6</v>
      </c>
      <c r="DJ31">
        <v>37388.8</v>
      </c>
      <c r="DK31">
        <v>2.12244</v>
      </c>
      <c r="DL31">
        <v>1.78246</v>
      </c>
      <c r="DM31">
        <v>-0.00599623</v>
      </c>
      <c r="DN31">
        <v>0</v>
      </c>
      <c r="DO31">
        <v>24.5106</v>
      </c>
      <c r="DP31">
        <v>999.9</v>
      </c>
      <c r="DQ31">
        <v>70.5</v>
      </c>
      <c r="DR31">
        <v>26.4</v>
      </c>
      <c r="DS31">
        <v>24.3022</v>
      </c>
      <c r="DT31">
        <v>30.25</v>
      </c>
      <c r="DU31">
        <v>11.1899</v>
      </c>
      <c r="DV31">
        <v>1</v>
      </c>
      <c r="DW31">
        <v>0.014063</v>
      </c>
      <c r="DX31">
        <v>-0.364954</v>
      </c>
      <c r="DY31">
        <v>20.3676</v>
      </c>
      <c r="DZ31">
        <v>5.21441</v>
      </c>
      <c r="EA31">
        <v>11.8482</v>
      </c>
      <c r="EB31">
        <v>4.9694</v>
      </c>
      <c r="EC31">
        <v>3.292</v>
      </c>
      <c r="ED31">
        <v>879.4</v>
      </c>
      <c r="EE31">
        <v>9999</v>
      </c>
      <c r="EF31">
        <v>9999</v>
      </c>
      <c r="EG31">
        <v>80.3</v>
      </c>
      <c r="EH31">
        <v>4.97164</v>
      </c>
      <c r="EI31">
        <v>1.87164</v>
      </c>
      <c r="EJ31">
        <v>1.86877</v>
      </c>
      <c r="EK31">
        <v>1.87129</v>
      </c>
      <c r="EL31">
        <v>1.86895</v>
      </c>
      <c r="EM31">
        <v>1.86798</v>
      </c>
      <c r="EN31">
        <v>1.8698</v>
      </c>
      <c r="EO31">
        <v>1.87164</v>
      </c>
      <c r="EP31">
        <v>0</v>
      </c>
      <c r="EQ31">
        <v>0</v>
      </c>
      <c r="ER31">
        <v>0</v>
      </c>
      <c r="ES31">
        <v>0</v>
      </c>
      <c r="ET31" t="s">
        <v>334</v>
      </c>
      <c r="EU31" t="s">
        <v>335</v>
      </c>
      <c r="EV31" t="s">
        <v>336</v>
      </c>
      <c r="EW31" t="s">
        <v>336</v>
      </c>
      <c r="EX31" t="s">
        <v>336</v>
      </c>
      <c r="EY31" t="s">
        <v>336</v>
      </c>
      <c r="EZ31">
        <v>0</v>
      </c>
      <c r="FA31">
        <v>100</v>
      </c>
      <c r="FB31">
        <v>100</v>
      </c>
      <c r="FC31">
        <v>6.496</v>
      </c>
      <c r="FD31">
        <v>0.0588</v>
      </c>
      <c r="FE31">
        <v>6.495476190476325</v>
      </c>
      <c r="FF31">
        <v>0</v>
      </c>
      <c r="FG31">
        <v>0</v>
      </c>
      <c r="FH31">
        <v>0</v>
      </c>
      <c r="FI31">
        <v>0.05881499999999917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15.3</v>
      </c>
      <c r="FR31">
        <v>15.5</v>
      </c>
      <c r="FS31">
        <v>0.145264</v>
      </c>
      <c r="FT31">
        <v>4.99756</v>
      </c>
      <c r="FU31">
        <v>1.5979</v>
      </c>
      <c r="FV31">
        <v>2.17529</v>
      </c>
      <c r="FW31">
        <v>1.54785</v>
      </c>
      <c r="FX31">
        <v>2.30225</v>
      </c>
      <c r="FY31">
        <v>30.6956</v>
      </c>
      <c r="FZ31">
        <v>16.1722</v>
      </c>
      <c r="GA31">
        <v>3</v>
      </c>
      <c r="GB31">
        <v>497.625</v>
      </c>
      <c r="GC31">
        <v>379.096</v>
      </c>
      <c r="GD31">
        <v>25.9399</v>
      </c>
      <c r="GE31">
        <v>27.2916</v>
      </c>
      <c r="GF31">
        <v>30.0001</v>
      </c>
      <c r="GG31">
        <v>27.1765</v>
      </c>
      <c r="GH31">
        <v>27.1574</v>
      </c>
      <c r="GI31">
        <v>-1</v>
      </c>
      <c r="GJ31">
        <v>100</v>
      </c>
      <c r="GK31">
        <v>0</v>
      </c>
      <c r="GL31">
        <v>25.9402</v>
      </c>
      <c r="GM31">
        <v>1200</v>
      </c>
      <c r="GN31">
        <v>26.7455</v>
      </c>
      <c r="GO31">
        <v>102.875</v>
      </c>
      <c r="GP31">
        <v>97.5971</v>
      </c>
    </row>
    <row r="32" spans="1:198">
      <c r="A32">
        <v>16</v>
      </c>
      <c r="B32">
        <v>1773269764</v>
      </c>
      <c r="C32">
        <v>900.4000000953674</v>
      </c>
      <c r="D32" t="s">
        <v>365</v>
      </c>
      <c r="E32" t="s">
        <v>366</v>
      </c>
      <c r="F32">
        <v>15</v>
      </c>
      <c r="G32">
        <v>1773269756</v>
      </c>
      <c r="H32">
        <f>(I32)/1000</f>
        <v>0</v>
      </c>
      <c r="I32">
        <f>1000*AY32*AG32*(AU32-AV32)/(100*AN32*(1000-AG32*AU32))</f>
        <v>0</v>
      </c>
      <c r="J32">
        <f>AY32*AG32*(AT32-AS32*(1000-AG32*AV32)/(1000-AG32*AU32))/(100*AN32)</f>
        <v>0</v>
      </c>
      <c r="K32">
        <f>AS32 - IF(AG32&gt;1, J32*AN32*100.0/(AI32), 0)</f>
        <v>0</v>
      </c>
      <c r="L32">
        <f>((R32-H32/2)*K32-J32)/(R32+H32/2)</f>
        <v>0</v>
      </c>
      <c r="M32">
        <f>L32*(AZ32+BA32)/1000.0</f>
        <v>0</v>
      </c>
      <c r="N32">
        <f>(AS32 - IF(AG32&gt;1, J32*AN32*100.0/(AI32), 0))*(AZ32+BA32)/1000.0</f>
        <v>0</v>
      </c>
      <c r="O32">
        <f>2.0/((1/Q32-1/P32)+SIGN(Q32)*SQRT((1/Q32-1/P32)*(1/Q32-1/P32) + 4*AO32/((AO32+1)*(AO32+1))*(2*1/Q32*1/P32-1/P32*1/P32)))</f>
        <v>0</v>
      </c>
      <c r="P32">
        <f>IF(LEFT(AP32,1)&lt;&gt;"0",IF(LEFT(AP32,1)="1",3.0,AQ32),$D$5+$E$5*(BG32*AZ32/($K$5*1000))+$F$5*(BG32*AZ32/($K$5*1000))*MAX(MIN(AN32,$J$5),$I$5)*MAX(MIN(AN32,$J$5),$I$5)+$G$5*MAX(MIN(AN32,$J$5),$I$5)*(BG32*AZ32/($K$5*1000))+$H$5*(BG32*AZ32/($K$5*1000))*(BG32*AZ32/($K$5*1000)))</f>
        <v>0</v>
      </c>
      <c r="Q32">
        <f>H32*(1000-(1000*0.61365*exp(17.502*U32/(240.97+U32))/(AZ32+BA32)+AU32)/2)/(1000*0.61365*exp(17.502*U32/(240.97+U32))/(AZ32+BA32)-AU32)</f>
        <v>0</v>
      </c>
      <c r="R32">
        <f>1/((AO32+1)/(O32/1.6)+1/(P32/1.37)) + AO32/((AO32+1)/(O32/1.6) + AO32/(P32/1.37))</f>
        <v>0</v>
      </c>
      <c r="S32">
        <f>(AJ32*AM32)</f>
        <v>0</v>
      </c>
      <c r="T32">
        <f>(BB32+(S32+2*0.95*5.67E-8*(((BB32+$B$7)+273)^4-(BB32+273)^4)-44100*H32)/(1.84*29.3*P32+8*0.95*5.67E-8*(BB32+273)^3))</f>
        <v>0</v>
      </c>
      <c r="U32">
        <f>($C$7*BC32+$D$7*BD32+$E$7*T32)</f>
        <v>0</v>
      </c>
      <c r="V32">
        <f>0.61365*exp(17.502*U32/(240.97+U32))</f>
        <v>0</v>
      </c>
      <c r="W32">
        <f>(X32/Y32*100)</f>
        <v>0</v>
      </c>
      <c r="X32">
        <f>AU32*(AZ32+BA32)/1000</f>
        <v>0</v>
      </c>
      <c r="Y32">
        <f>0.61365*exp(17.502*BB32/(240.97+BB32))</f>
        <v>0</v>
      </c>
      <c r="Z32">
        <f>(V32-AU32*(AZ32+BA32)/1000)</f>
        <v>0</v>
      </c>
      <c r="AA32">
        <f>(-H32*44100)</f>
        <v>0</v>
      </c>
      <c r="AB32">
        <f>2*29.3*P32*0.92*(BB32-U32)</f>
        <v>0</v>
      </c>
      <c r="AC32">
        <f>2*0.95*5.67E-8*(((BB32+$B$7)+273)^4-(U32+273)^4)</f>
        <v>0</v>
      </c>
      <c r="AD32">
        <f>S32+AC32+AA32+AB32</f>
        <v>0</v>
      </c>
      <c r="AE32">
        <v>5</v>
      </c>
      <c r="AF32">
        <v>1</v>
      </c>
      <c r="AG32">
        <f>IF(AE32*$H$13&gt;=AI32,1.0,(AI32/(AI32-AE32*$H$13)))</f>
        <v>0</v>
      </c>
      <c r="AH32">
        <f>(AG32-1)*100</f>
        <v>0</v>
      </c>
      <c r="AI32">
        <f>MAX(0,($B$13+$C$13*BG32)/(1+$D$13*BG32)*AZ32/(BB32+273)*$E$13)</f>
        <v>0</v>
      </c>
      <c r="AJ32">
        <f>$B$11*BH32+$C$11*BI32+$D$11*BT32</f>
        <v>0</v>
      </c>
      <c r="AK32">
        <f>AJ32*AL32</f>
        <v>0</v>
      </c>
      <c r="AL32">
        <f>($B$11*$D$9+$C$11*$D$9+$D$11*(BU32*$E$9+BV32*$G$9))/($B$11+$C$11+$D$11)</f>
        <v>0</v>
      </c>
      <c r="AM32">
        <f>($B$11*$K$9+$C$11*$K$9+$D$11*(BU32*$L$9+BV32*$N$9))/($B$11+$C$11+$D$11)</f>
        <v>0</v>
      </c>
      <c r="AN32">
        <v>3</v>
      </c>
      <c r="AO32">
        <v>0.5</v>
      </c>
      <c r="AP32" t="s">
        <v>331</v>
      </c>
      <c r="AQ32">
        <v>2</v>
      </c>
      <c r="AR32">
        <v>1773269756</v>
      </c>
      <c r="AS32">
        <v>495.5047419354838</v>
      </c>
      <c r="AT32">
        <v>494.3975161290322</v>
      </c>
      <c r="AU32">
        <v>7.851334838709676</v>
      </c>
      <c r="AV32">
        <v>6.53545935483871</v>
      </c>
      <c r="AW32">
        <v>489.0092903225807</v>
      </c>
      <c r="AX32">
        <v>7.792519677419354</v>
      </c>
      <c r="AY32">
        <v>500.0088709677419</v>
      </c>
      <c r="AZ32">
        <v>100.2330967741935</v>
      </c>
      <c r="BA32">
        <v>0.03272821935483871</v>
      </c>
      <c r="BB32">
        <v>25.00599354838709</v>
      </c>
      <c r="BC32">
        <v>24.45688709677419</v>
      </c>
      <c r="BD32">
        <v>999.9000000000003</v>
      </c>
      <c r="BE32">
        <v>0</v>
      </c>
      <c r="BF32">
        <v>0</v>
      </c>
      <c r="BG32">
        <v>4996.983870967741</v>
      </c>
      <c r="BH32">
        <v>0.4378353225806452</v>
      </c>
      <c r="BI32">
        <v>14.98576129032258</v>
      </c>
      <c r="BJ32">
        <v>1.107222806451613</v>
      </c>
      <c r="BK32">
        <v>499.4258709677419</v>
      </c>
      <c r="BL32">
        <v>497.649935483871</v>
      </c>
      <c r="BM32">
        <v>1.315876774193548</v>
      </c>
      <c r="BN32">
        <v>494.3975161290322</v>
      </c>
      <c r="BO32">
        <v>6.53545935483871</v>
      </c>
      <c r="BP32">
        <v>0.7869630322580646</v>
      </c>
      <c r="BQ32">
        <v>0.6550686451612903</v>
      </c>
      <c r="BR32">
        <v>3.474289677419355</v>
      </c>
      <c r="BS32">
        <v>0.9026376774193549</v>
      </c>
      <c r="BT32">
        <v>0</v>
      </c>
      <c r="BU32">
        <v>0</v>
      </c>
      <c r="BV32">
        <v>0</v>
      </c>
      <c r="BW32">
        <v>24</v>
      </c>
      <c r="BX32">
        <v>0</v>
      </c>
      <c r="BY32">
        <v>1773268786.6</v>
      </c>
      <c r="BZ32" t="s">
        <v>332</v>
      </c>
      <c r="CA32">
        <v>1773268786.6</v>
      </c>
      <c r="CB32">
        <v>1773268774.1</v>
      </c>
      <c r="CC32">
        <v>2</v>
      </c>
      <c r="CD32">
        <v>0.264</v>
      </c>
      <c r="CE32">
        <v>-0.024</v>
      </c>
      <c r="CF32">
        <v>6.495</v>
      </c>
      <c r="CG32">
        <v>0.059</v>
      </c>
      <c r="CH32">
        <v>488</v>
      </c>
      <c r="CI32">
        <v>25</v>
      </c>
      <c r="CJ32">
        <v>0.48</v>
      </c>
      <c r="CK32">
        <v>0.14</v>
      </c>
      <c r="CL32">
        <v>494.4230666666666</v>
      </c>
      <c r="CM32">
        <v>-3.915497219132883</v>
      </c>
      <c r="CN32">
        <v>0.3140297155082963</v>
      </c>
      <c r="CO32">
        <v>-1</v>
      </c>
      <c r="CP32">
        <v>500.0082</v>
      </c>
      <c r="CQ32">
        <v>-0.05467408231329794</v>
      </c>
      <c r="CR32">
        <v>0.04180940882942921</v>
      </c>
      <c r="CS32">
        <v>-1</v>
      </c>
      <c r="CT32">
        <v>0</v>
      </c>
      <c r="CU32">
        <v>0</v>
      </c>
      <c r="CV32" t="s">
        <v>333</v>
      </c>
      <c r="CW32">
        <v>3.16887</v>
      </c>
      <c r="CX32">
        <v>2.6539</v>
      </c>
      <c r="CY32">
        <v>0.114712</v>
      </c>
      <c r="CZ32">
        <v>0.115596</v>
      </c>
      <c r="DA32">
        <v>0.0492471</v>
      </c>
      <c r="DB32">
        <v>0.0425405</v>
      </c>
      <c r="DC32">
        <v>21398.4</v>
      </c>
      <c r="DD32">
        <v>21844.7</v>
      </c>
      <c r="DE32">
        <v>23259.2</v>
      </c>
      <c r="DF32">
        <v>22582.8</v>
      </c>
      <c r="DG32">
        <v>33401.8</v>
      </c>
      <c r="DH32">
        <v>30511.8</v>
      </c>
      <c r="DI32">
        <v>40861</v>
      </c>
      <c r="DJ32">
        <v>37388.9</v>
      </c>
      <c r="DK32">
        <v>2.1219</v>
      </c>
      <c r="DL32">
        <v>1.78224</v>
      </c>
      <c r="DM32">
        <v>-0.00332892</v>
      </c>
      <c r="DN32">
        <v>0</v>
      </c>
      <c r="DO32">
        <v>24.5147</v>
      </c>
      <c r="DP32">
        <v>999.9</v>
      </c>
      <c r="DQ32">
        <v>70.5</v>
      </c>
      <c r="DR32">
        <v>26.4</v>
      </c>
      <c r="DS32">
        <v>24.2983</v>
      </c>
      <c r="DT32">
        <v>30.1</v>
      </c>
      <c r="DU32">
        <v>11.1659</v>
      </c>
      <c r="DV32">
        <v>1</v>
      </c>
      <c r="DW32">
        <v>0.0153963</v>
      </c>
      <c r="DX32">
        <v>-0.307418</v>
      </c>
      <c r="DY32">
        <v>20.3677</v>
      </c>
      <c r="DZ32">
        <v>5.21382</v>
      </c>
      <c r="EA32">
        <v>11.8482</v>
      </c>
      <c r="EB32">
        <v>4.96936</v>
      </c>
      <c r="EC32">
        <v>3.292</v>
      </c>
      <c r="ED32">
        <v>879.4</v>
      </c>
      <c r="EE32">
        <v>9999</v>
      </c>
      <c r="EF32">
        <v>9999</v>
      </c>
      <c r="EG32">
        <v>80.40000000000001</v>
      </c>
      <c r="EH32">
        <v>4.9716</v>
      </c>
      <c r="EI32">
        <v>1.87165</v>
      </c>
      <c r="EJ32">
        <v>1.86876</v>
      </c>
      <c r="EK32">
        <v>1.87125</v>
      </c>
      <c r="EL32">
        <v>1.86892</v>
      </c>
      <c r="EM32">
        <v>1.86797</v>
      </c>
      <c r="EN32">
        <v>1.86979</v>
      </c>
      <c r="EO32">
        <v>1.87162</v>
      </c>
      <c r="EP32">
        <v>0</v>
      </c>
      <c r="EQ32">
        <v>0</v>
      </c>
      <c r="ER32">
        <v>0</v>
      </c>
      <c r="ES32">
        <v>0</v>
      </c>
      <c r="ET32" t="s">
        <v>334</v>
      </c>
      <c r="EU32" t="s">
        <v>335</v>
      </c>
      <c r="EV32" t="s">
        <v>336</v>
      </c>
      <c r="EW32" t="s">
        <v>336</v>
      </c>
      <c r="EX32" t="s">
        <v>336</v>
      </c>
      <c r="EY32" t="s">
        <v>336</v>
      </c>
      <c r="EZ32">
        <v>0</v>
      </c>
      <c r="FA32">
        <v>100</v>
      </c>
      <c r="FB32">
        <v>100</v>
      </c>
      <c r="FC32">
        <v>6.495</v>
      </c>
      <c r="FD32">
        <v>0.0588</v>
      </c>
      <c r="FE32">
        <v>6.495476190476325</v>
      </c>
      <c r="FF32">
        <v>0</v>
      </c>
      <c r="FG32">
        <v>0</v>
      </c>
      <c r="FH32">
        <v>0</v>
      </c>
      <c r="FI32">
        <v>0.05881499999999917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16.3</v>
      </c>
      <c r="FR32">
        <v>16.5</v>
      </c>
      <c r="FS32">
        <v>0.145264</v>
      </c>
      <c r="FT32">
        <v>4.99756</v>
      </c>
      <c r="FU32">
        <v>1.5979</v>
      </c>
      <c r="FV32">
        <v>2.17407</v>
      </c>
      <c r="FW32">
        <v>1.54785</v>
      </c>
      <c r="FX32">
        <v>2.35474</v>
      </c>
      <c r="FY32">
        <v>30.7604</v>
      </c>
      <c r="FZ32">
        <v>16.1722</v>
      </c>
      <c r="GA32">
        <v>3</v>
      </c>
      <c r="GB32">
        <v>497.526</v>
      </c>
      <c r="GC32">
        <v>379.153</v>
      </c>
      <c r="GD32">
        <v>25.8999</v>
      </c>
      <c r="GE32">
        <v>27.3092</v>
      </c>
      <c r="GF32">
        <v>30.0001</v>
      </c>
      <c r="GG32">
        <v>27.2024</v>
      </c>
      <c r="GH32">
        <v>27.1848</v>
      </c>
      <c r="GI32">
        <v>-1</v>
      </c>
      <c r="GJ32">
        <v>100</v>
      </c>
      <c r="GK32">
        <v>0</v>
      </c>
      <c r="GL32">
        <v>25.8932</v>
      </c>
      <c r="GM32">
        <v>1200</v>
      </c>
      <c r="GN32">
        <v>26.7455</v>
      </c>
      <c r="GO32">
        <v>102.868</v>
      </c>
      <c r="GP32">
        <v>97.5975</v>
      </c>
    </row>
    <row r="33" spans="1:198">
      <c r="A33">
        <v>17</v>
      </c>
      <c r="B33">
        <v>1773269824</v>
      </c>
      <c r="C33">
        <v>960.4000000953674</v>
      </c>
      <c r="D33" t="s">
        <v>367</v>
      </c>
      <c r="E33" t="s">
        <v>368</v>
      </c>
      <c r="F33">
        <v>15</v>
      </c>
      <c r="G33">
        <v>1773269816</v>
      </c>
      <c r="H33">
        <f>(I33)/1000</f>
        <v>0</v>
      </c>
      <c r="I33">
        <f>1000*AY33*AG33*(AU33-AV33)/(100*AN33*(1000-AG33*AU33))</f>
        <v>0</v>
      </c>
      <c r="J33">
        <f>AY33*AG33*(AT33-AS33*(1000-AG33*AV33)/(1000-AG33*AU33))/(100*AN33)</f>
        <v>0</v>
      </c>
      <c r="K33">
        <f>AS33 - IF(AG33&gt;1, J33*AN33*100.0/(AI33), 0)</f>
        <v>0</v>
      </c>
      <c r="L33">
        <f>((R33-H33/2)*K33-J33)/(R33+H33/2)</f>
        <v>0</v>
      </c>
      <c r="M33">
        <f>L33*(AZ33+BA33)/1000.0</f>
        <v>0</v>
      </c>
      <c r="N33">
        <f>(AS33 - IF(AG33&gt;1, J33*AN33*100.0/(AI33), 0))*(AZ33+BA33)/1000.0</f>
        <v>0</v>
      </c>
      <c r="O33">
        <f>2.0/((1/Q33-1/P33)+SIGN(Q33)*SQRT((1/Q33-1/P33)*(1/Q33-1/P33) + 4*AO33/((AO33+1)*(AO33+1))*(2*1/Q33*1/P33-1/P33*1/P33)))</f>
        <v>0</v>
      </c>
      <c r="P33">
        <f>IF(LEFT(AP33,1)&lt;&gt;"0",IF(LEFT(AP33,1)="1",3.0,AQ33),$D$5+$E$5*(BG33*AZ33/($K$5*1000))+$F$5*(BG33*AZ33/($K$5*1000))*MAX(MIN(AN33,$J$5),$I$5)*MAX(MIN(AN33,$J$5),$I$5)+$G$5*MAX(MIN(AN33,$J$5),$I$5)*(BG33*AZ33/($K$5*1000))+$H$5*(BG33*AZ33/($K$5*1000))*(BG33*AZ33/($K$5*1000)))</f>
        <v>0</v>
      </c>
      <c r="Q33">
        <f>H33*(1000-(1000*0.61365*exp(17.502*U33/(240.97+U33))/(AZ33+BA33)+AU33)/2)/(1000*0.61365*exp(17.502*U33/(240.97+U33))/(AZ33+BA33)-AU33)</f>
        <v>0</v>
      </c>
      <c r="R33">
        <f>1/((AO33+1)/(O33/1.6)+1/(P33/1.37)) + AO33/((AO33+1)/(O33/1.6) + AO33/(P33/1.37))</f>
        <v>0</v>
      </c>
      <c r="S33">
        <f>(AJ33*AM33)</f>
        <v>0</v>
      </c>
      <c r="T33">
        <f>(BB33+(S33+2*0.95*5.67E-8*(((BB33+$B$7)+273)^4-(BB33+273)^4)-44100*H33)/(1.84*29.3*P33+8*0.95*5.67E-8*(BB33+273)^3))</f>
        <v>0</v>
      </c>
      <c r="U33">
        <f>($C$7*BC33+$D$7*BD33+$E$7*T33)</f>
        <v>0</v>
      </c>
      <c r="V33">
        <f>0.61365*exp(17.502*U33/(240.97+U33))</f>
        <v>0</v>
      </c>
      <c r="W33">
        <f>(X33/Y33*100)</f>
        <v>0</v>
      </c>
      <c r="X33">
        <f>AU33*(AZ33+BA33)/1000</f>
        <v>0</v>
      </c>
      <c r="Y33">
        <f>0.61365*exp(17.502*BB33/(240.97+BB33))</f>
        <v>0</v>
      </c>
      <c r="Z33">
        <f>(V33-AU33*(AZ33+BA33)/1000)</f>
        <v>0</v>
      </c>
      <c r="AA33">
        <f>(-H33*44100)</f>
        <v>0</v>
      </c>
      <c r="AB33">
        <f>2*29.3*P33*0.92*(BB33-U33)</f>
        <v>0</v>
      </c>
      <c r="AC33">
        <f>2*0.95*5.67E-8*(((BB33+$B$7)+273)^4-(U33+273)^4)</f>
        <v>0</v>
      </c>
      <c r="AD33">
        <f>S33+AC33+AA33+AB33</f>
        <v>0</v>
      </c>
      <c r="AE33">
        <v>5</v>
      </c>
      <c r="AF33">
        <v>1</v>
      </c>
      <c r="AG33">
        <f>IF(AE33*$H$13&gt;=AI33,1.0,(AI33/(AI33-AE33*$H$13)))</f>
        <v>0</v>
      </c>
      <c r="AH33">
        <f>(AG33-1)*100</f>
        <v>0</v>
      </c>
      <c r="AI33">
        <f>MAX(0,($B$13+$C$13*BG33)/(1+$D$13*BG33)*AZ33/(BB33+273)*$E$13)</f>
        <v>0</v>
      </c>
      <c r="AJ33">
        <f>$B$11*BH33+$C$11*BI33+$D$11*BT33</f>
        <v>0</v>
      </c>
      <c r="AK33">
        <f>AJ33*AL33</f>
        <v>0</v>
      </c>
      <c r="AL33">
        <f>($B$11*$D$9+$C$11*$D$9+$D$11*(BU33*$E$9+BV33*$G$9))/($B$11+$C$11+$D$11)</f>
        <v>0</v>
      </c>
      <c r="AM33">
        <f>($B$11*$K$9+$C$11*$K$9+$D$11*(BU33*$L$9+BV33*$N$9))/($B$11+$C$11+$D$11)</f>
        <v>0</v>
      </c>
      <c r="AN33">
        <v>3</v>
      </c>
      <c r="AO33">
        <v>0.5</v>
      </c>
      <c r="AP33" t="s">
        <v>331</v>
      </c>
      <c r="AQ33">
        <v>2</v>
      </c>
      <c r="AR33">
        <v>1773269816</v>
      </c>
      <c r="AS33">
        <v>494.9722903225806</v>
      </c>
      <c r="AT33">
        <v>493.7758709677419</v>
      </c>
      <c r="AU33">
        <v>7.766566451612903</v>
      </c>
      <c r="AV33">
        <v>6.587909677419355</v>
      </c>
      <c r="AW33">
        <v>488.4769032258064</v>
      </c>
      <c r="AX33">
        <v>7.70775129032258</v>
      </c>
      <c r="AY33">
        <v>500.0025161290323</v>
      </c>
      <c r="AZ33">
        <v>100.2334838709677</v>
      </c>
      <c r="BA33">
        <v>0.0332526129032258</v>
      </c>
      <c r="BB33">
        <v>24.99636451612903</v>
      </c>
      <c r="BC33">
        <v>24.48478709677419</v>
      </c>
      <c r="BD33">
        <v>999.9000000000003</v>
      </c>
      <c r="BE33">
        <v>0</v>
      </c>
      <c r="BF33">
        <v>0</v>
      </c>
      <c r="BG33">
        <v>5002.16129032258</v>
      </c>
      <c r="BH33">
        <v>0.4454784838709678</v>
      </c>
      <c r="BI33">
        <v>17.31207096774193</v>
      </c>
      <c r="BJ33">
        <v>1.196499032258064</v>
      </c>
      <c r="BK33">
        <v>498.8467096774194</v>
      </c>
      <c r="BL33">
        <v>497.0502903225806</v>
      </c>
      <c r="BM33">
        <v>1.178657419354839</v>
      </c>
      <c r="BN33">
        <v>493.7758709677419</v>
      </c>
      <c r="BO33">
        <v>6.587909677419355</v>
      </c>
      <c r="BP33">
        <v>0.7784698064516129</v>
      </c>
      <c r="BQ33">
        <v>0.6603290322580646</v>
      </c>
      <c r="BR33">
        <v>3.320649032258064</v>
      </c>
      <c r="BS33">
        <v>1.013633193548387</v>
      </c>
      <c r="BT33">
        <v>0</v>
      </c>
      <c r="BU33">
        <v>0</v>
      </c>
      <c r="BV33">
        <v>0</v>
      </c>
      <c r="BW33">
        <v>23.9914064516129</v>
      </c>
      <c r="BX33">
        <v>0.1473118935483871</v>
      </c>
      <c r="BY33">
        <v>1773268786.6</v>
      </c>
      <c r="BZ33" t="s">
        <v>332</v>
      </c>
      <c r="CA33">
        <v>1773268786.6</v>
      </c>
      <c r="CB33">
        <v>1773268774.1</v>
      </c>
      <c r="CC33">
        <v>2</v>
      </c>
      <c r="CD33">
        <v>0.264</v>
      </c>
      <c r="CE33">
        <v>-0.024</v>
      </c>
      <c r="CF33">
        <v>6.495</v>
      </c>
      <c r="CG33">
        <v>0.059</v>
      </c>
      <c r="CH33">
        <v>488</v>
      </c>
      <c r="CI33">
        <v>25</v>
      </c>
      <c r="CJ33">
        <v>0.48</v>
      </c>
      <c r="CK33">
        <v>0.14</v>
      </c>
      <c r="CL33">
        <v>493.8126774193548</v>
      </c>
      <c r="CM33">
        <v>-2.778580645161422</v>
      </c>
      <c r="CN33">
        <v>0.2145295508777103</v>
      </c>
      <c r="CO33">
        <v>-1</v>
      </c>
      <c r="CP33">
        <v>499.9984838709677</v>
      </c>
      <c r="CQ33">
        <v>0.000677419353604922</v>
      </c>
      <c r="CR33">
        <v>0.04454853892665134</v>
      </c>
      <c r="CS33">
        <v>-1</v>
      </c>
      <c r="CT33">
        <v>0</v>
      </c>
      <c r="CU33">
        <v>0</v>
      </c>
      <c r="CV33" t="s">
        <v>333</v>
      </c>
      <c r="CW33">
        <v>3.16905</v>
      </c>
      <c r="CX33">
        <v>2.65408</v>
      </c>
      <c r="CY33">
        <v>0.114611</v>
      </c>
      <c r="CZ33">
        <v>0.115585</v>
      </c>
      <c r="DA33">
        <v>0.0488132</v>
      </c>
      <c r="DB33">
        <v>0.0428206</v>
      </c>
      <c r="DC33">
        <v>21399.1</v>
      </c>
      <c r="DD33">
        <v>21845.4</v>
      </c>
      <c r="DE33">
        <v>23257.3</v>
      </c>
      <c r="DF33">
        <v>22583.3</v>
      </c>
      <c r="DG33">
        <v>33414.7</v>
      </c>
      <c r="DH33">
        <v>30503.3</v>
      </c>
      <c r="DI33">
        <v>40858.2</v>
      </c>
      <c r="DJ33">
        <v>37389.4</v>
      </c>
      <c r="DK33">
        <v>2.12176</v>
      </c>
      <c r="DL33">
        <v>1.78134</v>
      </c>
      <c r="DM33">
        <v>-0.00229478</v>
      </c>
      <c r="DN33">
        <v>0</v>
      </c>
      <c r="DO33">
        <v>24.5251</v>
      </c>
      <c r="DP33">
        <v>999.9</v>
      </c>
      <c r="DQ33">
        <v>70.3</v>
      </c>
      <c r="DR33">
        <v>26.5</v>
      </c>
      <c r="DS33">
        <v>24.3754</v>
      </c>
      <c r="DT33">
        <v>30.13</v>
      </c>
      <c r="DU33">
        <v>10.9135</v>
      </c>
      <c r="DV33">
        <v>1</v>
      </c>
      <c r="DW33">
        <v>0.0166341</v>
      </c>
      <c r="DX33">
        <v>-0.38788</v>
      </c>
      <c r="DY33">
        <v>20.3675</v>
      </c>
      <c r="DZ33">
        <v>5.21477</v>
      </c>
      <c r="EA33">
        <v>11.8482</v>
      </c>
      <c r="EB33">
        <v>4.96968</v>
      </c>
      <c r="EC33">
        <v>3.29202</v>
      </c>
      <c r="ED33">
        <v>879.4</v>
      </c>
      <c r="EE33">
        <v>9999</v>
      </c>
      <c r="EF33">
        <v>9999</v>
      </c>
      <c r="EG33">
        <v>80.40000000000001</v>
      </c>
      <c r="EH33">
        <v>4.97162</v>
      </c>
      <c r="EI33">
        <v>1.87164</v>
      </c>
      <c r="EJ33">
        <v>1.86882</v>
      </c>
      <c r="EK33">
        <v>1.87127</v>
      </c>
      <c r="EL33">
        <v>1.86895</v>
      </c>
      <c r="EM33">
        <v>1.86797</v>
      </c>
      <c r="EN33">
        <v>1.86979</v>
      </c>
      <c r="EO33">
        <v>1.87164</v>
      </c>
      <c r="EP33">
        <v>0</v>
      </c>
      <c r="EQ33">
        <v>0</v>
      </c>
      <c r="ER33">
        <v>0</v>
      </c>
      <c r="ES33">
        <v>0</v>
      </c>
      <c r="ET33" t="s">
        <v>334</v>
      </c>
      <c r="EU33" t="s">
        <v>335</v>
      </c>
      <c r="EV33" t="s">
        <v>336</v>
      </c>
      <c r="EW33" t="s">
        <v>336</v>
      </c>
      <c r="EX33" t="s">
        <v>336</v>
      </c>
      <c r="EY33" t="s">
        <v>336</v>
      </c>
      <c r="EZ33">
        <v>0</v>
      </c>
      <c r="FA33">
        <v>100</v>
      </c>
      <c r="FB33">
        <v>100</v>
      </c>
      <c r="FC33">
        <v>6.496</v>
      </c>
      <c r="FD33">
        <v>0.0588</v>
      </c>
      <c r="FE33">
        <v>6.495476190476325</v>
      </c>
      <c r="FF33">
        <v>0</v>
      </c>
      <c r="FG33">
        <v>0</v>
      </c>
      <c r="FH33">
        <v>0</v>
      </c>
      <c r="FI33">
        <v>0.05881499999999917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17.3</v>
      </c>
      <c r="FR33">
        <v>17.5</v>
      </c>
      <c r="FS33">
        <v>0.145264</v>
      </c>
      <c r="FT33">
        <v>4.99756</v>
      </c>
      <c r="FU33">
        <v>1.5979</v>
      </c>
      <c r="FV33">
        <v>2.17407</v>
      </c>
      <c r="FW33">
        <v>1.54785</v>
      </c>
      <c r="FX33">
        <v>2.41455</v>
      </c>
      <c r="FY33">
        <v>30.8037</v>
      </c>
      <c r="FZ33">
        <v>16.1722</v>
      </c>
      <c r="GA33">
        <v>3</v>
      </c>
      <c r="GB33">
        <v>497.649</v>
      </c>
      <c r="GC33">
        <v>378.841</v>
      </c>
      <c r="GD33">
        <v>25.903</v>
      </c>
      <c r="GE33">
        <v>27.3272</v>
      </c>
      <c r="GF33">
        <v>30.0001</v>
      </c>
      <c r="GG33">
        <v>27.2276</v>
      </c>
      <c r="GH33">
        <v>27.2114</v>
      </c>
      <c r="GI33">
        <v>-1</v>
      </c>
      <c r="GJ33">
        <v>100</v>
      </c>
      <c r="GK33">
        <v>0</v>
      </c>
      <c r="GL33">
        <v>25.9033</v>
      </c>
      <c r="GM33">
        <v>1200</v>
      </c>
      <c r="GN33">
        <v>26.7455</v>
      </c>
      <c r="GO33">
        <v>102.861</v>
      </c>
      <c r="GP33">
        <v>97.5992</v>
      </c>
    </row>
    <row r="34" spans="1:198">
      <c r="A34">
        <v>18</v>
      </c>
      <c r="B34">
        <v>1773269884</v>
      </c>
      <c r="C34">
        <v>1020.400000095367</v>
      </c>
      <c r="D34" t="s">
        <v>369</v>
      </c>
      <c r="E34" t="s">
        <v>370</v>
      </c>
      <c r="F34">
        <v>15</v>
      </c>
      <c r="G34">
        <v>1773269876</v>
      </c>
      <c r="H34">
        <f>(I34)/1000</f>
        <v>0</v>
      </c>
      <c r="I34">
        <f>1000*AY34*AG34*(AU34-AV34)/(100*AN34*(1000-AG34*AU34))</f>
        <v>0</v>
      </c>
      <c r="J34">
        <f>AY34*AG34*(AT34-AS34*(1000-AG34*AV34)/(1000-AG34*AU34))/(100*AN34)</f>
        <v>0</v>
      </c>
      <c r="K34">
        <f>AS34 - IF(AG34&gt;1, J34*AN34*100.0/(AI34), 0)</f>
        <v>0</v>
      </c>
      <c r="L34">
        <f>((R34-H34/2)*K34-J34)/(R34+H34/2)</f>
        <v>0</v>
      </c>
      <c r="M34">
        <f>L34*(AZ34+BA34)/1000.0</f>
        <v>0</v>
      </c>
      <c r="N34">
        <f>(AS34 - IF(AG34&gt;1, J34*AN34*100.0/(AI34), 0))*(AZ34+BA34)/1000.0</f>
        <v>0</v>
      </c>
      <c r="O34">
        <f>2.0/((1/Q34-1/P34)+SIGN(Q34)*SQRT((1/Q34-1/P34)*(1/Q34-1/P34) + 4*AO34/((AO34+1)*(AO34+1))*(2*1/Q34*1/P34-1/P34*1/P34)))</f>
        <v>0</v>
      </c>
      <c r="P34">
        <f>IF(LEFT(AP34,1)&lt;&gt;"0",IF(LEFT(AP34,1)="1",3.0,AQ34),$D$5+$E$5*(BG34*AZ34/($K$5*1000))+$F$5*(BG34*AZ34/($K$5*1000))*MAX(MIN(AN34,$J$5),$I$5)*MAX(MIN(AN34,$J$5),$I$5)+$G$5*MAX(MIN(AN34,$J$5),$I$5)*(BG34*AZ34/($K$5*1000))+$H$5*(BG34*AZ34/($K$5*1000))*(BG34*AZ34/($K$5*1000)))</f>
        <v>0</v>
      </c>
      <c r="Q34">
        <f>H34*(1000-(1000*0.61365*exp(17.502*U34/(240.97+U34))/(AZ34+BA34)+AU34)/2)/(1000*0.61365*exp(17.502*U34/(240.97+U34))/(AZ34+BA34)-AU34)</f>
        <v>0</v>
      </c>
      <c r="R34">
        <f>1/((AO34+1)/(O34/1.6)+1/(P34/1.37)) + AO34/((AO34+1)/(O34/1.6) + AO34/(P34/1.37))</f>
        <v>0</v>
      </c>
      <c r="S34">
        <f>(AJ34*AM34)</f>
        <v>0</v>
      </c>
      <c r="T34">
        <f>(BB34+(S34+2*0.95*5.67E-8*(((BB34+$B$7)+273)^4-(BB34+273)^4)-44100*H34)/(1.84*29.3*P34+8*0.95*5.67E-8*(BB34+273)^3))</f>
        <v>0</v>
      </c>
      <c r="U34">
        <f>($C$7*BC34+$D$7*BD34+$E$7*T34)</f>
        <v>0</v>
      </c>
      <c r="V34">
        <f>0.61365*exp(17.502*U34/(240.97+U34))</f>
        <v>0</v>
      </c>
      <c r="W34">
        <f>(X34/Y34*100)</f>
        <v>0</v>
      </c>
      <c r="X34">
        <f>AU34*(AZ34+BA34)/1000</f>
        <v>0</v>
      </c>
      <c r="Y34">
        <f>0.61365*exp(17.502*BB34/(240.97+BB34))</f>
        <v>0</v>
      </c>
      <c r="Z34">
        <f>(V34-AU34*(AZ34+BA34)/1000)</f>
        <v>0</v>
      </c>
      <c r="AA34">
        <f>(-H34*44100)</f>
        <v>0</v>
      </c>
      <c r="AB34">
        <f>2*29.3*P34*0.92*(BB34-U34)</f>
        <v>0</v>
      </c>
      <c r="AC34">
        <f>2*0.95*5.67E-8*(((BB34+$B$7)+273)^4-(U34+273)^4)</f>
        <v>0</v>
      </c>
      <c r="AD34">
        <f>S34+AC34+AA34+AB34</f>
        <v>0</v>
      </c>
      <c r="AE34">
        <v>5</v>
      </c>
      <c r="AF34">
        <v>1</v>
      </c>
      <c r="AG34">
        <f>IF(AE34*$H$13&gt;=AI34,1.0,(AI34/(AI34-AE34*$H$13)))</f>
        <v>0</v>
      </c>
      <c r="AH34">
        <f>(AG34-1)*100</f>
        <v>0</v>
      </c>
      <c r="AI34">
        <f>MAX(0,($B$13+$C$13*BG34)/(1+$D$13*BG34)*AZ34/(BB34+273)*$E$13)</f>
        <v>0</v>
      </c>
      <c r="AJ34">
        <f>$B$11*BH34+$C$11*BI34+$D$11*BT34</f>
        <v>0</v>
      </c>
      <c r="AK34">
        <f>AJ34*AL34</f>
        <v>0</v>
      </c>
      <c r="AL34">
        <f>($B$11*$D$9+$C$11*$D$9+$D$11*(BU34*$E$9+BV34*$G$9))/($B$11+$C$11+$D$11)</f>
        <v>0</v>
      </c>
      <c r="AM34">
        <f>($B$11*$K$9+$C$11*$K$9+$D$11*(BU34*$L$9+BV34*$N$9))/($B$11+$C$11+$D$11)</f>
        <v>0</v>
      </c>
      <c r="AN34">
        <v>3</v>
      </c>
      <c r="AO34">
        <v>0.5</v>
      </c>
      <c r="AP34" t="s">
        <v>331</v>
      </c>
      <c r="AQ34">
        <v>2</v>
      </c>
      <c r="AR34">
        <v>1773269876</v>
      </c>
      <c r="AS34">
        <v>495.846258064516</v>
      </c>
      <c r="AT34">
        <v>494.9491612903226</v>
      </c>
      <c r="AU34">
        <v>7.69443193548387</v>
      </c>
      <c r="AV34">
        <v>6.63730322580645</v>
      </c>
      <c r="AW34">
        <v>489.3507741935483</v>
      </c>
      <c r="AX34">
        <v>7.635616451612902</v>
      </c>
      <c r="AY34">
        <v>500.0120967741935</v>
      </c>
      <c r="AZ34">
        <v>100.2314838709677</v>
      </c>
      <c r="BA34">
        <v>0.03295704516129032</v>
      </c>
      <c r="BB34">
        <v>24.99752258064516</v>
      </c>
      <c r="BC34">
        <v>24.5271</v>
      </c>
      <c r="BD34">
        <v>999.9000000000003</v>
      </c>
      <c r="BE34">
        <v>0</v>
      </c>
      <c r="BF34">
        <v>0</v>
      </c>
      <c r="BG34">
        <v>5000.935483870968</v>
      </c>
      <c r="BH34">
        <v>0.4627710322580645</v>
      </c>
      <c r="BI34">
        <v>19.84557096774193</v>
      </c>
      <c r="BJ34">
        <v>0.897016</v>
      </c>
      <c r="BK34">
        <v>499.6910645161291</v>
      </c>
      <c r="BL34">
        <v>498.2562903225806</v>
      </c>
      <c r="BM34">
        <v>1.057129032258065</v>
      </c>
      <c r="BN34">
        <v>494.9491612903226</v>
      </c>
      <c r="BO34">
        <v>6.63730322580645</v>
      </c>
      <c r="BP34">
        <v>0.7712242580645163</v>
      </c>
      <c r="BQ34">
        <v>0.665266677419355</v>
      </c>
      <c r="BR34">
        <v>3.188402903225807</v>
      </c>
      <c r="BS34">
        <v>1.117113225806452</v>
      </c>
      <c r="BT34">
        <v>0</v>
      </c>
      <c r="BU34">
        <v>0</v>
      </c>
      <c r="BV34">
        <v>0</v>
      </c>
      <c r="BW34">
        <v>24</v>
      </c>
      <c r="BX34">
        <v>0.991397935483871</v>
      </c>
      <c r="BY34">
        <v>1773268786.6</v>
      </c>
      <c r="BZ34" t="s">
        <v>332</v>
      </c>
      <c r="CA34">
        <v>1773268786.6</v>
      </c>
      <c r="CB34">
        <v>1773268774.1</v>
      </c>
      <c r="CC34">
        <v>2</v>
      </c>
      <c r="CD34">
        <v>0.264</v>
      </c>
      <c r="CE34">
        <v>-0.024</v>
      </c>
      <c r="CF34">
        <v>6.495</v>
      </c>
      <c r="CG34">
        <v>0.059</v>
      </c>
      <c r="CH34">
        <v>488</v>
      </c>
      <c r="CI34">
        <v>25</v>
      </c>
      <c r="CJ34">
        <v>0.48</v>
      </c>
      <c r="CK34">
        <v>0.14</v>
      </c>
      <c r="CL34">
        <v>494.9491612903226</v>
      </c>
      <c r="CM34">
        <v>1.647483870967366</v>
      </c>
      <c r="CN34">
        <v>0.1238667590010855</v>
      </c>
      <c r="CO34">
        <v>-1</v>
      </c>
      <c r="CP34">
        <v>500.0120967741935</v>
      </c>
      <c r="CQ34">
        <v>-0.0363387096786601</v>
      </c>
      <c r="CR34">
        <v>0.04910118245649615</v>
      </c>
      <c r="CS34">
        <v>-1</v>
      </c>
      <c r="CT34">
        <v>0</v>
      </c>
      <c r="CU34">
        <v>0</v>
      </c>
      <c r="CV34" t="s">
        <v>333</v>
      </c>
      <c r="CW34">
        <v>3.16894</v>
      </c>
      <c r="CX34">
        <v>2.65425</v>
      </c>
      <c r="CY34">
        <v>0.114825</v>
      </c>
      <c r="CZ34">
        <v>0.115854</v>
      </c>
      <c r="DA34">
        <v>0.0484536</v>
      </c>
      <c r="DB34">
        <v>0.043078</v>
      </c>
      <c r="DC34">
        <v>21392.7</v>
      </c>
      <c r="DD34">
        <v>21838.9</v>
      </c>
      <c r="DE34">
        <v>23256.1</v>
      </c>
      <c r="DF34">
        <v>22583.6</v>
      </c>
      <c r="DG34">
        <v>33425.8</v>
      </c>
      <c r="DH34">
        <v>30495.5</v>
      </c>
      <c r="DI34">
        <v>40856.3</v>
      </c>
      <c r="DJ34">
        <v>37390</v>
      </c>
      <c r="DK34">
        <v>2.12134</v>
      </c>
      <c r="DL34">
        <v>1.78094</v>
      </c>
      <c r="DM34">
        <v>0.0010848</v>
      </c>
      <c r="DN34">
        <v>0</v>
      </c>
      <c r="DO34">
        <v>24.5209</v>
      </c>
      <c r="DP34">
        <v>999.9</v>
      </c>
      <c r="DQ34">
        <v>70.3</v>
      </c>
      <c r="DR34">
        <v>26.5</v>
      </c>
      <c r="DS34">
        <v>24.3736</v>
      </c>
      <c r="DT34">
        <v>30.1</v>
      </c>
      <c r="DU34">
        <v>11.0617</v>
      </c>
      <c r="DV34">
        <v>1</v>
      </c>
      <c r="DW34">
        <v>0.0177459</v>
      </c>
      <c r="DX34">
        <v>-0.388455</v>
      </c>
      <c r="DY34">
        <v>20.3676</v>
      </c>
      <c r="DZ34">
        <v>5.21142</v>
      </c>
      <c r="EA34">
        <v>11.8482</v>
      </c>
      <c r="EB34">
        <v>4.96908</v>
      </c>
      <c r="EC34">
        <v>3.29202</v>
      </c>
      <c r="ED34">
        <v>879.4</v>
      </c>
      <c r="EE34">
        <v>9999</v>
      </c>
      <c r="EF34">
        <v>9999</v>
      </c>
      <c r="EG34">
        <v>80.40000000000001</v>
      </c>
      <c r="EH34">
        <v>4.97162</v>
      </c>
      <c r="EI34">
        <v>1.87165</v>
      </c>
      <c r="EJ34">
        <v>1.86881</v>
      </c>
      <c r="EK34">
        <v>1.87122</v>
      </c>
      <c r="EL34">
        <v>1.86894</v>
      </c>
      <c r="EM34">
        <v>1.86796</v>
      </c>
      <c r="EN34">
        <v>1.86979</v>
      </c>
      <c r="EO34">
        <v>1.87162</v>
      </c>
      <c r="EP34">
        <v>0</v>
      </c>
      <c r="EQ34">
        <v>0</v>
      </c>
      <c r="ER34">
        <v>0</v>
      </c>
      <c r="ES34">
        <v>0</v>
      </c>
      <c r="ET34" t="s">
        <v>334</v>
      </c>
      <c r="EU34" t="s">
        <v>335</v>
      </c>
      <c r="EV34" t="s">
        <v>336</v>
      </c>
      <c r="EW34" t="s">
        <v>336</v>
      </c>
      <c r="EX34" t="s">
        <v>336</v>
      </c>
      <c r="EY34" t="s">
        <v>336</v>
      </c>
      <c r="EZ34">
        <v>0</v>
      </c>
      <c r="FA34">
        <v>100</v>
      </c>
      <c r="FB34">
        <v>100</v>
      </c>
      <c r="FC34">
        <v>6.496</v>
      </c>
      <c r="FD34">
        <v>0.0588</v>
      </c>
      <c r="FE34">
        <v>6.495476190476325</v>
      </c>
      <c r="FF34">
        <v>0</v>
      </c>
      <c r="FG34">
        <v>0</v>
      </c>
      <c r="FH34">
        <v>0</v>
      </c>
      <c r="FI34">
        <v>0.05881499999999917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18.3</v>
      </c>
      <c r="FR34">
        <v>18.5</v>
      </c>
      <c r="FS34">
        <v>0.145264</v>
      </c>
      <c r="FT34">
        <v>4.99756</v>
      </c>
      <c r="FU34">
        <v>1.5979</v>
      </c>
      <c r="FV34">
        <v>2.17285</v>
      </c>
      <c r="FW34">
        <v>1.54785</v>
      </c>
      <c r="FX34">
        <v>2.41821</v>
      </c>
      <c r="FY34">
        <v>30.8469</v>
      </c>
      <c r="FZ34">
        <v>16.1722</v>
      </c>
      <c r="GA34">
        <v>3</v>
      </c>
      <c r="GB34">
        <v>497.573</v>
      </c>
      <c r="GC34">
        <v>378.766</v>
      </c>
      <c r="GD34">
        <v>25.9674</v>
      </c>
      <c r="GE34">
        <v>27.3407</v>
      </c>
      <c r="GF34">
        <v>30.0001</v>
      </c>
      <c r="GG34">
        <v>27.2479</v>
      </c>
      <c r="GH34">
        <v>27.2334</v>
      </c>
      <c r="GI34">
        <v>-1</v>
      </c>
      <c r="GJ34">
        <v>100</v>
      </c>
      <c r="GK34">
        <v>0</v>
      </c>
      <c r="GL34">
        <v>25.9315</v>
      </c>
      <c r="GM34">
        <v>1200</v>
      </c>
      <c r="GN34">
        <v>26.7455</v>
      </c>
      <c r="GO34">
        <v>102.856</v>
      </c>
      <c r="GP34">
        <v>97.60039999999999</v>
      </c>
    </row>
    <row r="35" spans="1:198">
      <c r="A35">
        <v>19</v>
      </c>
      <c r="B35">
        <v>1773269944</v>
      </c>
      <c r="C35">
        <v>1080.400000095367</v>
      </c>
      <c r="D35" t="s">
        <v>371</v>
      </c>
      <c r="E35" t="s">
        <v>372</v>
      </c>
      <c r="F35">
        <v>15</v>
      </c>
      <c r="G35">
        <v>1773269936</v>
      </c>
      <c r="H35">
        <f>(I35)/1000</f>
        <v>0</v>
      </c>
      <c r="I35">
        <f>1000*AY35*AG35*(AU35-AV35)/(100*AN35*(1000-AG35*AU35))</f>
        <v>0</v>
      </c>
      <c r="J35">
        <f>AY35*AG35*(AT35-AS35*(1000-AG35*AV35)/(1000-AG35*AU35))/(100*AN35)</f>
        <v>0</v>
      </c>
      <c r="K35">
        <f>AS35 - IF(AG35&gt;1, J35*AN35*100.0/(AI35), 0)</f>
        <v>0</v>
      </c>
      <c r="L35">
        <f>((R35-H35/2)*K35-J35)/(R35+H35/2)</f>
        <v>0</v>
      </c>
      <c r="M35">
        <f>L35*(AZ35+BA35)/1000.0</f>
        <v>0</v>
      </c>
      <c r="N35">
        <f>(AS35 - IF(AG35&gt;1, J35*AN35*100.0/(AI35), 0))*(AZ35+BA35)/1000.0</f>
        <v>0</v>
      </c>
      <c r="O35">
        <f>2.0/((1/Q35-1/P35)+SIGN(Q35)*SQRT((1/Q35-1/P35)*(1/Q35-1/P35) + 4*AO35/((AO35+1)*(AO35+1))*(2*1/Q35*1/P35-1/P35*1/P35)))</f>
        <v>0</v>
      </c>
      <c r="P35">
        <f>IF(LEFT(AP35,1)&lt;&gt;"0",IF(LEFT(AP35,1)="1",3.0,AQ35),$D$5+$E$5*(BG35*AZ35/($K$5*1000))+$F$5*(BG35*AZ35/($K$5*1000))*MAX(MIN(AN35,$J$5),$I$5)*MAX(MIN(AN35,$J$5),$I$5)+$G$5*MAX(MIN(AN35,$J$5),$I$5)*(BG35*AZ35/($K$5*1000))+$H$5*(BG35*AZ35/($K$5*1000))*(BG35*AZ35/($K$5*1000)))</f>
        <v>0</v>
      </c>
      <c r="Q35">
        <f>H35*(1000-(1000*0.61365*exp(17.502*U35/(240.97+U35))/(AZ35+BA35)+AU35)/2)/(1000*0.61365*exp(17.502*U35/(240.97+U35))/(AZ35+BA35)-AU35)</f>
        <v>0</v>
      </c>
      <c r="R35">
        <f>1/((AO35+1)/(O35/1.6)+1/(P35/1.37)) + AO35/((AO35+1)/(O35/1.6) + AO35/(P35/1.37))</f>
        <v>0</v>
      </c>
      <c r="S35">
        <f>(AJ35*AM35)</f>
        <v>0</v>
      </c>
      <c r="T35">
        <f>(BB35+(S35+2*0.95*5.67E-8*(((BB35+$B$7)+273)^4-(BB35+273)^4)-44100*H35)/(1.84*29.3*P35+8*0.95*5.67E-8*(BB35+273)^3))</f>
        <v>0</v>
      </c>
      <c r="U35">
        <f>($C$7*BC35+$D$7*BD35+$E$7*T35)</f>
        <v>0</v>
      </c>
      <c r="V35">
        <f>0.61365*exp(17.502*U35/(240.97+U35))</f>
        <v>0</v>
      </c>
      <c r="W35">
        <f>(X35/Y35*100)</f>
        <v>0</v>
      </c>
      <c r="X35">
        <f>AU35*(AZ35+BA35)/1000</f>
        <v>0</v>
      </c>
      <c r="Y35">
        <f>0.61365*exp(17.502*BB35/(240.97+BB35))</f>
        <v>0</v>
      </c>
      <c r="Z35">
        <f>(V35-AU35*(AZ35+BA35)/1000)</f>
        <v>0</v>
      </c>
      <c r="AA35">
        <f>(-H35*44100)</f>
        <v>0</v>
      </c>
      <c r="AB35">
        <f>2*29.3*P35*0.92*(BB35-U35)</f>
        <v>0</v>
      </c>
      <c r="AC35">
        <f>2*0.95*5.67E-8*(((BB35+$B$7)+273)^4-(U35+273)^4)</f>
        <v>0</v>
      </c>
      <c r="AD35">
        <f>S35+AC35+AA35+AB35</f>
        <v>0</v>
      </c>
      <c r="AE35">
        <v>5</v>
      </c>
      <c r="AF35">
        <v>1</v>
      </c>
      <c r="AG35">
        <f>IF(AE35*$H$13&gt;=AI35,1.0,(AI35/(AI35-AE35*$H$13)))</f>
        <v>0</v>
      </c>
      <c r="AH35">
        <f>(AG35-1)*100</f>
        <v>0</v>
      </c>
      <c r="AI35">
        <f>MAX(0,($B$13+$C$13*BG35)/(1+$D$13*BG35)*AZ35/(BB35+273)*$E$13)</f>
        <v>0</v>
      </c>
      <c r="AJ35">
        <f>$B$11*BH35+$C$11*BI35+$D$11*BT35</f>
        <v>0</v>
      </c>
      <c r="AK35">
        <f>AJ35*AL35</f>
        <v>0</v>
      </c>
      <c r="AL35">
        <f>($B$11*$D$9+$C$11*$D$9+$D$11*(BU35*$E$9+BV35*$G$9))/($B$11+$C$11+$D$11)</f>
        <v>0</v>
      </c>
      <c r="AM35">
        <f>($B$11*$K$9+$C$11*$K$9+$D$11*(BU35*$L$9+BV35*$N$9))/($B$11+$C$11+$D$11)</f>
        <v>0</v>
      </c>
      <c r="AN35">
        <v>3</v>
      </c>
      <c r="AO35">
        <v>0.5</v>
      </c>
      <c r="AP35" t="s">
        <v>331</v>
      </c>
      <c r="AQ35">
        <v>2</v>
      </c>
      <c r="AR35">
        <v>1773269936</v>
      </c>
      <c r="AS35">
        <v>494.5673225806453</v>
      </c>
      <c r="AT35">
        <v>493.6025806451613</v>
      </c>
      <c r="AU35">
        <v>7.640540967741935</v>
      </c>
      <c r="AV35">
        <v>6.683764193548387</v>
      </c>
      <c r="AW35">
        <v>488.0718064516129</v>
      </c>
      <c r="AX35">
        <v>7.581725806451612</v>
      </c>
      <c r="AY35">
        <v>500.002129032258</v>
      </c>
      <c r="AZ35">
        <v>100.2307096774193</v>
      </c>
      <c r="BA35">
        <v>0.03245431935483871</v>
      </c>
      <c r="BB35">
        <v>25.00087096774194</v>
      </c>
      <c r="BC35">
        <v>24.56907741935484</v>
      </c>
      <c r="BD35">
        <v>999.9000000000003</v>
      </c>
      <c r="BE35">
        <v>0</v>
      </c>
      <c r="BF35">
        <v>0</v>
      </c>
      <c r="BG35">
        <v>4998.903225806452</v>
      </c>
      <c r="BH35">
        <v>0.4505952580645161</v>
      </c>
      <c r="BI35">
        <v>22.41319032258064</v>
      </c>
      <c r="BJ35">
        <v>0.9647198709677418</v>
      </c>
      <c r="BK35">
        <v>498.375193548387</v>
      </c>
      <c r="BL35">
        <v>496.9238709677419</v>
      </c>
      <c r="BM35">
        <v>0.9567760645161292</v>
      </c>
      <c r="BN35">
        <v>493.6025806451613</v>
      </c>
      <c r="BO35">
        <v>6.683764193548387</v>
      </c>
      <c r="BP35">
        <v>0.7658167096774194</v>
      </c>
      <c r="BQ35">
        <v>0.6699184516129033</v>
      </c>
      <c r="BR35">
        <v>3.088988387096774</v>
      </c>
      <c r="BS35">
        <v>1.213979032258064</v>
      </c>
      <c r="BT35">
        <v>0</v>
      </c>
      <c r="BU35">
        <v>0</v>
      </c>
      <c r="BV35">
        <v>0</v>
      </c>
      <c r="BW35">
        <v>24</v>
      </c>
      <c r="BX35">
        <v>1</v>
      </c>
      <c r="BY35">
        <v>1773268786.6</v>
      </c>
      <c r="BZ35" t="s">
        <v>332</v>
      </c>
      <c r="CA35">
        <v>1773268786.6</v>
      </c>
      <c r="CB35">
        <v>1773268774.1</v>
      </c>
      <c r="CC35">
        <v>2</v>
      </c>
      <c r="CD35">
        <v>0.264</v>
      </c>
      <c r="CE35">
        <v>-0.024</v>
      </c>
      <c r="CF35">
        <v>6.495</v>
      </c>
      <c r="CG35">
        <v>0.059</v>
      </c>
      <c r="CH35">
        <v>488</v>
      </c>
      <c r="CI35">
        <v>25</v>
      </c>
      <c r="CJ35">
        <v>0.48</v>
      </c>
      <c r="CK35">
        <v>0.14</v>
      </c>
      <c r="CL35">
        <v>493.6025806451613</v>
      </c>
      <c r="CM35">
        <v>1.373854838709074</v>
      </c>
      <c r="CN35">
        <v>0.1034460352359397</v>
      </c>
      <c r="CO35">
        <v>-1</v>
      </c>
      <c r="CP35">
        <v>500.002129032258</v>
      </c>
      <c r="CQ35">
        <v>-0.1238709677443778</v>
      </c>
      <c r="CR35">
        <v>0.06312238084529849</v>
      </c>
      <c r="CS35">
        <v>-1</v>
      </c>
      <c r="CT35">
        <v>0</v>
      </c>
      <c r="CU35">
        <v>0</v>
      </c>
      <c r="CV35" t="s">
        <v>333</v>
      </c>
      <c r="CW35">
        <v>3.16899</v>
      </c>
      <c r="CX35">
        <v>2.65384</v>
      </c>
      <c r="CY35">
        <v>0.114596</v>
      </c>
      <c r="CZ35">
        <v>0.115617</v>
      </c>
      <c r="DA35">
        <v>0.048193</v>
      </c>
      <c r="DB35">
        <v>0.0433231</v>
      </c>
      <c r="DC35">
        <v>21396.8</v>
      </c>
      <c r="DD35">
        <v>21844.8</v>
      </c>
      <c r="DE35">
        <v>23254.5</v>
      </c>
      <c r="DF35">
        <v>22583.6</v>
      </c>
      <c r="DG35">
        <v>33432.9</v>
      </c>
      <c r="DH35">
        <v>30487.6</v>
      </c>
      <c r="DI35">
        <v>40853.9</v>
      </c>
      <c r="DJ35">
        <v>37389.9</v>
      </c>
      <c r="DK35">
        <v>2.12118</v>
      </c>
      <c r="DL35">
        <v>1.78062</v>
      </c>
      <c r="DM35">
        <v>0.0035435</v>
      </c>
      <c r="DN35">
        <v>0</v>
      </c>
      <c r="DO35">
        <v>24.523</v>
      </c>
      <c r="DP35">
        <v>999.9</v>
      </c>
      <c r="DQ35">
        <v>70.09999999999999</v>
      </c>
      <c r="DR35">
        <v>26.5</v>
      </c>
      <c r="DS35">
        <v>24.3089</v>
      </c>
      <c r="DT35">
        <v>29.89</v>
      </c>
      <c r="DU35">
        <v>11.266</v>
      </c>
      <c r="DV35">
        <v>1</v>
      </c>
      <c r="DW35">
        <v>0.0185061</v>
      </c>
      <c r="DX35">
        <v>-0.351612</v>
      </c>
      <c r="DY35">
        <v>20.3678</v>
      </c>
      <c r="DZ35">
        <v>5.21106</v>
      </c>
      <c r="EA35">
        <v>11.8482</v>
      </c>
      <c r="EB35">
        <v>4.96916</v>
      </c>
      <c r="EC35">
        <v>3.292</v>
      </c>
      <c r="ED35">
        <v>879.4</v>
      </c>
      <c r="EE35">
        <v>9999</v>
      </c>
      <c r="EF35">
        <v>9999</v>
      </c>
      <c r="EG35">
        <v>80.40000000000001</v>
      </c>
      <c r="EH35">
        <v>4.97161</v>
      </c>
      <c r="EI35">
        <v>1.87165</v>
      </c>
      <c r="EJ35">
        <v>1.86877</v>
      </c>
      <c r="EK35">
        <v>1.87126</v>
      </c>
      <c r="EL35">
        <v>1.86896</v>
      </c>
      <c r="EM35">
        <v>1.86795</v>
      </c>
      <c r="EN35">
        <v>1.8698</v>
      </c>
      <c r="EO35">
        <v>1.87164</v>
      </c>
      <c r="EP35">
        <v>0</v>
      </c>
      <c r="EQ35">
        <v>0</v>
      </c>
      <c r="ER35">
        <v>0</v>
      </c>
      <c r="ES35">
        <v>0</v>
      </c>
      <c r="ET35" t="s">
        <v>334</v>
      </c>
      <c r="EU35" t="s">
        <v>335</v>
      </c>
      <c r="EV35" t="s">
        <v>336</v>
      </c>
      <c r="EW35" t="s">
        <v>336</v>
      </c>
      <c r="EX35" t="s">
        <v>336</v>
      </c>
      <c r="EY35" t="s">
        <v>336</v>
      </c>
      <c r="EZ35">
        <v>0</v>
      </c>
      <c r="FA35">
        <v>100</v>
      </c>
      <c r="FB35">
        <v>100</v>
      </c>
      <c r="FC35">
        <v>6.496</v>
      </c>
      <c r="FD35">
        <v>0.0588</v>
      </c>
      <c r="FE35">
        <v>6.495476190476325</v>
      </c>
      <c r="FF35">
        <v>0</v>
      </c>
      <c r="FG35">
        <v>0</v>
      </c>
      <c r="FH35">
        <v>0</v>
      </c>
      <c r="FI35">
        <v>0.05881499999999917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19.3</v>
      </c>
      <c r="FR35">
        <v>19.5</v>
      </c>
      <c r="FS35">
        <v>0.145264</v>
      </c>
      <c r="FT35">
        <v>4.99756</v>
      </c>
      <c r="FU35">
        <v>1.5979</v>
      </c>
      <c r="FV35">
        <v>2.17163</v>
      </c>
      <c r="FW35">
        <v>1.54785</v>
      </c>
      <c r="FX35">
        <v>2.33032</v>
      </c>
      <c r="FY35">
        <v>30.8902</v>
      </c>
      <c r="FZ35">
        <v>16.1634</v>
      </c>
      <c r="GA35">
        <v>3</v>
      </c>
      <c r="GB35">
        <v>497.619</v>
      </c>
      <c r="GC35">
        <v>378.716</v>
      </c>
      <c r="GD35">
        <v>25.9248</v>
      </c>
      <c r="GE35">
        <v>27.3523</v>
      </c>
      <c r="GF35">
        <v>30.0002</v>
      </c>
      <c r="GG35">
        <v>27.265</v>
      </c>
      <c r="GH35">
        <v>27.2523</v>
      </c>
      <c r="GI35">
        <v>-1</v>
      </c>
      <c r="GJ35">
        <v>100</v>
      </c>
      <c r="GK35">
        <v>0</v>
      </c>
      <c r="GL35">
        <v>25.9222</v>
      </c>
      <c r="GM35">
        <v>1200</v>
      </c>
      <c r="GN35">
        <v>26.7455</v>
      </c>
      <c r="GO35">
        <v>102.849</v>
      </c>
      <c r="GP35">
        <v>97.6005</v>
      </c>
    </row>
    <row r="36" spans="1:198">
      <c r="A36">
        <v>20</v>
      </c>
      <c r="B36">
        <v>1773270004</v>
      </c>
      <c r="C36">
        <v>1140.400000095367</v>
      </c>
      <c r="D36" t="s">
        <v>373</v>
      </c>
      <c r="E36" t="s">
        <v>374</v>
      </c>
      <c r="F36">
        <v>15</v>
      </c>
      <c r="G36">
        <v>1773269996</v>
      </c>
      <c r="H36">
        <f>(I36)/1000</f>
        <v>0</v>
      </c>
      <c r="I36">
        <f>1000*AY36*AG36*(AU36-AV36)/(100*AN36*(1000-AG36*AU36))</f>
        <v>0</v>
      </c>
      <c r="J36">
        <f>AY36*AG36*(AT36-AS36*(1000-AG36*AV36)/(1000-AG36*AU36))/(100*AN36)</f>
        <v>0</v>
      </c>
      <c r="K36">
        <f>AS36 - IF(AG36&gt;1, J36*AN36*100.0/(AI36), 0)</f>
        <v>0</v>
      </c>
      <c r="L36">
        <f>((R36-H36/2)*K36-J36)/(R36+H36/2)</f>
        <v>0</v>
      </c>
      <c r="M36">
        <f>L36*(AZ36+BA36)/1000.0</f>
        <v>0</v>
      </c>
      <c r="N36">
        <f>(AS36 - IF(AG36&gt;1, J36*AN36*100.0/(AI36), 0))*(AZ36+BA36)/1000.0</f>
        <v>0</v>
      </c>
      <c r="O36">
        <f>2.0/((1/Q36-1/P36)+SIGN(Q36)*SQRT((1/Q36-1/P36)*(1/Q36-1/P36) + 4*AO36/((AO36+1)*(AO36+1))*(2*1/Q36*1/P36-1/P36*1/P36)))</f>
        <v>0</v>
      </c>
      <c r="P36">
        <f>IF(LEFT(AP36,1)&lt;&gt;"0",IF(LEFT(AP36,1)="1",3.0,AQ36),$D$5+$E$5*(BG36*AZ36/($K$5*1000))+$F$5*(BG36*AZ36/($K$5*1000))*MAX(MIN(AN36,$J$5),$I$5)*MAX(MIN(AN36,$J$5),$I$5)+$G$5*MAX(MIN(AN36,$J$5),$I$5)*(BG36*AZ36/($K$5*1000))+$H$5*(BG36*AZ36/($K$5*1000))*(BG36*AZ36/($K$5*1000)))</f>
        <v>0</v>
      </c>
      <c r="Q36">
        <f>H36*(1000-(1000*0.61365*exp(17.502*U36/(240.97+U36))/(AZ36+BA36)+AU36)/2)/(1000*0.61365*exp(17.502*U36/(240.97+U36))/(AZ36+BA36)-AU36)</f>
        <v>0</v>
      </c>
      <c r="R36">
        <f>1/((AO36+1)/(O36/1.6)+1/(P36/1.37)) + AO36/((AO36+1)/(O36/1.6) + AO36/(P36/1.37))</f>
        <v>0</v>
      </c>
      <c r="S36">
        <f>(AJ36*AM36)</f>
        <v>0</v>
      </c>
      <c r="T36">
        <f>(BB36+(S36+2*0.95*5.67E-8*(((BB36+$B$7)+273)^4-(BB36+273)^4)-44100*H36)/(1.84*29.3*P36+8*0.95*5.67E-8*(BB36+273)^3))</f>
        <v>0</v>
      </c>
      <c r="U36">
        <f>($C$7*BC36+$D$7*BD36+$E$7*T36)</f>
        <v>0</v>
      </c>
      <c r="V36">
        <f>0.61365*exp(17.502*U36/(240.97+U36))</f>
        <v>0</v>
      </c>
      <c r="W36">
        <f>(X36/Y36*100)</f>
        <v>0</v>
      </c>
      <c r="X36">
        <f>AU36*(AZ36+BA36)/1000</f>
        <v>0</v>
      </c>
      <c r="Y36">
        <f>0.61365*exp(17.502*BB36/(240.97+BB36))</f>
        <v>0</v>
      </c>
      <c r="Z36">
        <f>(V36-AU36*(AZ36+BA36)/1000)</f>
        <v>0</v>
      </c>
      <c r="AA36">
        <f>(-H36*44100)</f>
        <v>0</v>
      </c>
      <c r="AB36">
        <f>2*29.3*P36*0.92*(BB36-U36)</f>
        <v>0</v>
      </c>
      <c r="AC36">
        <f>2*0.95*5.67E-8*(((BB36+$B$7)+273)^4-(U36+273)^4)</f>
        <v>0</v>
      </c>
      <c r="AD36">
        <f>S36+AC36+AA36+AB36</f>
        <v>0</v>
      </c>
      <c r="AE36">
        <v>5</v>
      </c>
      <c r="AF36">
        <v>1</v>
      </c>
      <c r="AG36">
        <f>IF(AE36*$H$13&gt;=AI36,1.0,(AI36/(AI36-AE36*$H$13)))</f>
        <v>0</v>
      </c>
      <c r="AH36">
        <f>(AG36-1)*100</f>
        <v>0</v>
      </c>
      <c r="AI36">
        <f>MAX(0,($B$13+$C$13*BG36)/(1+$D$13*BG36)*AZ36/(BB36+273)*$E$13)</f>
        <v>0</v>
      </c>
      <c r="AJ36">
        <f>$B$11*BH36+$C$11*BI36+$D$11*BT36</f>
        <v>0</v>
      </c>
      <c r="AK36">
        <f>AJ36*AL36</f>
        <v>0</v>
      </c>
      <c r="AL36">
        <f>($B$11*$D$9+$C$11*$D$9+$D$11*(BU36*$E$9+BV36*$G$9))/($B$11+$C$11+$D$11)</f>
        <v>0</v>
      </c>
      <c r="AM36">
        <f>($B$11*$K$9+$C$11*$K$9+$D$11*(BU36*$L$9+BV36*$N$9))/($B$11+$C$11+$D$11)</f>
        <v>0</v>
      </c>
      <c r="AN36">
        <v>3</v>
      </c>
      <c r="AO36">
        <v>0.5</v>
      </c>
      <c r="AP36" t="s">
        <v>331</v>
      </c>
      <c r="AQ36">
        <v>2</v>
      </c>
      <c r="AR36">
        <v>1773269996</v>
      </c>
      <c r="AS36">
        <v>495.2551290322581</v>
      </c>
      <c r="AT36">
        <v>494.1933225806453</v>
      </c>
      <c r="AU36">
        <v>7.60904064516129</v>
      </c>
      <c r="AV36">
        <v>6.72975612903226</v>
      </c>
      <c r="AW36">
        <v>488.7596451612903</v>
      </c>
      <c r="AX36">
        <v>7.550223870967742</v>
      </c>
      <c r="AY36">
        <v>499.9935806451613</v>
      </c>
      <c r="AZ36">
        <v>100.2288064516129</v>
      </c>
      <c r="BA36">
        <v>0.03296212580645162</v>
      </c>
      <c r="BB36">
        <v>25.00048064516129</v>
      </c>
      <c r="BC36">
        <v>24.60588387096774</v>
      </c>
      <c r="BD36">
        <v>999.9000000000003</v>
      </c>
      <c r="BE36">
        <v>0</v>
      </c>
      <c r="BF36">
        <v>0</v>
      </c>
      <c r="BG36">
        <v>5000.580645161291</v>
      </c>
      <c r="BH36">
        <v>0.4308058709677418</v>
      </c>
      <c r="BI36">
        <v>24.88938387096774</v>
      </c>
      <c r="BJ36">
        <v>1.061855870967742</v>
      </c>
      <c r="BK36">
        <v>499.0524516129032</v>
      </c>
      <c r="BL36">
        <v>497.5416774193548</v>
      </c>
      <c r="BM36">
        <v>0.8792826451612902</v>
      </c>
      <c r="BN36">
        <v>494.1933225806453</v>
      </c>
      <c r="BO36">
        <v>6.72975612903226</v>
      </c>
      <c r="BP36">
        <v>0.7626447419354837</v>
      </c>
      <c r="BQ36">
        <v>0.6745152580645162</v>
      </c>
      <c r="BR36">
        <v>3.030382580645162</v>
      </c>
      <c r="BS36">
        <v>1.30911935483871</v>
      </c>
      <c r="BT36">
        <v>0</v>
      </c>
      <c r="BU36">
        <v>0</v>
      </c>
      <c r="BV36">
        <v>0</v>
      </c>
      <c r="BW36">
        <v>24</v>
      </c>
      <c r="BX36">
        <v>1</v>
      </c>
      <c r="BY36">
        <v>1773268786.6</v>
      </c>
      <c r="BZ36" t="s">
        <v>332</v>
      </c>
      <c r="CA36">
        <v>1773268786.6</v>
      </c>
      <c r="CB36">
        <v>1773268774.1</v>
      </c>
      <c r="CC36">
        <v>2</v>
      </c>
      <c r="CD36">
        <v>0.264</v>
      </c>
      <c r="CE36">
        <v>-0.024</v>
      </c>
      <c r="CF36">
        <v>6.495</v>
      </c>
      <c r="CG36">
        <v>0.059</v>
      </c>
      <c r="CH36">
        <v>488</v>
      </c>
      <c r="CI36">
        <v>25</v>
      </c>
      <c r="CJ36">
        <v>0.48</v>
      </c>
      <c r="CK36">
        <v>0.14</v>
      </c>
      <c r="CL36">
        <v>494.1804516129033</v>
      </c>
      <c r="CM36">
        <v>1.046032258063055</v>
      </c>
      <c r="CN36">
        <v>0.1073904058638009</v>
      </c>
      <c r="CO36">
        <v>-1</v>
      </c>
      <c r="CP36">
        <v>499.9841290322581</v>
      </c>
      <c r="CQ36">
        <v>0.4086290322564191</v>
      </c>
      <c r="CR36">
        <v>0.0649837408624838</v>
      </c>
      <c r="CS36">
        <v>-1</v>
      </c>
      <c r="CT36">
        <v>0</v>
      </c>
      <c r="CU36">
        <v>0</v>
      </c>
      <c r="CV36" t="s">
        <v>333</v>
      </c>
      <c r="CW36">
        <v>3.16896</v>
      </c>
      <c r="CX36">
        <v>2.65395</v>
      </c>
      <c r="CY36">
        <v>0.114693</v>
      </c>
      <c r="CZ36">
        <v>0.115668</v>
      </c>
      <c r="DA36">
        <v>0.0480415</v>
      </c>
      <c r="DB36">
        <v>0.0435664</v>
      </c>
      <c r="DC36">
        <v>21393.2</v>
      </c>
      <c r="DD36">
        <v>21844.1</v>
      </c>
      <c r="DE36">
        <v>23253.2</v>
      </c>
      <c r="DF36">
        <v>22584.2</v>
      </c>
      <c r="DG36">
        <v>33436.4</v>
      </c>
      <c r="DH36">
        <v>30480.3</v>
      </c>
      <c r="DI36">
        <v>40851.6</v>
      </c>
      <c r="DJ36">
        <v>37390.5</v>
      </c>
      <c r="DK36">
        <v>2.121</v>
      </c>
      <c r="DL36">
        <v>1.77978</v>
      </c>
      <c r="DM36">
        <v>0.00512302</v>
      </c>
      <c r="DN36">
        <v>0</v>
      </c>
      <c r="DO36">
        <v>24.5271</v>
      </c>
      <c r="DP36">
        <v>999.9</v>
      </c>
      <c r="DQ36">
        <v>70.09999999999999</v>
      </c>
      <c r="DR36">
        <v>26.6</v>
      </c>
      <c r="DS36">
        <v>24.4542</v>
      </c>
      <c r="DT36">
        <v>30.01</v>
      </c>
      <c r="DU36">
        <v>11.274</v>
      </c>
      <c r="DV36">
        <v>1</v>
      </c>
      <c r="DW36">
        <v>0.0190833</v>
      </c>
      <c r="DX36">
        <v>-0.33227</v>
      </c>
      <c r="DY36">
        <v>20.3676</v>
      </c>
      <c r="DZ36">
        <v>5.21346</v>
      </c>
      <c r="EA36">
        <v>11.8482</v>
      </c>
      <c r="EB36">
        <v>4.9678</v>
      </c>
      <c r="EC36">
        <v>3.29202</v>
      </c>
      <c r="ED36">
        <v>879.4</v>
      </c>
      <c r="EE36">
        <v>9999</v>
      </c>
      <c r="EF36">
        <v>9999</v>
      </c>
      <c r="EG36">
        <v>80.40000000000001</v>
      </c>
      <c r="EH36">
        <v>4.97165</v>
      </c>
      <c r="EI36">
        <v>1.87172</v>
      </c>
      <c r="EJ36">
        <v>1.86876</v>
      </c>
      <c r="EK36">
        <v>1.87129</v>
      </c>
      <c r="EL36">
        <v>1.869</v>
      </c>
      <c r="EM36">
        <v>1.86797</v>
      </c>
      <c r="EN36">
        <v>1.8698</v>
      </c>
      <c r="EO36">
        <v>1.87164</v>
      </c>
      <c r="EP36">
        <v>0</v>
      </c>
      <c r="EQ36">
        <v>0</v>
      </c>
      <c r="ER36">
        <v>0</v>
      </c>
      <c r="ES36">
        <v>0</v>
      </c>
      <c r="ET36" t="s">
        <v>334</v>
      </c>
      <c r="EU36" t="s">
        <v>335</v>
      </c>
      <c r="EV36" t="s">
        <v>336</v>
      </c>
      <c r="EW36" t="s">
        <v>336</v>
      </c>
      <c r="EX36" t="s">
        <v>336</v>
      </c>
      <c r="EY36" t="s">
        <v>336</v>
      </c>
      <c r="EZ36">
        <v>0</v>
      </c>
      <c r="FA36">
        <v>100</v>
      </c>
      <c r="FB36">
        <v>100</v>
      </c>
      <c r="FC36">
        <v>6.495</v>
      </c>
      <c r="FD36">
        <v>0.0588</v>
      </c>
      <c r="FE36">
        <v>6.495476190476325</v>
      </c>
      <c r="FF36">
        <v>0</v>
      </c>
      <c r="FG36">
        <v>0</v>
      </c>
      <c r="FH36">
        <v>0</v>
      </c>
      <c r="FI36">
        <v>0.05881499999999917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20.3</v>
      </c>
      <c r="FR36">
        <v>20.5</v>
      </c>
      <c r="FS36">
        <v>0.145264</v>
      </c>
      <c r="FT36">
        <v>4.99756</v>
      </c>
      <c r="FU36">
        <v>1.5979</v>
      </c>
      <c r="FV36">
        <v>2.17163</v>
      </c>
      <c r="FW36">
        <v>1.54785</v>
      </c>
      <c r="FX36">
        <v>2.30713</v>
      </c>
      <c r="FY36">
        <v>30.9335</v>
      </c>
      <c r="FZ36">
        <v>16.1546</v>
      </c>
      <c r="GA36">
        <v>3</v>
      </c>
      <c r="GB36">
        <v>497.631</v>
      </c>
      <c r="GC36">
        <v>378.362</v>
      </c>
      <c r="GD36">
        <v>25.8895</v>
      </c>
      <c r="GE36">
        <v>27.3616</v>
      </c>
      <c r="GF36">
        <v>30.0001</v>
      </c>
      <c r="GG36">
        <v>27.2793</v>
      </c>
      <c r="GH36">
        <v>27.2674</v>
      </c>
      <c r="GI36">
        <v>-1</v>
      </c>
      <c r="GJ36">
        <v>100</v>
      </c>
      <c r="GK36">
        <v>0</v>
      </c>
      <c r="GL36">
        <v>25.9068</v>
      </c>
      <c r="GM36">
        <v>1200</v>
      </c>
      <c r="GN36">
        <v>26.7455</v>
      </c>
      <c r="GO36">
        <v>102.844</v>
      </c>
      <c r="GP36">
        <v>97.6024</v>
      </c>
    </row>
    <row r="37" spans="1:198">
      <c r="A37">
        <v>21</v>
      </c>
      <c r="B37">
        <v>1773270064</v>
      </c>
      <c r="C37">
        <v>1200.400000095367</v>
      </c>
      <c r="D37" t="s">
        <v>375</v>
      </c>
      <c r="E37" t="s">
        <v>376</v>
      </c>
      <c r="F37">
        <v>15</v>
      </c>
      <c r="G37">
        <v>1773270056</v>
      </c>
      <c r="H37">
        <f>(I37)/1000</f>
        <v>0</v>
      </c>
      <c r="I37">
        <f>1000*AY37*AG37*(AU37-AV37)/(100*AN37*(1000-AG37*AU37))</f>
        <v>0</v>
      </c>
      <c r="J37">
        <f>AY37*AG37*(AT37-AS37*(1000-AG37*AV37)/(1000-AG37*AU37))/(100*AN37)</f>
        <v>0</v>
      </c>
      <c r="K37">
        <f>AS37 - IF(AG37&gt;1, J37*AN37*100.0/(AI37), 0)</f>
        <v>0</v>
      </c>
      <c r="L37">
        <f>((R37-H37/2)*K37-J37)/(R37+H37/2)</f>
        <v>0</v>
      </c>
      <c r="M37">
        <f>L37*(AZ37+BA37)/1000.0</f>
        <v>0</v>
      </c>
      <c r="N37">
        <f>(AS37 - IF(AG37&gt;1, J37*AN37*100.0/(AI37), 0))*(AZ37+BA37)/1000.0</f>
        <v>0</v>
      </c>
      <c r="O37">
        <f>2.0/((1/Q37-1/P37)+SIGN(Q37)*SQRT((1/Q37-1/P37)*(1/Q37-1/P37) + 4*AO37/((AO37+1)*(AO37+1))*(2*1/Q37*1/P37-1/P37*1/P37)))</f>
        <v>0</v>
      </c>
      <c r="P37">
        <f>IF(LEFT(AP37,1)&lt;&gt;"0",IF(LEFT(AP37,1)="1",3.0,AQ37),$D$5+$E$5*(BG37*AZ37/($K$5*1000))+$F$5*(BG37*AZ37/($K$5*1000))*MAX(MIN(AN37,$J$5),$I$5)*MAX(MIN(AN37,$J$5),$I$5)+$G$5*MAX(MIN(AN37,$J$5),$I$5)*(BG37*AZ37/($K$5*1000))+$H$5*(BG37*AZ37/($K$5*1000))*(BG37*AZ37/($K$5*1000)))</f>
        <v>0</v>
      </c>
      <c r="Q37">
        <f>H37*(1000-(1000*0.61365*exp(17.502*U37/(240.97+U37))/(AZ37+BA37)+AU37)/2)/(1000*0.61365*exp(17.502*U37/(240.97+U37))/(AZ37+BA37)-AU37)</f>
        <v>0</v>
      </c>
      <c r="R37">
        <f>1/((AO37+1)/(O37/1.6)+1/(P37/1.37)) + AO37/((AO37+1)/(O37/1.6) + AO37/(P37/1.37))</f>
        <v>0</v>
      </c>
      <c r="S37">
        <f>(AJ37*AM37)</f>
        <v>0</v>
      </c>
      <c r="T37">
        <f>(BB37+(S37+2*0.95*5.67E-8*(((BB37+$B$7)+273)^4-(BB37+273)^4)-44100*H37)/(1.84*29.3*P37+8*0.95*5.67E-8*(BB37+273)^3))</f>
        <v>0</v>
      </c>
      <c r="U37">
        <f>($C$7*BC37+$D$7*BD37+$E$7*T37)</f>
        <v>0</v>
      </c>
      <c r="V37">
        <f>0.61365*exp(17.502*U37/(240.97+U37))</f>
        <v>0</v>
      </c>
      <c r="W37">
        <f>(X37/Y37*100)</f>
        <v>0</v>
      </c>
      <c r="X37">
        <f>AU37*(AZ37+BA37)/1000</f>
        <v>0</v>
      </c>
      <c r="Y37">
        <f>0.61365*exp(17.502*BB37/(240.97+BB37))</f>
        <v>0</v>
      </c>
      <c r="Z37">
        <f>(V37-AU37*(AZ37+BA37)/1000)</f>
        <v>0</v>
      </c>
      <c r="AA37">
        <f>(-H37*44100)</f>
        <v>0</v>
      </c>
      <c r="AB37">
        <f>2*29.3*P37*0.92*(BB37-U37)</f>
        <v>0</v>
      </c>
      <c r="AC37">
        <f>2*0.95*5.67E-8*(((BB37+$B$7)+273)^4-(U37+273)^4)</f>
        <v>0</v>
      </c>
      <c r="AD37">
        <f>S37+AC37+AA37+AB37</f>
        <v>0</v>
      </c>
      <c r="AE37">
        <v>5</v>
      </c>
      <c r="AF37">
        <v>1</v>
      </c>
      <c r="AG37">
        <f>IF(AE37*$H$13&gt;=AI37,1.0,(AI37/(AI37-AE37*$H$13)))</f>
        <v>0</v>
      </c>
      <c r="AH37">
        <f>(AG37-1)*100</f>
        <v>0</v>
      </c>
      <c r="AI37">
        <f>MAX(0,($B$13+$C$13*BG37)/(1+$D$13*BG37)*AZ37/(BB37+273)*$E$13)</f>
        <v>0</v>
      </c>
      <c r="AJ37">
        <f>$B$11*BH37+$C$11*BI37+$D$11*BT37</f>
        <v>0</v>
      </c>
      <c r="AK37">
        <f>AJ37*AL37</f>
        <v>0</v>
      </c>
      <c r="AL37">
        <f>($B$11*$D$9+$C$11*$D$9+$D$11*(BU37*$E$9+BV37*$G$9))/($B$11+$C$11+$D$11)</f>
        <v>0</v>
      </c>
      <c r="AM37">
        <f>($B$11*$K$9+$C$11*$K$9+$D$11*(BU37*$L$9+BV37*$N$9))/($B$11+$C$11+$D$11)</f>
        <v>0</v>
      </c>
      <c r="AN37">
        <v>3</v>
      </c>
      <c r="AO37">
        <v>0.5</v>
      </c>
      <c r="AP37" t="s">
        <v>331</v>
      </c>
      <c r="AQ37">
        <v>2</v>
      </c>
      <c r="AR37">
        <v>1773270056</v>
      </c>
      <c r="AS37">
        <v>495.3127741935484</v>
      </c>
      <c r="AT37">
        <v>494.1440322580645</v>
      </c>
      <c r="AU37">
        <v>7.598148709677419</v>
      </c>
      <c r="AV37">
        <v>6.77458870967742</v>
      </c>
      <c r="AW37">
        <v>488.8172903225806</v>
      </c>
      <c r="AX37">
        <v>7.539332903225805</v>
      </c>
      <c r="AY37">
        <v>499.9951935483871</v>
      </c>
      <c r="AZ37">
        <v>100.229064516129</v>
      </c>
      <c r="BA37">
        <v>0.03284064516129032</v>
      </c>
      <c r="BB37">
        <v>25.0004</v>
      </c>
      <c r="BC37">
        <v>24.63283548387097</v>
      </c>
      <c r="BD37">
        <v>999.9000000000003</v>
      </c>
      <c r="BE37">
        <v>0</v>
      </c>
      <c r="BF37">
        <v>0</v>
      </c>
      <c r="BG37">
        <v>4999.951612903225</v>
      </c>
      <c r="BH37">
        <v>0.4644982258064516</v>
      </c>
      <c r="BI37">
        <v>27.54010645161291</v>
      </c>
      <c r="BJ37">
        <v>1.168801935483871</v>
      </c>
      <c r="BK37">
        <v>499.1050645161289</v>
      </c>
      <c r="BL37">
        <v>497.5144838709677</v>
      </c>
      <c r="BM37">
        <v>0.8235607419354837</v>
      </c>
      <c r="BN37">
        <v>494.1440322580645</v>
      </c>
      <c r="BO37">
        <v>6.77458870967742</v>
      </c>
      <c r="BP37">
        <v>0.7615548387096776</v>
      </c>
      <c r="BQ37">
        <v>0.6790101612903228</v>
      </c>
      <c r="BR37">
        <v>3.010196451612904</v>
      </c>
      <c r="BS37">
        <v>1.401595161290323</v>
      </c>
      <c r="BT37">
        <v>0</v>
      </c>
      <c r="BU37">
        <v>0</v>
      </c>
      <c r="BV37">
        <v>0</v>
      </c>
      <c r="BW37">
        <v>24</v>
      </c>
      <c r="BX37">
        <v>1</v>
      </c>
      <c r="BY37">
        <v>1773268786.6</v>
      </c>
      <c r="BZ37" t="s">
        <v>332</v>
      </c>
      <c r="CA37">
        <v>1773268786.6</v>
      </c>
      <c r="CB37">
        <v>1773268774.1</v>
      </c>
      <c r="CC37">
        <v>2</v>
      </c>
      <c r="CD37">
        <v>0.264</v>
      </c>
      <c r="CE37">
        <v>-0.024</v>
      </c>
      <c r="CF37">
        <v>6.495</v>
      </c>
      <c r="CG37">
        <v>0.059</v>
      </c>
      <c r="CH37">
        <v>488</v>
      </c>
      <c r="CI37">
        <v>25</v>
      </c>
      <c r="CJ37">
        <v>0.48</v>
      </c>
      <c r="CK37">
        <v>0.14</v>
      </c>
      <c r="CL37">
        <v>494.1410645161291</v>
      </c>
      <c r="CM37">
        <v>0.3885967741929919</v>
      </c>
      <c r="CN37">
        <v>0.04675049455240869</v>
      </c>
      <c r="CO37">
        <v>-1</v>
      </c>
      <c r="CP37">
        <v>500.0003870967742</v>
      </c>
      <c r="CQ37">
        <v>-0.106838709677972</v>
      </c>
      <c r="CR37">
        <v>0.04750801454923</v>
      </c>
      <c r="CS37">
        <v>-1</v>
      </c>
      <c r="CT37">
        <v>0</v>
      </c>
      <c r="CU37">
        <v>0</v>
      </c>
      <c r="CV37" t="s">
        <v>333</v>
      </c>
      <c r="CW37">
        <v>3.16907</v>
      </c>
      <c r="CX37">
        <v>2.65423</v>
      </c>
      <c r="CY37">
        <v>0.114693</v>
      </c>
      <c r="CZ37">
        <v>0.115676</v>
      </c>
      <c r="DA37">
        <v>0.0479969</v>
      </c>
      <c r="DB37">
        <v>0.0438016</v>
      </c>
      <c r="DC37">
        <v>21392.2</v>
      </c>
      <c r="DD37">
        <v>21844.5</v>
      </c>
      <c r="DE37">
        <v>23252.2</v>
      </c>
      <c r="DF37">
        <v>22584.8</v>
      </c>
      <c r="DG37">
        <v>33436.9</v>
      </c>
      <c r="DH37">
        <v>30473.4</v>
      </c>
      <c r="DI37">
        <v>40850.3</v>
      </c>
      <c r="DJ37">
        <v>37391.3</v>
      </c>
      <c r="DK37">
        <v>2.12118</v>
      </c>
      <c r="DL37">
        <v>1.77926</v>
      </c>
      <c r="DM37">
        <v>0.00684261</v>
      </c>
      <c r="DN37">
        <v>0</v>
      </c>
      <c r="DO37">
        <v>24.5278</v>
      </c>
      <c r="DP37">
        <v>999.9</v>
      </c>
      <c r="DQ37">
        <v>70</v>
      </c>
      <c r="DR37">
        <v>26.6</v>
      </c>
      <c r="DS37">
        <v>24.4173</v>
      </c>
      <c r="DT37">
        <v>30.13</v>
      </c>
      <c r="DU37">
        <v>11.0016</v>
      </c>
      <c r="DV37">
        <v>1</v>
      </c>
      <c r="DW37">
        <v>0.0194898</v>
      </c>
      <c r="DX37">
        <v>-0.339015</v>
      </c>
      <c r="DY37">
        <v>20.3678</v>
      </c>
      <c r="DZ37">
        <v>5.21537</v>
      </c>
      <c r="EA37">
        <v>11.8482</v>
      </c>
      <c r="EB37">
        <v>4.96824</v>
      </c>
      <c r="EC37">
        <v>3.292</v>
      </c>
      <c r="ED37">
        <v>879.4</v>
      </c>
      <c r="EE37">
        <v>9999</v>
      </c>
      <c r="EF37">
        <v>9999</v>
      </c>
      <c r="EG37">
        <v>80.40000000000001</v>
      </c>
      <c r="EH37">
        <v>4.97164</v>
      </c>
      <c r="EI37">
        <v>1.87168</v>
      </c>
      <c r="EJ37">
        <v>1.86885</v>
      </c>
      <c r="EK37">
        <v>1.87129</v>
      </c>
      <c r="EL37">
        <v>1.86896</v>
      </c>
      <c r="EM37">
        <v>1.86797</v>
      </c>
      <c r="EN37">
        <v>1.86979</v>
      </c>
      <c r="EO37">
        <v>1.87164</v>
      </c>
      <c r="EP37">
        <v>0</v>
      </c>
      <c r="EQ37">
        <v>0</v>
      </c>
      <c r="ER37">
        <v>0</v>
      </c>
      <c r="ES37">
        <v>0</v>
      </c>
      <c r="ET37" t="s">
        <v>334</v>
      </c>
      <c r="EU37" t="s">
        <v>335</v>
      </c>
      <c r="EV37" t="s">
        <v>336</v>
      </c>
      <c r="EW37" t="s">
        <v>336</v>
      </c>
      <c r="EX37" t="s">
        <v>336</v>
      </c>
      <c r="EY37" t="s">
        <v>336</v>
      </c>
      <c r="EZ37">
        <v>0</v>
      </c>
      <c r="FA37">
        <v>100</v>
      </c>
      <c r="FB37">
        <v>100</v>
      </c>
      <c r="FC37">
        <v>6.495</v>
      </c>
      <c r="FD37">
        <v>0.0588</v>
      </c>
      <c r="FE37">
        <v>6.495476190476325</v>
      </c>
      <c r="FF37">
        <v>0</v>
      </c>
      <c r="FG37">
        <v>0</v>
      </c>
      <c r="FH37">
        <v>0</v>
      </c>
      <c r="FI37">
        <v>0.05881499999999917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21.3</v>
      </c>
      <c r="FR37">
        <v>21.5</v>
      </c>
      <c r="FS37">
        <v>0.145264</v>
      </c>
      <c r="FT37">
        <v>4.99756</v>
      </c>
      <c r="FU37">
        <v>1.5979</v>
      </c>
      <c r="FV37">
        <v>2.17163</v>
      </c>
      <c r="FW37">
        <v>1.54785</v>
      </c>
      <c r="FX37">
        <v>2.35474</v>
      </c>
      <c r="FY37">
        <v>30.9769</v>
      </c>
      <c r="FZ37">
        <v>16.1546</v>
      </c>
      <c r="GA37">
        <v>3</v>
      </c>
      <c r="GB37">
        <v>497.827</v>
      </c>
      <c r="GC37">
        <v>378.163</v>
      </c>
      <c r="GD37">
        <v>25.9093</v>
      </c>
      <c r="GE37">
        <v>27.3686</v>
      </c>
      <c r="GF37">
        <v>30.0001</v>
      </c>
      <c r="GG37">
        <v>27.2909</v>
      </c>
      <c r="GH37">
        <v>27.2799</v>
      </c>
      <c r="GI37">
        <v>-1</v>
      </c>
      <c r="GJ37">
        <v>100</v>
      </c>
      <c r="GK37">
        <v>0</v>
      </c>
      <c r="GL37">
        <v>25.9068</v>
      </c>
      <c r="GM37">
        <v>1200</v>
      </c>
      <c r="GN37">
        <v>26.7455</v>
      </c>
      <c r="GO37">
        <v>102.84</v>
      </c>
      <c r="GP37">
        <v>97.6046</v>
      </c>
    </row>
    <row r="38" spans="1:198">
      <c r="A38">
        <v>22</v>
      </c>
      <c r="B38">
        <v>1773270124</v>
      </c>
      <c r="C38">
        <v>1260.400000095367</v>
      </c>
      <c r="D38" t="s">
        <v>377</v>
      </c>
      <c r="E38" t="s">
        <v>378</v>
      </c>
      <c r="F38">
        <v>15</v>
      </c>
      <c r="G38">
        <v>1773270116</v>
      </c>
      <c r="H38">
        <f>(I38)/1000</f>
        <v>0</v>
      </c>
      <c r="I38">
        <f>1000*AY38*AG38*(AU38-AV38)/(100*AN38*(1000-AG38*AU38))</f>
        <v>0</v>
      </c>
      <c r="J38">
        <f>AY38*AG38*(AT38-AS38*(1000-AG38*AV38)/(1000-AG38*AU38))/(100*AN38)</f>
        <v>0</v>
      </c>
      <c r="K38">
        <f>AS38 - IF(AG38&gt;1, J38*AN38*100.0/(AI38), 0)</f>
        <v>0</v>
      </c>
      <c r="L38">
        <f>((R38-H38/2)*K38-J38)/(R38+H38/2)</f>
        <v>0</v>
      </c>
      <c r="M38">
        <f>L38*(AZ38+BA38)/1000.0</f>
        <v>0</v>
      </c>
      <c r="N38">
        <f>(AS38 - IF(AG38&gt;1, J38*AN38*100.0/(AI38), 0))*(AZ38+BA38)/1000.0</f>
        <v>0</v>
      </c>
      <c r="O38">
        <f>2.0/((1/Q38-1/P38)+SIGN(Q38)*SQRT((1/Q38-1/P38)*(1/Q38-1/P38) + 4*AO38/((AO38+1)*(AO38+1))*(2*1/Q38*1/P38-1/P38*1/P38)))</f>
        <v>0</v>
      </c>
      <c r="P38">
        <f>IF(LEFT(AP38,1)&lt;&gt;"0",IF(LEFT(AP38,1)="1",3.0,AQ38),$D$5+$E$5*(BG38*AZ38/($K$5*1000))+$F$5*(BG38*AZ38/($K$5*1000))*MAX(MIN(AN38,$J$5),$I$5)*MAX(MIN(AN38,$J$5),$I$5)+$G$5*MAX(MIN(AN38,$J$5),$I$5)*(BG38*AZ38/($K$5*1000))+$H$5*(BG38*AZ38/($K$5*1000))*(BG38*AZ38/($K$5*1000)))</f>
        <v>0</v>
      </c>
      <c r="Q38">
        <f>H38*(1000-(1000*0.61365*exp(17.502*U38/(240.97+U38))/(AZ38+BA38)+AU38)/2)/(1000*0.61365*exp(17.502*U38/(240.97+U38))/(AZ38+BA38)-AU38)</f>
        <v>0</v>
      </c>
      <c r="R38">
        <f>1/((AO38+1)/(O38/1.6)+1/(P38/1.37)) + AO38/((AO38+1)/(O38/1.6) + AO38/(P38/1.37))</f>
        <v>0</v>
      </c>
      <c r="S38">
        <f>(AJ38*AM38)</f>
        <v>0</v>
      </c>
      <c r="T38">
        <f>(BB38+(S38+2*0.95*5.67E-8*(((BB38+$B$7)+273)^4-(BB38+273)^4)-44100*H38)/(1.84*29.3*P38+8*0.95*5.67E-8*(BB38+273)^3))</f>
        <v>0</v>
      </c>
      <c r="U38">
        <f>($C$7*BC38+$D$7*BD38+$E$7*T38)</f>
        <v>0</v>
      </c>
      <c r="V38">
        <f>0.61365*exp(17.502*U38/(240.97+U38))</f>
        <v>0</v>
      </c>
      <c r="W38">
        <f>(X38/Y38*100)</f>
        <v>0</v>
      </c>
      <c r="X38">
        <f>AU38*(AZ38+BA38)/1000</f>
        <v>0</v>
      </c>
      <c r="Y38">
        <f>0.61365*exp(17.502*BB38/(240.97+BB38))</f>
        <v>0</v>
      </c>
      <c r="Z38">
        <f>(V38-AU38*(AZ38+BA38)/1000)</f>
        <v>0</v>
      </c>
      <c r="AA38">
        <f>(-H38*44100)</f>
        <v>0</v>
      </c>
      <c r="AB38">
        <f>2*29.3*P38*0.92*(BB38-U38)</f>
        <v>0</v>
      </c>
      <c r="AC38">
        <f>2*0.95*5.67E-8*(((BB38+$B$7)+273)^4-(U38+273)^4)</f>
        <v>0</v>
      </c>
      <c r="AD38">
        <f>S38+AC38+AA38+AB38</f>
        <v>0</v>
      </c>
      <c r="AE38">
        <v>5</v>
      </c>
      <c r="AF38">
        <v>1</v>
      </c>
      <c r="AG38">
        <f>IF(AE38*$H$13&gt;=AI38,1.0,(AI38/(AI38-AE38*$H$13)))</f>
        <v>0</v>
      </c>
      <c r="AH38">
        <f>(AG38-1)*100</f>
        <v>0</v>
      </c>
      <c r="AI38">
        <f>MAX(0,($B$13+$C$13*BG38)/(1+$D$13*BG38)*AZ38/(BB38+273)*$E$13)</f>
        <v>0</v>
      </c>
      <c r="AJ38">
        <f>$B$11*BH38+$C$11*BI38+$D$11*BT38</f>
        <v>0</v>
      </c>
      <c r="AK38">
        <f>AJ38*AL38</f>
        <v>0</v>
      </c>
      <c r="AL38">
        <f>($B$11*$D$9+$C$11*$D$9+$D$11*(BU38*$E$9+BV38*$G$9))/($B$11+$C$11+$D$11)</f>
        <v>0</v>
      </c>
      <c r="AM38">
        <f>($B$11*$K$9+$C$11*$K$9+$D$11*(BU38*$L$9+BV38*$N$9))/($B$11+$C$11+$D$11)</f>
        <v>0</v>
      </c>
      <c r="AN38">
        <v>3</v>
      </c>
      <c r="AO38">
        <v>0.5</v>
      </c>
      <c r="AP38" t="s">
        <v>331</v>
      </c>
      <c r="AQ38">
        <v>2</v>
      </c>
      <c r="AR38">
        <v>1773270116</v>
      </c>
      <c r="AS38">
        <v>495.814741935484</v>
      </c>
      <c r="AT38">
        <v>494.5883548387097</v>
      </c>
      <c r="AU38">
        <v>7.605228709677419</v>
      </c>
      <c r="AV38">
        <v>6.824492903225807</v>
      </c>
      <c r="AW38">
        <v>489.3193225806451</v>
      </c>
      <c r="AX38">
        <v>7.546413870967742</v>
      </c>
      <c r="AY38">
        <v>500.0001612903226</v>
      </c>
      <c r="AZ38">
        <v>100.2276451612903</v>
      </c>
      <c r="BA38">
        <v>0.03277502258064516</v>
      </c>
      <c r="BB38">
        <v>25.00214516129032</v>
      </c>
      <c r="BC38">
        <v>24.65159032258065</v>
      </c>
      <c r="BD38">
        <v>999.9000000000003</v>
      </c>
      <c r="BE38">
        <v>0</v>
      </c>
      <c r="BF38">
        <v>0</v>
      </c>
      <c r="BG38">
        <v>5000.290322580645</v>
      </c>
      <c r="BH38">
        <v>0.4760890645161291</v>
      </c>
      <c r="BI38">
        <v>30.32212903225806</v>
      </c>
      <c r="BJ38">
        <v>1.226384516129032</v>
      </c>
      <c r="BK38">
        <v>499.6145161290322</v>
      </c>
      <c r="BL38">
        <v>497.986935483871</v>
      </c>
      <c r="BM38">
        <v>0.7807360000000001</v>
      </c>
      <c r="BN38">
        <v>494.5883548387097</v>
      </c>
      <c r="BO38">
        <v>6.824492903225807</v>
      </c>
      <c r="BP38">
        <v>0.7622537741935483</v>
      </c>
      <c r="BQ38">
        <v>0.6840025161290321</v>
      </c>
      <c r="BR38">
        <v>3.023142580645161</v>
      </c>
      <c r="BS38">
        <v>1.503672258064516</v>
      </c>
      <c r="BT38">
        <v>0</v>
      </c>
      <c r="BU38">
        <v>0</v>
      </c>
      <c r="BV38">
        <v>0</v>
      </c>
      <c r="BW38">
        <v>24</v>
      </c>
      <c r="BX38">
        <v>1</v>
      </c>
      <c r="BY38">
        <v>1773268786.6</v>
      </c>
      <c r="BZ38" t="s">
        <v>332</v>
      </c>
      <c r="CA38">
        <v>1773268786.6</v>
      </c>
      <c r="CB38">
        <v>1773268774.1</v>
      </c>
      <c r="CC38">
        <v>2</v>
      </c>
      <c r="CD38">
        <v>0.264</v>
      </c>
      <c r="CE38">
        <v>-0.024</v>
      </c>
      <c r="CF38">
        <v>6.495</v>
      </c>
      <c r="CG38">
        <v>0.059</v>
      </c>
      <c r="CH38">
        <v>488</v>
      </c>
      <c r="CI38">
        <v>25</v>
      </c>
      <c r="CJ38">
        <v>0.48</v>
      </c>
      <c r="CK38">
        <v>0.14</v>
      </c>
      <c r="CL38">
        <v>494.582741935484</v>
      </c>
      <c r="CM38">
        <v>0.3181935483862905</v>
      </c>
      <c r="CN38">
        <v>0.04251980012541419</v>
      </c>
      <c r="CO38">
        <v>-1</v>
      </c>
      <c r="CP38">
        <v>500.0007096774193</v>
      </c>
      <c r="CQ38">
        <v>-0.0003870967760540303</v>
      </c>
      <c r="CR38">
        <v>0.05139423436245012</v>
      </c>
      <c r="CS38">
        <v>-1</v>
      </c>
      <c r="CT38">
        <v>0</v>
      </c>
      <c r="CU38">
        <v>0</v>
      </c>
      <c r="CV38" t="s">
        <v>333</v>
      </c>
      <c r="CW38">
        <v>3.16891</v>
      </c>
      <c r="CX38">
        <v>2.65384</v>
      </c>
      <c r="CY38">
        <v>0.114768</v>
      </c>
      <c r="CZ38">
        <v>0.115759</v>
      </c>
      <c r="DA38">
        <v>0.0480408</v>
      </c>
      <c r="DB38">
        <v>0.0440646</v>
      </c>
      <c r="DC38">
        <v>21389.3</v>
      </c>
      <c r="DD38">
        <v>21842.5</v>
      </c>
      <c r="DE38">
        <v>23251</v>
      </c>
      <c r="DF38">
        <v>22585</v>
      </c>
      <c r="DG38">
        <v>33433.8</v>
      </c>
      <c r="DH38">
        <v>30465.2</v>
      </c>
      <c r="DI38">
        <v>40848.4</v>
      </c>
      <c r="DJ38">
        <v>37391.5</v>
      </c>
      <c r="DK38">
        <v>2.12088</v>
      </c>
      <c r="DL38">
        <v>1.77914</v>
      </c>
      <c r="DM38">
        <v>0.00712872</v>
      </c>
      <c r="DN38">
        <v>0</v>
      </c>
      <c r="DO38">
        <v>24.5333</v>
      </c>
      <c r="DP38">
        <v>999.9</v>
      </c>
      <c r="DQ38">
        <v>69.90000000000001</v>
      </c>
      <c r="DR38">
        <v>26.7</v>
      </c>
      <c r="DS38">
        <v>24.5234</v>
      </c>
      <c r="DT38">
        <v>30.19</v>
      </c>
      <c r="DU38">
        <v>11.3862</v>
      </c>
      <c r="DV38">
        <v>1</v>
      </c>
      <c r="DW38">
        <v>0.0201443</v>
      </c>
      <c r="DX38">
        <v>-0.310673</v>
      </c>
      <c r="DY38">
        <v>20.3678</v>
      </c>
      <c r="DZ38">
        <v>5.21453</v>
      </c>
      <c r="EA38">
        <v>11.8482</v>
      </c>
      <c r="EB38">
        <v>4.96884</v>
      </c>
      <c r="EC38">
        <v>3.29204</v>
      </c>
      <c r="ED38">
        <v>879.4</v>
      </c>
      <c r="EE38">
        <v>9999</v>
      </c>
      <c r="EF38">
        <v>9999</v>
      </c>
      <c r="EG38">
        <v>80.5</v>
      </c>
      <c r="EH38">
        <v>4.97162</v>
      </c>
      <c r="EI38">
        <v>1.87169</v>
      </c>
      <c r="EJ38">
        <v>1.86881</v>
      </c>
      <c r="EK38">
        <v>1.8713</v>
      </c>
      <c r="EL38">
        <v>1.86895</v>
      </c>
      <c r="EM38">
        <v>1.86794</v>
      </c>
      <c r="EN38">
        <v>1.8698</v>
      </c>
      <c r="EO38">
        <v>1.87164</v>
      </c>
      <c r="EP38">
        <v>0</v>
      </c>
      <c r="EQ38">
        <v>0</v>
      </c>
      <c r="ER38">
        <v>0</v>
      </c>
      <c r="ES38">
        <v>0</v>
      </c>
      <c r="ET38" t="s">
        <v>334</v>
      </c>
      <c r="EU38" t="s">
        <v>335</v>
      </c>
      <c r="EV38" t="s">
        <v>336</v>
      </c>
      <c r="EW38" t="s">
        <v>336</v>
      </c>
      <c r="EX38" t="s">
        <v>336</v>
      </c>
      <c r="EY38" t="s">
        <v>336</v>
      </c>
      <c r="EZ38">
        <v>0</v>
      </c>
      <c r="FA38">
        <v>100</v>
      </c>
      <c r="FB38">
        <v>100</v>
      </c>
      <c r="FC38">
        <v>6.495</v>
      </c>
      <c r="FD38">
        <v>0.0588</v>
      </c>
      <c r="FE38">
        <v>6.495476190476325</v>
      </c>
      <c r="FF38">
        <v>0</v>
      </c>
      <c r="FG38">
        <v>0</v>
      </c>
      <c r="FH38">
        <v>0</v>
      </c>
      <c r="FI38">
        <v>0.05881499999999917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22.3</v>
      </c>
      <c r="FR38">
        <v>22.5</v>
      </c>
      <c r="FS38">
        <v>0.145264</v>
      </c>
      <c r="FT38">
        <v>4.99756</v>
      </c>
      <c r="FU38">
        <v>1.5979</v>
      </c>
      <c r="FV38">
        <v>2.17041</v>
      </c>
      <c r="FW38">
        <v>1.54785</v>
      </c>
      <c r="FX38">
        <v>2.38037</v>
      </c>
      <c r="FY38">
        <v>31.0202</v>
      </c>
      <c r="FZ38">
        <v>16.1546</v>
      </c>
      <c r="GA38">
        <v>3</v>
      </c>
      <c r="GB38">
        <v>497.745</v>
      </c>
      <c r="GC38">
        <v>378.177</v>
      </c>
      <c r="GD38">
        <v>25.8767</v>
      </c>
      <c r="GE38">
        <v>27.3778</v>
      </c>
      <c r="GF38">
        <v>30.0001</v>
      </c>
      <c r="GG38">
        <v>27.302</v>
      </c>
      <c r="GH38">
        <v>27.2921</v>
      </c>
      <c r="GI38">
        <v>-1</v>
      </c>
      <c r="GJ38">
        <v>100</v>
      </c>
      <c r="GK38">
        <v>0</v>
      </c>
      <c r="GL38">
        <v>25.8748</v>
      </c>
      <c r="GM38">
        <v>1200</v>
      </c>
      <c r="GN38">
        <v>26.7455</v>
      </c>
      <c r="GO38">
        <v>102.835</v>
      </c>
      <c r="GP38">
        <v>97.6052</v>
      </c>
    </row>
    <row r="39" spans="1:198">
      <c r="A39">
        <v>23</v>
      </c>
      <c r="B39">
        <v>1773270184</v>
      </c>
      <c r="C39">
        <v>1320.400000095367</v>
      </c>
      <c r="D39" t="s">
        <v>379</v>
      </c>
      <c r="E39" t="s">
        <v>380</v>
      </c>
      <c r="F39">
        <v>15</v>
      </c>
      <c r="G39">
        <v>1773270176</v>
      </c>
      <c r="H39">
        <f>(I39)/1000</f>
        <v>0</v>
      </c>
      <c r="I39">
        <f>1000*AY39*AG39*(AU39-AV39)/(100*AN39*(1000-AG39*AU39))</f>
        <v>0</v>
      </c>
      <c r="J39">
        <f>AY39*AG39*(AT39-AS39*(1000-AG39*AV39)/(1000-AG39*AU39))/(100*AN39)</f>
        <v>0</v>
      </c>
      <c r="K39">
        <f>AS39 - IF(AG39&gt;1, J39*AN39*100.0/(AI39), 0)</f>
        <v>0</v>
      </c>
      <c r="L39">
        <f>((R39-H39/2)*K39-J39)/(R39+H39/2)</f>
        <v>0</v>
      </c>
      <c r="M39">
        <f>L39*(AZ39+BA39)/1000.0</f>
        <v>0</v>
      </c>
      <c r="N39">
        <f>(AS39 - IF(AG39&gt;1, J39*AN39*100.0/(AI39), 0))*(AZ39+BA39)/1000.0</f>
        <v>0</v>
      </c>
      <c r="O39">
        <f>2.0/((1/Q39-1/P39)+SIGN(Q39)*SQRT((1/Q39-1/P39)*(1/Q39-1/P39) + 4*AO39/((AO39+1)*(AO39+1))*(2*1/Q39*1/P39-1/P39*1/P39)))</f>
        <v>0</v>
      </c>
      <c r="P39">
        <f>IF(LEFT(AP39,1)&lt;&gt;"0",IF(LEFT(AP39,1)="1",3.0,AQ39),$D$5+$E$5*(BG39*AZ39/($K$5*1000))+$F$5*(BG39*AZ39/($K$5*1000))*MAX(MIN(AN39,$J$5),$I$5)*MAX(MIN(AN39,$J$5),$I$5)+$G$5*MAX(MIN(AN39,$J$5),$I$5)*(BG39*AZ39/($K$5*1000))+$H$5*(BG39*AZ39/($K$5*1000))*(BG39*AZ39/($K$5*1000)))</f>
        <v>0</v>
      </c>
      <c r="Q39">
        <f>H39*(1000-(1000*0.61365*exp(17.502*U39/(240.97+U39))/(AZ39+BA39)+AU39)/2)/(1000*0.61365*exp(17.502*U39/(240.97+U39))/(AZ39+BA39)-AU39)</f>
        <v>0</v>
      </c>
      <c r="R39">
        <f>1/((AO39+1)/(O39/1.6)+1/(P39/1.37)) + AO39/((AO39+1)/(O39/1.6) + AO39/(P39/1.37))</f>
        <v>0</v>
      </c>
      <c r="S39">
        <f>(AJ39*AM39)</f>
        <v>0</v>
      </c>
      <c r="T39">
        <f>(BB39+(S39+2*0.95*5.67E-8*(((BB39+$B$7)+273)^4-(BB39+273)^4)-44100*H39)/(1.84*29.3*P39+8*0.95*5.67E-8*(BB39+273)^3))</f>
        <v>0</v>
      </c>
      <c r="U39">
        <f>($C$7*BC39+$D$7*BD39+$E$7*T39)</f>
        <v>0</v>
      </c>
      <c r="V39">
        <f>0.61365*exp(17.502*U39/(240.97+U39))</f>
        <v>0</v>
      </c>
      <c r="W39">
        <f>(X39/Y39*100)</f>
        <v>0</v>
      </c>
      <c r="X39">
        <f>AU39*(AZ39+BA39)/1000</f>
        <v>0</v>
      </c>
      <c r="Y39">
        <f>0.61365*exp(17.502*BB39/(240.97+BB39))</f>
        <v>0</v>
      </c>
      <c r="Z39">
        <f>(V39-AU39*(AZ39+BA39)/1000)</f>
        <v>0</v>
      </c>
      <c r="AA39">
        <f>(-H39*44100)</f>
        <v>0</v>
      </c>
      <c r="AB39">
        <f>2*29.3*P39*0.92*(BB39-U39)</f>
        <v>0</v>
      </c>
      <c r="AC39">
        <f>2*0.95*5.67E-8*(((BB39+$B$7)+273)^4-(U39+273)^4)</f>
        <v>0</v>
      </c>
      <c r="AD39">
        <f>S39+AC39+AA39+AB39</f>
        <v>0</v>
      </c>
      <c r="AE39">
        <v>5</v>
      </c>
      <c r="AF39">
        <v>1</v>
      </c>
      <c r="AG39">
        <f>IF(AE39*$H$13&gt;=AI39,1.0,(AI39/(AI39-AE39*$H$13)))</f>
        <v>0</v>
      </c>
      <c r="AH39">
        <f>(AG39-1)*100</f>
        <v>0</v>
      </c>
      <c r="AI39">
        <f>MAX(0,($B$13+$C$13*BG39)/(1+$D$13*BG39)*AZ39/(BB39+273)*$E$13)</f>
        <v>0</v>
      </c>
      <c r="AJ39">
        <f>$B$11*BH39+$C$11*BI39+$D$11*BT39</f>
        <v>0</v>
      </c>
      <c r="AK39">
        <f>AJ39*AL39</f>
        <v>0</v>
      </c>
      <c r="AL39">
        <f>($B$11*$D$9+$C$11*$D$9+$D$11*(BU39*$E$9+BV39*$G$9))/($B$11+$C$11+$D$11)</f>
        <v>0</v>
      </c>
      <c r="AM39">
        <f>($B$11*$K$9+$C$11*$K$9+$D$11*(BU39*$L$9+BV39*$N$9))/($B$11+$C$11+$D$11)</f>
        <v>0</v>
      </c>
      <c r="AN39">
        <v>3</v>
      </c>
      <c r="AO39">
        <v>0.5</v>
      </c>
      <c r="AP39" t="s">
        <v>331</v>
      </c>
      <c r="AQ39">
        <v>2</v>
      </c>
      <c r="AR39">
        <v>1773270176</v>
      </c>
      <c r="AS39">
        <v>495.9271290322581</v>
      </c>
      <c r="AT39">
        <v>494.8645806451611</v>
      </c>
      <c r="AU39">
        <v>7.626280967741935</v>
      </c>
      <c r="AV39">
        <v>6.876305483870968</v>
      </c>
      <c r="AW39">
        <v>489.4316129032257</v>
      </c>
      <c r="AX39">
        <v>7.567465806451613</v>
      </c>
      <c r="AY39">
        <v>500.0024516129033</v>
      </c>
      <c r="AZ39">
        <v>100.2262580645161</v>
      </c>
      <c r="BA39">
        <v>0.03335075806451613</v>
      </c>
      <c r="BB39">
        <v>24.99369032258064</v>
      </c>
      <c r="BC39">
        <v>24.65848387096775</v>
      </c>
      <c r="BD39">
        <v>999.9000000000003</v>
      </c>
      <c r="BE39">
        <v>0</v>
      </c>
      <c r="BF39">
        <v>0</v>
      </c>
      <c r="BG39">
        <v>5002.258064516129</v>
      </c>
      <c r="BH39">
        <v>0.4583039032258064</v>
      </c>
      <c r="BI39">
        <v>33.10610322580646</v>
      </c>
      <c r="BJ39">
        <v>1.062597096774194</v>
      </c>
      <c r="BK39">
        <v>499.7381935483871</v>
      </c>
      <c r="BL39">
        <v>498.2908709677419</v>
      </c>
      <c r="BM39">
        <v>0.7499760322580645</v>
      </c>
      <c r="BN39">
        <v>494.8645806451611</v>
      </c>
      <c r="BO39">
        <v>6.876305483870968</v>
      </c>
      <c r="BP39">
        <v>0.764352741935484</v>
      </c>
      <c r="BQ39">
        <v>0.6891854516129033</v>
      </c>
      <c r="BR39">
        <v>3.061967096774194</v>
      </c>
      <c r="BS39">
        <v>1.608955161290322</v>
      </c>
      <c r="BT39">
        <v>0</v>
      </c>
      <c r="BU39">
        <v>0</v>
      </c>
      <c r="BV39">
        <v>0</v>
      </c>
      <c r="BW39">
        <v>24</v>
      </c>
      <c r="BX39">
        <v>1.003225483870968</v>
      </c>
      <c r="BY39">
        <v>1773268786.6</v>
      </c>
      <c r="BZ39" t="s">
        <v>332</v>
      </c>
      <c r="CA39">
        <v>1773268786.6</v>
      </c>
      <c r="CB39">
        <v>1773268774.1</v>
      </c>
      <c r="CC39">
        <v>2</v>
      </c>
      <c r="CD39">
        <v>0.264</v>
      </c>
      <c r="CE39">
        <v>-0.024</v>
      </c>
      <c r="CF39">
        <v>6.495</v>
      </c>
      <c r="CG39">
        <v>0.059</v>
      </c>
      <c r="CH39">
        <v>488</v>
      </c>
      <c r="CI39">
        <v>25</v>
      </c>
      <c r="CJ39">
        <v>0.48</v>
      </c>
      <c r="CK39">
        <v>0.14</v>
      </c>
      <c r="CL39">
        <v>494.8503225806451</v>
      </c>
      <c r="CM39">
        <v>0.7554193548373286</v>
      </c>
      <c r="CN39">
        <v>0.05709549843663704</v>
      </c>
      <c r="CO39">
        <v>-1</v>
      </c>
      <c r="CP39">
        <v>500.0026774193549</v>
      </c>
      <c r="CQ39">
        <v>0.3912580645160169</v>
      </c>
      <c r="CR39">
        <v>0.05492363443133202</v>
      </c>
      <c r="CS39">
        <v>-1</v>
      </c>
      <c r="CT39">
        <v>0</v>
      </c>
      <c r="CU39">
        <v>0</v>
      </c>
      <c r="CV39" t="s">
        <v>333</v>
      </c>
      <c r="CW39">
        <v>3.16909</v>
      </c>
      <c r="CX39">
        <v>2.65408</v>
      </c>
      <c r="CY39">
        <v>0.114816</v>
      </c>
      <c r="CZ39">
        <v>0.115803</v>
      </c>
      <c r="DA39">
        <v>0.0481544</v>
      </c>
      <c r="DB39">
        <v>0.0443442</v>
      </c>
      <c r="DC39">
        <v>21387</v>
      </c>
      <c r="DD39">
        <v>21842</v>
      </c>
      <c r="DE39">
        <v>23249.9</v>
      </c>
      <c r="DF39">
        <v>22585.6</v>
      </c>
      <c r="DG39">
        <v>33428.1</v>
      </c>
      <c r="DH39">
        <v>30457.2</v>
      </c>
      <c r="DI39">
        <v>40846.4</v>
      </c>
      <c r="DJ39">
        <v>37392.6</v>
      </c>
      <c r="DK39">
        <v>2.1209</v>
      </c>
      <c r="DL39">
        <v>1.77788</v>
      </c>
      <c r="DM39">
        <v>0.007882709999999999</v>
      </c>
      <c r="DN39">
        <v>0</v>
      </c>
      <c r="DO39">
        <v>24.5333</v>
      </c>
      <c r="DP39">
        <v>999.9</v>
      </c>
      <c r="DQ39">
        <v>69.90000000000001</v>
      </c>
      <c r="DR39">
        <v>26.7</v>
      </c>
      <c r="DS39">
        <v>24.5256</v>
      </c>
      <c r="DT39">
        <v>30.1</v>
      </c>
      <c r="DU39">
        <v>11.1579</v>
      </c>
      <c r="DV39">
        <v>1</v>
      </c>
      <c r="DW39">
        <v>0.0208476</v>
      </c>
      <c r="DX39">
        <v>-0.373978</v>
      </c>
      <c r="DY39">
        <v>20.3678</v>
      </c>
      <c r="DZ39">
        <v>5.21226</v>
      </c>
      <c r="EA39">
        <v>11.8482</v>
      </c>
      <c r="EB39">
        <v>4.96912</v>
      </c>
      <c r="EC39">
        <v>3.292</v>
      </c>
      <c r="ED39">
        <v>879.4</v>
      </c>
      <c r="EE39">
        <v>9999</v>
      </c>
      <c r="EF39">
        <v>9999</v>
      </c>
      <c r="EG39">
        <v>80.5</v>
      </c>
      <c r="EH39">
        <v>4.97162</v>
      </c>
      <c r="EI39">
        <v>1.87174</v>
      </c>
      <c r="EJ39">
        <v>1.86878</v>
      </c>
      <c r="EK39">
        <v>1.87129</v>
      </c>
      <c r="EL39">
        <v>1.86902</v>
      </c>
      <c r="EM39">
        <v>1.86797</v>
      </c>
      <c r="EN39">
        <v>1.8698</v>
      </c>
      <c r="EO39">
        <v>1.87164</v>
      </c>
      <c r="EP39">
        <v>0</v>
      </c>
      <c r="EQ39">
        <v>0</v>
      </c>
      <c r="ER39">
        <v>0</v>
      </c>
      <c r="ES39">
        <v>0</v>
      </c>
      <c r="ET39" t="s">
        <v>334</v>
      </c>
      <c r="EU39" t="s">
        <v>335</v>
      </c>
      <c r="EV39" t="s">
        <v>336</v>
      </c>
      <c r="EW39" t="s">
        <v>336</v>
      </c>
      <c r="EX39" t="s">
        <v>336</v>
      </c>
      <c r="EY39" t="s">
        <v>336</v>
      </c>
      <c r="EZ39">
        <v>0</v>
      </c>
      <c r="FA39">
        <v>100</v>
      </c>
      <c r="FB39">
        <v>100</v>
      </c>
      <c r="FC39">
        <v>6.496</v>
      </c>
      <c r="FD39">
        <v>0.0588</v>
      </c>
      <c r="FE39">
        <v>6.495476190476325</v>
      </c>
      <c r="FF39">
        <v>0</v>
      </c>
      <c r="FG39">
        <v>0</v>
      </c>
      <c r="FH39">
        <v>0</v>
      </c>
      <c r="FI39">
        <v>0.05881499999999917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23.3</v>
      </c>
      <c r="FR39">
        <v>23.5</v>
      </c>
      <c r="FS39">
        <v>0.145264</v>
      </c>
      <c r="FT39">
        <v>4.99756</v>
      </c>
      <c r="FU39">
        <v>1.5979</v>
      </c>
      <c r="FV39">
        <v>2.17163</v>
      </c>
      <c r="FW39">
        <v>1.54785</v>
      </c>
      <c r="FX39">
        <v>2.31689</v>
      </c>
      <c r="FY39">
        <v>31.0419</v>
      </c>
      <c r="FZ39">
        <v>16.1459</v>
      </c>
      <c r="GA39">
        <v>3</v>
      </c>
      <c r="GB39">
        <v>497.847</v>
      </c>
      <c r="GC39">
        <v>377.572</v>
      </c>
      <c r="GD39">
        <v>25.9127</v>
      </c>
      <c r="GE39">
        <v>27.3848</v>
      </c>
      <c r="GF39">
        <v>30.0001</v>
      </c>
      <c r="GG39">
        <v>27.3131</v>
      </c>
      <c r="GH39">
        <v>27.3029</v>
      </c>
      <c r="GI39">
        <v>-1</v>
      </c>
      <c r="GJ39">
        <v>100</v>
      </c>
      <c r="GK39">
        <v>0</v>
      </c>
      <c r="GL39">
        <v>25.919</v>
      </c>
      <c r="GM39">
        <v>1200</v>
      </c>
      <c r="GN39">
        <v>26.7455</v>
      </c>
      <c r="GO39">
        <v>102.83</v>
      </c>
      <c r="GP39">
        <v>97.60809999999999</v>
      </c>
    </row>
    <row r="40" spans="1:198">
      <c r="A40">
        <v>24</v>
      </c>
      <c r="B40">
        <v>1773270244</v>
      </c>
      <c r="C40">
        <v>1380.400000095367</v>
      </c>
      <c r="D40" t="s">
        <v>381</v>
      </c>
      <c r="E40" t="s">
        <v>382</v>
      </c>
      <c r="F40">
        <v>15</v>
      </c>
      <c r="G40">
        <v>1773270236</v>
      </c>
      <c r="H40">
        <f>(I40)/1000</f>
        <v>0</v>
      </c>
      <c r="I40">
        <f>1000*AY40*AG40*(AU40-AV40)/(100*AN40*(1000-AG40*AU40))</f>
        <v>0</v>
      </c>
      <c r="J40">
        <f>AY40*AG40*(AT40-AS40*(1000-AG40*AV40)/(1000-AG40*AU40))/(100*AN40)</f>
        <v>0</v>
      </c>
      <c r="K40">
        <f>AS40 - IF(AG40&gt;1, J40*AN40*100.0/(AI40), 0)</f>
        <v>0</v>
      </c>
      <c r="L40">
        <f>((R40-H40/2)*K40-J40)/(R40+H40/2)</f>
        <v>0</v>
      </c>
      <c r="M40">
        <f>L40*(AZ40+BA40)/1000.0</f>
        <v>0</v>
      </c>
      <c r="N40">
        <f>(AS40 - IF(AG40&gt;1, J40*AN40*100.0/(AI40), 0))*(AZ40+BA40)/1000.0</f>
        <v>0</v>
      </c>
      <c r="O40">
        <f>2.0/((1/Q40-1/P40)+SIGN(Q40)*SQRT((1/Q40-1/P40)*(1/Q40-1/P40) + 4*AO40/((AO40+1)*(AO40+1))*(2*1/Q40*1/P40-1/P40*1/P40)))</f>
        <v>0</v>
      </c>
      <c r="P40">
        <f>IF(LEFT(AP40,1)&lt;&gt;"0",IF(LEFT(AP40,1)="1",3.0,AQ40),$D$5+$E$5*(BG40*AZ40/($K$5*1000))+$F$5*(BG40*AZ40/($K$5*1000))*MAX(MIN(AN40,$J$5),$I$5)*MAX(MIN(AN40,$J$5),$I$5)+$G$5*MAX(MIN(AN40,$J$5),$I$5)*(BG40*AZ40/($K$5*1000))+$H$5*(BG40*AZ40/($K$5*1000))*(BG40*AZ40/($K$5*1000)))</f>
        <v>0</v>
      </c>
      <c r="Q40">
        <f>H40*(1000-(1000*0.61365*exp(17.502*U40/(240.97+U40))/(AZ40+BA40)+AU40)/2)/(1000*0.61365*exp(17.502*U40/(240.97+U40))/(AZ40+BA40)-AU40)</f>
        <v>0</v>
      </c>
      <c r="R40">
        <f>1/((AO40+1)/(O40/1.6)+1/(P40/1.37)) + AO40/((AO40+1)/(O40/1.6) + AO40/(P40/1.37))</f>
        <v>0</v>
      </c>
      <c r="S40">
        <f>(AJ40*AM40)</f>
        <v>0</v>
      </c>
      <c r="T40">
        <f>(BB40+(S40+2*0.95*5.67E-8*(((BB40+$B$7)+273)^4-(BB40+273)^4)-44100*H40)/(1.84*29.3*P40+8*0.95*5.67E-8*(BB40+273)^3))</f>
        <v>0</v>
      </c>
      <c r="U40">
        <f>($C$7*BC40+$D$7*BD40+$E$7*T40)</f>
        <v>0</v>
      </c>
      <c r="V40">
        <f>0.61365*exp(17.502*U40/(240.97+U40))</f>
        <v>0</v>
      </c>
      <c r="W40">
        <f>(X40/Y40*100)</f>
        <v>0</v>
      </c>
      <c r="X40">
        <f>AU40*(AZ40+BA40)/1000</f>
        <v>0</v>
      </c>
      <c r="Y40">
        <f>0.61365*exp(17.502*BB40/(240.97+BB40))</f>
        <v>0</v>
      </c>
      <c r="Z40">
        <f>(V40-AU40*(AZ40+BA40)/1000)</f>
        <v>0</v>
      </c>
      <c r="AA40">
        <f>(-H40*44100)</f>
        <v>0</v>
      </c>
      <c r="AB40">
        <f>2*29.3*P40*0.92*(BB40-U40)</f>
        <v>0</v>
      </c>
      <c r="AC40">
        <f>2*0.95*5.67E-8*(((BB40+$B$7)+273)^4-(U40+273)^4)</f>
        <v>0</v>
      </c>
      <c r="AD40">
        <f>S40+AC40+AA40+AB40</f>
        <v>0</v>
      </c>
      <c r="AE40">
        <v>5</v>
      </c>
      <c r="AF40">
        <v>1</v>
      </c>
      <c r="AG40">
        <f>IF(AE40*$H$13&gt;=AI40,1.0,(AI40/(AI40-AE40*$H$13)))</f>
        <v>0</v>
      </c>
      <c r="AH40">
        <f>(AG40-1)*100</f>
        <v>0</v>
      </c>
      <c r="AI40">
        <f>MAX(0,($B$13+$C$13*BG40)/(1+$D$13*BG40)*AZ40/(BB40+273)*$E$13)</f>
        <v>0</v>
      </c>
      <c r="AJ40">
        <f>$B$11*BH40+$C$11*BI40+$D$11*BT40</f>
        <v>0</v>
      </c>
      <c r="AK40">
        <f>AJ40*AL40</f>
        <v>0</v>
      </c>
      <c r="AL40">
        <f>($B$11*$D$9+$C$11*$D$9+$D$11*(BU40*$E$9+BV40*$G$9))/($B$11+$C$11+$D$11)</f>
        <v>0</v>
      </c>
      <c r="AM40">
        <f>($B$11*$K$9+$C$11*$K$9+$D$11*(BU40*$L$9+BV40*$N$9))/($B$11+$C$11+$D$11)</f>
        <v>0</v>
      </c>
      <c r="AN40">
        <v>3</v>
      </c>
      <c r="AO40">
        <v>0.5</v>
      </c>
      <c r="AP40" t="s">
        <v>331</v>
      </c>
      <c r="AQ40">
        <v>2</v>
      </c>
      <c r="AR40">
        <v>1773270236</v>
      </c>
      <c r="AS40">
        <v>496.1123870967742</v>
      </c>
      <c r="AT40">
        <v>494.640935483871</v>
      </c>
      <c r="AU40">
        <v>7.654835483870968</v>
      </c>
      <c r="AV40">
        <v>6.928428709677418</v>
      </c>
      <c r="AW40">
        <v>489.616935483871</v>
      </c>
      <c r="AX40">
        <v>7.596021612903225</v>
      </c>
      <c r="AY40">
        <v>499.9983225806451</v>
      </c>
      <c r="AZ40">
        <v>100.2271612903226</v>
      </c>
      <c r="BA40">
        <v>0.03304820000000001</v>
      </c>
      <c r="BB40">
        <v>25.0047064516129</v>
      </c>
      <c r="BC40">
        <v>24.68210645161291</v>
      </c>
      <c r="BD40">
        <v>999.9000000000003</v>
      </c>
      <c r="BE40">
        <v>0</v>
      </c>
      <c r="BF40">
        <v>0</v>
      </c>
      <c r="BG40">
        <v>5001.451612903225</v>
      </c>
      <c r="BH40">
        <v>0.4768288709677418</v>
      </c>
      <c r="BI40">
        <v>35.80671935483871</v>
      </c>
      <c r="BJ40">
        <v>1.471507741935484</v>
      </c>
      <c r="BK40">
        <v>499.9393870967742</v>
      </c>
      <c r="BL40">
        <v>498.0919032258064</v>
      </c>
      <c r="BM40">
        <v>0.7264073225806449</v>
      </c>
      <c r="BN40">
        <v>494.640935483871</v>
      </c>
      <c r="BO40">
        <v>6.928428709677418</v>
      </c>
      <c r="BP40">
        <v>0.7672230645161291</v>
      </c>
      <c r="BQ40">
        <v>0.6944171290322579</v>
      </c>
      <c r="BR40">
        <v>3.11490129032258</v>
      </c>
      <c r="BS40">
        <v>1.714514838709677</v>
      </c>
      <c r="BT40">
        <v>0</v>
      </c>
      <c r="BU40">
        <v>0</v>
      </c>
      <c r="BV40">
        <v>0</v>
      </c>
      <c r="BW40">
        <v>24</v>
      </c>
      <c r="BX40">
        <v>1.858063870967742</v>
      </c>
      <c r="BY40">
        <v>1773268786.6</v>
      </c>
      <c r="BZ40" t="s">
        <v>332</v>
      </c>
      <c r="CA40">
        <v>1773268786.6</v>
      </c>
      <c r="CB40">
        <v>1773268774.1</v>
      </c>
      <c r="CC40">
        <v>2</v>
      </c>
      <c r="CD40">
        <v>0.264</v>
      </c>
      <c r="CE40">
        <v>-0.024</v>
      </c>
      <c r="CF40">
        <v>6.495</v>
      </c>
      <c r="CG40">
        <v>0.059</v>
      </c>
      <c r="CH40">
        <v>488</v>
      </c>
      <c r="CI40">
        <v>25</v>
      </c>
      <c r="CJ40">
        <v>0.48</v>
      </c>
      <c r="CK40">
        <v>0.14</v>
      </c>
      <c r="CL40">
        <v>494.6569354838709</v>
      </c>
      <c r="CM40">
        <v>-0.963145161290905</v>
      </c>
      <c r="CN40">
        <v>0.0757163362795968</v>
      </c>
      <c r="CO40">
        <v>-1</v>
      </c>
      <c r="CP40">
        <v>500.0004838709677</v>
      </c>
      <c r="CQ40">
        <v>-0.017612903226839</v>
      </c>
      <c r="CR40">
        <v>0.05175741864714295</v>
      </c>
      <c r="CS40">
        <v>-1</v>
      </c>
      <c r="CT40">
        <v>0</v>
      </c>
      <c r="CU40">
        <v>0</v>
      </c>
      <c r="CV40" t="s">
        <v>333</v>
      </c>
      <c r="CW40">
        <v>3.16897</v>
      </c>
      <c r="CX40">
        <v>2.65449</v>
      </c>
      <c r="CY40">
        <v>0.114789</v>
      </c>
      <c r="CZ40">
        <v>0.115728</v>
      </c>
      <c r="DA40">
        <v>0.0483061</v>
      </c>
      <c r="DB40">
        <v>0.0446146</v>
      </c>
      <c r="DC40">
        <v>21386.5</v>
      </c>
      <c r="DD40">
        <v>21844</v>
      </c>
      <c r="DE40">
        <v>23248.6</v>
      </c>
      <c r="DF40">
        <v>22585.8</v>
      </c>
      <c r="DG40">
        <v>33421.4</v>
      </c>
      <c r="DH40">
        <v>30448.6</v>
      </c>
      <c r="DI40">
        <v>40844.7</v>
      </c>
      <c r="DJ40">
        <v>37392.7</v>
      </c>
      <c r="DK40">
        <v>2.1207</v>
      </c>
      <c r="DL40">
        <v>1.77786</v>
      </c>
      <c r="DM40">
        <v>0.009295339999999999</v>
      </c>
      <c r="DN40">
        <v>0</v>
      </c>
      <c r="DO40">
        <v>24.5316</v>
      </c>
      <c r="DP40">
        <v>999.9</v>
      </c>
      <c r="DQ40">
        <v>69.8</v>
      </c>
      <c r="DR40">
        <v>26.8</v>
      </c>
      <c r="DS40">
        <v>24.6312</v>
      </c>
      <c r="DT40">
        <v>30.04</v>
      </c>
      <c r="DU40">
        <v>11.3542</v>
      </c>
      <c r="DV40">
        <v>1</v>
      </c>
      <c r="DW40">
        <v>0.0210224</v>
      </c>
      <c r="DX40">
        <v>-0.327586</v>
      </c>
      <c r="DY40">
        <v>20.368</v>
      </c>
      <c r="DZ40">
        <v>5.21118</v>
      </c>
      <c r="EA40">
        <v>11.8482</v>
      </c>
      <c r="EB40">
        <v>4.96784</v>
      </c>
      <c r="EC40">
        <v>3.29202</v>
      </c>
      <c r="ED40">
        <v>879.4</v>
      </c>
      <c r="EE40">
        <v>9999</v>
      </c>
      <c r="EF40">
        <v>9999</v>
      </c>
      <c r="EG40">
        <v>80.5</v>
      </c>
      <c r="EH40">
        <v>4.97163</v>
      </c>
      <c r="EI40">
        <v>1.87171</v>
      </c>
      <c r="EJ40">
        <v>1.86882</v>
      </c>
      <c r="EK40">
        <v>1.87128</v>
      </c>
      <c r="EL40">
        <v>1.86904</v>
      </c>
      <c r="EM40">
        <v>1.86797</v>
      </c>
      <c r="EN40">
        <v>1.86981</v>
      </c>
      <c r="EO40">
        <v>1.87164</v>
      </c>
      <c r="EP40">
        <v>0</v>
      </c>
      <c r="EQ40">
        <v>0</v>
      </c>
      <c r="ER40">
        <v>0</v>
      </c>
      <c r="ES40">
        <v>0</v>
      </c>
      <c r="ET40" t="s">
        <v>334</v>
      </c>
      <c r="EU40" t="s">
        <v>335</v>
      </c>
      <c r="EV40" t="s">
        <v>336</v>
      </c>
      <c r="EW40" t="s">
        <v>336</v>
      </c>
      <c r="EX40" t="s">
        <v>336</v>
      </c>
      <c r="EY40" t="s">
        <v>336</v>
      </c>
      <c r="EZ40">
        <v>0</v>
      </c>
      <c r="FA40">
        <v>100</v>
      </c>
      <c r="FB40">
        <v>100</v>
      </c>
      <c r="FC40">
        <v>6.495</v>
      </c>
      <c r="FD40">
        <v>0.0588</v>
      </c>
      <c r="FE40">
        <v>6.495476190476325</v>
      </c>
      <c r="FF40">
        <v>0</v>
      </c>
      <c r="FG40">
        <v>0</v>
      </c>
      <c r="FH40">
        <v>0</v>
      </c>
      <c r="FI40">
        <v>0.05881499999999917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24.3</v>
      </c>
      <c r="FR40">
        <v>24.5</v>
      </c>
      <c r="FS40">
        <v>0.145264</v>
      </c>
      <c r="FT40">
        <v>4.99756</v>
      </c>
      <c r="FU40">
        <v>1.5979</v>
      </c>
      <c r="FV40">
        <v>2.17163</v>
      </c>
      <c r="FW40">
        <v>1.54785</v>
      </c>
      <c r="FX40">
        <v>2.34131</v>
      </c>
      <c r="FY40">
        <v>31.0853</v>
      </c>
      <c r="FZ40">
        <v>16.1371</v>
      </c>
      <c r="GA40">
        <v>3</v>
      </c>
      <c r="GB40">
        <v>497.788</v>
      </c>
      <c r="GC40">
        <v>377.62</v>
      </c>
      <c r="GD40">
        <v>25.9077</v>
      </c>
      <c r="GE40">
        <v>27.3894</v>
      </c>
      <c r="GF40">
        <v>30.0001</v>
      </c>
      <c r="GG40">
        <v>27.32</v>
      </c>
      <c r="GH40">
        <v>27.3121</v>
      </c>
      <c r="GI40">
        <v>-1</v>
      </c>
      <c r="GJ40">
        <v>100</v>
      </c>
      <c r="GK40">
        <v>0</v>
      </c>
      <c r="GL40">
        <v>25.9027</v>
      </c>
      <c r="GM40">
        <v>1200</v>
      </c>
      <c r="GN40">
        <v>26.7455</v>
      </c>
      <c r="GO40">
        <v>102.825</v>
      </c>
      <c r="GP40">
        <v>97.6084</v>
      </c>
    </row>
    <row r="41" spans="1:198">
      <c r="A41">
        <v>25</v>
      </c>
      <c r="B41">
        <v>1773270304</v>
      </c>
      <c r="C41">
        <v>1440.400000095367</v>
      </c>
      <c r="D41" t="s">
        <v>383</v>
      </c>
      <c r="E41" t="s">
        <v>384</v>
      </c>
      <c r="F41">
        <v>15</v>
      </c>
      <c r="G41">
        <v>1773270296</v>
      </c>
      <c r="H41">
        <f>(I41)/1000</f>
        <v>0</v>
      </c>
      <c r="I41">
        <f>1000*AY41*AG41*(AU41-AV41)/(100*AN41*(1000-AG41*AU41))</f>
        <v>0</v>
      </c>
      <c r="J41">
        <f>AY41*AG41*(AT41-AS41*(1000-AG41*AV41)/(1000-AG41*AU41))/(100*AN41)</f>
        <v>0</v>
      </c>
      <c r="K41">
        <f>AS41 - IF(AG41&gt;1, J41*AN41*100.0/(AI41), 0)</f>
        <v>0</v>
      </c>
      <c r="L41">
        <f>((R41-H41/2)*K41-J41)/(R41+H41/2)</f>
        <v>0</v>
      </c>
      <c r="M41">
        <f>L41*(AZ41+BA41)/1000.0</f>
        <v>0</v>
      </c>
      <c r="N41">
        <f>(AS41 - IF(AG41&gt;1, J41*AN41*100.0/(AI41), 0))*(AZ41+BA41)/1000.0</f>
        <v>0</v>
      </c>
      <c r="O41">
        <f>2.0/((1/Q41-1/P41)+SIGN(Q41)*SQRT((1/Q41-1/P41)*(1/Q41-1/P41) + 4*AO41/((AO41+1)*(AO41+1))*(2*1/Q41*1/P41-1/P41*1/P41)))</f>
        <v>0</v>
      </c>
      <c r="P41">
        <f>IF(LEFT(AP41,1)&lt;&gt;"0",IF(LEFT(AP41,1)="1",3.0,AQ41),$D$5+$E$5*(BG41*AZ41/($K$5*1000))+$F$5*(BG41*AZ41/($K$5*1000))*MAX(MIN(AN41,$J$5),$I$5)*MAX(MIN(AN41,$J$5),$I$5)+$G$5*MAX(MIN(AN41,$J$5),$I$5)*(BG41*AZ41/($K$5*1000))+$H$5*(BG41*AZ41/($K$5*1000))*(BG41*AZ41/($K$5*1000)))</f>
        <v>0</v>
      </c>
      <c r="Q41">
        <f>H41*(1000-(1000*0.61365*exp(17.502*U41/(240.97+U41))/(AZ41+BA41)+AU41)/2)/(1000*0.61365*exp(17.502*U41/(240.97+U41))/(AZ41+BA41)-AU41)</f>
        <v>0</v>
      </c>
      <c r="R41">
        <f>1/((AO41+1)/(O41/1.6)+1/(P41/1.37)) + AO41/((AO41+1)/(O41/1.6) + AO41/(P41/1.37))</f>
        <v>0</v>
      </c>
      <c r="S41">
        <f>(AJ41*AM41)</f>
        <v>0</v>
      </c>
      <c r="T41">
        <f>(BB41+(S41+2*0.95*5.67E-8*(((BB41+$B$7)+273)^4-(BB41+273)^4)-44100*H41)/(1.84*29.3*P41+8*0.95*5.67E-8*(BB41+273)^3))</f>
        <v>0</v>
      </c>
      <c r="U41">
        <f>($C$7*BC41+$D$7*BD41+$E$7*T41)</f>
        <v>0</v>
      </c>
      <c r="V41">
        <f>0.61365*exp(17.502*U41/(240.97+U41))</f>
        <v>0</v>
      </c>
      <c r="W41">
        <f>(X41/Y41*100)</f>
        <v>0</v>
      </c>
      <c r="X41">
        <f>AU41*(AZ41+BA41)/1000</f>
        <v>0</v>
      </c>
      <c r="Y41">
        <f>0.61365*exp(17.502*BB41/(240.97+BB41))</f>
        <v>0</v>
      </c>
      <c r="Z41">
        <f>(V41-AU41*(AZ41+BA41)/1000)</f>
        <v>0</v>
      </c>
      <c r="AA41">
        <f>(-H41*44100)</f>
        <v>0</v>
      </c>
      <c r="AB41">
        <f>2*29.3*P41*0.92*(BB41-U41)</f>
        <v>0</v>
      </c>
      <c r="AC41">
        <f>2*0.95*5.67E-8*(((BB41+$B$7)+273)^4-(U41+273)^4)</f>
        <v>0</v>
      </c>
      <c r="AD41">
        <f>S41+AC41+AA41+AB41</f>
        <v>0</v>
      </c>
      <c r="AE41">
        <v>5</v>
      </c>
      <c r="AF41">
        <v>1</v>
      </c>
      <c r="AG41">
        <f>IF(AE41*$H$13&gt;=AI41,1.0,(AI41/(AI41-AE41*$H$13)))</f>
        <v>0</v>
      </c>
      <c r="AH41">
        <f>(AG41-1)*100</f>
        <v>0</v>
      </c>
      <c r="AI41">
        <f>MAX(0,($B$13+$C$13*BG41)/(1+$D$13*BG41)*AZ41/(BB41+273)*$E$13)</f>
        <v>0</v>
      </c>
      <c r="AJ41">
        <f>$B$11*BH41+$C$11*BI41+$D$11*BT41</f>
        <v>0</v>
      </c>
      <c r="AK41">
        <f>AJ41*AL41</f>
        <v>0</v>
      </c>
      <c r="AL41">
        <f>($B$11*$D$9+$C$11*$D$9+$D$11*(BU41*$E$9+BV41*$G$9))/($B$11+$C$11+$D$11)</f>
        <v>0</v>
      </c>
      <c r="AM41">
        <f>($B$11*$K$9+$C$11*$K$9+$D$11*(BU41*$L$9+BV41*$N$9))/($B$11+$C$11+$D$11)</f>
        <v>0</v>
      </c>
      <c r="AN41">
        <v>3</v>
      </c>
      <c r="AO41">
        <v>0.5</v>
      </c>
      <c r="AP41" t="s">
        <v>331</v>
      </c>
      <c r="AQ41">
        <v>2</v>
      </c>
      <c r="AR41">
        <v>1773270296</v>
      </c>
      <c r="AS41">
        <v>495.5178387096774</v>
      </c>
      <c r="AT41">
        <v>493.829870967742</v>
      </c>
      <c r="AU41">
        <v>7.687810000000001</v>
      </c>
      <c r="AV41">
        <v>6.979589677419356</v>
      </c>
      <c r="AW41">
        <v>489.0223548387097</v>
      </c>
      <c r="AX41">
        <v>7.628995161290323</v>
      </c>
      <c r="AY41">
        <v>499.9972903225806</v>
      </c>
      <c r="AZ41">
        <v>100.2262258064516</v>
      </c>
      <c r="BA41">
        <v>0.0330466</v>
      </c>
      <c r="BB41">
        <v>24.99822903225807</v>
      </c>
      <c r="BC41">
        <v>24.68042580645161</v>
      </c>
      <c r="BD41">
        <v>999.9000000000003</v>
      </c>
      <c r="BE41">
        <v>0</v>
      </c>
      <c r="BF41">
        <v>0</v>
      </c>
      <c r="BG41">
        <v>4995</v>
      </c>
      <c r="BH41">
        <v>0.4568846774193548</v>
      </c>
      <c r="BI41">
        <v>38.55302580645161</v>
      </c>
      <c r="BJ41">
        <v>1.687987096774194</v>
      </c>
      <c r="BK41">
        <v>499.3568064516129</v>
      </c>
      <c r="BL41">
        <v>497.300870967742</v>
      </c>
      <c r="BM41">
        <v>0.7082213225806453</v>
      </c>
      <c r="BN41">
        <v>493.829870967742</v>
      </c>
      <c r="BO41">
        <v>6.979589677419356</v>
      </c>
      <c r="BP41">
        <v>0.7705200645161291</v>
      </c>
      <c r="BQ41">
        <v>0.6995377741935483</v>
      </c>
      <c r="BR41">
        <v>3.175493870967742</v>
      </c>
      <c r="BS41">
        <v>1.817157096774194</v>
      </c>
      <c r="BT41">
        <v>0</v>
      </c>
      <c r="BU41">
        <v>0</v>
      </c>
      <c r="BV41">
        <v>0</v>
      </c>
      <c r="BW41">
        <v>24</v>
      </c>
      <c r="BX41">
        <v>2</v>
      </c>
      <c r="BY41">
        <v>1773268786.6</v>
      </c>
      <c r="BZ41" t="s">
        <v>332</v>
      </c>
      <c r="CA41">
        <v>1773268786.6</v>
      </c>
      <c r="CB41">
        <v>1773268774.1</v>
      </c>
      <c r="CC41">
        <v>2</v>
      </c>
      <c r="CD41">
        <v>0.264</v>
      </c>
      <c r="CE41">
        <v>-0.024</v>
      </c>
      <c r="CF41">
        <v>6.495</v>
      </c>
      <c r="CG41">
        <v>0.059</v>
      </c>
      <c r="CH41">
        <v>488</v>
      </c>
      <c r="CI41">
        <v>25</v>
      </c>
      <c r="CJ41">
        <v>0.48</v>
      </c>
      <c r="CK41">
        <v>0.14</v>
      </c>
      <c r="CL41">
        <v>493.8401666666667</v>
      </c>
      <c r="CM41">
        <v>-4.600498331480393</v>
      </c>
      <c r="CN41">
        <v>0.358185899902395</v>
      </c>
      <c r="CO41">
        <v>-1</v>
      </c>
      <c r="CP41">
        <v>499.9936666666666</v>
      </c>
      <c r="CQ41">
        <v>-0.04821357063400146</v>
      </c>
      <c r="CR41">
        <v>0.04220847729491553</v>
      </c>
      <c r="CS41">
        <v>-1</v>
      </c>
      <c r="CT41">
        <v>0</v>
      </c>
      <c r="CU41">
        <v>0</v>
      </c>
      <c r="CV41" t="s">
        <v>333</v>
      </c>
      <c r="CW41">
        <v>3.16909</v>
      </c>
      <c r="CX41">
        <v>2.65388</v>
      </c>
      <c r="CY41">
        <v>0.114641</v>
      </c>
      <c r="CZ41">
        <v>0.11555</v>
      </c>
      <c r="DA41">
        <v>0.0484762</v>
      </c>
      <c r="DB41">
        <v>0.0448819</v>
      </c>
      <c r="DC41">
        <v>21389.5</v>
      </c>
      <c r="DD41">
        <v>21848.7</v>
      </c>
      <c r="DE41">
        <v>23248</v>
      </c>
      <c r="DF41">
        <v>22586</v>
      </c>
      <c r="DG41">
        <v>33414.5</v>
      </c>
      <c r="DH41">
        <v>30440.4</v>
      </c>
      <c r="DI41">
        <v>40843.6</v>
      </c>
      <c r="DJ41">
        <v>37393.1</v>
      </c>
      <c r="DK41">
        <v>2.12068</v>
      </c>
      <c r="DL41">
        <v>1.77772</v>
      </c>
      <c r="DM41">
        <v>0.00904202</v>
      </c>
      <c r="DN41">
        <v>0</v>
      </c>
      <c r="DO41">
        <v>24.5354</v>
      </c>
      <c r="DP41">
        <v>999.9</v>
      </c>
      <c r="DQ41">
        <v>69.7</v>
      </c>
      <c r="DR41">
        <v>26.8</v>
      </c>
      <c r="DS41">
        <v>24.5999</v>
      </c>
      <c r="DT41">
        <v>29.89</v>
      </c>
      <c r="DU41">
        <v>11.3822</v>
      </c>
      <c r="DV41">
        <v>1</v>
      </c>
      <c r="DW41">
        <v>0.0213923</v>
      </c>
      <c r="DX41">
        <v>-0.360194</v>
      </c>
      <c r="DY41">
        <v>20.3676</v>
      </c>
      <c r="DZ41">
        <v>5.2125</v>
      </c>
      <c r="EA41">
        <v>11.8482</v>
      </c>
      <c r="EB41">
        <v>4.9682</v>
      </c>
      <c r="EC41">
        <v>3.292</v>
      </c>
      <c r="ED41">
        <v>879.4</v>
      </c>
      <c r="EE41">
        <v>9999</v>
      </c>
      <c r="EF41">
        <v>9999</v>
      </c>
      <c r="EG41">
        <v>80.5</v>
      </c>
      <c r="EH41">
        <v>4.97161</v>
      </c>
      <c r="EI41">
        <v>1.87175</v>
      </c>
      <c r="EJ41">
        <v>1.86885</v>
      </c>
      <c r="EK41">
        <v>1.87132</v>
      </c>
      <c r="EL41">
        <v>1.86901</v>
      </c>
      <c r="EM41">
        <v>1.86797</v>
      </c>
      <c r="EN41">
        <v>1.86981</v>
      </c>
      <c r="EO41">
        <v>1.87164</v>
      </c>
      <c r="EP41">
        <v>0</v>
      </c>
      <c r="EQ41">
        <v>0</v>
      </c>
      <c r="ER41">
        <v>0</v>
      </c>
      <c r="ES41">
        <v>0</v>
      </c>
      <c r="ET41" t="s">
        <v>334</v>
      </c>
      <c r="EU41" t="s">
        <v>335</v>
      </c>
      <c r="EV41" t="s">
        <v>336</v>
      </c>
      <c r="EW41" t="s">
        <v>336</v>
      </c>
      <c r="EX41" t="s">
        <v>336</v>
      </c>
      <c r="EY41" t="s">
        <v>336</v>
      </c>
      <c r="EZ41">
        <v>0</v>
      </c>
      <c r="FA41">
        <v>100</v>
      </c>
      <c r="FB41">
        <v>100</v>
      </c>
      <c r="FC41">
        <v>6.496</v>
      </c>
      <c r="FD41">
        <v>0.0588</v>
      </c>
      <c r="FE41">
        <v>6.495476190476325</v>
      </c>
      <c r="FF41">
        <v>0</v>
      </c>
      <c r="FG41">
        <v>0</v>
      </c>
      <c r="FH41">
        <v>0</v>
      </c>
      <c r="FI41">
        <v>0.05881499999999917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25.3</v>
      </c>
      <c r="FR41">
        <v>25.5</v>
      </c>
      <c r="FS41">
        <v>0.145264</v>
      </c>
      <c r="FT41">
        <v>4.99756</v>
      </c>
      <c r="FU41">
        <v>1.5979</v>
      </c>
      <c r="FV41">
        <v>2.17041</v>
      </c>
      <c r="FW41">
        <v>1.54785</v>
      </c>
      <c r="FX41">
        <v>2.41089</v>
      </c>
      <c r="FY41">
        <v>31.107</v>
      </c>
      <c r="FZ41">
        <v>16.1459</v>
      </c>
      <c r="GA41">
        <v>3</v>
      </c>
      <c r="GB41">
        <v>497.833</v>
      </c>
      <c r="GC41">
        <v>377.591</v>
      </c>
      <c r="GD41">
        <v>25.9093</v>
      </c>
      <c r="GE41">
        <v>27.3941</v>
      </c>
      <c r="GF41">
        <v>30</v>
      </c>
      <c r="GG41">
        <v>27.327</v>
      </c>
      <c r="GH41">
        <v>27.3193</v>
      </c>
      <c r="GI41">
        <v>-1</v>
      </c>
      <c r="GJ41">
        <v>100</v>
      </c>
      <c r="GK41">
        <v>0</v>
      </c>
      <c r="GL41">
        <v>25.9114</v>
      </c>
      <c r="GM41">
        <v>1200</v>
      </c>
      <c r="GN41">
        <v>26.7455</v>
      </c>
      <c r="GO41">
        <v>102.822</v>
      </c>
      <c r="GP41">
        <v>97.6095</v>
      </c>
    </row>
    <row r="42" spans="1:198">
      <c r="A42">
        <v>26</v>
      </c>
      <c r="B42">
        <v>1773270364</v>
      </c>
      <c r="C42">
        <v>1500.400000095367</v>
      </c>
      <c r="D42" t="s">
        <v>385</v>
      </c>
      <c r="E42" t="s">
        <v>386</v>
      </c>
      <c r="F42">
        <v>15</v>
      </c>
      <c r="G42">
        <v>1773270356</v>
      </c>
      <c r="H42">
        <f>(I42)/1000</f>
        <v>0</v>
      </c>
      <c r="I42">
        <f>1000*AY42*AG42*(AU42-AV42)/(100*AN42*(1000-AG42*AU42))</f>
        <v>0</v>
      </c>
      <c r="J42">
        <f>AY42*AG42*(AT42-AS42*(1000-AG42*AV42)/(1000-AG42*AU42))/(100*AN42)</f>
        <v>0</v>
      </c>
      <c r="K42">
        <f>AS42 - IF(AG42&gt;1, J42*AN42*100.0/(AI42), 0)</f>
        <v>0</v>
      </c>
      <c r="L42">
        <f>((R42-H42/2)*K42-J42)/(R42+H42/2)</f>
        <v>0</v>
      </c>
      <c r="M42">
        <f>L42*(AZ42+BA42)/1000.0</f>
        <v>0</v>
      </c>
      <c r="N42">
        <f>(AS42 - IF(AG42&gt;1, J42*AN42*100.0/(AI42), 0))*(AZ42+BA42)/1000.0</f>
        <v>0</v>
      </c>
      <c r="O42">
        <f>2.0/((1/Q42-1/P42)+SIGN(Q42)*SQRT((1/Q42-1/P42)*(1/Q42-1/P42) + 4*AO42/((AO42+1)*(AO42+1))*(2*1/Q42*1/P42-1/P42*1/P42)))</f>
        <v>0</v>
      </c>
      <c r="P42">
        <f>IF(LEFT(AP42,1)&lt;&gt;"0",IF(LEFT(AP42,1)="1",3.0,AQ42),$D$5+$E$5*(BG42*AZ42/($K$5*1000))+$F$5*(BG42*AZ42/($K$5*1000))*MAX(MIN(AN42,$J$5),$I$5)*MAX(MIN(AN42,$J$5),$I$5)+$G$5*MAX(MIN(AN42,$J$5),$I$5)*(BG42*AZ42/($K$5*1000))+$H$5*(BG42*AZ42/($K$5*1000))*(BG42*AZ42/($K$5*1000)))</f>
        <v>0</v>
      </c>
      <c r="Q42">
        <f>H42*(1000-(1000*0.61365*exp(17.502*U42/(240.97+U42))/(AZ42+BA42)+AU42)/2)/(1000*0.61365*exp(17.502*U42/(240.97+U42))/(AZ42+BA42)-AU42)</f>
        <v>0</v>
      </c>
      <c r="R42">
        <f>1/((AO42+1)/(O42/1.6)+1/(P42/1.37)) + AO42/((AO42+1)/(O42/1.6) + AO42/(P42/1.37))</f>
        <v>0</v>
      </c>
      <c r="S42">
        <f>(AJ42*AM42)</f>
        <v>0</v>
      </c>
      <c r="T42">
        <f>(BB42+(S42+2*0.95*5.67E-8*(((BB42+$B$7)+273)^4-(BB42+273)^4)-44100*H42)/(1.84*29.3*P42+8*0.95*5.67E-8*(BB42+273)^3))</f>
        <v>0</v>
      </c>
      <c r="U42">
        <f>($C$7*BC42+$D$7*BD42+$E$7*T42)</f>
        <v>0</v>
      </c>
      <c r="V42">
        <f>0.61365*exp(17.502*U42/(240.97+U42))</f>
        <v>0</v>
      </c>
      <c r="W42">
        <f>(X42/Y42*100)</f>
        <v>0</v>
      </c>
      <c r="X42">
        <f>AU42*(AZ42+BA42)/1000</f>
        <v>0</v>
      </c>
      <c r="Y42">
        <f>0.61365*exp(17.502*BB42/(240.97+BB42))</f>
        <v>0</v>
      </c>
      <c r="Z42">
        <f>(V42-AU42*(AZ42+BA42)/1000)</f>
        <v>0</v>
      </c>
      <c r="AA42">
        <f>(-H42*44100)</f>
        <v>0</v>
      </c>
      <c r="AB42">
        <f>2*29.3*P42*0.92*(BB42-U42)</f>
        <v>0</v>
      </c>
      <c r="AC42">
        <f>2*0.95*5.67E-8*(((BB42+$B$7)+273)^4-(U42+273)^4)</f>
        <v>0</v>
      </c>
      <c r="AD42">
        <f>S42+AC42+AA42+AB42</f>
        <v>0</v>
      </c>
      <c r="AE42">
        <v>5</v>
      </c>
      <c r="AF42">
        <v>1</v>
      </c>
      <c r="AG42">
        <f>IF(AE42*$H$13&gt;=AI42,1.0,(AI42/(AI42-AE42*$H$13)))</f>
        <v>0</v>
      </c>
      <c r="AH42">
        <f>(AG42-1)*100</f>
        <v>0</v>
      </c>
      <c r="AI42">
        <f>MAX(0,($B$13+$C$13*BG42)/(1+$D$13*BG42)*AZ42/(BB42+273)*$E$13)</f>
        <v>0</v>
      </c>
      <c r="AJ42">
        <f>$B$11*BH42+$C$11*BI42+$D$11*BT42</f>
        <v>0</v>
      </c>
      <c r="AK42">
        <f>AJ42*AL42</f>
        <v>0</v>
      </c>
      <c r="AL42">
        <f>($B$11*$D$9+$C$11*$D$9+$D$11*(BU42*$E$9+BV42*$G$9))/($B$11+$C$11+$D$11)</f>
        <v>0</v>
      </c>
      <c r="AM42">
        <f>($B$11*$K$9+$C$11*$K$9+$D$11*(BU42*$L$9+BV42*$N$9))/($B$11+$C$11+$D$11)</f>
        <v>0</v>
      </c>
      <c r="AN42">
        <v>3</v>
      </c>
      <c r="AO42">
        <v>0.5</v>
      </c>
      <c r="AP42" t="s">
        <v>331</v>
      </c>
      <c r="AQ42">
        <v>2</v>
      </c>
      <c r="AR42">
        <v>1773270356</v>
      </c>
      <c r="AS42">
        <v>494.1840645161291</v>
      </c>
      <c r="AT42">
        <v>493.1237419354838</v>
      </c>
      <c r="AU42">
        <v>7.726253548387096</v>
      </c>
      <c r="AV42">
        <v>7.031814193548389</v>
      </c>
      <c r="AW42">
        <v>487.6886774193549</v>
      </c>
      <c r="AX42">
        <v>7.667439677419353</v>
      </c>
      <c r="AY42">
        <v>499.9979032258065</v>
      </c>
      <c r="AZ42">
        <v>100.226935483871</v>
      </c>
      <c r="BA42">
        <v>0.03294362258064516</v>
      </c>
      <c r="BB42">
        <v>24.99798064516129</v>
      </c>
      <c r="BC42">
        <v>24.68924838709678</v>
      </c>
      <c r="BD42">
        <v>999.9000000000003</v>
      </c>
      <c r="BE42">
        <v>0</v>
      </c>
      <c r="BF42">
        <v>0</v>
      </c>
      <c r="BG42">
        <v>5000.645161290323</v>
      </c>
      <c r="BH42">
        <v>0.4754709677419354</v>
      </c>
      <c r="BI42">
        <v>41.65834838709677</v>
      </c>
      <c r="BJ42">
        <v>1.060356483870968</v>
      </c>
      <c r="BK42">
        <v>498.0320322580645</v>
      </c>
      <c r="BL42">
        <v>496.6159354838711</v>
      </c>
      <c r="BM42">
        <v>0.6944397096774193</v>
      </c>
      <c r="BN42">
        <v>493.1237419354838</v>
      </c>
      <c r="BO42">
        <v>7.031814193548389</v>
      </c>
      <c r="BP42">
        <v>0.7743785161290322</v>
      </c>
      <c r="BQ42">
        <v>0.7047770322580644</v>
      </c>
      <c r="BR42">
        <v>3.246112258064517</v>
      </c>
      <c r="BS42">
        <v>1.921489677419355</v>
      </c>
      <c r="BT42">
        <v>0</v>
      </c>
      <c r="BU42">
        <v>0</v>
      </c>
      <c r="BV42">
        <v>0</v>
      </c>
      <c r="BW42">
        <v>24</v>
      </c>
      <c r="BX42">
        <v>2</v>
      </c>
      <c r="BY42">
        <v>1773268786.6</v>
      </c>
      <c r="BZ42" t="s">
        <v>332</v>
      </c>
      <c r="CA42">
        <v>1773268786.6</v>
      </c>
      <c r="CB42">
        <v>1773268774.1</v>
      </c>
      <c r="CC42">
        <v>2</v>
      </c>
      <c r="CD42">
        <v>0.264</v>
      </c>
      <c r="CE42">
        <v>-0.024</v>
      </c>
      <c r="CF42">
        <v>6.495</v>
      </c>
      <c r="CG42">
        <v>0.059</v>
      </c>
      <c r="CH42">
        <v>488</v>
      </c>
      <c r="CI42">
        <v>25</v>
      </c>
      <c r="CJ42">
        <v>0.48</v>
      </c>
      <c r="CK42">
        <v>0.14</v>
      </c>
      <c r="CL42">
        <v>493.111</v>
      </c>
      <c r="CM42">
        <v>2.555212458287512</v>
      </c>
      <c r="CN42">
        <v>0.1893974656641428</v>
      </c>
      <c r="CO42">
        <v>-1</v>
      </c>
      <c r="CP42">
        <v>499.9977666666666</v>
      </c>
      <c r="CQ42">
        <v>-0.2191501668518947</v>
      </c>
      <c r="CR42">
        <v>0.05936816393395932</v>
      </c>
      <c r="CS42">
        <v>-1</v>
      </c>
      <c r="CT42">
        <v>0</v>
      </c>
      <c r="CU42">
        <v>0</v>
      </c>
      <c r="CV42" t="s">
        <v>333</v>
      </c>
      <c r="CW42">
        <v>3.16898</v>
      </c>
      <c r="CX42">
        <v>2.65422</v>
      </c>
      <c r="CY42">
        <v>0.114531</v>
      </c>
      <c r="CZ42">
        <v>0.115547</v>
      </c>
      <c r="DA42">
        <v>0.0486744</v>
      </c>
      <c r="DB42">
        <v>0.0451532</v>
      </c>
      <c r="DC42">
        <v>21391.5</v>
      </c>
      <c r="DD42">
        <v>21849.3</v>
      </c>
      <c r="DE42">
        <v>23247.3</v>
      </c>
      <c r="DF42">
        <v>22586.6</v>
      </c>
      <c r="DG42">
        <v>33406.7</v>
      </c>
      <c r="DH42">
        <v>30432.7</v>
      </c>
      <c r="DI42">
        <v>40842.6</v>
      </c>
      <c r="DJ42">
        <v>37394.2</v>
      </c>
      <c r="DK42">
        <v>2.12022</v>
      </c>
      <c r="DL42">
        <v>1.77744</v>
      </c>
      <c r="DM42">
        <v>0.009161229999999999</v>
      </c>
      <c r="DN42">
        <v>0</v>
      </c>
      <c r="DO42">
        <v>24.5313</v>
      </c>
      <c r="DP42">
        <v>999.9</v>
      </c>
      <c r="DQ42">
        <v>69.5</v>
      </c>
      <c r="DR42">
        <v>26.9</v>
      </c>
      <c r="DS42">
        <v>24.6721</v>
      </c>
      <c r="DT42">
        <v>30.28</v>
      </c>
      <c r="DU42">
        <v>11.4463</v>
      </c>
      <c r="DV42">
        <v>1</v>
      </c>
      <c r="DW42">
        <v>0.0215</v>
      </c>
      <c r="DX42">
        <v>-0.361399</v>
      </c>
      <c r="DY42">
        <v>20.3678</v>
      </c>
      <c r="DZ42">
        <v>5.21334</v>
      </c>
      <c r="EA42">
        <v>11.8482</v>
      </c>
      <c r="EB42">
        <v>4.96932</v>
      </c>
      <c r="EC42">
        <v>3.292</v>
      </c>
      <c r="ED42">
        <v>879.4</v>
      </c>
      <c r="EE42">
        <v>9999</v>
      </c>
      <c r="EF42">
        <v>9999</v>
      </c>
      <c r="EG42">
        <v>80.5</v>
      </c>
      <c r="EH42">
        <v>4.97161</v>
      </c>
      <c r="EI42">
        <v>1.87173</v>
      </c>
      <c r="EJ42">
        <v>1.86878</v>
      </c>
      <c r="EK42">
        <v>1.8713</v>
      </c>
      <c r="EL42">
        <v>1.869</v>
      </c>
      <c r="EM42">
        <v>1.86798</v>
      </c>
      <c r="EN42">
        <v>1.86981</v>
      </c>
      <c r="EO42">
        <v>1.87164</v>
      </c>
      <c r="EP42">
        <v>0</v>
      </c>
      <c r="EQ42">
        <v>0</v>
      </c>
      <c r="ER42">
        <v>0</v>
      </c>
      <c r="ES42">
        <v>0</v>
      </c>
      <c r="ET42" t="s">
        <v>334</v>
      </c>
      <c r="EU42" t="s">
        <v>335</v>
      </c>
      <c r="EV42" t="s">
        <v>336</v>
      </c>
      <c r="EW42" t="s">
        <v>336</v>
      </c>
      <c r="EX42" t="s">
        <v>336</v>
      </c>
      <c r="EY42" t="s">
        <v>336</v>
      </c>
      <c r="EZ42">
        <v>0</v>
      </c>
      <c r="FA42">
        <v>100</v>
      </c>
      <c r="FB42">
        <v>100</v>
      </c>
      <c r="FC42">
        <v>6.495</v>
      </c>
      <c r="FD42">
        <v>0.0588</v>
      </c>
      <c r="FE42">
        <v>6.495476190476325</v>
      </c>
      <c r="FF42">
        <v>0</v>
      </c>
      <c r="FG42">
        <v>0</v>
      </c>
      <c r="FH42">
        <v>0</v>
      </c>
      <c r="FI42">
        <v>0.05881499999999917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26.3</v>
      </c>
      <c r="FR42">
        <v>26.5</v>
      </c>
      <c r="FS42">
        <v>0.145264</v>
      </c>
      <c r="FT42">
        <v>4.99756</v>
      </c>
      <c r="FU42">
        <v>1.5979</v>
      </c>
      <c r="FV42">
        <v>2.17041</v>
      </c>
      <c r="FW42">
        <v>1.54785</v>
      </c>
      <c r="FX42">
        <v>2.33276</v>
      </c>
      <c r="FY42">
        <v>31.1504</v>
      </c>
      <c r="FZ42">
        <v>16.1459</v>
      </c>
      <c r="GA42">
        <v>3</v>
      </c>
      <c r="GB42">
        <v>497.625</v>
      </c>
      <c r="GC42">
        <v>377.483</v>
      </c>
      <c r="GD42">
        <v>25.9105</v>
      </c>
      <c r="GE42">
        <v>27.3964</v>
      </c>
      <c r="GF42">
        <v>30.0001</v>
      </c>
      <c r="GG42">
        <v>27.3339</v>
      </c>
      <c r="GH42">
        <v>27.3259</v>
      </c>
      <c r="GI42">
        <v>-1</v>
      </c>
      <c r="GJ42">
        <v>100</v>
      </c>
      <c r="GK42">
        <v>0</v>
      </c>
      <c r="GL42">
        <v>25.9133</v>
      </c>
      <c r="GM42">
        <v>1200</v>
      </c>
      <c r="GN42">
        <v>26.7455</v>
      </c>
      <c r="GO42">
        <v>102.82</v>
      </c>
      <c r="GP42">
        <v>97.61239999999999</v>
      </c>
    </row>
    <row r="43" spans="1:198">
      <c r="A43">
        <v>27</v>
      </c>
      <c r="B43">
        <v>1773270424</v>
      </c>
      <c r="C43">
        <v>1560.400000095367</v>
      </c>
      <c r="D43" t="s">
        <v>387</v>
      </c>
      <c r="E43" t="s">
        <v>388</v>
      </c>
      <c r="F43">
        <v>15</v>
      </c>
      <c r="G43">
        <v>1773270416</v>
      </c>
      <c r="H43">
        <f>(I43)/1000</f>
        <v>0</v>
      </c>
      <c r="I43">
        <f>1000*AY43*AG43*(AU43-AV43)/(100*AN43*(1000-AG43*AU43))</f>
        <v>0</v>
      </c>
      <c r="J43">
        <f>AY43*AG43*(AT43-AS43*(1000-AG43*AV43)/(1000-AG43*AU43))/(100*AN43)</f>
        <v>0</v>
      </c>
      <c r="K43">
        <f>AS43 - IF(AG43&gt;1, J43*AN43*100.0/(AI43), 0)</f>
        <v>0</v>
      </c>
      <c r="L43">
        <f>((R43-H43/2)*K43-J43)/(R43+H43/2)</f>
        <v>0</v>
      </c>
      <c r="M43">
        <f>L43*(AZ43+BA43)/1000.0</f>
        <v>0</v>
      </c>
      <c r="N43">
        <f>(AS43 - IF(AG43&gt;1, J43*AN43*100.0/(AI43), 0))*(AZ43+BA43)/1000.0</f>
        <v>0</v>
      </c>
      <c r="O43">
        <f>2.0/((1/Q43-1/P43)+SIGN(Q43)*SQRT((1/Q43-1/P43)*(1/Q43-1/P43) + 4*AO43/((AO43+1)*(AO43+1))*(2*1/Q43*1/P43-1/P43*1/P43)))</f>
        <v>0</v>
      </c>
      <c r="P43">
        <f>IF(LEFT(AP43,1)&lt;&gt;"0",IF(LEFT(AP43,1)="1",3.0,AQ43),$D$5+$E$5*(BG43*AZ43/($K$5*1000))+$F$5*(BG43*AZ43/($K$5*1000))*MAX(MIN(AN43,$J$5),$I$5)*MAX(MIN(AN43,$J$5),$I$5)+$G$5*MAX(MIN(AN43,$J$5),$I$5)*(BG43*AZ43/($K$5*1000))+$H$5*(BG43*AZ43/($K$5*1000))*(BG43*AZ43/($K$5*1000)))</f>
        <v>0</v>
      </c>
      <c r="Q43">
        <f>H43*(1000-(1000*0.61365*exp(17.502*U43/(240.97+U43))/(AZ43+BA43)+AU43)/2)/(1000*0.61365*exp(17.502*U43/(240.97+U43))/(AZ43+BA43)-AU43)</f>
        <v>0</v>
      </c>
      <c r="R43">
        <f>1/((AO43+1)/(O43/1.6)+1/(P43/1.37)) + AO43/((AO43+1)/(O43/1.6) + AO43/(P43/1.37))</f>
        <v>0</v>
      </c>
      <c r="S43">
        <f>(AJ43*AM43)</f>
        <v>0</v>
      </c>
      <c r="T43">
        <f>(BB43+(S43+2*0.95*5.67E-8*(((BB43+$B$7)+273)^4-(BB43+273)^4)-44100*H43)/(1.84*29.3*P43+8*0.95*5.67E-8*(BB43+273)^3))</f>
        <v>0</v>
      </c>
      <c r="U43">
        <f>($C$7*BC43+$D$7*BD43+$E$7*T43)</f>
        <v>0</v>
      </c>
      <c r="V43">
        <f>0.61365*exp(17.502*U43/(240.97+U43))</f>
        <v>0</v>
      </c>
      <c r="W43">
        <f>(X43/Y43*100)</f>
        <v>0</v>
      </c>
      <c r="X43">
        <f>AU43*(AZ43+BA43)/1000</f>
        <v>0</v>
      </c>
      <c r="Y43">
        <f>0.61365*exp(17.502*BB43/(240.97+BB43))</f>
        <v>0</v>
      </c>
      <c r="Z43">
        <f>(V43-AU43*(AZ43+BA43)/1000)</f>
        <v>0</v>
      </c>
      <c r="AA43">
        <f>(-H43*44100)</f>
        <v>0</v>
      </c>
      <c r="AB43">
        <f>2*29.3*P43*0.92*(BB43-U43)</f>
        <v>0</v>
      </c>
      <c r="AC43">
        <f>2*0.95*5.67E-8*(((BB43+$B$7)+273)^4-(U43+273)^4)</f>
        <v>0</v>
      </c>
      <c r="AD43">
        <f>S43+AC43+AA43+AB43</f>
        <v>0</v>
      </c>
      <c r="AE43">
        <v>5</v>
      </c>
      <c r="AF43">
        <v>1</v>
      </c>
      <c r="AG43">
        <f>IF(AE43*$H$13&gt;=AI43,1.0,(AI43/(AI43-AE43*$H$13)))</f>
        <v>0</v>
      </c>
      <c r="AH43">
        <f>(AG43-1)*100</f>
        <v>0</v>
      </c>
      <c r="AI43">
        <f>MAX(0,($B$13+$C$13*BG43)/(1+$D$13*BG43)*AZ43/(BB43+273)*$E$13)</f>
        <v>0</v>
      </c>
      <c r="AJ43">
        <f>$B$11*BH43+$C$11*BI43+$D$11*BT43</f>
        <v>0</v>
      </c>
      <c r="AK43">
        <f>AJ43*AL43</f>
        <v>0</v>
      </c>
      <c r="AL43">
        <f>($B$11*$D$9+$C$11*$D$9+$D$11*(BU43*$E$9+BV43*$G$9))/($B$11+$C$11+$D$11)</f>
        <v>0</v>
      </c>
      <c r="AM43">
        <f>($B$11*$K$9+$C$11*$K$9+$D$11*(BU43*$L$9+BV43*$N$9))/($B$11+$C$11+$D$11)</f>
        <v>0</v>
      </c>
      <c r="AN43">
        <v>3</v>
      </c>
      <c r="AO43">
        <v>0.5</v>
      </c>
      <c r="AP43" t="s">
        <v>331</v>
      </c>
      <c r="AQ43">
        <v>2</v>
      </c>
      <c r="AR43">
        <v>1773270416</v>
      </c>
      <c r="AS43">
        <v>493.8582258064517</v>
      </c>
      <c r="AT43">
        <v>492.6523548387097</v>
      </c>
      <c r="AU43">
        <v>7.768570967741937</v>
      </c>
      <c r="AV43">
        <v>7.085828064516128</v>
      </c>
      <c r="AW43">
        <v>487.3627741935484</v>
      </c>
      <c r="AX43">
        <v>7.709755806451613</v>
      </c>
      <c r="AY43">
        <v>499.967870967742</v>
      </c>
      <c r="AZ43">
        <v>100.2272258064516</v>
      </c>
      <c r="BA43">
        <v>0.03278224193548387</v>
      </c>
      <c r="BB43">
        <v>25.00390000000001</v>
      </c>
      <c r="BC43">
        <v>24.69654193548387</v>
      </c>
      <c r="BD43">
        <v>999.9000000000003</v>
      </c>
      <c r="BE43">
        <v>0</v>
      </c>
      <c r="BF43">
        <v>0</v>
      </c>
      <c r="BG43">
        <v>4992.16129032258</v>
      </c>
      <c r="BH43">
        <v>0.4924576774193548</v>
      </c>
      <c r="BI43">
        <v>44.78853870967741</v>
      </c>
      <c r="BJ43">
        <v>1.205895161290322</v>
      </c>
      <c r="BK43">
        <v>497.7249032258064</v>
      </c>
      <c r="BL43">
        <v>496.1680322580644</v>
      </c>
      <c r="BM43">
        <v>0.6827431935483869</v>
      </c>
      <c r="BN43">
        <v>492.6523548387097</v>
      </c>
      <c r="BO43">
        <v>7.085828064516128</v>
      </c>
      <c r="BP43">
        <v>0.7786224516129033</v>
      </c>
      <c r="BQ43">
        <v>0.7101929032258065</v>
      </c>
      <c r="BR43">
        <v>3.323426451612903</v>
      </c>
      <c r="BS43">
        <v>2.028621612903226</v>
      </c>
      <c r="BT43">
        <v>0</v>
      </c>
      <c r="BU43">
        <v>0</v>
      </c>
      <c r="BV43">
        <v>0</v>
      </c>
      <c r="BW43">
        <v>23.99355483870967</v>
      </c>
      <c r="BX43">
        <v>2</v>
      </c>
      <c r="BY43">
        <v>1773268786.6</v>
      </c>
      <c r="BZ43" t="s">
        <v>332</v>
      </c>
      <c r="CA43">
        <v>1773268786.6</v>
      </c>
      <c r="CB43">
        <v>1773268774.1</v>
      </c>
      <c r="CC43">
        <v>2</v>
      </c>
      <c r="CD43">
        <v>0.264</v>
      </c>
      <c r="CE43">
        <v>-0.024</v>
      </c>
      <c r="CF43">
        <v>6.495</v>
      </c>
      <c r="CG43">
        <v>0.059</v>
      </c>
      <c r="CH43">
        <v>488</v>
      </c>
      <c r="CI43">
        <v>25</v>
      </c>
      <c r="CJ43">
        <v>0.48</v>
      </c>
      <c r="CK43">
        <v>0.14</v>
      </c>
      <c r="CL43">
        <v>492.6384</v>
      </c>
      <c r="CM43">
        <v>2.856507230255953</v>
      </c>
      <c r="CN43">
        <v>0.2135937889234271</v>
      </c>
      <c r="CO43">
        <v>-1</v>
      </c>
      <c r="CP43">
        <v>499.9661666666667</v>
      </c>
      <c r="CQ43">
        <v>0.2115684093428166</v>
      </c>
      <c r="CR43">
        <v>0.08386540142129996</v>
      </c>
      <c r="CS43">
        <v>-1</v>
      </c>
      <c r="CT43">
        <v>0</v>
      </c>
      <c r="CU43">
        <v>0</v>
      </c>
      <c r="CV43" t="s">
        <v>333</v>
      </c>
      <c r="CW43">
        <v>3.16909</v>
      </c>
      <c r="CX43">
        <v>2.65399</v>
      </c>
      <c r="CY43">
        <v>0.114455</v>
      </c>
      <c r="CZ43">
        <v>0.115469</v>
      </c>
      <c r="DA43">
        <v>0.0488987</v>
      </c>
      <c r="DB43">
        <v>0.045446</v>
      </c>
      <c r="DC43">
        <v>21392</v>
      </c>
      <c r="DD43">
        <v>21851.4</v>
      </c>
      <c r="DE43">
        <v>23245.8</v>
      </c>
      <c r="DF43">
        <v>22586.8</v>
      </c>
      <c r="DG43">
        <v>33397</v>
      </c>
      <c r="DH43">
        <v>30423.4</v>
      </c>
      <c r="DI43">
        <v>40840.4</v>
      </c>
      <c r="DJ43">
        <v>37394.3</v>
      </c>
      <c r="DK43">
        <v>2.12052</v>
      </c>
      <c r="DL43">
        <v>1.77772</v>
      </c>
      <c r="DM43">
        <v>0.009793039999999999</v>
      </c>
      <c r="DN43">
        <v>0</v>
      </c>
      <c r="DO43">
        <v>24.5333</v>
      </c>
      <c r="DP43">
        <v>999.9</v>
      </c>
      <c r="DQ43">
        <v>69.3</v>
      </c>
      <c r="DR43">
        <v>26.9</v>
      </c>
      <c r="DS43">
        <v>24.6041</v>
      </c>
      <c r="DT43">
        <v>30.07</v>
      </c>
      <c r="DU43">
        <v>11.3181</v>
      </c>
      <c r="DV43">
        <v>1</v>
      </c>
      <c r="DW43">
        <v>0.0216098</v>
      </c>
      <c r="DX43">
        <v>-0.327401</v>
      </c>
      <c r="DY43">
        <v>20.3679</v>
      </c>
      <c r="DZ43">
        <v>5.21274</v>
      </c>
      <c r="EA43">
        <v>11.8482</v>
      </c>
      <c r="EB43">
        <v>4.96872</v>
      </c>
      <c r="EC43">
        <v>3.292</v>
      </c>
      <c r="ED43">
        <v>879.4</v>
      </c>
      <c r="EE43">
        <v>9999</v>
      </c>
      <c r="EF43">
        <v>9999</v>
      </c>
      <c r="EG43">
        <v>80.5</v>
      </c>
      <c r="EH43">
        <v>4.97162</v>
      </c>
      <c r="EI43">
        <v>1.87168</v>
      </c>
      <c r="EJ43">
        <v>1.86877</v>
      </c>
      <c r="EK43">
        <v>1.87131</v>
      </c>
      <c r="EL43">
        <v>1.869</v>
      </c>
      <c r="EM43">
        <v>1.86796</v>
      </c>
      <c r="EN43">
        <v>1.86981</v>
      </c>
      <c r="EO43">
        <v>1.87164</v>
      </c>
      <c r="EP43">
        <v>0</v>
      </c>
      <c r="EQ43">
        <v>0</v>
      </c>
      <c r="ER43">
        <v>0</v>
      </c>
      <c r="ES43">
        <v>0</v>
      </c>
      <c r="ET43" t="s">
        <v>334</v>
      </c>
      <c r="EU43" t="s">
        <v>335</v>
      </c>
      <c r="EV43" t="s">
        <v>336</v>
      </c>
      <c r="EW43" t="s">
        <v>336</v>
      </c>
      <c r="EX43" t="s">
        <v>336</v>
      </c>
      <c r="EY43" t="s">
        <v>336</v>
      </c>
      <c r="EZ43">
        <v>0</v>
      </c>
      <c r="FA43">
        <v>100</v>
      </c>
      <c r="FB43">
        <v>100</v>
      </c>
      <c r="FC43">
        <v>6.496</v>
      </c>
      <c r="FD43">
        <v>0.0588</v>
      </c>
      <c r="FE43">
        <v>6.495476190476325</v>
      </c>
      <c r="FF43">
        <v>0</v>
      </c>
      <c r="FG43">
        <v>0</v>
      </c>
      <c r="FH43">
        <v>0</v>
      </c>
      <c r="FI43">
        <v>0.05881499999999917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27.3</v>
      </c>
      <c r="FR43">
        <v>27.5</v>
      </c>
      <c r="FS43">
        <v>0.145264</v>
      </c>
      <c r="FT43">
        <v>4.99756</v>
      </c>
      <c r="FU43">
        <v>1.5979</v>
      </c>
      <c r="FV43">
        <v>2.16919</v>
      </c>
      <c r="FW43">
        <v>1.54785</v>
      </c>
      <c r="FX43">
        <v>2.43164</v>
      </c>
      <c r="FY43">
        <v>31.1939</v>
      </c>
      <c r="FZ43">
        <v>16.1284</v>
      </c>
      <c r="GA43">
        <v>3</v>
      </c>
      <c r="GB43">
        <v>497.835</v>
      </c>
      <c r="GC43">
        <v>377.662</v>
      </c>
      <c r="GD43">
        <v>25.8901</v>
      </c>
      <c r="GE43">
        <v>27.3988</v>
      </c>
      <c r="GF43">
        <v>30.0001</v>
      </c>
      <c r="GG43">
        <v>27.3386</v>
      </c>
      <c r="GH43">
        <v>27.3305</v>
      </c>
      <c r="GI43">
        <v>-1</v>
      </c>
      <c r="GJ43">
        <v>100</v>
      </c>
      <c r="GK43">
        <v>0</v>
      </c>
      <c r="GL43">
        <v>25.886</v>
      </c>
      <c r="GM43">
        <v>1200</v>
      </c>
      <c r="GN43">
        <v>26.7455</v>
      </c>
      <c r="GO43">
        <v>102.814</v>
      </c>
      <c r="GP43">
        <v>97.61279999999999</v>
      </c>
    </row>
    <row r="44" spans="1:198">
      <c r="A44">
        <v>28</v>
      </c>
      <c r="B44">
        <v>1773270484</v>
      </c>
      <c r="C44">
        <v>1620.400000095367</v>
      </c>
      <c r="D44" t="s">
        <v>389</v>
      </c>
      <c r="E44" t="s">
        <v>390</v>
      </c>
      <c r="F44">
        <v>15</v>
      </c>
      <c r="G44">
        <v>1773270476</v>
      </c>
      <c r="H44">
        <f>(I44)/1000</f>
        <v>0</v>
      </c>
      <c r="I44">
        <f>1000*AY44*AG44*(AU44-AV44)/(100*AN44*(1000-AG44*AU44))</f>
        <v>0</v>
      </c>
      <c r="J44">
        <f>AY44*AG44*(AT44-AS44*(1000-AG44*AV44)/(1000-AG44*AU44))/(100*AN44)</f>
        <v>0</v>
      </c>
      <c r="K44">
        <f>AS44 - IF(AG44&gt;1, J44*AN44*100.0/(AI44), 0)</f>
        <v>0</v>
      </c>
      <c r="L44">
        <f>((R44-H44/2)*K44-J44)/(R44+H44/2)</f>
        <v>0</v>
      </c>
      <c r="M44">
        <f>L44*(AZ44+BA44)/1000.0</f>
        <v>0</v>
      </c>
      <c r="N44">
        <f>(AS44 - IF(AG44&gt;1, J44*AN44*100.0/(AI44), 0))*(AZ44+BA44)/1000.0</f>
        <v>0</v>
      </c>
      <c r="O44">
        <f>2.0/((1/Q44-1/P44)+SIGN(Q44)*SQRT((1/Q44-1/P44)*(1/Q44-1/P44) + 4*AO44/((AO44+1)*(AO44+1))*(2*1/Q44*1/P44-1/P44*1/P44)))</f>
        <v>0</v>
      </c>
      <c r="P44">
        <f>IF(LEFT(AP44,1)&lt;&gt;"0",IF(LEFT(AP44,1)="1",3.0,AQ44),$D$5+$E$5*(BG44*AZ44/($K$5*1000))+$F$5*(BG44*AZ44/($K$5*1000))*MAX(MIN(AN44,$J$5),$I$5)*MAX(MIN(AN44,$J$5),$I$5)+$G$5*MAX(MIN(AN44,$J$5),$I$5)*(BG44*AZ44/($K$5*1000))+$H$5*(BG44*AZ44/($K$5*1000))*(BG44*AZ44/($K$5*1000)))</f>
        <v>0</v>
      </c>
      <c r="Q44">
        <f>H44*(1000-(1000*0.61365*exp(17.502*U44/(240.97+U44))/(AZ44+BA44)+AU44)/2)/(1000*0.61365*exp(17.502*U44/(240.97+U44))/(AZ44+BA44)-AU44)</f>
        <v>0</v>
      </c>
      <c r="R44">
        <f>1/((AO44+1)/(O44/1.6)+1/(P44/1.37)) + AO44/((AO44+1)/(O44/1.6) + AO44/(P44/1.37))</f>
        <v>0</v>
      </c>
      <c r="S44">
        <f>(AJ44*AM44)</f>
        <v>0</v>
      </c>
      <c r="T44">
        <f>(BB44+(S44+2*0.95*5.67E-8*(((BB44+$B$7)+273)^4-(BB44+273)^4)-44100*H44)/(1.84*29.3*P44+8*0.95*5.67E-8*(BB44+273)^3))</f>
        <v>0</v>
      </c>
      <c r="U44">
        <f>($C$7*BC44+$D$7*BD44+$E$7*T44)</f>
        <v>0</v>
      </c>
      <c r="V44">
        <f>0.61365*exp(17.502*U44/(240.97+U44))</f>
        <v>0</v>
      </c>
      <c r="W44">
        <f>(X44/Y44*100)</f>
        <v>0</v>
      </c>
      <c r="X44">
        <f>AU44*(AZ44+BA44)/1000</f>
        <v>0</v>
      </c>
      <c r="Y44">
        <f>0.61365*exp(17.502*BB44/(240.97+BB44))</f>
        <v>0</v>
      </c>
      <c r="Z44">
        <f>(V44-AU44*(AZ44+BA44)/1000)</f>
        <v>0</v>
      </c>
      <c r="AA44">
        <f>(-H44*44100)</f>
        <v>0</v>
      </c>
      <c r="AB44">
        <f>2*29.3*P44*0.92*(BB44-U44)</f>
        <v>0</v>
      </c>
      <c r="AC44">
        <f>2*0.95*5.67E-8*(((BB44+$B$7)+273)^4-(U44+273)^4)</f>
        <v>0</v>
      </c>
      <c r="AD44">
        <f>S44+AC44+AA44+AB44</f>
        <v>0</v>
      </c>
      <c r="AE44">
        <v>5</v>
      </c>
      <c r="AF44">
        <v>1</v>
      </c>
      <c r="AG44">
        <f>IF(AE44*$H$13&gt;=AI44,1.0,(AI44/(AI44-AE44*$H$13)))</f>
        <v>0</v>
      </c>
      <c r="AH44">
        <f>(AG44-1)*100</f>
        <v>0</v>
      </c>
      <c r="AI44">
        <f>MAX(0,($B$13+$C$13*BG44)/(1+$D$13*BG44)*AZ44/(BB44+273)*$E$13)</f>
        <v>0</v>
      </c>
      <c r="AJ44">
        <f>$B$11*BH44+$C$11*BI44+$D$11*BT44</f>
        <v>0</v>
      </c>
      <c r="AK44">
        <f>AJ44*AL44</f>
        <v>0</v>
      </c>
      <c r="AL44">
        <f>($B$11*$D$9+$C$11*$D$9+$D$11*(BU44*$E$9+BV44*$G$9))/($B$11+$C$11+$D$11)</f>
        <v>0</v>
      </c>
      <c r="AM44">
        <f>($B$11*$K$9+$C$11*$K$9+$D$11*(BU44*$L$9+BV44*$N$9))/($B$11+$C$11+$D$11)</f>
        <v>0</v>
      </c>
      <c r="AN44">
        <v>3</v>
      </c>
      <c r="AO44">
        <v>0.5</v>
      </c>
      <c r="AP44" t="s">
        <v>331</v>
      </c>
      <c r="AQ44">
        <v>2</v>
      </c>
      <c r="AR44">
        <v>1773270476</v>
      </c>
      <c r="AS44">
        <v>493.4050967741935</v>
      </c>
      <c r="AT44">
        <v>491.4290322580646</v>
      </c>
      <c r="AU44">
        <v>7.819242903225806</v>
      </c>
      <c r="AV44">
        <v>7.145326129032258</v>
      </c>
      <c r="AW44">
        <v>486.9095161290323</v>
      </c>
      <c r="AX44">
        <v>7.760426774193549</v>
      </c>
      <c r="AY44">
        <v>500.0065483870968</v>
      </c>
      <c r="AZ44">
        <v>100.2258387096774</v>
      </c>
      <c r="BA44">
        <v>0.03237428064516129</v>
      </c>
      <c r="BB44">
        <v>25.00291935483872</v>
      </c>
      <c r="BC44">
        <v>24.69234193548387</v>
      </c>
      <c r="BD44">
        <v>999.9000000000003</v>
      </c>
      <c r="BE44">
        <v>0</v>
      </c>
      <c r="BF44">
        <v>0</v>
      </c>
      <c r="BG44">
        <v>5003.516129032259</v>
      </c>
      <c r="BH44">
        <v>0.512431870967742</v>
      </c>
      <c r="BI44">
        <v>47.63921935483871</v>
      </c>
      <c r="BJ44">
        <v>1.975978387096774</v>
      </c>
      <c r="BK44">
        <v>497.2935483870968</v>
      </c>
      <c r="BL44">
        <v>494.9657096774193</v>
      </c>
      <c r="BM44">
        <v>0.673915193548387</v>
      </c>
      <c r="BN44">
        <v>491.4290322580646</v>
      </c>
      <c r="BO44">
        <v>7.145326129032258</v>
      </c>
      <c r="BP44">
        <v>0.7836902580645162</v>
      </c>
      <c r="BQ44">
        <v>0.7161464838709677</v>
      </c>
      <c r="BR44">
        <v>3.41526193548387</v>
      </c>
      <c r="BS44">
        <v>2.145559032258065</v>
      </c>
      <c r="BT44">
        <v>0</v>
      </c>
      <c r="BU44">
        <v>0</v>
      </c>
      <c r="BV44">
        <v>0</v>
      </c>
      <c r="BW44">
        <v>24</v>
      </c>
      <c r="BX44">
        <v>2</v>
      </c>
      <c r="BY44">
        <v>1773268786.6</v>
      </c>
      <c r="BZ44" t="s">
        <v>332</v>
      </c>
      <c r="CA44">
        <v>1773268786.6</v>
      </c>
      <c r="CB44">
        <v>1773268774.1</v>
      </c>
      <c r="CC44">
        <v>2</v>
      </c>
      <c r="CD44">
        <v>0.264</v>
      </c>
      <c r="CE44">
        <v>-0.024</v>
      </c>
      <c r="CF44">
        <v>6.495</v>
      </c>
      <c r="CG44">
        <v>0.059</v>
      </c>
      <c r="CH44">
        <v>488</v>
      </c>
      <c r="CI44">
        <v>25</v>
      </c>
      <c r="CJ44">
        <v>0.48</v>
      </c>
      <c r="CK44">
        <v>0.14</v>
      </c>
      <c r="CL44">
        <v>491.4175806451614</v>
      </c>
      <c r="CM44">
        <v>1.089338709677296</v>
      </c>
      <c r="CN44">
        <v>0.2192792849009663</v>
      </c>
      <c r="CO44">
        <v>-1</v>
      </c>
      <c r="CP44">
        <v>500.0088709677419</v>
      </c>
      <c r="CQ44">
        <v>0.1889032258052165</v>
      </c>
      <c r="CR44">
        <v>0.05207732584153719</v>
      </c>
      <c r="CS44">
        <v>-1</v>
      </c>
      <c r="CT44">
        <v>0</v>
      </c>
      <c r="CU44">
        <v>0</v>
      </c>
      <c r="CV44" t="s">
        <v>333</v>
      </c>
      <c r="CW44">
        <v>3.16907</v>
      </c>
      <c r="CX44">
        <v>2.65365</v>
      </c>
      <c r="CY44">
        <v>0.114288</v>
      </c>
      <c r="CZ44">
        <v>0.115265</v>
      </c>
      <c r="DA44">
        <v>0.0491568</v>
      </c>
      <c r="DB44">
        <v>0.0457492</v>
      </c>
      <c r="DC44">
        <v>21395.6</v>
      </c>
      <c r="DD44">
        <v>21857</v>
      </c>
      <c r="DE44">
        <v>23245.3</v>
      </c>
      <c r="DF44">
        <v>22587.4</v>
      </c>
      <c r="DG44">
        <v>33387.1</v>
      </c>
      <c r="DH44">
        <v>30414.4</v>
      </c>
      <c r="DI44">
        <v>40839.4</v>
      </c>
      <c r="DJ44">
        <v>37395.2</v>
      </c>
      <c r="DK44">
        <v>2.12056</v>
      </c>
      <c r="DL44">
        <v>1.77782</v>
      </c>
      <c r="DM44">
        <v>0.0106037</v>
      </c>
      <c r="DN44">
        <v>0</v>
      </c>
      <c r="DO44">
        <v>24.5271</v>
      </c>
      <c r="DP44">
        <v>999.9</v>
      </c>
      <c r="DQ44">
        <v>69.09999999999999</v>
      </c>
      <c r="DR44">
        <v>26.9</v>
      </c>
      <c r="DS44">
        <v>24.532</v>
      </c>
      <c r="DT44">
        <v>29.92</v>
      </c>
      <c r="DU44">
        <v>11.4103</v>
      </c>
      <c r="DV44">
        <v>1</v>
      </c>
      <c r="DW44">
        <v>0.0217744</v>
      </c>
      <c r="DX44">
        <v>-0.32442</v>
      </c>
      <c r="DY44">
        <v>20.368</v>
      </c>
      <c r="DZ44">
        <v>5.21334</v>
      </c>
      <c r="EA44">
        <v>11.8482</v>
      </c>
      <c r="EB44">
        <v>4.96924</v>
      </c>
      <c r="EC44">
        <v>3.292</v>
      </c>
      <c r="ED44">
        <v>879.4</v>
      </c>
      <c r="EE44">
        <v>9999</v>
      </c>
      <c r="EF44">
        <v>9999</v>
      </c>
      <c r="EG44">
        <v>80.59999999999999</v>
      </c>
      <c r="EH44">
        <v>4.97161</v>
      </c>
      <c r="EI44">
        <v>1.87171</v>
      </c>
      <c r="EJ44">
        <v>1.86877</v>
      </c>
      <c r="EK44">
        <v>1.87127</v>
      </c>
      <c r="EL44">
        <v>1.869</v>
      </c>
      <c r="EM44">
        <v>1.86798</v>
      </c>
      <c r="EN44">
        <v>1.86981</v>
      </c>
      <c r="EO44">
        <v>1.87164</v>
      </c>
      <c r="EP44">
        <v>0</v>
      </c>
      <c r="EQ44">
        <v>0</v>
      </c>
      <c r="ER44">
        <v>0</v>
      </c>
      <c r="ES44">
        <v>0</v>
      </c>
      <c r="ET44" t="s">
        <v>334</v>
      </c>
      <c r="EU44" t="s">
        <v>335</v>
      </c>
      <c r="EV44" t="s">
        <v>336</v>
      </c>
      <c r="EW44" t="s">
        <v>336</v>
      </c>
      <c r="EX44" t="s">
        <v>336</v>
      </c>
      <c r="EY44" t="s">
        <v>336</v>
      </c>
      <c r="EZ44">
        <v>0</v>
      </c>
      <c r="FA44">
        <v>100</v>
      </c>
      <c r="FB44">
        <v>100</v>
      </c>
      <c r="FC44">
        <v>6.496</v>
      </c>
      <c r="FD44">
        <v>0.0588</v>
      </c>
      <c r="FE44">
        <v>6.495476190476325</v>
      </c>
      <c r="FF44">
        <v>0</v>
      </c>
      <c r="FG44">
        <v>0</v>
      </c>
      <c r="FH44">
        <v>0</v>
      </c>
      <c r="FI44">
        <v>0.05881499999999917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28.3</v>
      </c>
      <c r="FR44">
        <v>28.5</v>
      </c>
      <c r="FS44">
        <v>0.145264</v>
      </c>
      <c r="FT44">
        <v>4.99756</v>
      </c>
      <c r="FU44">
        <v>1.5979</v>
      </c>
      <c r="FV44">
        <v>2.16797</v>
      </c>
      <c r="FW44">
        <v>1.54785</v>
      </c>
      <c r="FX44">
        <v>2.37061</v>
      </c>
      <c r="FY44">
        <v>31.2374</v>
      </c>
      <c r="FZ44">
        <v>16.1284</v>
      </c>
      <c r="GA44">
        <v>3</v>
      </c>
      <c r="GB44">
        <v>497.895</v>
      </c>
      <c r="GC44">
        <v>377.759</v>
      </c>
      <c r="GD44">
        <v>25.8863</v>
      </c>
      <c r="GE44">
        <v>27.4034</v>
      </c>
      <c r="GF44">
        <v>30.0001</v>
      </c>
      <c r="GG44">
        <v>27.3432</v>
      </c>
      <c r="GH44">
        <v>27.3374</v>
      </c>
      <c r="GI44">
        <v>-1</v>
      </c>
      <c r="GJ44">
        <v>100</v>
      </c>
      <c r="GK44">
        <v>0</v>
      </c>
      <c r="GL44">
        <v>25.8804</v>
      </c>
      <c r="GM44">
        <v>1200</v>
      </c>
      <c r="GN44">
        <v>26.7455</v>
      </c>
      <c r="GO44">
        <v>102.811</v>
      </c>
      <c r="GP44">
        <v>97.6152</v>
      </c>
    </row>
    <row r="45" spans="1:198">
      <c r="A45">
        <v>29</v>
      </c>
      <c r="B45">
        <v>1773270544</v>
      </c>
      <c r="C45">
        <v>1680.400000095367</v>
      </c>
      <c r="D45" t="s">
        <v>391</v>
      </c>
      <c r="E45" t="s">
        <v>392</v>
      </c>
      <c r="F45">
        <v>15</v>
      </c>
      <c r="G45">
        <v>1773270536</v>
      </c>
      <c r="H45">
        <f>(I45)/1000</f>
        <v>0</v>
      </c>
      <c r="I45">
        <f>1000*AY45*AG45*(AU45-AV45)/(100*AN45*(1000-AG45*AU45))</f>
        <v>0</v>
      </c>
      <c r="J45">
        <f>AY45*AG45*(AT45-AS45*(1000-AG45*AV45)/(1000-AG45*AU45))/(100*AN45)</f>
        <v>0</v>
      </c>
      <c r="K45">
        <f>AS45 - IF(AG45&gt;1, J45*AN45*100.0/(AI45), 0)</f>
        <v>0</v>
      </c>
      <c r="L45">
        <f>((R45-H45/2)*K45-J45)/(R45+H45/2)</f>
        <v>0</v>
      </c>
      <c r="M45">
        <f>L45*(AZ45+BA45)/1000.0</f>
        <v>0</v>
      </c>
      <c r="N45">
        <f>(AS45 - IF(AG45&gt;1, J45*AN45*100.0/(AI45), 0))*(AZ45+BA45)/1000.0</f>
        <v>0</v>
      </c>
      <c r="O45">
        <f>2.0/((1/Q45-1/P45)+SIGN(Q45)*SQRT((1/Q45-1/P45)*(1/Q45-1/P45) + 4*AO45/((AO45+1)*(AO45+1))*(2*1/Q45*1/P45-1/P45*1/P45)))</f>
        <v>0</v>
      </c>
      <c r="P45">
        <f>IF(LEFT(AP45,1)&lt;&gt;"0",IF(LEFT(AP45,1)="1",3.0,AQ45),$D$5+$E$5*(BG45*AZ45/($K$5*1000))+$F$5*(BG45*AZ45/($K$5*1000))*MAX(MIN(AN45,$J$5),$I$5)*MAX(MIN(AN45,$J$5),$I$5)+$G$5*MAX(MIN(AN45,$J$5),$I$5)*(BG45*AZ45/($K$5*1000))+$H$5*(BG45*AZ45/($K$5*1000))*(BG45*AZ45/($K$5*1000)))</f>
        <v>0</v>
      </c>
      <c r="Q45">
        <f>H45*(1000-(1000*0.61365*exp(17.502*U45/(240.97+U45))/(AZ45+BA45)+AU45)/2)/(1000*0.61365*exp(17.502*U45/(240.97+U45))/(AZ45+BA45)-AU45)</f>
        <v>0</v>
      </c>
      <c r="R45">
        <f>1/((AO45+1)/(O45/1.6)+1/(P45/1.37)) + AO45/((AO45+1)/(O45/1.6) + AO45/(P45/1.37))</f>
        <v>0</v>
      </c>
      <c r="S45">
        <f>(AJ45*AM45)</f>
        <v>0</v>
      </c>
      <c r="T45">
        <f>(BB45+(S45+2*0.95*5.67E-8*(((BB45+$B$7)+273)^4-(BB45+273)^4)-44100*H45)/(1.84*29.3*P45+8*0.95*5.67E-8*(BB45+273)^3))</f>
        <v>0</v>
      </c>
      <c r="U45">
        <f>($C$7*BC45+$D$7*BD45+$E$7*T45)</f>
        <v>0</v>
      </c>
      <c r="V45">
        <f>0.61365*exp(17.502*U45/(240.97+U45))</f>
        <v>0</v>
      </c>
      <c r="W45">
        <f>(X45/Y45*100)</f>
        <v>0</v>
      </c>
      <c r="X45">
        <f>AU45*(AZ45+BA45)/1000</f>
        <v>0</v>
      </c>
      <c r="Y45">
        <f>0.61365*exp(17.502*BB45/(240.97+BB45))</f>
        <v>0</v>
      </c>
      <c r="Z45">
        <f>(V45-AU45*(AZ45+BA45)/1000)</f>
        <v>0</v>
      </c>
      <c r="AA45">
        <f>(-H45*44100)</f>
        <v>0</v>
      </c>
      <c r="AB45">
        <f>2*29.3*P45*0.92*(BB45-U45)</f>
        <v>0</v>
      </c>
      <c r="AC45">
        <f>2*0.95*5.67E-8*(((BB45+$B$7)+273)^4-(U45+273)^4)</f>
        <v>0</v>
      </c>
      <c r="AD45">
        <f>S45+AC45+AA45+AB45</f>
        <v>0</v>
      </c>
      <c r="AE45">
        <v>5</v>
      </c>
      <c r="AF45">
        <v>1</v>
      </c>
      <c r="AG45">
        <f>IF(AE45*$H$13&gt;=AI45,1.0,(AI45/(AI45-AE45*$H$13)))</f>
        <v>0</v>
      </c>
      <c r="AH45">
        <f>(AG45-1)*100</f>
        <v>0</v>
      </c>
      <c r="AI45">
        <f>MAX(0,($B$13+$C$13*BG45)/(1+$D$13*BG45)*AZ45/(BB45+273)*$E$13)</f>
        <v>0</v>
      </c>
      <c r="AJ45">
        <f>$B$11*BH45+$C$11*BI45+$D$11*BT45</f>
        <v>0</v>
      </c>
      <c r="AK45">
        <f>AJ45*AL45</f>
        <v>0</v>
      </c>
      <c r="AL45">
        <f>($B$11*$D$9+$C$11*$D$9+$D$11*(BU45*$E$9+BV45*$G$9))/($B$11+$C$11+$D$11)</f>
        <v>0</v>
      </c>
      <c r="AM45">
        <f>($B$11*$K$9+$C$11*$K$9+$D$11*(BU45*$L$9+BV45*$N$9))/($B$11+$C$11+$D$11)</f>
        <v>0</v>
      </c>
      <c r="AN45">
        <v>3</v>
      </c>
      <c r="AO45">
        <v>0.5</v>
      </c>
      <c r="AP45" t="s">
        <v>331</v>
      </c>
      <c r="AQ45">
        <v>2</v>
      </c>
      <c r="AR45">
        <v>1773270536</v>
      </c>
      <c r="AS45">
        <v>492.3820322580645</v>
      </c>
      <c r="AT45">
        <v>491.0995806451613</v>
      </c>
      <c r="AU45">
        <v>7.868585161290324</v>
      </c>
      <c r="AV45">
        <v>7.200086451612903</v>
      </c>
      <c r="AW45">
        <v>485.8864838709678</v>
      </c>
      <c r="AX45">
        <v>7.809771935483871</v>
      </c>
      <c r="AY45">
        <v>499.9913225806451</v>
      </c>
      <c r="AZ45">
        <v>100.2241935483871</v>
      </c>
      <c r="BA45">
        <v>0.03301171290322581</v>
      </c>
      <c r="BB45">
        <v>24.99973548387097</v>
      </c>
      <c r="BC45">
        <v>24.69899677419355</v>
      </c>
      <c r="BD45">
        <v>999.9000000000003</v>
      </c>
      <c r="BE45">
        <v>0</v>
      </c>
      <c r="BF45">
        <v>0</v>
      </c>
      <c r="BG45">
        <v>4995.032258064516</v>
      </c>
      <c r="BH45">
        <v>0.5106443870967742</v>
      </c>
      <c r="BI45">
        <v>51.20197096774194</v>
      </c>
      <c r="BJ45">
        <v>1.282463548387097</v>
      </c>
      <c r="BK45">
        <v>496.2870322580645</v>
      </c>
      <c r="BL45">
        <v>494.6611290322581</v>
      </c>
      <c r="BM45">
        <v>0.6684991612903227</v>
      </c>
      <c r="BN45">
        <v>491.0995806451613</v>
      </c>
      <c r="BO45">
        <v>7.200086451612903</v>
      </c>
      <c r="BP45">
        <v>0.7886225161290322</v>
      </c>
      <c r="BQ45">
        <v>0.7216227741935483</v>
      </c>
      <c r="BR45">
        <v>3.504141290322581</v>
      </c>
      <c r="BS45">
        <v>2.252364193548387</v>
      </c>
      <c r="BT45">
        <v>0</v>
      </c>
      <c r="BU45">
        <v>0</v>
      </c>
      <c r="BV45">
        <v>0</v>
      </c>
      <c r="BW45">
        <v>23.98603548387096</v>
      </c>
      <c r="BX45">
        <v>2.029031612903226</v>
      </c>
      <c r="BY45">
        <v>1773268786.6</v>
      </c>
      <c r="BZ45" t="s">
        <v>332</v>
      </c>
      <c r="CA45">
        <v>1773268786.6</v>
      </c>
      <c r="CB45">
        <v>1773268774.1</v>
      </c>
      <c r="CC45">
        <v>2</v>
      </c>
      <c r="CD45">
        <v>0.264</v>
      </c>
      <c r="CE45">
        <v>-0.024</v>
      </c>
      <c r="CF45">
        <v>6.495</v>
      </c>
      <c r="CG45">
        <v>0.059</v>
      </c>
      <c r="CH45">
        <v>488</v>
      </c>
      <c r="CI45">
        <v>25</v>
      </c>
      <c r="CJ45">
        <v>0.48</v>
      </c>
      <c r="CK45">
        <v>0.14</v>
      </c>
      <c r="CL45">
        <v>491.1029333333334</v>
      </c>
      <c r="CM45">
        <v>0.3944649610696291</v>
      </c>
      <c r="CN45">
        <v>0.0617834569731727</v>
      </c>
      <c r="CO45">
        <v>-1</v>
      </c>
      <c r="CP45">
        <v>499.9884</v>
      </c>
      <c r="CQ45">
        <v>0.006994438264513467</v>
      </c>
      <c r="CR45">
        <v>0.04824769424542204</v>
      </c>
      <c r="CS45">
        <v>-1</v>
      </c>
      <c r="CT45">
        <v>0</v>
      </c>
      <c r="CU45">
        <v>0</v>
      </c>
      <c r="CV45" t="s">
        <v>333</v>
      </c>
      <c r="CW45">
        <v>3.16908</v>
      </c>
      <c r="CX45">
        <v>2.65439</v>
      </c>
      <c r="CY45">
        <v>0.114179</v>
      </c>
      <c r="CZ45">
        <v>0.1151</v>
      </c>
      <c r="DA45">
        <v>0.0494054</v>
      </c>
      <c r="DB45">
        <v>0.0460316</v>
      </c>
      <c r="DC45">
        <v>21397.2</v>
      </c>
      <c r="DD45">
        <v>21860.9</v>
      </c>
      <c r="DE45">
        <v>23244.2</v>
      </c>
      <c r="DF45">
        <v>22587.2</v>
      </c>
      <c r="DG45">
        <v>33377</v>
      </c>
      <c r="DH45">
        <v>30405.1</v>
      </c>
      <c r="DI45">
        <v>40837.8</v>
      </c>
      <c r="DJ45">
        <v>37394.9</v>
      </c>
      <c r="DK45">
        <v>2.12042</v>
      </c>
      <c r="DL45">
        <v>1.7771</v>
      </c>
      <c r="DM45">
        <v>0.00955164</v>
      </c>
      <c r="DN45">
        <v>0</v>
      </c>
      <c r="DO45">
        <v>24.5417</v>
      </c>
      <c r="DP45">
        <v>999.9</v>
      </c>
      <c r="DQ45">
        <v>68.90000000000001</v>
      </c>
      <c r="DR45">
        <v>27</v>
      </c>
      <c r="DS45">
        <v>24.6039</v>
      </c>
      <c r="DT45">
        <v>30.16</v>
      </c>
      <c r="DU45">
        <v>11.4143</v>
      </c>
      <c r="DV45">
        <v>1</v>
      </c>
      <c r="DW45">
        <v>0.0223801</v>
      </c>
      <c r="DX45">
        <v>-0.481458</v>
      </c>
      <c r="DY45">
        <v>20.3674</v>
      </c>
      <c r="DZ45">
        <v>5.21226</v>
      </c>
      <c r="EA45">
        <v>11.8482</v>
      </c>
      <c r="EB45">
        <v>4.9688</v>
      </c>
      <c r="EC45">
        <v>3.292</v>
      </c>
      <c r="ED45">
        <v>879.4</v>
      </c>
      <c r="EE45">
        <v>9999</v>
      </c>
      <c r="EF45">
        <v>9999</v>
      </c>
      <c r="EG45">
        <v>80.59999999999999</v>
      </c>
      <c r="EH45">
        <v>4.97165</v>
      </c>
      <c r="EI45">
        <v>1.8717</v>
      </c>
      <c r="EJ45">
        <v>1.8688</v>
      </c>
      <c r="EK45">
        <v>1.87128</v>
      </c>
      <c r="EL45">
        <v>1.86904</v>
      </c>
      <c r="EM45">
        <v>1.86798</v>
      </c>
      <c r="EN45">
        <v>1.86981</v>
      </c>
      <c r="EO45">
        <v>1.87164</v>
      </c>
      <c r="EP45">
        <v>0</v>
      </c>
      <c r="EQ45">
        <v>0</v>
      </c>
      <c r="ER45">
        <v>0</v>
      </c>
      <c r="ES45">
        <v>0</v>
      </c>
      <c r="ET45" t="s">
        <v>334</v>
      </c>
      <c r="EU45" t="s">
        <v>335</v>
      </c>
      <c r="EV45" t="s">
        <v>336</v>
      </c>
      <c r="EW45" t="s">
        <v>336</v>
      </c>
      <c r="EX45" t="s">
        <v>336</v>
      </c>
      <c r="EY45" t="s">
        <v>336</v>
      </c>
      <c r="EZ45">
        <v>0</v>
      </c>
      <c r="FA45">
        <v>100</v>
      </c>
      <c r="FB45">
        <v>100</v>
      </c>
      <c r="FC45">
        <v>6.495</v>
      </c>
      <c r="FD45">
        <v>0.0588</v>
      </c>
      <c r="FE45">
        <v>6.495476190476325</v>
      </c>
      <c r="FF45">
        <v>0</v>
      </c>
      <c r="FG45">
        <v>0</v>
      </c>
      <c r="FH45">
        <v>0</v>
      </c>
      <c r="FI45">
        <v>0.05881499999999917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29.3</v>
      </c>
      <c r="FR45">
        <v>29.5</v>
      </c>
      <c r="FS45">
        <v>0.145264</v>
      </c>
      <c r="FT45">
        <v>4.99756</v>
      </c>
      <c r="FU45">
        <v>1.5979</v>
      </c>
      <c r="FV45">
        <v>2.16919</v>
      </c>
      <c r="FW45">
        <v>1.54785</v>
      </c>
      <c r="FX45">
        <v>2.35107</v>
      </c>
      <c r="FY45">
        <v>31.2809</v>
      </c>
      <c r="FZ45">
        <v>16.1284</v>
      </c>
      <c r="GA45">
        <v>3</v>
      </c>
      <c r="GB45">
        <v>497.871</v>
      </c>
      <c r="GC45">
        <v>377.417</v>
      </c>
      <c r="GD45">
        <v>25.8209</v>
      </c>
      <c r="GE45">
        <v>27.408</v>
      </c>
      <c r="GF45">
        <v>30.0001</v>
      </c>
      <c r="GG45">
        <v>27.3501</v>
      </c>
      <c r="GH45">
        <v>27.3442</v>
      </c>
      <c r="GI45">
        <v>-1</v>
      </c>
      <c r="GJ45">
        <v>100</v>
      </c>
      <c r="GK45">
        <v>0</v>
      </c>
      <c r="GL45">
        <v>25.8482</v>
      </c>
      <c r="GM45">
        <v>1200</v>
      </c>
      <c r="GN45">
        <v>26.7455</v>
      </c>
      <c r="GO45">
        <v>102.807</v>
      </c>
      <c r="GP45">
        <v>97.6144</v>
      </c>
    </row>
    <row r="46" spans="1:198">
      <c r="A46">
        <v>30</v>
      </c>
      <c r="B46">
        <v>1773270604</v>
      </c>
      <c r="C46">
        <v>1740.400000095367</v>
      </c>
      <c r="D46" t="s">
        <v>393</v>
      </c>
      <c r="E46" t="s">
        <v>394</v>
      </c>
      <c r="F46">
        <v>15</v>
      </c>
      <c r="G46">
        <v>1773270596</v>
      </c>
      <c r="H46">
        <f>(I46)/1000</f>
        <v>0</v>
      </c>
      <c r="I46">
        <f>1000*AY46*AG46*(AU46-AV46)/(100*AN46*(1000-AG46*AU46))</f>
        <v>0</v>
      </c>
      <c r="J46">
        <f>AY46*AG46*(AT46-AS46*(1000-AG46*AV46)/(1000-AG46*AU46))/(100*AN46)</f>
        <v>0</v>
      </c>
      <c r="K46">
        <f>AS46 - IF(AG46&gt;1, J46*AN46*100.0/(AI46), 0)</f>
        <v>0</v>
      </c>
      <c r="L46">
        <f>((R46-H46/2)*K46-J46)/(R46+H46/2)</f>
        <v>0</v>
      </c>
      <c r="M46">
        <f>L46*(AZ46+BA46)/1000.0</f>
        <v>0</v>
      </c>
      <c r="N46">
        <f>(AS46 - IF(AG46&gt;1, J46*AN46*100.0/(AI46), 0))*(AZ46+BA46)/1000.0</f>
        <v>0</v>
      </c>
      <c r="O46">
        <f>2.0/((1/Q46-1/P46)+SIGN(Q46)*SQRT((1/Q46-1/P46)*(1/Q46-1/P46) + 4*AO46/((AO46+1)*(AO46+1))*(2*1/Q46*1/P46-1/P46*1/P46)))</f>
        <v>0</v>
      </c>
      <c r="P46">
        <f>IF(LEFT(AP46,1)&lt;&gt;"0",IF(LEFT(AP46,1)="1",3.0,AQ46),$D$5+$E$5*(BG46*AZ46/($K$5*1000))+$F$5*(BG46*AZ46/($K$5*1000))*MAX(MIN(AN46,$J$5),$I$5)*MAX(MIN(AN46,$J$5),$I$5)+$G$5*MAX(MIN(AN46,$J$5),$I$5)*(BG46*AZ46/($K$5*1000))+$H$5*(BG46*AZ46/($K$5*1000))*(BG46*AZ46/($K$5*1000)))</f>
        <v>0</v>
      </c>
      <c r="Q46">
        <f>H46*(1000-(1000*0.61365*exp(17.502*U46/(240.97+U46))/(AZ46+BA46)+AU46)/2)/(1000*0.61365*exp(17.502*U46/(240.97+U46))/(AZ46+BA46)-AU46)</f>
        <v>0</v>
      </c>
      <c r="R46">
        <f>1/((AO46+1)/(O46/1.6)+1/(P46/1.37)) + AO46/((AO46+1)/(O46/1.6) + AO46/(P46/1.37))</f>
        <v>0</v>
      </c>
      <c r="S46">
        <f>(AJ46*AM46)</f>
        <v>0</v>
      </c>
      <c r="T46">
        <f>(BB46+(S46+2*0.95*5.67E-8*(((BB46+$B$7)+273)^4-(BB46+273)^4)-44100*H46)/(1.84*29.3*P46+8*0.95*5.67E-8*(BB46+273)^3))</f>
        <v>0</v>
      </c>
      <c r="U46">
        <f>($C$7*BC46+$D$7*BD46+$E$7*T46)</f>
        <v>0</v>
      </c>
      <c r="V46">
        <f>0.61365*exp(17.502*U46/(240.97+U46))</f>
        <v>0</v>
      </c>
      <c r="W46">
        <f>(X46/Y46*100)</f>
        <v>0</v>
      </c>
      <c r="X46">
        <f>AU46*(AZ46+BA46)/1000</f>
        <v>0</v>
      </c>
      <c r="Y46">
        <f>0.61365*exp(17.502*BB46/(240.97+BB46))</f>
        <v>0</v>
      </c>
      <c r="Z46">
        <f>(V46-AU46*(AZ46+BA46)/1000)</f>
        <v>0</v>
      </c>
      <c r="AA46">
        <f>(-H46*44100)</f>
        <v>0</v>
      </c>
      <c r="AB46">
        <f>2*29.3*P46*0.92*(BB46-U46)</f>
        <v>0</v>
      </c>
      <c r="AC46">
        <f>2*0.95*5.67E-8*(((BB46+$B$7)+273)^4-(U46+273)^4)</f>
        <v>0</v>
      </c>
      <c r="AD46">
        <f>S46+AC46+AA46+AB46</f>
        <v>0</v>
      </c>
      <c r="AE46">
        <v>5</v>
      </c>
      <c r="AF46">
        <v>1</v>
      </c>
      <c r="AG46">
        <f>IF(AE46*$H$13&gt;=AI46,1.0,(AI46/(AI46-AE46*$H$13)))</f>
        <v>0</v>
      </c>
      <c r="AH46">
        <f>(AG46-1)*100</f>
        <v>0</v>
      </c>
      <c r="AI46">
        <f>MAX(0,($B$13+$C$13*BG46)/(1+$D$13*BG46)*AZ46/(BB46+273)*$E$13)</f>
        <v>0</v>
      </c>
      <c r="AJ46">
        <f>$B$11*BH46+$C$11*BI46+$D$11*BT46</f>
        <v>0</v>
      </c>
      <c r="AK46">
        <f>AJ46*AL46</f>
        <v>0</v>
      </c>
      <c r="AL46">
        <f>($B$11*$D$9+$C$11*$D$9+$D$11*(BU46*$E$9+BV46*$G$9))/($B$11+$C$11+$D$11)</f>
        <v>0</v>
      </c>
      <c r="AM46">
        <f>($B$11*$K$9+$C$11*$K$9+$D$11*(BU46*$L$9+BV46*$N$9))/($B$11+$C$11+$D$11)</f>
        <v>0</v>
      </c>
      <c r="AN46">
        <v>3</v>
      </c>
      <c r="AO46">
        <v>0.5</v>
      </c>
      <c r="AP46" t="s">
        <v>331</v>
      </c>
      <c r="AQ46">
        <v>2</v>
      </c>
      <c r="AR46">
        <v>1773270596</v>
      </c>
      <c r="AS46">
        <v>491.2726451612904</v>
      </c>
      <c r="AT46">
        <v>488.937064516129</v>
      </c>
      <c r="AU46">
        <v>7.917407741935483</v>
      </c>
      <c r="AV46">
        <v>7.252845161290323</v>
      </c>
      <c r="AW46">
        <v>484.777129032258</v>
      </c>
      <c r="AX46">
        <v>7.858592903225806</v>
      </c>
      <c r="AY46">
        <v>500.0025806451613</v>
      </c>
      <c r="AZ46">
        <v>100.2251290322581</v>
      </c>
      <c r="BA46">
        <v>0.03298572580645161</v>
      </c>
      <c r="BB46">
        <v>24.99353225806451</v>
      </c>
      <c r="BC46">
        <v>24.7000064516129</v>
      </c>
      <c r="BD46">
        <v>999.9000000000003</v>
      </c>
      <c r="BE46">
        <v>0</v>
      </c>
      <c r="BF46">
        <v>0</v>
      </c>
      <c r="BG46">
        <v>5004.967741935484</v>
      </c>
      <c r="BH46">
        <v>0.5361714193548387</v>
      </c>
      <c r="BI46">
        <v>56.34229032258063</v>
      </c>
      <c r="BJ46">
        <v>2.335487096774194</v>
      </c>
      <c r="BK46">
        <v>495.1932580645161</v>
      </c>
      <c r="BL46">
        <v>492.5091935483871</v>
      </c>
      <c r="BM46">
        <v>0.6645631290322582</v>
      </c>
      <c r="BN46">
        <v>488.937064516129</v>
      </c>
      <c r="BO46">
        <v>7.252845161290323</v>
      </c>
      <c r="BP46">
        <v>0.7935232903225807</v>
      </c>
      <c r="BQ46">
        <v>0.7269172258064518</v>
      </c>
      <c r="BR46">
        <v>3.591967419354839</v>
      </c>
      <c r="BS46">
        <v>2.354947741935484</v>
      </c>
      <c r="BT46">
        <v>0</v>
      </c>
      <c r="BU46">
        <v>0</v>
      </c>
      <c r="BV46">
        <v>0</v>
      </c>
      <c r="BW46">
        <v>24</v>
      </c>
      <c r="BX46">
        <v>3</v>
      </c>
      <c r="BY46">
        <v>1773268786.6</v>
      </c>
      <c r="BZ46" t="s">
        <v>332</v>
      </c>
      <c r="CA46">
        <v>1773268786.6</v>
      </c>
      <c r="CB46">
        <v>1773268774.1</v>
      </c>
      <c r="CC46">
        <v>2</v>
      </c>
      <c r="CD46">
        <v>0.264</v>
      </c>
      <c r="CE46">
        <v>-0.024</v>
      </c>
      <c r="CF46">
        <v>6.495</v>
      </c>
      <c r="CG46">
        <v>0.059</v>
      </c>
      <c r="CH46">
        <v>488</v>
      </c>
      <c r="CI46">
        <v>25</v>
      </c>
      <c r="CJ46">
        <v>0.48</v>
      </c>
      <c r="CK46">
        <v>0.14</v>
      </c>
      <c r="CL46">
        <v>489.101064516129</v>
      </c>
      <c r="CM46">
        <v>-7.960838709680208</v>
      </c>
      <c r="CN46">
        <v>0.6374382669912212</v>
      </c>
      <c r="CO46">
        <v>-1</v>
      </c>
      <c r="CP46">
        <v>500.0064193548387</v>
      </c>
      <c r="CQ46">
        <v>0.07417741935442788</v>
      </c>
      <c r="CR46">
        <v>0.0354526255395591</v>
      </c>
      <c r="CS46">
        <v>-1</v>
      </c>
      <c r="CT46">
        <v>0</v>
      </c>
      <c r="CU46">
        <v>0</v>
      </c>
      <c r="CV46" t="s">
        <v>333</v>
      </c>
      <c r="CW46">
        <v>3.16907</v>
      </c>
      <c r="CX46">
        <v>2.65417</v>
      </c>
      <c r="CY46">
        <v>0.113817</v>
      </c>
      <c r="CZ46">
        <v>0.114444</v>
      </c>
      <c r="DA46">
        <v>0.0496516</v>
      </c>
      <c r="DB46">
        <v>0.0463077</v>
      </c>
      <c r="DC46">
        <v>21404.8</v>
      </c>
      <c r="DD46">
        <v>21877.1</v>
      </c>
      <c r="DE46">
        <v>23243.1</v>
      </c>
      <c r="DF46">
        <v>22587.3</v>
      </c>
      <c r="DG46">
        <v>33366.8</v>
      </c>
      <c r="DH46">
        <v>30396</v>
      </c>
      <c r="DI46">
        <v>40836</v>
      </c>
      <c r="DJ46">
        <v>37394.5</v>
      </c>
      <c r="DK46">
        <v>2.12032</v>
      </c>
      <c r="DL46">
        <v>1.77722</v>
      </c>
      <c r="DM46">
        <v>0.00958443</v>
      </c>
      <c r="DN46">
        <v>0</v>
      </c>
      <c r="DO46">
        <v>24.5405</v>
      </c>
      <c r="DP46">
        <v>999.9</v>
      </c>
      <c r="DQ46">
        <v>68.8</v>
      </c>
      <c r="DR46">
        <v>27</v>
      </c>
      <c r="DS46">
        <v>24.5704</v>
      </c>
      <c r="DT46">
        <v>29.98</v>
      </c>
      <c r="DU46">
        <v>11.2941</v>
      </c>
      <c r="DV46">
        <v>1</v>
      </c>
      <c r="DW46">
        <v>0.022815</v>
      </c>
      <c r="DX46">
        <v>-0.374688</v>
      </c>
      <c r="DY46">
        <v>20.3678</v>
      </c>
      <c r="DZ46">
        <v>5.21298</v>
      </c>
      <c r="EA46">
        <v>11.8482</v>
      </c>
      <c r="EB46">
        <v>4.9692</v>
      </c>
      <c r="EC46">
        <v>3.292</v>
      </c>
      <c r="ED46">
        <v>879.4</v>
      </c>
      <c r="EE46">
        <v>9999</v>
      </c>
      <c r="EF46">
        <v>9999</v>
      </c>
      <c r="EG46">
        <v>80.59999999999999</v>
      </c>
      <c r="EH46">
        <v>4.97161</v>
      </c>
      <c r="EI46">
        <v>1.87173</v>
      </c>
      <c r="EJ46">
        <v>1.86876</v>
      </c>
      <c r="EK46">
        <v>1.87129</v>
      </c>
      <c r="EL46">
        <v>1.86902</v>
      </c>
      <c r="EM46">
        <v>1.86798</v>
      </c>
      <c r="EN46">
        <v>1.86981</v>
      </c>
      <c r="EO46">
        <v>1.87164</v>
      </c>
      <c r="EP46">
        <v>0</v>
      </c>
      <c r="EQ46">
        <v>0</v>
      </c>
      <c r="ER46">
        <v>0</v>
      </c>
      <c r="ES46">
        <v>0</v>
      </c>
      <c r="ET46" t="s">
        <v>334</v>
      </c>
      <c r="EU46" t="s">
        <v>335</v>
      </c>
      <c r="EV46" t="s">
        <v>336</v>
      </c>
      <c r="EW46" t="s">
        <v>336</v>
      </c>
      <c r="EX46" t="s">
        <v>336</v>
      </c>
      <c r="EY46" t="s">
        <v>336</v>
      </c>
      <c r="EZ46">
        <v>0</v>
      </c>
      <c r="FA46">
        <v>100</v>
      </c>
      <c r="FB46">
        <v>100</v>
      </c>
      <c r="FC46">
        <v>6.495</v>
      </c>
      <c r="FD46">
        <v>0.0588</v>
      </c>
      <c r="FE46">
        <v>6.495476190476325</v>
      </c>
      <c r="FF46">
        <v>0</v>
      </c>
      <c r="FG46">
        <v>0</v>
      </c>
      <c r="FH46">
        <v>0</v>
      </c>
      <c r="FI46">
        <v>0.05881499999999917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30.3</v>
      </c>
      <c r="FR46">
        <v>30.5</v>
      </c>
      <c r="FS46">
        <v>0.145264</v>
      </c>
      <c r="FT46">
        <v>4.99756</v>
      </c>
      <c r="FU46">
        <v>1.5979</v>
      </c>
      <c r="FV46">
        <v>2.16919</v>
      </c>
      <c r="FW46">
        <v>1.54785</v>
      </c>
      <c r="FX46">
        <v>2.40845</v>
      </c>
      <c r="FY46">
        <v>31.3026</v>
      </c>
      <c r="FZ46">
        <v>16.1371</v>
      </c>
      <c r="GA46">
        <v>3</v>
      </c>
      <c r="GB46">
        <v>497.865</v>
      </c>
      <c r="GC46">
        <v>377.519</v>
      </c>
      <c r="GD46">
        <v>25.889</v>
      </c>
      <c r="GE46">
        <v>27.415</v>
      </c>
      <c r="GF46">
        <v>30.0001</v>
      </c>
      <c r="GG46">
        <v>27.3566</v>
      </c>
      <c r="GH46">
        <v>27.3502</v>
      </c>
      <c r="GI46">
        <v>-1</v>
      </c>
      <c r="GJ46">
        <v>100</v>
      </c>
      <c r="GK46">
        <v>0</v>
      </c>
      <c r="GL46">
        <v>25.8948</v>
      </c>
      <c r="GM46">
        <v>1200</v>
      </c>
      <c r="GN46">
        <v>26.7455</v>
      </c>
      <c r="GO46">
        <v>102.802</v>
      </c>
      <c r="GP46">
        <v>97.6138</v>
      </c>
    </row>
    <row r="47" spans="1:198">
      <c r="A47">
        <v>31</v>
      </c>
      <c r="B47">
        <v>1773270664</v>
      </c>
      <c r="C47">
        <v>1800.400000095367</v>
      </c>
      <c r="D47" t="s">
        <v>395</v>
      </c>
      <c r="E47" t="s">
        <v>396</v>
      </c>
      <c r="F47">
        <v>15</v>
      </c>
      <c r="G47">
        <v>1773270656</v>
      </c>
      <c r="H47">
        <f>(I47)/1000</f>
        <v>0</v>
      </c>
      <c r="I47">
        <f>1000*AY47*AG47*(AU47-AV47)/(100*AN47*(1000-AG47*AU47))</f>
        <v>0</v>
      </c>
      <c r="J47">
        <f>AY47*AG47*(AT47-AS47*(1000-AG47*AV47)/(1000-AG47*AU47))/(100*AN47)</f>
        <v>0</v>
      </c>
      <c r="K47">
        <f>AS47 - IF(AG47&gt;1, J47*AN47*100.0/(AI47), 0)</f>
        <v>0</v>
      </c>
      <c r="L47">
        <f>((R47-H47/2)*K47-J47)/(R47+H47/2)</f>
        <v>0</v>
      </c>
      <c r="M47">
        <f>L47*(AZ47+BA47)/1000.0</f>
        <v>0</v>
      </c>
      <c r="N47">
        <f>(AS47 - IF(AG47&gt;1, J47*AN47*100.0/(AI47), 0))*(AZ47+BA47)/1000.0</f>
        <v>0</v>
      </c>
      <c r="O47">
        <f>2.0/((1/Q47-1/P47)+SIGN(Q47)*SQRT((1/Q47-1/P47)*(1/Q47-1/P47) + 4*AO47/((AO47+1)*(AO47+1))*(2*1/Q47*1/P47-1/P47*1/P47)))</f>
        <v>0</v>
      </c>
      <c r="P47">
        <f>IF(LEFT(AP47,1)&lt;&gt;"0",IF(LEFT(AP47,1)="1",3.0,AQ47),$D$5+$E$5*(BG47*AZ47/($K$5*1000))+$F$5*(BG47*AZ47/($K$5*1000))*MAX(MIN(AN47,$J$5),$I$5)*MAX(MIN(AN47,$J$5),$I$5)+$G$5*MAX(MIN(AN47,$J$5),$I$5)*(BG47*AZ47/($K$5*1000))+$H$5*(BG47*AZ47/($K$5*1000))*(BG47*AZ47/($K$5*1000)))</f>
        <v>0</v>
      </c>
      <c r="Q47">
        <f>H47*(1000-(1000*0.61365*exp(17.502*U47/(240.97+U47))/(AZ47+BA47)+AU47)/2)/(1000*0.61365*exp(17.502*U47/(240.97+U47))/(AZ47+BA47)-AU47)</f>
        <v>0</v>
      </c>
      <c r="R47">
        <f>1/((AO47+1)/(O47/1.6)+1/(P47/1.37)) + AO47/((AO47+1)/(O47/1.6) + AO47/(P47/1.37))</f>
        <v>0</v>
      </c>
      <c r="S47">
        <f>(AJ47*AM47)</f>
        <v>0</v>
      </c>
      <c r="T47">
        <f>(BB47+(S47+2*0.95*5.67E-8*(((BB47+$B$7)+273)^4-(BB47+273)^4)-44100*H47)/(1.84*29.3*P47+8*0.95*5.67E-8*(BB47+273)^3))</f>
        <v>0</v>
      </c>
      <c r="U47">
        <f>($C$7*BC47+$D$7*BD47+$E$7*T47)</f>
        <v>0</v>
      </c>
      <c r="V47">
        <f>0.61365*exp(17.502*U47/(240.97+U47))</f>
        <v>0</v>
      </c>
      <c r="W47">
        <f>(X47/Y47*100)</f>
        <v>0</v>
      </c>
      <c r="X47">
        <f>AU47*(AZ47+BA47)/1000</f>
        <v>0</v>
      </c>
      <c r="Y47">
        <f>0.61365*exp(17.502*BB47/(240.97+BB47))</f>
        <v>0</v>
      </c>
      <c r="Z47">
        <f>(V47-AU47*(AZ47+BA47)/1000)</f>
        <v>0</v>
      </c>
      <c r="AA47">
        <f>(-H47*44100)</f>
        <v>0</v>
      </c>
      <c r="AB47">
        <f>2*29.3*P47*0.92*(BB47-U47)</f>
        <v>0</v>
      </c>
      <c r="AC47">
        <f>2*0.95*5.67E-8*(((BB47+$B$7)+273)^4-(U47+273)^4)</f>
        <v>0</v>
      </c>
      <c r="AD47">
        <f>S47+AC47+AA47+AB47</f>
        <v>0</v>
      </c>
      <c r="AE47">
        <v>5</v>
      </c>
      <c r="AF47">
        <v>1</v>
      </c>
      <c r="AG47">
        <f>IF(AE47*$H$13&gt;=AI47,1.0,(AI47/(AI47-AE47*$H$13)))</f>
        <v>0</v>
      </c>
      <c r="AH47">
        <f>(AG47-1)*100</f>
        <v>0</v>
      </c>
      <c r="AI47">
        <f>MAX(0,($B$13+$C$13*BG47)/(1+$D$13*BG47)*AZ47/(BB47+273)*$E$13)</f>
        <v>0</v>
      </c>
      <c r="AJ47">
        <f>$B$11*BH47+$C$11*BI47+$D$11*BT47</f>
        <v>0</v>
      </c>
      <c r="AK47">
        <f>AJ47*AL47</f>
        <v>0</v>
      </c>
      <c r="AL47">
        <f>($B$11*$D$9+$C$11*$D$9+$D$11*(BU47*$E$9+BV47*$G$9))/($B$11+$C$11+$D$11)</f>
        <v>0</v>
      </c>
      <c r="AM47">
        <f>($B$11*$K$9+$C$11*$K$9+$D$11*(BU47*$L$9+BV47*$N$9))/($B$11+$C$11+$D$11)</f>
        <v>0</v>
      </c>
      <c r="AN47">
        <v>3</v>
      </c>
      <c r="AO47">
        <v>0.5</v>
      </c>
      <c r="AP47" t="s">
        <v>331</v>
      </c>
      <c r="AQ47">
        <v>2</v>
      </c>
      <c r="AR47">
        <v>1773270656</v>
      </c>
      <c r="AS47">
        <v>491.0869032258065</v>
      </c>
      <c r="AT47">
        <v>490.2377419354839</v>
      </c>
      <c r="AU47">
        <v>7.965996129032257</v>
      </c>
      <c r="AV47">
        <v>7.304884193548387</v>
      </c>
      <c r="AW47">
        <v>484.5913225806452</v>
      </c>
      <c r="AX47">
        <v>7.907181612903226</v>
      </c>
      <c r="AY47">
        <v>500.010064516129</v>
      </c>
      <c r="AZ47">
        <v>100.2266774193548</v>
      </c>
      <c r="BA47">
        <v>0.03282398387096774</v>
      </c>
      <c r="BB47">
        <v>24.99891290322581</v>
      </c>
      <c r="BC47">
        <v>24.70211935483871</v>
      </c>
      <c r="BD47">
        <v>999.9000000000003</v>
      </c>
      <c r="BE47">
        <v>0</v>
      </c>
      <c r="BF47">
        <v>0</v>
      </c>
      <c r="BG47">
        <v>5003.419354838709</v>
      </c>
      <c r="BH47">
        <v>0.4989317096774194</v>
      </c>
      <c r="BI47">
        <v>61.8008870967742</v>
      </c>
      <c r="BJ47">
        <v>0.8491565806451612</v>
      </c>
      <c r="BK47">
        <v>495.030193548387</v>
      </c>
      <c r="BL47">
        <v>493.845193548387</v>
      </c>
      <c r="BM47">
        <v>0.6611117741935485</v>
      </c>
      <c r="BN47">
        <v>490.2377419354839</v>
      </c>
      <c r="BO47">
        <v>7.304884193548387</v>
      </c>
      <c r="BP47">
        <v>0.7984043548387095</v>
      </c>
      <c r="BQ47">
        <v>0.7321433548387095</v>
      </c>
      <c r="BR47">
        <v>3.678964838709677</v>
      </c>
      <c r="BS47">
        <v>2.455556451612904</v>
      </c>
      <c r="BT47">
        <v>0</v>
      </c>
      <c r="BU47">
        <v>0</v>
      </c>
      <c r="BV47">
        <v>0</v>
      </c>
      <c r="BW47">
        <v>24</v>
      </c>
      <c r="BX47">
        <v>3</v>
      </c>
      <c r="BY47">
        <v>1773268786.6</v>
      </c>
      <c r="BZ47" t="s">
        <v>332</v>
      </c>
      <c r="CA47">
        <v>1773268786.6</v>
      </c>
      <c r="CB47">
        <v>1773268774.1</v>
      </c>
      <c r="CC47">
        <v>2</v>
      </c>
      <c r="CD47">
        <v>0.264</v>
      </c>
      <c r="CE47">
        <v>-0.024</v>
      </c>
      <c r="CF47">
        <v>6.495</v>
      </c>
      <c r="CG47">
        <v>0.059</v>
      </c>
      <c r="CH47">
        <v>488</v>
      </c>
      <c r="CI47">
        <v>25</v>
      </c>
      <c r="CJ47">
        <v>0.48</v>
      </c>
      <c r="CK47">
        <v>0.14</v>
      </c>
      <c r="CL47">
        <v>490.1877096774194</v>
      </c>
      <c r="CM47">
        <v>3.099387096774011</v>
      </c>
      <c r="CN47">
        <v>0.235570986979185</v>
      </c>
      <c r="CO47">
        <v>-1</v>
      </c>
      <c r="CP47">
        <v>500.0092580645161</v>
      </c>
      <c r="CQ47">
        <v>-0.07591935483881417</v>
      </c>
      <c r="CR47">
        <v>0.03705181005715928</v>
      </c>
      <c r="CS47">
        <v>-1</v>
      </c>
      <c r="CT47">
        <v>0</v>
      </c>
      <c r="CU47">
        <v>0</v>
      </c>
      <c r="CV47" t="s">
        <v>333</v>
      </c>
      <c r="CW47">
        <v>3.16924</v>
      </c>
      <c r="CX47">
        <v>2.65396</v>
      </c>
      <c r="CY47">
        <v>0.114031</v>
      </c>
      <c r="CZ47">
        <v>0.115034</v>
      </c>
      <c r="DA47">
        <v>0.0498994</v>
      </c>
      <c r="DB47">
        <v>0.0465786</v>
      </c>
      <c r="DC47">
        <v>21398.7</v>
      </c>
      <c r="DD47">
        <v>21862.8</v>
      </c>
      <c r="DE47">
        <v>23242.1</v>
      </c>
      <c r="DF47">
        <v>22587.6</v>
      </c>
      <c r="DG47">
        <v>33356.9</v>
      </c>
      <c r="DH47">
        <v>30387.7</v>
      </c>
      <c r="DI47">
        <v>40834.4</v>
      </c>
      <c r="DJ47">
        <v>37394.9</v>
      </c>
      <c r="DK47">
        <v>2.12026</v>
      </c>
      <c r="DL47">
        <v>1.77616</v>
      </c>
      <c r="DM47">
        <v>0.0100136</v>
      </c>
      <c r="DN47">
        <v>0</v>
      </c>
      <c r="DO47">
        <v>24.5374</v>
      </c>
      <c r="DP47">
        <v>999.9</v>
      </c>
      <c r="DQ47">
        <v>68.7</v>
      </c>
      <c r="DR47">
        <v>27.1</v>
      </c>
      <c r="DS47">
        <v>24.6789</v>
      </c>
      <c r="DT47">
        <v>30.22</v>
      </c>
      <c r="DU47">
        <v>11.1859</v>
      </c>
      <c r="DV47">
        <v>1</v>
      </c>
      <c r="DW47">
        <v>0.0233821</v>
      </c>
      <c r="DX47">
        <v>-0.369375</v>
      </c>
      <c r="DY47">
        <v>20.3679</v>
      </c>
      <c r="DZ47">
        <v>5.21262</v>
      </c>
      <c r="EA47">
        <v>11.8482</v>
      </c>
      <c r="EB47">
        <v>4.96884</v>
      </c>
      <c r="EC47">
        <v>3.292</v>
      </c>
      <c r="ED47">
        <v>879.4</v>
      </c>
      <c r="EE47">
        <v>9999</v>
      </c>
      <c r="EF47">
        <v>9999</v>
      </c>
      <c r="EG47">
        <v>80.59999999999999</v>
      </c>
      <c r="EH47">
        <v>4.9716</v>
      </c>
      <c r="EI47">
        <v>1.87171</v>
      </c>
      <c r="EJ47">
        <v>1.86882</v>
      </c>
      <c r="EK47">
        <v>1.87133</v>
      </c>
      <c r="EL47">
        <v>1.86903</v>
      </c>
      <c r="EM47">
        <v>1.86798</v>
      </c>
      <c r="EN47">
        <v>1.8698</v>
      </c>
      <c r="EO47">
        <v>1.87164</v>
      </c>
      <c r="EP47">
        <v>0</v>
      </c>
      <c r="EQ47">
        <v>0</v>
      </c>
      <c r="ER47">
        <v>0</v>
      </c>
      <c r="ES47">
        <v>0</v>
      </c>
      <c r="ET47" t="s">
        <v>334</v>
      </c>
      <c r="EU47" t="s">
        <v>335</v>
      </c>
      <c r="EV47" t="s">
        <v>336</v>
      </c>
      <c r="EW47" t="s">
        <v>336</v>
      </c>
      <c r="EX47" t="s">
        <v>336</v>
      </c>
      <c r="EY47" t="s">
        <v>336</v>
      </c>
      <c r="EZ47">
        <v>0</v>
      </c>
      <c r="FA47">
        <v>100</v>
      </c>
      <c r="FB47">
        <v>100</v>
      </c>
      <c r="FC47">
        <v>6.496</v>
      </c>
      <c r="FD47">
        <v>0.0588</v>
      </c>
      <c r="FE47">
        <v>6.495476190476325</v>
      </c>
      <c r="FF47">
        <v>0</v>
      </c>
      <c r="FG47">
        <v>0</v>
      </c>
      <c r="FH47">
        <v>0</v>
      </c>
      <c r="FI47">
        <v>0.05881499999999917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31.3</v>
      </c>
      <c r="FR47">
        <v>31.5</v>
      </c>
      <c r="FS47">
        <v>0.145264</v>
      </c>
      <c r="FT47">
        <v>4.99756</v>
      </c>
      <c r="FU47">
        <v>1.5979</v>
      </c>
      <c r="FV47">
        <v>2.16919</v>
      </c>
      <c r="FW47">
        <v>1.54785</v>
      </c>
      <c r="FX47">
        <v>2.30957</v>
      </c>
      <c r="FY47">
        <v>31.368</v>
      </c>
      <c r="FZ47">
        <v>16.1196</v>
      </c>
      <c r="GA47">
        <v>3</v>
      </c>
      <c r="GB47">
        <v>497.891</v>
      </c>
      <c r="GC47">
        <v>377.004</v>
      </c>
      <c r="GD47">
        <v>25.9227</v>
      </c>
      <c r="GE47">
        <v>27.421</v>
      </c>
      <c r="GF47">
        <v>30.0002</v>
      </c>
      <c r="GG47">
        <v>27.3641</v>
      </c>
      <c r="GH47">
        <v>27.3581</v>
      </c>
      <c r="GI47">
        <v>-1</v>
      </c>
      <c r="GJ47">
        <v>100</v>
      </c>
      <c r="GK47">
        <v>0</v>
      </c>
      <c r="GL47">
        <v>25.8849</v>
      </c>
      <c r="GM47">
        <v>1200</v>
      </c>
      <c r="GN47">
        <v>26.7455</v>
      </c>
      <c r="GO47">
        <v>102.798</v>
      </c>
      <c r="GP47">
        <v>97.61499999999999</v>
      </c>
    </row>
    <row r="48" spans="1:198">
      <c r="A48">
        <v>32</v>
      </c>
      <c r="B48">
        <v>1773270724</v>
      </c>
      <c r="C48">
        <v>1860.400000095367</v>
      </c>
      <c r="D48" t="s">
        <v>397</v>
      </c>
      <c r="E48" t="s">
        <v>398</v>
      </c>
      <c r="F48">
        <v>15</v>
      </c>
      <c r="G48">
        <v>1773270716</v>
      </c>
      <c r="H48">
        <f>(I48)/1000</f>
        <v>0</v>
      </c>
      <c r="I48">
        <f>1000*AY48*AG48*(AU48-AV48)/(100*AN48*(1000-AG48*AU48))</f>
        <v>0</v>
      </c>
      <c r="J48">
        <f>AY48*AG48*(AT48-AS48*(1000-AG48*AV48)/(1000-AG48*AU48))/(100*AN48)</f>
        <v>0</v>
      </c>
      <c r="K48">
        <f>AS48 - IF(AG48&gt;1, J48*AN48*100.0/(AI48), 0)</f>
        <v>0</v>
      </c>
      <c r="L48">
        <f>((R48-H48/2)*K48-J48)/(R48+H48/2)</f>
        <v>0</v>
      </c>
      <c r="M48">
        <f>L48*(AZ48+BA48)/1000.0</f>
        <v>0</v>
      </c>
      <c r="N48">
        <f>(AS48 - IF(AG48&gt;1, J48*AN48*100.0/(AI48), 0))*(AZ48+BA48)/1000.0</f>
        <v>0</v>
      </c>
      <c r="O48">
        <f>2.0/((1/Q48-1/P48)+SIGN(Q48)*SQRT((1/Q48-1/P48)*(1/Q48-1/P48) + 4*AO48/((AO48+1)*(AO48+1))*(2*1/Q48*1/P48-1/P48*1/P48)))</f>
        <v>0</v>
      </c>
      <c r="P48">
        <f>IF(LEFT(AP48,1)&lt;&gt;"0",IF(LEFT(AP48,1)="1",3.0,AQ48),$D$5+$E$5*(BG48*AZ48/($K$5*1000))+$F$5*(BG48*AZ48/($K$5*1000))*MAX(MIN(AN48,$J$5),$I$5)*MAX(MIN(AN48,$J$5),$I$5)+$G$5*MAX(MIN(AN48,$J$5),$I$5)*(BG48*AZ48/($K$5*1000))+$H$5*(BG48*AZ48/($K$5*1000))*(BG48*AZ48/($K$5*1000)))</f>
        <v>0</v>
      </c>
      <c r="Q48">
        <f>H48*(1000-(1000*0.61365*exp(17.502*U48/(240.97+U48))/(AZ48+BA48)+AU48)/2)/(1000*0.61365*exp(17.502*U48/(240.97+U48))/(AZ48+BA48)-AU48)</f>
        <v>0</v>
      </c>
      <c r="R48">
        <f>1/((AO48+1)/(O48/1.6)+1/(P48/1.37)) + AO48/((AO48+1)/(O48/1.6) + AO48/(P48/1.37))</f>
        <v>0</v>
      </c>
      <c r="S48">
        <f>(AJ48*AM48)</f>
        <v>0</v>
      </c>
      <c r="T48">
        <f>(BB48+(S48+2*0.95*5.67E-8*(((BB48+$B$7)+273)^4-(BB48+273)^4)-44100*H48)/(1.84*29.3*P48+8*0.95*5.67E-8*(BB48+273)^3))</f>
        <v>0</v>
      </c>
      <c r="U48">
        <f>($C$7*BC48+$D$7*BD48+$E$7*T48)</f>
        <v>0</v>
      </c>
      <c r="V48">
        <f>0.61365*exp(17.502*U48/(240.97+U48))</f>
        <v>0</v>
      </c>
      <c r="W48">
        <f>(X48/Y48*100)</f>
        <v>0</v>
      </c>
      <c r="X48">
        <f>AU48*(AZ48+BA48)/1000</f>
        <v>0</v>
      </c>
      <c r="Y48">
        <f>0.61365*exp(17.502*BB48/(240.97+BB48))</f>
        <v>0</v>
      </c>
      <c r="Z48">
        <f>(V48-AU48*(AZ48+BA48)/1000)</f>
        <v>0</v>
      </c>
      <c r="AA48">
        <f>(-H48*44100)</f>
        <v>0</v>
      </c>
      <c r="AB48">
        <f>2*29.3*P48*0.92*(BB48-U48)</f>
        <v>0</v>
      </c>
      <c r="AC48">
        <f>2*0.95*5.67E-8*(((BB48+$B$7)+273)^4-(U48+273)^4)</f>
        <v>0</v>
      </c>
      <c r="AD48">
        <f>S48+AC48+AA48+AB48</f>
        <v>0</v>
      </c>
      <c r="AE48">
        <v>5</v>
      </c>
      <c r="AF48">
        <v>1</v>
      </c>
      <c r="AG48">
        <f>IF(AE48*$H$13&gt;=AI48,1.0,(AI48/(AI48-AE48*$H$13)))</f>
        <v>0</v>
      </c>
      <c r="AH48">
        <f>(AG48-1)*100</f>
        <v>0</v>
      </c>
      <c r="AI48">
        <f>MAX(0,($B$13+$C$13*BG48)/(1+$D$13*BG48)*AZ48/(BB48+273)*$E$13)</f>
        <v>0</v>
      </c>
      <c r="AJ48">
        <f>$B$11*BH48+$C$11*BI48+$D$11*BT48</f>
        <v>0</v>
      </c>
      <c r="AK48">
        <f>AJ48*AL48</f>
        <v>0</v>
      </c>
      <c r="AL48">
        <f>($B$11*$D$9+$C$11*$D$9+$D$11*(BU48*$E$9+BV48*$G$9))/($B$11+$C$11+$D$11)</f>
        <v>0</v>
      </c>
      <c r="AM48">
        <f>($B$11*$K$9+$C$11*$K$9+$D$11*(BU48*$L$9+BV48*$N$9))/($B$11+$C$11+$D$11)</f>
        <v>0</v>
      </c>
      <c r="AN48">
        <v>3</v>
      </c>
      <c r="AO48">
        <v>0.5</v>
      </c>
      <c r="AP48" t="s">
        <v>331</v>
      </c>
      <c r="AQ48">
        <v>2</v>
      </c>
      <c r="AR48">
        <v>1773270716</v>
      </c>
      <c r="AS48">
        <v>492.1707741935484</v>
      </c>
      <c r="AT48">
        <v>490.6886451612903</v>
      </c>
      <c r="AU48">
        <v>8.021187096774195</v>
      </c>
      <c r="AV48">
        <v>7.363086129032259</v>
      </c>
      <c r="AW48">
        <v>485.6754838709677</v>
      </c>
      <c r="AX48">
        <v>7.962374193548387</v>
      </c>
      <c r="AY48">
        <v>500.0110322580646</v>
      </c>
      <c r="AZ48">
        <v>100.2273548387097</v>
      </c>
      <c r="BA48">
        <v>0.03276106774193548</v>
      </c>
      <c r="BB48">
        <v>25.0081129032258</v>
      </c>
      <c r="BC48">
        <v>24.71495161290322</v>
      </c>
      <c r="BD48">
        <v>999.9000000000003</v>
      </c>
      <c r="BE48">
        <v>0</v>
      </c>
      <c r="BF48">
        <v>0</v>
      </c>
      <c r="BG48">
        <v>5004.532258064516</v>
      </c>
      <c r="BH48">
        <v>0.5267673870967743</v>
      </c>
      <c r="BI48">
        <v>66.60570322580645</v>
      </c>
      <c r="BJ48">
        <v>1.48220935483871</v>
      </c>
      <c r="BK48">
        <v>496.1505483870968</v>
      </c>
      <c r="BL48">
        <v>494.3283870967741</v>
      </c>
      <c r="BM48">
        <v>0.6581019032258064</v>
      </c>
      <c r="BN48">
        <v>490.6886451612903</v>
      </c>
      <c r="BO48">
        <v>7.363086129032259</v>
      </c>
      <c r="BP48">
        <v>0.8039425806451611</v>
      </c>
      <c r="BQ48">
        <v>0.7379827419354836</v>
      </c>
      <c r="BR48">
        <v>3.777106774193547</v>
      </c>
      <c r="BS48">
        <v>2.567222258064517</v>
      </c>
      <c r="BT48">
        <v>0</v>
      </c>
      <c r="BU48">
        <v>0</v>
      </c>
      <c r="BV48">
        <v>0</v>
      </c>
      <c r="BW48">
        <v>24</v>
      </c>
      <c r="BX48">
        <v>3.818279677419355</v>
      </c>
      <c r="BY48">
        <v>1773268786.6</v>
      </c>
      <c r="BZ48" t="s">
        <v>332</v>
      </c>
      <c r="CA48">
        <v>1773268786.6</v>
      </c>
      <c r="CB48">
        <v>1773268774.1</v>
      </c>
      <c r="CC48">
        <v>2</v>
      </c>
      <c r="CD48">
        <v>0.264</v>
      </c>
      <c r="CE48">
        <v>-0.024</v>
      </c>
      <c r="CF48">
        <v>6.495</v>
      </c>
      <c r="CG48">
        <v>0.059</v>
      </c>
      <c r="CH48">
        <v>488</v>
      </c>
      <c r="CI48">
        <v>25</v>
      </c>
      <c r="CJ48">
        <v>0.48</v>
      </c>
      <c r="CK48">
        <v>0.14</v>
      </c>
      <c r="CL48">
        <v>490.6886451612903</v>
      </c>
      <c r="CM48">
        <v>-0.7149677419358231</v>
      </c>
      <c r="CN48">
        <v>0.06793951218029469</v>
      </c>
      <c r="CO48">
        <v>-1</v>
      </c>
      <c r="CP48">
        <v>500.0110322580646</v>
      </c>
      <c r="CQ48">
        <v>0.1573064516118925</v>
      </c>
      <c r="CR48">
        <v>0.04828776901904815</v>
      </c>
      <c r="CS48">
        <v>-1</v>
      </c>
      <c r="CT48">
        <v>0</v>
      </c>
      <c r="CU48">
        <v>0</v>
      </c>
      <c r="CV48" t="s">
        <v>333</v>
      </c>
      <c r="CW48">
        <v>3.16916</v>
      </c>
      <c r="CX48">
        <v>2.65387</v>
      </c>
      <c r="CY48">
        <v>0.114117</v>
      </c>
      <c r="CZ48">
        <v>0.115025</v>
      </c>
      <c r="DA48">
        <v>0.0501815</v>
      </c>
      <c r="DB48">
        <v>0.0468825</v>
      </c>
      <c r="DC48">
        <v>21395.7</v>
      </c>
      <c r="DD48">
        <v>21863.3</v>
      </c>
      <c r="DE48">
        <v>23241.1</v>
      </c>
      <c r="DF48">
        <v>22587.9</v>
      </c>
      <c r="DG48">
        <v>33345.6</v>
      </c>
      <c r="DH48">
        <v>30378.2</v>
      </c>
      <c r="DI48">
        <v>40832.8</v>
      </c>
      <c r="DJ48">
        <v>37395.1</v>
      </c>
      <c r="DK48">
        <v>2.11992</v>
      </c>
      <c r="DL48">
        <v>1.7762</v>
      </c>
      <c r="DM48">
        <v>0.0101</v>
      </c>
      <c r="DN48">
        <v>0</v>
      </c>
      <c r="DO48">
        <v>24.5436</v>
      </c>
      <c r="DP48">
        <v>999.9</v>
      </c>
      <c r="DQ48">
        <v>68.59999999999999</v>
      </c>
      <c r="DR48">
        <v>27.1</v>
      </c>
      <c r="DS48">
        <v>24.6428</v>
      </c>
      <c r="DT48">
        <v>30.01</v>
      </c>
      <c r="DU48">
        <v>11.4022</v>
      </c>
      <c r="DV48">
        <v>1</v>
      </c>
      <c r="DW48">
        <v>0.0239248</v>
      </c>
      <c r="DX48">
        <v>-0.260074</v>
      </c>
      <c r="DY48">
        <v>20.368</v>
      </c>
      <c r="DZ48">
        <v>5.21142</v>
      </c>
      <c r="EA48">
        <v>11.8482</v>
      </c>
      <c r="EB48">
        <v>4.969</v>
      </c>
      <c r="EC48">
        <v>3.292</v>
      </c>
      <c r="ED48">
        <v>879.4</v>
      </c>
      <c r="EE48">
        <v>9999</v>
      </c>
      <c r="EF48">
        <v>9999</v>
      </c>
      <c r="EG48">
        <v>80.59999999999999</v>
      </c>
      <c r="EH48">
        <v>4.97161</v>
      </c>
      <c r="EI48">
        <v>1.87177</v>
      </c>
      <c r="EJ48">
        <v>1.86887</v>
      </c>
      <c r="EK48">
        <v>1.87131</v>
      </c>
      <c r="EL48">
        <v>1.86904</v>
      </c>
      <c r="EM48">
        <v>1.86798</v>
      </c>
      <c r="EN48">
        <v>1.86981</v>
      </c>
      <c r="EO48">
        <v>1.87164</v>
      </c>
      <c r="EP48">
        <v>0</v>
      </c>
      <c r="EQ48">
        <v>0</v>
      </c>
      <c r="ER48">
        <v>0</v>
      </c>
      <c r="ES48">
        <v>0</v>
      </c>
      <c r="ET48" t="s">
        <v>334</v>
      </c>
      <c r="EU48" t="s">
        <v>335</v>
      </c>
      <c r="EV48" t="s">
        <v>336</v>
      </c>
      <c r="EW48" t="s">
        <v>336</v>
      </c>
      <c r="EX48" t="s">
        <v>336</v>
      </c>
      <c r="EY48" t="s">
        <v>336</v>
      </c>
      <c r="EZ48">
        <v>0</v>
      </c>
      <c r="FA48">
        <v>100</v>
      </c>
      <c r="FB48">
        <v>100</v>
      </c>
      <c r="FC48">
        <v>6.496</v>
      </c>
      <c r="FD48">
        <v>0.0588</v>
      </c>
      <c r="FE48">
        <v>6.495476190476325</v>
      </c>
      <c r="FF48">
        <v>0</v>
      </c>
      <c r="FG48">
        <v>0</v>
      </c>
      <c r="FH48">
        <v>0</v>
      </c>
      <c r="FI48">
        <v>0.05881499999999917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32.3</v>
      </c>
      <c r="FR48">
        <v>32.5</v>
      </c>
      <c r="FS48">
        <v>0.145264</v>
      </c>
      <c r="FT48">
        <v>4.99756</v>
      </c>
      <c r="FU48">
        <v>1.5979</v>
      </c>
      <c r="FV48">
        <v>2.16797</v>
      </c>
      <c r="FW48">
        <v>1.54785</v>
      </c>
      <c r="FX48">
        <v>2.37671</v>
      </c>
      <c r="FY48">
        <v>31.3898</v>
      </c>
      <c r="FZ48">
        <v>16.1284</v>
      </c>
      <c r="GA48">
        <v>3</v>
      </c>
      <c r="GB48">
        <v>497.753</v>
      </c>
      <c r="GC48">
        <v>377.069</v>
      </c>
      <c r="GD48">
        <v>25.8253</v>
      </c>
      <c r="GE48">
        <v>27.429</v>
      </c>
      <c r="GF48">
        <v>30.0001</v>
      </c>
      <c r="GG48">
        <v>27.371</v>
      </c>
      <c r="GH48">
        <v>27.3651</v>
      </c>
      <c r="GI48">
        <v>-1</v>
      </c>
      <c r="GJ48">
        <v>100</v>
      </c>
      <c r="GK48">
        <v>0</v>
      </c>
      <c r="GL48">
        <v>25.819</v>
      </c>
      <c r="GM48">
        <v>1200</v>
      </c>
      <c r="GN48">
        <v>26.7455</v>
      </c>
      <c r="GO48">
        <v>102.794</v>
      </c>
      <c r="GP48">
        <v>97.61579999999999</v>
      </c>
    </row>
    <row r="49" spans="1:198">
      <c r="A49">
        <v>33</v>
      </c>
      <c r="B49">
        <v>1773270784</v>
      </c>
      <c r="C49">
        <v>1920.400000095367</v>
      </c>
      <c r="D49" t="s">
        <v>399</v>
      </c>
      <c r="E49" t="s">
        <v>400</v>
      </c>
      <c r="F49">
        <v>15</v>
      </c>
      <c r="G49">
        <v>1773270776</v>
      </c>
      <c r="H49">
        <f>(I49)/1000</f>
        <v>0</v>
      </c>
      <c r="I49">
        <f>1000*AY49*AG49*(AU49-AV49)/(100*AN49*(1000-AG49*AU49))</f>
        <v>0</v>
      </c>
      <c r="J49">
        <f>AY49*AG49*(AT49-AS49*(1000-AG49*AV49)/(1000-AG49*AU49))/(100*AN49)</f>
        <v>0</v>
      </c>
      <c r="K49">
        <f>AS49 - IF(AG49&gt;1, J49*AN49*100.0/(AI49), 0)</f>
        <v>0</v>
      </c>
      <c r="L49">
        <f>((R49-H49/2)*K49-J49)/(R49+H49/2)</f>
        <v>0</v>
      </c>
      <c r="M49">
        <f>L49*(AZ49+BA49)/1000.0</f>
        <v>0</v>
      </c>
      <c r="N49">
        <f>(AS49 - IF(AG49&gt;1, J49*AN49*100.0/(AI49), 0))*(AZ49+BA49)/1000.0</f>
        <v>0</v>
      </c>
      <c r="O49">
        <f>2.0/((1/Q49-1/P49)+SIGN(Q49)*SQRT((1/Q49-1/P49)*(1/Q49-1/P49) + 4*AO49/((AO49+1)*(AO49+1))*(2*1/Q49*1/P49-1/P49*1/P49)))</f>
        <v>0</v>
      </c>
      <c r="P49">
        <f>IF(LEFT(AP49,1)&lt;&gt;"0",IF(LEFT(AP49,1)="1",3.0,AQ49),$D$5+$E$5*(BG49*AZ49/($K$5*1000))+$F$5*(BG49*AZ49/($K$5*1000))*MAX(MIN(AN49,$J$5),$I$5)*MAX(MIN(AN49,$J$5),$I$5)+$G$5*MAX(MIN(AN49,$J$5),$I$5)*(BG49*AZ49/($K$5*1000))+$H$5*(BG49*AZ49/($K$5*1000))*(BG49*AZ49/($K$5*1000)))</f>
        <v>0</v>
      </c>
      <c r="Q49">
        <f>H49*(1000-(1000*0.61365*exp(17.502*U49/(240.97+U49))/(AZ49+BA49)+AU49)/2)/(1000*0.61365*exp(17.502*U49/(240.97+U49))/(AZ49+BA49)-AU49)</f>
        <v>0</v>
      </c>
      <c r="R49">
        <f>1/((AO49+1)/(O49/1.6)+1/(P49/1.37)) + AO49/((AO49+1)/(O49/1.6) + AO49/(P49/1.37))</f>
        <v>0</v>
      </c>
      <c r="S49">
        <f>(AJ49*AM49)</f>
        <v>0</v>
      </c>
      <c r="T49">
        <f>(BB49+(S49+2*0.95*5.67E-8*(((BB49+$B$7)+273)^4-(BB49+273)^4)-44100*H49)/(1.84*29.3*P49+8*0.95*5.67E-8*(BB49+273)^3))</f>
        <v>0</v>
      </c>
      <c r="U49">
        <f>($C$7*BC49+$D$7*BD49+$E$7*T49)</f>
        <v>0</v>
      </c>
      <c r="V49">
        <f>0.61365*exp(17.502*U49/(240.97+U49))</f>
        <v>0</v>
      </c>
      <c r="W49">
        <f>(X49/Y49*100)</f>
        <v>0</v>
      </c>
      <c r="X49">
        <f>AU49*(AZ49+BA49)/1000</f>
        <v>0</v>
      </c>
      <c r="Y49">
        <f>0.61365*exp(17.502*BB49/(240.97+BB49))</f>
        <v>0</v>
      </c>
      <c r="Z49">
        <f>(V49-AU49*(AZ49+BA49)/1000)</f>
        <v>0</v>
      </c>
      <c r="AA49">
        <f>(-H49*44100)</f>
        <v>0</v>
      </c>
      <c r="AB49">
        <f>2*29.3*P49*0.92*(BB49-U49)</f>
        <v>0</v>
      </c>
      <c r="AC49">
        <f>2*0.95*5.67E-8*(((BB49+$B$7)+273)^4-(U49+273)^4)</f>
        <v>0</v>
      </c>
      <c r="AD49">
        <f>S49+AC49+AA49+AB49</f>
        <v>0</v>
      </c>
      <c r="AE49">
        <v>4</v>
      </c>
      <c r="AF49">
        <v>1</v>
      </c>
      <c r="AG49">
        <f>IF(AE49*$H$13&gt;=AI49,1.0,(AI49/(AI49-AE49*$H$13)))</f>
        <v>0</v>
      </c>
      <c r="AH49">
        <f>(AG49-1)*100</f>
        <v>0</v>
      </c>
      <c r="AI49">
        <f>MAX(0,($B$13+$C$13*BG49)/(1+$D$13*BG49)*AZ49/(BB49+273)*$E$13)</f>
        <v>0</v>
      </c>
      <c r="AJ49">
        <f>$B$11*BH49+$C$11*BI49+$D$11*BT49</f>
        <v>0</v>
      </c>
      <c r="AK49">
        <f>AJ49*AL49</f>
        <v>0</v>
      </c>
      <c r="AL49">
        <f>($B$11*$D$9+$C$11*$D$9+$D$11*(BU49*$E$9+BV49*$G$9))/($B$11+$C$11+$D$11)</f>
        <v>0</v>
      </c>
      <c r="AM49">
        <f>($B$11*$K$9+$C$11*$K$9+$D$11*(BU49*$L$9+BV49*$N$9))/($B$11+$C$11+$D$11)</f>
        <v>0</v>
      </c>
      <c r="AN49">
        <v>3</v>
      </c>
      <c r="AO49">
        <v>0.5</v>
      </c>
      <c r="AP49" t="s">
        <v>331</v>
      </c>
      <c r="AQ49">
        <v>2</v>
      </c>
      <c r="AR49">
        <v>1773270776</v>
      </c>
      <c r="AS49">
        <v>489.6026774193548</v>
      </c>
      <c r="AT49">
        <v>487.6110967741936</v>
      </c>
      <c r="AU49">
        <v>8.075133548387095</v>
      </c>
      <c r="AV49">
        <v>7.41732064516129</v>
      </c>
      <c r="AW49">
        <v>483.1070967741936</v>
      </c>
      <c r="AX49">
        <v>8.016319677419355</v>
      </c>
      <c r="AY49">
        <v>499.9950322580645</v>
      </c>
      <c r="AZ49">
        <v>100.227</v>
      </c>
      <c r="BA49">
        <v>0.03288791290322581</v>
      </c>
      <c r="BB49">
        <v>24.99735483870968</v>
      </c>
      <c r="BC49">
        <v>24.70907096774194</v>
      </c>
      <c r="BD49">
        <v>999.9000000000003</v>
      </c>
      <c r="BE49">
        <v>0</v>
      </c>
      <c r="BF49">
        <v>0</v>
      </c>
      <c r="BG49">
        <v>4997.451612903225</v>
      </c>
      <c r="BH49">
        <v>0.561137548387097</v>
      </c>
      <c r="BI49">
        <v>74.68095483870967</v>
      </c>
      <c r="BJ49">
        <v>1.99152064516129</v>
      </c>
      <c r="BK49">
        <v>493.5884193548388</v>
      </c>
      <c r="BL49">
        <v>491.2549032258065</v>
      </c>
      <c r="BM49">
        <v>0.657812741935484</v>
      </c>
      <c r="BN49">
        <v>487.6110967741936</v>
      </c>
      <c r="BO49">
        <v>7.41732064516129</v>
      </c>
      <c r="BP49">
        <v>0.8093469032258064</v>
      </c>
      <c r="BQ49">
        <v>0.7434162903225806</v>
      </c>
      <c r="BR49">
        <v>3.872302903225807</v>
      </c>
      <c r="BS49">
        <v>2.670430322580645</v>
      </c>
      <c r="BT49">
        <v>0</v>
      </c>
      <c r="BU49">
        <v>0</v>
      </c>
      <c r="BV49">
        <v>0</v>
      </c>
      <c r="BW49">
        <v>24</v>
      </c>
      <c r="BX49">
        <v>6.564516129032258</v>
      </c>
      <c r="BY49">
        <v>1773268786.6</v>
      </c>
      <c r="BZ49" t="s">
        <v>332</v>
      </c>
      <c r="CA49">
        <v>1773268786.6</v>
      </c>
      <c r="CB49">
        <v>1773268774.1</v>
      </c>
      <c r="CC49">
        <v>2</v>
      </c>
      <c r="CD49">
        <v>0.264</v>
      </c>
      <c r="CE49">
        <v>-0.024</v>
      </c>
      <c r="CF49">
        <v>6.495</v>
      </c>
      <c r="CG49">
        <v>0.059</v>
      </c>
      <c r="CH49">
        <v>488</v>
      </c>
      <c r="CI49">
        <v>25</v>
      </c>
      <c r="CJ49">
        <v>0.48</v>
      </c>
      <c r="CK49">
        <v>0.14</v>
      </c>
      <c r="CL49">
        <v>487.6196</v>
      </c>
      <c r="CM49">
        <v>-3.207884315906359</v>
      </c>
      <c r="CN49">
        <v>0.2399725817671653</v>
      </c>
      <c r="CO49">
        <v>-1</v>
      </c>
      <c r="CP49">
        <v>499.9935</v>
      </c>
      <c r="CQ49">
        <v>0.1151946607329813</v>
      </c>
      <c r="CR49">
        <v>0.03486617271797558</v>
      </c>
      <c r="CS49">
        <v>-1</v>
      </c>
      <c r="CT49">
        <v>0</v>
      </c>
      <c r="CU49">
        <v>0</v>
      </c>
      <c r="CV49" t="s">
        <v>333</v>
      </c>
      <c r="CW49">
        <v>3.16922</v>
      </c>
      <c r="CX49">
        <v>2.65425</v>
      </c>
      <c r="CY49">
        <v>0.113597</v>
      </c>
      <c r="CZ49">
        <v>0.114474</v>
      </c>
      <c r="DA49">
        <v>0.0504506</v>
      </c>
      <c r="DB49">
        <v>0.0471565</v>
      </c>
      <c r="DC49">
        <v>21407.5</v>
      </c>
      <c r="DD49">
        <v>21877</v>
      </c>
      <c r="DE49">
        <v>23240.3</v>
      </c>
      <c r="DF49">
        <v>22587.9</v>
      </c>
      <c r="DG49">
        <v>33335.3</v>
      </c>
      <c r="DH49">
        <v>30369.4</v>
      </c>
      <c r="DI49">
        <v>40831.9</v>
      </c>
      <c r="DJ49">
        <v>37395.1</v>
      </c>
      <c r="DK49">
        <v>2.12026</v>
      </c>
      <c r="DL49">
        <v>1.7756</v>
      </c>
      <c r="DM49">
        <v>0.0101924</v>
      </c>
      <c r="DN49">
        <v>0</v>
      </c>
      <c r="DO49">
        <v>24.553</v>
      </c>
      <c r="DP49">
        <v>999.9</v>
      </c>
      <c r="DQ49">
        <v>68.40000000000001</v>
      </c>
      <c r="DR49">
        <v>27.2</v>
      </c>
      <c r="DS49">
        <v>24.7119</v>
      </c>
      <c r="DT49">
        <v>29.74</v>
      </c>
      <c r="DU49">
        <v>11.278</v>
      </c>
      <c r="DV49">
        <v>1</v>
      </c>
      <c r="DW49">
        <v>0.0245711</v>
      </c>
      <c r="DX49">
        <v>-0.322536</v>
      </c>
      <c r="DY49">
        <v>20.3683</v>
      </c>
      <c r="DZ49">
        <v>5.21262</v>
      </c>
      <c r="EA49">
        <v>11.8482</v>
      </c>
      <c r="EB49">
        <v>4.96832</v>
      </c>
      <c r="EC49">
        <v>3.29202</v>
      </c>
      <c r="ED49">
        <v>879.4</v>
      </c>
      <c r="EE49">
        <v>9999</v>
      </c>
      <c r="EF49">
        <v>9999</v>
      </c>
      <c r="EG49">
        <v>80.59999999999999</v>
      </c>
      <c r="EH49">
        <v>4.97161</v>
      </c>
      <c r="EI49">
        <v>1.87172</v>
      </c>
      <c r="EJ49">
        <v>1.86882</v>
      </c>
      <c r="EK49">
        <v>1.87129</v>
      </c>
      <c r="EL49">
        <v>1.86899</v>
      </c>
      <c r="EM49">
        <v>1.86798</v>
      </c>
      <c r="EN49">
        <v>1.86981</v>
      </c>
      <c r="EO49">
        <v>1.87164</v>
      </c>
      <c r="EP49">
        <v>0</v>
      </c>
      <c r="EQ49">
        <v>0</v>
      </c>
      <c r="ER49">
        <v>0</v>
      </c>
      <c r="ES49">
        <v>0</v>
      </c>
      <c r="ET49" t="s">
        <v>334</v>
      </c>
      <c r="EU49" t="s">
        <v>335</v>
      </c>
      <c r="EV49" t="s">
        <v>336</v>
      </c>
      <c r="EW49" t="s">
        <v>336</v>
      </c>
      <c r="EX49" t="s">
        <v>336</v>
      </c>
      <c r="EY49" t="s">
        <v>336</v>
      </c>
      <c r="EZ49">
        <v>0</v>
      </c>
      <c r="FA49">
        <v>100</v>
      </c>
      <c r="FB49">
        <v>100</v>
      </c>
      <c r="FC49">
        <v>6.496</v>
      </c>
      <c r="FD49">
        <v>0.0588</v>
      </c>
      <c r="FE49">
        <v>6.495476190476325</v>
      </c>
      <c r="FF49">
        <v>0</v>
      </c>
      <c r="FG49">
        <v>0</v>
      </c>
      <c r="FH49">
        <v>0</v>
      </c>
      <c r="FI49">
        <v>0.05881499999999917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33.3</v>
      </c>
      <c r="FR49">
        <v>33.5</v>
      </c>
      <c r="FS49">
        <v>0.145264</v>
      </c>
      <c r="FT49">
        <v>4.99756</v>
      </c>
      <c r="FU49">
        <v>1.5979</v>
      </c>
      <c r="FV49">
        <v>2.16675</v>
      </c>
      <c r="FW49">
        <v>1.54785</v>
      </c>
      <c r="FX49">
        <v>2.34009</v>
      </c>
      <c r="FY49">
        <v>31.4333</v>
      </c>
      <c r="FZ49">
        <v>16.1196</v>
      </c>
      <c r="GA49">
        <v>3</v>
      </c>
      <c r="GB49">
        <v>498.003</v>
      </c>
      <c r="GC49">
        <v>376.792</v>
      </c>
      <c r="GD49">
        <v>25.8538</v>
      </c>
      <c r="GE49">
        <v>27.436</v>
      </c>
      <c r="GF49">
        <v>30.0001</v>
      </c>
      <c r="GG49">
        <v>27.378</v>
      </c>
      <c r="GH49">
        <v>27.372</v>
      </c>
      <c r="GI49">
        <v>-1</v>
      </c>
      <c r="GJ49">
        <v>100</v>
      </c>
      <c r="GK49">
        <v>0</v>
      </c>
      <c r="GL49">
        <v>25.8565</v>
      </c>
      <c r="GM49">
        <v>1200</v>
      </c>
      <c r="GN49">
        <v>26.7455</v>
      </c>
      <c r="GO49">
        <v>102.791</v>
      </c>
      <c r="GP49">
        <v>97.6159</v>
      </c>
    </row>
    <row r="50" spans="1:198">
      <c r="A50">
        <v>34</v>
      </c>
      <c r="B50">
        <v>1773270844</v>
      </c>
      <c r="C50">
        <v>1980.400000095367</v>
      </c>
      <c r="D50" t="s">
        <v>401</v>
      </c>
      <c r="E50" t="s">
        <v>402</v>
      </c>
      <c r="F50">
        <v>15</v>
      </c>
      <c r="G50">
        <v>1773270836</v>
      </c>
      <c r="H50">
        <f>(I50)/1000</f>
        <v>0</v>
      </c>
      <c r="I50">
        <f>1000*AY50*AG50*(AU50-AV50)/(100*AN50*(1000-AG50*AU50))</f>
        <v>0</v>
      </c>
      <c r="J50">
        <f>AY50*AG50*(AT50-AS50*(1000-AG50*AV50)/(1000-AG50*AU50))/(100*AN50)</f>
        <v>0</v>
      </c>
      <c r="K50">
        <f>AS50 - IF(AG50&gt;1, J50*AN50*100.0/(AI50), 0)</f>
        <v>0</v>
      </c>
      <c r="L50">
        <f>((R50-H50/2)*K50-J50)/(R50+H50/2)</f>
        <v>0</v>
      </c>
      <c r="M50">
        <f>L50*(AZ50+BA50)/1000.0</f>
        <v>0</v>
      </c>
      <c r="N50">
        <f>(AS50 - IF(AG50&gt;1, J50*AN50*100.0/(AI50), 0))*(AZ50+BA50)/1000.0</f>
        <v>0</v>
      </c>
      <c r="O50">
        <f>2.0/((1/Q50-1/P50)+SIGN(Q50)*SQRT((1/Q50-1/P50)*(1/Q50-1/P50) + 4*AO50/((AO50+1)*(AO50+1))*(2*1/Q50*1/P50-1/P50*1/P50)))</f>
        <v>0</v>
      </c>
      <c r="P50">
        <f>IF(LEFT(AP50,1)&lt;&gt;"0",IF(LEFT(AP50,1)="1",3.0,AQ50),$D$5+$E$5*(BG50*AZ50/($K$5*1000))+$F$5*(BG50*AZ50/($K$5*1000))*MAX(MIN(AN50,$J$5),$I$5)*MAX(MIN(AN50,$J$5),$I$5)+$G$5*MAX(MIN(AN50,$J$5),$I$5)*(BG50*AZ50/($K$5*1000))+$H$5*(BG50*AZ50/($K$5*1000))*(BG50*AZ50/($K$5*1000)))</f>
        <v>0</v>
      </c>
      <c r="Q50">
        <f>H50*(1000-(1000*0.61365*exp(17.502*U50/(240.97+U50))/(AZ50+BA50)+AU50)/2)/(1000*0.61365*exp(17.502*U50/(240.97+U50))/(AZ50+BA50)-AU50)</f>
        <v>0</v>
      </c>
      <c r="R50">
        <f>1/((AO50+1)/(O50/1.6)+1/(P50/1.37)) + AO50/((AO50+1)/(O50/1.6) + AO50/(P50/1.37))</f>
        <v>0</v>
      </c>
      <c r="S50">
        <f>(AJ50*AM50)</f>
        <v>0</v>
      </c>
      <c r="T50">
        <f>(BB50+(S50+2*0.95*5.67E-8*(((BB50+$B$7)+273)^4-(BB50+273)^4)-44100*H50)/(1.84*29.3*P50+8*0.95*5.67E-8*(BB50+273)^3))</f>
        <v>0</v>
      </c>
      <c r="U50">
        <f>($C$7*BC50+$D$7*BD50+$E$7*T50)</f>
        <v>0</v>
      </c>
      <c r="V50">
        <f>0.61365*exp(17.502*U50/(240.97+U50))</f>
        <v>0</v>
      </c>
      <c r="W50">
        <f>(X50/Y50*100)</f>
        <v>0</v>
      </c>
      <c r="X50">
        <f>AU50*(AZ50+BA50)/1000</f>
        <v>0</v>
      </c>
      <c r="Y50">
        <f>0.61365*exp(17.502*BB50/(240.97+BB50))</f>
        <v>0</v>
      </c>
      <c r="Z50">
        <f>(V50-AU50*(AZ50+BA50)/1000)</f>
        <v>0</v>
      </c>
      <c r="AA50">
        <f>(-H50*44100)</f>
        <v>0</v>
      </c>
      <c r="AB50">
        <f>2*29.3*P50*0.92*(BB50-U50)</f>
        <v>0</v>
      </c>
      <c r="AC50">
        <f>2*0.95*5.67E-8*(((BB50+$B$7)+273)^4-(U50+273)^4)</f>
        <v>0</v>
      </c>
      <c r="AD50">
        <f>S50+AC50+AA50+AB50</f>
        <v>0</v>
      </c>
      <c r="AE50">
        <v>5</v>
      </c>
      <c r="AF50">
        <v>1</v>
      </c>
      <c r="AG50">
        <f>IF(AE50*$H$13&gt;=AI50,1.0,(AI50/(AI50-AE50*$H$13)))</f>
        <v>0</v>
      </c>
      <c r="AH50">
        <f>(AG50-1)*100</f>
        <v>0</v>
      </c>
      <c r="AI50">
        <f>MAX(0,($B$13+$C$13*BG50)/(1+$D$13*BG50)*AZ50/(BB50+273)*$E$13)</f>
        <v>0</v>
      </c>
      <c r="AJ50">
        <f>$B$11*BH50+$C$11*BI50+$D$11*BT50</f>
        <v>0</v>
      </c>
      <c r="AK50">
        <f>AJ50*AL50</f>
        <v>0</v>
      </c>
      <c r="AL50">
        <f>($B$11*$D$9+$C$11*$D$9+$D$11*(BU50*$E$9+BV50*$G$9))/($B$11+$C$11+$D$11)</f>
        <v>0</v>
      </c>
      <c r="AM50">
        <f>($B$11*$K$9+$C$11*$K$9+$D$11*(BU50*$L$9+BV50*$N$9))/($B$11+$C$11+$D$11)</f>
        <v>0</v>
      </c>
      <c r="AN50">
        <v>3</v>
      </c>
      <c r="AO50">
        <v>0.5</v>
      </c>
      <c r="AP50" t="s">
        <v>331</v>
      </c>
      <c r="AQ50">
        <v>2</v>
      </c>
      <c r="AR50">
        <v>1773270836</v>
      </c>
      <c r="AS50">
        <v>487.011</v>
      </c>
      <c r="AT50">
        <v>485.8275806451613</v>
      </c>
      <c r="AU50">
        <v>8.124793225806451</v>
      </c>
      <c r="AV50">
        <v>7.46629258064516</v>
      </c>
      <c r="AW50">
        <v>480.5155806451613</v>
      </c>
      <c r="AX50">
        <v>8.065978064516131</v>
      </c>
      <c r="AY50">
        <v>499.9949677419354</v>
      </c>
      <c r="AZ50">
        <v>100.2263548387097</v>
      </c>
      <c r="BA50">
        <v>0.03283144516129032</v>
      </c>
      <c r="BB50">
        <v>25.00896451612904</v>
      </c>
      <c r="BC50">
        <v>24.72926451612903</v>
      </c>
      <c r="BD50">
        <v>999.9000000000003</v>
      </c>
      <c r="BE50">
        <v>0</v>
      </c>
      <c r="BF50">
        <v>0</v>
      </c>
      <c r="BG50">
        <v>4999.806451612903</v>
      </c>
      <c r="BH50">
        <v>0.6051905483870968</v>
      </c>
      <c r="BI50">
        <v>81.80152258064516</v>
      </c>
      <c r="BJ50">
        <v>1.183380322580645</v>
      </c>
      <c r="BK50">
        <v>491.0003225806452</v>
      </c>
      <c r="BL50">
        <v>489.4822903225806</v>
      </c>
      <c r="BM50">
        <v>0.6585011612903224</v>
      </c>
      <c r="BN50">
        <v>485.8275806451613</v>
      </c>
      <c r="BO50">
        <v>7.46629258064516</v>
      </c>
      <c r="BP50">
        <v>0.8143188387096775</v>
      </c>
      <c r="BQ50">
        <v>0.7483196129032257</v>
      </c>
      <c r="BR50">
        <v>3.959384838709678</v>
      </c>
      <c r="BS50">
        <v>2.762994193548387</v>
      </c>
      <c r="BT50">
        <v>0</v>
      </c>
      <c r="BU50">
        <v>0</v>
      </c>
      <c r="BV50">
        <v>0</v>
      </c>
      <c r="BW50">
        <v>24</v>
      </c>
      <c r="BX50">
        <v>9.991398387096773</v>
      </c>
      <c r="BY50">
        <v>1773268786.6</v>
      </c>
      <c r="BZ50" t="s">
        <v>332</v>
      </c>
      <c r="CA50">
        <v>1773268786.6</v>
      </c>
      <c r="CB50">
        <v>1773268774.1</v>
      </c>
      <c r="CC50">
        <v>2</v>
      </c>
      <c r="CD50">
        <v>0.264</v>
      </c>
      <c r="CE50">
        <v>-0.024</v>
      </c>
      <c r="CF50">
        <v>6.495</v>
      </c>
      <c r="CG50">
        <v>0.059</v>
      </c>
      <c r="CH50">
        <v>488</v>
      </c>
      <c r="CI50">
        <v>25</v>
      </c>
      <c r="CJ50">
        <v>0.48</v>
      </c>
      <c r="CK50">
        <v>0.14</v>
      </c>
      <c r="CL50">
        <v>485.8133333333333</v>
      </c>
      <c r="CM50">
        <v>2.513406006674049</v>
      </c>
      <c r="CN50">
        <v>0.1942049318517886</v>
      </c>
      <c r="CO50">
        <v>-1</v>
      </c>
      <c r="CP50">
        <v>499.9964333333333</v>
      </c>
      <c r="CQ50">
        <v>0.02122358175750752</v>
      </c>
      <c r="CR50">
        <v>0.04449920099157319</v>
      </c>
      <c r="CS50">
        <v>-1</v>
      </c>
      <c r="CT50">
        <v>0</v>
      </c>
      <c r="CU50">
        <v>0</v>
      </c>
      <c r="CV50" t="s">
        <v>333</v>
      </c>
      <c r="CW50">
        <v>3.16915</v>
      </c>
      <c r="CX50">
        <v>2.65405</v>
      </c>
      <c r="CY50">
        <v>0.113282</v>
      </c>
      <c r="CZ50">
        <v>0.114287</v>
      </c>
      <c r="DA50">
        <v>0.0506971</v>
      </c>
      <c r="DB50">
        <v>0.0474042</v>
      </c>
      <c r="DC50">
        <v>21413.9</v>
      </c>
      <c r="DD50">
        <v>21881.2</v>
      </c>
      <c r="DE50">
        <v>23239.1</v>
      </c>
      <c r="DF50">
        <v>22587.6</v>
      </c>
      <c r="DG50">
        <v>33324.8</v>
      </c>
      <c r="DH50">
        <v>30361.1</v>
      </c>
      <c r="DI50">
        <v>40829.6</v>
      </c>
      <c r="DJ50">
        <v>37394.7</v>
      </c>
      <c r="DK50">
        <v>2.11994</v>
      </c>
      <c r="DL50">
        <v>1.77538</v>
      </c>
      <c r="DM50">
        <v>0.009179120000000001</v>
      </c>
      <c r="DN50">
        <v>0</v>
      </c>
      <c r="DO50">
        <v>24.5764</v>
      </c>
      <c r="DP50">
        <v>999.9</v>
      </c>
      <c r="DQ50">
        <v>68.09999999999999</v>
      </c>
      <c r="DR50">
        <v>27.2</v>
      </c>
      <c r="DS50">
        <v>24.6072</v>
      </c>
      <c r="DT50">
        <v>30.04</v>
      </c>
      <c r="DU50">
        <v>11.3702</v>
      </c>
      <c r="DV50">
        <v>1</v>
      </c>
      <c r="DW50">
        <v>0.025628</v>
      </c>
      <c r="DX50">
        <v>-0.233763</v>
      </c>
      <c r="DY50">
        <v>20.3682</v>
      </c>
      <c r="DZ50">
        <v>5.2113</v>
      </c>
      <c r="EA50">
        <v>11.8482</v>
      </c>
      <c r="EB50">
        <v>4.96908</v>
      </c>
      <c r="EC50">
        <v>3.292</v>
      </c>
      <c r="ED50">
        <v>879.4</v>
      </c>
      <c r="EE50">
        <v>9999</v>
      </c>
      <c r="EF50">
        <v>9999</v>
      </c>
      <c r="EG50">
        <v>80.7</v>
      </c>
      <c r="EH50">
        <v>4.97163</v>
      </c>
      <c r="EI50">
        <v>1.87171</v>
      </c>
      <c r="EJ50">
        <v>1.86882</v>
      </c>
      <c r="EK50">
        <v>1.87133</v>
      </c>
      <c r="EL50">
        <v>1.86899</v>
      </c>
      <c r="EM50">
        <v>1.86798</v>
      </c>
      <c r="EN50">
        <v>1.86981</v>
      </c>
      <c r="EO50">
        <v>1.87164</v>
      </c>
      <c r="EP50">
        <v>0</v>
      </c>
      <c r="EQ50">
        <v>0</v>
      </c>
      <c r="ER50">
        <v>0</v>
      </c>
      <c r="ES50">
        <v>0</v>
      </c>
      <c r="ET50" t="s">
        <v>334</v>
      </c>
      <c r="EU50" t="s">
        <v>335</v>
      </c>
      <c r="EV50" t="s">
        <v>336</v>
      </c>
      <c r="EW50" t="s">
        <v>336</v>
      </c>
      <c r="EX50" t="s">
        <v>336</v>
      </c>
      <c r="EY50" t="s">
        <v>336</v>
      </c>
      <c r="EZ50">
        <v>0</v>
      </c>
      <c r="FA50">
        <v>100</v>
      </c>
      <c r="FB50">
        <v>100</v>
      </c>
      <c r="FC50">
        <v>6.496</v>
      </c>
      <c r="FD50">
        <v>0.0588</v>
      </c>
      <c r="FE50">
        <v>6.495476190476325</v>
      </c>
      <c r="FF50">
        <v>0</v>
      </c>
      <c r="FG50">
        <v>0</v>
      </c>
      <c r="FH50">
        <v>0</v>
      </c>
      <c r="FI50">
        <v>0.05881499999999917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34.3</v>
      </c>
      <c r="FR50">
        <v>34.5</v>
      </c>
      <c r="FS50">
        <v>0.145264</v>
      </c>
      <c r="FT50">
        <v>4.99756</v>
      </c>
      <c r="FU50">
        <v>1.5979</v>
      </c>
      <c r="FV50">
        <v>2.16675</v>
      </c>
      <c r="FW50">
        <v>1.54785</v>
      </c>
      <c r="FX50">
        <v>2.33276</v>
      </c>
      <c r="FY50">
        <v>31.477</v>
      </c>
      <c r="FZ50">
        <v>16.1109</v>
      </c>
      <c r="GA50">
        <v>3</v>
      </c>
      <c r="GB50">
        <v>497.894</v>
      </c>
      <c r="GC50">
        <v>376.734</v>
      </c>
      <c r="GD50">
        <v>25.8153</v>
      </c>
      <c r="GE50">
        <v>27.4457</v>
      </c>
      <c r="GF50">
        <v>30.0003</v>
      </c>
      <c r="GG50">
        <v>27.3872</v>
      </c>
      <c r="GH50">
        <v>27.3815</v>
      </c>
      <c r="GI50">
        <v>-1</v>
      </c>
      <c r="GJ50">
        <v>100</v>
      </c>
      <c r="GK50">
        <v>0</v>
      </c>
      <c r="GL50">
        <v>25.8026</v>
      </c>
      <c r="GM50">
        <v>1200</v>
      </c>
      <c r="GN50">
        <v>26.7455</v>
      </c>
      <c r="GO50">
        <v>102.785</v>
      </c>
      <c r="GP50">
        <v>97.6147</v>
      </c>
    </row>
    <row r="51" spans="1:198">
      <c r="A51">
        <v>35</v>
      </c>
      <c r="B51">
        <v>1773270904</v>
      </c>
      <c r="C51">
        <v>2040.400000095367</v>
      </c>
      <c r="D51" t="s">
        <v>403</v>
      </c>
      <c r="E51" t="s">
        <v>404</v>
      </c>
      <c r="F51">
        <v>15</v>
      </c>
      <c r="G51">
        <v>1773270896</v>
      </c>
      <c r="H51">
        <f>(I51)/1000</f>
        <v>0</v>
      </c>
      <c r="I51">
        <f>1000*AY51*AG51*(AU51-AV51)/(100*AN51*(1000-AG51*AU51))</f>
        <v>0</v>
      </c>
      <c r="J51">
        <f>AY51*AG51*(AT51-AS51*(1000-AG51*AV51)/(1000-AG51*AU51))/(100*AN51)</f>
        <v>0</v>
      </c>
      <c r="K51">
        <f>AS51 - IF(AG51&gt;1, J51*AN51*100.0/(AI51), 0)</f>
        <v>0</v>
      </c>
      <c r="L51">
        <f>((R51-H51/2)*K51-J51)/(R51+H51/2)</f>
        <v>0</v>
      </c>
      <c r="M51">
        <f>L51*(AZ51+BA51)/1000.0</f>
        <v>0</v>
      </c>
      <c r="N51">
        <f>(AS51 - IF(AG51&gt;1, J51*AN51*100.0/(AI51), 0))*(AZ51+BA51)/1000.0</f>
        <v>0</v>
      </c>
      <c r="O51">
        <f>2.0/((1/Q51-1/P51)+SIGN(Q51)*SQRT((1/Q51-1/P51)*(1/Q51-1/P51) + 4*AO51/((AO51+1)*(AO51+1))*(2*1/Q51*1/P51-1/P51*1/P51)))</f>
        <v>0</v>
      </c>
      <c r="P51">
        <f>IF(LEFT(AP51,1)&lt;&gt;"0",IF(LEFT(AP51,1)="1",3.0,AQ51),$D$5+$E$5*(BG51*AZ51/($K$5*1000))+$F$5*(BG51*AZ51/($K$5*1000))*MAX(MIN(AN51,$J$5),$I$5)*MAX(MIN(AN51,$J$5),$I$5)+$G$5*MAX(MIN(AN51,$J$5),$I$5)*(BG51*AZ51/($K$5*1000))+$H$5*(BG51*AZ51/($K$5*1000))*(BG51*AZ51/($K$5*1000)))</f>
        <v>0</v>
      </c>
      <c r="Q51">
        <f>H51*(1000-(1000*0.61365*exp(17.502*U51/(240.97+U51))/(AZ51+BA51)+AU51)/2)/(1000*0.61365*exp(17.502*U51/(240.97+U51))/(AZ51+BA51)-AU51)</f>
        <v>0</v>
      </c>
      <c r="R51">
        <f>1/((AO51+1)/(O51/1.6)+1/(P51/1.37)) + AO51/((AO51+1)/(O51/1.6) + AO51/(P51/1.37))</f>
        <v>0</v>
      </c>
      <c r="S51">
        <f>(AJ51*AM51)</f>
        <v>0</v>
      </c>
      <c r="T51">
        <f>(BB51+(S51+2*0.95*5.67E-8*(((BB51+$B$7)+273)^4-(BB51+273)^4)-44100*H51)/(1.84*29.3*P51+8*0.95*5.67E-8*(BB51+273)^3))</f>
        <v>0</v>
      </c>
      <c r="U51">
        <f>($C$7*BC51+$D$7*BD51+$E$7*T51)</f>
        <v>0</v>
      </c>
      <c r="V51">
        <f>0.61365*exp(17.502*U51/(240.97+U51))</f>
        <v>0</v>
      </c>
      <c r="W51">
        <f>(X51/Y51*100)</f>
        <v>0</v>
      </c>
      <c r="X51">
        <f>AU51*(AZ51+BA51)/1000</f>
        <v>0</v>
      </c>
      <c r="Y51">
        <f>0.61365*exp(17.502*BB51/(240.97+BB51))</f>
        <v>0</v>
      </c>
      <c r="Z51">
        <f>(V51-AU51*(AZ51+BA51)/1000)</f>
        <v>0</v>
      </c>
      <c r="AA51">
        <f>(-H51*44100)</f>
        <v>0</v>
      </c>
      <c r="AB51">
        <f>2*29.3*P51*0.92*(BB51-U51)</f>
        <v>0</v>
      </c>
      <c r="AC51">
        <f>2*0.95*5.67E-8*(((BB51+$B$7)+273)^4-(U51+273)^4)</f>
        <v>0</v>
      </c>
      <c r="AD51">
        <f>S51+AC51+AA51+AB51</f>
        <v>0</v>
      </c>
      <c r="AE51">
        <v>5</v>
      </c>
      <c r="AF51">
        <v>1</v>
      </c>
      <c r="AG51">
        <f>IF(AE51*$H$13&gt;=AI51,1.0,(AI51/(AI51-AE51*$H$13)))</f>
        <v>0</v>
      </c>
      <c r="AH51">
        <f>(AG51-1)*100</f>
        <v>0</v>
      </c>
      <c r="AI51">
        <f>MAX(0,($B$13+$C$13*BG51)/(1+$D$13*BG51)*AZ51/(BB51+273)*$E$13)</f>
        <v>0</v>
      </c>
      <c r="AJ51">
        <f>$B$11*BH51+$C$11*BI51+$D$11*BT51</f>
        <v>0</v>
      </c>
      <c r="AK51">
        <f>AJ51*AL51</f>
        <v>0</v>
      </c>
      <c r="AL51">
        <f>($B$11*$D$9+$C$11*$D$9+$D$11*(BU51*$E$9+BV51*$G$9))/($B$11+$C$11+$D$11)</f>
        <v>0</v>
      </c>
      <c r="AM51">
        <f>($B$11*$K$9+$C$11*$K$9+$D$11*(BU51*$L$9+BV51*$N$9))/($B$11+$C$11+$D$11)</f>
        <v>0</v>
      </c>
      <c r="AN51">
        <v>3</v>
      </c>
      <c r="AO51">
        <v>0.5</v>
      </c>
      <c r="AP51" t="s">
        <v>331</v>
      </c>
      <c r="AQ51">
        <v>2</v>
      </c>
      <c r="AR51">
        <v>1773270896</v>
      </c>
      <c r="AS51">
        <v>489.705064516129</v>
      </c>
      <c r="AT51">
        <v>488.5459677419354</v>
      </c>
      <c r="AU51">
        <v>8.176088064516128</v>
      </c>
      <c r="AV51">
        <v>7.518229354838711</v>
      </c>
      <c r="AW51">
        <v>483.2094193548386</v>
      </c>
      <c r="AX51">
        <v>8.117272903225807</v>
      </c>
      <c r="AY51">
        <v>499.9878387096775</v>
      </c>
      <c r="AZ51">
        <v>100.2257419354838</v>
      </c>
      <c r="BA51">
        <v>0.03296260967741936</v>
      </c>
      <c r="BB51">
        <v>25.01181290322581</v>
      </c>
      <c r="BC51">
        <v>24.73929999999999</v>
      </c>
      <c r="BD51">
        <v>999.9000000000003</v>
      </c>
      <c r="BE51">
        <v>0</v>
      </c>
      <c r="BF51">
        <v>0</v>
      </c>
      <c r="BG51">
        <v>4999.967741935484</v>
      </c>
      <c r="BH51">
        <v>0.6391899354838708</v>
      </c>
      <c r="BI51">
        <v>87.97118387096775</v>
      </c>
      <c r="BJ51">
        <v>1.159076483870968</v>
      </c>
      <c r="BK51">
        <v>493.7419677419355</v>
      </c>
      <c r="BL51">
        <v>492.2467741935484</v>
      </c>
      <c r="BM51">
        <v>0.6578583870967742</v>
      </c>
      <c r="BN51">
        <v>488.5459677419354</v>
      </c>
      <c r="BO51">
        <v>7.518229354838711</v>
      </c>
      <c r="BP51">
        <v>0.8194534838709679</v>
      </c>
      <c r="BQ51">
        <v>0.7535191935483871</v>
      </c>
      <c r="BR51">
        <v>4.048827096774193</v>
      </c>
      <c r="BS51">
        <v>2.860568064516129</v>
      </c>
      <c r="BT51">
        <v>0</v>
      </c>
      <c r="BU51">
        <v>0</v>
      </c>
      <c r="BV51">
        <v>0</v>
      </c>
      <c r="BW51">
        <v>24</v>
      </c>
      <c r="BX51">
        <v>10.19032903225806</v>
      </c>
      <c r="BY51">
        <v>1773268786.6</v>
      </c>
      <c r="BZ51" t="s">
        <v>332</v>
      </c>
      <c r="CA51">
        <v>1773268786.6</v>
      </c>
      <c r="CB51">
        <v>1773268774.1</v>
      </c>
      <c r="CC51">
        <v>2</v>
      </c>
      <c r="CD51">
        <v>0.264</v>
      </c>
      <c r="CE51">
        <v>-0.024</v>
      </c>
      <c r="CF51">
        <v>6.495</v>
      </c>
      <c r="CG51">
        <v>0.059</v>
      </c>
      <c r="CH51">
        <v>488</v>
      </c>
      <c r="CI51">
        <v>25</v>
      </c>
      <c r="CJ51">
        <v>0.48</v>
      </c>
      <c r="CK51">
        <v>0.14</v>
      </c>
      <c r="CL51">
        <v>488.5056451612903</v>
      </c>
      <c r="CM51">
        <v>1.583612903224868</v>
      </c>
      <c r="CN51">
        <v>0.1279050929367841</v>
      </c>
      <c r="CO51">
        <v>-1</v>
      </c>
      <c r="CP51">
        <v>499.9852903225807</v>
      </c>
      <c r="CQ51">
        <v>0.05003225806226273</v>
      </c>
      <c r="CR51">
        <v>0.04127343404612911</v>
      </c>
      <c r="CS51">
        <v>-1</v>
      </c>
      <c r="CT51">
        <v>0</v>
      </c>
      <c r="CU51">
        <v>0</v>
      </c>
      <c r="CV51" t="s">
        <v>333</v>
      </c>
      <c r="CW51">
        <v>3.16922</v>
      </c>
      <c r="CX51">
        <v>2.65401</v>
      </c>
      <c r="CY51">
        <v>0.113738</v>
      </c>
      <c r="CZ51">
        <v>0.114766</v>
      </c>
      <c r="DA51">
        <v>0.0509557</v>
      </c>
      <c r="DB51">
        <v>0.0476728</v>
      </c>
      <c r="DC51">
        <v>21401.6</v>
      </c>
      <c r="DD51">
        <v>21869.4</v>
      </c>
      <c r="DE51">
        <v>23237.7</v>
      </c>
      <c r="DF51">
        <v>22587.7</v>
      </c>
      <c r="DG51">
        <v>33314.1</v>
      </c>
      <c r="DH51">
        <v>30352.3</v>
      </c>
      <c r="DI51">
        <v>40827.7</v>
      </c>
      <c r="DJ51">
        <v>37394.4</v>
      </c>
      <c r="DK51">
        <v>2.11968</v>
      </c>
      <c r="DL51">
        <v>1.77474</v>
      </c>
      <c r="DM51">
        <v>0.00575781</v>
      </c>
      <c r="DN51">
        <v>0</v>
      </c>
      <c r="DO51">
        <v>24.6431</v>
      </c>
      <c r="DP51">
        <v>999.9</v>
      </c>
      <c r="DQ51">
        <v>68</v>
      </c>
      <c r="DR51">
        <v>27.2</v>
      </c>
      <c r="DS51">
        <v>24.5735</v>
      </c>
      <c r="DT51">
        <v>30.04</v>
      </c>
      <c r="DU51">
        <v>11.3101</v>
      </c>
      <c r="DV51">
        <v>1</v>
      </c>
      <c r="DW51">
        <v>0.0269065</v>
      </c>
      <c r="DX51">
        <v>-0.0889281</v>
      </c>
      <c r="DY51">
        <v>20.3687</v>
      </c>
      <c r="DZ51">
        <v>5.21094</v>
      </c>
      <c r="EA51">
        <v>11.8482</v>
      </c>
      <c r="EB51">
        <v>4.96784</v>
      </c>
      <c r="EC51">
        <v>3.29202</v>
      </c>
      <c r="ED51">
        <v>879.4</v>
      </c>
      <c r="EE51">
        <v>9999</v>
      </c>
      <c r="EF51">
        <v>9999</v>
      </c>
      <c r="EG51">
        <v>80.7</v>
      </c>
      <c r="EH51">
        <v>4.97162</v>
      </c>
      <c r="EI51">
        <v>1.87174</v>
      </c>
      <c r="EJ51">
        <v>1.86888</v>
      </c>
      <c r="EK51">
        <v>1.87133</v>
      </c>
      <c r="EL51">
        <v>1.86903</v>
      </c>
      <c r="EM51">
        <v>1.86798</v>
      </c>
      <c r="EN51">
        <v>1.86981</v>
      </c>
      <c r="EO51">
        <v>1.87164</v>
      </c>
      <c r="EP51">
        <v>0</v>
      </c>
      <c r="EQ51">
        <v>0</v>
      </c>
      <c r="ER51">
        <v>0</v>
      </c>
      <c r="ES51">
        <v>0</v>
      </c>
      <c r="ET51" t="s">
        <v>334</v>
      </c>
      <c r="EU51" t="s">
        <v>335</v>
      </c>
      <c r="EV51" t="s">
        <v>336</v>
      </c>
      <c r="EW51" t="s">
        <v>336</v>
      </c>
      <c r="EX51" t="s">
        <v>336</v>
      </c>
      <c r="EY51" t="s">
        <v>336</v>
      </c>
      <c r="EZ51">
        <v>0</v>
      </c>
      <c r="FA51">
        <v>100</v>
      </c>
      <c r="FB51">
        <v>100</v>
      </c>
      <c r="FC51">
        <v>6.495</v>
      </c>
      <c r="FD51">
        <v>0.0588</v>
      </c>
      <c r="FE51">
        <v>6.495476190476325</v>
      </c>
      <c r="FF51">
        <v>0</v>
      </c>
      <c r="FG51">
        <v>0</v>
      </c>
      <c r="FH51">
        <v>0</v>
      </c>
      <c r="FI51">
        <v>0.05881499999999917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35.3</v>
      </c>
      <c r="FR51">
        <v>35.5</v>
      </c>
      <c r="FS51">
        <v>0.145264</v>
      </c>
      <c r="FT51">
        <v>4.99756</v>
      </c>
      <c r="FU51">
        <v>1.5979</v>
      </c>
      <c r="FV51">
        <v>2.16675</v>
      </c>
      <c r="FW51">
        <v>1.54785</v>
      </c>
      <c r="FX51">
        <v>2.40479</v>
      </c>
      <c r="FY51">
        <v>31.5206</v>
      </c>
      <c r="FZ51">
        <v>16.1196</v>
      </c>
      <c r="GA51">
        <v>3</v>
      </c>
      <c r="GB51">
        <v>497.872</v>
      </c>
      <c r="GC51">
        <v>376.492</v>
      </c>
      <c r="GD51">
        <v>25.6256</v>
      </c>
      <c r="GE51">
        <v>27.4643</v>
      </c>
      <c r="GF51">
        <v>30.0003</v>
      </c>
      <c r="GG51">
        <v>27.4029</v>
      </c>
      <c r="GH51">
        <v>27.3972</v>
      </c>
      <c r="GI51">
        <v>-1</v>
      </c>
      <c r="GJ51">
        <v>100</v>
      </c>
      <c r="GK51">
        <v>0</v>
      </c>
      <c r="GL51">
        <v>25.6185</v>
      </c>
      <c r="GM51">
        <v>1200</v>
      </c>
      <c r="GN51">
        <v>26.7455</v>
      </c>
      <c r="GO51">
        <v>102.78</v>
      </c>
      <c r="GP51">
        <v>97.6143</v>
      </c>
    </row>
    <row r="52" spans="1:198">
      <c r="A52">
        <v>36</v>
      </c>
      <c r="B52">
        <v>1773270964</v>
      </c>
      <c r="C52">
        <v>2100.400000095367</v>
      </c>
      <c r="D52" t="s">
        <v>405</v>
      </c>
      <c r="E52" t="s">
        <v>406</v>
      </c>
      <c r="F52">
        <v>15</v>
      </c>
      <c r="G52">
        <v>1773270956</v>
      </c>
      <c r="H52">
        <f>(I52)/1000</f>
        <v>0</v>
      </c>
      <c r="I52">
        <f>1000*AY52*AG52*(AU52-AV52)/(100*AN52*(1000-AG52*AU52))</f>
        <v>0</v>
      </c>
      <c r="J52">
        <f>AY52*AG52*(AT52-AS52*(1000-AG52*AV52)/(1000-AG52*AU52))/(100*AN52)</f>
        <v>0</v>
      </c>
      <c r="K52">
        <f>AS52 - IF(AG52&gt;1, J52*AN52*100.0/(AI52), 0)</f>
        <v>0</v>
      </c>
      <c r="L52">
        <f>((R52-H52/2)*K52-J52)/(R52+H52/2)</f>
        <v>0</v>
      </c>
      <c r="M52">
        <f>L52*(AZ52+BA52)/1000.0</f>
        <v>0</v>
      </c>
      <c r="N52">
        <f>(AS52 - IF(AG52&gt;1, J52*AN52*100.0/(AI52), 0))*(AZ52+BA52)/1000.0</f>
        <v>0</v>
      </c>
      <c r="O52">
        <f>2.0/((1/Q52-1/P52)+SIGN(Q52)*SQRT((1/Q52-1/P52)*(1/Q52-1/P52) + 4*AO52/((AO52+1)*(AO52+1))*(2*1/Q52*1/P52-1/P52*1/P52)))</f>
        <v>0</v>
      </c>
      <c r="P52">
        <f>IF(LEFT(AP52,1)&lt;&gt;"0",IF(LEFT(AP52,1)="1",3.0,AQ52),$D$5+$E$5*(BG52*AZ52/($K$5*1000))+$F$5*(BG52*AZ52/($K$5*1000))*MAX(MIN(AN52,$J$5),$I$5)*MAX(MIN(AN52,$J$5),$I$5)+$G$5*MAX(MIN(AN52,$J$5),$I$5)*(BG52*AZ52/($K$5*1000))+$H$5*(BG52*AZ52/($K$5*1000))*(BG52*AZ52/($K$5*1000)))</f>
        <v>0</v>
      </c>
      <c r="Q52">
        <f>H52*(1000-(1000*0.61365*exp(17.502*U52/(240.97+U52))/(AZ52+BA52)+AU52)/2)/(1000*0.61365*exp(17.502*U52/(240.97+U52))/(AZ52+BA52)-AU52)</f>
        <v>0</v>
      </c>
      <c r="R52">
        <f>1/((AO52+1)/(O52/1.6)+1/(P52/1.37)) + AO52/((AO52+1)/(O52/1.6) + AO52/(P52/1.37))</f>
        <v>0</v>
      </c>
      <c r="S52">
        <f>(AJ52*AM52)</f>
        <v>0</v>
      </c>
      <c r="T52">
        <f>(BB52+(S52+2*0.95*5.67E-8*(((BB52+$B$7)+273)^4-(BB52+273)^4)-44100*H52)/(1.84*29.3*P52+8*0.95*5.67E-8*(BB52+273)^3))</f>
        <v>0</v>
      </c>
      <c r="U52">
        <f>($C$7*BC52+$D$7*BD52+$E$7*T52)</f>
        <v>0</v>
      </c>
      <c r="V52">
        <f>0.61365*exp(17.502*U52/(240.97+U52))</f>
        <v>0</v>
      </c>
      <c r="W52">
        <f>(X52/Y52*100)</f>
        <v>0</v>
      </c>
      <c r="X52">
        <f>AU52*(AZ52+BA52)/1000</f>
        <v>0</v>
      </c>
      <c r="Y52">
        <f>0.61365*exp(17.502*BB52/(240.97+BB52))</f>
        <v>0</v>
      </c>
      <c r="Z52">
        <f>(V52-AU52*(AZ52+BA52)/1000)</f>
        <v>0</v>
      </c>
      <c r="AA52">
        <f>(-H52*44100)</f>
        <v>0</v>
      </c>
      <c r="AB52">
        <f>2*29.3*P52*0.92*(BB52-U52)</f>
        <v>0</v>
      </c>
      <c r="AC52">
        <f>2*0.95*5.67E-8*(((BB52+$B$7)+273)^4-(U52+273)^4)</f>
        <v>0</v>
      </c>
      <c r="AD52">
        <f>S52+AC52+AA52+AB52</f>
        <v>0</v>
      </c>
      <c r="AE52">
        <v>4</v>
      </c>
      <c r="AF52">
        <v>1</v>
      </c>
      <c r="AG52">
        <f>IF(AE52*$H$13&gt;=AI52,1.0,(AI52/(AI52-AE52*$H$13)))</f>
        <v>0</v>
      </c>
      <c r="AH52">
        <f>(AG52-1)*100</f>
        <v>0</v>
      </c>
      <c r="AI52">
        <f>MAX(0,($B$13+$C$13*BG52)/(1+$D$13*BG52)*AZ52/(BB52+273)*$E$13)</f>
        <v>0</v>
      </c>
      <c r="AJ52">
        <f>$B$11*BH52+$C$11*BI52+$D$11*BT52</f>
        <v>0</v>
      </c>
      <c r="AK52">
        <f>AJ52*AL52</f>
        <v>0</v>
      </c>
      <c r="AL52">
        <f>($B$11*$D$9+$C$11*$D$9+$D$11*(BU52*$E$9+BV52*$G$9))/($B$11+$C$11+$D$11)</f>
        <v>0</v>
      </c>
      <c r="AM52">
        <f>($B$11*$K$9+$C$11*$K$9+$D$11*(BU52*$L$9+BV52*$N$9))/($B$11+$C$11+$D$11)</f>
        <v>0</v>
      </c>
      <c r="AN52">
        <v>3</v>
      </c>
      <c r="AO52">
        <v>0.5</v>
      </c>
      <c r="AP52" t="s">
        <v>331</v>
      </c>
      <c r="AQ52">
        <v>2</v>
      </c>
      <c r="AR52">
        <v>1773270956</v>
      </c>
      <c r="AS52">
        <v>491.1147419354839</v>
      </c>
      <c r="AT52">
        <v>489.7838387096774</v>
      </c>
      <c r="AU52">
        <v>8.231801935483871</v>
      </c>
      <c r="AV52">
        <v>7.573043548387098</v>
      </c>
      <c r="AW52">
        <v>484.6193870967742</v>
      </c>
      <c r="AX52">
        <v>8.172985483870967</v>
      </c>
      <c r="AY52">
        <v>500.0109354838709</v>
      </c>
      <c r="AZ52">
        <v>100.2242903225807</v>
      </c>
      <c r="BA52">
        <v>0.03311474838709677</v>
      </c>
      <c r="BB52">
        <v>25.00303870967743</v>
      </c>
      <c r="BC52">
        <v>24.74844193548386</v>
      </c>
      <c r="BD52">
        <v>999.9000000000003</v>
      </c>
      <c r="BE52">
        <v>0</v>
      </c>
      <c r="BF52">
        <v>0</v>
      </c>
      <c r="BG52">
        <v>5002.483870967741</v>
      </c>
      <c r="BH52">
        <v>0.6592282903225805</v>
      </c>
      <c r="BI52">
        <v>99.18708064516129</v>
      </c>
      <c r="BJ52">
        <v>1.331059354838709</v>
      </c>
      <c r="BK52">
        <v>495.1911935483872</v>
      </c>
      <c r="BL52">
        <v>493.5212258064516</v>
      </c>
      <c r="BM52">
        <v>0.6587582580645163</v>
      </c>
      <c r="BN52">
        <v>489.7838387096774</v>
      </c>
      <c r="BO52">
        <v>7.573043548387098</v>
      </c>
      <c r="BP52">
        <v>0.8250257419354839</v>
      </c>
      <c r="BQ52">
        <v>0.7590022580645159</v>
      </c>
      <c r="BR52">
        <v>4.145333548387097</v>
      </c>
      <c r="BS52">
        <v>2.962816774193549</v>
      </c>
      <c r="BT52">
        <v>0</v>
      </c>
      <c r="BU52">
        <v>0</v>
      </c>
      <c r="BV52">
        <v>0</v>
      </c>
      <c r="BW52">
        <v>24</v>
      </c>
      <c r="BX52">
        <v>11.20645483870968</v>
      </c>
      <c r="BY52">
        <v>1773268786.6</v>
      </c>
      <c r="BZ52" t="s">
        <v>332</v>
      </c>
      <c r="CA52">
        <v>1773268786.6</v>
      </c>
      <c r="CB52">
        <v>1773268774.1</v>
      </c>
      <c r="CC52">
        <v>2</v>
      </c>
      <c r="CD52">
        <v>0.264</v>
      </c>
      <c r="CE52">
        <v>-0.024</v>
      </c>
      <c r="CF52">
        <v>6.495</v>
      </c>
      <c r="CG52">
        <v>0.059</v>
      </c>
      <c r="CH52">
        <v>488</v>
      </c>
      <c r="CI52">
        <v>25</v>
      </c>
      <c r="CJ52">
        <v>0.48</v>
      </c>
      <c r="CK52">
        <v>0.14</v>
      </c>
      <c r="CL52">
        <v>489.7761666666667</v>
      </c>
      <c r="CM52">
        <v>2.229597330366007</v>
      </c>
      <c r="CN52">
        <v>0.1621912622663631</v>
      </c>
      <c r="CO52">
        <v>-1</v>
      </c>
      <c r="CP52">
        <v>500.0111666666666</v>
      </c>
      <c r="CQ52">
        <v>-0.1482447163505965</v>
      </c>
      <c r="CR52">
        <v>0.03475061949887737</v>
      </c>
      <c r="CS52">
        <v>-1</v>
      </c>
      <c r="CT52">
        <v>0</v>
      </c>
      <c r="CU52">
        <v>0</v>
      </c>
      <c r="CV52" t="s">
        <v>333</v>
      </c>
      <c r="CW52">
        <v>3.16911</v>
      </c>
      <c r="CX52">
        <v>2.65431</v>
      </c>
      <c r="CY52">
        <v>0.113958</v>
      </c>
      <c r="CZ52">
        <v>0.11492</v>
      </c>
      <c r="DA52">
        <v>0.0512318</v>
      </c>
      <c r="DB52">
        <v>0.0479492</v>
      </c>
      <c r="DC52">
        <v>21394.8</v>
      </c>
      <c r="DD52">
        <v>21865.3</v>
      </c>
      <c r="DE52">
        <v>23236.2</v>
      </c>
      <c r="DF52">
        <v>22587.4</v>
      </c>
      <c r="DG52">
        <v>33302.2</v>
      </c>
      <c r="DH52">
        <v>30343.2</v>
      </c>
      <c r="DI52">
        <v>40825.1</v>
      </c>
      <c r="DJ52">
        <v>37394.1</v>
      </c>
      <c r="DK52">
        <v>2.11964</v>
      </c>
      <c r="DL52">
        <v>1.7744</v>
      </c>
      <c r="DM52">
        <v>0.00459552</v>
      </c>
      <c r="DN52">
        <v>0</v>
      </c>
      <c r="DO52">
        <v>24.6752</v>
      </c>
      <c r="DP52">
        <v>999.9</v>
      </c>
      <c r="DQ52">
        <v>68</v>
      </c>
      <c r="DR52">
        <v>27.3</v>
      </c>
      <c r="DS52">
        <v>24.7143</v>
      </c>
      <c r="DT52">
        <v>30.25</v>
      </c>
      <c r="DU52">
        <v>11.4904</v>
      </c>
      <c r="DV52">
        <v>1</v>
      </c>
      <c r="DW52">
        <v>0.0282947</v>
      </c>
      <c r="DX52">
        <v>-0.197551</v>
      </c>
      <c r="DY52">
        <v>20.3683</v>
      </c>
      <c r="DZ52">
        <v>5.21082</v>
      </c>
      <c r="EA52">
        <v>11.8482</v>
      </c>
      <c r="EB52">
        <v>4.96776</v>
      </c>
      <c r="EC52">
        <v>3.292</v>
      </c>
      <c r="ED52">
        <v>879.4</v>
      </c>
      <c r="EE52">
        <v>9999</v>
      </c>
      <c r="EF52">
        <v>9999</v>
      </c>
      <c r="EG52">
        <v>80.7</v>
      </c>
      <c r="EH52">
        <v>4.97161</v>
      </c>
      <c r="EI52">
        <v>1.87169</v>
      </c>
      <c r="EJ52">
        <v>1.86888</v>
      </c>
      <c r="EK52">
        <v>1.8713</v>
      </c>
      <c r="EL52">
        <v>1.86904</v>
      </c>
      <c r="EM52">
        <v>1.86798</v>
      </c>
      <c r="EN52">
        <v>1.86981</v>
      </c>
      <c r="EO52">
        <v>1.87164</v>
      </c>
      <c r="EP52">
        <v>0</v>
      </c>
      <c r="EQ52">
        <v>0</v>
      </c>
      <c r="ER52">
        <v>0</v>
      </c>
      <c r="ES52">
        <v>0</v>
      </c>
      <c r="ET52" t="s">
        <v>334</v>
      </c>
      <c r="EU52" t="s">
        <v>335</v>
      </c>
      <c r="EV52" t="s">
        <v>336</v>
      </c>
      <c r="EW52" t="s">
        <v>336</v>
      </c>
      <c r="EX52" t="s">
        <v>336</v>
      </c>
      <c r="EY52" t="s">
        <v>336</v>
      </c>
      <c r="EZ52">
        <v>0</v>
      </c>
      <c r="FA52">
        <v>100</v>
      </c>
      <c r="FB52">
        <v>100</v>
      </c>
      <c r="FC52">
        <v>6.496</v>
      </c>
      <c r="FD52">
        <v>0.0588</v>
      </c>
      <c r="FE52">
        <v>6.495476190476325</v>
      </c>
      <c r="FF52">
        <v>0</v>
      </c>
      <c r="FG52">
        <v>0</v>
      </c>
      <c r="FH52">
        <v>0</v>
      </c>
      <c r="FI52">
        <v>0.05881499999999917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36.3</v>
      </c>
      <c r="FR52">
        <v>36.5</v>
      </c>
      <c r="FS52">
        <v>0.145264</v>
      </c>
      <c r="FT52">
        <v>4.99756</v>
      </c>
      <c r="FU52">
        <v>1.5979</v>
      </c>
      <c r="FV52">
        <v>2.16675</v>
      </c>
      <c r="FW52">
        <v>1.54785</v>
      </c>
      <c r="FX52">
        <v>2.39624</v>
      </c>
      <c r="FY52">
        <v>31.5643</v>
      </c>
      <c r="FZ52">
        <v>16.1196</v>
      </c>
      <c r="GA52">
        <v>3</v>
      </c>
      <c r="GB52">
        <v>497.984</v>
      </c>
      <c r="GC52">
        <v>376.407</v>
      </c>
      <c r="GD52">
        <v>25.7349</v>
      </c>
      <c r="GE52">
        <v>27.4848</v>
      </c>
      <c r="GF52">
        <v>30.0002</v>
      </c>
      <c r="GG52">
        <v>27.4197</v>
      </c>
      <c r="GH52">
        <v>27.4124</v>
      </c>
      <c r="GI52">
        <v>-1</v>
      </c>
      <c r="GJ52">
        <v>100</v>
      </c>
      <c r="GK52">
        <v>0</v>
      </c>
      <c r="GL52">
        <v>25.7298</v>
      </c>
      <c r="GM52">
        <v>1200</v>
      </c>
      <c r="GN52">
        <v>26.7455</v>
      </c>
      <c r="GO52">
        <v>102.774</v>
      </c>
      <c r="GP52">
        <v>97.6135</v>
      </c>
    </row>
    <row r="53" spans="1:198">
      <c r="A53">
        <v>37</v>
      </c>
      <c r="B53">
        <v>1773271024</v>
      </c>
      <c r="C53">
        <v>2160.400000095367</v>
      </c>
      <c r="D53" t="s">
        <v>407</v>
      </c>
      <c r="E53" t="s">
        <v>408</v>
      </c>
      <c r="F53">
        <v>15</v>
      </c>
      <c r="G53">
        <v>1773271016</v>
      </c>
      <c r="H53">
        <f>(I53)/1000</f>
        <v>0</v>
      </c>
      <c r="I53">
        <f>1000*AY53*AG53*(AU53-AV53)/(100*AN53*(1000-AG53*AU53))</f>
        <v>0</v>
      </c>
      <c r="J53">
        <f>AY53*AG53*(AT53-AS53*(1000-AG53*AV53)/(1000-AG53*AU53))/(100*AN53)</f>
        <v>0</v>
      </c>
      <c r="K53">
        <f>AS53 - IF(AG53&gt;1, J53*AN53*100.0/(AI53), 0)</f>
        <v>0</v>
      </c>
      <c r="L53">
        <f>((R53-H53/2)*K53-J53)/(R53+H53/2)</f>
        <v>0</v>
      </c>
      <c r="M53">
        <f>L53*(AZ53+BA53)/1000.0</f>
        <v>0</v>
      </c>
      <c r="N53">
        <f>(AS53 - IF(AG53&gt;1, J53*AN53*100.0/(AI53), 0))*(AZ53+BA53)/1000.0</f>
        <v>0</v>
      </c>
      <c r="O53">
        <f>2.0/((1/Q53-1/P53)+SIGN(Q53)*SQRT((1/Q53-1/P53)*(1/Q53-1/P53) + 4*AO53/((AO53+1)*(AO53+1))*(2*1/Q53*1/P53-1/P53*1/P53)))</f>
        <v>0</v>
      </c>
      <c r="P53">
        <f>IF(LEFT(AP53,1)&lt;&gt;"0",IF(LEFT(AP53,1)="1",3.0,AQ53),$D$5+$E$5*(BG53*AZ53/($K$5*1000))+$F$5*(BG53*AZ53/($K$5*1000))*MAX(MIN(AN53,$J$5),$I$5)*MAX(MIN(AN53,$J$5),$I$5)+$G$5*MAX(MIN(AN53,$J$5),$I$5)*(BG53*AZ53/($K$5*1000))+$H$5*(BG53*AZ53/($K$5*1000))*(BG53*AZ53/($K$5*1000)))</f>
        <v>0</v>
      </c>
      <c r="Q53">
        <f>H53*(1000-(1000*0.61365*exp(17.502*U53/(240.97+U53))/(AZ53+BA53)+AU53)/2)/(1000*0.61365*exp(17.502*U53/(240.97+U53))/(AZ53+BA53)-AU53)</f>
        <v>0</v>
      </c>
      <c r="R53">
        <f>1/((AO53+1)/(O53/1.6)+1/(P53/1.37)) + AO53/((AO53+1)/(O53/1.6) + AO53/(P53/1.37))</f>
        <v>0</v>
      </c>
      <c r="S53">
        <f>(AJ53*AM53)</f>
        <v>0</v>
      </c>
      <c r="T53">
        <f>(BB53+(S53+2*0.95*5.67E-8*(((BB53+$B$7)+273)^4-(BB53+273)^4)-44100*H53)/(1.84*29.3*P53+8*0.95*5.67E-8*(BB53+273)^3))</f>
        <v>0</v>
      </c>
      <c r="U53">
        <f>($C$7*BC53+$D$7*BD53+$E$7*T53)</f>
        <v>0</v>
      </c>
      <c r="V53">
        <f>0.61365*exp(17.502*U53/(240.97+U53))</f>
        <v>0</v>
      </c>
      <c r="W53">
        <f>(X53/Y53*100)</f>
        <v>0</v>
      </c>
      <c r="X53">
        <f>AU53*(AZ53+BA53)/1000</f>
        <v>0</v>
      </c>
      <c r="Y53">
        <f>0.61365*exp(17.502*BB53/(240.97+BB53))</f>
        <v>0</v>
      </c>
      <c r="Z53">
        <f>(V53-AU53*(AZ53+BA53)/1000)</f>
        <v>0</v>
      </c>
      <c r="AA53">
        <f>(-H53*44100)</f>
        <v>0</v>
      </c>
      <c r="AB53">
        <f>2*29.3*P53*0.92*(BB53-U53)</f>
        <v>0</v>
      </c>
      <c r="AC53">
        <f>2*0.95*5.67E-8*(((BB53+$B$7)+273)^4-(U53+273)^4)</f>
        <v>0</v>
      </c>
      <c r="AD53">
        <f>S53+AC53+AA53+AB53</f>
        <v>0</v>
      </c>
      <c r="AE53">
        <v>5</v>
      </c>
      <c r="AF53">
        <v>1</v>
      </c>
      <c r="AG53">
        <f>IF(AE53*$H$13&gt;=AI53,1.0,(AI53/(AI53-AE53*$H$13)))</f>
        <v>0</v>
      </c>
      <c r="AH53">
        <f>(AG53-1)*100</f>
        <v>0</v>
      </c>
      <c r="AI53">
        <f>MAX(0,($B$13+$C$13*BG53)/(1+$D$13*BG53)*AZ53/(BB53+273)*$E$13)</f>
        <v>0</v>
      </c>
      <c r="AJ53">
        <f>$B$11*BH53+$C$11*BI53+$D$11*BT53</f>
        <v>0</v>
      </c>
      <c r="AK53">
        <f>AJ53*AL53</f>
        <v>0</v>
      </c>
      <c r="AL53">
        <f>($B$11*$D$9+$C$11*$D$9+$D$11*(BU53*$E$9+BV53*$G$9))/($B$11+$C$11+$D$11)</f>
        <v>0</v>
      </c>
      <c r="AM53">
        <f>($B$11*$K$9+$C$11*$K$9+$D$11*(BU53*$L$9+BV53*$N$9))/($B$11+$C$11+$D$11)</f>
        <v>0</v>
      </c>
      <c r="AN53">
        <v>3</v>
      </c>
      <c r="AO53">
        <v>0.5</v>
      </c>
      <c r="AP53" t="s">
        <v>331</v>
      </c>
      <c r="AQ53">
        <v>2</v>
      </c>
      <c r="AR53">
        <v>1773271016</v>
      </c>
      <c r="AS53">
        <v>491.2434193548387</v>
      </c>
      <c r="AT53">
        <v>490.0471612903225</v>
      </c>
      <c r="AU53">
        <v>8.286181612903226</v>
      </c>
      <c r="AV53">
        <v>7.625415161290323</v>
      </c>
      <c r="AW53">
        <v>484.7479354838711</v>
      </c>
      <c r="AX53">
        <v>8.22736741935484</v>
      </c>
      <c r="AY53">
        <v>500.0078709677419</v>
      </c>
      <c r="AZ53">
        <v>100.2263548387096</v>
      </c>
      <c r="BA53">
        <v>0.0327982</v>
      </c>
      <c r="BB53">
        <v>25.01251290322579</v>
      </c>
      <c r="BC53">
        <v>24.76698064516129</v>
      </c>
      <c r="BD53">
        <v>999.9000000000003</v>
      </c>
      <c r="BE53">
        <v>0</v>
      </c>
      <c r="BF53">
        <v>0</v>
      </c>
      <c r="BG53">
        <v>5004.225806451613</v>
      </c>
      <c r="BH53">
        <v>0.7932849677419357</v>
      </c>
      <c r="BI53">
        <v>122.9961935483871</v>
      </c>
      <c r="BJ53">
        <v>1.196184516129032</v>
      </c>
      <c r="BK53">
        <v>495.3478709677419</v>
      </c>
      <c r="BL53">
        <v>493.8126774193549</v>
      </c>
      <c r="BM53">
        <v>0.6607671290322582</v>
      </c>
      <c r="BN53">
        <v>490.0471612903225</v>
      </c>
      <c r="BO53">
        <v>7.625415161290323</v>
      </c>
      <c r="BP53">
        <v>0.8304945806451614</v>
      </c>
      <c r="BQ53">
        <v>0.7642682258064516</v>
      </c>
      <c r="BR53">
        <v>4.239491290322581</v>
      </c>
      <c r="BS53">
        <v>3.060404838709677</v>
      </c>
      <c r="BT53">
        <v>0</v>
      </c>
      <c r="BU53">
        <v>0</v>
      </c>
      <c r="BV53">
        <v>0</v>
      </c>
      <c r="BW53">
        <v>24</v>
      </c>
      <c r="BX53">
        <v>18.31076774193548</v>
      </c>
      <c r="BY53">
        <v>1773268786.6</v>
      </c>
      <c r="BZ53" t="s">
        <v>332</v>
      </c>
      <c r="CA53">
        <v>1773268786.6</v>
      </c>
      <c r="CB53">
        <v>1773268774.1</v>
      </c>
      <c r="CC53">
        <v>2</v>
      </c>
      <c r="CD53">
        <v>0.264</v>
      </c>
      <c r="CE53">
        <v>-0.024</v>
      </c>
      <c r="CF53">
        <v>6.495</v>
      </c>
      <c r="CG53">
        <v>0.059</v>
      </c>
      <c r="CH53">
        <v>488</v>
      </c>
      <c r="CI53">
        <v>25</v>
      </c>
      <c r="CJ53">
        <v>0.48</v>
      </c>
      <c r="CK53">
        <v>0.14</v>
      </c>
      <c r="CL53">
        <v>490.0369</v>
      </c>
      <c r="CM53">
        <v>1.625672969967263</v>
      </c>
      <c r="CN53">
        <v>0.1232486240626348</v>
      </c>
      <c r="CO53">
        <v>-1</v>
      </c>
      <c r="CP53">
        <v>500.0061666666667</v>
      </c>
      <c r="CQ53">
        <v>0.1166362625138342</v>
      </c>
      <c r="CR53">
        <v>0.03629700018213446</v>
      </c>
      <c r="CS53">
        <v>-1</v>
      </c>
      <c r="CT53">
        <v>0</v>
      </c>
      <c r="CU53">
        <v>0</v>
      </c>
      <c r="CV53" t="s">
        <v>333</v>
      </c>
      <c r="CW53">
        <v>3.16919</v>
      </c>
      <c r="CX53">
        <v>2.65404</v>
      </c>
      <c r="CY53">
        <v>0.113997</v>
      </c>
      <c r="CZ53">
        <v>0.114983</v>
      </c>
      <c r="DA53">
        <v>0.0515011</v>
      </c>
      <c r="DB53">
        <v>0.0482195</v>
      </c>
      <c r="DC53">
        <v>21392.5</v>
      </c>
      <c r="DD53">
        <v>21863.3</v>
      </c>
      <c r="DE53">
        <v>23234.8</v>
      </c>
      <c r="DF53">
        <v>22587</v>
      </c>
      <c r="DG53">
        <v>33290.8</v>
      </c>
      <c r="DH53">
        <v>30333.8</v>
      </c>
      <c r="DI53">
        <v>40822.7</v>
      </c>
      <c r="DJ53">
        <v>37393.2</v>
      </c>
      <c r="DK53">
        <v>2.11926</v>
      </c>
      <c r="DL53">
        <v>1.77376</v>
      </c>
      <c r="DM53">
        <v>0.00351667</v>
      </c>
      <c r="DN53">
        <v>0</v>
      </c>
      <c r="DO53">
        <v>24.7135</v>
      </c>
      <c r="DP53">
        <v>999.9</v>
      </c>
      <c r="DQ53">
        <v>68</v>
      </c>
      <c r="DR53">
        <v>27.3</v>
      </c>
      <c r="DS53">
        <v>24.7144</v>
      </c>
      <c r="DT53">
        <v>30.28</v>
      </c>
      <c r="DU53">
        <v>11.5745</v>
      </c>
      <c r="DV53">
        <v>1</v>
      </c>
      <c r="DW53">
        <v>0.0296524</v>
      </c>
      <c r="DX53">
        <v>-0.0778606</v>
      </c>
      <c r="DY53">
        <v>20.3685</v>
      </c>
      <c r="DZ53">
        <v>5.2119</v>
      </c>
      <c r="EA53">
        <v>11.8482</v>
      </c>
      <c r="EB53">
        <v>4.9688</v>
      </c>
      <c r="EC53">
        <v>3.29202</v>
      </c>
      <c r="ED53">
        <v>879.4</v>
      </c>
      <c r="EE53">
        <v>9999</v>
      </c>
      <c r="EF53">
        <v>9999</v>
      </c>
      <c r="EG53">
        <v>80.7</v>
      </c>
      <c r="EH53">
        <v>4.97164</v>
      </c>
      <c r="EI53">
        <v>1.87175</v>
      </c>
      <c r="EJ53">
        <v>1.86888</v>
      </c>
      <c r="EK53">
        <v>1.87132</v>
      </c>
      <c r="EL53">
        <v>1.86903</v>
      </c>
      <c r="EM53">
        <v>1.86798</v>
      </c>
      <c r="EN53">
        <v>1.86981</v>
      </c>
      <c r="EO53">
        <v>1.87164</v>
      </c>
      <c r="EP53">
        <v>0</v>
      </c>
      <c r="EQ53">
        <v>0</v>
      </c>
      <c r="ER53">
        <v>0</v>
      </c>
      <c r="ES53">
        <v>0</v>
      </c>
      <c r="ET53" t="s">
        <v>334</v>
      </c>
      <c r="EU53" t="s">
        <v>335</v>
      </c>
      <c r="EV53" t="s">
        <v>336</v>
      </c>
      <c r="EW53" t="s">
        <v>336</v>
      </c>
      <c r="EX53" t="s">
        <v>336</v>
      </c>
      <c r="EY53" t="s">
        <v>336</v>
      </c>
      <c r="EZ53">
        <v>0</v>
      </c>
      <c r="FA53">
        <v>100</v>
      </c>
      <c r="FB53">
        <v>100</v>
      </c>
      <c r="FC53">
        <v>6.495</v>
      </c>
      <c r="FD53">
        <v>0.0588</v>
      </c>
      <c r="FE53">
        <v>6.495476190476325</v>
      </c>
      <c r="FF53">
        <v>0</v>
      </c>
      <c r="FG53">
        <v>0</v>
      </c>
      <c r="FH53">
        <v>0</v>
      </c>
      <c r="FI53">
        <v>0.05881499999999917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37.3</v>
      </c>
      <c r="FR53">
        <v>37.5</v>
      </c>
      <c r="FS53">
        <v>0.145264</v>
      </c>
      <c r="FT53">
        <v>4.99756</v>
      </c>
      <c r="FU53">
        <v>1.5979</v>
      </c>
      <c r="FV53">
        <v>2.16675</v>
      </c>
      <c r="FW53">
        <v>1.54785</v>
      </c>
      <c r="FX53">
        <v>2.40479</v>
      </c>
      <c r="FY53">
        <v>31.608</v>
      </c>
      <c r="FZ53">
        <v>16.1109</v>
      </c>
      <c r="GA53">
        <v>3</v>
      </c>
      <c r="GB53">
        <v>497.9</v>
      </c>
      <c r="GC53">
        <v>376.173</v>
      </c>
      <c r="GD53">
        <v>25.6213</v>
      </c>
      <c r="GE53">
        <v>27.5049</v>
      </c>
      <c r="GF53">
        <v>30.0003</v>
      </c>
      <c r="GG53">
        <v>27.4364</v>
      </c>
      <c r="GH53">
        <v>27.4295</v>
      </c>
      <c r="GI53">
        <v>-1</v>
      </c>
      <c r="GJ53">
        <v>100</v>
      </c>
      <c r="GK53">
        <v>0</v>
      </c>
      <c r="GL53">
        <v>25.6072</v>
      </c>
      <c r="GM53">
        <v>1200</v>
      </c>
      <c r="GN53">
        <v>26.7455</v>
      </c>
      <c r="GO53">
        <v>102.768</v>
      </c>
      <c r="GP53">
        <v>97.6114</v>
      </c>
    </row>
    <row r="54" spans="1:198">
      <c r="A54">
        <v>38</v>
      </c>
      <c r="B54">
        <v>1773271084</v>
      </c>
      <c r="C54">
        <v>2220.400000095367</v>
      </c>
      <c r="D54" t="s">
        <v>409</v>
      </c>
      <c r="E54" t="s">
        <v>410</v>
      </c>
      <c r="F54">
        <v>15</v>
      </c>
      <c r="G54">
        <v>1773271076</v>
      </c>
      <c r="H54">
        <f>(I54)/1000</f>
        <v>0</v>
      </c>
      <c r="I54">
        <f>1000*AY54*AG54*(AU54-AV54)/(100*AN54*(1000-AG54*AU54))</f>
        <v>0</v>
      </c>
      <c r="J54">
        <f>AY54*AG54*(AT54-AS54*(1000-AG54*AV54)/(1000-AG54*AU54))/(100*AN54)</f>
        <v>0</v>
      </c>
      <c r="K54">
        <f>AS54 - IF(AG54&gt;1, J54*AN54*100.0/(AI54), 0)</f>
        <v>0</v>
      </c>
      <c r="L54">
        <f>((R54-H54/2)*K54-J54)/(R54+H54/2)</f>
        <v>0</v>
      </c>
      <c r="M54">
        <f>L54*(AZ54+BA54)/1000.0</f>
        <v>0</v>
      </c>
      <c r="N54">
        <f>(AS54 - IF(AG54&gt;1, J54*AN54*100.0/(AI54), 0))*(AZ54+BA54)/1000.0</f>
        <v>0</v>
      </c>
      <c r="O54">
        <f>2.0/((1/Q54-1/P54)+SIGN(Q54)*SQRT((1/Q54-1/P54)*(1/Q54-1/P54) + 4*AO54/((AO54+1)*(AO54+1))*(2*1/Q54*1/P54-1/P54*1/P54)))</f>
        <v>0</v>
      </c>
      <c r="P54">
        <f>IF(LEFT(AP54,1)&lt;&gt;"0",IF(LEFT(AP54,1)="1",3.0,AQ54),$D$5+$E$5*(BG54*AZ54/($K$5*1000))+$F$5*(BG54*AZ54/($K$5*1000))*MAX(MIN(AN54,$J$5),$I$5)*MAX(MIN(AN54,$J$5),$I$5)+$G$5*MAX(MIN(AN54,$J$5),$I$5)*(BG54*AZ54/($K$5*1000))+$H$5*(BG54*AZ54/($K$5*1000))*(BG54*AZ54/($K$5*1000)))</f>
        <v>0</v>
      </c>
      <c r="Q54">
        <f>H54*(1000-(1000*0.61365*exp(17.502*U54/(240.97+U54))/(AZ54+BA54)+AU54)/2)/(1000*0.61365*exp(17.502*U54/(240.97+U54))/(AZ54+BA54)-AU54)</f>
        <v>0</v>
      </c>
      <c r="R54">
        <f>1/((AO54+1)/(O54/1.6)+1/(P54/1.37)) + AO54/((AO54+1)/(O54/1.6) + AO54/(P54/1.37))</f>
        <v>0</v>
      </c>
      <c r="S54">
        <f>(AJ54*AM54)</f>
        <v>0</v>
      </c>
      <c r="T54">
        <f>(BB54+(S54+2*0.95*5.67E-8*(((BB54+$B$7)+273)^4-(BB54+273)^4)-44100*H54)/(1.84*29.3*P54+8*0.95*5.67E-8*(BB54+273)^3))</f>
        <v>0</v>
      </c>
      <c r="U54">
        <f>($C$7*BC54+$D$7*BD54+$E$7*T54)</f>
        <v>0</v>
      </c>
      <c r="V54">
        <f>0.61365*exp(17.502*U54/(240.97+U54))</f>
        <v>0</v>
      </c>
      <c r="W54">
        <f>(X54/Y54*100)</f>
        <v>0</v>
      </c>
      <c r="X54">
        <f>AU54*(AZ54+BA54)/1000</f>
        <v>0</v>
      </c>
      <c r="Y54">
        <f>0.61365*exp(17.502*BB54/(240.97+BB54))</f>
        <v>0</v>
      </c>
      <c r="Z54">
        <f>(V54-AU54*(AZ54+BA54)/1000)</f>
        <v>0</v>
      </c>
      <c r="AA54">
        <f>(-H54*44100)</f>
        <v>0</v>
      </c>
      <c r="AB54">
        <f>2*29.3*P54*0.92*(BB54-U54)</f>
        <v>0</v>
      </c>
      <c r="AC54">
        <f>2*0.95*5.67E-8*(((BB54+$B$7)+273)^4-(U54+273)^4)</f>
        <v>0</v>
      </c>
      <c r="AD54">
        <f>S54+AC54+AA54+AB54</f>
        <v>0</v>
      </c>
      <c r="AE54">
        <v>4</v>
      </c>
      <c r="AF54">
        <v>1</v>
      </c>
      <c r="AG54">
        <f>IF(AE54*$H$13&gt;=AI54,1.0,(AI54/(AI54-AE54*$H$13)))</f>
        <v>0</v>
      </c>
      <c r="AH54">
        <f>(AG54-1)*100</f>
        <v>0</v>
      </c>
      <c r="AI54">
        <f>MAX(0,($B$13+$C$13*BG54)/(1+$D$13*BG54)*AZ54/(BB54+273)*$E$13)</f>
        <v>0</v>
      </c>
      <c r="AJ54">
        <f>$B$11*BH54+$C$11*BI54+$D$11*BT54</f>
        <v>0</v>
      </c>
      <c r="AK54">
        <f>AJ54*AL54</f>
        <v>0</v>
      </c>
      <c r="AL54">
        <f>($B$11*$D$9+$C$11*$D$9+$D$11*(BU54*$E$9+BV54*$G$9))/($B$11+$C$11+$D$11)</f>
        <v>0</v>
      </c>
      <c r="AM54">
        <f>($B$11*$K$9+$C$11*$K$9+$D$11*(BU54*$L$9+BV54*$N$9))/($B$11+$C$11+$D$11)</f>
        <v>0</v>
      </c>
      <c r="AN54">
        <v>3</v>
      </c>
      <c r="AO54">
        <v>0.5</v>
      </c>
      <c r="AP54" t="s">
        <v>331</v>
      </c>
      <c r="AQ54">
        <v>2</v>
      </c>
      <c r="AR54">
        <v>1773271076</v>
      </c>
      <c r="AS54">
        <v>491.3594838709677</v>
      </c>
      <c r="AT54">
        <v>489.9508709677419</v>
      </c>
      <c r="AU54">
        <v>8.343083225806449</v>
      </c>
      <c r="AV54">
        <v>7.679970322580647</v>
      </c>
      <c r="AW54">
        <v>484.8640645161291</v>
      </c>
      <c r="AX54">
        <v>8.284267741935484</v>
      </c>
      <c r="AY54">
        <v>500.0066451612903</v>
      </c>
      <c r="AZ54">
        <v>100.2286129032258</v>
      </c>
      <c r="BA54">
        <v>0.03298988709677419</v>
      </c>
      <c r="BB54">
        <v>25.002</v>
      </c>
      <c r="BC54">
        <v>24.77151290322581</v>
      </c>
      <c r="BD54">
        <v>999.9000000000003</v>
      </c>
      <c r="BE54">
        <v>0</v>
      </c>
      <c r="BF54">
        <v>0</v>
      </c>
      <c r="BG54">
        <v>5004.112903225807</v>
      </c>
      <c r="BH54">
        <v>0.9619594516129031</v>
      </c>
      <c r="BI54">
        <v>148.6991612903226</v>
      </c>
      <c r="BJ54">
        <v>1.408649032258064</v>
      </c>
      <c r="BK54">
        <v>495.4935161290322</v>
      </c>
      <c r="BL54">
        <v>493.7428064516129</v>
      </c>
      <c r="BM54">
        <v>0.6631133548387097</v>
      </c>
      <c r="BN54">
        <v>489.9508709677419</v>
      </c>
      <c r="BO54">
        <v>7.679970322580647</v>
      </c>
      <c r="BP54">
        <v>0.8362163870967741</v>
      </c>
      <c r="BQ54">
        <v>0.7697533870967742</v>
      </c>
      <c r="BR54">
        <v>4.337415161290322</v>
      </c>
      <c r="BS54">
        <v>3.161423225806451</v>
      </c>
      <c r="BT54">
        <v>0</v>
      </c>
      <c r="BU54">
        <v>0</v>
      </c>
      <c r="BV54">
        <v>0</v>
      </c>
      <c r="BW54">
        <v>24</v>
      </c>
      <c r="BX54">
        <v>25.62903225806452</v>
      </c>
      <c r="BY54">
        <v>1773268786.6</v>
      </c>
      <c r="BZ54" t="s">
        <v>332</v>
      </c>
      <c r="CA54">
        <v>1773268786.6</v>
      </c>
      <c r="CB54">
        <v>1773268774.1</v>
      </c>
      <c r="CC54">
        <v>2</v>
      </c>
      <c r="CD54">
        <v>0.264</v>
      </c>
      <c r="CE54">
        <v>-0.024</v>
      </c>
      <c r="CF54">
        <v>6.495</v>
      </c>
      <c r="CG54">
        <v>0.059</v>
      </c>
      <c r="CH54">
        <v>488</v>
      </c>
      <c r="CI54">
        <v>25</v>
      </c>
      <c r="CJ54">
        <v>0.48</v>
      </c>
      <c r="CK54">
        <v>0.14</v>
      </c>
      <c r="CL54">
        <v>489.9616333333333</v>
      </c>
      <c r="CM54">
        <v>-1.082349276974421</v>
      </c>
      <c r="CN54">
        <v>0.1070658623880173</v>
      </c>
      <c r="CO54">
        <v>-1</v>
      </c>
      <c r="CP54">
        <v>500.0064666666666</v>
      </c>
      <c r="CQ54">
        <v>-0.3212102335918423</v>
      </c>
      <c r="CR54">
        <v>0.0423664437444924</v>
      </c>
      <c r="CS54">
        <v>-1</v>
      </c>
      <c r="CT54">
        <v>0</v>
      </c>
      <c r="CU54">
        <v>0</v>
      </c>
      <c r="CV54" t="s">
        <v>333</v>
      </c>
      <c r="CW54">
        <v>3.16924</v>
      </c>
      <c r="CX54">
        <v>2.65424</v>
      </c>
      <c r="CY54">
        <v>0.113966</v>
      </c>
      <c r="CZ54">
        <v>0.114845</v>
      </c>
      <c r="DA54">
        <v>0.0517889</v>
      </c>
      <c r="DB54">
        <v>0.0484943</v>
      </c>
      <c r="DC54">
        <v>21392.5</v>
      </c>
      <c r="DD54">
        <v>21866.1</v>
      </c>
      <c r="DE54">
        <v>23234.1</v>
      </c>
      <c r="DF54">
        <v>22586.5</v>
      </c>
      <c r="DG54">
        <v>33279.8</v>
      </c>
      <c r="DH54">
        <v>30324.2</v>
      </c>
      <c r="DI54">
        <v>40821.8</v>
      </c>
      <c r="DJ54">
        <v>37392.2</v>
      </c>
      <c r="DK54">
        <v>2.1195</v>
      </c>
      <c r="DL54">
        <v>1.77294</v>
      </c>
      <c r="DM54">
        <v>0.00139475</v>
      </c>
      <c r="DN54">
        <v>0</v>
      </c>
      <c r="DO54">
        <v>24.7558</v>
      </c>
      <c r="DP54">
        <v>999.9</v>
      </c>
      <c r="DQ54">
        <v>67.8</v>
      </c>
      <c r="DR54">
        <v>27.4</v>
      </c>
      <c r="DS54">
        <v>24.7881</v>
      </c>
      <c r="DT54">
        <v>29.8</v>
      </c>
      <c r="DU54">
        <v>11.5705</v>
      </c>
      <c r="DV54">
        <v>1</v>
      </c>
      <c r="DW54">
        <v>0.0312988</v>
      </c>
      <c r="DX54">
        <v>-0.0524161</v>
      </c>
      <c r="DY54">
        <v>20.3688</v>
      </c>
      <c r="DZ54">
        <v>5.21214</v>
      </c>
      <c r="EA54">
        <v>11.8482</v>
      </c>
      <c r="EB54">
        <v>4.96884</v>
      </c>
      <c r="EC54">
        <v>3.29206</v>
      </c>
      <c r="ED54">
        <v>879.4</v>
      </c>
      <c r="EE54">
        <v>9999</v>
      </c>
      <c r="EF54">
        <v>9999</v>
      </c>
      <c r="EG54">
        <v>80.7</v>
      </c>
      <c r="EH54">
        <v>4.97162</v>
      </c>
      <c r="EI54">
        <v>1.87171</v>
      </c>
      <c r="EJ54">
        <v>1.86888</v>
      </c>
      <c r="EK54">
        <v>1.87133</v>
      </c>
      <c r="EL54">
        <v>1.86904</v>
      </c>
      <c r="EM54">
        <v>1.86797</v>
      </c>
      <c r="EN54">
        <v>1.86981</v>
      </c>
      <c r="EO54">
        <v>1.87164</v>
      </c>
      <c r="EP54">
        <v>0</v>
      </c>
      <c r="EQ54">
        <v>0</v>
      </c>
      <c r="ER54">
        <v>0</v>
      </c>
      <c r="ES54">
        <v>0</v>
      </c>
      <c r="ET54" t="s">
        <v>334</v>
      </c>
      <c r="EU54" t="s">
        <v>335</v>
      </c>
      <c r="EV54" t="s">
        <v>336</v>
      </c>
      <c r="EW54" t="s">
        <v>336</v>
      </c>
      <c r="EX54" t="s">
        <v>336</v>
      </c>
      <c r="EY54" t="s">
        <v>336</v>
      </c>
      <c r="EZ54">
        <v>0</v>
      </c>
      <c r="FA54">
        <v>100</v>
      </c>
      <c r="FB54">
        <v>100</v>
      </c>
      <c r="FC54">
        <v>6.496</v>
      </c>
      <c r="FD54">
        <v>0.0588</v>
      </c>
      <c r="FE54">
        <v>6.495476190476325</v>
      </c>
      <c r="FF54">
        <v>0</v>
      </c>
      <c r="FG54">
        <v>0</v>
      </c>
      <c r="FH54">
        <v>0</v>
      </c>
      <c r="FI54">
        <v>0.05881499999999917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38.3</v>
      </c>
      <c r="FR54">
        <v>38.5</v>
      </c>
      <c r="FS54">
        <v>0.145264</v>
      </c>
      <c r="FT54">
        <v>4.99756</v>
      </c>
      <c r="FU54">
        <v>1.5979</v>
      </c>
      <c r="FV54">
        <v>2.16675</v>
      </c>
      <c r="FW54">
        <v>1.54785</v>
      </c>
      <c r="FX54">
        <v>2.41577</v>
      </c>
      <c r="FY54">
        <v>31.6736</v>
      </c>
      <c r="FZ54">
        <v>16.1109</v>
      </c>
      <c r="GA54">
        <v>3</v>
      </c>
      <c r="GB54">
        <v>498.192</v>
      </c>
      <c r="GC54">
        <v>375.853</v>
      </c>
      <c r="GD54">
        <v>25.5149</v>
      </c>
      <c r="GE54">
        <v>27.5269</v>
      </c>
      <c r="GF54">
        <v>30.0002</v>
      </c>
      <c r="GG54">
        <v>27.4555</v>
      </c>
      <c r="GH54">
        <v>27.448</v>
      </c>
      <c r="GI54">
        <v>-1</v>
      </c>
      <c r="GJ54">
        <v>100</v>
      </c>
      <c r="GK54">
        <v>0</v>
      </c>
      <c r="GL54">
        <v>25.5152</v>
      </c>
      <c r="GM54">
        <v>1200</v>
      </c>
      <c r="GN54">
        <v>26.7455</v>
      </c>
      <c r="GO54">
        <v>102.765</v>
      </c>
      <c r="GP54">
        <v>97.60890000000001</v>
      </c>
    </row>
    <row r="55" spans="1:198">
      <c r="A55">
        <v>39</v>
      </c>
      <c r="B55">
        <v>1773271144.1</v>
      </c>
      <c r="C55">
        <v>2280.5</v>
      </c>
      <c r="D55" t="s">
        <v>411</v>
      </c>
      <c r="E55" t="s">
        <v>412</v>
      </c>
      <c r="F55">
        <v>15</v>
      </c>
      <c r="G55">
        <v>1773271136.099999</v>
      </c>
      <c r="H55">
        <f>(I55)/1000</f>
        <v>0</v>
      </c>
      <c r="I55">
        <f>1000*AY55*AG55*(AU55-AV55)/(100*AN55*(1000-AG55*AU55))</f>
        <v>0</v>
      </c>
      <c r="J55">
        <f>AY55*AG55*(AT55-AS55*(1000-AG55*AV55)/(1000-AG55*AU55))/(100*AN55)</f>
        <v>0</v>
      </c>
      <c r="K55">
        <f>AS55 - IF(AG55&gt;1, J55*AN55*100.0/(AI55), 0)</f>
        <v>0</v>
      </c>
      <c r="L55">
        <f>((R55-H55/2)*K55-J55)/(R55+H55/2)</f>
        <v>0</v>
      </c>
      <c r="M55">
        <f>L55*(AZ55+BA55)/1000.0</f>
        <v>0</v>
      </c>
      <c r="N55">
        <f>(AS55 - IF(AG55&gt;1, J55*AN55*100.0/(AI55), 0))*(AZ55+BA55)/1000.0</f>
        <v>0</v>
      </c>
      <c r="O55">
        <f>2.0/((1/Q55-1/P55)+SIGN(Q55)*SQRT((1/Q55-1/P55)*(1/Q55-1/P55) + 4*AO55/((AO55+1)*(AO55+1))*(2*1/Q55*1/P55-1/P55*1/P55)))</f>
        <v>0</v>
      </c>
      <c r="P55">
        <f>IF(LEFT(AP55,1)&lt;&gt;"0",IF(LEFT(AP55,1)="1",3.0,AQ55),$D$5+$E$5*(BG55*AZ55/($K$5*1000))+$F$5*(BG55*AZ55/($K$5*1000))*MAX(MIN(AN55,$J$5),$I$5)*MAX(MIN(AN55,$J$5),$I$5)+$G$5*MAX(MIN(AN55,$J$5),$I$5)*(BG55*AZ55/($K$5*1000))+$H$5*(BG55*AZ55/($K$5*1000))*(BG55*AZ55/($K$5*1000)))</f>
        <v>0</v>
      </c>
      <c r="Q55">
        <f>H55*(1000-(1000*0.61365*exp(17.502*U55/(240.97+U55))/(AZ55+BA55)+AU55)/2)/(1000*0.61365*exp(17.502*U55/(240.97+U55))/(AZ55+BA55)-AU55)</f>
        <v>0</v>
      </c>
      <c r="R55">
        <f>1/((AO55+1)/(O55/1.6)+1/(P55/1.37)) + AO55/((AO55+1)/(O55/1.6) + AO55/(P55/1.37))</f>
        <v>0</v>
      </c>
      <c r="S55">
        <f>(AJ55*AM55)</f>
        <v>0</v>
      </c>
      <c r="T55">
        <f>(BB55+(S55+2*0.95*5.67E-8*(((BB55+$B$7)+273)^4-(BB55+273)^4)-44100*H55)/(1.84*29.3*P55+8*0.95*5.67E-8*(BB55+273)^3))</f>
        <v>0</v>
      </c>
      <c r="U55">
        <f>($C$7*BC55+$D$7*BD55+$E$7*T55)</f>
        <v>0</v>
      </c>
      <c r="V55">
        <f>0.61365*exp(17.502*U55/(240.97+U55))</f>
        <v>0</v>
      </c>
      <c r="W55">
        <f>(X55/Y55*100)</f>
        <v>0</v>
      </c>
      <c r="X55">
        <f>AU55*(AZ55+BA55)/1000</f>
        <v>0</v>
      </c>
      <c r="Y55">
        <f>0.61365*exp(17.502*BB55/(240.97+BB55))</f>
        <v>0</v>
      </c>
      <c r="Z55">
        <f>(V55-AU55*(AZ55+BA55)/1000)</f>
        <v>0</v>
      </c>
      <c r="AA55">
        <f>(-H55*44100)</f>
        <v>0</v>
      </c>
      <c r="AB55">
        <f>2*29.3*P55*0.92*(BB55-U55)</f>
        <v>0</v>
      </c>
      <c r="AC55">
        <f>2*0.95*5.67E-8*(((BB55+$B$7)+273)^4-(U55+273)^4)</f>
        <v>0</v>
      </c>
      <c r="AD55">
        <f>S55+AC55+AA55+AB55</f>
        <v>0</v>
      </c>
      <c r="AE55">
        <v>4</v>
      </c>
      <c r="AF55">
        <v>1</v>
      </c>
      <c r="AG55">
        <f>IF(AE55*$H$13&gt;=AI55,1.0,(AI55/(AI55-AE55*$H$13)))</f>
        <v>0</v>
      </c>
      <c r="AH55">
        <f>(AG55-1)*100</f>
        <v>0</v>
      </c>
      <c r="AI55">
        <f>MAX(0,($B$13+$C$13*BG55)/(1+$D$13*BG55)*AZ55/(BB55+273)*$E$13)</f>
        <v>0</v>
      </c>
      <c r="AJ55">
        <f>$B$11*BH55+$C$11*BI55+$D$11*BT55</f>
        <v>0</v>
      </c>
      <c r="AK55">
        <f>AJ55*AL55</f>
        <v>0</v>
      </c>
      <c r="AL55">
        <f>($B$11*$D$9+$C$11*$D$9+$D$11*(BU55*$E$9+BV55*$G$9))/($B$11+$C$11+$D$11)</f>
        <v>0</v>
      </c>
      <c r="AM55">
        <f>($B$11*$K$9+$C$11*$K$9+$D$11*(BU55*$L$9+BV55*$N$9))/($B$11+$C$11+$D$11)</f>
        <v>0</v>
      </c>
      <c r="AN55">
        <v>3</v>
      </c>
      <c r="AO55">
        <v>0.5</v>
      </c>
      <c r="AP55" t="s">
        <v>331</v>
      </c>
      <c r="AQ55">
        <v>2</v>
      </c>
      <c r="AR55">
        <v>1773271136.099999</v>
      </c>
      <c r="AS55">
        <v>491.5246774193548</v>
      </c>
      <c r="AT55">
        <v>490.0351935483871</v>
      </c>
      <c r="AU55">
        <v>8.399064516129032</v>
      </c>
      <c r="AV55">
        <v>7.730224193548387</v>
      </c>
      <c r="AW55">
        <v>485.0293548387098</v>
      </c>
      <c r="AX55">
        <v>8.340249677419354</v>
      </c>
      <c r="AY55">
        <v>499.9965483870968</v>
      </c>
      <c r="AZ55">
        <v>100.2311612903225</v>
      </c>
      <c r="BA55">
        <v>0.03304122258064516</v>
      </c>
      <c r="BB55">
        <v>25.02300967741935</v>
      </c>
      <c r="BC55">
        <v>24.82100645161291</v>
      </c>
      <c r="BD55">
        <v>999.9000000000003</v>
      </c>
      <c r="BE55">
        <v>0</v>
      </c>
      <c r="BF55">
        <v>0</v>
      </c>
      <c r="BG55">
        <v>4993.290322580645</v>
      </c>
      <c r="BH55">
        <v>1.063531290322581</v>
      </c>
      <c r="BI55">
        <v>180.5843870967742</v>
      </c>
      <c r="BJ55">
        <v>1.489594516129032</v>
      </c>
      <c r="BK55">
        <v>495.6880645161291</v>
      </c>
      <c r="BL55">
        <v>493.8527096774193</v>
      </c>
      <c r="BM55">
        <v>0.6688401290322581</v>
      </c>
      <c r="BN55">
        <v>490.0351935483871</v>
      </c>
      <c r="BO55">
        <v>7.730224193548387</v>
      </c>
      <c r="BP55">
        <v>0.8418475483870967</v>
      </c>
      <c r="BQ55">
        <v>0.7748089677419355</v>
      </c>
      <c r="BR55">
        <v>4.433214516129032</v>
      </c>
      <c r="BS55">
        <v>3.253969677419355</v>
      </c>
      <c r="BT55">
        <v>0</v>
      </c>
      <c r="BU55">
        <v>0</v>
      </c>
      <c r="BV55">
        <v>0</v>
      </c>
      <c r="BW55">
        <v>24</v>
      </c>
      <c r="BX55">
        <v>28</v>
      </c>
      <c r="BY55">
        <v>1773268786.6</v>
      </c>
      <c r="BZ55" t="s">
        <v>332</v>
      </c>
      <c r="CA55">
        <v>1773268786.6</v>
      </c>
      <c r="CB55">
        <v>1773268774.1</v>
      </c>
      <c r="CC55">
        <v>2</v>
      </c>
      <c r="CD55">
        <v>0.264</v>
      </c>
      <c r="CE55">
        <v>-0.024</v>
      </c>
      <c r="CF55">
        <v>6.495</v>
      </c>
      <c r="CG55">
        <v>0.059</v>
      </c>
      <c r="CH55">
        <v>488</v>
      </c>
      <c r="CI55">
        <v>25</v>
      </c>
      <c r="CJ55">
        <v>0.48</v>
      </c>
      <c r="CK55">
        <v>0.14</v>
      </c>
      <c r="CL55">
        <v>490.0351935483871</v>
      </c>
      <c r="CM55">
        <v>-0.5274677419376294</v>
      </c>
      <c r="CN55">
        <v>0.04545073146424059</v>
      </c>
      <c r="CO55">
        <v>-1</v>
      </c>
      <c r="CP55">
        <v>499.9965483870968</v>
      </c>
      <c r="CQ55">
        <v>-0.04495161290377198</v>
      </c>
      <c r="CR55">
        <v>0.03713518348194466</v>
      </c>
      <c r="CS55">
        <v>-1</v>
      </c>
      <c r="CT55">
        <v>0</v>
      </c>
      <c r="CU55">
        <v>0</v>
      </c>
      <c r="CV55" t="s">
        <v>333</v>
      </c>
      <c r="CW55">
        <v>3.16924</v>
      </c>
      <c r="CX55">
        <v>2.65415</v>
      </c>
      <c r="CY55">
        <v>0.113992</v>
      </c>
      <c r="CZ55">
        <v>0.114908</v>
      </c>
      <c r="DA55">
        <v>0.0520675</v>
      </c>
      <c r="DB55">
        <v>0.0487534</v>
      </c>
      <c r="DC55">
        <v>21390.4</v>
      </c>
      <c r="DD55">
        <v>21864</v>
      </c>
      <c r="DE55">
        <v>23232.6</v>
      </c>
      <c r="DF55">
        <v>22585.9</v>
      </c>
      <c r="DG55">
        <v>33267.9</v>
      </c>
      <c r="DH55">
        <v>30315</v>
      </c>
      <c r="DI55">
        <v>40819.3</v>
      </c>
      <c r="DJ55">
        <v>37391.2</v>
      </c>
      <c r="DK55">
        <v>2.11888</v>
      </c>
      <c r="DL55">
        <v>1.77306</v>
      </c>
      <c r="DM55">
        <v>0.000408292</v>
      </c>
      <c r="DN55">
        <v>0</v>
      </c>
      <c r="DO55">
        <v>24.82</v>
      </c>
      <c r="DP55">
        <v>999.9</v>
      </c>
      <c r="DQ55">
        <v>67.7</v>
      </c>
      <c r="DR55">
        <v>27.4</v>
      </c>
      <c r="DS55">
        <v>24.7483</v>
      </c>
      <c r="DT55">
        <v>30.07</v>
      </c>
      <c r="DU55">
        <v>11.4263</v>
      </c>
      <c r="DV55">
        <v>1</v>
      </c>
      <c r="DW55">
        <v>0.0329228</v>
      </c>
      <c r="DX55">
        <v>0.0917495</v>
      </c>
      <c r="DY55">
        <v>20.3689</v>
      </c>
      <c r="DZ55">
        <v>5.21202</v>
      </c>
      <c r="EA55">
        <v>11.8482</v>
      </c>
      <c r="EB55">
        <v>4.96876</v>
      </c>
      <c r="EC55">
        <v>3.292</v>
      </c>
      <c r="ED55">
        <v>879.4</v>
      </c>
      <c r="EE55">
        <v>9999</v>
      </c>
      <c r="EF55">
        <v>9999</v>
      </c>
      <c r="EG55">
        <v>80.7</v>
      </c>
      <c r="EH55">
        <v>4.97158</v>
      </c>
      <c r="EI55">
        <v>1.87177</v>
      </c>
      <c r="EJ55">
        <v>1.86889</v>
      </c>
      <c r="EK55">
        <v>1.87132</v>
      </c>
      <c r="EL55">
        <v>1.86905</v>
      </c>
      <c r="EM55">
        <v>1.86798</v>
      </c>
      <c r="EN55">
        <v>1.86981</v>
      </c>
      <c r="EO55">
        <v>1.87164</v>
      </c>
      <c r="EP55">
        <v>0</v>
      </c>
      <c r="EQ55">
        <v>0</v>
      </c>
      <c r="ER55">
        <v>0</v>
      </c>
      <c r="ES55">
        <v>0</v>
      </c>
      <c r="ET55" t="s">
        <v>334</v>
      </c>
      <c r="EU55" t="s">
        <v>335</v>
      </c>
      <c r="EV55" t="s">
        <v>336</v>
      </c>
      <c r="EW55" t="s">
        <v>336</v>
      </c>
      <c r="EX55" t="s">
        <v>336</v>
      </c>
      <c r="EY55" t="s">
        <v>336</v>
      </c>
      <c r="EZ55">
        <v>0</v>
      </c>
      <c r="FA55">
        <v>100</v>
      </c>
      <c r="FB55">
        <v>100</v>
      </c>
      <c r="FC55">
        <v>6.496</v>
      </c>
      <c r="FD55">
        <v>0.0588</v>
      </c>
      <c r="FE55">
        <v>6.495476190476325</v>
      </c>
      <c r="FF55">
        <v>0</v>
      </c>
      <c r="FG55">
        <v>0</v>
      </c>
      <c r="FH55">
        <v>0</v>
      </c>
      <c r="FI55">
        <v>0.05881499999999917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39.3</v>
      </c>
      <c r="FR55">
        <v>39.5</v>
      </c>
      <c r="FS55">
        <v>0.145264</v>
      </c>
      <c r="FT55">
        <v>4.99756</v>
      </c>
      <c r="FU55">
        <v>1.5979</v>
      </c>
      <c r="FV55">
        <v>2.16553</v>
      </c>
      <c r="FW55">
        <v>1.54785</v>
      </c>
      <c r="FX55">
        <v>2.37793</v>
      </c>
      <c r="FY55">
        <v>31.7173</v>
      </c>
      <c r="FZ55">
        <v>16.1021</v>
      </c>
      <c r="GA55">
        <v>3</v>
      </c>
      <c r="GB55">
        <v>497.997</v>
      </c>
      <c r="GC55">
        <v>376.033</v>
      </c>
      <c r="GD55">
        <v>25.4747</v>
      </c>
      <c r="GE55">
        <v>27.5497</v>
      </c>
      <c r="GF55">
        <v>30.0004</v>
      </c>
      <c r="GG55">
        <v>27.4756</v>
      </c>
      <c r="GH55">
        <v>27.4666</v>
      </c>
      <c r="GI55">
        <v>-1</v>
      </c>
      <c r="GJ55">
        <v>100</v>
      </c>
      <c r="GK55">
        <v>0</v>
      </c>
      <c r="GL55">
        <v>25.4478</v>
      </c>
      <c r="GM55">
        <v>1200</v>
      </c>
      <c r="GN55">
        <v>26.7455</v>
      </c>
      <c r="GO55">
        <v>102.759</v>
      </c>
      <c r="GP55">
        <v>97.60639999999999</v>
      </c>
    </row>
    <row r="56" spans="1:198">
      <c r="A56">
        <v>40</v>
      </c>
      <c r="B56">
        <v>1773271204.1</v>
      </c>
      <c r="C56">
        <v>2340.5</v>
      </c>
      <c r="D56" t="s">
        <v>413</v>
      </c>
      <c r="E56" t="s">
        <v>414</v>
      </c>
      <c r="F56">
        <v>15</v>
      </c>
      <c r="G56">
        <v>1773271196.099999</v>
      </c>
      <c r="H56">
        <f>(I56)/1000</f>
        <v>0</v>
      </c>
      <c r="I56">
        <f>1000*AY56*AG56*(AU56-AV56)/(100*AN56*(1000-AG56*AU56))</f>
        <v>0</v>
      </c>
      <c r="J56">
        <f>AY56*AG56*(AT56-AS56*(1000-AG56*AV56)/(1000-AG56*AU56))/(100*AN56)</f>
        <v>0</v>
      </c>
      <c r="K56">
        <f>AS56 - IF(AG56&gt;1, J56*AN56*100.0/(AI56), 0)</f>
        <v>0</v>
      </c>
      <c r="L56">
        <f>((R56-H56/2)*K56-J56)/(R56+H56/2)</f>
        <v>0</v>
      </c>
      <c r="M56">
        <f>L56*(AZ56+BA56)/1000.0</f>
        <v>0</v>
      </c>
      <c r="N56">
        <f>(AS56 - IF(AG56&gt;1, J56*AN56*100.0/(AI56), 0))*(AZ56+BA56)/1000.0</f>
        <v>0</v>
      </c>
      <c r="O56">
        <f>2.0/((1/Q56-1/P56)+SIGN(Q56)*SQRT((1/Q56-1/P56)*(1/Q56-1/P56) + 4*AO56/((AO56+1)*(AO56+1))*(2*1/Q56*1/P56-1/P56*1/P56)))</f>
        <v>0</v>
      </c>
      <c r="P56">
        <f>IF(LEFT(AP56,1)&lt;&gt;"0",IF(LEFT(AP56,1)="1",3.0,AQ56),$D$5+$E$5*(BG56*AZ56/($K$5*1000))+$F$5*(BG56*AZ56/($K$5*1000))*MAX(MIN(AN56,$J$5),$I$5)*MAX(MIN(AN56,$J$5),$I$5)+$G$5*MAX(MIN(AN56,$J$5),$I$5)*(BG56*AZ56/($K$5*1000))+$H$5*(BG56*AZ56/($K$5*1000))*(BG56*AZ56/($K$5*1000)))</f>
        <v>0</v>
      </c>
      <c r="Q56">
        <f>H56*(1000-(1000*0.61365*exp(17.502*U56/(240.97+U56))/(AZ56+BA56)+AU56)/2)/(1000*0.61365*exp(17.502*U56/(240.97+U56))/(AZ56+BA56)-AU56)</f>
        <v>0</v>
      </c>
      <c r="R56">
        <f>1/((AO56+1)/(O56/1.6)+1/(P56/1.37)) + AO56/((AO56+1)/(O56/1.6) + AO56/(P56/1.37))</f>
        <v>0</v>
      </c>
      <c r="S56">
        <f>(AJ56*AM56)</f>
        <v>0</v>
      </c>
      <c r="T56">
        <f>(BB56+(S56+2*0.95*5.67E-8*(((BB56+$B$7)+273)^4-(BB56+273)^4)-44100*H56)/(1.84*29.3*P56+8*0.95*5.67E-8*(BB56+273)^3))</f>
        <v>0</v>
      </c>
      <c r="U56">
        <f>($C$7*BC56+$D$7*BD56+$E$7*T56)</f>
        <v>0</v>
      </c>
      <c r="V56">
        <f>0.61365*exp(17.502*U56/(240.97+U56))</f>
        <v>0</v>
      </c>
      <c r="W56">
        <f>(X56/Y56*100)</f>
        <v>0</v>
      </c>
      <c r="X56">
        <f>AU56*(AZ56+BA56)/1000</f>
        <v>0</v>
      </c>
      <c r="Y56">
        <f>0.61365*exp(17.502*BB56/(240.97+BB56))</f>
        <v>0</v>
      </c>
      <c r="Z56">
        <f>(V56-AU56*(AZ56+BA56)/1000)</f>
        <v>0</v>
      </c>
      <c r="AA56">
        <f>(-H56*44100)</f>
        <v>0</v>
      </c>
      <c r="AB56">
        <f>2*29.3*P56*0.92*(BB56-U56)</f>
        <v>0</v>
      </c>
      <c r="AC56">
        <f>2*0.95*5.67E-8*(((BB56+$B$7)+273)^4-(U56+273)^4)</f>
        <v>0</v>
      </c>
      <c r="AD56">
        <f>S56+AC56+AA56+AB56</f>
        <v>0</v>
      </c>
      <c r="AE56">
        <v>4</v>
      </c>
      <c r="AF56">
        <v>1</v>
      </c>
      <c r="AG56">
        <f>IF(AE56*$H$13&gt;=AI56,1.0,(AI56/(AI56-AE56*$H$13)))</f>
        <v>0</v>
      </c>
      <c r="AH56">
        <f>(AG56-1)*100</f>
        <v>0</v>
      </c>
      <c r="AI56">
        <f>MAX(0,($B$13+$C$13*BG56)/(1+$D$13*BG56)*AZ56/(BB56+273)*$E$13)</f>
        <v>0</v>
      </c>
      <c r="AJ56">
        <f>$B$11*BH56+$C$11*BI56+$D$11*BT56</f>
        <v>0</v>
      </c>
      <c r="AK56">
        <f>AJ56*AL56</f>
        <v>0</v>
      </c>
      <c r="AL56">
        <f>($B$11*$D$9+$C$11*$D$9+$D$11*(BU56*$E$9+BV56*$G$9))/($B$11+$C$11+$D$11)</f>
        <v>0</v>
      </c>
      <c r="AM56">
        <f>($B$11*$K$9+$C$11*$K$9+$D$11*(BU56*$L$9+BV56*$N$9))/($B$11+$C$11+$D$11)</f>
        <v>0</v>
      </c>
      <c r="AN56">
        <v>3</v>
      </c>
      <c r="AO56">
        <v>0.5</v>
      </c>
      <c r="AP56" t="s">
        <v>331</v>
      </c>
      <c r="AQ56">
        <v>2</v>
      </c>
      <c r="AR56">
        <v>1773271196.099999</v>
      </c>
      <c r="AS56">
        <v>492.132064516129</v>
      </c>
      <c r="AT56">
        <v>490.7616451612902</v>
      </c>
      <c r="AU56">
        <v>8.454691935483872</v>
      </c>
      <c r="AV56">
        <v>7.784272903225806</v>
      </c>
      <c r="AW56">
        <v>485.6366774193549</v>
      </c>
      <c r="AX56">
        <v>8.395876774193548</v>
      </c>
      <c r="AY56">
        <v>500.0048387096774</v>
      </c>
      <c r="AZ56">
        <v>100.2344838709678</v>
      </c>
      <c r="BA56">
        <v>0.03291362580645162</v>
      </c>
      <c r="BB56">
        <v>24.9985</v>
      </c>
      <c r="BC56">
        <v>24.82545161290322</v>
      </c>
      <c r="BD56">
        <v>999.9000000000003</v>
      </c>
      <c r="BE56">
        <v>0</v>
      </c>
      <c r="BF56">
        <v>0</v>
      </c>
      <c r="BG56">
        <v>5003.806451612903</v>
      </c>
      <c r="BH56">
        <v>1.055269677419355</v>
      </c>
      <c r="BI56">
        <v>162.2714193548387</v>
      </c>
      <c r="BJ56">
        <v>1.370361612903226</v>
      </c>
      <c r="BK56">
        <v>496.3284516129032</v>
      </c>
      <c r="BL56">
        <v>494.6119032258065</v>
      </c>
      <c r="BM56">
        <v>0.6704188709677418</v>
      </c>
      <c r="BN56">
        <v>490.7616451612902</v>
      </c>
      <c r="BO56">
        <v>7.784272903225806</v>
      </c>
      <c r="BP56">
        <v>0.8474512580645162</v>
      </c>
      <c r="BQ56">
        <v>0.7802520645161289</v>
      </c>
      <c r="BR56">
        <v>4.527986129032258</v>
      </c>
      <c r="BS56">
        <v>3.353015483870967</v>
      </c>
      <c r="BT56">
        <v>0</v>
      </c>
      <c r="BU56">
        <v>0</v>
      </c>
      <c r="BV56">
        <v>0</v>
      </c>
      <c r="BW56">
        <v>24</v>
      </c>
      <c r="BX56">
        <v>27.44195161290322</v>
      </c>
      <c r="BY56">
        <v>1773268786.6</v>
      </c>
      <c r="BZ56" t="s">
        <v>332</v>
      </c>
      <c r="CA56">
        <v>1773268786.6</v>
      </c>
      <c r="CB56">
        <v>1773268774.1</v>
      </c>
      <c r="CC56">
        <v>2</v>
      </c>
      <c r="CD56">
        <v>0.264</v>
      </c>
      <c r="CE56">
        <v>-0.024</v>
      </c>
      <c r="CF56">
        <v>6.495</v>
      </c>
      <c r="CG56">
        <v>0.059</v>
      </c>
      <c r="CH56">
        <v>488</v>
      </c>
      <c r="CI56">
        <v>25</v>
      </c>
      <c r="CJ56">
        <v>0.48</v>
      </c>
      <c r="CK56">
        <v>0.14</v>
      </c>
      <c r="CL56">
        <v>490.7409032258064</v>
      </c>
      <c r="CM56">
        <v>1.136903225805122</v>
      </c>
      <c r="CN56">
        <v>0.09155761621170154</v>
      </c>
      <c r="CO56">
        <v>-1</v>
      </c>
      <c r="CP56">
        <v>500.0027419354839</v>
      </c>
      <c r="CQ56">
        <v>0.298258064514632</v>
      </c>
      <c r="CR56">
        <v>0.04673947543561331</v>
      </c>
      <c r="CS56">
        <v>-1</v>
      </c>
      <c r="CT56">
        <v>0</v>
      </c>
      <c r="CU56">
        <v>0</v>
      </c>
      <c r="CV56" t="s">
        <v>333</v>
      </c>
      <c r="CW56">
        <v>3.16914</v>
      </c>
      <c r="CX56">
        <v>2.65396</v>
      </c>
      <c r="CY56">
        <v>0.114117</v>
      </c>
      <c r="CZ56">
        <v>0.115081</v>
      </c>
      <c r="DA56">
        <v>0.0523441</v>
      </c>
      <c r="DB56">
        <v>0.0490234</v>
      </c>
      <c r="DC56">
        <v>21386.3</v>
      </c>
      <c r="DD56">
        <v>21858.9</v>
      </c>
      <c r="DE56">
        <v>23231.6</v>
      </c>
      <c r="DF56">
        <v>22585.2</v>
      </c>
      <c r="DG56">
        <v>33256.9</v>
      </c>
      <c r="DH56">
        <v>30305.4</v>
      </c>
      <c r="DI56">
        <v>40817.7</v>
      </c>
      <c r="DJ56">
        <v>37390.1</v>
      </c>
      <c r="DK56">
        <v>2.1187</v>
      </c>
      <c r="DL56">
        <v>1.77212</v>
      </c>
      <c r="DM56">
        <v>-0.0049293</v>
      </c>
      <c r="DN56">
        <v>0</v>
      </c>
      <c r="DO56">
        <v>24.8976</v>
      </c>
      <c r="DP56">
        <v>999.9</v>
      </c>
      <c r="DQ56">
        <v>67.59999999999999</v>
      </c>
      <c r="DR56">
        <v>27.5</v>
      </c>
      <c r="DS56">
        <v>24.853</v>
      </c>
      <c r="DT56">
        <v>30.28</v>
      </c>
      <c r="DU56">
        <v>11.5865</v>
      </c>
      <c r="DV56">
        <v>1</v>
      </c>
      <c r="DW56">
        <v>0.0344858</v>
      </c>
      <c r="DX56">
        <v>-0.6458469999999999</v>
      </c>
      <c r="DY56">
        <v>20.3666</v>
      </c>
      <c r="DZ56">
        <v>5.21214</v>
      </c>
      <c r="EA56">
        <v>11.8482</v>
      </c>
      <c r="EB56">
        <v>4.96864</v>
      </c>
      <c r="EC56">
        <v>3.292</v>
      </c>
      <c r="ED56">
        <v>879.4</v>
      </c>
      <c r="EE56">
        <v>9999</v>
      </c>
      <c r="EF56">
        <v>9999</v>
      </c>
      <c r="EG56">
        <v>80.8</v>
      </c>
      <c r="EH56">
        <v>4.9716</v>
      </c>
      <c r="EI56">
        <v>1.87175</v>
      </c>
      <c r="EJ56">
        <v>1.86886</v>
      </c>
      <c r="EK56">
        <v>1.87133</v>
      </c>
      <c r="EL56">
        <v>1.86903</v>
      </c>
      <c r="EM56">
        <v>1.86798</v>
      </c>
      <c r="EN56">
        <v>1.86981</v>
      </c>
      <c r="EO56">
        <v>1.87164</v>
      </c>
      <c r="EP56">
        <v>0</v>
      </c>
      <c r="EQ56">
        <v>0</v>
      </c>
      <c r="ER56">
        <v>0</v>
      </c>
      <c r="ES56">
        <v>0</v>
      </c>
      <c r="ET56" t="s">
        <v>334</v>
      </c>
      <c r="EU56" t="s">
        <v>335</v>
      </c>
      <c r="EV56" t="s">
        <v>336</v>
      </c>
      <c r="EW56" t="s">
        <v>336</v>
      </c>
      <c r="EX56" t="s">
        <v>336</v>
      </c>
      <c r="EY56" t="s">
        <v>336</v>
      </c>
      <c r="EZ56">
        <v>0</v>
      </c>
      <c r="FA56">
        <v>100</v>
      </c>
      <c r="FB56">
        <v>100</v>
      </c>
      <c r="FC56">
        <v>6.496</v>
      </c>
      <c r="FD56">
        <v>0.0588</v>
      </c>
      <c r="FE56">
        <v>6.495476190476325</v>
      </c>
      <c r="FF56">
        <v>0</v>
      </c>
      <c r="FG56">
        <v>0</v>
      </c>
      <c r="FH56">
        <v>0</v>
      </c>
      <c r="FI56">
        <v>0.05881499999999917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40.3</v>
      </c>
      <c r="FR56">
        <v>40.5</v>
      </c>
      <c r="FS56">
        <v>0.145264</v>
      </c>
      <c r="FT56">
        <v>4.99756</v>
      </c>
      <c r="FU56">
        <v>1.5979</v>
      </c>
      <c r="FV56">
        <v>2.16675</v>
      </c>
      <c r="FW56">
        <v>1.54785</v>
      </c>
      <c r="FX56">
        <v>2.31079</v>
      </c>
      <c r="FY56">
        <v>31.7611</v>
      </c>
      <c r="FZ56">
        <v>16.1021</v>
      </c>
      <c r="GA56">
        <v>3</v>
      </c>
      <c r="GB56">
        <v>498.059</v>
      </c>
      <c r="GC56">
        <v>375.661</v>
      </c>
      <c r="GD56">
        <v>25.3816</v>
      </c>
      <c r="GE56">
        <v>27.576</v>
      </c>
      <c r="GF56">
        <v>30.0002</v>
      </c>
      <c r="GG56">
        <v>27.4961</v>
      </c>
      <c r="GH56">
        <v>27.487</v>
      </c>
      <c r="GI56">
        <v>-1</v>
      </c>
      <c r="GJ56">
        <v>100</v>
      </c>
      <c r="GK56">
        <v>0</v>
      </c>
      <c r="GL56">
        <v>25.4814</v>
      </c>
      <c r="GM56">
        <v>1200</v>
      </c>
      <c r="GN56">
        <v>26.7455</v>
      </c>
      <c r="GO56">
        <v>102.754</v>
      </c>
      <c r="GP56">
        <v>97.6033</v>
      </c>
    </row>
    <row r="57" spans="1:198">
      <c r="A57">
        <v>41</v>
      </c>
      <c r="B57">
        <v>1773271264.1</v>
      </c>
      <c r="C57">
        <v>2400.5</v>
      </c>
      <c r="D57" t="s">
        <v>415</v>
      </c>
      <c r="E57" t="s">
        <v>416</v>
      </c>
      <c r="F57">
        <v>15</v>
      </c>
      <c r="G57">
        <v>1773271256.099999</v>
      </c>
      <c r="H57">
        <f>(I57)/1000</f>
        <v>0</v>
      </c>
      <c r="I57">
        <f>1000*AY57*AG57*(AU57-AV57)/(100*AN57*(1000-AG57*AU57))</f>
        <v>0</v>
      </c>
      <c r="J57">
        <f>AY57*AG57*(AT57-AS57*(1000-AG57*AV57)/(1000-AG57*AU57))/(100*AN57)</f>
        <v>0</v>
      </c>
      <c r="K57">
        <f>AS57 - IF(AG57&gt;1, J57*AN57*100.0/(AI57), 0)</f>
        <v>0</v>
      </c>
      <c r="L57">
        <f>((R57-H57/2)*K57-J57)/(R57+H57/2)</f>
        <v>0</v>
      </c>
      <c r="M57">
        <f>L57*(AZ57+BA57)/1000.0</f>
        <v>0</v>
      </c>
      <c r="N57">
        <f>(AS57 - IF(AG57&gt;1, J57*AN57*100.0/(AI57), 0))*(AZ57+BA57)/1000.0</f>
        <v>0</v>
      </c>
      <c r="O57">
        <f>2.0/((1/Q57-1/P57)+SIGN(Q57)*SQRT((1/Q57-1/P57)*(1/Q57-1/P57) + 4*AO57/((AO57+1)*(AO57+1))*(2*1/Q57*1/P57-1/P57*1/P57)))</f>
        <v>0</v>
      </c>
      <c r="P57">
        <f>IF(LEFT(AP57,1)&lt;&gt;"0",IF(LEFT(AP57,1)="1",3.0,AQ57),$D$5+$E$5*(BG57*AZ57/($K$5*1000))+$F$5*(BG57*AZ57/($K$5*1000))*MAX(MIN(AN57,$J$5),$I$5)*MAX(MIN(AN57,$J$5),$I$5)+$G$5*MAX(MIN(AN57,$J$5),$I$5)*(BG57*AZ57/($K$5*1000))+$H$5*(BG57*AZ57/($K$5*1000))*(BG57*AZ57/($K$5*1000)))</f>
        <v>0</v>
      </c>
      <c r="Q57">
        <f>H57*(1000-(1000*0.61365*exp(17.502*U57/(240.97+U57))/(AZ57+BA57)+AU57)/2)/(1000*0.61365*exp(17.502*U57/(240.97+U57))/(AZ57+BA57)-AU57)</f>
        <v>0</v>
      </c>
      <c r="R57">
        <f>1/((AO57+1)/(O57/1.6)+1/(P57/1.37)) + AO57/((AO57+1)/(O57/1.6) + AO57/(P57/1.37))</f>
        <v>0</v>
      </c>
      <c r="S57">
        <f>(AJ57*AM57)</f>
        <v>0</v>
      </c>
      <c r="T57">
        <f>(BB57+(S57+2*0.95*5.67E-8*(((BB57+$B$7)+273)^4-(BB57+273)^4)-44100*H57)/(1.84*29.3*P57+8*0.95*5.67E-8*(BB57+273)^3))</f>
        <v>0</v>
      </c>
      <c r="U57">
        <f>($C$7*BC57+$D$7*BD57+$E$7*T57)</f>
        <v>0</v>
      </c>
      <c r="V57">
        <f>0.61365*exp(17.502*U57/(240.97+U57))</f>
        <v>0</v>
      </c>
      <c r="W57">
        <f>(X57/Y57*100)</f>
        <v>0</v>
      </c>
      <c r="X57">
        <f>AU57*(AZ57+BA57)/1000</f>
        <v>0</v>
      </c>
      <c r="Y57">
        <f>0.61365*exp(17.502*BB57/(240.97+BB57))</f>
        <v>0</v>
      </c>
      <c r="Z57">
        <f>(V57-AU57*(AZ57+BA57)/1000)</f>
        <v>0</v>
      </c>
      <c r="AA57">
        <f>(-H57*44100)</f>
        <v>0</v>
      </c>
      <c r="AB57">
        <f>2*29.3*P57*0.92*(BB57-U57)</f>
        <v>0</v>
      </c>
      <c r="AC57">
        <f>2*0.95*5.67E-8*(((BB57+$B$7)+273)^4-(U57+273)^4)</f>
        <v>0</v>
      </c>
      <c r="AD57">
        <f>S57+AC57+AA57+AB57</f>
        <v>0</v>
      </c>
      <c r="AE57">
        <v>4</v>
      </c>
      <c r="AF57">
        <v>1</v>
      </c>
      <c r="AG57">
        <f>IF(AE57*$H$13&gt;=AI57,1.0,(AI57/(AI57-AE57*$H$13)))</f>
        <v>0</v>
      </c>
      <c r="AH57">
        <f>(AG57-1)*100</f>
        <v>0</v>
      </c>
      <c r="AI57">
        <f>MAX(0,($B$13+$C$13*BG57)/(1+$D$13*BG57)*AZ57/(BB57+273)*$E$13)</f>
        <v>0</v>
      </c>
      <c r="AJ57">
        <f>$B$11*BH57+$C$11*BI57+$D$11*BT57</f>
        <v>0</v>
      </c>
      <c r="AK57">
        <f>AJ57*AL57</f>
        <v>0</v>
      </c>
      <c r="AL57">
        <f>($B$11*$D$9+$C$11*$D$9+$D$11*(BU57*$E$9+BV57*$G$9))/($B$11+$C$11+$D$11)</f>
        <v>0</v>
      </c>
      <c r="AM57">
        <f>($B$11*$K$9+$C$11*$K$9+$D$11*(BU57*$L$9+BV57*$N$9))/($B$11+$C$11+$D$11)</f>
        <v>0</v>
      </c>
      <c r="AN57">
        <v>3</v>
      </c>
      <c r="AO57">
        <v>0.5</v>
      </c>
      <c r="AP57" t="s">
        <v>331</v>
      </c>
      <c r="AQ57">
        <v>2</v>
      </c>
      <c r="AR57">
        <v>1773271256.099999</v>
      </c>
      <c r="AS57">
        <v>492.8212258064517</v>
      </c>
      <c r="AT57">
        <v>491.213935483871</v>
      </c>
      <c r="AU57">
        <v>8.514440967741937</v>
      </c>
      <c r="AV57">
        <v>7.841015483870968</v>
      </c>
      <c r="AW57">
        <v>486.3257419354839</v>
      </c>
      <c r="AX57">
        <v>8.455625806451614</v>
      </c>
      <c r="AY57">
        <v>500.0053225806452</v>
      </c>
      <c r="AZ57">
        <v>100.2338387096774</v>
      </c>
      <c r="BA57">
        <v>0.03318277096774193</v>
      </c>
      <c r="BB57">
        <v>25.01353548387098</v>
      </c>
      <c r="BC57">
        <v>24.85542903225806</v>
      </c>
      <c r="BD57">
        <v>999.9000000000003</v>
      </c>
      <c r="BE57">
        <v>0</v>
      </c>
      <c r="BF57">
        <v>0</v>
      </c>
      <c r="BG57">
        <v>4997.741935483871</v>
      </c>
      <c r="BH57">
        <v>0.9314734193548385</v>
      </c>
      <c r="BI57">
        <v>172.2479999999999</v>
      </c>
      <c r="BJ57">
        <v>1.607162580645162</v>
      </c>
      <c r="BK57">
        <v>497.0533225806451</v>
      </c>
      <c r="BL57">
        <v>495.096129032258</v>
      </c>
      <c r="BM57">
        <v>0.6734257096774195</v>
      </c>
      <c r="BN57">
        <v>491.213935483871</v>
      </c>
      <c r="BO57">
        <v>7.841015483870968</v>
      </c>
      <c r="BP57">
        <v>0.8534350322580645</v>
      </c>
      <c r="BQ57">
        <v>0.7859349354838711</v>
      </c>
      <c r="BR57">
        <v>4.628576451612903</v>
      </c>
      <c r="BS57">
        <v>3.455773548387097</v>
      </c>
      <c r="BT57">
        <v>0</v>
      </c>
      <c r="BU57">
        <v>0</v>
      </c>
      <c r="BV57">
        <v>0</v>
      </c>
      <c r="BW57">
        <v>24</v>
      </c>
      <c r="BX57">
        <v>20</v>
      </c>
      <c r="BY57">
        <v>1773268786.6</v>
      </c>
      <c r="BZ57" t="s">
        <v>332</v>
      </c>
      <c r="CA57">
        <v>1773268786.6</v>
      </c>
      <c r="CB57">
        <v>1773268774.1</v>
      </c>
      <c r="CC57">
        <v>2</v>
      </c>
      <c r="CD57">
        <v>0.264</v>
      </c>
      <c r="CE57">
        <v>-0.024</v>
      </c>
      <c r="CF57">
        <v>6.495</v>
      </c>
      <c r="CG57">
        <v>0.059</v>
      </c>
      <c r="CH57">
        <v>488</v>
      </c>
      <c r="CI57">
        <v>25</v>
      </c>
      <c r="CJ57">
        <v>0.48</v>
      </c>
      <c r="CK57">
        <v>0.14</v>
      </c>
      <c r="CL57">
        <v>491.213935483871</v>
      </c>
      <c r="CM57">
        <v>-1.12848387096944</v>
      </c>
      <c r="CN57">
        <v>0.09238940571993287</v>
      </c>
      <c r="CO57">
        <v>-1</v>
      </c>
      <c r="CP57">
        <v>500.0053225806452</v>
      </c>
      <c r="CQ57">
        <v>0.08419354838543998</v>
      </c>
      <c r="CR57">
        <v>0.04315641999620391</v>
      </c>
      <c r="CS57">
        <v>-1</v>
      </c>
      <c r="CT57">
        <v>0</v>
      </c>
      <c r="CU57">
        <v>0</v>
      </c>
      <c r="CV57" t="s">
        <v>333</v>
      </c>
      <c r="CW57">
        <v>3.16926</v>
      </c>
      <c r="CX57">
        <v>2.65444</v>
      </c>
      <c r="CY57">
        <v>0.114189</v>
      </c>
      <c r="CZ57">
        <v>0.11511</v>
      </c>
      <c r="DA57">
        <v>0.0526377</v>
      </c>
      <c r="DB57">
        <v>0.0493163</v>
      </c>
      <c r="DC57">
        <v>21383</v>
      </c>
      <c r="DD57">
        <v>21857.7</v>
      </c>
      <c r="DE57">
        <v>23230</v>
      </c>
      <c r="DF57">
        <v>22584.7</v>
      </c>
      <c r="DG57">
        <v>33244.3</v>
      </c>
      <c r="DH57">
        <v>30295.2</v>
      </c>
      <c r="DI57">
        <v>40815.1</v>
      </c>
      <c r="DJ57">
        <v>37389</v>
      </c>
      <c r="DK57">
        <v>2.11846</v>
      </c>
      <c r="DL57">
        <v>1.77128</v>
      </c>
      <c r="DM57">
        <v>-0.00748336</v>
      </c>
      <c r="DN57">
        <v>0</v>
      </c>
      <c r="DO57">
        <v>24.981</v>
      </c>
      <c r="DP57">
        <v>999.9</v>
      </c>
      <c r="DQ57">
        <v>67.5</v>
      </c>
      <c r="DR57">
        <v>27.5</v>
      </c>
      <c r="DS57">
        <v>24.8207</v>
      </c>
      <c r="DT57">
        <v>30.16</v>
      </c>
      <c r="DU57">
        <v>11.5385</v>
      </c>
      <c r="DV57">
        <v>1</v>
      </c>
      <c r="DW57">
        <v>0.0367907</v>
      </c>
      <c r="DX57">
        <v>0.151196</v>
      </c>
      <c r="DY57">
        <v>20.3682</v>
      </c>
      <c r="DZ57">
        <v>5.21202</v>
      </c>
      <c r="EA57">
        <v>11.8482</v>
      </c>
      <c r="EB57">
        <v>4.96848</v>
      </c>
      <c r="EC57">
        <v>3.292</v>
      </c>
      <c r="ED57">
        <v>879.4</v>
      </c>
      <c r="EE57">
        <v>9999</v>
      </c>
      <c r="EF57">
        <v>9999</v>
      </c>
      <c r="EG57">
        <v>80.8</v>
      </c>
      <c r="EH57">
        <v>4.97161</v>
      </c>
      <c r="EI57">
        <v>1.87175</v>
      </c>
      <c r="EJ57">
        <v>1.86887</v>
      </c>
      <c r="EK57">
        <v>1.87134</v>
      </c>
      <c r="EL57">
        <v>1.86904</v>
      </c>
      <c r="EM57">
        <v>1.86798</v>
      </c>
      <c r="EN57">
        <v>1.86981</v>
      </c>
      <c r="EO57">
        <v>1.87164</v>
      </c>
      <c r="EP57">
        <v>0</v>
      </c>
      <c r="EQ57">
        <v>0</v>
      </c>
      <c r="ER57">
        <v>0</v>
      </c>
      <c r="ES57">
        <v>0</v>
      </c>
      <c r="ET57" t="s">
        <v>334</v>
      </c>
      <c r="EU57" t="s">
        <v>335</v>
      </c>
      <c r="EV57" t="s">
        <v>336</v>
      </c>
      <c r="EW57" t="s">
        <v>336</v>
      </c>
      <c r="EX57" t="s">
        <v>336</v>
      </c>
      <c r="EY57" t="s">
        <v>336</v>
      </c>
      <c r="EZ57">
        <v>0</v>
      </c>
      <c r="FA57">
        <v>100</v>
      </c>
      <c r="FB57">
        <v>100</v>
      </c>
      <c r="FC57">
        <v>6.495</v>
      </c>
      <c r="FD57">
        <v>0.0588</v>
      </c>
      <c r="FE57">
        <v>6.495476190476325</v>
      </c>
      <c r="FF57">
        <v>0</v>
      </c>
      <c r="FG57">
        <v>0</v>
      </c>
      <c r="FH57">
        <v>0</v>
      </c>
      <c r="FI57">
        <v>0.05881499999999917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41.3</v>
      </c>
      <c r="FR57">
        <v>41.5</v>
      </c>
      <c r="FS57">
        <v>0.145264</v>
      </c>
      <c r="FT57">
        <v>4.99756</v>
      </c>
      <c r="FU57">
        <v>1.5979</v>
      </c>
      <c r="FV57">
        <v>2.16675</v>
      </c>
      <c r="FW57">
        <v>1.54785</v>
      </c>
      <c r="FX57">
        <v>2.37915</v>
      </c>
      <c r="FY57">
        <v>31.8269</v>
      </c>
      <c r="FZ57">
        <v>16.0934</v>
      </c>
      <c r="GA57">
        <v>3</v>
      </c>
      <c r="GB57">
        <v>498.12</v>
      </c>
      <c r="GC57">
        <v>375.362</v>
      </c>
      <c r="GD57">
        <v>25.3391</v>
      </c>
      <c r="GE57">
        <v>27.6068</v>
      </c>
      <c r="GF57">
        <v>30.0002</v>
      </c>
      <c r="GG57">
        <v>27.5208</v>
      </c>
      <c r="GH57">
        <v>27.5106</v>
      </c>
      <c r="GI57">
        <v>-1</v>
      </c>
      <c r="GJ57">
        <v>100</v>
      </c>
      <c r="GK57">
        <v>0</v>
      </c>
      <c r="GL57">
        <v>25.3279</v>
      </c>
      <c r="GM57">
        <v>1200</v>
      </c>
      <c r="GN57">
        <v>26.7455</v>
      </c>
      <c r="GO57">
        <v>102.748</v>
      </c>
      <c r="GP57">
        <v>97.60080000000001</v>
      </c>
    </row>
    <row r="58" spans="1:198">
      <c r="A58">
        <v>42</v>
      </c>
      <c r="B58">
        <v>1773271324.1</v>
      </c>
      <c r="C58">
        <v>2460.5</v>
      </c>
      <c r="D58" t="s">
        <v>417</v>
      </c>
      <c r="E58" t="s">
        <v>418</v>
      </c>
      <c r="F58">
        <v>15</v>
      </c>
      <c r="G58">
        <v>1773271316.099999</v>
      </c>
      <c r="H58">
        <f>(I58)/1000</f>
        <v>0</v>
      </c>
      <c r="I58">
        <f>1000*AY58*AG58*(AU58-AV58)/(100*AN58*(1000-AG58*AU58))</f>
        <v>0</v>
      </c>
      <c r="J58">
        <f>AY58*AG58*(AT58-AS58*(1000-AG58*AV58)/(1000-AG58*AU58))/(100*AN58)</f>
        <v>0</v>
      </c>
      <c r="K58">
        <f>AS58 - IF(AG58&gt;1, J58*AN58*100.0/(AI58), 0)</f>
        <v>0</v>
      </c>
      <c r="L58">
        <f>((R58-H58/2)*K58-J58)/(R58+H58/2)</f>
        <v>0</v>
      </c>
      <c r="M58">
        <f>L58*(AZ58+BA58)/1000.0</f>
        <v>0</v>
      </c>
      <c r="N58">
        <f>(AS58 - IF(AG58&gt;1, J58*AN58*100.0/(AI58), 0))*(AZ58+BA58)/1000.0</f>
        <v>0</v>
      </c>
      <c r="O58">
        <f>2.0/((1/Q58-1/P58)+SIGN(Q58)*SQRT((1/Q58-1/P58)*(1/Q58-1/P58) + 4*AO58/((AO58+1)*(AO58+1))*(2*1/Q58*1/P58-1/P58*1/P58)))</f>
        <v>0</v>
      </c>
      <c r="P58">
        <f>IF(LEFT(AP58,1)&lt;&gt;"0",IF(LEFT(AP58,1)="1",3.0,AQ58),$D$5+$E$5*(BG58*AZ58/($K$5*1000))+$F$5*(BG58*AZ58/($K$5*1000))*MAX(MIN(AN58,$J$5),$I$5)*MAX(MIN(AN58,$J$5),$I$5)+$G$5*MAX(MIN(AN58,$J$5),$I$5)*(BG58*AZ58/($K$5*1000))+$H$5*(BG58*AZ58/($K$5*1000))*(BG58*AZ58/($K$5*1000)))</f>
        <v>0</v>
      </c>
      <c r="Q58">
        <f>H58*(1000-(1000*0.61365*exp(17.502*U58/(240.97+U58))/(AZ58+BA58)+AU58)/2)/(1000*0.61365*exp(17.502*U58/(240.97+U58))/(AZ58+BA58)-AU58)</f>
        <v>0</v>
      </c>
      <c r="R58">
        <f>1/((AO58+1)/(O58/1.6)+1/(P58/1.37)) + AO58/((AO58+1)/(O58/1.6) + AO58/(P58/1.37))</f>
        <v>0</v>
      </c>
      <c r="S58">
        <f>(AJ58*AM58)</f>
        <v>0</v>
      </c>
      <c r="T58">
        <f>(BB58+(S58+2*0.95*5.67E-8*(((BB58+$B$7)+273)^4-(BB58+273)^4)-44100*H58)/(1.84*29.3*P58+8*0.95*5.67E-8*(BB58+273)^3))</f>
        <v>0</v>
      </c>
      <c r="U58">
        <f>($C$7*BC58+$D$7*BD58+$E$7*T58)</f>
        <v>0</v>
      </c>
      <c r="V58">
        <f>0.61365*exp(17.502*U58/(240.97+U58))</f>
        <v>0</v>
      </c>
      <c r="W58">
        <f>(X58/Y58*100)</f>
        <v>0</v>
      </c>
      <c r="X58">
        <f>AU58*(AZ58+BA58)/1000</f>
        <v>0</v>
      </c>
      <c r="Y58">
        <f>0.61365*exp(17.502*BB58/(240.97+BB58))</f>
        <v>0</v>
      </c>
      <c r="Z58">
        <f>(V58-AU58*(AZ58+BA58)/1000)</f>
        <v>0</v>
      </c>
      <c r="AA58">
        <f>(-H58*44100)</f>
        <v>0</v>
      </c>
      <c r="AB58">
        <f>2*29.3*P58*0.92*(BB58-U58)</f>
        <v>0</v>
      </c>
      <c r="AC58">
        <f>2*0.95*5.67E-8*(((BB58+$B$7)+273)^4-(U58+273)^4)</f>
        <v>0</v>
      </c>
      <c r="AD58">
        <f>S58+AC58+AA58+AB58</f>
        <v>0</v>
      </c>
      <c r="AE58">
        <v>4</v>
      </c>
      <c r="AF58">
        <v>1</v>
      </c>
      <c r="AG58">
        <f>IF(AE58*$H$13&gt;=AI58,1.0,(AI58/(AI58-AE58*$H$13)))</f>
        <v>0</v>
      </c>
      <c r="AH58">
        <f>(AG58-1)*100</f>
        <v>0</v>
      </c>
      <c r="AI58">
        <f>MAX(0,($B$13+$C$13*BG58)/(1+$D$13*BG58)*AZ58/(BB58+273)*$E$13)</f>
        <v>0</v>
      </c>
      <c r="AJ58">
        <f>$B$11*BH58+$C$11*BI58+$D$11*BT58</f>
        <v>0</v>
      </c>
      <c r="AK58">
        <f>AJ58*AL58</f>
        <v>0</v>
      </c>
      <c r="AL58">
        <f>($B$11*$D$9+$C$11*$D$9+$D$11*(BU58*$E$9+BV58*$G$9))/($B$11+$C$11+$D$11)</f>
        <v>0</v>
      </c>
      <c r="AM58">
        <f>($B$11*$K$9+$C$11*$K$9+$D$11*(BU58*$L$9+BV58*$N$9))/($B$11+$C$11+$D$11)</f>
        <v>0</v>
      </c>
      <c r="AN58">
        <v>3</v>
      </c>
      <c r="AO58">
        <v>0.5</v>
      </c>
      <c r="AP58" t="s">
        <v>331</v>
      </c>
      <c r="AQ58">
        <v>2</v>
      </c>
      <c r="AR58">
        <v>1773271316.099999</v>
      </c>
      <c r="AS58">
        <v>493.0491612903226</v>
      </c>
      <c r="AT58">
        <v>491.3555161290321</v>
      </c>
      <c r="AU58">
        <v>8.57632129032258</v>
      </c>
      <c r="AV58">
        <v>7.900118064516129</v>
      </c>
      <c r="AW58">
        <v>486.5537741935483</v>
      </c>
      <c r="AX58">
        <v>8.517507741935486</v>
      </c>
      <c r="AY58">
        <v>500.0077096774194</v>
      </c>
      <c r="AZ58">
        <v>100.2347741935484</v>
      </c>
      <c r="BA58">
        <v>0.03311430967741936</v>
      </c>
      <c r="BB58">
        <v>25.00432580645163</v>
      </c>
      <c r="BC58">
        <v>24.86206774193548</v>
      </c>
      <c r="BD58">
        <v>999.9000000000003</v>
      </c>
      <c r="BE58">
        <v>0</v>
      </c>
      <c r="BF58">
        <v>0</v>
      </c>
      <c r="BG58">
        <v>5000.290322580645</v>
      </c>
      <c r="BH58">
        <v>1.056040967741935</v>
      </c>
      <c r="BI58">
        <v>221.595935483871</v>
      </c>
      <c r="BJ58">
        <v>1.693652580645161</v>
      </c>
      <c r="BK58">
        <v>497.3143225806452</v>
      </c>
      <c r="BL58">
        <v>495.2682580645162</v>
      </c>
      <c r="BM58">
        <v>0.6762040645161289</v>
      </c>
      <c r="BN58">
        <v>491.3555161290321</v>
      </c>
      <c r="BO58">
        <v>7.900118064516129</v>
      </c>
      <c r="BP58">
        <v>0.8596449032258067</v>
      </c>
      <c r="BQ58">
        <v>0.7918659677419355</v>
      </c>
      <c r="BR58">
        <v>4.732312258064516</v>
      </c>
      <c r="BS58">
        <v>3.562319032258064</v>
      </c>
      <c r="BT58">
        <v>0</v>
      </c>
      <c r="BU58">
        <v>0</v>
      </c>
      <c r="BV58">
        <v>0</v>
      </c>
      <c r="BW58">
        <v>24</v>
      </c>
      <c r="BX58">
        <v>25.84301290322581</v>
      </c>
      <c r="BY58">
        <v>1773268786.6</v>
      </c>
      <c r="BZ58" t="s">
        <v>332</v>
      </c>
      <c r="CA58">
        <v>1773268786.6</v>
      </c>
      <c r="CB58">
        <v>1773268774.1</v>
      </c>
      <c r="CC58">
        <v>2</v>
      </c>
      <c r="CD58">
        <v>0.264</v>
      </c>
      <c r="CE58">
        <v>-0.024</v>
      </c>
      <c r="CF58">
        <v>6.495</v>
      </c>
      <c r="CG58">
        <v>0.059</v>
      </c>
      <c r="CH58">
        <v>488</v>
      </c>
      <c r="CI58">
        <v>25</v>
      </c>
      <c r="CJ58">
        <v>0.48</v>
      </c>
      <c r="CK58">
        <v>0.14</v>
      </c>
      <c r="CL58">
        <v>491.3880322580644</v>
      </c>
      <c r="CM58">
        <v>-1.877419354839292</v>
      </c>
      <c r="CN58">
        <v>0.1459229765610984</v>
      </c>
      <c r="CO58">
        <v>-1</v>
      </c>
      <c r="CP58">
        <v>500.0110000000001</v>
      </c>
      <c r="CQ58">
        <v>0.1876935483853791</v>
      </c>
      <c r="CR58">
        <v>0.03909789203129252</v>
      </c>
      <c r="CS58">
        <v>-1</v>
      </c>
      <c r="CT58">
        <v>0</v>
      </c>
      <c r="CU58">
        <v>0</v>
      </c>
      <c r="CV58" t="s">
        <v>333</v>
      </c>
      <c r="CW58">
        <v>3.16926</v>
      </c>
      <c r="CX58">
        <v>2.65438</v>
      </c>
      <c r="CY58">
        <v>0.114208</v>
      </c>
      <c r="CZ58">
        <v>0.115105</v>
      </c>
      <c r="DA58">
        <v>0.0529379</v>
      </c>
      <c r="DB58">
        <v>0.0496017</v>
      </c>
      <c r="DC58">
        <v>21381.2</v>
      </c>
      <c r="DD58">
        <v>21857.5</v>
      </c>
      <c r="DE58">
        <v>23228.7</v>
      </c>
      <c r="DF58">
        <v>22584.6</v>
      </c>
      <c r="DG58">
        <v>33232.3</v>
      </c>
      <c r="DH58">
        <v>30285.7</v>
      </c>
      <c r="DI58">
        <v>40813.3</v>
      </c>
      <c r="DJ58">
        <v>37388.7</v>
      </c>
      <c r="DK58">
        <v>2.11802</v>
      </c>
      <c r="DL58">
        <v>1.77104</v>
      </c>
      <c r="DM58">
        <v>-0.0120938</v>
      </c>
      <c r="DN58">
        <v>0</v>
      </c>
      <c r="DO58">
        <v>25.056</v>
      </c>
      <c r="DP58">
        <v>999.9</v>
      </c>
      <c r="DQ58">
        <v>67.3</v>
      </c>
      <c r="DR58">
        <v>27.6</v>
      </c>
      <c r="DS58">
        <v>24.8903</v>
      </c>
      <c r="DT58">
        <v>30.16</v>
      </c>
      <c r="DU58">
        <v>11.5905</v>
      </c>
      <c r="DV58">
        <v>1</v>
      </c>
      <c r="DW58">
        <v>0.0392724</v>
      </c>
      <c r="DX58">
        <v>0.201601</v>
      </c>
      <c r="DY58">
        <v>20.3684</v>
      </c>
      <c r="DZ58">
        <v>5.21166</v>
      </c>
      <c r="EA58">
        <v>11.8482</v>
      </c>
      <c r="EB58">
        <v>4.96884</v>
      </c>
      <c r="EC58">
        <v>3.29202</v>
      </c>
      <c r="ED58">
        <v>879.4</v>
      </c>
      <c r="EE58">
        <v>9999</v>
      </c>
      <c r="EF58">
        <v>9999</v>
      </c>
      <c r="EG58">
        <v>80.8</v>
      </c>
      <c r="EH58">
        <v>4.97162</v>
      </c>
      <c r="EI58">
        <v>1.87178</v>
      </c>
      <c r="EJ58">
        <v>1.86889</v>
      </c>
      <c r="EK58">
        <v>1.87133</v>
      </c>
      <c r="EL58">
        <v>1.86904</v>
      </c>
      <c r="EM58">
        <v>1.86798</v>
      </c>
      <c r="EN58">
        <v>1.86981</v>
      </c>
      <c r="EO58">
        <v>1.87164</v>
      </c>
      <c r="EP58">
        <v>0</v>
      </c>
      <c r="EQ58">
        <v>0</v>
      </c>
      <c r="ER58">
        <v>0</v>
      </c>
      <c r="ES58">
        <v>0</v>
      </c>
      <c r="ET58" t="s">
        <v>334</v>
      </c>
      <c r="EU58" t="s">
        <v>335</v>
      </c>
      <c r="EV58" t="s">
        <v>336</v>
      </c>
      <c r="EW58" t="s">
        <v>336</v>
      </c>
      <c r="EX58" t="s">
        <v>336</v>
      </c>
      <c r="EY58" t="s">
        <v>336</v>
      </c>
      <c r="EZ58">
        <v>0</v>
      </c>
      <c r="FA58">
        <v>100</v>
      </c>
      <c r="FB58">
        <v>100</v>
      </c>
      <c r="FC58">
        <v>6.495</v>
      </c>
      <c r="FD58">
        <v>0.0588</v>
      </c>
      <c r="FE58">
        <v>6.495476190476325</v>
      </c>
      <c r="FF58">
        <v>0</v>
      </c>
      <c r="FG58">
        <v>0</v>
      </c>
      <c r="FH58">
        <v>0</v>
      </c>
      <c r="FI58">
        <v>0.05881499999999917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42.3</v>
      </c>
      <c r="FR58">
        <v>42.5</v>
      </c>
      <c r="FS58">
        <v>0.145264</v>
      </c>
      <c r="FT58">
        <v>4.99756</v>
      </c>
      <c r="FU58">
        <v>1.5979</v>
      </c>
      <c r="FV58">
        <v>2.16553</v>
      </c>
      <c r="FW58">
        <v>1.54785</v>
      </c>
      <c r="FX58">
        <v>2.31689</v>
      </c>
      <c r="FY58">
        <v>31.8927</v>
      </c>
      <c r="FZ58">
        <v>16.0934</v>
      </c>
      <c r="GA58">
        <v>3</v>
      </c>
      <c r="GB58">
        <v>498.1</v>
      </c>
      <c r="GC58">
        <v>375.414</v>
      </c>
      <c r="GD58">
        <v>25.2434</v>
      </c>
      <c r="GE58">
        <v>27.6425</v>
      </c>
      <c r="GF58">
        <v>30.0002</v>
      </c>
      <c r="GG58">
        <v>27.5497</v>
      </c>
      <c r="GH58">
        <v>27.5394</v>
      </c>
      <c r="GI58">
        <v>-1</v>
      </c>
      <c r="GJ58">
        <v>100</v>
      </c>
      <c r="GK58">
        <v>0</v>
      </c>
      <c r="GL58">
        <v>25.2395</v>
      </c>
      <c r="GM58">
        <v>1200</v>
      </c>
      <c r="GN58">
        <v>26.7455</v>
      </c>
      <c r="GO58">
        <v>102.743</v>
      </c>
      <c r="GP58">
        <v>97.6001</v>
      </c>
    </row>
    <row r="59" spans="1:198">
      <c r="A59">
        <v>43</v>
      </c>
      <c r="B59">
        <v>1773271384.1</v>
      </c>
      <c r="C59">
        <v>2520.5</v>
      </c>
      <c r="D59" t="s">
        <v>419</v>
      </c>
      <c r="E59" t="s">
        <v>420</v>
      </c>
      <c r="F59">
        <v>15</v>
      </c>
      <c r="G59">
        <v>1773271376.099999</v>
      </c>
      <c r="H59">
        <f>(I59)/1000</f>
        <v>0</v>
      </c>
      <c r="I59">
        <f>1000*AY59*AG59*(AU59-AV59)/(100*AN59*(1000-AG59*AU59))</f>
        <v>0</v>
      </c>
      <c r="J59">
        <f>AY59*AG59*(AT59-AS59*(1000-AG59*AV59)/(1000-AG59*AU59))/(100*AN59)</f>
        <v>0</v>
      </c>
      <c r="K59">
        <f>AS59 - IF(AG59&gt;1, J59*AN59*100.0/(AI59), 0)</f>
        <v>0</v>
      </c>
      <c r="L59">
        <f>((R59-H59/2)*K59-J59)/(R59+H59/2)</f>
        <v>0</v>
      </c>
      <c r="M59">
        <f>L59*(AZ59+BA59)/1000.0</f>
        <v>0</v>
      </c>
      <c r="N59">
        <f>(AS59 - IF(AG59&gt;1, J59*AN59*100.0/(AI59), 0))*(AZ59+BA59)/1000.0</f>
        <v>0</v>
      </c>
      <c r="O59">
        <f>2.0/((1/Q59-1/P59)+SIGN(Q59)*SQRT((1/Q59-1/P59)*(1/Q59-1/P59) + 4*AO59/((AO59+1)*(AO59+1))*(2*1/Q59*1/P59-1/P59*1/P59)))</f>
        <v>0</v>
      </c>
      <c r="P59">
        <f>IF(LEFT(AP59,1)&lt;&gt;"0",IF(LEFT(AP59,1)="1",3.0,AQ59),$D$5+$E$5*(BG59*AZ59/($K$5*1000))+$F$5*(BG59*AZ59/($K$5*1000))*MAX(MIN(AN59,$J$5),$I$5)*MAX(MIN(AN59,$J$5),$I$5)+$G$5*MAX(MIN(AN59,$J$5),$I$5)*(BG59*AZ59/($K$5*1000))+$H$5*(BG59*AZ59/($K$5*1000))*(BG59*AZ59/($K$5*1000)))</f>
        <v>0</v>
      </c>
      <c r="Q59">
        <f>H59*(1000-(1000*0.61365*exp(17.502*U59/(240.97+U59))/(AZ59+BA59)+AU59)/2)/(1000*0.61365*exp(17.502*U59/(240.97+U59))/(AZ59+BA59)-AU59)</f>
        <v>0</v>
      </c>
      <c r="R59">
        <f>1/((AO59+1)/(O59/1.6)+1/(P59/1.37)) + AO59/((AO59+1)/(O59/1.6) + AO59/(P59/1.37))</f>
        <v>0</v>
      </c>
      <c r="S59">
        <f>(AJ59*AM59)</f>
        <v>0</v>
      </c>
      <c r="T59">
        <f>(BB59+(S59+2*0.95*5.67E-8*(((BB59+$B$7)+273)^4-(BB59+273)^4)-44100*H59)/(1.84*29.3*P59+8*0.95*5.67E-8*(BB59+273)^3))</f>
        <v>0</v>
      </c>
      <c r="U59">
        <f>($C$7*BC59+$D$7*BD59+$E$7*T59)</f>
        <v>0</v>
      </c>
      <c r="V59">
        <f>0.61365*exp(17.502*U59/(240.97+U59))</f>
        <v>0</v>
      </c>
      <c r="W59">
        <f>(X59/Y59*100)</f>
        <v>0</v>
      </c>
      <c r="X59">
        <f>AU59*(AZ59+BA59)/1000</f>
        <v>0</v>
      </c>
      <c r="Y59">
        <f>0.61365*exp(17.502*BB59/(240.97+BB59))</f>
        <v>0</v>
      </c>
      <c r="Z59">
        <f>(V59-AU59*(AZ59+BA59)/1000)</f>
        <v>0</v>
      </c>
      <c r="AA59">
        <f>(-H59*44100)</f>
        <v>0</v>
      </c>
      <c r="AB59">
        <f>2*29.3*P59*0.92*(BB59-U59)</f>
        <v>0</v>
      </c>
      <c r="AC59">
        <f>2*0.95*5.67E-8*(((BB59+$B$7)+273)^4-(U59+273)^4)</f>
        <v>0</v>
      </c>
      <c r="AD59">
        <f>S59+AC59+AA59+AB59</f>
        <v>0</v>
      </c>
      <c r="AE59">
        <v>4</v>
      </c>
      <c r="AF59">
        <v>1</v>
      </c>
      <c r="AG59">
        <f>IF(AE59*$H$13&gt;=AI59,1.0,(AI59/(AI59-AE59*$H$13)))</f>
        <v>0</v>
      </c>
      <c r="AH59">
        <f>(AG59-1)*100</f>
        <v>0</v>
      </c>
      <c r="AI59">
        <f>MAX(0,($B$13+$C$13*BG59)/(1+$D$13*BG59)*AZ59/(BB59+273)*$E$13)</f>
        <v>0</v>
      </c>
      <c r="AJ59">
        <f>$B$11*BH59+$C$11*BI59+$D$11*BT59</f>
        <v>0</v>
      </c>
      <c r="AK59">
        <f>AJ59*AL59</f>
        <v>0</v>
      </c>
      <c r="AL59">
        <f>($B$11*$D$9+$C$11*$D$9+$D$11*(BU59*$E$9+BV59*$G$9))/($B$11+$C$11+$D$11)</f>
        <v>0</v>
      </c>
      <c r="AM59">
        <f>($B$11*$K$9+$C$11*$K$9+$D$11*(BU59*$L$9+BV59*$N$9))/($B$11+$C$11+$D$11)</f>
        <v>0</v>
      </c>
      <c r="AN59">
        <v>3</v>
      </c>
      <c r="AO59">
        <v>0.5</v>
      </c>
      <c r="AP59" t="s">
        <v>331</v>
      </c>
      <c r="AQ59">
        <v>2</v>
      </c>
      <c r="AR59">
        <v>1773271376.099999</v>
      </c>
      <c r="AS59">
        <v>492.7299354838709</v>
      </c>
      <c r="AT59">
        <v>491.1821612903225</v>
      </c>
      <c r="AU59">
        <v>8.629150967741937</v>
      </c>
      <c r="AV59">
        <v>7.947844516129033</v>
      </c>
      <c r="AW59">
        <v>486.2343870967742</v>
      </c>
      <c r="AX59">
        <v>8.570336129032258</v>
      </c>
      <c r="AY59">
        <v>500.0022903225805</v>
      </c>
      <c r="AZ59">
        <v>100.2340322580645</v>
      </c>
      <c r="BA59">
        <v>0.03294684516129032</v>
      </c>
      <c r="BB59">
        <v>25.01777741935484</v>
      </c>
      <c r="BC59">
        <v>24.88921935483871</v>
      </c>
      <c r="BD59">
        <v>999.9000000000003</v>
      </c>
      <c r="BE59">
        <v>0</v>
      </c>
      <c r="BF59">
        <v>0</v>
      </c>
      <c r="BG59">
        <v>4999.193548387097</v>
      </c>
      <c r="BH59">
        <v>1.195214193548387</v>
      </c>
      <c r="BI59">
        <v>230.1110645161291</v>
      </c>
      <c r="BJ59">
        <v>1.547777096774193</v>
      </c>
      <c r="BK59">
        <v>497.0187741935484</v>
      </c>
      <c r="BL59">
        <v>495.1172258064517</v>
      </c>
      <c r="BM59">
        <v>0.6813067419354839</v>
      </c>
      <c r="BN59">
        <v>491.1821612903225</v>
      </c>
      <c r="BO59">
        <v>7.947844516129033</v>
      </c>
      <c r="BP59">
        <v>0.8649351612903227</v>
      </c>
      <c r="BQ59">
        <v>0.7966450322580644</v>
      </c>
      <c r="BR59">
        <v>4.820163225806452</v>
      </c>
      <c r="BS59">
        <v>3.647661935483871</v>
      </c>
      <c r="BT59">
        <v>0</v>
      </c>
      <c r="BU59">
        <v>0</v>
      </c>
      <c r="BV59">
        <v>0</v>
      </c>
      <c r="BW59">
        <v>24</v>
      </c>
      <c r="BX59">
        <v>31</v>
      </c>
      <c r="BY59">
        <v>1773268786.6</v>
      </c>
      <c r="BZ59" t="s">
        <v>332</v>
      </c>
      <c r="CA59">
        <v>1773268786.6</v>
      </c>
      <c r="CB59">
        <v>1773268774.1</v>
      </c>
      <c r="CC59">
        <v>2</v>
      </c>
      <c r="CD59">
        <v>0.264</v>
      </c>
      <c r="CE59">
        <v>-0.024</v>
      </c>
      <c r="CF59">
        <v>6.495</v>
      </c>
      <c r="CG59">
        <v>0.059</v>
      </c>
      <c r="CH59">
        <v>488</v>
      </c>
      <c r="CI59">
        <v>25</v>
      </c>
      <c r="CJ59">
        <v>0.48</v>
      </c>
      <c r="CK59">
        <v>0.14</v>
      </c>
      <c r="CL59">
        <v>491.1865666666666</v>
      </c>
      <c r="CM59">
        <v>-1.56416462736425</v>
      </c>
      <c r="CN59">
        <v>0.1170178571368027</v>
      </c>
      <c r="CO59">
        <v>-1</v>
      </c>
      <c r="CP59">
        <v>500.0012999999999</v>
      </c>
      <c r="CQ59">
        <v>-0.2071902113456303</v>
      </c>
      <c r="CR59">
        <v>0.0377113157199951</v>
      </c>
      <c r="CS59">
        <v>-1</v>
      </c>
      <c r="CT59">
        <v>0</v>
      </c>
      <c r="CU59">
        <v>0</v>
      </c>
      <c r="CV59" t="s">
        <v>333</v>
      </c>
      <c r="CW59">
        <v>3.16929</v>
      </c>
      <c r="CX59">
        <v>2.6539</v>
      </c>
      <c r="CY59">
        <v>0.114165</v>
      </c>
      <c r="CZ59">
        <v>0.115072</v>
      </c>
      <c r="DA59">
        <v>0.0531853</v>
      </c>
      <c r="DB59">
        <v>0.0498354</v>
      </c>
      <c r="DC59">
        <v>21380.4</v>
      </c>
      <c r="DD59">
        <v>21857.5</v>
      </c>
      <c r="DE59">
        <v>23226.8</v>
      </c>
      <c r="DF59">
        <v>22583.8</v>
      </c>
      <c r="DG59">
        <v>33221</v>
      </c>
      <c r="DH59">
        <v>30276.8</v>
      </c>
      <c r="DI59">
        <v>40810.3</v>
      </c>
      <c r="DJ59">
        <v>37387</v>
      </c>
      <c r="DK59">
        <v>2.11788</v>
      </c>
      <c r="DL59">
        <v>1.76994</v>
      </c>
      <c r="DM59">
        <v>-0.0126392</v>
      </c>
      <c r="DN59">
        <v>0</v>
      </c>
      <c r="DO59">
        <v>25.1007</v>
      </c>
      <c r="DP59">
        <v>999.9</v>
      </c>
      <c r="DQ59">
        <v>67.09999999999999</v>
      </c>
      <c r="DR59">
        <v>27.6</v>
      </c>
      <c r="DS59">
        <v>24.8159</v>
      </c>
      <c r="DT59">
        <v>30.16</v>
      </c>
      <c r="DU59">
        <v>11.5385</v>
      </c>
      <c r="DV59">
        <v>1</v>
      </c>
      <c r="DW59">
        <v>0.0419411</v>
      </c>
      <c r="DX59">
        <v>0.237124</v>
      </c>
      <c r="DY59">
        <v>20.3683</v>
      </c>
      <c r="DZ59">
        <v>5.21118</v>
      </c>
      <c r="EA59">
        <v>11.8482</v>
      </c>
      <c r="EB59">
        <v>4.96808</v>
      </c>
      <c r="EC59">
        <v>3.292</v>
      </c>
      <c r="ED59">
        <v>879.4</v>
      </c>
      <c r="EE59">
        <v>9999</v>
      </c>
      <c r="EF59">
        <v>9999</v>
      </c>
      <c r="EG59">
        <v>80.8</v>
      </c>
      <c r="EH59">
        <v>4.9716</v>
      </c>
      <c r="EI59">
        <v>1.87176</v>
      </c>
      <c r="EJ59">
        <v>1.8689</v>
      </c>
      <c r="EK59">
        <v>1.87133</v>
      </c>
      <c r="EL59">
        <v>1.86904</v>
      </c>
      <c r="EM59">
        <v>1.86798</v>
      </c>
      <c r="EN59">
        <v>1.86981</v>
      </c>
      <c r="EO59">
        <v>1.87164</v>
      </c>
      <c r="EP59">
        <v>0</v>
      </c>
      <c r="EQ59">
        <v>0</v>
      </c>
      <c r="ER59">
        <v>0</v>
      </c>
      <c r="ES59">
        <v>0</v>
      </c>
      <c r="ET59" t="s">
        <v>334</v>
      </c>
      <c r="EU59" t="s">
        <v>335</v>
      </c>
      <c r="EV59" t="s">
        <v>336</v>
      </c>
      <c r="EW59" t="s">
        <v>336</v>
      </c>
      <c r="EX59" t="s">
        <v>336</v>
      </c>
      <c r="EY59" t="s">
        <v>336</v>
      </c>
      <c r="EZ59">
        <v>0</v>
      </c>
      <c r="FA59">
        <v>100</v>
      </c>
      <c r="FB59">
        <v>100</v>
      </c>
      <c r="FC59">
        <v>6.495</v>
      </c>
      <c r="FD59">
        <v>0.0588</v>
      </c>
      <c r="FE59">
        <v>6.495476190476325</v>
      </c>
      <c r="FF59">
        <v>0</v>
      </c>
      <c r="FG59">
        <v>0</v>
      </c>
      <c r="FH59">
        <v>0</v>
      </c>
      <c r="FI59">
        <v>0.05881499999999917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43.3</v>
      </c>
      <c r="FR59">
        <v>43.5</v>
      </c>
      <c r="FS59">
        <v>0.145264</v>
      </c>
      <c r="FT59">
        <v>4.99756</v>
      </c>
      <c r="FU59">
        <v>1.5979</v>
      </c>
      <c r="FV59">
        <v>2.16431</v>
      </c>
      <c r="FW59">
        <v>1.54785</v>
      </c>
      <c r="FX59">
        <v>2.33154</v>
      </c>
      <c r="FY59">
        <v>31.9585</v>
      </c>
      <c r="FZ59">
        <v>16.0934</v>
      </c>
      <c r="GA59">
        <v>3</v>
      </c>
      <c r="GB59">
        <v>498.279</v>
      </c>
      <c r="GC59">
        <v>375.023</v>
      </c>
      <c r="GD59">
        <v>25.3105</v>
      </c>
      <c r="GE59">
        <v>27.6802</v>
      </c>
      <c r="GF59">
        <v>30.0004</v>
      </c>
      <c r="GG59">
        <v>27.582</v>
      </c>
      <c r="GH59">
        <v>27.5706</v>
      </c>
      <c r="GI59">
        <v>-1</v>
      </c>
      <c r="GJ59">
        <v>100</v>
      </c>
      <c r="GK59">
        <v>0</v>
      </c>
      <c r="GL59">
        <v>25.2864</v>
      </c>
      <c r="GM59">
        <v>1200</v>
      </c>
      <c r="GN59">
        <v>26.7455</v>
      </c>
      <c r="GO59">
        <v>102.735</v>
      </c>
      <c r="GP59">
        <v>97.596</v>
      </c>
    </row>
    <row r="60" spans="1:198">
      <c r="A60">
        <v>44</v>
      </c>
      <c r="B60">
        <v>1773271444.1</v>
      </c>
      <c r="C60">
        <v>2580.5</v>
      </c>
      <c r="D60" t="s">
        <v>421</v>
      </c>
      <c r="E60" t="s">
        <v>422</v>
      </c>
      <c r="F60">
        <v>15</v>
      </c>
      <c r="G60">
        <v>1773271436.099999</v>
      </c>
      <c r="H60">
        <f>(I60)/1000</f>
        <v>0</v>
      </c>
      <c r="I60">
        <f>1000*AY60*AG60*(AU60-AV60)/(100*AN60*(1000-AG60*AU60))</f>
        <v>0</v>
      </c>
      <c r="J60">
        <f>AY60*AG60*(AT60-AS60*(1000-AG60*AV60)/(1000-AG60*AU60))/(100*AN60)</f>
        <v>0</v>
      </c>
      <c r="K60">
        <f>AS60 - IF(AG60&gt;1, J60*AN60*100.0/(AI60), 0)</f>
        <v>0</v>
      </c>
      <c r="L60">
        <f>((R60-H60/2)*K60-J60)/(R60+H60/2)</f>
        <v>0</v>
      </c>
      <c r="M60">
        <f>L60*(AZ60+BA60)/1000.0</f>
        <v>0</v>
      </c>
      <c r="N60">
        <f>(AS60 - IF(AG60&gt;1, J60*AN60*100.0/(AI60), 0))*(AZ60+BA60)/1000.0</f>
        <v>0</v>
      </c>
      <c r="O60">
        <f>2.0/((1/Q60-1/P60)+SIGN(Q60)*SQRT((1/Q60-1/P60)*(1/Q60-1/P60) + 4*AO60/((AO60+1)*(AO60+1))*(2*1/Q60*1/P60-1/P60*1/P60)))</f>
        <v>0</v>
      </c>
      <c r="P60">
        <f>IF(LEFT(AP60,1)&lt;&gt;"0",IF(LEFT(AP60,1)="1",3.0,AQ60),$D$5+$E$5*(BG60*AZ60/($K$5*1000))+$F$5*(BG60*AZ60/($K$5*1000))*MAX(MIN(AN60,$J$5),$I$5)*MAX(MIN(AN60,$J$5),$I$5)+$G$5*MAX(MIN(AN60,$J$5),$I$5)*(BG60*AZ60/($K$5*1000))+$H$5*(BG60*AZ60/($K$5*1000))*(BG60*AZ60/($K$5*1000)))</f>
        <v>0</v>
      </c>
      <c r="Q60">
        <f>H60*(1000-(1000*0.61365*exp(17.502*U60/(240.97+U60))/(AZ60+BA60)+AU60)/2)/(1000*0.61365*exp(17.502*U60/(240.97+U60))/(AZ60+BA60)-AU60)</f>
        <v>0</v>
      </c>
      <c r="R60">
        <f>1/((AO60+1)/(O60/1.6)+1/(P60/1.37)) + AO60/((AO60+1)/(O60/1.6) + AO60/(P60/1.37))</f>
        <v>0</v>
      </c>
      <c r="S60">
        <f>(AJ60*AM60)</f>
        <v>0</v>
      </c>
      <c r="T60">
        <f>(BB60+(S60+2*0.95*5.67E-8*(((BB60+$B$7)+273)^4-(BB60+273)^4)-44100*H60)/(1.84*29.3*P60+8*0.95*5.67E-8*(BB60+273)^3))</f>
        <v>0</v>
      </c>
      <c r="U60">
        <f>($C$7*BC60+$D$7*BD60+$E$7*T60)</f>
        <v>0</v>
      </c>
      <c r="V60">
        <f>0.61365*exp(17.502*U60/(240.97+U60))</f>
        <v>0</v>
      </c>
      <c r="W60">
        <f>(X60/Y60*100)</f>
        <v>0</v>
      </c>
      <c r="X60">
        <f>AU60*(AZ60+BA60)/1000</f>
        <v>0</v>
      </c>
      <c r="Y60">
        <f>0.61365*exp(17.502*BB60/(240.97+BB60))</f>
        <v>0</v>
      </c>
      <c r="Z60">
        <f>(V60-AU60*(AZ60+BA60)/1000)</f>
        <v>0</v>
      </c>
      <c r="AA60">
        <f>(-H60*44100)</f>
        <v>0</v>
      </c>
      <c r="AB60">
        <f>2*29.3*P60*0.92*(BB60-U60)</f>
        <v>0</v>
      </c>
      <c r="AC60">
        <f>2*0.95*5.67E-8*(((BB60+$B$7)+273)^4-(U60+273)^4)</f>
        <v>0</v>
      </c>
      <c r="AD60">
        <f>S60+AC60+AA60+AB60</f>
        <v>0</v>
      </c>
      <c r="AE60">
        <v>4</v>
      </c>
      <c r="AF60">
        <v>1</v>
      </c>
      <c r="AG60">
        <f>IF(AE60*$H$13&gt;=AI60,1.0,(AI60/(AI60-AE60*$H$13)))</f>
        <v>0</v>
      </c>
      <c r="AH60">
        <f>(AG60-1)*100</f>
        <v>0</v>
      </c>
      <c r="AI60">
        <f>MAX(0,($B$13+$C$13*BG60)/(1+$D$13*BG60)*AZ60/(BB60+273)*$E$13)</f>
        <v>0</v>
      </c>
      <c r="AJ60">
        <f>$B$11*BH60+$C$11*BI60+$D$11*BT60</f>
        <v>0</v>
      </c>
      <c r="AK60">
        <f>AJ60*AL60</f>
        <v>0</v>
      </c>
      <c r="AL60">
        <f>($B$11*$D$9+$C$11*$D$9+$D$11*(BU60*$E$9+BV60*$G$9))/($B$11+$C$11+$D$11)</f>
        <v>0</v>
      </c>
      <c r="AM60">
        <f>($B$11*$K$9+$C$11*$K$9+$D$11*(BU60*$L$9+BV60*$N$9))/($B$11+$C$11+$D$11)</f>
        <v>0</v>
      </c>
      <c r="AN60">
        <v>3</v>
      </c>
      <c r="AO60">
        <v>0.5</v>
      </c>
      <c r="AP60" t="s">
        <v>331</v>
      </c>
      <c r="AQ60">
        <v>2</v>
      </c>
      <c r="AR60">
        <v>1773271436.099999</v>
      </c>
      <c r="AS60">
        <v>492.4580322580645</v>
      </c>
      <c r="AT60">
        <v>491.0599677419355</v>
      </c>
      <c r="AU60">
        <v>8.664670645161289</v>
      </c>
      <c r="AV60">
        <v>7.977137096774193</v>
      </c>
      <c r="AW60">
        <v>485.9626451612904</v>
      </c>
      <c r="AX60">
        <v>8.605854838709677</v>
      </c>
      <c r="AY60">
        <v>500.0238064516129</v>
      </c>
      <c r="AZ60">
        <v>100.2339032258064</v>
      </c>
      <c r="BA60">
        <v>0.03291597741935483</v>
      </c>
      <c r="BB60">
        <v>25.0154806451613</v>
      </c>
      <c r="BC60">
        <v>24.90489032258064</v>
      </c>
      <c r="BD60">
        <v>999.9000000000003</v>
      </c>
      <c r="BE60">
        <v>0</v>
      </c>
      <c r="BF60">
        <v>0</v>
      </c>
      <c r="BG60">
        <v>5003.387096774193</v>
      </c>
      <c r="BH60">
        <v>1.20104064516129</v>
      </c>
      <c r="BI60">
        <v>240.0951290322581</v>
      </c>
      <c r="BJ60">
        <v>1.398190967741935</v>
      </c>
      <c r="BK60">
        <v>496.7625161290323</v>
      </c>
      <c r="BL60">
        <v>495.0087419354839</v>
      </c>
      <c r="BM60">
        <v>0.6875327096774193</v>
      </c>
      <c r="BN60">
        <v>491.0599677419355</v>
      </c>
      <c r="BO60">
        <v>7.977137096774193</v>
      </c>
      <c r="BP60">
        <v>0.8684936451612904</v>
      </c>
      <c r="BQ60">
        <v>0.7995796451612903</v>
      </c>
      <c r="BR60">
        <v>4.87898870967742</v>
      </c>
      <c r="BS60">
        <v>3.699842258064517</v>
      </c>
      <c r="BT60">
        <v>0</v>
      </c>
      <c r="BU60">
        <v>0</v>
      </c>
      <c r="BV60">
        <v>0</v>
      </c>
      <c r="BW60">
        <v>24</v>
      </c>
      <c r="BX60">
        <v>31.19999677419355</v>
      </c>
      <c r="BY60">
        <v>1773268786.6</v>
      </c>
      <c r="BZ60" t="s">
        <v>332</v>
      </c>
      <c r="CA60">
        <v>1773268786.6</v>
      </c>
      <c r="CB60">
        <v>1773268774.1</v>
      </c>
      <c r="CC60">
        <v>2</v>
      </c>
      <c r="CD60">
        <v>0.264</v>
      </c>
      <c r="CE60">
        <v>-0.024</v>
      </c>
      <c r="CF60">
        <v>6.495</v>
      </c>
      <c r="CG60">
        <v>0.059</v>
      </c>
      <c r="CH60">
        <v>488</v>
      </c>
      <c r="CI60">
        <v>25</v>
      </c>
      <c r="CJ60">
        <v>0.48</v>
      </c>
      <c r="CK60">
        <v>0.14</v>
      </c>
      <c r="CL60">
        <v>491.0334193548388</v>
      </c>
      <c r="CM60">
        <v>1.087451612901609</v>
      </c>
      <c r="CN60">
        <v>0.092948745568775</v>
      </c>
      <c r="CO60">
        <v>-1</v>
      </c>
      <c r="CP60">
        <v>500.0273548387096</v>
      </c>
      <c r="CQ60">
        <v>-0.001741935484666884</v>
      </c>
      <c r="CR60">
        <v>0.02737617092749709</v>
      </c>
      <c r="CS60">
        <v>-1</v>
      </c>
      <c r="CT60">
        <v>0</v>
      </c>
      <c r="CU60">
        <v>0</v>
      </c>
      <c r="CV60" t="s">
        <v>333</v>
      </c>
      <c r="CW60">
        <v>3.16931</v>
      </c>
      <c r="CX60">
        <v>2.65414</v>
      </c>
      <c r="CY60">
        <v>0.114143</v>
      </c>
      <c r="CZ60">
        <v>0.115107</v>
      </c>
      <c r="DA60">
        <v>0.0533407</v>
      </c>
      <c r="DB60">
        <v>0.0499624</v>
      </c>
      <c r="DC60">
        <v>21379.2</v>
      </c>
      <c r="DD60">
        <v>21855.7</v>
      </c>
      <c r="DE60">
        <v>23225.1</v>
      </c>
      <c r="DF60">
        <v>22583</v>
      </c>
      <c r="DG60">
        <v>33213.3</v>
      </c>
      <c r="DH60">
        <v>30271.4</v>
      </c>
      <c r="DI60">
        <v>40807.6</v>
      </c>
      <c r="DJ60">
        <v>37385.5</v>
      </c>
      <c r="DK60">
        <v>2.11734</v>
      </c>
      <c r="DL60">
        <v>1.76906</v>
      </c>
      <c r="DM60">
        <v>-0.0149071</v>
      </c>
      <c r="DN60">
        <v>0</v>
      </c>
      <c r="DO60">
        <v>25.1537</v>
      </c>
      <c r="DP60">
        <v>999.9</v>
      </c>
      <c r="DQ60">
        <v>66.90000000000001</v>
      </c>
      <c r="DR60">
        <v>27.7</v>
      </c>
      <c r="DS60">
        <v>24.89</v>
      </c>
      <c r="DT60">
        <v>29.8</v>
      </c>
      <c r="DU60">
        <v>11.3742</v>
      </c>
      <c r="DV60">
        <v>1</v>
      </c>
      <c r="DW60">
        <v>0.045311</v>
      </c>
      <c r="DX60">
        <v>0.42456</v>
      </c>
      <c r="DY60">
        <v>20.3677</v>
      </c>
      <c r="DZ60">
        <v>5.21501</v>
      </c>
      <c r="EA60">
        <v>11.8482</v>
      </c>
      <c r="EB60">
        <v>4.9692</v>
      </c>
      <c r="EC60">
        <v>3.29204</v>
      </c>
      <c r="ED60">
        <v>879.4</v>
      </c>
      <c r="EE60">
        <v>9999</v>
      </c>
      <c r="EF60">
        <v>9999</v>
      </c>
      <c r="EG60">
        <v>80.8</v>
      </c>
      <c r="EH60">
        <v>4.97162</v>
      </c>
      <c r="EI60">
        <v>1.87175</v>
      </c>
      <c r="EJ60">
        <v>1.8689</v>
      </c>
      <c r="EK60">
        <v>1.87134</v>
      </c>
      <c r="EL60">
        <v>1.86905</v>
      </c>
      <c r="EM60">
        <v>1.86798</v>
      </c>
      <c r="EN60">
        <v>1.86981</v>
      </c>
      <c r="EO60">
        <v>1.87164</v>
      </c>
      <c r="EP60">
        <v>0</v>
      </c>
      <c r="EQ60">
        <v>0</v>
      </c>
      <c r="ER60">
        <v>0</v>
      </c>
      <c r="ES60">
        <v>0</v>
      </c>
      <c r="ET60" t="s">
        <v>334</v>
      </c>
      <c r="EU60" t="s">
        <v>335</v>
      </c>
      <c r="EV60" t="s">
        <v>336</v>
      </c>
      <c r="EW60" t="s">
        <v>336</v>
      </c>
      <c r="EX60" t="s">
        <v>336</v>
      </c>
      <c r="EY60" t="s">
        <v>336</v>
      </c>
      <c r="EZ60">
        <v>0</v>
      </c>
      <c r="FA60">
        <v>100</v>
      </c>
      <c r="FB60">
        <v>100</v>
      </c>
      <c r="FC60">
        <v>6.495</v>
      </c>
      <c r="FD60">
        <v>0.0588</v>
      </c>
      <c r="FE60">
        <v>6.495476190476325</v>
      </c>
      <c r="FF60">
        <v>0</v>
      </c>
      <c r="FG60">
        <v>0</v>
      </c>
      <c r="FH60">
        <v>0</v>
      </c>
      <c r="FI60">
        <v>0.05881499999999917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44.3</v>
      </c>
      <c r="FR60">
        <v>44.5</v>
      </c>
      <c r="FS60">
        <v>0.145264</v>
      </c>
      <c r="FT60">
        <v>4.99756</v>
      </c>
      <c r="FU60">
        <v>1.5979</v>
      </c>
      <c r="FV60">
        <v>2.16431</v>
      </c>
      <c r="FW60">
        <v>1.54785</v>
      </c>
      <c r="FX60">
        <v>2.37305</v>
      </c>
      <c r="FY60">
        <v>32.0024</v>
      </c>
      <c r="FZ60">
        <v>16.0846</v>
      </c>
      <c r="GA60">
        <v>3</v>
      </c>
      <c r="GB60">
        <v>498.251</v>
      </c>
      <c r="GC60">
        <v>374.771</v>
      </c>
      <c r="GD60">
        <v>25.0726</v>
      </c>
      <c r="GE60">
        <v>27.7206</v>
      </c>
      <c r="GF60">
        <v>30.0004</v>
      </c>
      <c r="GG60">
        <v>27.6171</v>
      </c>
      <c r="GH60">
        <v>27.605</v>
      </c>
      <c r="GI60">
        <v>-1</v>
      </c>
      <c r="GJ60">
        <v>100</v>
      </c>
      <c r="GK60">
        <v>0</v>
      </c>
      <c r="GL60">
        <v>25.0571</v>
      </c>
      <c r="GM60">
        <v>1200</v>
      </c>
      <c r="GN60">
        <v>26.7455</v>
      </c>
      <c r="GO60">
        <v>102.728</v>
      </c>
      <c r="GP60">
        <v>97.59229999999999</v>
      </c>
    </row>
    <row r="61" spans="1:198">
      <c r="A61">
        <v>45</v>
      </c>
      <c r="B61">
        <v>1773271504.1</v>
      </c>
      <c r="C61">
        <v>2640.5</v>
      </c>
      <c r="D61" t="s">
        <v>423</v>
      </c>
      <c r="E61" t="s">
        <v>424</v>
      </c>
      <c r="F61">
        <v>15</v>
      </c>
      <c r="G61">
        <v>1773271496.099999</v>
      </c>
      <c r="H61">
        <f>(I61)/1000</f>
        <v>0</v>
      </c>
      <c r="I61">
        <f>1000*AY61*AG61*(AU61-AV61)/(100*AN61*(1000-AG61*AU61))</f>
        <v>0</v>
      </c>
      <c r="J61">
        <f>AY61*AG61*(AT61-AS61*(1000-AG61*AV61)/(1000-AG61*AU61))/(100*AN61)</f>
        <v>0</v>
      </c>
      <c r="K61">
        <f>AS61 - IF(AG61&gt;1, J61*AN61*100.0/(AI61), 0)</f>
        <v>0</v>
      </c>
      <c r="L61">
        <f>((R61-H61/2)*K61-J61)/(R61+H61/2)</f>
        <v>0</v>
      </c>
      <c r="M61">
        <f>L61*(AZ61+BA61)/1000.0</f>
        <v>0</v>
      </c>
      <c r="N61">
        <f>(AS61 - IF(AG61&gt;1, J61*AN61*100.0/(AI61), 0))*(AZ61+BA61)/1000.0</f>
        <v>0</v>
      </c>
      <c r="O61">
        <f>2.0/((1/Q61-1/P61)+SIGN(Q61)*SQRT((1/Q61-1/P61)*(1/Q61-1/P61) + 4*AO61/((AO61+1)*(AO61+1))*(2*1/Q61*1/P61-1/P61*1/P61)))</f>
        <v>0</v>
      </c>
      <c r="P61">
        <f>IF(LEFT(AP61,1)&lt;&gt;"0",IF(LEFT(AP61,1)="1",3.0,AQ61),$D$5+$E$5*(BG61*AZ61/($K$5*1000))+$F$5*(BG61*AZ61/($K$5*1000))*MAX(MIN(AN61,$J$5),$I$5)*MAX(MIN(AN61,$J$5),$I$5)+$G$5*MAX(MIN(AN61,$J$5),$I$5)*(BG61*AZ61/($K$5*1000))+$H$5*(BG61*AZ61/($K$5*1000))*(BG61*AZ61/($K$5*1000)))</f>
        <v>0</v>
      </c>
      <c r="Q61">
        <f>H61*(1000-(1000*0.61365*exp(17.502*U61/(240.97+U61))/(AZ61+BA61)+AU61)/2)/(1000*0.61365*exp(17.502*U61/(240.97+U61))/(AZ61+BA61)-AU61)</f>
        <v>0</v>
      </c>
      <c r="R61">
        <f>1/((AO61+1)/(O61/1.6)+1/(P61/1.37)) + AO61/((AO61+1)/(O61/1.6) + AO61/(P61/1.37))</f>
        <v>0</v>
      </c>
      <c r="S61">
        <f>(AJ61*AM61)</f>
        <v>0</v>
      </c>
      <c r="T61">
        <f>(BB61+(S61+2*0.95*5.67E-8*(((BB61+$B$7)+273)^4-(BB61+273)^4)-44100*H61)/(1.84*29.3*P61+8*0.95*5.67E-8*(BB61+273)^3))</f>
        <v>0</v>
      </c>
      <c r="U61">
        <f>($C$7*BC61+$D$7*BD61+$E$7*T61)</f>
        <v>0</v>
      </c>
      <c r="V61">
        <f>0.61365*exp(17.502*U61/(240.97+U61))</f>
        <v>0</v>
      </c>
      <c r="W61">
        <f>(X61/Y61*100)</f>
        <v>0</v>
      </c>
      <c r="X61">
        <f>AU61*(AZ61+BA61)/1000</f>
        <v>0</v>
      </c>
      <c r="Y61">
        <f>0.61365*exp(17.502*BB61/(240.97+BB61))</f>
        <v>0</v>
      </c>
      <c r="Z61">
        <f>(V61-AU61*(AZ61+BA61)/1000)</f>
        <v>0</v>
      </c>
      <c r="AA61">
        <f>(-H61*44100)</f>
        <v>0</v>
      </c>
      <c r="AB61">
        <f>2*29.3*P61*0.92*(BB61-U61)</f>
        <v>0</v>
      </c>
      <c r="AC61">
        <f>2*0.95*5.67E-8*(((BB61+$B$7)+273)^4-(U61+273)^4)</f>
        <v>0</v>
      </c>
      <c r="AD61">
        <f>S61+AC61+AA61+AB61</f>
        <v>0</v>
      </c>
      <c r="AE61">
        <v>4</v>
      </c>
      <c r="AF61">
        <v>1</v>
      </c>
      <c r="AG61">
        <f>IF(AE61*$H$13&gt;=AI61,1.0,(AI61/(AI61-AE61*$H$13)))</f>
        <v>0</v>
      </c>
      <c r="AH61">
        <f>(AG61-1)*100</f>
        <v>0</v>
      </c>
      <c r="AI61">
        <f>MAX(0,($B$13+$C$13*BG61)/(1+$D$13*BG61)*AZ61/(BB61+273)*$E$13)</f>
        <v>0</v>
      </c>
      <c r="AJ61">
        <f>$B$11*BH61+$C$11*BI61+$D$11*BT61</f>
        <v>0</v>
      </c>
      <c r="AK61">
        <f>AJ61*AL61</f>
        <v>0</v>
      </c>
      <c r="AL61">
        <f>($B$11*$D$9+$C$11*$D$9+$D$11*(BU61*$E$9+BV61*$G$9))/($B$11+$C$11+$D$11)</f>
        <v>0</v>
      </c>
      <c r="AM61">
        <f>($B$11*$K$9+$C$11*$K$9+$D$11*(BU61*$L$9+BV61*$N$9))/($B$11+$C$11+$D$11)</f>
        <v>0</v>
      </c>
      <c r="AN61">
        <v>3</v>
      </c>
      <c r="AO61">
        <v>0.5</v>
      </c>
      <c r="AP61" t="s">
        <v>331</v>
      </c>
      <c r="AQ61">
        <v>2</v>
      </c>
      <c r="AR61">
        <v>1773271496.099999</v>
      </c>
      <c r="AS61">
        <v>492.3018064516128</v>
      </c>
      <c r="AT61">
        <v>490.9515161290323</v>
      </c>
      <c r="AU61">
        <v>8.689611935483871</v>
      </c>
      <c r="AV61">
        <v>7.998250000000001</v>
      </c>
      <c r="AW61">
        <v>485.8064516129033</v>
      </c>
      <c r="AX61">
        <v>8.630798709677421</v>
      </c>
      <c r="AY61">
        <v>500.0256129032258</v>
      </c>
      <c r="AZ61">
        <v>100.2341290322581</v>
      </c>
      <c r="BA61">
        <v>0.03306711290322581</v>
      </c>
      <c r="BB61">
        <v>25.01110645161289</v>
      </c>
      <c r="BC61">
        <v>24.91553225806452</v>
      </c>
      <c r="BD61">
        <v>999.9000000000003</v>
      </c>
      <c r="BE61">
        <v>0</v>
      </c>
      <c r="BF61">
        <v>0</v>
      </c>
      <c r="BG61">
        <v>5000.870967741936</v>
      </c>
      <c r="BH61">
        <v>1.234085483870968</v>
      </c>
      <c r="BI61">
        <v>252.351129032258</v>
      </c>
      <c r="BJ61">
        <v>1.350423548387097</v>
      </c>
      <c r="BK61">
        <v>496.6174516129033</v>
      </c>
      <c r="BL61">
        <v>494.909935483871</v>
      </c>
      <c r="BM61">
        <v>0.6913643225806454</v>
      </c>
      <c r="BN61">
        <v>490.9515161290323</v>
      </c>
      <c r="BO61">
        <v>7.998250000000001</v>
      </c>
      <c r="BP61">
        <v>0.8709965806451613</v>
      </c>
      <c r="BQ61">
        <v>0.8016981935483871</v>
      </c>
      <c r="BR61">
        <v>4.920239032258064</v>
      </c>
      <c r="BS61">
        <v>3.737406129032258</v>
      </c>
      <c r="BT61">
        <v>0</v>
      </c>
      <c r="BU61">
        <v>0</v>
      </c>
      <c r="BV61">
        <v>0</v>
      </c>
      <c r="BW61">
        <v>24.69248064516129</v>
      </c>
      <c r="BX61">
        <v>32</v>
      </c>
      <c r="BY61">
        <v>1773268786.6</v>
      </c>
      <c r="BZ61" t="s">
        <v>332</v>
      </c>
      <c r="CA61">
        <v>1773268786.6</v>
      </c>
      <c r="CB61">
        <v>1773268774.1</v>
      </c>
      <c r="CC61">
        <v>2</v>
      </c>
      <c r="CD61">
        <v>0.264</v>
      </c>
      <c r="CE61">
        <v>-0.024</v>
      </c>
      <c r="CF61">
        <v>6.495</v>
      </c>
      <c r="CG61">
        <v>0.059</v>
      </c>
      <c r="CH61">
        <v>488</v>
      </c>
      <c r="CI61">
        <v>25</v>
      </c>
      <c r="CJ61">
        <v>0.48</v>
      </c>
      <c r="CK61">
        <v>0.14</v>
      </c>
      <c r="CL61">
        <v>490.9515161290323</v>
      </c>
      <c r="CM61">
        <v>1.467096774193529</v>
      </c>
      <c r="CN61">
        <v>0.1185631371117948</v>
      </c>
      <c r="CO61">
        <v>-1</v>
      </c>
      <c r="CP61">
        <v>500.0256129032258</v>
      </c>
      <c r="CQ61">
        <v>-0.4653870967745604</v>
      </c>
      <c r="CR61">
        <v>0.06555257797118268</v>
      </c>
      <c r="CS61">
        <v>-1</v>
      </c>
      <c r="CT61">
        <v>0</v>
      </c>
      <c r="CU61">
        <v>0</v>
      </c>
      <c r="CV61" t="s">
        <v>333</v>
      </c>
      <c r="CW61">
        <v>3.16934</v>
      </c>
      <c r="CX61">
        <v>2.65434</v>
      </c>
      <c r="CY61">
        <v>0.11411</v>
      </c>
      <c r="CZ61">
        <v>0.115082</v>
      </c>
      <c r="DA61">
        <v>0.0534657</v>
      </c>
      <c r="DB61">
        <v>0.0500687</v>
      </c>
      <c r="DC61">
        <v>21377.7</v>
      </c>
      <c r="DD61">
        <v>21855.1</v>
      </c>
      <c r="DE61">
        <v>23222.9</v>
      </c>
      <c r="DF61">
        <v>22581.9</v>
      </c>
      <c r="DG61">
        <v>33206.1</v>
      </c>
      <c r="DH61">
        <v>30266.4</v>
      </c>
      <c r="DI61">
        <v>40804.2</v>
      </c>
      <c r="DJ61">
        <v>37383.6</v>
      </c>
      <c r="DK61">
        <v>2.11736</v>
      </c>
      <c r="DL61">
        <v>1.76836</v>
      </c>
      <c r="DM61">
        <v>-0.0178128</v>
      </c>
      <c r="DN61">
        <v>0</v>
      </c>
      <c r="DO61">
        <v>25.2091</v>
      </c>
      <c r="DP61">
        <v>999.9</v>
      </c>
      <c r="DQ61">
        <v>66.8</v>
      </c>
      <c r="DR61">
        <v>27.7</v>
      </c>
      <c r="DS61">
        <v>24.8498</v>
      </c>
      <c r="DT61">
        <v>30.13</v>
      </c>
      <c r="DU61">
        <v>11.3261</v>
      </c>
      <c r="DV61">
        <v>1</v>
      </c>
      <c r="DW61">
        <v>0.0484431</v>
      </c>
      <c r="DX61">
        <v>0.340431</v>
      </c>
      <c r="DY61">
        <v>20.3679</v>
      </c>
      <c r="DZ61">
        <v>5.21453</v>
      </c>
      <c r="EA61">
        <v>11.8482</v>
      </c>
      <c r="EB61">
        <v>4.96896</v>
      </c>
      <c r="EC61">
        <v>3.292</v>
      </c>
      <c r="ED61">
        <v>879.4</v>
      </c>
      <c r="EE61">
        <v>9999</v>
      </c>
      <c r="EF61">
        <v>9999</v>
      </c>
      <c r="EG61">
        <v>80.8</v>
      </c>
      <c r="EH61">
        <v>4.9716</v>
      </c>
      <c r="EI61">
        <v>1.87178</v>
      </c>
      <c r="EJ61">
        <v>1.86889</v>
      </c>
      <c r="EK61">
        <v>1.87134</v>
      </c>
      <c r="EL61">
        <v>1.86904</v>
      </c>
      <c r="EM61">
        <v>1.86798</v>
      </c>
      <c r="EN61">
        <v>1.86981</v>
      </c>
      <c r="EO61">
        <v>1.87164</v>
      </c>
      <c r="EP61">
        <v>0</v>
      </c>
      <c r="EQ61">
        <v>0</v>
      </c>
      <c r="ER61">
        <v>0</v>
      </c>
      <c r="ES61">
        <v>0</v>
      </c>
      <c r="ET61" t="s">
        <v>334</v>
      </c>
      <c r="EU61" t="s">
        <v>335</v>
      </c>
      <c r="EV61" t="s">
        <v>336</v>
      </c>
      <c r="EW61" t="s">
        <v>336</v>
      </c>
      <c r="EX61" t="s">
        <v>336</v>
      </c>
      <c r="EY61" t="s">
        <v>336</v>
      </c>
      <c r="EZ61">
        <v>0</v>
      </c>
      <c r="FA61">
        <v>100</v>
      </c>
      <c r="FB61">
        <v>100</v>
      </c>
      <c r="FC61">
        <v>6.496</v>
      </c>
      <c r="FD61">
        <v>0.0588</v>
      </c>
      <c r="FE61">
        <v>6.495476190476325</v>
      </c>
      <c r="FF61">
        <v>0</v>
      </c>
      <c r="FG61">
        <v>0</v>
      </c>
      <c r="FH61">
        <v>0</v>
      </c>
      <c r="FI61">
        <v>0.05881499999999917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45.3</v>
      </c>
      <c r="FR61">
        <v>45.5</v>
      </c>
      <c r="FS61">
        <v>0.145264</v>
      </c>
      <c r="FT61">
        <v>4.99756</v>
      </c>
      <c r="FU61">
        <v>1.5979</v>
      </c>
      <c r="FV61">
        <v>2.16309</v>
      </c>
      <c r="FW61">
        <v>1.54785</v>
      </c>
      <c r="FX61">
        <v>2.39746</v>
      </c>
      <c r="FY61">
        <v>32.0904</v>
      </c>
      <c r="FZ61">
        <v>16.0934</v>
      </c>
      <c r="GA61">
        <v>3</v>
      </c>
      <c r="GB61">
        <v>498.582</v>
      </c>
      <c r="GC61">
        <v>374.646</v>
      </c>
      <c r="GD61">
        <v>25.2043</v>
      </c>
      <c r="GE61">
        <v>27.7663</v>
      </c>
      <c r="GF61">
        <v>30.0006</v>
      </c>
      <c r="GG61">
        <v>27.657</v>
      </c>
      <c r="GH61">
        <v>27.6446</v>
      </c>
      <c r="GI61">
        <v>-1</v>
      </c>
      <c r="GJ61">
        <v>100</v>
      </c>
      <c r="GK61">
        <v>0</v>
      </c>
      <c r="GL61">
        <v>25.183</v>
      </c>
      <c r="GM61">
        <v>1200</v>
      </c>
      <c r="GN61">
        <v>26.7455</v>
      </c>
      <c r="GO61">
        <v>102.719</v>
      </c>
      <c r="GP61">
        <v>97.5873</v>
      </c>
    </row>
    <row r="62" spans="1:198">
      <c r="A62">
        <v>46</v>
      </c>
      <c r="B62">
        <v>1773271564.1</v>
      </c>
      <c r="C62">
        <v>2700.5</v>
      </c>
      <c r="D62" t="s">
        <v>425</v>
      </c>
      <c r="E62" t="s">
        <v>426</v>
      </c>
      <c r="F62">
        <v>15</v>
      </c>
      <c r="G62">
        <v>1773271556.099999</v>
      </c>
      <c r="H62">
        <f>(I62)/1000</f>
        <v>0</v>
      </c>
      <c r="I62">
        <f>1000*AY62*AG62*(AU62-AV62)/(100*AN62*(1000-AG62*AU62))</f>
        <v>0</v>
      </c>
      <c r="J62">
        <f>AY62*AG62*(AT62-AS62*(1000-AG62*AV62)/(1000-AG62*AU62))/(100*AN62)</f>
        <v>0</v>
      </c>
      <c r="K62">
        <f>AS62 - IF(AG62&gt;1, J62*AN62*100.0/(AI62), 0)</f>
        <v>0</v>
      </c>
      <c r="L62">
        <f>((R62-H62/2)*K62-J62)/(R62+H62/2)</f>
        <v>0</v>
      </c>
      <c r="M62">
        <f>L62*(AZ62+BA62)/1000.0</f>
        <v>0</v>
      </c>
      <c r="N62">
        <f>(AS62 - IF(AG62&gt;1, J62*AN62*100.0/(AI62), 0))*(AZ62+BA62)/1000.0</f>
        <v>0</v>
      </c>
      <c r="O62">
        <f>2.0/((1/Q62-1/P62)+SIGN(Q62)*SQRT((1/Q62-1/P62)*(1/Q62-1/P62) + 4*AO62/((AO62+1)*(AO62+1))*(2*1/Q62*1/P62-1/P62*1/P62)))</f>
        <v>0</v>
      </c>
      <c r="P62">
        <f>IF(LEFT(AP62,1)&lt;&gt;"0",IF(LEFT(AP62,1)="1",3.0,AQ62),$D$5+$E$5*(BG62*AZ62/($K$5*1000))+$F$5*(BG62*AZ62/($K$5*1000))*MAX(MIN(AN62,$J$5),$I$5)*MAX(MIN(AN62,$J$5),$I$5)+$G$5*MAX(MIN(AN62,$J$5),$I$5)*(BG62*AZ62/($K$5*1000))+$H$5*(BG62*AZ62/($K$5*1000))*(BG62*AZ62/($K$5*1000)))</f>
        <v>0</v>
      </c>
      <c r="Q62">
        <f>H62*(1000-(1000*0.61365*exp(17.502*U62/(240.97+U62))/(AZ62+BA62)+AU62)/2)/(1000*0.61365*exp(17.502*U62/(240.97+U62))/(AZ62+BA62)-AU62)</f>
        <v>0</v>
      </c>
      <c r="R62">
        <f>1/((AO62+1)/(O62/1.6)+1/(P62/1.37)) + AO62/((AO62+1)/(O62/1.6) + AO62/(P62/1.37))</f>
        <v>0</v>
      </c>
      <c r="S62">
        <f>(AJ62*AM62)</f>
        <v>0</v>
      </c>
      <c r="T62">
        <f>(BB62+(S62+2*0.95*5.67E-8*(((BB62+$B$7)+273)^4-(BB62+273)^4)-44100*H62)/(1.84*29.3*P62+8*0.95*5.67E-8*(BB62+273)^3))</f>
        <v>0</v>
      </c>
      <c r="U62">
        <f>($C$7*BC62+$D$7*BD62+$E$7*T62)</f>
        <v>0</v>
      </c>
      <c r="V62">
        <f>0.61365*exp(17.502*U62/(240.97+U62))</f>
        <v>0</v>
      </c>
      <c r="W62">
        <f>(X62/Y62*100)</f>
        <v>0</v>
      </c>
      <c r="X62">
        <f>AU62*(AZ62+BA62)/1000</f>
        <v>0</v>
      </c>
      <c r="Y62">
        <f>0.61365*exp(17.502*BB62/(240.97+BB62))</f>
        <v>0</v>
      </c>
      <c r="Z62">
        <f>(V62-AU62*(AZ62+BA62)/1000)</f>
        <v>0</v>
      </c>
      <c r="AA62">
        <f>(-H62*44100)</f>
        <v>0</v>
      </c>
      <c r="AB62">
        <f>2*29.3*P62*0.92*(BB62-U62)</f>
        <v>0</v>
      </c>
      <c r="AC62">
        <f>2*0.95*5.67E-8*(((BB62+$B$7)+273)^4-(U62+273)^4)</f>
        <v>0</v>
      </c>
      <c r="AD62">
        <f>S62+AC62+AA62+AB62</f>
        <v>0</v>
      </c>
      <c r="AE62">
        <v>4</v>
      </c>
      <c r="AF62">
        <v>1</v>
      </c>
      <c r="AG62">
        <f>IF(AE62*$H$13&gt;=AI62,1.0,(AI62/(AI62-AE62*$H$13)))</f>
        <v>0</v>
      </c>
      <c r="AH62">
        <f>(AG62-1)*100</f>
        <v>0</v>
      </c>
      <c r="AI62">
        <f>MAX(0,($B$13+$C$13*BG62)/(1+$D$13*BG62)*AZ62/(BB62+273)*$E$13)</f>
        <v>0</v>
      </c>
      <c r="AJ62">
        <f>$B$11*BH62+$C$11*BI62+$D$11*BT62</f>
        <v>0</v>
      </c>
      <c r="AK62">
        <f>AJ62*AL62</f>
        <v>0</v>
      </c>
      <c r="AL62">
        <f>($B$11*$D$9+$C$11*$D$9+$D$11*(BU62*$E$9+BV62*$G$9))/($B$11+$C$11+$D$11)</f>
        <v>0</v>
      </c>
      <c r="AM62">
        <f>($B$11*$K$9+$C$11*$K$9+$D$11*(BU62*$L$9+BV62*$N$9))/($B$11+$C$11+$D$11)</f>
        <v>0</v>
      </c>
      <c r="AN62">
        <v>3</v>
      </c>
      <c r="AO62">
        <v>0.5</v>
      </c>
      <c r="AP62" t="s">
        <v>331</v>
      </c>
      <c r="AQ62">
        <v>2</v>
      </c>
      <c r="AR62">
        <v>1773271556.099999</v>
      </c>
      <c r="AS62">
        <v>492.7877741935483</v>
      </c>
      <c r="AT62">
        <v>491.3348387096775</v>
      </c>
      <c r="AU62">
        <v>8.71745258064516</v>
      </c>
      <c r="AV62">
        <v>8.02301806451613</v>
      </c>
      <c r="AW62">
        <v>486.2922903225807</v>
      </c>
      <c r="AX62">
        <v>8.658638064516129</v>
      </c>
      <c r="AY62">
        <v>500.008193548387</v>
      </c>
      <c r="AZ62">
        <v>100.233870967742</v>
      </c>
      <c r="BA62">
        <v>0.03303968387096774</v>
      </c>
      <c r="BB62">
        <v>25.02193548387097</v>
      </c>
      <c r="BC62">
        <v>24.94130967741935</v>
      </c>
      <c r="BD62">
        <v>999.9000000000003</v>
      </c>
      <c r="BE62">
        <v>0</v>
      </c>
      <c r="BF62">
        <v>0</v>
      </c>
      <c r="BG62">
        <v>5001.354838709677</v>
      </c>
      <c r="BH62">
        <v>1.302950322580645</v>
      </c>
      <c r="BI62">
        <v>274.3668709677419</v>
      </c>
      <c r="BJ62">
        <v>1.452973548387097</v>
      </c>
      <c r="BK62">
        <v>497.1213870967742</v>
      </c>
      <c r="BL62">
        <v>495.3086774193548</v>
      </c>
      <c r="BM62">
        <v>0.6944340322580644</v>
      </c>
      <c r="BN62">
        <v>491.3348387096775</v>
      </c>
      <c r="BO62">
        <v>8.02301806451613</v>
      </c>
      <c r="BP62">
        <v>0.8737827096774192</v>
      </c>
      <c r="BQ62">
        <v>0.8041770322580644</v>
      </c>
      <c r="BR62">
        <v>4.966032580645162</v>
      </c>
      <c r="BS62">
        <v>3.78125</v>
      </c>
      <c r="BT62">
        <v>0</v>
      </c>
      <c r="BU62">
        <v>0</v>
      </c>
      <c r="BV62">
        <v>0</v>
      </c>
      <c r="BW62">
        <v>25</v>
      </c>
      <c r="BX62">
        <v>33.78603225806452</v>
      </c>
      <c r="BY62">
        <v>1773268786.6</v>
      </c>
      <c r="BZ62" t="s">
        <v>332</v>
      </c>
      <c r="CA62">
        <v>1773268786.6</v>
      </c>
      <c r="CB62">
        <v>1773268774.1</v>
      </c>
      <c r="CC62">
        <v>2</v>
      </c>
      <c r="CD62">
        <v>0.264</v>
      </c>
      <c r="CE62">
        <v>-0.024</v>
      </c>
      <c r="CF62">
        <v>6.495</v>
      </c>
      <c r="CG62">
        <v>0.059</v>
      </c>
      <c r="CH62">
        <v>488</v>
      </c>
      <c r="CI62">
        <v>25</v>
      </c>
      <c r="CJ62">
        <v>0.48</v>
      </c>
      <c r="CK62">
        <v>0.14</v>
      </c>
      <c r="CL62">
        <v>491.3344193548386</v>
      </c>
      <c r="CM62">
        <v>0.4682903225789714</v>
      </c>
      <c r="CN62">
        <v>0.06049461409966608</v>
      </c>
      <c r="CO62">
        <v>-1</v>
      </c>
      <c r="CP62">
        <v>500.003129032258</v>
      </c>
      <c r="CQ62">
        <v>0.03285483870904572</v>
      </c>
      <c r="CR62">
        <v>0.04052855778136593</v>
      </c>
      <c r="CS62">
        <v>-1</v>
      </c>
      <c r="CT62">
        <v>0</v>
      </c>
      <c r="CU62">
        <v>0</v>
      </c>
      <c r="CV62" t="s">
        <v>333</v>
      </c>
      <c r="CW62">
        <v>3.16938</v>
      </c>
      <c r="CX62">
        <v>2.65446</v>
      </c>
      <c r="CY62">
        <v>0.114159</v>
      </c>
      <c r="CZ62">
        <v>0.115083</v>
      </c>
      <c r="DA62">
        <v>0.0535961</v>
      </c>
      <c r="DB62">
        <v>0.0501883</v>
      </c>
      <c r="DC62">
        <v>21374</v>
      </c>
      <c r="DD62">
        <v>21853.9</v>
      </c>
      <c r="DE62">
        <v>23220.4</v>
      </c>
      <c r="DF62">
        <v>22580.8</v>
      </c>
      <c r="DG62">
        <v>33198.2</v>
      </c>
      <c r="DH62">
        <v>30260.8</v>
      </c>
      <c r="DI62">
        <v>40800.4</v>
      </c>
      <c r="DJ62">
        <v>37381.5</v>
      </c>
      <c r="DK62">
        <v>2.1163</v>
      </c>
      <c r="DL62">
        <v>1.7671</v>
      </c>
      <c r="DM62">
        <v>-0.018844</v>
      </c>
      <c r="DN62">
        <v>0</v>
      </c>
      <c r="DO62">
        <v>25.264</v>
      </c>
      <c r="DP62">
        <v>999.9</v>
      </c>
      <c r="DQ62">
        <v>66.7</v>
      </c>
      <c r="DR62">
        <v>27.8</v>
      </c>
      <c r="DS62">
        <v>24.96</v>
      </c>
      <c r="DT62">
        <v>29.95</v>
      </c>
      <c r="DU62">
        <v>11.3462</v>
      </c>
      <c r="DV62">
        <v>1</v>
      </c>
      <c r="DW62">
        <v>0.0522378</v>
      </c>
      <c r="DX62">
        <v>0.546381</v>
      </c>
      <c r="DY62">
        <v>20.3671</v>
      </c>
      <c r="DZ62">
        <v>5.21585</v>
      </c>
      <c r="EA62">
        <v>11.8482</v>
      </c>
      <c r="EB62">
        <v>4.96952</v>
      </c>
      <c r="EC62">
        <v>3.29202</v>
      </c>
      <c r="ED62">
        <v>879.4</v>
      </c>
      <c r="EE62">
        <v>9999</v>
      </c>
      <c r="EF62">
        <v>9999</v>
      </c>
      <c r="EG62">
        <v>80.90000000000001</v>
      </c>
      <c r="EH62">
        <v>4.9716</v>
      </c>
      <c r="EI62">
        <v>1.87178</v>
      </c>
      <c r="EJ62">
        <v>1.8689</v>
      </c>
      <c r="EK62">
        <v>1.87134</v>
      </c>
      <c r="EL62">
        <v>1.86903</v>
      </c>
      <c r="EM62">
        <v>1.86798</v>
      </c>
      <c r="EN62">
        <v>1.86981</v>
      </c>
      <c r="EO62">
        <v>1.87164</v>
      </c>
      <c r="EP62">
        <v>0</v>
      </c>
      <c r="EQ62">
        <v>0</v>
      </c>
      <c r="ER62">
        <v>0</v>
      </c>
      <c r="ES62">
        <v>0</v>
      </c>
      <c r="ET62" t="s">
        <v>334</v>
      </c>
      <c r="EU62" t="s">
        <v>335</v>
      </c>
      <c r="EV62" t="s">
        <v>336</v>
      </c>
      <c r="EW62" t="s">
        <v>336</v>
      </c>
      <c r="EX62" t="s">
        <v>336</v>
      </c>
      <c r="EY62" t="s">
        <v>336</v>
      </c>
      <c r="EZ62">
        <v>0</v>
      </c>
      <c r="FA62">
        <v>100</v>
      </c>
      <c r="FB62">
        <v>100</v>
      </c>
      <c r="FC62">
        <v>6.495</v>
      </c>
      <c r="FD62">
        <v>0.0588</v>
      </c>
      <c r="FE62">
        <v>6.495476190476325</v>
      </c>
      <c r="FF62">
        <v>0</v>
      </c>
      <c r="FG62">
        <v>0</v>
      </c>
      <c r="FH62">
        <v>0</v>
      </c>
      <c r="FI62">
        <v>0.05881499999999917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46.3</v>
      </c>
      <c r="FR62">
        <v>46.5</v>
      </c>
      <c r="FS62">
        <v>0.145264</v>
      </c>
      <c r="FT62">
        <v>4.99756</v>
      </c>
      <c r="FU62">
        <v>1.5979</v>
      </c>
      <c r="FV62">
        <v>2.16553</v>
      </c>
      <c r="FW62">
        <v>1.54785</v>
      </c>
      <c r="FX62">
        <v>2.4353</v>
      </c>
      <c r="FY62">
        <v>32.1344</v>
      </c>
      <c r="FZ62">
        <v>16.0934</v>
      </c>
      <c r="GA62">
        <v>3</v>
      </c>
      <c r="GB62">
        <v>498.331</v>
      </c>
      <c r="GC62">
        <v>374.251</v>
      </c>
      <c r="GD62">
        <v>25.003</v>
      </c>
      <c r="GE62">
        <v>27.8155</v>
      </c>
      <c r="GF62">
        <v>30.0005</v>
      </c>
      <c r="GG62">
        <v>27.7016</v>
      </c>
      <c r="GH62">
        <v>27.6889</v>
      </c>
      <c r="GI62">
        <v>-1</v>
      </c>
      <c r="GJ62">
        <v>100</v>
      </c>
      <c r="GK62">
        <v>0</v>
      </c>
      <c r="GL62">
        <v>24.9741</v>
      </c>
      <c r="GM62">
        <v>1200</v>
      </c>
      <c r="GN62">
        <v>26.7455</v>
      </c>
      <c r="GO62">
        <v>102.709</v>
      </c>
      <c r="GP62">
        <v>97.5821</v>
      </c>
    </row>
    <row r="63" spans="1:198">
      <c r="A63">
        <v>47</v>
      </c>
      <c r="B63">
        <v>1773271624.1</v>
      </c>
      <c r="C63">
        <v>2760.5</v>
      </c>
      <c r="D63" t="s">
        <v>427</v>
      </c>
      <c r="E63" t="s">
        <v>428</v>
      </c>
      <c r="F63">
        <v>15</v>
      </c>
      <c r="G63">
        <v>1773271616.099999</v>
      </c>
      <c r="H63">
        <f>(I63)/1000</f>
        <v>0</v>
      </c>
      <c r="I63">
        <f>1000*AY63*AG63*(AU63-AV63)/(100*AN63*(1000-AG63*AU63))</f>
        <v>0</v>
      </c>
      <c r="J63">
        <f>AY63*AG63*(AT63-AS63*(1000-AG63*AV63)/(1000-AG63*AU63))/(100*AN63)</f>
        <v>0</v>
      </c>
      <c r="K63">
        <f>AS63 - IF(AG63&gt;1, J63*AN63*100.0/(AI63), 0)</f>
        <v>0</v>
      </c>
      <c r="L63">
        <f>((R63-H63/2)*K63-J63)/(R63+H63/2)</f>
        <v>0</v>
      </c>
      <c r="M63">
        <f>L63*(AZ63+BA63)/1000.0</f>
        <v>0</v>
      </c>
      <c r="N63">
        <f>(AS63 - IF(AG63&gt;1, J63*AN63*100.0/(AI63), 0))*(AZ63+BA63)/1000.0</f>
        <v>0</v>
      </c>
      <c r="O63">
        <f>2.0/((1/Q63-1/P63)+SIGN(Q63)*SQRT((1/Q63-1/P63)*(1/Q63-1/P63) + 4*AO63/((AO63+1)*(AO63+1))*(2*1/Q63*1/P63-1/P63*1/P63)))</f>
        <v>0</v>
      </c>
      <c r="P63">
        <f>IF(LEFT(AP63,1)&lt;&gt;"0",IF(LEFT(AP63,1)="1",3.0,AQ63),$D$5+$E$5*(BG63*AZ63/($K$5*1000))+$F$5*(BG63*AZ63/($K$5*1000))*MAX(MIN(AN63,$J$5),$I$5)*MAX(MIN(AN63,$J$5),$I$5)+$G$5*MAX(MIN(AN63,$J$5),$I$5)*(BG63*AZ63/($K$5*1000))+$H$5*(BG63*AZ63/($K$5*1000))*(BG63*AZ63/($K$5*1000)))</f>
        <v>0</v>
      </c>
      <c r="Q63">
        <f>H63*(1000-(1000*0.61365*exp(17.502*U63/(240.97+U63))/(AZ63+BA63)+AU63)/2)/(1000*0.61365*exp(17.502*U63/(240.97+U63))/(AZ63+BA63)-AU63)</f>
        <v>0</v>
      </c>
      <c r="R63">
        <f>1/((AO63+1)/(O63/1.6)+1/(P63/1.37)) + AO63/((AO63+1)/(O63/1.6) + AO63/(P63/1.37))</f>
        <v>0</v>
      </c>
      <c r="S63">
        <f>(AJ63*AM63)</f>
        <v>0</v>
      </c>
      <c r="T63">
        <f>(BB63+(S63+2*0.95*5.67E-8*(((BB63+$B$7)+273)^4-(BB63+273)^4)-44100*H63)/(1.84*29.3*P63+8*0.95*5.67E-8*(BB63+273)^3))</f>
        <v>0</v>
      </c>
      <c r="U63">
        <f>($C$7*BC63+$D$7*BD63+$E$7*T63)</f>
        <v>0</v>
      </c>
      <c r="V63">
        <f>0.61365*exp(17.502*U63/(240.97+U63))</f>
        <v>0</v>
      </c>
      <c r="W63">
        <f>(X63/Y63*100)</f>
        <v>0</v>
      </c>
      <c r="X63">
        <f>AU63*(AZ63+BA63)/1000</f>
        <v>0</v>
      </c>
      <c r="Y63">
        <f>0.61365*exp(17.502*BB63/(240.97+BB63))</f>
        <v>0</v>
      </c>
      <c r="Z63">
        <f>(V63-AU63*(AZ63+BA63)/1000)</f>
        <v>0</v>
      </c>
      <c r="AA63">
        <f>(-H63*44100)</f>
        <v>0</v>
      </c>
      <c r="AB63">
        <f>2*29.3*P63*0.92*(BB63-U63)</f>
        <v>0</v>
      </c>
      <c r="AC63">
        <f>2*0.95*5.67E-8*(((BB63+$B$7)+273)^4-(U63+273)^4)</f>
        <v>0</v>
      </c>
      <c r="AD63">
        <f>S63+AC63+AA63+AB63</f>
        <v>0</v>
      </c>
      <c r="AE63">
        <v>4</v>
      </c>
      <c r="AF63">
        <v>1</v>
      </c>
      <c r="AG63">
        <f>IF(AE63*$H$13&gt;=AI63,1.0,(AI63/(AI63-AE63*$H$13)))</f>
        <v>0</v>
      </c>
      <c r="AH63">
        <f>(AG63-1)*100</f>
        <v>0</v>
      </c>
      <c r="AI63">
        <f>MAX(0,($B$13+$C$13*BG63)/(1+$D$13*BG63)*AZ63/(BB63+273)*$E$13)</f>
        <v>0</v>
      </c>
      <c r="AJ63">
        <f>$B$11*BH63+$C$11*BI63+$D$11*BT63</f>
        <v>0</v>
      </c>
      <c r="AK63">
        <f>AJ63*AL63</f>
        <v>0</v>
      </c>
      <c r="AL63">
        <f>($B$11*$D$9+$C$11*$D$9+$D$11*(BU63*$E$9+BV63*$G$9))/($B$11+$C$11+$D$11)</f>
        <v>0</v>
      </c>
      <c r="AM63">
        <f>($B$11*$K$9+$C$11*$K$9+$D$11*(BU63*$L$9+BV63*$N$9))/($B$11+$C$11+$D$11)</f>
        <v>0</v>
      </c>
      <c r="AN63">
        <v>3</v>
      </c>
      <c r="AO63">
        <v>0.5</v>
      </c>
      <c r="AP63" t="s">
        <v>331</v>
      </c>
      <c r="AQ63">
        <v>2</v>
      </c>
      <c r="AR63">
        <v>1773271616.099999</v>
      </c>
      <c r="AS63">
        <v>492.7309677419355</v>
      </c>
      <c r="AT63">
        <v>491.026</v>
      </c>
      <c r="AU63">
        <v>8.747617419354841</v>
      </c>
      <c r="AV63">
        <v>8.050346451612905</v>
      </c>
      <c r="AW63">
        <v>486.2354516129033</v>
      </c>
      <c r="AX63">
        <v>8.688802580645161</v>
      </c>
      <c r="AY63">
        <v>499.983064516129</v>
      </c>
      <c r="AZ63">
        <v>100.2306129032258</v>
      </c>
      <c r="BA63">
        <v>0.03323205483870968</v>
      </c>
      <c r="BB63">
        <v>24.99124516129031</v>
      </c>
      <c r="BC63">
        <v>24.91389354838709</v>
      </c>
      <c r="BD63">
        <v>999.9000000000003</v>
      </c>
      <c r="BE63">
        <v>0</v>
      </c>
      <c r="BF63">
        <v>0</v>
      </c>
      <c r="BG63">
        <v>4996</v>
      </c>
      <c r="BH63">
        <v>1.331375483870967</v>
      </c>
      <c r="BI63">
        <v>277.1759354838709</v>
      </c>
      <c r="BJ63">
        <v>1.705016129032258</v>
      </c>
      <c r="BK63">
        <v>497.0791935483871</v>
      </c>
      <c r="BL63">
        <v>495.010935483871</v>
      </c>
      <c r="BM63">
        <v>0.6972703225806451</v>
      </c>
      <c r="BN63">
        <v>491.026</v>
      </c>
      <c r="BO63">
        <v>8.050346451612905</v>
      </c>
      <c r="BP63">
        <v>0.8767785161290322</v>
      </c>
      <c r="BQ63">
        <v>0.8068908387096775</v>
      </c>
      <c r="BR63">
        <v>5.015127741935483</v>
      </c>
      <c r="BS63">
        <v>3.829108709677419</v>
      </c>
      <c r="BT63">
        <v>0</v>
      </c>
      <c r="BU63">
        <v>0</v>
      </c>
      <c r="BV63">
        <v>0</v>
      </c>
      <c r="BW63">
        <v>25</v>
      </c>
      <c r="BX63">
        <v>32</v>
      </c>
      <c r="BY63">
        <v>1773268786.6</v>
      </c>
      <c r="BZ63" t="s">
        <v>332</v>
      </c>
      <c r="CA63">
        <v>1773268786.6</v>
      </c>
      <c r="CB63">
        <v>1773268774.1</v>
      </c>
      <c r="CC63">
        <v>2</v>
      </c>
      <c r="CD63">
        <v>0.264</v>
      </c>
      <c r="CE63">
        <v>-0.024</v>
      </c>
      <c r="CF63">
        <v>6.495</v>
      </c>
      <c r="CG63">
        <v>0.059</v>
      </c>
      <c r="CH63">
        <v>488</v>
      </c>
      <c r="CI63">
        <v>25</v>
      </c>
      <c r="CJ63">
        <v>0.48</v>
      </c>
      <c r="CK63">
        <v>0.14</v>
      </c>
      <c r="CL63">
        <v>491.026</v>
      </c>
      <c r="CM63">
        <v>-3.875322580645396</v>
      </c>
      <c r="CN63">
        <v>0.3009922301001275</v>
      </c>
      <c r="CO63">
        <v>-1</v>
      </c>
      <c r="CP63">
        <v>499.983064516129</v>
      </c>
      <c r="CQ63">
        <v>0.09866129032199249</v>
      </c>
      <c r="CR63">
        <v>0.06454652509767878</v>
      </c>
      <c r="CS63">
        <v>-1</v>
      </c>
      <c r="CT63">
        <v>0</v>
      </c>
      <c r="CU63">
        <v>0</v>
      </c>
      <c r="CV63" t="s">
        <v>333</v>
      </c>
      <c r="CW63">
        <v>3.16939</v>
      </c>
      <c r="CX63">
        <v>2.65474</v>
      </c>
      <c r="CY63">
        <v>0.114081</v>
      </c>
      <c r="CZ63">
        <v>0.114915</v>
      </c>
      <c r="DA63">
        <v>0.0537365</v>
      </c>
      <c r="DB63">
        <v>0.0503181</v>
      </c>
      <c r="DC63">
        <v>21374</v>
      </c>
      <c r="DD63">
        <v>21856.2</v>
      </c>
      <c r="DE63">
        <v>23218.6</v>
      </c>
      <c r="DF63">
        <v>22579</v>
      </c>
      <c r="DG63">
        <v>33190.9</v>
      </c>
      <c r="DH63">
        <v>30253.8</v>
      </c>
      <c r="DI63">
        <v>40797.7</v>
      </c>
      <c r="DJ63">
        <v>37378.2</v>
      </c>
      <c r="DK63">
        <v>2.1161</v>
      </c>
      <c r="DL63">
        <v>1.76558</v>
      </c>
      <c r="DM63">
        <v>-0.0233918</v>
      </c>
      <c r="DN63">
        <v>0</v>
      </c>
      <c r="DO63">
        <v>25.2958</v>
      </c>
      <c r="DP63">
        <v>999.9</v>
      </c>
      <c r="DQ63">
        <v>66.5</v>
      </c>
      <c r="DR63">
        <v>27.8</v>
      </c>
      <c r="DS63">
        <v>24.8874</v>
      </c>
      <c r="DT63">
        <v>30.34</v>
      </c>
      <c r="DU63">
        <v>11.6426</v>
      </c>
      <c r="DV63">
        <v>1</v>
      </c>
      <c r="DW63">
        <v>0.0563618</v>
      </c>
      <c r="DX63">
        <v>0.37019</v>
      </c>
      <c r="DY63">
        <v>20.3683</v>
      </c>
      <c r="DZ63">
        <v>5.21549</v>
      </c>
      <c r="EA63">
        <v>11.8482</v>
      </c>
      <c r="EB63">
        <v>4.96936</v>
      </c>
      <c r="EC63">
        <v>3.292</v>
      </c>
      <c r="ED63">
        <v>879.4</v>
      </c>
      <c r="EE63">
        <v>9999</v>
      </c>
      <c r="EF63">
        <v>9999</v>
      </c>
      <c r="EG63">
        <v>80.90000000000001</v>
      </c>
      <c r="EH63">
        <v>4.9716</v>
      </c>
      <c r="EI63">
        <v>1.87179</v>
      </c>
      <c r="EJ63">
        <v>1.8689</v>
      </c>
      <c r="EK63">
        <v>1.87134</v>
      </c>
      <c r="EL63">
        <v>1.86904</v>
      </c>
      <c r="EM63">
        <v>1.86798</v>
      </c>
      <c r="EN63">
        <v>1.86983</v>
      </c>
      <c r="EO63">
        <v>1.87164</v>
      </c>
      <c r="EP63">
        <v>0</v>
      </c>
      <c r="EQ63">
        <v>0</v>
      </c>
      <c r="ER63">
        <v>0</v>
      </c>
      <c r="ES63">
        <v>0</v>
      </c>
      <c r="ET63" t="s">
        <v>334</v>
      </c>
      <c r="EU63" t="s">
        <v>335</v>
      </c>
      <c r="EV63" t="s">
        <v>336</v>
      </c>
      <c r="EW63" t="s">
        <v>336</v>
      </c>
      <c r="EX63" t="s">
        <v>336</v>
      </c>
      <c r="EY63" t="s">
        <v>336</v>
      </c>
      <c r="EZ63">
        <v>0</v>
      </c>
      <c r="FA63">
        <v>100</v>
      </c>
      <c r="FB63">
        <v>100</v>
      </c>
      <c r="FC63">
        <v>6.496</v>
      </c>
      <c r="FD63">
        <v>0.0588</v>
      </c>
      <c r="FE63">
        <v>6.495476190476325</v>
      </c>
      <c r="FF63">
        <v>0</v>
      </c>
      <c r="FG63">
        <v>0</v>
      </c>
      <c r="FH63">
        <v>0</v>
      </c>
      <c r="FI63">
        <v>0.05881499999999917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47.3</v>
      </c>
      <c r="FR63">
        <v>47.5</v>
      </c>
      <c r="FS63">
        <v>0.145264</v>
      </c>
      <c r="FT63">
        <v>4.99756</v>
      </c>
      <c r="FU63">
        <v>1.5979</v>
      </c>
      <c r="FV63">
        <v>2.16553</v>
      </c>
      <c r="FW63">
        <v>1.54785</v>
      </c>
      <c r="FX63">
        <v>2.32056</v>
      </c>
      <c r="FY63">
        <v>32.2225</v>
      </c>
      <c r="FZ63">
        <v>16.0846</v>
      </c>
      <c r="GA63">
        <v>3</v>
      </c>
      <c r="GB63">
        <v>498.612</v>
      </c>
      <c r="GC63">
        <v>373.739</v>
      </c>
      <c r="GD63">
        <v>25.0888</v>
      </c>
      <c r="GE63">
        <v>27.8713</v>
      </c>
      <c r="GF63">
        <v>30.0006</v>
      </c>
      <c r="GG63">
        <v>27.7511</v>
      </c>
      <c r="GH63">
        <v>27.7366</v>
      </c>
      <c r="GI63">
        <v>-1</v>
      </c>
      <c r="GJ63">
        <v>100</v>
      </c>
      <c r="GK63">
        <v>0</v>
      </c>
      <c r="GL63">
        <v>25.0893</v>
      </c>
      <c r="GM63">
        <v>1200</v>
      </c>
      <c r="GN63">
        <v>26.7455</v>
      </c>
      <c r="GO63">
        <v>102.701</v>
      </c>
      <c r="GP63">
        <v>97.57389999999999</v>
      </c>
    </row>
    <row r="64" spans="1:198">
      <c r="A64">
        <v>48</v>
      </c>
      <c r="B64">
        <v>1773271684.1</v>
      </c>
      <c r="C64">
        <v>2820.5</v>
      </c>
      <c r="D64" t="s">
        <v>429</v>
      </c>
      <c r="E64" t="s">
        <v>430</v>
      </c>
      <c r="F64">
        <v>15</v>
      </c>
      <c r="G64">
        <v>1773271676.099999</v>
      </c>
      <c r="H64">
        <f>(I64)/1000</f>
        <v>0</v>
      </c>
      <c r="I64">
        <f>1000*AY64*AG64*(AU64-AV64)/(100*AN64*(1000-AG64*AU64))</f>
        <v>0</v>
      </c>
      <c r="J64">
        <f>AY64*AG64*(AT64-AS64*(1000-AG64*AV64)/(1000-AG64*AU64))/(100*AN64)</f>
        <v>0</v>
      </c>
      <c r="K64">
        <f>AS64 - IF(AG64&gt;1, J64*AN64*100.0/(AI64), 0)</f>
        <v>0</v>
      </c>
      <c r="L64">
        <f>((R64-H64/2)*K64-J64)/(R64+H64/2)</f>
        <v>0</v>
      </c>
      <c r="M64">
        <f>L64*(AZ64+BA64)/1000.0</f>
        <v>0</v>
      </c>
      <c r="N64">
        <f>(AS64 - IF(AG64&gt;1, J64*AN64*100.0/(AI64), 0))*(AZ64+BA64)/1000.0</f>
        <v>0</v>
      </c>
      <c r="O64">
        <f>2.0/((1/Q64-1/P64)+SIGN(Q64)*SQRT((1/Q64-1/P64)*(1/Q64-1/P64) + 4*AO64/((AO64+1)*(AO64+1))*(2*1/Q64*1/P64-1/P64*1/P64)))</f>
        <v>0</v>
      </c>
      <c r="P64">
        <f>IF(LEFT(AP64,1)&lt;&gt;"0",IF(LEFT(AP64,1)="1",3.0,AQ64),$D$5+$E$5*(BG64*AZ64/($K$5*1000))+$F$5*(BG64*AZ64/($K$5*1000))*MAX(MIN(AN64,$J$5),$I$5)*MAX(MIN(AN64,$J$5),$I$5)+$G$5*MAX(MIN(AN64,$J$5),$I$5)*(BG64*AZ64/($K$5*1000))+$H$5*(BG64*AZ64/($K$5*1000))*(BG64*AZ64/($K$5*1000)))</f>
        <v>0</v>
      </c>
      <c r="Q64">
        <f>H64*(1000-(1000*0.61365*exp(17.502*U64/(240.97+U64))/(AZ64+BA64)+AU64)/2)/(1000*0.61365*exp(17.502*U64/(240.97+U64))/(AZ64+BA64)-AU64)</f>
        <v>0</v>
      </c>
      <c r="R64">
        <f>1/((AO64+1)/(O64/1.6)+1/(P64/1.37)) + AO64/((AO64+1)/(O64/1.6) + AO64/(P64/1.37))</f>
        <v>0</v>
      </c>
      <c r="S64">
        <f>(AJ64*AM64)</f>
        <v>0</v>
      </c>
      <c r="T64">
        <f>(BB64+(S64+2*0.95*5.67E-8*(((BB64+$B$7)+273)^4-(BB64+273)^4)-44100*H64)/(1.84*29.3*P64+8*0.95*5.67E-8*(BB64+273)^3))</f>
        <v>0</v>
      </c>
      <c r="U64">
        <f>($C$7*BC64+$D$7*BD64+$E$7*T64)</f>
        <v>0</v>
      </c>
      <c r="V64">
        <f>0.61365*exp(17.502*U64/(240.97+U64))</f>
        <v>0</v>
      </c>
      <c r="W64">
        <f>(X64/Y64*100)</f>
        <v>0</v>
      </c>
      <c r="X64">
        <f>AU64*(AZ64+BA64)/1000</f>
        <v>0</v>
      </c>
      <c r="Y64">
        <f>0.61365*exp(17.502*BB64/(240.97+BB64))</f>
        <v>0</v>
      </c>
      <c r="Z64">
        <f>(V64-AU64*(AZ64+BA64)/1000)</f>
        <v>0</v>
      </c>
      <c r="AA64">
        <f>(-H64*44100)</f>
        <v>0</v>
      </c>
      <c r="AB64">
        <f>2*29.3*P64*0.92*(BB64-U64)</f>
        <v>0</v>
      </c>
      <c r="AC64">
        <f>2*0.95*5.67E-8*(((BB64+$B$7)+273)^4-(U64+273)^4)</f>
        <v>0</v>
      </c>
      <c r="AD64">
        <f>S64+AC64+AA64+AB64</f>
        <v>0</v>
      </c>
      <c r="AE64">
        <v>4</v>
      </c>
      <c r="AF64">
        <v>1</v>
      </c>
      <c r="AG64">
        <f>IF(AE64*$H$13&gt;=AI64,1.0,(AI64/(AI64-AE64*$H$13)))</f>
        <v>0</v>
      </c>
      <c r="AH64">
        <f>(AG64-1)*100</f>
        <v>0</v>
      </c>
      <c r="AI64">
        <f>MAX(0,($B$13+$C$13*BG64)/(1+$D$13*BG64)*AZ64/(BB64+273)*$E$13)</f>
        <v>0</v>
      </c>
      <c r="AJ64">
        <f>$B$11*BH64+$C$11*BI64+$D$11*BT64</f>
        <v>0</v>
      </c>
      <c r="AK64">
        <f>AJ64*AL64</f>
        <v>0</v>
      </c>
      <c r="AL64">
        <f>($B$11*$D$9+$C$11*$D$9+$D$11*(BU64*$E$9+BV64*$G$9))/($B$11+$C$11+$D$11)</f>
        <v>0</v>
      </c>
      <c r="AM64">
        <f>($B$11*$K$9+$C$11*$K$9+$D$11*(BU64*$L$9+BV64*$N$9))/($B$11+$C$11+$D$11)</f>
        <v>0</v>
      </c>
      <c r="AN64">
        <v>3</v>
      </c>
      <c r="AO64">
        <v>0.5</v>
      </c>
      <c r="AP64" t="s">
        <v>331</v>
      </c>
      <c r="AQ64">
        <v>2</v>
      </c>
      <c r="AR64">
        <v>1773271676.099999</v>
      </c>
      <c r="AS64">
        <v>492.618806451613</v>
      </c>
      <c r="AT64">
        <v>491.4533548387097</v>
      </c>
      <c r="AU64">
        <v>8.774814193548385</v>
      </c>
      <c r="AV64">
        <v>8.072241612903227</v>
      </c>
      <c r="AW64">
        <v>486.1232903225807</v>
      </c>
      <c r="AX64">
        <v>8.716000000000001</v>
      </c>
      <c r="AY64">
        <v>500.0034516129032</v>
      </c>
      <c r="AZ64">
        <v>100.2308387096774</v>
      </c>
      <c r="BA64">
        <v>0.03330586451612903</v>
      </c>
      <c r="BB64">
        <v>25.00792258064516</v>
      </c>
      <c r="BC64">
        <v>24.93060322580645</v>
      </c>
      <c r="BD64">
        <v>999.9000000000003</v>
      </c>
      <c r="BE64">
        <v>0</v>
      </c>
      <c r="BF64">
        <v>0</v>
      </c>
      <c r="BG64">
        <v>5003.548387096775</v>
      </c>
      <c r="BH64">
        <v>1.350791935483871</v>
      </c>
      <c r="BI64">
        <v>290.0090322580646</v>
      </c>
      <c r="BJ64">
        <v>1.16543935483871</v>
      </c>
      <c r="BK64">
        <v>496.9797096774194</v>
      </c>
      <c r="BL64">
        <v>495.4528387096774</v>
      </c>
      <c r="BM64">
        <v>0.7025723225806452</v>
      </c>
      <c r="BN64">
        <v>491.4533548387097</v>
      </c>
      <c r="BO64">
        <v>8.072241612903227</v>
      </c>
      <c r="BP64">
        <v>0.8795070322580645</v>
      </c>
      <c r="BQ64">
        <v>0.8090875483870967</v>
      </c>
      <c r="BR64">
        <v>5.059714516129032</v>
      </c>
      <c r="BS64">
        <v>3.867748387096774</v>
      </c>
      <c r="BT64">
        <v>0</v>
      </c>
      <c r="BU64">
        <v>0</v>
      </c>
      <c r="BV64">
        <v>0</v>
      </c>
      <c r="BW64">
        <v>25</v>
      </c>
      <c r="BX64">
        <v>33.2741935483871</v>
      </c>
      <c r="BY64">
        <v>1773268786.6</v>
      </c>
      <c r="BZ64" t="s">
        <v>332</v>
      </c>
      <c r="CA64">
        <v>1773268786.6</v>
      </c>
      <c r="CB64">
        <v>1773268774.1</v>
      </c>
      <c r="CC64">
        <v>2</v>
      </c>
      <c r="CD64">
        <v>0.264</v>
      </c>
      <c r="CE64">
        <v>-0.024</v>
      </c>
      <c r="CF64">
        <v>6.495</v>
      </c>
      <c r="CG64">
        <v>0.059</v>
      </c>
      <c r="CH64">
        <v>488</v>
      </c>
      <c r="CI64">
        <v>25</v>
      </c>
      <c r="CJ64">
        <v>0.48</v>
      </c>
      <c r="CK64">
        <v>0.14</v>
      </c>
      <c r="CL64">
        <v>491.4315161290323</v>
      </c>
      <c r="CM64">
        <v>1.09572580645048</v>
      </c>
      <c r="CN64">
        <v>0.1015320928026484</v>
      </c>
      <c r="CO64">
        <v>-1</v>
      </c>
      <c r="CP64">
        <v>500.008064516129</v>
      </c>
      <c r="CQ64">
        <v>-0.1440483870962998</v>
      </c>
      <c r="CR64">
        <v>0.04083162553855917</v>
      </c>
      <c r="CS64">
        <v>-1</v>
      </c>
      <c r="CT64">
        <v>0</v>
      </c>
      <c r="CU64">
        <v>0</v>
      </c>
      <c r="CV64" t="s">
        <v>333</v>
      </c>
      <c r="CW64">
        <v>3.16933</v>
      </c>
      <c r="CX64">
        <v>2.6546</v>
      </c>
      <c r="CY64">
        <v>0.114131</v>
      </c>
      <c r="CZ64">
        <v>0.115091</v>
      </c>
      <c r="DA64">
        <v>0.0538624</v>
      </c>
      <c r="DB64">
        <v>0.050414</v>
      </c>
      <c r="DC64">
        <v>21370.5</v>
      </c>
      <c r="DD64">
        <v>21850.5</v>
      </c>
      <c r="DE64">
        <v>23216.2</v>
      </c>
      <c r="DF64">
        <v>22577.8</v>
      </c>
      <c r="DG64">
        <v>33183.7</v>
      </c>
      <c r="DH64">
        <v>30249</v>
      </c>
      <c r="DI64">
        <v>40794.3</v>
      </c>
      <c r="DJ64">
        <v>37376.2</v>
      </c>
      <c r="DK64">
        <v>2.11544</v>
      </c>
      <c r="DL64">
        <v>1.7646</v>
      </c>
      <c r="DM64">
        <v>-0.0215948</v>
      </c>
      <c r="DN64">
        <v>0</v>
      </c>
      <c r="DO64">
        <v>25.2895</v>
      </c>
      <c r="DP64">
        <v>999.9</v>
      </c>
      <c r="DQ64">
        <v>66.3</v>
      </c>
      <c r="DR64">
        <v>27.9</v>
      </c>
      <c r="DS64">
        <v>24.9568</v>
      </c>
      <c r="DT64">
        <v>29.77</v>
      </c>
      <c r="DU64">
        <v>11.4022</v>
      </c>
      <c r="DV64">
        <v>1</v>
      </c>
      <c r="DW64">
        <v>0.0601362</v>
      </c>
      <c r="DX64">
        <v>0.463477</v>
      </c>
      <c r="DY64">
        <v>20.3676</v>
      </c>
      <c r="DZ64">
        <v>5.21274</v>
      </c>
      <c r="EA64">
        <v>11.8482</v>
      </c>
      <c r="EB64">
        <v>4.9688</v>
      </c>
      <c r="EC64">
        <v>3.292</v>
      </c>
      <c r="ED64">
        <v>879.4</v>
      </c>
      <c r="EE64">
        <v>9999</v>
      </c>
      <c r="EF64">
        <v>9999</v>
      </c>
      <c r="EG64">
        <v>80.90000000000001</v>
      </c>
      <c r="EH64">
        <v>4.97162</v>
      </c>
      <c r="EI64">
        <v>1.87178</v>
      </c>
      <c r="EJ64">
        <v>1.86888</v>
      </c>
      <c r="EK64">
        <v>1.87134</v>
      </c>
      <c r="EL64">
        <v>1.86905</v>
      </c>
      <c r="EM64">
        <v>1.86798</v>
      </c>
      <c r="EN64">
        <v>1.86981</v>
      </c>
      <c r="EO64">
        <v>1.87164</v>
      </c>
      <c r="EP64">
        <v>0</v>
      </c>
      <c r="EQ64">
        <v>0</v>
      </c>
      <c r="ER64">
        <v>0</v>
      </c>
      <c r="ES64">
        <v>0</v>
      </c>
      <c r="ET64" t="s">
        <v>334</v>
      </c>
      <c r="EU64" t="s">
        <v>335</v>
      </c>
      <c r="EV64" t="s">
        <v>336</v>
      </c>
      <c r="EW64" t="s">
        <v>336</v>
      </c>
      <c r="EX64" t="s">
        <v>336</v>
      </c>
      <c r="EY64" t="s">
        <v>336</v>
      </c>
      <c r="EZ64">
        <v>0</v>
      </c>
      <c r="FA64">
        <v>100</v>
      </c>
      <c r="FB64">
        <v>100</v>
      </c>
      <c r="FC64">
        <v>6.496</v>
      </c>
      <c r="FD64">
        <v>0.0588</v>
      </c>
      <c r="FE64">
        <v>6.495476190476325</v>
      </c>
      <c r="FF64">
        <v>0</v>
      </c>
      <c r="FG64">
        <v>0</v>
      </c>
      <c r="FH64">
        <v>0</v>
      </c>
      <c r="FI64">
        <v>0.05881499999999917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48.3</v>
      </c>
      <c r="FR64">
        <v>48.5</v>
      </c>
      <c r="FS64">
        <v>0.145264</v>
      </c>
      <c r="FT64">
        <v>4.99756</v>
      </c>
      <c r="FU64">
        <v>1.5979</v>
      </c>
      <c r="FV64">
        <v>2.16431</v>
      </c>
      <c r="FW64">
        <v>1.54785</v>
      </c>
      <c r="FX64">
        <v>2.39136</v>
      </c>
      <c r="FY64">
        <v>32.2887</v>
      </c>
      <c r="FZ64">
        <v>16.0846</v>
      </c>
      <c r="GA64">
        <v>3</v>
      </c>
      <c r="GB64">
        <v>498.614</v>
      </c>
      <c r="GC64">
        <v>373.505</v>
      </c>
      <c r="GD64">
        <v>25.053</v>
      </c>
      <c r="GE64">
        <v>27.9217</v>
      </c>
      <c r="GF64">
        <v>30.0004</v>
      </c>
      <c r="GG64">
        <v>27.7987</v>
      </c>
      <c r="GH64">
        <v>27.7827</v>
      </c>
      <c r="GI64">
        <v>-1</v>
      </c>
      <c r="GJ64">
        <v>100</v>
      </c>
      <c r="GK64">
        <v>0</v>
      </c>
      <c r="GL64">
        <v>25.0401</v>
      </c>
      <c r="GM64">
        <v>1200</v>
      </c>
      <c r="GN64">
        <v>26.7455</v>
      </c>
      <c r="GO64">
        <v>102.692</v>
      </c>
      <c r="GP64">
        <v>97.56870000000001</v>
      </c>
    </row>
    <row r="65" spans="1:198">
      <c r="A65">
        <v>49</v>
      </c>
      <c r="B65">
        <v>1773271744.1</v>
      </c>
      <c r="C65">
        <v>2880.5</v>
      </c>
      <c r="D65" t="s">
        <v>431</v>
      </c>
      <c r="E65" t="s">
        <v>432</v>
      </c>
      <c r="F65">
        <v>15</v>
      </c>
      <c r="G65">
        <v>1773271736.099999</v>
      </c>
      <c r="H65">
        <f>(I65)/1000</f>
        <v>0</v>
      </c>
      <c r="I65">
        <f>1000*AY65*AG65*(AU65-AV65)/(100*AN65*(1000-AG65*AU65))</f>
        <v>0</v>
      </c>
      <c r="J65">
        <f>AY65*AG65*(AT65-AS65*(1000-AG65*AV65)/(1000-AG65*AU65))/(100*AN65)</f>
        <v>0</v>
      </c>
      <c r="K65">
        <f>AS65 - IF(AG65&gt;1, J65*AN65*100.0/(AI65), 0)</f>
        <v>0</v>
      </c>
      <c r="L65">
        <f>((R65-H65/2)*K65-J65)/(R65+H65/2)</f>
        <v>0</v>
      </c>
      <c r="M65">
        <f>L65*(AZ65+BA65)/1000.0</f>
        <v>0</v>
      </c>
      <c r="N65">
        <f>(AS65 - IF(AG65&gt;1, J65*AN65*100.0/(AI65), 0))*(AZ65+BA65)/1000.0</f>
        <v>0</v>
      </c>
      <c r="O65">
        <f>2.0/((1/Q65-1/P65)+SIGN(Q65)*SQRT((1/Q65-1/P65)*(1/Q65-1/P65) + 4*AO65/((AO65+1)*(AO65+1))*(2*1/Q65*1/P65-1/P65*1/P65)))</f>
        <v>0</v>
      </c>
      <c r="P65">
        <f>IF(LEFT(AP65,1)&lt;&gt;"0",IF(LEFT(AP65,1)="1",3.0,AQ65),$D$5+$E$5*(BG65*AZ65/($K$5*1000))+$F$5*(BG65*AZ65/($K$5*1000))*MAX(MIN(AN65,$J$5),$I$5)*MAX(MIN(AN65,$J$5),$I$5)+$G$5*MAX(MIN(AN65,$J$5),$I$5)*(BG65*AZ65/($K$5*1000))+$H$5*(BG65*AZ65/($K$5*1000))*(BG65*AZ65/($K$5*1000)))</f>
        <v>0</v>
      </c>
      <c r="Q65">
        <f>H65*(1000-(1000*0.61365*exp(17.502*U65/(240.97+U65))/(AZ65+BA65)+AU65)/2)/(1000*0.61365*exp(17.502*U65/(240.97+U65))/(AZ65+BA65)-AU65)</f>
        <v>0</v>
      </c>
      <c r="R65">
        <f>1/((AO65+1)/(O65/1.6)+1/(P65/1.37)) + AO65/((AO65+1)/(O65/1.6) + AO65/(P65/1.37))</f>
        <v>0</v>
      </c>
      <c r="S65">
        <f>(AJ65*AM65)</f>
        <v>0</v>
      </c>
      <c r="T65">
        <f>(BB65+(S65+2*0.95*5.67E-8*(((BB65+$B$7)+273)^4-(BB65+273)^4)-44100*H65)/(1.84*29.3*P65+8*0.95*5.67E-8*(BB65+273)^3))</f>
        <v>0</v>
      </c>
      <c r="U65">
        <f>($C$7*BC65+$D$7*BD65+$E$7*T65)</f>
        <v>0</v>
      </c>
      <c r="V65">
        <f>0.61365*exp(17.502*U65/(240.97+U65))</f>
        <v>0</v>
      </c>
      <c r="W65">
        <f>(X65/Y65*100)</f>
        <v>0</v>
      </c>
      <c r="X65">
        <f>AU65*(AZ65+BA65)/1000</f>
        <v>0</v>
      </c>
      <c r="Y65">
        <f>0.61365*exp(17.502*BB65/(240.97+BB65))</f>
        <v>0</v>
      </c>
      <c r="Z65">
        <f>(V65-AU65*(AZ65+BA65)/1000)</f>
        <v>0</v>
      </c>
      <c r="AA65">
        <f>(-H65*44100)</f>
        <v>0</v>
      </c>
      <c r="AB65">
        <f>2*29.3*P65*0.92*(BB65-U65)</f>
        <v>0</v>
      </c>
      <c r="AC65">
        <f>2*0.95*5.67E-8*(((BB65+$B$7)+273)^4-(U65+273)^4)</f>
        <v>0</v>
      </c>
      <c r="AD65">
        <f>S65+AC65+AA65+AB65</f>
        <v>0</v>
      </c>
      <c r="AE65">
        <v>4</v>
      </c>
      <c r="AF65">
        <v>1</v>
      </c>
      <c r="AG65">
        <f>IF(AE65*$H$13&gt;=AI65,1.0,(AI65/(AI65-AE65*$H$13)))</f>
        <v>0</v>
      </c>
      <c r="AH65">
        <f>(AG65-1)*100</f>
        <v>0</v>
      </c>
      <c r="AI65">
        <f>MAX(0,($B$13+$C$13*BG65)/(1+$D$13*BG65)*AZ65/(BB65+273)*$E$13)</f>
        <v>0</v>
      </c>
      <c r="AJ65">
        <f>$B$11*BH65+$C$11*BI65+$D$11*BT65</f>
        <v>0</v>
      </c>
      <c r="AK65">
        <f>AJ65*AL65</f>
        <v>0</v>
      </c>
      <c r="AL65">
        <f>($B$11*$D$9+$C$11*$D$9+$D$11*(BU65*$E$9+BV65*$G$9))/($B$11+$C$11+$D$11)</f>
        <v>0</v>
      </c>
      <c r="AM65">
        <f>($B$11*$K$9+$C$11*$K$9+$D$11*(BU65*$L$9+BV65*$N$9))/($B$11+$C$11+$D$11)</f>
        <v>0</v>
      </c>
      <c r="AN65">
        <v>3</v>
      </c>
      <c r="AO65">
        <v>0.5</v>
      </c>
      <c r="AP65" t="s">
        <v>331</v>
      </c>
      <c r="AQ65">
        <v>2</v>
      </c>
      <c r="AR65">
        <v>1773271736.099999</v>
      </c>
      <c r="AS65">
        <v>493.4352903225806</v>
      </c>
      <c r="AT65">
        <v>492.0704516129032</v>
      </c>
      <c r="AU65">
        <v>8.802918709677421</v>
      </c>
      <c r="AV65">
        <v>8.096475161290321</v>
      </c>
      <c r="AW65">
        <v>486.939806451613</v>
      </c>
      <c r="AX65">
        <v>8.744103548387097</v>
      </c>
      <c r="AY65">
        <v>499.9838387096775</v>
      </c>
      <c r="AZ65">
        <v>100.230129032258</v>
      </c>
      <c r="BA65">
        <v>0.03324685483870968</v>
      </c>
      <c r="BB65">
        <v>25.01180967741936</v>
      </c>
      <c r="BC65">
        <v>24.94579032258064</v>
      </c>
      <c r="BD65">
        <v>999.9000000000003</v>
      </c>
      <c r="BE65">
        <v>0</v>
      </c>
      <c r="BF65">
        <v>0</v>
      </c>
      <c r="BG65">
        <v>4994.258064516129</v>
      </c>
      <c r="BH65">
        <v>1.407356774193549</v>
      </c>
      <c r="BI65">
        <v>307.2143225806452</v>
      </c>
      <c r="BJ65">
        <v>1.364857096774194</v>
      </c>
      <c r="BK65">
        <v>497.8175806451612</v>
      </c>
      <c r="BL65">
        <v>496.0870322580645</v>
      </c>
      <c r="BM65">
        <v>0.7064434516129031</v>
      </c>
      <c r="BN65">
        <v>492.0704516129032</v>
      </c>
      <c r="BO65">
        <v>8.096475161290321</v>
      </c>
      <c r="BP65">
        <v>0.8823183548387096</v>
      </c>
      <c r="BQ65">
        <v>0.8115113548387097</v>
      </c>
      <c r="BR65">
        <v>5.10552806451613</v>
      </c>
      <c r="BS65">
        <v>3.91027</v>
      </c>
      <c r="BT65">
        <v>0</v>
      </c>
      <c r="BU65">
        <v>0</v>
      </c>
      <c r="BV65">
        <v>0</v>
      </c>
      <c r="BW65">
        <v>25</v>
      </c>
      <c r="BX65">
        <v>35.09892903225806</v>
      </c>
      <c r="BY65">
        <v>1773268786.6</v>
      </c>
      <c r="BZ65" t="s">
        <v>332</v>
      </c>
      <c r="CA65">
        <v>1773268786.6</v>
      </c>
      <c r="CB65">
        <v>1773268774.1</v>
      </c>
      <c r="CC65">
        <v>2</v>
      </c>
      <c r="CD65">
        <v>0.264</v>
      </c>
      <c r="CE65">
        <v>-0.024</v>
      </c>
      <c r="CF65">
        <v>6.495</v>
      </c>
      <c r="CG65">
        <v>0.059</v>
      </c>
      <c r="CH65">
        <v>488</v>
      </c>
      <c r="CI65">
        <v>25</v>
      </c>
      <c r="CJ65">
        <v>0.48</v>
      </c>
      <c r="CK65">
        <v>0.14</v>
      </c>
      <c r="CL65">
        <v>492.0704516129032</v>
      </c>
      <c r="CM65">
        <v>0.2328387096763363</v>
      </c>
      <c r="CN65">
        <v>0.02416187173597751</v>
      </c>
      <c r="CO65">
        <v>-1</v>
      </c>
      <c r="CP65">
        <v>499.9838387096775</v>
      </c>
      <c r="CQ65">
        <v>0.2573709677395046</v>
      </c>
      <c r="CR65">
        <v>0.03812974181971387</v>
      </c>
      <c r="CS65">
        <v>-1</v>
      </c>
      <c r="CT65">
        <v>0</v>
      </c>
      <c r="CU65">
        <v>0</v>
      </c>
      <c r="CV65" t="s">
        <v>333</v>
      </c>
      <c r="CW65">
        <v>3.16939</v>
      </c>
      <c r="CX65">
        <v>2.65465</v>
      </c>
      <c r="CY65">
        <v>0.114235</v>
      </c>
      <c r="CZ65">
        <v>0.11517</v>
      </c>
      <c r="DA65">
        <v>0.0539886</v>
      </c>
      <c r="DB65">
        <v>0.0505366</v>
      </c>
      <c r="DC65">
        <v>21365.3</v>
      </c>
      <c r="DD65">
        <v>21847.1</v>
      </c>
      <c r="DE65">
        <v>23213.5</v>
      </c>
      <c r="DF65">
        <v>22576.4</v>
      </c>
      <c r="DG65">
        <v>33175.4</v>
      </c>
      <c r="DH65">
        <v>30242.9</v>
      </c>
      <c r="DI65">
        <v>40789.7</v>
      </c>
      <c r="DJ65">
        <v>37373.6</v>
      </c>
      <c r="DK65">
        <v>2.11516</v>
      </c>
      <c r="DL65">
        <v>1.7631</v>
      </c>
      <c r="DM65">
        <v>-0.0233769</v>
      </c>
      <c r="DN65">
        <v>0</v>
      </c>
      <c r="DO65">
        <v>25.3331</v>
      </c>
      <c r="DP65">
        <v>999.9</v>
      </c>
      <c r="DQ65">
        <v>66.3</v>
      </c>
      <c r="DR65">
        <v>27.9</v>
      </c>
      <c r="DS65">
        <v>24.9563</v>
      </c>
      <c r="DT65">
        <v>30.28</v>
      </c>
      <c r="DU65">
        <v>11.4062</v>
      </c>
      <c r="DV65">
        <v>1</v>
      </c>
      <c r="DW65">
        <v>0.0639614</v>
      </c>
      <c r="DX65">
        <v>0.611312</v>
      </c>
      <c r="DY65">
        <v>20.3672</v>
      </c>
      <c r="DZ65">
        <v>5.2113</v>
      </c>
      <c r="EA65">
        <v>11.8482</v>
      </c>
      <c r="EB65">
        <v>4.96772</v>
      </c>
      <c r="EC65">
        <v>3.29204</v>
      </c>
      <c r="ED65">
        <v>879.4</v>
      </c>
      <c r="EE65">
        <v>9999</v>
      </c>
      <c r="EF65">
        <v>9999</v>
      </c>
      <c r="EG65">
        <v>80.90000000000001</v>
      </c>
      <c r="EH65">
        <v>4.97161</v>
      </c>
      <c r="EI65">
        <v>1.8718</v>
      </c>
      <c r="EJ65">
        <v>1.8689</v>
      </c>
      <c r="EK65">
        <v>1.87134</v>
      </c>
      <c r="EL65">
        <v>1.86905</v>
      </c>
      <c r="EM65">
        <v>1.86799</v>
      </c>
      <c r="EN65">
        <v>1.86982</v>
      </c>
      <c r="EO65">
        <v>1.87164</v>
      </c>
      <c r="EP65">
        <v>0</v>
      </c>
      <c r="EQ65">
        <v>0</v>
      </c>
      <c r="ER65">
        <v>0</v>
      </c>
      <c r="ES65">
        <v>0</v>
      </c>
      <c r="ET65" t="s">
        <v>334</v>
      </c>
      <c r="EU65" t="s">
        <v>335</v>
      </c>
      <c r="EV65" t="s">
        <v>336</v>
      </c>
      <c r="EW65" t="s">
        <v>336</v>
      </c>
      <c r="EX65" t="s">
        <v>336</v>
      </c>
      <c r="EY65" t="s">
        <v>336</v>
      </c>
      <c r="EZ65">
        <v>0</v>
      </c>
      <c r="FA65">
        <v>100</v>
      </c>
      <c r="FB65">
        <v>100</v>
      </c>
      <c r="FC65">
        <v>6.496</v>
      </c>
      <c r="FD65">
        <v>0.0588</v>
      </c>
      <c r="FE65">
        <v>6.495476190476325</v>
      </c>
      <c r="FF65">
        <v>0</v>
      </c>
      <c r="FG65">
        <v>0</v>
      </c>
      <c r="FH65">
        <v>0</v>
      </c>
      <c r="FI65">
        <v>0.05881499999999917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49.3</v>
      </c>
      <c r="FR65">
        <v>49.5</v>
      </c>
      <c r="FS65">
        <v>0.145264</v>
      </c>
      <c r="FT65">
        <v>4.99756</v>
      </c>
      <c r="FU65">
        <v>1.5979</v>
      </c>
      <c r="FV65">
        <v>2.16431</v>
      </c>
      <c r="FW65">
        <v>1.54785</v>
      </c>
      <c r="FX65">
        <v>2.41089</v>
      </c>
      <c r="FY65">
        <v>32.377</v>
      </c>
      <c r="FZ65">
        <v>16.0758</v>
      </c>
      <c r="GA65">
        <v>3</v>
      </c>
      <c r="GB65">
        <v>498.861</v>
      </c>
      <c r="GC65">
        <v>373.025</v>
      </c>
      <c r="GD65">
        <v>24.9003</v>
      </c>
      <c r="GE65">
        <v>27.9768</v>
      </c>
      <c r="GF65">
        <v>30.0004</v>
      </c>
      <c r="GG65">
        <v>27.8497</v>
      </c>
      <c r="GH65">
        <v>27.8338</v>
      </c>
      <c r="GI65">
        <v>-1</v>
      </c>
      <c r="GJ65">
        <v>100</v>
      </c>
      <c r="GK65">
        <v>0</v>
      </c>
      <c r="GL65">
        <v>24.8869</v>
      </c>
      <c r="GM65">
        <v>1200</v>
      </c>
      <c r="GN65">
        <v>26.7455</v>
      </c>
      <c r="GO65">
        <v>102.681</v>
      </c>
      <c r="GP65">
        <v>97.5622</v>
      </c>
    </row>
    <row r="66" spans="1:198">
      <c r="A66">
        <v>50</v>
      </c>
      <c r="B66">
        <v>1773271804.1</v>
      </c>
      <c r="C66">
        <v>2940.5</v>
      </c>
      <c r="D66" t="s">
        <v>433</v>
      </c>
      <c r="E66" t="s">
        <v>434</v>
      </c>
      <c r="F66">
        <v>15</v>
      </c>
      <c r="G66">
        <v>1773271796.099999</v>
      </c>
      <c r="H66">
        <f>(I66)/1000</f>
        <v>0</v>
      </c>
      <c r="I66">
        <f>1000*AY66*AG66*(AU66-AV66)/(100*AN66*(1000-AG66*AU66))</f>
        <v>0</v>
      </c>
      <c r="J66">
        <f>AY66*AG66*(AT66-AS66*(1000-AG66*AV66)/(1000-AG66*AU66))/(100*AN66)</f>
        <v>0</v>
      </c>
      <c r="K66">
        <f>AS66 - IF(AG66&gt;1, J66*AN66*100.0/(AI66), 0)</f>
        <v>0</v>
      </c>
      <c r="L66">
        <f>((R66-H66/2)*K66-J66)/(R66+H66/2)</f>
        <v>0</v>
      </c>
      <c r="M66">
        <f>L66*(AZ66+BA66)/1000.0</f>
        <v>0</v>
      </c>
      <c r="N66">
        <f>(AS66 - IF(AG66&gt;1, J66*AN66*100.0/(AI66), 0))*(AZ66+BA66)/1000.0</f>
        <v>0</v>
      </c>
      <c r="O66">
        <f>2.0/((1/Q66-1/P66)+SIGN(Q66)*SQRT((1/Q66-1/P66)*(1/Q66-1/P66) + 4*AO66/((AO66+1)*(AO66+1))*(2*1/Q66*1/P66-1/P66*1/P66)))</f>
        <v>0</v>
      </c>
      <c r="P66">
        <f>IF(LEFT(AP66,1)&lt;&gt;"0",IF(LEFT(AP66,1)="1",3.0,AQ66),$D$5+$E$5*(BG66*AZ66/($K$5*1000))+$F$5*(BG66*AZ66/($K$5*1000))*MAX(MIN(AN66,$J$5),$I$5)*MAX(MIN(AN66,$J$5),$I$5)+$G$5*MAX(MIN(AN66,$J$5),$I$5)*(BG66*AZ66/($K$5*1000))+$H$5*(BG66*AZ66/($K$5*1000))*(BG66*AZ66/($K$5*1000)))</f>
        <v>0</v>
      </c>
      <c r="Q66">
        <f>H66*(1000-(1000*0.61365*exp(17.502*U66/(240.97+U66))/(AZ66+BA66)+AU66)/2)/(1000*0.61365*exp(17.502*U66/(240.97+U66))/(AZ66+BA66)-AU66)</f>
        <v>0</v>
      </c>
      <c r="R66">
        <f>1/((AO66+1)/(O66/1.6)+1/(P66/1.37)) + AO66/((AO66+1)/(O66/1.6) + AO66/(P66/1.37))</f>
        <v>0</v>
      </c>
      <c r="S66">
        <f>(AJ66*AM66)</f>
        <v>0</v>
      </c>
      <c r="T66">
        <f>(BB66+(S66+2*0.95*5.67E-8*(((BB66+$B$7)+273)^4-(BB66+273)^4)-44100*H66)/(1.84*29.3*P66+8*0.95*5.67E-8*(BB66+273)^3))</f>
        <v>0</v>
      </c>
      <c r="U66">
        <f>($C$7*BC66+$D$7*BD66+$E$7*T66)</f>
        <v>0</v>
      </c>
      <c r="V66">
        <f>0.61365*exp(17.502*U66/(240.97+U66))</f>
        <v>0</v>
      </c>
      <c r="W66">
        <f>(X66/Y66*100)</f>
        <v>0</v>
      </c>
      <c r="X66">
        <f>AU66*(AZ66+BA66)/1000</f>
        <v>0</v>
      </c>
      <c r="Y66">
        <f>0.61365*exp(17.502*BB66/(240.97+BB66))</f>
        <v>0</v>
      </c>
      <c r="Z66">
        <f>(V66-AU66*(AZ66+BA66)/1000)</f>
        <v>0</v>
      </c>
      <c r="AA66">
        <f>(-H66*44100)</f>
        <v>0</v>
      </c>
      <c r="AB66">
        <f>2*29.3*P66*0.92*(BB66-U66)</f>
        <v>0</v>
      </c>
      <c r="AC66">
        <f>2*0.95*5.67E-8*(((BB66+$B$7)+273)^4-(U66+273)^4)</f>
        <v>0</v>
      </c>
      <c r="AD66">
        <f>S66+AC66+AA66+AB66</f>
        <v>0</v>
      </c>
      <c r="AE66">
        <v>4</v>
      </c>
      <c r="AF66">
        <v>1</v>
      </c>
      <c r="AG66">
        <f>IF(AE66*$H$13&gt;=AI66,1.0,(AI66/(AI66-AE66*$H$13)))</f>
        <v>0</v>
      </c>
      <c r="AH66">
        <f>(AG66-1)*100</f>
        <v>0</v>
      </c>
      <c r="AI66">
        <f>MAX(0,($B$13+$C$13*BG66)/(1+$D$13*BG66)*AZ66/(BB66+273)*$E$13)</f>
        <v>0</v>
      </c>
      <c r="AJ66">
        <f>$B$11*BH66+$C$11*BI66+$D$11*BT66</f>
        <v>0</v>
      </c>
      <c r="AK66">
        <f>AJ66*AL66</f>
        <v>0</v>
      </c>
      <c r="AL66">
        <f>($B$11*$D$9+$C$11*$D$9+$D$11*(BU66*$E$9+BV66*$G$9))/($B$11+$C$11+$D$11)</f>
        <v>0</v>
      </c>
      <c r="AM66">
        <f>($B$11*$K$9+$C$11*$K$9+$D$11*(BU66*$L$9+BV66*$N$9))/($B$11+$C$11+$D$11)</f>
        <v>0</v>
      </c>
      <c r="AN66">
        <v>3</v>
      </c>
      <c r="AO66">
        <v>0.5</v>
      </c>
      <c r="AP66" t="s">
        <v>331</v>
      </c>
      <c r="AQ66">
        <v>2</v>
      </c>
      <c r="AR66">
        <v>1773271796.099999</v>
      </c>
      <c r="AS66">
        <v>493.4971935483871</v>
      </c>
      <c r="AT66">
        <v>491.7465161290323</v>
      </c>
      <c r="AU66">
        <v>8.832218387096775</v>
      </c>
      <c r="AV66">
        <v>8.121721935483873</v>
      </c>
      <c r="AW66">
        <v>487.0016774193548</v>
      </c>
      <c r="AX66">
        <v>8.773402258064515</v>
      </c>
      <c r="AY66">
        <v>500.0025483870967</v>
      </c>
      <c r="AZ66">
        <v>100.2320322580645</v>
      </c>
      <c r="BA66">
        <v>0.03354884193548388</v>
      </c>
      <c r="BB66">
        <v>25.00319032258065</v>
      </c>
      <c r="BC66">
        <v>24.9483129032258</v>
      </c>
      <c r="BD66">
        <v>999.9000000000003</v>
      </c>
      <c r="BE66">
        <v>0</v>
      </c>
      <c r="BF66">
        <v>0</v>
      </c>
      <c r="BG66">
        <v>5003.145161290323</v>
      </c>
      <c r="BH66">
        <v>1.430320322580646</v>
      </c>
      <c r="BI66">
        <v>323.6862258064516</v>
      </c>
      <c r="BJ66">
        <v>1.750622580645161</v>
      </c>
      <c r="BK66">
        <v>497.8946129032258</v>
      </c>
      <c r="BL66">
        <v>495.773064516129</v>
      </c>
      <c r="BM66">
        <v>0.7104965161290323</v>
      </c>
      <c r="BN66">
        <v>491.7465161290323</v>
      </c>
      <c r="BO66">
        <v>8.121721935483873</v>
      </c>
      <c r="BP66">
        <v>0.8852708064516128</v>
      </c>
      <c r="BQ66">
        <v>0.8140563225806452</v>
      </c>
      <c r="BR66">
        <v>5.153502903225808</v>
      </c>
      <c r="BS66">
        <v>3.954800967741935</v>
      </c>
      <c r="BT66">
        <v>0</v>
      </c>
      <c r="BU66">
        <v>0</v>
      </c>
      <c r="BV66">
        <v>0</v>
      </c>
      <c r="BW66">
        <v>25</v>
      </c>
      <c r="BX66">
        <v>36.34947096774194</v>
      </c>
      <c r="BY66">
        <v>1773268786.6</v>
      </c>
      <c r="BZ66" t="s">
        <v>332</v>
      </c>
      <c r="CA66">
        <v>1773268786.6</v>
      </c>
      <c r="CB66">
        <v>1773268774.1</v>
      </c>
      <c r="CC66">
        <v>2</v>
      </c>
      <c r="CD66">
        <v>0.264</v>
      </c>
      <c r="CE66">
        <v>-0.024</v>
      </c>
      <c r="CF66">
        <v>6.495</v>
      </c>
      <c r="CG66">
        <v>0.059</v>
      </c>
      <c r="CH66">
        <v>488</v>
      </c>
      <c r="CI66">
        <v>25</v>
      </c>
      <c r="CJ66">
        <v>0.48</v>
      </c>
      <c r="CK66">
        <v>0.14</v>
      </c>
      <c r="CL66">
        <v>491.7477333333334</v>
      </c>
      <c r="CM66">
        <v>-1.020600667408031</v>
      </c>
      <c r="CN66">
        <v>0.08212183361052681</v>
      </c>
      <c r="CO66">
        <v>-1</v>
      </c>
      <c r="CP66">
        <v>500.0005</v>
      </c>
      <c r="CQ66">
        <v>0.04653170189065647</v>
      </c>
      <c r="CR66">
        <v>0.04975322435112713</v>
      </c>
      <c r="CS66">
        <v>-1</v>
      </c>
      <c r="CT66">
        <v>0</v>
      </c>
      <c r="CU66">
        <v>0</v>
      </c>
      <c r="CV66" t="s">
        <v>333</v>
      </c>
      <c r="CW66">
        <v>3.16939</v>
      </c>
      <c r="CX66">
        <v>2.65504</v>
      </c>
      <c r="CY66">
        <v>0.114183</v>
      </c>
      <c r="CZ66">
        <v>0.115094</v>
      </c>
      <c r="DA66">
        <v>0.0541293</v>
      </c>
      <c r="DB66">
        <v>0.0506601</v>
      </c>
      <c r="DC66">
        <v>21364.1</v>
      </c>
      <c r="DD66">
        <v>21846.8</v>
      </c>
      <c r="DE66">
        <v>23211.1</v>
      </c>
      <c r="DF66">
        <v>22574.4</v>
      </c>
      <c r="DG66">
        <v>33167.4</v>
      </c>
      <c r="DH66">
        <v>30235.9</v>
      </c>
      <c r="DI66">
        <v>40786.1</v>
      </c>
      <c r="DJ66">
        <v>37370</v>
      </c>
      <c r="DK66">
        <v>2.11442</v>
      </c>
      <c r="DL66">
        <v>1.76246</v>
      </c>
      <c r="DM66">
        <v>-0.0263333</v>
      </c>
      <c r="DN66">
        <v>0</v>
      </c>
      <c r="DO66">
        <v>25.3871</v>
      </c>
      <c r="DP66">
        <v>999.9</v>
      </c>
      <c r="DQ66">
        <v>66</v>
      </c>
      <c r="DR66">
        <v>28</v>
      </c>
      <c r="DS66">
        <v>24.9908</v>
      </c>
      <c r="DT66">
        <v>29.56</v>
      </c>
      <c r="DU66">
        <v>11.4423</v>
      </c>
      <c r="DV66">
        <v>1</v>
      </c>
      <c r="DW66">
        <v>0.0685264</v>
      </c>
      <c r="DX66">
        <v>0.645627</v>
      </c>
      <c r="DY66">
        <v>20.3667</v>
      </c>
      <c r="DZ66">
        <v>5.21286</v>
      </c>
      <c r="EA66">
        <v>11.8482</v>
      </c>
      <c r="EB66">
        <v>4.96824</v>
      </c>
      <c r="EC66">
        <v>3.292</v>
      </c>
      <c r="ED66">
        <v>879.4</v>
      </c>
      <c r="EE66">
        <v>9999</v>
      </c>
      <c r="EF66">
        <v>9999</v>
      </c>
      <c r="EG66">
        <v>80.90000000000001</v>
      </c>
      <c r="EH66">
        <v>4.97162</v>
      </c>
      <c r="EI66">
        <v>1.87178</v>
      </c>
      <c r="EJ66">
        <v>1.8689</v>
      </c>
      <c r="EK66">
        <v>1.87134</v>
      </c>
      <c r="EL66">
        <v>1.86905</v>
      </c>
      <c r="EM66">
        <v>1.86799</v>
      </c>
      <c r="EN66">
        <v>1.86982</v>
      </c>
      <c r="EO66">
        <v>1.87164</v>
      </c>
      <c r="EP66">
        <v>0</v>
      </c>
      <c r="EQ66">
        <v>0</v>
      </c>
      <c r="ER66">
        <v>0</v>
      </c>
      <c r="ES66">
        <v>0</v>
      </c>
      <c r="ET66" t="s">
        <v>334</v>
      </c>
      <c r="EU66" t="s">
        <v>335</v>
      </c>
      <c r="EV66" t="s">
        <v>336</v>
      </c>
      <c r="EW66" t="s">
        <v>336</v>
      </c>
      <c r="EX66" t="s">
        <v>336</v>
      </c>
      <c r="EY66" t="s">
        <v>336</v>
      </c>
      <c r="EZ66">
        <v>0</v>
      </c>
      <c r="FA66">
        <v>100</v>
      </c>
      <c r="FB66">
        <v>100</v>
      </c>
      <c r="FC66">
        <v>6.496</v>
      </c>
      <c r="FD66">
        <v>0.0588</v>
      </c>
      <c r="FE66">
        <v>6.495476190476325</v>
      </c>
      <c r="FF66">
        <v>0</v>
      </c>
      <c r="FG66">
        <v>0</v>
      </c>
      <c r="FH66">
        <v>0</v>
      </c>
      <c r="FI66">
        <v>0.05881499999999917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50.3</v>
      </c>
      <c r="FR66">
        <v>50.5</v>
      </c>
      <c r="FS66">
        <v>0.145264</v>
      </c>
      <c r="FT66">
        <v>4.99756</v>
      </c>
      <c r="FU66">
        <v>1.5979</v>
      </c>
      <c r="FV66">
        <v>2.16431</v>
      </c>
      <c r="FW66">
        <v>1.54785</v>
      </c>
      <c r="FX66">
        <v>2.40234</v>
      </c>
      <c r="FY66">
        <v>32.4654</v>
      </c>
      <c r="FZ66">
        <v>16.0758</v>
      </c>
      <c r="GA66">
        <v>3</v>
      </c>
      <c r="GB66">
        <v>498.886</v>
      </c>
      <c r="GC66">
        <v>373.025</v>
      </c>
      <c r="GD66">
        <v>24.8091</v>
      </c>
      <c r="GE66">
        <v>28.0373</v>
      </c>
      <c r="GF66">
        <v>30.0005</v>
      </c>
      <c r="GG66">
        <v>27.9061</v>
      </c>
      <c r="GH66">
        <v>27.8888</v>
      </c>
      <c r="GI66">
        <v>-1</v>
      </c>
      <c r="GJ66">
        <v>100</v>
      </c>
      <c r="GK66">
        <v>0</v>
      </c>
      <c r="GL66">
        <v>24.8068</v>
      </c>
      <c r="GM66">
        <v>1200</v>
      </c>
      <c r="GN66">
        <v>26.7455</v>
      </c>
      <c r="GO66">
        <v>102.671</v>
      </c>
      <c r="GP66">
        <v>97.5531</v>
      </c>
    </row>
    <row r="67" spans="1:198">
      <c r="A67">
        <v>51</v>
      </c>
      <c r="B67">
        <v>1773271864.1</v>
      </c>
      <c r="C67">
        <v>3000.5</v>
      </c>
      <c r="D67" t="s">
        <v>435</v>
      </c>
      <c r="E67" t="s">
        <v>436</v>
      </c>
      <c r="F67">
        <v>15</v>
      </c>
      <c r="G67">
        <v>1773271856.099999</v>
      </c>
      <c r="H67">
        <f>(I67)/1000</f>
        <v>0</v>
      </c>
      <c r="I67">
        <f>1000*AY67*AG67*(AU67-AV67)/(100*AN67*(1000-AG67*AU67))</f>
        <v>0</v>
      </c>
      <c r="J67">
        <f>AY67*AG67*(AT67-AS67*(1000-AG67*AV67)/(1000-AG67*AU67))/(100*AN67)</f>
        <v>0</v>
      </c>
      <c r="K67">
        <f>AS67 - IF(AG67&gt;1, J67*AN67*100.0/(AI67), 0)</f>
        <v>0</v>
      </c>
      <c r="L67">
        <f>((R67-H67/2)*K67-J67)/(R67+H67/2)</f>
        <v>0</v>
      </c>
      <c r="M67">
        <f>L67*(AZ67+BA67)/1000.0</f>
        <v>0</v>
      </c>
      <c r="N67">
        <f>(AS67 - IF(AG67&gt;1, J67*AN67*100.0/(AI67), 0))*(AZ67+BA67)/1000.0</f>
        <v>0</v>
      </c>
      <c r="O67">
        <f>2.0/((1/Q67-1/P67)+SIGN(Q67)*SQRT((1/Q67-1/P67)*(1/Q67-1/P67) + 4*AO67/((AO67+1)*(AO67+1))*(2*1/Q67*1/P67-1/P67*1/P67)))</f>
        <v>0</v>
      </c>
      <c r="P67">
        <f>IF(LEFT(AP67,1)&lt;&gt;"0",IF(LEFT(AP67,1)="1",3.0,AQ67),$D$5+$E$5*(BG67*AZ67/($K$5*1000))+$F$5*(BG67*AZ67/($K$5*1000))*MAX(MIN(AN67,$J$5),$I$5)*MAX(MIN(AN67,$J$5),$I$5)+$G$5*MAX(MIN(AN67,$J$5),$I$5)*(BG67*AZ67/($K$5*1000))+$H$5*(BG67*AZ67/($K$5*1000))*(BG67*AZ67/($K$5*1000)))</f>
        <v>0</v>
      </c>
      <c r="Q67">
        <f>H67*(1000-(1000*0.61365*exp(17.502*U67/(240.97+U67))/(AZ67+BA67)+AU67)/2)/(1000*0.61365*exp(17.502*U67/(240.97+U67))/(AZ67+BA67)-AU67)</f>
        <v>0</v>
      </c>
      <c r="R67">
        <f>1/((AO67+1)/(O67/1.6)+1/(P67/1.37)) + AO67/((AO67+1)/(O67/1.6) + AO67/(P67/1.37))</f>
        <v>0</v>
      </c>
      <c r="S67">
        <f>(AJ67*AM67)</f>
        <v>0</v>
      </c>
      <c r="T67">
        <f>(BB67+(S67+2*0.95*5.67E-8*(((BB67+$B$7)+273)^4-(BB67+273)^4)-44100*H67)/(1.84*29.3*P67+8*0.95*5.67E-8*(BB67+273)^3))</f>
        <v>0</v>
      </c>
      <c r="U67">
        <f>($C$7*BC67+$D$7*BD67+$E$7*T67)</f>
        <v>0</v>
      </c>
      <c r="V67">
        <f>0.61365*exp(17.502*U67/(240.97+U67))</f>
        <v>0</v>
      </c>
      <c r="W67">
        <f>(X67/Y67*100)</f>
        <v>0</v>
      </c>
      <c r="X67">
        <f>AU67*(AZ67+BA67)/1000</f>
        <v>0</v>
      </c>
      <c r="Y67">
        <f>0.61365*exp(17.502*BB67/(240.97+BB67))</f>
        <v>0</v>
      </c>
      <c r="Z67">
        <f>(V67-AU67*(AZ67+BA67)/1000)</f>
        <v>0</v>
      </c>
      <c r="AA67">
        <f>(-H67*44100)</f>
        <v>0</v>
      </c>
      <c r="AB67">
        <f>2*29.3*P67*0.92*(BB67-U67)</f>
        <v>0</v>
      </c>
      <c r="AC67">
        <f>2*0.95*5.67E-8*(((BB67+$B$7)+273)^4-(U67+273)^4)</f>
        <v>0</v>
      </c>
      <c r="AD67">
        <f>S67+AC67+AA67+AB67</f>
        <v>0</v>
      </c>
      <c r="AE67">
        <v>4</v>
      </c>
      <c r="AF67">
        <v>1</v>
      </c>
      <c r="AG67">
        <f>IF(AE67*$H$13&gt;=AI67,1.0,(AI67/(AI67-AE67*$H$13)))</f>
        <v>0</v>
      </c>
      <c r="AH67">
        <f>(AG67-1)*100</f>
        <v>0</v>
      </c>
      <c r="AI67">
        <f>MAX(0,($B$13+$C$13*BG67)/(1+$D$13*BG67)*AZ67/(BB67+273)*$E$13)</f>
        <v>0</v>
      </c>
      <c r="AJ67">
        <f>$B$11*BH67+$C$11*BI67+$D$11*BT67</f>
        <v>0</v>
      </c>
      <c r="AK67">
        <f>AJ67*AL67</f>
        <v>0</v>
      </c>
      <c r="AL67">
        <f>($B$11*$D$9+$C$11*$D$9+$D$11*(BU67*$E$9+BV67*$G$9))/($B$11+$C$11+$D$11)</f>
        <v>0</v>
      </c>
      <c r="AM67">
        <f>($B$11*$K$9+$C$11*$K$9+$D$11*(BU67*$L$9+BV67*$N$9))/($B$11+$C$11+$D$11)</f>
        <v>0</v>
      </c>
      <c r="AN67">
        <v>3</v>
      </c>
      <c r="AO67">
        <v>0.5</v>
      </c>
      <c r="AP67" t="s">
        <v>331</v>
      </c>
      <c r="AQ67">
        <v>2</v>
      </c>
      <c r="AR67">
        <v>1773271856.099999</v>
      </c>
      <c r="AS67">
        <v>493.5569032258064</v>
      </c>
      <c r="AT67">
        <v>492.2807741935483</v>
      </c>
      <c r="AU67">
        <v>8.870179032258063</v>
      </c>
      <c r="AV67">
        <v>8.154910000000001</v>
      </c>
      <c r="AW67">
        <v>487.0614838709678</v>
      </c>
      <c r="AX67">
        <v>8.811362580645161</v>
      </c>
      <c r="AY67">
        <v>499.9930645161291</v>
      </c>
      <c r="AZ67">
        <v>100.2330322580645</v>
      </c>
      <c r="BA67">
        <v>0.03363697096774194</v>
      </c>
      <c r="BB67">
        <v>25.01349677419355</v>
      </c>
      <c r="BC67">
        <v>24.96722580645161</v>
      </c>
      <c r="BD67">
        <v>999.9000000000003</v>
      </c>
      <c r="BE67">
        <v>0</v>
      </c>
      <c r="BF67">
        <v>0</v>
      </c>
      <c r="BG67">
        <v>5000.483870967741</v>
      </c>
      <c r="BH67">
        <v>1.456152258064516</v>
      </c>
      <c r="BI67">
        <v>335.7933225806451</v>
      </c>
      <c r="BJ67">
        <v>1.276217096774194</v>
      </c>
      <c r="BK67">
        <v>497.9740967741935</v>
      </c>
      <c r="BL67">
        <v>496.3281612903227</v>
      </c>
      <c r="BM67">
        <v>0.7152689999999999</v>
      </c>
      <c r="BN67">
        <v>492.2807741935483</v>
      </c>
      <c r="BO67">
        <v>8.154910000000001</v>
      </c>
      <c r="BP67">
        <v>0.8890852258064517</v>
      </c>
      <c r="BQ67">
        <v>0.8173913870967742</v>
      </c>
      <c r="BR67">
        <v>5.21527064516129</v>
      </c>
      <c r="BS67">
        <v>4.01297</v>
      </c>
      <c r="BT67">
        <v>0</v>
      </c>
      <c r="BU67">
        <v>0</v>
      </c>
      <c r="BV67">
        <v>0</v>
      </c>
      <c r="BW67">
        <v>25</v>
      </c>
      <c r="BX67">
        <v>37</v>
      </c>
      <c r="BY67">
        <v>1773268786.6</v>
      </c>
      <c r="BZ67" t="s">
        <v>332</v>
      </c>
      <c r="CA67">
        <v>1773268786.6</v>
      </c>
      <c r="CB67">
        <v>1773268774.1</v>
      </c>
      <c r="CC67">
        <v>2</v>
      </c>
      <c r="CD67">
        <v>0.264</v>
      </c>
      <c r="CE67">
        <v>-0.024</v>
      </c>
      <c r="CF67">
        <v>6.495</v>
      </c>
      <c r="CG67">
        <v>0.059</v>
      </c>
      <c r="CH67">
        <v>488</v>
      </c>
      <c r="CI67">
        <v>25</v>
      </c>
      <c r="CJ67">
        <v>0.48</v>
      </c>
      <c r="CK67">
        <v>0.14</v>
      </c>
      <c r="CL67">
        <v>492.2755333333333</v>
      </c>
      <c r="CM67">
        <v>0.8416818687428841</v>
      </c>
      <c r="CN67">
        <v>0.07331790746847237</v>
      </c>
      <c r="CO67">
        <v>-1</v>
      </c>
      <c r="CP67">
        <v>499.9933666666667</v>
      </c>
      <c r="CQ67">
        <v>0.05042936596256342</v>
      </c>
      <c r="CR67">
        <v>0.04904996318948224</v>
      </c>
      <c r="CS67">
        <v>-1</v>
      </c>
      <c r="CT67">
        <v>0</v>
      </c>
      <c r="CU67">
        <v>0</v>
      </c>
      <c r="CV67" t="s">
        <v>333</v>
      </c>
      <c r="CW67">
        <v>3.16934</v>
      </c>
      <c r="CX67">
        <v>2.65481</v>
      </c>
      <c r="CY67">
        <v>0.114245</v>
      </c>
      <c r="CZ67">
        <v>0.115206</v>
      </c>
      <c r="DA67">
        <v>0.0543082</v>
      </c>
      <c r="DB67">
        <v>0.0508141</v>
      </c>
      <c r="DC67">
        <v>21359.6</v>
      </c>
      <c r="DD67">
        <v>21842.6</v>
      </c>
      <c r="DE67">
        <v>23208.2</v>
      </c>
      <c r="DF67">
        <v>22573.1</v>
      </c>
      <c r="DG67">
        <v>33157</v>
      </c>
      <c r="DH67">
        <v>30228.8</v>
      </c>
      <c r="DI67">
        <v>40781.3</v>
      </c>
      <c r="DJ67">
        <v>37367.5</v>
      </c>
      <c r="DK67">
        <v>2.11386</v>
      </c>
      <c r="DL67">
        <v>1.7609</v>
      </c>
      <c r="DM67">
        <v>-0.0282139</v>
      </c>
      <c r="DN67">
        <v>0</v>
      </c>
      <c r="DO67">
        <v>25.4293</v>
      </c>
      <c r="DP67">
        <v>999.9</v>
      </c>
      <c r="DQ67">
        <v>65.90000000000001</v>
      </c>
      <c r="DR67">
        <v>28</v>
      </c>
      <c r="DS67">
        <v>24.9512</v>
      </c>
      <c r="DT67">
        <v>29.92</v>
      </c>
      <c r="DU67">
        <v>11.5986</v>
      </c>
      <c r="DV67">
        <v>1</v>
      </c>
      <c r="DW67">
        <v>0.0733699</v>
      </c>
      <c r="DX67">
        <v>0.637168</v>
      </c>
      <c r="DY67">
        <v>20.3669</v>
      </c>
      <c r="DZ67">
        <v>5.21226</v>
      </c>
      <c r="EA67">
        <v>11.8482</v>
      </c>
      <c r="EB67">
        <v>4.96864</v>
      </c>
      <c r="EC67">
        <v>3.292</v>
      </c>
      <c r="ED67">
        <v>879.4</v>
      </c>
      <c r="EE67">
        <v>9999</v>
      </c>
      <c r="EF67">
        <v>9999</v>
      </c>
      <c r="EG67">
        <v>80.90000000000001</v>
      </c>
      <c r="EH67">
        <v>4.97162</v>
      </c>
      <c r="EI67">
        <v>1.8718</v>
      </c>
      <c r="EJ67">
        <v>1.8689</v>
      </c>
      <c r="EK67">
        <v>1.87134</v>
      </c>
      <c r="EL67">
        <v>1.86905</v>
      </c>
      <c r="EM67">
        <v>1.86799</v>
      </c>
      <c r="EN67">
        <v>1.86993</v>
      </c>
      <c r="EO67">
        <v>1.87165</v>
      </c>
      <c r="EP67">
        <v>0</v>
      </c>
      <c r="EQ67">
        <v>0</v>
      </c>
      <c r="ER67">
        <v>0</v>
      </c>
      <c r="ES67">
        <v>0</v>
      </c>
      <c r="ET67" t="s">
        <v>334</v>
      </c>
      <c r="EU67" t="s">
        <v>335</v>
      </c>
      <c r="EV67" t="s">
        <v>336</v>
      </c>
      <c r="EW67" t="s">
        <v>336</v>
      </c>
      <c r="EX67" t="s">
        <v>336</v>
      </c>
      <c r="EY67" t="s">
        <v>336</v>
      </c>
      <c r="EZ67">
        <v>0</v>
      </c>
      <c r="FA67">
        <v>100</v>
      </c>
      <c r="FB67">
        <v>100</v>
      </c>
      <c r="FC67">
        <v>6.496</v>
      </c>
      <c r="FD67">
        <v>0.0588</v>
      </c>
      <c r="FE67">
        <v>6.495476190476325</v>
      </c>
      <c r="FF67">
        <v>0</v>
      </c>
      <c r="FG67">
        <v>0</v>
      </c>
      <c r="FH67">
        <v>0</v>
      </c>
      <c r="FI67">
        <v>0.05881499999999917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51.3</v>
      </c>
      <c r="FR67">
        <v>51.5</v>
      </c>
      <c r="FS67">
        <v>0.145264</v>
      </c>
      <c r="FT67">
        <v>4.99756</v>
      </c>
      <c r="FU67">
        <v>1.5979</v>
      </c>
      <c r="FV67">
        <v>2.16553</v>
      </c>
      <c r="FW67">
        <v>1.54785</v>
      </c>
      <c r="FX67">
        <v>2.40112</v>
      </c>
      <c r="FY67">
        <v>32.5539</v>
      </c>
      <c r="FZ67">
        <v>16.0758</v>
      </c>
      <c r="GA67">
        <v>3</v>
      </c>
      <c r="GB67">
        <v>499.031</v>
      </c>
      <c r="GC67">
        <v>372.552</v>
      </c>
      <c r="GD67">
        <v>24.9116</v>
      </c>
      <c r="GE67">
        <v>28.1009</v>
      </c>
      <c r="GF67">
        <v>30.0004</v>
      </c>
      <c r="GG67">
        <v>27.9645</v>
      </c>
      <c r="GH67">
        <v>27.9464</v>
      </c>
      <c r="GI67">
        <v>-1</v>
      </c>
      <c r="GJ67">
        <v>100</v>
      </c>
      <c r="GK67">
        <v>0</v>
      </c>
      <c r="GL67">
        <v>24.8932</v>
      </c>
      <c r="GM67">
        <v>1200</v>
      </c>
      <c r="GN67">
        <v>26.7455</v>
      </c>
      <c r="GO67">
        <v>102.658</v>
      </c>
      <c r="GP67">
        <v>97.54689999999999</v>
      </c>
    </row>
    <row r="68" spans="1:198">
      <c r="A68">
        <v>52</v>
      </c>
      <c r="B68">
        <v>1773271924.1</v>
      </c>
      <c r="C68">
        <v>3060.5</v>
      </c>
      <c r="D68" t="s">
        <v>437</v>
      </c>
      <c r="E68" t="s">
        <v>438</v>
      </c>
      <c r="F68">
        <v>15</v>
      </c>
      <c r="G68">
        <v>1773271916.099999</v>
      </c>
      <c r="H68">
        <f>(I68)/1000</f>
        <v>0</v>
      </c>
      <c r="I68">
        <f>1000*AY68*AG68*(AU68-AV68)/(100*AN68*(1000-AG68*AU68))</f>
        <v>0</v>
      </c>
      <c r="J68">
        <f>AY68*AG68*(AT68-AS68*(1000-AG68*AV68)/(1000-AG68*AU68))/(100*AN68)</f>
        <v>0</v>
      </c>
      <c r="K68">
        <f>AS68 - IF(AG68&gt;1, J68*AN68*100.0/(AI68), 0)</f>
        <v>0</v>
      </c>
      <c r="L68">
        <f>((R68-H68/2)*K68-J68)/(R68+H68/2)</f>
        <v>0</v>
      </c>
      <c r="M68">
        <f>L68*(AZ68+BA68)/1000.0</f>
        <v>0</v>
      </c>
      <c r="N68">
        <f>(AS68 - IF(AG68&gt;1, J68*AN68*100.0/(AI68), 0))*(AZ68+BA68)/1000.0</f>
        <v>0</v>
      </c>
      <c r="O68">
        <f>2.0/((1/Q68-1/P68)+SIGN(Q68)*SQRT((1/Q68-1/P68)*(1/Q68-1/P68) + 4*AO68/((AO68+1)*(AO68+1))*(2*1/Q68*1/P68-1/P68*1/P68)))</f>
        <v>0</v>
      </c>
      <c r="P68">
        <f>IF(LEFT(AP68,1)&lt;&gt;"0",IF(LEFT(AP68,1)="1",3.0,AQ68),$D$5+$E$5*(BG68*AZ68/($K$5*1000))+$F$5*(BG68*AZ68/($K$5*1000))*MAX(MIN(AN68,$J$5),$I$5)*MAX(MIN(AN68,$J$5),$I$5)+$G$5*MAX(MIN(AN68,$J$5),$I$5)*(BG68*AZ68/($K$5*1000))+$H$5*(BG68*AZ68/($K$5*1000))*(BG68*AZ68/($K$5*1000)))</f>
        <v>0</v>
      </c>
      <c r="Q68">
        <f>H68*(1000-(1000*0.61365*exp(17.502*U68/(240.97+U68))/(AZ68+BA68)+AU68)/2)/(1000*0.61365*exp(17.502*U68/(240.97+U68))/(AZ68+BA68)-AU68)</f>
        <v>0</v>
      </c>
      <c r="R68">
        <f>1/((AO68+1)/(O68/1.6)+1/(P68/1.37)) + AO68/((AO68+1)/(O68/1.6) + AO68/(P68/1.37))</f>
        <v>0</v>
      </c>
      <c r="S68">
        <f>(AJ68*AM68)</f>
        <v>0</v>
      </c>
      <c r="T68">
        <f>(BB68+(S68+2*0.95*5.67E-8*(((BB68+$B$7)+273)^4-(BB68+273)^4)-44100*H68)/(1.84*29.3*P68+8*0.95*5.67E-8*(BB68+273)^3))</f>
        <v>0</v>
      </c>
      <c r="U68">
        <f>($C$7*BC68+$D$7*BD68+$E$7*T68)</f>
        <v>0</v>
      </c>
      <c r="V68">
        <f>0.61365*exp(17.502*U68/(240.97+U68))</f>
        <v>0</v>
      </c>
      <c r="W68">
        <f>(X68/Y68*100)</f>
        <v>0</v>
      </c>
      <c r="X68">
        <f>AU68*(AZ68+BA68)/1000</f>
        <v>0</v>
      </c>
      <c r="Y68">
        <f>0.61365*exp(17.502*BB68/(240.97+BB68))</f>
        <v>0</v>
      </c>
      <c r="Z68">
        <f>(V68-AU68*(AZ68+BA68)/1000)</f>
        <v>0</v>
      </c>
      <c r="AA68">
        <f>(-H68*44100)</f>
        <v>0</v>
      </c>
      <c r="AB68">
        <f>2*29.3*P68*0.92*(BB68-U68)</f>
        <v>0</v>
      </c>
      <c r="AC68">
        <f>2*0.95*5.67E-8*(((BB68+$B$7)+273)^4-(U68+273)^4)</f>
        <v>0</v>
      </c>
      <c r="AD68">
        <f>S68+AC68+AA68+AB68</f>
        <v>0</v>
      </c>
      <c r="AE68">
        <v>3</v>
      </c>
      <c r="AF68">
        <v>1</v>
      </c>
      <c r="AG68">
        <f>IF(AE68*$H$13&gt;=AI68,1.0,(AI68/(AI68-AE68*$H$13)))</f>
        <v>0</v>
      </c>
      <c r="AH68">
        <f>(AG68-1)*100</f>
        <v>0</v>
      </c>
      <c r="AI68">
        <f>MAX(0,($B$13+$C$13*BG68)/(1+$D$13*BG68)*AZ68/(BB68+273)*$E$13)</f>
        <v>0</v>
      </c>
      <c r="AJ68">
        <f>$B$11*BH68+$C$11*BI68+$D$11*BT68</f>
        <v>0</v>
      </c>
      <c r="AK68">
        <f>AJ68*AL68</f>
        <v>0</v>
      </c>
      <c r="AL68">
        <f>($B$11*$D$9+$C$11*$D$9+$D$11*(BU68*$E$9+BV68*$G$9))/($B$11+$C$11+$D$11)</f>
        <v>0</v>
      </c>
      <c r="AM68">
        <f>($B$11*$K$9+$C$11*$K$9+$D$11*(BU68*$L$9+BV68*$N$9))/($B$11+$C$11+$D$11)</f>
        <v>0</v>
      </c>
      <c r="AN68">
        <v>3</v>
      </c>
      <c r="AO68">
        <v>0.5</v>
      </c>
      <c r="AP68" t="s">
        <v>331</v>
      </c>
      <c r="AQ68">
        <v>2</v>
      </c>
      <c r="AR68">
        <v>1773271916.099999</v>
      </c>
      <c r="AS68">
        <v>493.9327419354839</v>
      </c>
      <c r="AT68">
        <v>492.5755806451613</v>
      </c>
      <c r="AU68">
        <v>8.899093548387098</v>
      </c>
      <c r="AV68">
        <v>8.178960322580645</v>
      </c>
      <c r="AW68">
        <v>487.437064516129</v>
      </c>
      <c r="AX68">
        <v>8.840275806451613</v>
      </c>
      <c r="AY68">
        <v>500.009064516129</v>
      </c>
      <c r="AZ68">
        <v>100.2343870967742</v>
      </c>
      <c r="BA68">
        <v>0.03358422580645161</v>
      </c>
      <c r="BB68">
        <v>25.01002903225807</v>
      </c>
      <c r="BC68">
        <v>24.96535161290323</v>
      </c>
      <c r="BD68">
        <v>999.9000000000003</v>
      </c>
      <c r="BE68">
        <v>0</v>
      </c>
      <c r="BF68">
        <v>0</v>
      </c>
      <c r="BG68">
        <v>5003.645161290323</v>
      </c>
      <c r="BH68">
        <v>1.504360967741935</v>
      </c>
      <c r="BI68">
        <v>345.6582903225807</v>
      </c>
      <c r="BJ68">
        <v>1.357040967741936</v>
      </c>
      <c r="BK68">
        <v>498.3676451612903</v>
      </c>
      <c r="BL68">
        <v>496.6376129032258</v>
      </c>
      <c r="BM68">
        <v>0.7201324193548387</v>
      </c>
      <c r="BN68">
        <v>492.5755806451613</v>
      </c>
      <c r="BO68">
        <v>8.178960322580645</v>
      </c>
      <c r="BP68">
        <v>0.8919950967741939</v>
      </c>
      <c r="BQ68">
        <v>0.819813064516129</v>
      </c>
      <c r="BR68">
        <v>5.262238387096773</v>
      </c>
      <c r="BS68">
        <v>4.055074193548387</v>
      </c>
      <c r="BT68">
        <v>0</v>
      </c>
      <c r="BU68">
        <v>0</v>
      </c>
      <c r="BV68">
        <v>0</v>
      </c>
      <c r="BW68">
        <v>25</v>
      </c>
      <c r="BX68">
        <v>35.99139677419355</v>
      </c>
      <c r="BY68">
        <v>1773268786.6</v>
      </c>
      <c r="BZ68" t="s">
        <v>332</v>
      </c>
      <c r="CA68">
        <v>1773268786.6</v>
      </c>
      <c r="CB68">
        <v>1773268774.1</v>
      </c>
      <c r="CC68">
        <v>2</v>
      </c>
      <c r="CD68">
        <v>0.264</v>
      </c>
      <c r="CE68">
        <v>-0.024</v>
      </c>
      <c r="CF68">
        <v>6.495</v>
      </c>
      <c r="CG68">
        <v>0.059</v>
      </c>
      <c r="CH68">
        <v>488</v>
      </c>
      <c r="CI68">
        <v>25</v>
      </c>
      <c r="CJ68">
        <v>0.48</v>
      </c>
      <c r="CK68">
        <v>0.14</v>
      </c>
      <c r="CL68">
        <v>492.5665806451614</v>
      </c>
      <c r="CM68">
        <v>0.374322580644747</v>
      </c>
      <c r="CN68">
        <v>0.03482469849676088</v>
      </c>
      <c r="CO68">
        <v>-1</v>
      </c>
      <c r="CP68">
        <v>500.0133548387097</v>
      </c>
      <c r="CQ68">
        <v>-0.2475483870984837</v>
      </c>
      <c r="CR68">
        <v>0.03401949003722724</v>
      </c>
      <c r="CS68">
        <v>-1</v>
      </c>
      <c r="CT68">
        <v>0</v>
      </c>
      <c r="CU68">
        <v>0</v>
      </c>
      <c r="CV68" t="s">
        <v>333</v>
      </c>
      <c r="CW68">
        <v>3.16944</v>
      </c>
      <c r="CX68">
        <v>2.65499</v>
      </c>
      <c r="CY68">
        <v>0.114281</v>
      </c>
      <c r="CZ68">
        <v>0.115233</v>
      </c>
      <c r="DA68">
        <v>0.0544394</v>
      </c>
      <c r="DB68">
        <v>0.0509314</v>
      </c>
      <c r="DC68">
        <v>21356</v>
      </c>
      <c r="DD68">
        <v>21839.8</v>
      </c>
      <c r="DE68">
        <v>23205.4</v>
      </c>
      <c r="DF68">
        <v>22571.1</v>
      </c>
      <c r="DG68">
        <v>33148.8</v>
      </c>
      <c r="DH68">
        <v>30222.1</v>
      </c>
      <c r="DI68">
        <v>40777</v>
      </c>
      <c r="DJ68">
        <v>37364</v>
      </c>
      <c r="DK68">
        <v>2.11334</v>
      </c>
      <c r="DL68">
        <v>1.75942</v>
      </c>
      <c r="DM68">
        <v>-0.0295639</v>
      </c>
      <c r="DN68">
        <v>0</v>
      </c>
      <c r="DO68">
        <v>25.4509</v>
      </c>
      <c r="DP68">
        <v>999.9</v>
      </c>
      <c r="DQ68">
        <v>65.7</v>
      </c>
      <c r="DR68">
        <v>28.1</v>
      </c>
      <c r="DS68">
        <v>25.0201</v>
      </c>
      <c r="DT68">
        <v>29.92</v>
      </c>
      <c r="DU68">
        <v>11.5024</v>
      </c>
      <c r="DV68">
        <v>1</v>
      </c>
      <c r="DW68">
        <v>0.07843700000000001</v>
      </c>
      <c r="DX68">
        <v>0.753547</v>
      </c>
      <c r="DY68">
        <v>20.3661</v>
      </c>
      <c r="DZ68">
        <v>5.2113</v>
      </c>
      <c r="EA68">
        <v>11.8482</v>
      </c>
      <c r="EB68">
        <v>4.96924</v>
      </c>
      <c r="EC68">
        <v>3.29204</v>
      </c>
      <c r="ED68">
        <v>879.4</v>
      </c>
      <c r="EE68">
        <v>9999</v>
      </c>
      <c r="EF68">
        <v>9999</v>
      </c>
      <c r="EG68">
        <v>81</v>
      </c>
      <c r="EH68">
        <v>4.97161</v>
      </c>
      <c r="EI68">
        <v>1.8718</v>
      </c>
      <c r="EJ68">
        <v>1.8689</v>
      </c>
      <c r="EK68">
        <v>1.87134</v>
      </c>
      <c r="EL68">
        <v>1.86905</v>
      </c>
      <c r="EM68">
        <v>1.868</v>
      </c>
      <c r="EN68">
        <v>1.86988</v>
      </c>
      <c r="EO68">
        <v>1.87165</v>
      </c>
      <c r="EP68">
        <v>0</v>
      </c>
      <c r="EQ68">
        <v>0</v>
      </c>
      <c r="ER68">
        <v>0</v>
      </c>
      <c r="ES68">
        <v>0</v>
      </c>
      <c r="ET68" t="s">
        <v>334</v>
      </c>
      <c r="EU68" t="s">
        <v>335</v>
      </c>
      <c r="EV68" t="s">
        <v>336</v>
      </c>
      <c r="EW68" t="s">
        <v>336</v>
      </c>
      <c r="EX68" t="s">
        <v>336</v>
      </c>
      <c r="EY68" t="s">
        <v>336</v>
      </c>
      <c r="EZ68">
        <v>0</v>
      </c>
      <c r="FA68">
        <v>100</v>
      </c>
      <c r="FB68">
        <v>100</v>
      </c>
      <c r="FC68">
        <v>6.495</v>
      </c>
      <c r="FD68">
        <v>0.0588</v>
      </c>
      <c r="FE68">
        <v>6.495476190476325</v>
      </c>
      <c r="FF68">
        <v>0</v>
      </c>
      <c r="FG68">
        <v>0</v>
      </c>
      <c r="FH68">
        <v>0</v>
      </c>
      <c r="FI68">
        <v>0.05881499999999917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52.3</v>
      </c>
      <c r="FR68">
        <v>52.5</v>
      </c>
      <c r="FS68">
        <v>0.145264</v>
      </c>
      <c r="FT68">
        <v>4.99756</v>
      </c>
      <c r="FU68">
        <v>1.5979</v>
      </c>
      <c r="FV68">
        <v>2.16309</v>
      </c>
      <c r="FW68">
        <v>1.54785</v>
      </c>
      <c r="FX68">
        <v>2.39258</v>
      </c>
      <c r="FY68">
        <v>32.6648</v>
      </c>
      <c r="FZ68">
        <v>16.0671</v>
      </c>
      <c r="GA68">
        <v>3</v>
      </c>
      <c r="GB68">
        <v>499.195</v>
      </c>
      <c r="GC68">
        <v>372.12</v>
      </c>
      <c r="GD68">
        <v>24.7461</v>
      </c>
      <c r="GE68">
        <v>28.1618</v>
      </c>
      <c r="GF68">
        <v>30.0005</v>
      </c>
      <c r="GG68">
        <v>28.0226</v>
      </c>
      <c r="GH68">
        <v>28.0037</v>
      </c>
      <c r="GI68">
        <v>-1</v>
      </c>
      <c r="GJ68">
        <v>100</v>
      </c>
      <c r="GK68">
        <v>0</v>
      </c>
      <c r="GL68">
        <v>24.735</v>
      </c>
      <c r="GM68">
        <v>1200</v>
      </c>
      <c r="GN68">
        <v>26.7455</v>
      </c>
      <c r="GO68">
        <v>102.647</v>
      </c>
      <c r="GP68">
        <v>97.538</v>
      </c>
    </row>
    <row r="69" spans="1:198">
      <c r="A69">
        <v>53</v>
      </c>
      <c r="B69">
        <v>1773271984.1</v>
      </c>
      <c r="C69">
        <v>3120.5</v>
      </c>
      <c r="D69" t="s">
        <v>439</v>
      </c>
      <c r="E69" t="s">
        <v>440</v>
      </c>
      <c r="F69">
        <v>15</v>
      </c>
      <c r="G69">
        <v>1773271976.099999</v>
      </c>
      <c r="H69">
        <f>(I69)/1000</f>
        <v>0</v>
      </c>
      <c r="I69">
        <f>1000*AY69*AG69*(AU69-AV69)/(100*AN69*(1000-AG69*AU69))</f>
        <v>0</v>
      </c>
      <c r="J69">
        <f>AY69*AG69*(AT69-AS69*(1000-AG69*AV69)/(1000-AG69*AU69))/(100*AN69)</f>
        <v>0</v>
      </c>
      <c r="K69">
        <f>AS69 - IF(AG69&gt;1, J69*AN69*100.0/(AI69), 0)</f>
        <v>0</v>
      </c>
      <c r="L69">
        <f>((R69-H69/2)*K69-J69)/(R69+H69/2)</f>
        <v>0</v>
      </c>
      <c r="M69">
        <f>L69*(AZ69+BA69)/1000.0</f>
        <v>0</v>
      </c>
      <c r="N69">
        <f>(AS69 - IF(AG69&gt;1, J69*AN69*100.0/(AI69), 0))*(AZ69+BA69)/1000.0</f>
        <v>0</v>
      </c>
      <c r="O69">
        <f>2.0/((1/Q69-1/P69)+SIGN(Q69)*SQRT((1/Q69-1/P69)*(1/Q69-1/P69) + 4*AO69/((AO69+1)*(AO69+1))*(2*1/Q69*1/P69-1/P69*1/P69)))</f>
        <v>0</v>
      </c>
      <c r="P69">
        <f>IF(LEFT(AP69,1)&lt;&gt;"0",IF(LEFT(AP69,1)="1",3.0,AQ69),$D$5+$E$5*(BG69*AZ69/($K$5*1000))+$F$5*(BG69*AZ69/($K$5*1000))*MAX(MIN(AN69,$J$5),$I$5)*MAX(MIN(AN69,$J$5),$I$5)+$G$5*MAX(MIN(AN69,$J$5),$I$5)*(BG69*AZ69/($K$5*1000))+$H$5*(BG69*AZ69/($K$5*1000))*(BG69*AZ69/($K$5*1000)))</f>
        <v>0</v>
      </c>
      <c r="Q69">
        <f>H69*(1000-(1000*0.61365*exp(17.502*U69/(240.97+U69))/(AZ69+BA69)+AU69)/2)/(1000*0.61365*exp(17.502*U69/(240.97+U69))/(AZ69+BA69)-AU69)</f>
        <v>0</v>
      </c>
      <c r="R69">
        <f>1/((AO69+1)/(O69/1.6)+1/(P69/1.37)) + AO69/((AO69+1)/(O69/1.6) + AO69/(P69/1.37))</f>
        <v>0</v>
      </c>
      <c r="S69">
        <f>(AJ69*AM69)</f>
        <v>0</v>
      </c>
      <c r="T69">
        <f>(BB69+(S69+2*0.95*5.67E-8*(((BB69+$B$7)+273)^4-(BB69+273)^4)-44100*H69)/(1.84*29.3*P69+8*0.95*5.67E-8*(BB69+273)^3))</f>
        <v>0</v>
      </c>
      <c r="U69">
        <f>($C$7*BC69+$D$7*BD69+$E$7*T69)</f>
        <v>0</v>
      </c>
      <c r="V69">
        <f>0.61365*exp(17.502*U69/(240.97+U69))</f>
        <v>0</v>
      </c>
      <c r="W69">
        <f>(X69/Y69*100)</f>
        <v>0</v>
      </c>
      <c r="X69">
        <f>AU69*(AZ69+BA69)/1000</f>
        <v>0</v>
      </c>
      <c r="Y69">
        <f>0.61365*exp(17.502*BB69/(240.97+BB69))</f>
        <v>0</v>
      </c>
      <c r="Z69">
        <f>(V69-AU69*(AZ69+BA69)/1000)</f>
        <v>0</v>
      </c>
      <c r="AA69">
        <f>(-H69*44100)</f>
        <v>0</v>
      </c>
      <c r="AB69">
        <f>2*29.3*P69*0.92*(BB69-U69)</f>
        <v>0</v>
      </c>
      <c r="AC69">
        <f>2*0.95*5.67E-8*(((BB69+$B$7)+273)^4-(U69+273)^4)</f>
        <v>0</v>
      </c>
      <c r="AD69">
        <f>S69+AC69+AA69+AB69</f>
        <v>0</v>
      </c>
      <c r="AE69">
        <v>3</v>
      </c>
      <c r="AF69">
        <v>1</v>
      </c>
      <c r="AG69">
        <f>IF(AE69*$H$13&gt;=AI69,1.0,(AI69/(AI69-AE69*$H$13)))</f>
        <v>0</v>
      </c>
      <c r="AH69">
        <f>(AG69-1)*100</f>
        <v>0</v>
      </c>
      <c r="AI69">
        <f>MAX(0,($B$13+$C$13*BG69)/(1+$D$13*BG69)*AZ69/(BB69+273)*$E$13)</f>
        <v>0</v>
      </c>
      <c r="AJ69">
        <f>$B$11*BH69+$C$11*BI69+$D$11*BT69</f>
        <v>0</v>
      </c>
      <c r="AK69">
        <f>AJ69*AL69</f>
        <v>0</v>
      </c>
      <c r="AL69">
        <f>($B$11*$D$9+$C$11*$D$9+$D$11*(BU69*$E$9+BV69*$G$9))/($B$11+$C$11+$D$11)</f>
        <v>0</v>
      </c>
      <c r="AM69">
        <f>($B$11*$K$9+$C$11*$K$9+$D$11*(BU69*$L$9+BV69*$N$9))/($B$11+$C$11+$D$11)</f>
        <v>0</v>
      </c>
      <c r="AN69">
        <v>3</v>
      </c>
      <c r="AO69">
        <v>0.5</v>
      </c>
      <c r="AP69" t="s">
        <v>331</v>
      </c>
      <c r="AQ69">
        <v>2</v>
      </c>
      <c r="AR69">
        <v>1773271976.099999</v>
      </c>
      <c r="AS69">
        <v>494.6296774193548</v>
      </c>
      <c r="AT69">
        <v>493.2657096774194</v>
      </c>
      <c r="AU69">
        <v>8.935224838709678</v>
      </c>
      <c r="AV69">
        <v>8.212322258064516</v>
      </c>
      <c r="AW69">
        <v>488.1342258064517</v>
      </c>
      <c r="AX69">
        <v>8.87641</v>
      </c>
      <c r="AY69">
        <v>500.0088387096774</v>
      </c>
      <c r="AZ69">
        <v>100.2350967741936</v>
      </c>
      <c r="BA69">
        <v>0.03377369032258065</v>
      </c>
      <c r="BB69">
        <v>25.00426451612903</v>
      </c>
      <c r="BC69">
        <v>24.96976451612904</v>
      </c>
      <c r="BD69">
        <v>999.9000000000003</v>
      </c>
      <c r="BE69">
        <v>0</v>
      </c>
      <c r="BF69">
        <v>0</v>
      </c>
      <c r="BG69">
        <v>5000.83870967742</v>
      </c>
      <c r="BH69">
        <v>1.489196774193548</v>
      </c>
      <c r="BI69">
        <v>356.4980967741936</v>
      </c>
      <c r="BJ69">
        <v>1.364138064516129</v>
      </c>
      <c r="BK69">
        <v>499.0892580645162</v>
      </c>
      <c r="BL69">
        <v>497.3499677419355</v>
      </c>
      <c r="BM69">
        <v>0.7229024838709678</v>
      </c>
      <c r="BN69">
        <v>493.2657096774194</v>
      </c>
      <c r="BO69">
        <v>8.212322258064516</v>
      </c>
      <c r="BP69">
        <v>0.8956236129032258</v>
      </c>
      <c r="BQ69">
        <v>0.8231633548387096</v>
      </c>
      <c r="BR69">
        <v>5.32060935483871</v>
      </c>
      <c r="BS69">
        <v>4.113141935483871</v>
      </c>
      <c r="BT69">
        <v>0</v>
      </c>
      <c r="BU69">
        <v>0</v>
      </c>
      <c r="BV69">
        <v>0</v>
      </c>
      <c r="BW69">
        <v>25</v>
      </c>
      <c r="BX69">
        <v>36.37096774193548</v>
      </c>
      <c r="BY69">
        <v>1773268786.6</v>
      </c>
      <c r="BZ69" t="s">
        <v>332</v>
      </c>
      <c r="CA69">
        <v>1773268786.6</v>
      </c>
      <c r="CB69">
        <v>1773268774.1</v>
      </c>
      <c r="CC69">
        <v>2</v>
      </c>
      <c r="CD69">
        <v>0.264</v>
      </c>
      <c r="CE69">
        <v>-0.024</v>
      </c>
      <c r="CF69">
        <v>6.495</v>
      </c>
      <c r="CG69">
        <v>0.059</v>
      </c>
      <c r="CH69">
        <v>488</v>
      </c>
      <c r="CI69">
        <v>25</v>
      </c>
      <c r="CJ69">
        <v>0.48</v>
      </c>
      <c r="CK69">
        <v>0.14</v>
      </c>
      <c r="CL69">
        <v>493.2566774193549</v>
      </c>
      <c r="CM69">
        <v>0.3702580645152607</v>
      </c>
      <c r="CN69">
        <v>0.03631260964385102</v>
      </c>
      <c r="CO69">
        <v>-1</v>
      </c>
      <c r="CP69">
        <v>500.0106774193548</v>
      </c>
      <c r="CQ69">
        <v>0.224661290322321</v>
      </c>
      <c r="CR69">
        <v>0.04038874571508059</v>
      </c>
      <c r="CS69">
        <v>-1</v>
      </c>
      <c r="CT69">
        <v>0</v>
      </c>
      <c r="CU69">
        <v>0</v>
      </c>
      <c r="CV69" t="s">
        <v>333</v>
      </c>
      <c r="CW69">
        <v>3.16945</v>
      </c>
      <c r="CX69">
        <v>2.655</v>
      </c>
      <c r="CY69">
        <v>0.114387</v>
      </c>
      <c r="CZ69">
        <v>0.11533</v>
      </c>
      <c r="DA69">
        <v>0.0546192</v>
      </c>
      <c r="DB69">
        <v>0.0511028</v>
      </c>
      <c r="DC69">
        <v>21350.4</v>
      </c>
      <c r="DD69">
        <v>21835.1</v>
      </c>
      <c r="DE69">
        <v>23202.5</v>
      </c>
      <c r="DF69">
        <v>22569</v>
      </c>
      <c r="DG69">
        <v>33138.5</v>
      </c>
      <c r="DH69">
        <v>30213.4</v>
      </c>
      <c r="DI69">
        <v>40772.2</v>
      </c>
      <c r="DJ69">
        <v>37360.1</v>
      </c>
      <c r="DK69">
        <v>2.1126</v>
      </c>
      <c r="DL69">
        <v>1.75872</v>
      </c>
      <c r="DM69">
        <v>-0.0311911</v>
      </c>
      <c r="DN69">
        <v>0</v>
      </c>
      <c r="DO69">
        <v>25.4907</v>
      </c>
      <c r="DP69">
        <v>999.9</v>
      </c>
      <c r="DQ69">
        <v>65.59999999999999</v>
      </c>
      <c r="DR69">
        <v>28.1</v>
      </c>
      <c r="DS69">
        <v>24.9804</v>
      </c>
      <c r="DT69">
        <v>29.86</v>
      </c>
      <c r="DU69">
        <v>11.3261</v>
      </c>
      <c r="DV69">
        <v>1</v>
      </c>
      <c r="DW69">
        <v>0.0830081</v>
      </c>
      <c r="DX69">
        <v>0.664926</v>
      </c>
      <c r="DY69">
        <v>20.3666</v>
      </c>
      <c r="DZ69">
        <v>5.21166</v>
      </c>
      <c r="EA69">
        <v>11.8482</v>
      </c>
      <c r="EB69">
        <v>4.96772</v>
      </c>
      <c r="EC69">
        <v>3.29218</v>
      </c>
      <c r="ED69">
        <v>879.4</v>
      </c>
      <c r="EE69">
        <v>9999</v>
      </c>
      <c r="EF69">
        <v>9999</v>
      </c>
      <c r="EG69">
        <v>81</v>
      </c>
      <c r="EH69">
        <v>4.97161</v>
      </c>
      <c r="EI69">
        <v>1.8718</v>
      </c>
      <c r="EJ69">
        <v>1.8689</v>
      </c>
      <c r="EK69">
        <v>1.87134</v>
      </c>
      <c r="EL69">
        <v>1.86905</v>
      </c>
      <c r="EM69">
        <v>1.86799</v>
      </c>
      <c r="EN69">
        <v>1.86985</v>
      </c>
      <c r="EO69">
        <v>1.87165</v>
      </c>
      <c r="EP69">
        <v>0</v>
      </c>
      <c r="EQ69">
        <v>0</v>
      </c>
      <c r="ER69">
        <v>0</v>
      </c>
      <c r="ES69">
        <v>0</v>
      </c>
      <c r="ET69" t="s">
        <v>334</v>
      </c>
      <c r="EU69" t="s">
        <v>335</v>
      </c>
      <c r="EV69" t="s">
        <v>336</v>
      </c>
      <c r="EW69" t="s">
        <v>336</v>
      </c>
      <c r="EX69" t="s">
        <v>336</v>
      </c>
      <c r="EY69" t="s">
        <v>336</v>
      </c>
      <c r="EZ69">
        <v>0</v>
      </c>
      <c r="FA69">
        <v>100</v>
      </c>
      <c r="FB69">
        <v>100</v>
      </c>
      <c r="FC69">
        <v>6.496</v>
      </c>
      <c r="FD69">
        <v>0.0588</v>
      </c>
      <c r="FE69">
        <v>6.495476190476325</v>
      </c>
      <c r="FF69">
        <v>0</v>
      </c>
      <c r="FG69">
        <v>0</v>
      </c>
      <c r="FH69">
        <v>0</v>
      </c>
      <c r="FI69">
        <v>0.05881499999999917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53.3</v>
      </c>
      <c r="FR69">
        <v>53.5</v>
      </c>
      <c r="FS69">
        <v>0.145264</v>
      </c>
      <c r="FT69">
        <v>4.99756</v>
      </c>
      <c r="FU69">
        <v>1.5979</v>
      </c>
      <c r="FV69">
        <v>2.16309</v>
      </c>
      <c r="FW69">
        <v>1.54785</v>
      </c>
      <c r="FX69">
        <v>2.44385</v>
      </c>
      <c r="FY69">
        <v>32.7758</v>
      </c>
      <c r="FZ69">
        <v>16.0758</v>
      </c>
      <c r="GA69">
        <v>3</v>
      </c>
      <c r="GB69">
        <v>499.263</v>
      </c>
      <c r="GC69">
        <v>372.126</v>
      </c>
      <c r="GD69">
        <v>24.8484</v>
      </c>
      <c r="GE69">
        <v>28.2262</v>
      </c>
      <c r="GF69">
        <v>30.0005</v>
      </c>
      <c r="GG69">
        <v>28.0846</v>
      </c>
      <c r="GH69">
        <v>28.0653</v>
      </c>
      <c r="GI69">
        <v>-1</v>
      </c>
      <c r="GJ69">
        <v>100</v>
      </c>
      <c r="GK69">
        <v>0</v>
      </c>
      <c r="GL69">
        <v>24.8323</v>
      </c>
      <c r="GM69">
        <v>1200</v>
      </c>
      <c r="GN69">
        <v>26.7455</v>
      </c>
      <c r="GO69">
        <v>102.635</v>
      </c>
      <c r="GP69">
        <v>97.52809999999999</v>
      </c>
    </row>
    <row r="70" spans="1:198">
      <c r="A70">
        <v>54</v>
      </c>
      <c r="B70">
        <v>1773272044.1</v>
      </c>
      <c r="C70">
        <v>3180.5</v>
      </c>
      <c r="D70" t="s">
        <v>441</v>
      </c>
      <c r="E70" t="s">
        <v>442</v>
      </c>
      <c r="F70">
        <v>15</v>
      </c>
      <c r="G70">
        <v>1773272036.099999</v>
      </c>
      <c r="H70">
        <f>(I70)/1000</f>
        <v>0</v>
      </c>
      <c r="I70">
        <f>1000*AY70*AG70*(AU70-AV70)/(100*AN70*(1000-AG70*AU70))</f>
        <v>0</v>
      </c>
      <c r="J70">
        <f>AY70*AG70*(AT70-AS70*(1000-AG70*AV70)/(1000-AG70*AU70))/(100*AN70)</f>
        <v>0</v>
      </c>
      <c r="K70">
        <f>AS70 - IF(AG70&gt;1, J70*AN70*100.0/(AI70), 0)</f>
        <v>0</v>
      </c>
      <c r="L70">
        <f>((R70-H70/2)*K70-J70)/(R70+H70/2)</f>
        <v>0</v>
      </c>
      <c r="M70">
        <f>L70*(AZ70+BA70)/1000.0</f>
        <v>0</v>
      </c>
      <c r="N70">
        <f>(AS70 - IF(AG70&gt;1, J70*AN70*100.0/(AI70), 0))*(AZ70+BA70)/1000.0</f>
        <v>0</v>
      </c>
      <c r="O70">
        <f>2.0/((1/Q70-1/P70)+SIGN(Q70)*SQRT((1/Q70-1/P70)*(1/Q70-1/P70) + 4*AO70/((AO70+1)*(AO70+1))*(2*1/Q70*1/P70-1/P70*1/P70)))</f>
        <v>0</v>
      </c>
      <c r="P70">
        <f>IF(LEFT(AP70,1)&lt;&gt;"0",IF(LEFT(AP70,1)="1",3.0,AQ70),$D$5+$E$5*(BG70*AZ70/($K$5*1000))+$F$5*(BG70*AZ70/($K$5*1000))*MAX(MIN(AN70,$J$5),$I$5)*MAX(MIN(AN70,$J$5),$I$5)+$G$5*MAX(MIN(AN70,$J$5),$I$5)*(BG70*AZ70/($K$5*1000))+$H$5*(BG70*AZ70/($K$5*1000))*(BG70*AZ70/($K$5*1000)))</f>
        <v>0</v>
      </c>
      <c r="Q70">
        <f>H70*(1000-(1000*0.61365*exp(17.502*U70/(240.97+U70))/(AZ70+BA70)+AU70)/2)/(1000*0.61365*exp(17.502*U70/(240.97+U70))/(AZ70+BA70)-AU70)</f>
        <v>0</v>
      </c>
      <c r="R70">
        <f>1/((AO70+1)/(O70/1.6)+1/(P70/1.37)) + AO70/((AO70+1)/(O70/1.6) + AO70/(P70/1.37))</f>
        <v>0</v>
      </c>
      <c r="S70">
        <f>(AJ70*AM70)</f>
        <v>0</v>
      </c>
      <c r="T70">
        <f>(BB70+(S70+2*0.95*5.67E-8*(((BB70+$B$7)+273)^4-(BB70+273)^4)-44100*H70)/(1.84*29.3*P70+8*0.95*5.67E-8*(BB70+273)^3))</f>
        <v>0</v>
      </c>
      <c r="U70">
        <f>($C$7*BC70+$D$7*BD70+$E$7*T70)</f>
        <v>0</v>
      </c>
      <c r="V70">
        <f>0.61365*exp(17.502*U70/(240.97+U70))</f>
        <v>0</v>
      </c>
      <c r="W70">
        <f>(X70/Y70*100)</f>
        <v>0</v>
      </c>
      <c r="X70">
        <f>AU70*(AZ70+BA70)/1000</f>
        <v>0</v>
      </c>
      <c r="Y70">
        <f>0.61365*exp(17.502*BB70/(240.97+BB70))</f>
        <v>0</v>
      </c>
      <c r="Z70">
        <f>(V70-AU70*(AZ70+BA70)/1000)</f>
        <v>0</v>
      </c>
      <c r="AA70">
        <f>(-H70*44100)</f>
        <v>0</v>
      </c>
      <c r="AB70">
        <f>2*29.3*P70*0.92*(BB70-U70)</f>
        <v>0</v>
      </c>
      <c r="AC70">
        <f>2*0.95*5.67E-8*(((BB70+$B$7)+273)^4-(U70+273)^4)</f>
        <v>0</v>
      </c>
      <c r="AD70">
        <f>S70+AC70+AA70+AB70</f>
        <v>0</v>
      </c>
      <c r="AE70">
        <v>3</v>
      </c>
      <c r="AF70">
        <v>1</v>
      </c>
      <c r="AG70">
        <f>IF(AE70*$H$13&gt;=AI70,1.0,(AI70/(AI70-AE70*$H$13)))</f>
        <v>0</v>
      </c>
      <c r="AH70">
        <f>(AG70-1)*100</f>
        <v>0</v>
      </c>
      <c r="AI70">
        <f>MAX(0,($B$13+$C$13*BG70)/(1+$D$13*BG70)*AZ70/(BB70+273)*$E$13)</f>
        <v>0</v>
      </c>
      <c r="AJ70">
        <f>$B$11*BH70+$C$11*BI70+$D$11*BT70</f>
        <v>0</v>
      </c>
      <c r="AK70">
        <f>AJ70*AL70</f>
        <v>0</v>
      </c>
      <c r="AL70">
        <f>($B$11*$D$9+$C$11*$D$9+$D$11*(BU70*$E$9+BV70*$G$9))/($B$11+$C$11+$D$11)</f>
        <v>0</v>
      </c>
      <c r="AM70">
        <f>($B$11*$K$9+$C$11*$K$9+$D$11*(BU70*$L$9+BV70*$N$9))/($B$11+$C$11+$D$11)</f>
        <v>0</v>
      </c>
      <c r="AN70">
        <v>3</v>
      </c>
      <c r="AO70">
        <v>0.5</v>
      </c>
      <c r="AP70" t="s">
        <v>331</v>
      </c>
      <c r="AQ70">
        <v>2</v>
      </c>
      <c r="AR70">
        <v>1773272036.099999</v>
      </c>
      <c r="AS70">
        <v>494.8441935483871</v>
      </c>
      <c r="AT70">
        <v>493.3917741935484</v>
      </c>
      <c r="AU70">
        <v>8.984696774193548</v>
      </c>
      <c r="AV70">
        <v>8.258806129032259</v>
      </c>
      <c r="AW70">
        <v>488.3487741935484</v>
      </c>
      <c r="AX70">
        <v>8.925883225806452</v>
      </c>
      <c r="AY70">
        <v>500.0244193548387</v>
      </c>
      <c r="AZ70">
        <v>100.2342903225807</v>
      </c>
      <c r="BA70">
        <v>0.03411502258064517</v>
      </c>
      <c r="BB70">
        <v>25.01315806451613</v>
      </c>
      <c r="BC70">
        <v>24.98141612903226</v>
      </c>
      <c r="BD70">
        <v>999.9000000000003</v>
      </c>
      <c r="BE70">
        <v>0</v>
      </c>
      <c r="BF70">
        <v>0</v>
      </c>
      <c r="BG70">
        <v>4993.096774193548</v>
      </c>
      <c r="BH70">
        <v>1.598627096774193</v>
      </c>
      <c r="BI70">
        <v>376.4598064516128</v>
      </c>
      <c r="BJ70">
        <v>1.452349677419355</v>
      </c>
      <c r="BK70">
        <v>499.3304516129032</v>
      </c>
      <c r="BL70">
        <v>497.5005806451612</v>
      </c>
      <c r="BM70">
        <v>0.7258914838709678</v>
      </c>
      <c r="BN70">
        <v>493.3917741935484</v>
      </c>
      <c r="BO70">
        <v>8.258806129032259</v>
      </c>
      <c r="BP70">
        <v>0.9005751612903227</v>
      </c>
      <c r="BQ70">
        <v>0.8278159032258066</v>
      </c>
      <c r="BR70">
        <v>5.399934838709679</v>
      </c>
      <c r="BS70">
        <v>4.193439677419354</v>
      </c>
      <c r="BT70">
        <v>0</v>
      </c>
      <c r="BU70">
        <v>0</v>
      </c>
      <c r="BV70">
        <v>0</v>
      </c>
      <c r="BW70">
        <v>25</v>
      </c>
      <c r="BX70">
        <v>38</v>
      </c>
      <c r="BY70">
        <v>1773268786.6</v>
      </c>
      <c r="BZ70" t="s">
        <v>332</v>
      </c>
      <c r="CA70">
        <v>1773268786.6</v>
      </c>
      <c r="CB70">
        <v>1773268774.1</v>
      </c>
      <c r="CC70">
        <v>2</v>
      </c>
      <c r="CD70">
        <v>0.264</v>
      </c>
      <c r="CE70">
        <v>-0.024</v>
      </c>
      <c r="CF70">
        <v>6.495</v>
      </c>
      <c r="CG70">
        <v>0.059</v>
      </c>
      <c r="CH70">
        <v>488</v>
      </c>
      <c r="CI70">
        <v>25</v>
      </c>
      <c r="CJ70">
        <v>0.48</v>
      </c>
      <c r="CK70">
        <v>0.14</v>
      </c>
      <c r="CL70">
        <v>493.3917741935484</v>
      </c>
      <c r="CM70">
        <v>0.7119193548378666</v>
      </c>
      <c r="CN70">
        <v>0.05921023760510478</v>
      </c>
      <c r="CO70">
        <v>-1</v>
      </c>
      <c r="CP70">
        <v>500.0244193548387</v>
      </c>
      <c r="CQ70">
        <v>0.06759677419237559</v>
      </c>
      <c r="CR70">
        <v>0.04032590954000351</v>
      </c>
      <c r="CS70">
        <v>-1</v>
      </c>
      <c r="CT70">
        <v>0</v>
      </c>
      <c r="CU70">
        <v>0</v>
      </c>
      <c r="CV70" t="s">
        <v>333</v>
      </c>
      <c r="CW70">
        <v>3.16933</v>
      </c>
      <c r="CX70">
        <v>2.65525</v>
      </c>
      <c r="CY70">
        <v>0.114399</v>
      </c>
      <c r="CZ70">
        <v>0.11535</v>
      </c>
      <c r="DA70">
        <v>0.054844</v>
      </c>
      <c r="DB70">
        <v>0.0513093</v>
      </c>
      <c r="DC70">
        <v>21347.4</v>
      </c>
      <c r="DD70">
        <v>21832.8</v>
      </c>
      <c r="DE70">
        <v>23199.8</v>
      </c>
      <c r="DF70">
        <v>22567.2</v>
      </c>
      <c r="DG70">
        <v>33127</v>
      </c>
      <c r="DH70">
        <v>30204.1</v>
      </c>
      <c r="DI70">
        <v>40768</v>
      </c>
      <c r="DJ70">
        <v>37357</v>
      </c>
      <c r="DK70">
        <v>2.11176</v>
      </c>
      <c r="DL70">
        <v>1.75712</v>
      </c>
      <c r="DM70">
        <v>-0.0322193</v>
      </c>
      <c r="DN70">
        <v>0</v>
      </c>
      <c r="DO70">
        <v>25.5089</v>
      </c>
      <c r="DP70">
        <v>999.9</v>
      </c>
      <c r="DQ70">
        <v>65.3</v>
      </c>
      <c r="DR70">
        <v>28.2</v>
      </c>
      <c r="DS70">
        <v>25.0131</v>
      </c>
      <c r="DT70">
        <v>30.1</v>
      </c>
      <c r="DU70">
        <v>11.7588</v>
      </c>
      <c r="DV70">
        <v>1</v>
      </c>
      <c r="DW70">
        <v>0.0890427</v>
      </c>
      <c r="DX70">
        <v>0.847747</v>
      </c>
      <c r="DY70">
        <v>20.3653</v>
      </c>
      <c r="DZ70">
        <v>5.2119</v>
      </c>
      <c r="EA70">
        <v>11.8482</v>
      </c>
      <c r="EB70">
        <v>4.96828</v>
      </c>
      <c r="EC70">
        <v>3.29206</v>
      </c>
      <c r="ED70">
        <v>879.4</v>
      </c>
      <c r="EE70">
        <v>9999</v>
      </c>
      <c r="EF70">
        <v>9999</v>
      </c>
      <c r="EG70">
        <v>81</v>
      </c>
      <c r="EH70">
        <v>4.97157</v>
      </c>
      <c r="EI70">
        <v>1.8718</v>
      </c>
      <c r="EJ70">
        <v>1.86891</v>
      </c>
      <c r="EK70">
        <v>1.87134</v>
      </c>
      <c r="EL70">
        <v>1.86906</v>
      </c>
      <c r="EM70">
        <v>1.86799</v>
      </c>
      <c r="EN70">
        <v>1.86989</v>
      </c>
      <c r="EO70">
        <v>1.87164</v>
      </c>
      <c r="EP70">
        <v>0</v>
      </c>
      <c r="EQ70">
        <v>0</v>
      </c>
      <c r="ER70">
        <v>0</v>
      </c>
      <c r="ES70">
        <v>0</v>
      </c>
      <c r="ET70" t="s">
        <v>334</v>
      </c>
      <c r="EU70" t="s">
        <v>335</v>
      </c>
      <c r="EV70" t="s">
        <v>336</v>
      </c>
      <c r="EW70" t="s">
        <v>336</v>
      </c>
      <c r="EX70" t="s">
        <v>336</v>
      </c>
      <c r="EY70" t="s">
        <v>336</v>
      </c>
      <c r="EZ70">
        <v>0</v>
      </c>
      <c r="FA70">
        <v>100</v>
      </c>
      <c r="FB70">
        <v>100</v>
      </c>
      <c r="FC70">
        <v>6.496</v>
      </c>
      <c r="FD70">
        <v>0.0588</v>
      </c>
      <c r="FE70">
        <v>6.495476190476325</v>
      </c>
      <c r="FF70">
        <v>0</v>
      </c>
      <c r="FG70">
        <v>0</v>
      </c>
      <c r="FH70">
        <v>0</v>
      </c>
      <c r="FI70">
        <v>0.05881499999999917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54.3</v>
      </c>
      <c r="FR70">
        <v>54.5</v>
      </c>
      <c r="FS70">
        <v>0.145264</v>
      </c>
      <c r="FT70">
        <v>4.99756</v>
      </c>
      <c r="FU70">
        <v>1.5979</v>
      </c>
      <c r="FV70">
        <v>2.16187</v>
      </c>
      <c r="FW70">
        <v>1.54785</v>
      </c>
      <c r="FX70">
        <v>2.33154</v>
      </c>
      <c r="FY70">
        <v>32.9092</v>
      </c>
      <c r="FZ70">
        <v>16.0583</v>
      </c>
      <c r="GA70">
        <v>3</v>
      </c>
      <c r="GB70">
        <v>499.285</v>
      </c>
      <c r="GC70">
        <v>371.662</v>
      </c>
      <c r="GD70">
        <v>24.6775</v>
      </c>
      <c r="GE70">
        <v>28.2917</v>
      </c>
      <c r="GF70">
        <v>30.0005</v>
      </c>
      <c r="GG70">
        <v>28.1482</v>
      </c>
      <c r="GH70">
        <v>28.128</v>
      </c>
      <c r="GI70">
        <v>-1</v>
      </c>
      <c r="GJ70">
        <v>100</v>
      </c>
      <c r="GK70">
        <v>0</v>
      </c>
      <c r="GL70">
        <v>24.6635</v>
      </c>
      <c r="GM70">
        <v>1200</v>
      </c>
      <c r="GN70">
        <v>26.7455</v>
      </c>
      <c r="GO70">
        <v>102.624</v>
      </c>
      <c r="GP70">
        <v>97.5202</v>
      </c>
    </row>
    <row r="71" spans="1:198">
      <c r="A71">
        <v>55</v>
      </c>
      <c r="B71">
        <v>1773272104.1</v>
      </c>
      <c r="C71">
        <v>3240.5</v>
      </c>
      <c r="D71" t="s">
        <v>443</v>
      </c>
      <c r="E71" t="s">
        <v>444</v>
      </c>
      <c r="F71">
        <v>15</v>
      </c>
      <c r="G71">
        <v>1773272096.099999</v>
      </c>
      <c r="H71">
        <f>(I71)/1000</f>
        <v>0</v>
      </c>
      <c r="I71">
        <f>1000*AY71*AG71*(AU71-AV71)/(100*AN71*(1000-AG71*AU71))</f>
        <v>0</v>
      </c>
      <c r="J71">
        <f>AY71*AG71*(AT71-AS71*(1000-AG71*AV71)/(1000-AG71*AU71))/(100*AN71)</f>
        <v>0</v>
      </c>
      <c r="K71">
        <f>AS71 - IF(AG71&gt;1, J71*AN71*100.0/(AI71), 0)</f>
        <v>0</v>
      </c>
      <c r="L71">
        <f>((R71-H71/2)*K71-J71)/(R71+H71/2)</f>
        <v>0</v>
      </c>
      <c r="M71">
        <f>L71*(AZ71+BA71)/1000.0</f>
        <v>0</v>
      </c>
      <c r="N71">
        <f>(AS71 - IF(AG71&gt;1, J71*AN71*100.0/(AI71), 0))*(AZ71+BA71)/1000.0</f>
        <v>0</v>
      </c>
      <c r="O71">
        <f>2.0/((1/Q71-1/P71)+SIGN(Q71)*SQRT((1/Q71-1/P71)*(1/Q71-1/P71) + 4*AO71/((AO71+1)*(AO71+1))*(2*1/Q71*1/P71-1/P71*1/P71)))</f>
        <v>0</v>
      </c>
      <c r="P71">
        <f>IF(LEFT(AP71,1)&lt;&gt;"0",IF(LEFT(AP71,1)="1",3.0,AQ71),$D$5+$E$5*(BG71*AZ71/($K$5*1000))+$F$5*(BG71*AZ71/($K$5*1000))*MAX(MIN(AN71,$J$5),$I$5)*MAX(MIN(AN71,$J$5),$I$5)+$G$5*MAX(MIN(AN71,$J$5),$I$5)*(BG71*AZ71/($K$5*1000))+$H$5*(BG71*AZ71/($K$5*1000))*(BG71*AZ71/($K$5*1000)))</f>
        <v>0</v>
      </c>
      <c r="Q71">
        <f>H71*(1000-(1000*0.61365*exp(17.502*U71/(240.97+U71))/(AZ71+BA71)+AU71)/2)/(1000*0.61365*exp(17.502*U71/(240.97+U71))/(AZ71+BA71)-AU71)</f>
        <v>0</v>
      </c>
      <c r="R71">
        <f>1/((AO71+1)/(O71/1.6)+1/(P71/1.37)) + AO71/((AO71+1)/(O71/1.6) + AO71/(P71/1.37))</f>
        <v>0</v>
      </c>
      <c r="S71">
        <f>(AJ71*AM71)</f>
        <v>0</v>
      </c>
      <c r="T71">
        <f>(BB71+(S71+2*0.95*5.67E-8*(((BB71+$B$7)+273)^4-(BB71+273)^4)-44100*H71)/(1.84*29.3*P71+8*0.95*5.67E-8*(BB71+273)^3))</f>
        <v>0</v>
      </c>
      <c r="U71">
        <f>($C$7*BC71+$D$7*BD71+$E$7*T71)</f>
        <v>0</v>
      </c>
      <c r="V71">
        <f>0.61365*exp(17.502*U71/(240.97+U71))</f>
        <v>0</v>
      </c>
      <c r="W71">
        <f>(X71/Y71*100)</f>
        <v>0</v>
      </c>
      <c r="X71">
        <f>AU71*(AZ71+BA71)/1000</f>
        <v>0</v>
      </c>
      <c r="Y71">
        <f>0.61365*exp(17.502*BB71/(240.97+BB71))</f>
        <v>0</v>
      </c>
      <c r="Z71">
        <f>(V71-AU71*(AZ71+BA71)/1000)</f>
        <v>0</v>
      </c>
      <c r="AA71">
        <f>(-H71*44100)</f>
        <v>0</v>
      </c>
      <c r="AB71">
        <f>2*29.3*P71*0.92*(BB71-U71)</f>
        <v>0</v>
      </c>
      <c r="AC71">
        <f>2*0.95*5.67E-8*(((BB71+$B$7)+273)^4-(U71+273)^4)</f>
        <v>0</v>
      </c>
      <c r="AD71">
        <f>S71+AC71+AA71+AB71</f>
        <v>0</v>
      </c>
      <c r="AE71">
        <v>3</v>
      </c>
      <c r="AF71">
        <v>1</v>
      </c>
      <c r="AG71">
        <f>IF(AE71*$H$13&gt;=AI71,1.0,(AI71/(AI71-AE71*$H$13)))</f>
        <v>0</v>
      </c>
      <c r="AH71">
        <f>(AG71-1)*100</f>
        <v>0</v>
      </c>
      <c r="AI71">
        <f>MAX(0,($B$13+$C$13*BG71)/(1+$D$13*BG71)*AZ71/(BB71+273)*$E$13)</f>
        <v>0</v>
      </c>
      <c r="AJ71">
        <f>$B$11*BH71+$C$11*BI71+$D$11*BT71</f>
        <v>0</v>
      </c>
      <c r="AK71">
        <f>AJ71*AL71</f>
        <v>0</v>
      </c>
      <c r="AL71">
        <f>($B$11*$D$9+$C$11*$D$9+$D$11*(BU71*$E$9+BV71*$G$9))/($B$11+$C$11+$D$11)</f>
        <v>0</v>
      </c>
      <c r="AM71">
        <f>($B$11*$K$9+$C$11*$K$9+$D$11*(BU71*$L$9+BV71*$N$9))/($B$11+$C$11+$D$11)</f>
        <v>0</v>
      </c>
      <c r="AN71">
        <v>3</v>
      </c>
      <c r="AO71">
        <v>0.5</v>
      </c>
      <c r="AP71" t="s">
        <v>331</v>
      </c>
      <c r="AQ71">
        <v>2</v>
      </c>
      <c r="AR71">
        <v>1773272096.099999</v>
      </c>
      <c r="AS71">
        <v>495.6127096774193</v>
      </c>
      <c r="AT71">
        <v>494.2496451612903</v>
      </c>
      <c r="AU71">
        <v>9.028207096774194</v>
      </c>
      <c r="AV71">
        <v>8.298776129032257</v>
      </c>
      <c r="AW71">
        <v>489.1171612903226</v>
      </c>
      <c r="AX71">
        <v>8.969393225806453</v>
      </c>
      <c r="AY71">
        <v>500.006064516129</v>
      </c>
      <c r="AZ71">
        <v>100.2327096774194</v>
      </c>
      <c r="BA71">
        <v>0.03369892258064516</v>
      </c>
      <c r="BB71">
        <v>25.00560322580645</v>
      </c>
      <c r="BC71">
        <v>24.98646774193548</v>
      </c>
      <c r="BD71">
        <v>999.9000000000003</v>
      </c>
      <c r="BE71">
        <v>0</v>
      </c>
      <c r="BF71">
        <v>0</v>
      </c>
      <c r="BG71">
        <v>4997.483870967741</v>
      </c>
      <c r="BH71">
        <v>1.576248064516129</v>
      </c>
      <c r="BI71">
        <v>380.7843548387097</v>
      </c>
      <c r="BJ71">
        <v>1.362971935483871</v>
      </c>
      <c r="BK71">
        <v>500.1279354838711</v>
      </c>
      <c r="BL71">
        <v>498.3857419354839</v>
      </c>
      <c r="BM71">
        <v>0.729430741935484</v>
      </c>
      <c r="BN71">
        <v>494.2496451612903</v>
      </c>
      <c r="BO71">
        <v>8.298776129032257</v>
      </c>
      <c r="BP71">
        <v>0.9049216129032258</v>
      </c>
      <c r="BQ71">
        <v>0.831808806451613</v>
      </c>
      <c r="BR71">
        <v>5.469247741935483</v>
      </c>
      <c r="BS71">
        <v>4.262033870967742</v>
      </c>
      <c r="BT71">
        <v>0</v>
      </c>
      <c r="BU71">
        <v>0</v>
      </c>
      <c r="BV71">
        <v>0</v>
      </c>
      <c r="BW71">
        <v>25.00429677419356</v>
      </c>
      <c r="BX71">
        <v>38</v>
      </c>
      <c r="BY71">
        <v>1773268786.6</v>
      </c>
      <c r="BZ71" t="s">
        <v>332</v>
      </c>
      <c r="CA71">
        <v>1773268786.6</v>
      </c>
      <c r="CB71">
        <v>1773268774.1</v>
      </c>
      <c r="CC71">
        <v>2</v>
      </c>
      <c r="CD71">
        <v>0.264</v>
      </c>
      <c r="CE71">
        <v>-0.024</v>
      </c>
      <c r="CF71">
        <v>6.495</v>
      </c>
      <c r="CG71">
        <v>0.059</v>
      </c>
      <c r="CH71">
        <v>488</v>
      </c>
      <c r="CI71">
        <v>25</v>
      </c>
      <c r="CJ71">
        <v>0.48</v>
      </c>
      <c r="CK71">
        <v>0.14</v>
      </c>
      <c r="CL71">
        <v>494.2496451612903</v>
      </c>
      <c r="CM71">
        <v>0.5275161290323912</v>
      </c>
      <c r="CN71">
        <v>0.04183805058301786</v>
      </c>
      <c r="CO71">
        <v>-1</v>
      </c>
      <c r="CP71">
        <v>500.006064516129</v>
      </c>
      <c r="CQ71">
        <v>-0.06309677419431804</v>
      </c>
      <c r="CR71">
        <v>0.03575177458610981</v>
      </c>
      <c r="CS71">
        <v>-1</v>
      </c>
      <c r="CT71">
        <v>0</v>
      </c>
      <c r="CU71">
        <v>0</v>
      </c>
      <c r="CV71" t="s">
        <v>333</v>
      </c>
      <c r="CW71">
        <v>3.16938</v>
      </c>
      <c r="CX71">
        <v>2.65489</v>
      </c>
      <c r="CY71">
        <v>0.114522</v>
      </c>
      <c r="CZ71">
        <v>0.115453</v>
      </c>
      <c r="DA71">
        <v>0.0550569</v>
      </c>
      <c r="DB71">
        <v>0.0515156</v>
      </c>
      <c r="DC71">
        <v>21341.4</v>
      </c>
      <c r="DD71">
        <v>21827.7</v>
      </c>
      <c r="DE71">
        <v>23196.7</v>
      </c>
      <c r="DF71">
        <v>22564.8</v>
      </c>
      <c r="DG71">
        <v>33115.5</v>
      </c>
      <c r="DH71">
        <v>30193.8</v>
      </c>
      <c r="DI71">
        <v>40763.3</v>
      </c>
      <c r="DJ71">
        <v>37352.6</v>
      </c>
      <c r="DK71">
        <v>2.11116</v>
      </c>
      <c r="DL71">
        <v>1.75554</v>
      </c>
      <c r="DM71">
        <v>-0.034073</v>
      </c>
      <c r="DN71">
        <v>0</v>
      </c>
      <c r="DO71">
        <v>25.5456</v>
      </c>
      <c r="DP71">
        <v>999.9</v>
      </c>
      <c r="DQ71">
        <v>65.3</v>
      </c>
      <c r="DR71">
        <v>28.3</v>
      </c>
      <c r="DS71">
        <v>25.16</v>
      </c>
      <c r="DT71">
        <v>29.77</v>
      </c>
      <c r="DU71">
        <v>11.5625</v>
      </c>
      <c r="DV71">
        <v>1</v>
      </c>
      <c r="DW71">
        <v>0.0939126</v>
      </c>
      <c r="DX71">
        <v>0.763575</v>
      </c>
      <c r="DY71">
        <v>20.3662</v>
      </c>
      <c r="DZ71">
        <v>5.2113</v>
      </c>
      <c r="EA71">
        <v>11.8482</v>
      </c>
      <c r="EB71">
        <v>4.96856</v>
      </c>
      <c r="EC71">
        <v>3.2921</v>
      </c>
      <c r="ED71">
        <v>879.4</v>
      </c>
      <c r="EE71">
        <v>9999</v>
      </c>
      <c r="EF71">
        <v>9999</v>
      </c>
      <c r="EG71">
        <v>81</v>
      </c>
      <c r="EH71">
        <v>4.97162</v>
      </c>
      <c r="EI71">
        <v>1.8718</v>
      </c>
      <c r="EJ71">
        <v>1.86892</v>
      </c>
      <c r="EK71">
        <v>1.87135</v>
      </c>
      <c r="EL71">
        <v>1.86905</v>
      </c>
      <c r="EM71">
        <v>1.868</v>
      </c>
      <c r="EN71">
        <v>1.86992</v>
      </c>
      <c r="EO71">
        <v>1.8717</v>
      </c>
      <c r="EP71">
        <v>0</v>
      </c>
      <c r="EQ71">
        <v>0</v>
      </c>
      <c r="ER71">
        <v>0</v>
      </c>
      <c r="ES71">
        <v>0</v>
      </c>
      <c r="ET71" t="s">
        <v>334</v>
      </c>
      <c r="EU71" t="s">
        <v>335</v>
      </c>
      <c r="EV71" t="s">
        <v>336</v>
      </c>
      <c r="EW71" t="s">
        <v>336</v>
      </c>
      <c r="EX71" t="s">
        <v>336</v>
      </c>
      <c r="EY71" t="s">
        <v>336</v>
      </c>
      <c r="EZ71">
        <v>0</v>
      </c>
      <c r="FA71">
        <v>100</v>
      </c>
      <c r="FB71">
        <v>100</v>
      </c>
      <c r="FC71">
        <v>6.496</v>
      </c>
      <c r="FD71">
        <v>0.0588</v>
      </c>
      <c r="FE71">
        <v>6.495476190476325</v>
      </c>
      <c r="FF71">
        <v>0</v>
      </c>
      <c r="FG71">
        <v>0</v>
      </c>
      <c r="FH71">
        <v>0</v>
      </c>
      <c r="FI71">
        <v>0.05881499999999917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55.3</v>
      </c>
      <c r="FR71">
        <v>55.5</v>
      </c>
      <c r="FS71">
        <v>0.145264</v>
      </c>
      <c r="FT71">
        <v>4.99756</v>
      </c>
      <c r="FU71">
        <v>1.5979</v>
      </c>
      <c r="FV71">
        <v>2.16187</v>
      </c>
      <c r="FW71">
        <v>1.54785</v>
      </c>
      <c r="FX71">
        <v>2.40601</v>
      </c>
      <c r="FY71">
        <v>33.0429</v>
      </c>
      <c r="FZ71">
        <v>16.0671</v>
      </c>
      <c r="GA71">
        <v>3</v>
      </c>
      <c r="GB71">
        <v>499.474</v>
      </c>
      <c r="GC71">
        <v>371.232</v>
      </c>
      <c r="GD71">
        <v>24.7483</v>
      </c>
      <c r="GE71">
        <v>28.3608</v>
      </c>
      <c r="GF71">
        <v>30.0007</v>
      </c>
      <c r="GG71">
        <v>28.2154</v>
      </c>
      <c r="GH71">
        <v>28.1947</v>
      </c>
      <c r="GI71">
        <v>-1</v>
      </c>
      <c r="GJ71">
        <v>100</v>
      </c>
      <c r="GK71">
        <v>0</v>
      </c>
      <c r="GL71">
        <v>24.7311</v>
      </c>
      <c r="GM71">
        <v>1200</v>
      </c>
      <c r="GN71">
        <v>26.7455</v>
      </c>
      <c r="GO71">
        <v>102.611</v>
      </c>
      <c r="GP71">
        <v>97.50920000000001</v>
      </c>
    </row>
    <row r="72" spans="1:198">
      <c r="A72">
        <v>56</v>
      </c>
      <c r="B72">
        <v>1773272164.1</v>
      </c>
      <c r="C72">
        <v>3300.5</v>
      </c>
      <c r="D72" t="s">
        <v>445</v>
      </c>
      <c r="E72" t="s">
        <v>446</v>
      </c>
      <c r="F72">
        <v>15</v>
      </c>
      <c r="G72">
        <v>1773272156.099999</v>
      </c>
      <c r="H72">
        <f>(I72)/1000</f>
        <v>0</v>
      </c>
      <c r="I72">
        <f>1000*AY72*AG72*(AU72-AV72)/(100*AN72*(1000-AG72*AU72))</f>
        <v>0</v>
      </c>
      <c r="J72">
        <f>AY72*AG72*(AT72-AS72*(1000-AG72*AV72)/(1000-AG72*AU72))/(100*AN72)</f>
        <v>0</v>
      </c>
      <c r="K72">
        <f>AS72 - IF(AG72&gt;1, J72*AN72*100.0/(AI72), 0)</f>
        <v>0</v>
      </c>
      <c r="L72">
        <f>((R72-H72/2)*K72-J72)/(R72+H72/2)</f>
        <v>0</v>
      </c>
      <c r="M72">
        <f>L72*(AZ72+BA72)/1000.0</f>
        <v>0</v>
      </c>
      <c r="N72">
        <f>(AS72 - IF(AG72&gt;1, J72*AN72*100.0/(AI72), 0))*(AZ72+BA72)/1000.0</f>
        <v>0</v>
      </c>
      <c r="O72">
        <f>2.0/((1/Q72-1/P72)+SIGN(Q72)*SQRT((1/Q72-1/P72)*(1/Q72-1/P72) + 4*AO72/((AO72+1)*(AO72+1))*(2*1/Q72*1/P72-1/P72*1/P72)))</f>
        <v>0</v>
      </c>
      <c r="P72">
        <f>IF(LEFT(AP72,1)&lt;&gt;"0",IF(LEFT(AP72,1)="1",3.0,AQ72),$D$5+$E$5*(BG72*AZ72/($K$5*1000))+$F$5*(BG72*AZ72/($K$5*1000))*MAX(MIN(AN72,$J$5),$I$5)*MAX(MIN(AN72,$J$5),$I$5)+$G$5*MAX(MIN(AN72,$J$5),$I$5)*(BG72*AZ72/($K$5*1000))+$H$5*(BG72*AZ72/($K$5*1000))*(BG72*AZ72/($K$5*1000)))</f>
        <v>0</v>
      </c>
      <c r="Q72">
        <f>H72*(1000-(1000*0.61365*exp(17.502*U72/(240.97+U72))/(AZ72+BA72)+AU72)/2)/(1000*0.61365*exp(17.502*U72/(240.97+U72))/(AZ72+BA72)-AU72)</f>
        <v>0</v>
      </c>
      <c r="R72">
        <f>1/((AO72+1)/(O72/1.6)+1/(P72/1.37)) + AO72/((AO72+1)/(O72/1.6) + AO72/(P72/1.37))</f>
        <v>0</v>
      </c>
      <c r="S72">
        <f>(AJ72*AM72)</f>
        <v>0</v>
      </c>
      <c r="T72">
        <f>(BB72+(S72+2*0.95*5.67E-8*(((BB72+$B$7)+273)^4-(BB72+273)^4)-44100*H72)/(1.84*29.3*P72+8*0.95*5.67E-8*(BB72+273)^3))</f>
        <v>0</v>
      </c>
      <c r="U72">
        <f>($C$7*BC72+$D$7*BD72+$E$7*T72)</f>
        <v>0</v>
      </c>
      <c r="V72">
        <f>0.61365*exp(17.502*U72/(240.97+U72))</f>
        <v>0</v>
      </c>
      <c r="W72">
        <f>(X72/Y72*100)</f>
        <v>0</v>
      </c>
      <c r="X72">
        <f>AU72*(AZ72+BA72)/1000</f>
        <v>0</v>
      </c>
      <c r="Y72">
        <f>0.61365*exp(17.502*BB72/(240.97+BB72))</f>
        <v>0</v>
      </c>
      <c r="Z72">
        <f>(V72-AU72*(AZ72+BA72)/1000)</f>
        <v>0</v>
      </c>
      <c r="AA72">
        <f>(-H72*44100)</f>
        <v>0</v>
      </c>
      <c r="AB72">
        <f>2*29.3*P72*0.92*(BB72-U72)</f>
        <v>0</v>
      </c>
      <c r="AC72">
        <f>2*0.95*5.67E-8*(((BB72+$B$7)+273)^4-(U72+273)^4)</f>
        <v>0</v>
      </c>
      <c r="AD72">
        <f>S72+AC72+AA72+AB72</f>
        <v>0</v>
      </c>
      <c r="AE72">
        <v>3</v>
      </c>
      <c r="AF72">
        <v>1</v>
      </c>
      <c r="AG72">
        <f>IF(AE72*$H$13&gt;=AI72,1.0,(AI72/(AI72-AE72*$H$13)))</f>
        <v>0</v>
      </c>
      <c r="AH72">
        <f>(AG72-1)*100</f>
        <v>0</v>
      </c>
      <c r="AI72">
        <f>MAX(0,($B$13+$C$13*BG72)/(1+$D$13*BG72)*AZ72/(BB72+273)*$E$13)</f>
        <v>0</v>
      </c>
      <c r="AJ72">
        <f>$B$11*BH72+$C$11*BI72+$D$11*BT72</f>
        <v>0</v>
      </c>
      <c r="AK72">
        <f>AJ72*AL72</f>
        <v>0</v>
      </c>
      <c r="AL72">
        <f>($B$11*$D$9+$C$11*$D$9+$D$11*(BU72*$E$9+BV72*$G$9))/($B$11+$C$11+$D$11)</f>
        <v>0</v>
      </c>
      <c r="AM72">
        <f>($B$11*$K$9+$C$11*$K$9+$D$11*(BU72*$L$9+BV72*$N$9))/($B$11+$C$11+$D$11)</f>
        <v>0</v>
      </c>
      <c r="AN72">
        <v>3</v>
      </c>
      <c r="AO72">
        <v>0.5</v>
      </c>
      <c r="AP72" t="s">
        <v>331</v>
      </c>
      <c r="AQ72">
        <v>2</v>
      </c>
      <c r="AR72">
        <v>1773272156.099999</v>
      </c>
      <c r="AS72">
        <v>496.3204516129032</v>
      </c>
      <c r="AT72">
        <v>494.9782903225807</v>
      </c>
      <c r="AU72">
        <v>9.087751290322579</v>
      </c>
      <c r="AV72">
        <v>8.358115483870968</v>
      </c>
      <c r="AW72">
        <v>489.825</v>
      </c>
      <c r="AX72">
        <v>9.028935483870969</v>
      </c>
      <c r="AY72">
        <v>499.9979032258065</v>
      </c>
      <c r="AZ72">
        <v>100.232935483871</v>
      </c>
      <c r="BA72">
        <v>0.03385516774193548</v>
      </c>
      <c r="BB72">
        <v>25.01386451612903</v>
      </c>
      <c r="BC72">
        <v>25.01107741935484</v>
      </c>
      <c r="BD72">
        <v>999.9000000000003</v>
      </c>
      <c r="BE72">
        <v>0</v>
      </c>
      <c r="BF72">
        <v>0</v>
      </c>
      <c r="BG72">
        <v>4999.483870967741</v>
      </c>
      <c r="BH72">
        <v>1.61182064516129</v>
      </c>
      <c r="BI72">
        <v>390.1146129032257</v>
      </c>
      <c r="BJ72">
        <v>1.34218</v>
      </c>
      <c r="BK72">
        <v>500.8722580645161</v>
      </c>
      <c r="BL72">
        <v>499.1502580645161</v>
      </c>
      <c r="BM72">
        <v>0.729635806451613</v>
      </c>
      <c r="BN72">
        <v>494.9782903225807</v>
      </c>
      <c r="BO72">
        <v>8.358115483870968</v>
      </c>
      <c r="BP72">
        <v>0.9108928709677419</v>
      </c>
      <c r="BQ72">
        <v>0.837759258064516</v>
      </c>
      <c r="BR72">
        <v>5.563993870967741</v>
      </c>
      <c r="BS72">
        <v>4.363719032258064</v>
      </c>
      <c r="BT72">
        <v>0</v>
      </c>
      <c r="BU72">
        <v>0</v>
      </c>
      <c r="BV72">
        <v>0</v>
      </c>
      <c r="BW72">
        <v>25.36022258064517</v>
      </c>
      <c r="BX72">
        <v>38.95699032258065</v>
      </c>
      <c r="BY72">
        <v>1773268786.6</v>
      </c>
      <c r="BZ72" t="s">
        <v>332</v>
      </c>
      <c r="CA72">
        <v>1773268786.6</v>
      </c>
      <c r="CB72">
        <v>1773268774.1</v>
      </c>
      <c r="CC72">
        <v>2</v>
      </c>
      <c r="CD72">
        <v>0.264</v>
      </c>
      <c r="CE72">
        <v>-0.024</v>
      </c>
      <c r="CF72">
        <v>6.495</v>
      </c>
      <c r="CG72">
        <v>0.059</v>
      </c>
      <c r="CH72">
        <v>488</v>
      </c>
      <c r="CI72">
        <v>25</v>
      </c>
      <c r="CJ72">
        <v>0.48</v>
      </c>
      <c r="CK72">
        <v>0.14</v>
      </c>
      <c r="CL72">
        <v>494.9763</v>
      </c>
      <c r="CM72">
        <v>0.1541713014485109</v>
      </c>
      <c r="CN72">
        <v>0.02066905900132016</v>
      </c>
      <c r="CO72">
        <v>-1</v>
      </c>
      <c r="CP72">
        <v>499.9985333333333</v>
      </c>
      <c r="CQ72">
        <v>0.1491790878766437</v>
      </c>
      <c r="CR72">
        <v>0.0458829912809636</v>
      </c>
      <c r="CS72">
        <v>-1</v>
      </c>
      <c r="CT72">
        <v>0</v>
      </c>
      <c r="CU72">
        <v>0</v>
      </c>
      <c r="CV72" t="s">
        <v>333</v>
      </c>
      <c r="CW72">
        <v>3.16943</v>
      </c>
      <c r="CX72">
        <v>2.65519</v>
      </c>
      <c r="CY72">
        <v>0.114623</v>
      </c>
      <c r="CZ72">
        <v>0.115564</v>
      </c>
      <c r="DA72">
        <v>0.0553424</v>
      </c>
      <c r="DB72">
        <v>0.0518168</v>
      </c>
      <c r="DC72">
        <v>21335.8</v>
      </c>
      <c r="DD72">
        <v>21822.7</v>
      </c>
      <c r="DE72">
        <v>23193.7</v>
      </c>
      <c r="DF72">
        <v>22562.7</v>
      </c>
      <c r="DG72">
        <v>33101.5</v>
      </c>
      <c r="DH72">
        <v>30181.1</v>
      </c>
      <c r="DI72">
        <v>40758.6</v>
      </c>
      <c r="DJ72">
        <v>37349</v>
      </c>
      <c r="DK72">
        <v>2.11034</v>
      </c>
      <c r="DL72">
        <v>1.75446</v>
      </c>
      <c r="DM72">
        <v>-0.0369281</v>
      </c>
      <c r="DN72">
        <v>0</v>
      </c>
      <c r="DO72">
        <v>25.6167</v>
      </c>
      <c r="DP72">
        <v>999.9</v>
      </c>
      <c r="DQ72">
        <v>65.2</v>
      </c>
      <c r="DR72">
        <v>28.3</v>
      </c>
      <c r="DS72">
        <v>25.1199</v>
      </c>
      <c r="DT72">
        <v>30.16</v>
      </c>
      <c r="DU72">
        <v>11.4103</v>
      </c>
      <c r="DV72">
        <v>1</v>
      </c>
      <c r="DW72">
        <v>0.0998882</v>
      </c>
      <c r="DX72">
        <v>0.9413550000000001</v>
      </c>
      <c r="DY72">
        <v>20.3648</v>
      </c>
      <c r="DZ72">
        <v>5.21118</v>
      </c>
      <c r="EA72">
        <v>11.8482</v>
      </c>
      <c r="EB72">
        <v>4.96784</v>
      </c>
      <c r="EC72">
        <v>3.29206</v>
      </c>
      <c r="ED72">
        <v>879.4</v>
      </c>
      <c r="EE72">
        <v>9999</v>
      </c>
      <c r="EF72">
        <v>9999</v>
      </c>
      <c r="EG72">
        <v>81</v>
      </c>
      <c r="EH72">
        <v>4.97156</v>
      </c>
      <c r="EI72">
        <v>1.8718</v>
      </c>
      <c r="EJ72">
        <v>1.8689</v>
      </c>
      <c r="EK72">
        <v>1.87135</v>
      </c>
      <c r="EL72">
        <v>1.86905</v>
      </c>
      <c r="EM72">
        <v>1.868</v>
      </c>
      <c r="EN72">
        <v>1.86994</v>
      </c>
      <c r="EO72">
        <v>1.87166</v>
      </c>
      <c r="EP72">
        <v>0</v>
      </c>
      <c r="EQ72">
        <v>0</v>
      </c>
      <c r="ER72">
        <v>0</v>
      </c>
      <c r="ES72">
        <v>0</v>
      </c>
      <c r="ET72" t="s">
        <v>334</v>
      </c>
      <c r="EU72" t="s">
        <v>335</v>
      </c>
      <c r="EV72" t="s">
        <v>336</v>
      </c>
      <c r="EW72" t="s">
        <v>336</v>
      </c>
      <c r="EX72" t="s">
        <v>336</v>
      </c>
      <c r="EY72" t="s">
        <v>336</v>
      </c>
      <c r="EZ72">
        <v>0</v>
      </c>
      <c r="FA72">
        <v>100</v>
      </c>
      <c r="FB72">
        <v>100</v>
      </c>
      <c r="FC72">
        <v>6.496</v>
      </c>
      <c r="FD72">
        <v>0.0588</v>
      </c>
      <c r="FE72">
        <v>6.495476190476325</v>
      </c>
      <c r="FF72">
        <v>0</v>
      </c>
      <c r="FG72">
        <v>0</v>
      </c>
      <c r="FH72">
        <v>0</v>
      </c>
      <c r="FI72">
        <v>0.05881499999999917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56.3</v>
      </c>
      <c r="FR72">
        <v>56.5</v>
      </c>
      <c r="FS72">
        <v>0.145264</v>
      </c>
      <c r="FT72">
        <v>4.99756</v>
      </c>
      <c r="FU72">
        <v>1.5979</v>
      </c>
      <c r="FV72">
        <v>2.16187</v>
      </c>
      <c r="FW72">
        <v>1.54785</v>
      </c>
      <c r="FX72">
        <v>2.43286</v>
      </c>
      <c r="FY72">
        <v>33.1992</v>
      </c>
      <c r="FZ72">
        <v>16.0671</v>
      </c>
      <c r="GA72">
        <v>3</v>
      </c>
      <c r="GB72">
        <v>499.564</v>
      </c>
      <c r="GC72">
        <v>371.094</v>
      </c>
      <c r="GD72">
        <v>24.5897</v>
      </c>
      <c r="GE72">
        <v>28.4359</v>
      </c>
      <c r="GF72">
        <v>30.0005</v>
      </c>
      <c r="GG72">
        <v>28.2862</v>
      </c>
      <c r="GH72">
        <v>28.266</v>
      </c>
      <c r="GI72">
        <v>-1</v>
      </c>
      <c r="GJ72">
        <v>100</v>
      </c>
      <c r="GK72">
        <v>0</v>
      </c>
      <c r="GL72">
        <v>24.5735</v>
      </c>
      <c r="GM72">
        <v>1200</v>
      </c>
      <c r="GN72">
        <v>26.7455</v>
      </c>
      <c r="GO72">
        <v>102.599</v>
      </c>
      <c r="GP72">
        <v>97.4999</v>
      </c>
    </row>
    <row r="73" spans="1:198">
      <c r="A73">
        <v>57</v>
      </c>
      <c r="B73">
        <v>1773272224.1</v>
      </c>
      <c r="C73">
        <v>3360.5</v>
      </c>
      <c r="D73" t="s">
        <v>447</v>
      </c>
      <c r="E73" t="s">
        <v>448</v>
      </c>
      <c r="F73">
        <v>15</v>
      </c>
      <c r="G73">
        <v>1773272216.099999</v>
      </c>
      <c r="H73">
        <f>(I73)/1000</f>
        <v>0</v>
      </c>
      <c r="I73">
        <f>1000*AY73*AG73*(AU73-AV73)/(100*AN73*(1000-AG73*AU73))</f>
        <v>0</v>
      </c>
      <c r="J73">
        <f>AY73*AG73*(AT73-AS73*(1000-AG73*AV73)/(1000-AG73*AU73))/(100*AN73)</f>
        <v>0</v>
      </c>
      <c r="K73">
        <f>AS73 - IF(AG73&gt;1, J73*AN73*100.0/(AI73), 0)</f>
        <v>0</v>
      </c>
      <c r="L73">
        <f>((R73-H73/2)*K73-J73)/(R73+H73/2)</f>
        <v>0</v>
      </c>
      <c r="M73">
        <f>L73*(AZ73+BA73)/1000.0</f>
        <v>0</v>
      </c>
      <c r="N73">
        <f>(AS73 - IF(AG73&gt;1, J73*AN73*100.0/(AI73), 0))*(AZ73+BA73)/1000.0</f>
        <v>0</v>
      </c>
      <c r="O73">
        <f>2.0/((1/Q73-1/P73)+SIGN(Q73)*SQRT((1/Q73-1/P73)*(1/Q73-1/P73) + 4*AO73/((AO73+1)*(AO73+1))*(2*1/Q73*1/P73-1/P73*1/P73)))</f>
        <v>0</v>
      </c>
      <c r="P73">
        <f>IF(LEFT(AP73,1)&lt;&gt;"0",IF(LEFT(AP73,1)="1",3.0,AQ73),$D$5+$E$5*(BG73*AZ73/($K$5*1000))+$F$5*(BG73*AZ73/($K$5*1000))*MAX(MIN(AN73,$J$5),$I$5)*MAX(MIN(AN73,$J$5),$I$5)+$G$5*MAX(MIN(AN73,$J$5),$I$5)*(BG73*AZ73/($K$5*1000))+$H$5*(BG73*AZ73/($K$5*1000))*(BG73*AZ73/($K$5*1000)))</f>
        <v>0</v>
      </c>
      <c r="Q73">
        <f>H73*(1000-(1000*0.61365*exp(17.502*U73/(240.97+U73))/(AZ73+BA73)+AU73)/2)/(1000*0.61365*exp(17.502*U73/(240.97+U73))/(AZ73+BA73)-AU73)</f>
        <v>0</v>
      </c>
      <c r="R73">
        <f>1/((AO73+1)/(O73/1.6)+1/(P73/1.37)) + AO73/((AO73+1)/(O73/1.6) + AO73/(P73/1.37))</f>
        <v>0</v>
      </c>
      <c r="S73">
        <f>(AJ73*AM73)</f>
        <v>0</v>
      </c>
      <c r="T73">
        <f>(BB73+(S73+2*0.95*5.67E-8*(((BB73+$B$7)+273)^4-(BB73+273)^4)-44100*H73)/(1.84*29.3*P73+8*0.95*5.67E-8*(BB73+273)^3))</f>
        <v>0</v>
      </c>
      <c r="U73">
        <f>($C$7*BC73+$D$7*BD73+$E$7*T73)</f>
        <v>0</v>
      </c>
      <c r="V73">
        <f>0.61365*exp(17.502*U73/(240.97+U73))</f>
        <v>0</v>
      </c>
      <c r="W73">
        <f>(X73/Y73*100)</f>
        <v>0</v>
      </c>
      <c r="X73">
        <f>AU73*(AZ73+BA73)/1000</f>
        <v>0</v>
      </c>
      <c r="Y73">
        <f>0.61365*exp(17.502*BB73/(240.97+BB73))</f>
        <v>0</v>
      </c>
      <c r="Z73">
        <f>(V73-AU73*(AZ73+BA73)/1000)</f>
        <v>0</v>
      </c>
      <c r="AA73">
        <f>(-H73*44100)</f>
        <v>0</v>
      </c>
      <c r="AB73">
        <f>2*29.3*P73*0.92*(BB73-U73)</f>
        <v>0</v>
      </c>
      <c r="AC73">
        <f>2*0.95*5.67E-8*(((BB73+$B$7)+273)^4-(U73+273)^4)</f>
        <v>0</v>
      </c>
      <c r="AD73">
        <f>S73+AC73+AA73+AB73</f>
        <v>0</v>
      </c>
      <c r="AE73">
        <v>3</v>
      </c>
      <c r="AF73">
        <v>1</v>
      </c>
      <c r="AG73">
        <f>IF(AE73*$H$13&gt;=AI73,1.0,(AI73/(AI73-AE73*$H$13)))</f>
        <v>0</v>
      </c>
      <c r="AH73">
        <f>(AG73-1)*100</f>
        <v>0</v>
      </c>
      <c r="AI73">
        <f>MAX(0,($B$13+$C$13*BG73)/(1+$D$13*BG73)*AZ73/(BB73+273)*$E$13)</f>
        <v>0</v>
      </c>
      <c r="AJ73">
        <f>$B$11*BH73+$C$11*BI73+$D$11*BT73</f>
        <v>0</v>
      </c>
      <c r="AK73">
        <f>AJ73*AL73</f>
        <v>0</v>
      </c>
      <c r="AL73">
        <f>($B$11*$D$9+$C$11*$D$9+$D$11*(BU73*$E$9+BV73*$G$9))/($B$11+$C$11+$D$11)</f>
        <v>0</v>
      </c>
      <c r="AM73">
        <f>($B$11*$K$9+$C$11*$K$9+$D$11*(BU73*$L$9+BV73*$N$9))/($B$11+$C$11+$D$11)</f>
        <v>0</v>
      </c>
      <c r="AN73">
        <v>3</v>
      </c>
      <c r="AO73">
        <v>0.5</v>
      </c>
      <c r="AP73" t="s">
        <v>331</v>
      </c>
      <c r="AQ73">
        <v>2</v>
      </c>
      <c r="AR73">
        <v>1773272216.099999</v>
      </c>
      <c r="AS73">
        <v>496.122129032258</v>
      </c>
      <c r="AT73">
        <v>494.6613548387097</v>
      </c>
      <c r="AU73">
        <v>9.157149032258065</v>
      </c>
      <c r="AV73">
        <v>8.424115483870969</v>
      </c>
      <c r="AW73">
        <v>489.6266774193548</v>
      </c>
      <c r="AX73">
        <v>9.098333225806453</v>
      </c>
      <c r="AY73">
        <v>500.0066774193548</v>
      </c>
      <c r="AZ73">
        <v>100.2323548387097</v>
      </c>
      <c r="BA73">
        <v>0.03405333548387098</v>
      </c>
      <c r="BB73">
        <v>25.01022258064516</v>
      </c>
      <c r="BC73">
        <v>25.02315161290323</v>
      </c>
      <c r="BD73">
        <v>999.9000000000003</v>
      </c>
      <c r="BE73">
        <v>0</v>
      </c>
      <c r="BF73">
        <v>0</v>
      </c>
      <c r="BG73">
        <v>5001.387096774193</v>
      </c>
      <c r="BH73">
        <v>1.610463225806452</v>
      </c>
      <c r="BI73">
        <v>402.5704516129032</v>
      </c>
      <c r="BJ73">
        <v>1.460655161290323</v>
      </c>
      <c r="BK73">
        <v>500.7072258064516</v>
      </c>
      <c r="BL73">
        <v>498.864</v>
      </c>
      <c r="BM73">
        <v>0.7330335161290324</v>
      </c>
      <c r="BN73">
        <v>494.6613548387097</v>
      </c>
      <c r="BO73">
        <v>8.424115483870969</v>
      </c>
      <c r="BP73">
        <v>0.9178433548387096</v>
      </c>
      <c r="BQ73">
        <v>0.8443695483870967</v>
      </c>
      <c r="BR73">
        <v>5.673588387096776</v>
      </c>
      <c r="BS73">
        <v>4.475936451612903</v>
      </c>
      <c r="BT73">
        <v>0</v>
      </c>
      <c r="BU73">
        <v>0</v>
      </c>
      <c r="BV73">
        <v>0</v>
      </c>
      <c r="BW73">
        <v>26</v>
      </c>
      <c r="BX73">
        <v>38.91182580645161</v>
      </c>
      <c r="BY73">
        <v>1773268786.6</v>
      </c>
      <c r="BZ73" t="s">
        <v>332</v>
      </c>
      <c r="CA73">
        <v>1773268786.6</v>
      </c>
      <c r="CB73">
        <v>1773268774.1</v>
      </c>
      <c r="CC73">
        <v>2</v>
      </c>
      <c r="CD73">
        <v>0.264</v>
      </c>
      <c r="CE73">
        <v>-0.024</v>
      </c>
      <c r="CF73">
        <v>6.495</v>
      </c>
      <c r="CG73">
        <v>0.059</v>
      </c>
      <c r="CH73">
        <v>488</v>
      </c>
      <c r="CI73">
        <v>25</v>
      </c>
      <c r="CJ73">
        <v>0.48</v>
      </c>
      <c r="CK73">
        <v>0.14</v>
      </c>
      <c r="CL73">
        <v>494.6613548387097</v>
      </c>
      <c r="CM73">
        <v>0.7623387096767444</v>
      </c>
      <c r="CN73">
        <v>0.09690918541872422</v>
      </c>
      <c r="CO73">
        <v>-1</v>
      </c>
      <c r="CP73">
        <v>500.0066774193548</v>
      </c>
      <c r="CQ73">
        <v>-0.04911290322699127</v>
      </c>
      <c r="CR73">
        <v>0.02963039753118711</v>
      </c>
      <c r="CS73">
        <v>-1</v>
      </c>
      <c r="CT73">
        <v>0</v>
      </c>
      <c r="CU73">
        <v>0</v>
      </c>
      <c r="CV73" t="s">
        <v>333</v>
      </c>
      <c r="CW73">
        <v>3.16944</v>
      </c>
      <c r="CX73">
        <v>2.65549</v>
      </c>
      <c r="CY73">
        <v>0.114557</v>
      </c>
      <c r="CZ73">
        <v>0.115515</v>
      </c>
      <c r="DA73">
        <v>0.0556647</v>
      </c>
      <c r="DB73">
        <v>0.0521221</v>
      </c>
      <c r="DC73">
        <v>21333.5</v>
      </c>
      <c r="DD73">
        <v>21821.2</v>
      </c>
      <c r="DE73">
        <v>23189.8</v>
      </c>
      <c r="DF73">
        <v>22560.1</v>
      </c>
      <c r="DG73">
        <v>33085</v>
      </c>
      <c r="DH73">
        <v>30167.6</v>
      </c>
      <c r="DI73">
        <v>40752.4</v>
      </c>
      <c r="DJ73">
        <v>37344.6</v>
      </c>
      <c r="DK73">
        <v>2.10966</v>
      </c>
      <c r="DL73">
        <v>1.75218</v>
      </c>
      <c r="DM73">
        <v>-0.0407487</v>
      </c>
      <c r="DN73">
        <v>0</v>
      </c>
      <c r="DO73">
        <v>25.6934</v>
      </c>
      <c r="DP73">
        <v>999.9</v>
      </c>
      <c r="DQ73">
        <v>65.09999999999999</v>
      </c>
      <c r="DR73">
        <v>28.4</v>
      </c>
      <c r="DS73">
        <v>25.2282</v>
      </c>
      <c r="DT73">
        <v>30.4</v>
      </c>
      <c r="DU73">
        <v>11.5545</v>
      </c>
      <c r="DV73">
        <v>1</v>
      </c>
      <c r="DW73">
        <v>0.106295</v>
      </c>
      <c r="DX73">
        <v>1.05804</v>
      </c>
      <c r="DY73">
        <v>20.3639</v>
      </c>
      <c r="DZ73">
        <v>5.2113</v>
      </c>
      <c r="EA73">
        <v>11.8482</v>
      </c>
      <c r="EB73">
        <v>4.96796</v>
      </c>
      <c r="EC73">
        <v>3.29204</v>
      </c>
      <c r="ED73">
        <v>879.4</v>
      </c>
      <c r="EE73">
        <v>9999</v>
      </c>
      <c r="EF73">
        <v>9999</v>
      </c>
      <c r="EG73">
        <v>81</v>
      </c>
      <c r="EH73">
        <v>4.97162</v>
      </c>
      <c r="EI73">
        <v>1.8718</v>
      </c>
      <c r="EJ73">
        <v>1.86891</v>
      </c>
      <c r="EK73">
        <v>1.87134</v>
      </c>
      <c r="EL73">
        <v>1.86908</v>
      </c>
      <c r="EM73">
        <v>1.86801</v>
      </c>
      <c r="EN73">
        <v>1.86993</v>
      </c>
      <c r="EO73">
        <v>1.8717</v>
      </c>
      <c r="EP73">
        <v>0</v>
      </c>
      <c r="EQ73">
        <v>0</v>
      </c>
      <c r="ER73">
        <v>0</v>
      </c>
      <c r="ES73">
        <v>0</v>
      </c>
      <c r="ET73" t="s">
        <v>334</v>
      </c>
      <c r="EU73" t="s">
        <v>335</v>
      </c>
      <c r="EV73" t="s">
        <v>336</v>
      </c>
      <c r="EW73" t="s">
        <v>336</v>
      </c>
      <c r="EX73" t="s">
        <v>336</v>
      </c>
      <c r="EY73" t="s">
        <v>336</v>
      </c>
      <c r="EZ73">
        <v>0</v>
      </c>
      <c r="FA73">
        <v>100</v>
      </c>
      <c r="FB73">
        <v>100</v>
      </c>
      <c r="FC73">
        <v>6.495</v>
      </c>
      <c r="FD73">
        <v>0.0588</v>
      </c>
      <c r="FE73">
        <v>6.495476190476325</v>
      </c>
      <c r="FF73">
        <v>0</v>
      </c>
      <c r="FG73">
        <v>0</v>
      </c>
      <c r="FH73">
        <v>0</v>
      </c>
      <c r="FI73">
        <v>0.05881499999999917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57.3</v>
      </c>
      <c r="FR73">
        <v>57.5</v>
      </c>
      <c r="FS73">
        <v>0.145264</v>
      </c>
      <c r="FT73">
        <v>4.99756</v>
      </c>
      <c r="FU73">
        <v>1.5979</v>
      </c>
      <c r="FV73">
        <v>2.16187</v>
      </c>
      <c r="FW73">
        <v>1.54785</v>
      </c>
      <c r="FX73">
        <v>2.34985</v>
      </c>
      <c r="FY73">
        <v>33.3784</v>
      </c>
      <c r="FZ73">
        <v>16.0583</v>
      </c>
      <c r="GA73">
        <v>3</v>
      </c>
      <c r="GB73">
        <v>499.785</v>
      </c>
      <c r="GC73">
        <v>370.353</v>
      </c>
      <c r="GD73">
        <v>24.4362</v>
      </c>
      <c r="GE73">
        <v>28.5171</v>
      </c>
      <c r="GF73">
        <v>30.0007</v>
      </c>
      <c r="GG73">
        <v>28.3634</v>
      </c>
      <c r="GH73">
        <v>28.3427</v>
      </c>
      <c r="GI73">
        <v>-1</v>
      </c>
      <c r="GJ73">
        <v>100</v>
      </c>
      <c r="GK73">
        <v>0</v>
      </c>
      <c r="GL73">
        <v>24.4299</v>
      </c>
      <c r="GM73">
        <v>1200</v>
      </c>
      <c r="GN73">
        <v>26.7455</v>
      </c>
      <c r="GO73">
        <v>102.583</v>
      </c>
      <c r="GP73">
        <v>97.4885</v>
      </c>
    </row>
    <row r="74" spans="1:198">
      <c r="A74">
        <v>58</v>
      </c>
      <c r="B74">
        <v>1773272284.1</v>
      </c>
      <c r="C74">
        <v>3420.5</v>
      </c>
      <c r="D74" t="s">
        <v>449</v>
      </c>
      <c r="E74" t="s">
        <v>450</v>
      </c>
      <c r="F74">
        <v>15</v>
      </c>
      <c r="G74">
        <v>1773272276.099999</v>
      </c>
      <c r="H74">
        <f>(I74)/1000</f>
        <v>0</v>
      </c>
      <c r="I74">
        <f>1000*AY74*AG74*(AU74-AV74)/(100*AN74*(1000-AG74*AU74))</f>
        <v>0</v>
      </c>
      <c r="J74">
        <f>AY74*AG74*(AT74-AS74*(1000-AG74*AV74)/(1000-AG74*AU74))/(100*AN74)</f>
        <v>0</v>
      </c>
      <c r="K74">
        <f>AS74 - IF(AG74&gt;1, J74*AN74*100.0/(AI74), 0)</f>
        <v>0</v>
      </c>
      <c r="L74">
        <f>((R74-H74/2)*K74-J74)/(R74+H74/2)</f>
        <v>0</v>
      </c>
      <c r="M74">
        <f>L74*(AZ74+BA74)/1000.0</f>
        <v>0</v>
      </c>
      <c r="N74">
        <f>(AS74 - IF(AG74&gt;1, J74*AN74*100.0/(AI74), 0))*(AZ74+BA74)/1000.0</f>
        <v>0</v>
      </c>
      <c r="O74">
        <f>2.0/((1/Q74-1/P74)+SIGN(Q74)*SQRT((1/Q74-1/P74)*(1/Q74-1/P74) + 4*AO74/((AO74+1)*(AO74+1))*(2*1/Q74*1/P74-1/P74*1/P74)))</f>
        <v>0</v>
      </c>
      <c r="P74">
        <f>IF(LEFT(AP74,1)&lt;&gt;"0",IF(LEFT(AP74,1)="1",3.0,AQ74),$D$5+$E$5*(BG74*AZ74/($K$5*1000))+$F$5*(BG74*AZ74/($K$5*1000))*MAX(MIN(AN74,$J$5),$I$5)*MAX(MIN(AN74,$J$5),$I$5)+$G$5*MAX(MIN(AN74,$J$5),$I$5)*(BG74*AZ74/($K$5*1000))+$H$5*(BG74*AZ74/($K$5*1000))*(BG74*AZ74/($K$5*1000)))</f>
        <v>0</v>
      </c>
      <c r="Q74">
        <f>H74*(1000-(1000*0.61365*exp(17.502*U74/(240.97+U74))/(AZ74+BA74)+AU74)/2)/(1000*0.61365*exp(17.502*U74/(240.97+U74))/(AZ74+BA74)-AU74)</f>
        <v>0</v>
      </c>
      <c r="R74">
        <f>1/((AO74+1)/(O74/1.6)+1/(P74/1.37)) + AO74/((AO74+1)/(O74/1.6) + AO74/(P74/1.37))</f>
        <v>0</v>
      </c>
      <c r="S74">
        <f>(AJ74*AM74)</f>
        <v>0</v>
      </c>
      <c r="T74">
        <f>(BB74+(S74+2*0.95*5.67E-8*(((BB74+$B$7)+273)^4-(BB74+273)^4)-44100*H74)/(1.84*29.3*P74+8*0.95*5.67E-8*(BB74+273)^3))</f>
        <v>0</v>
      </c>
      <c r="U74">
        <f>($C$7*BC74+$D$7*BD74+$E$7*T74)</f>
        <v>0</v>
      </c>
      <c r="V74">
        <f>0.61365*exp(17.502*U74/(240.97+U74))</f>
        <v>0</v>
      </c>
      <c r="W74">
        <f>(X74/Y74*100)</f>
        <v>0</v>
      </c>
      <c r="X74">
        <f>AU74*(AZ74+BA74)/1000</f>
        <v>0</v>
      </c>
      <c r="Y74">
        <f>0.61365*exp(17.502*BB74/(240.97+BB74))</f>
        <v>0</v>
      </c>
      <c r="Z74">
        <f>(V74-AU74*(AZ74+BA74)/1000)</f>
        <v>0</v>
      </c>
      <c r="AA74">
        <f>(-H74*44100)</f>
        <v>0</v>
      </c>
      <c r="AB74">
        <f>2*29.3*P74*0.92*(BB74-U74)</f>
        <v>0</v>
      </c>
      <c r="AC74">
        <f>2*0.95*5.67E-8*(((BB74+$B$7)+273)^4-(U74+273)^4)</f>
        <v>0</v>
      </c>
      <c r="AD74">
        <f>S74+AC74+AA74+AB74</f>
        <v>0</v>
      </c>
      <c r="AE74">
        <v>3</v>
      </c>
      <c r="AF74">
        <v>1</v>
      </c>
      <c r="AG74">
        <f>IF(AE74*$H$13&gt;=AI74,1.0,(AI74/(AI74-AE74*$H$13)))</f>
        <v>0</v>
      </c>
      <c r="AH74">
        <f>(AG74-1)*100</f>
        <v>0</v>
      </c>
      <c r="AI74">
        <f>MAX(0,($B$13+$C$13*BG74)/(1+$D$13*BG74)*AZ74/(BB74+273)*$E$13)</f>
        <v>0</v>
      </c>
      <c r="AJ74">
        <f>$B$11*BH74+$C$11*BI74+$D$11*BT74</f>
        <v>0</v>
      </c>
      <c r="AK74">
        <f>AJ74*AL74</f>
        <v>0</v>
      </c>
      <c r="AL74">
        <f>($B$11*$D$9+$C$11*$D$9+$D$11*(BU74*$E$9+BV74*$G$9))/($B$11+$C$11+$D$11)</f>
        <v>0</v>
      </c>
      <c r="AM74">
        <f>($B$11*$K$9+$C$11*$K$9+$D$11*(BU74*$L$9+BV74*$N$9))/($B$11+$C$11+$D$11)</f>
        <v>0</v>
      </c>
      <c r="AN74">
        <v>3</v>
      </c>
      <c r="AO74">
        <v>0.5</v>
      </c>
      <c r="AP74" t="s">
        <v>331</v>
      </c>
      <c r="AQ74">
        <v>2</v>
      </c>
      <c r="AR74">
        <v>1773272276.099999</v>
      </c>
      <c r="AS74">
        <v>496.481</v>
      </c>
      <c r="AT74">
        <v>494.836064516129</v>
      </c>
      <c r="AU74">
        <v>9.225224838709678</v>
      </c>
      <c r="AV74">
        <v>8.490758387096774</v>
      </c>
      <c r="AW74">
        <v>489.9856451612903</v>
      </c>
      <c r="AX74">
        <v>9.166410000000001</v>
      </c>
      <c r="AY74">
        <v>499.9944838709677</v>
      </c>
      <c r="AZ74">
        <v>100.2339032258065</v>
      </c>
      <c r="BA74">
        <v>0.03426746129032258</v>
      </c>
      <c r="BB74">
        <v>25.00867741935484</v>
      </c>
      <c r="BC74">
        <v>25.03472580645161</v>
      </c>
      <c r="BD74">
        <v>999.9000000000003</v>
      </c>
      <c r="BE74">
        <v>0</v>
      </c>
      <c r="BF74">
        <v>0</v>
      </c>
      <c r="BG74">
        <v>4992.822580645161</v>
      </c>
      <c r="BH74">
        <v>1.430134193548387</v>
      </c>
      <c r="BI74">
        <v>351.2103225806451</v>
      </c>
      <c r="BJ74">
        <v>1.644969032258065</v>
      </c>
      <c r="BK74">
        <v>501.1038064516127</v>
      </c>
      <c r="BL74">
        <v>499.0736451612902</v>
      </c>
      <c r="BM74">
        <v>0.7344670645161288</v>
      </c>
      <c r="BN74">
        <v>494.836064516129</v>
      </c>
      <c r="BO74">
        <v>8.490758387096774</v>
      </c>
      <c r="BP74">
        <v>0.9246795806451611</v>
      </c>
      <c r="BQ74">
        <v>0.8510610967741935</v>
      </c>
      <c r="BR74">
        <v>5.780669032258064</v>
      </c>
      <c r="BS74">
        <v>4.588743225806451</v>
      </c>
      <c r="BT74">
        <v>0</v>
      </c>
      <c r="BU74">
        <v>0</v>
      </c>
      <c r="BV74">
        <v>0</v>
      </c>
      <c r="BW74">
        <v>26</v>
      </c>
      <c r="BX74">
        <v>30.94300322580645</v>
      </c>
      <c r="BY74">
        <v>1773268786.6</v>
      </c>
      <c r="BZ74" t="s">
        <v>332</v>
      </c>
      <c r="CA74">
        <v>1773268786.6</v>
      </c>
      <c r="CB74">
        <v>1773268774.1</v>
      </c>
      <c r="CC74">
        <v>2</v>
      </c>
      <c r="CD74">
        <v>0.264</v>
      </c>
      <c r="CE74">
        <v>-0.024</v>
      </c>
      <c r="CF74">
        <v>6.495</v>
      </c>
      <c r="CG74">
        <v>0.059</v>
      </c>
      <c r="CH74">
        <v>488</v>
      </c>
      <c r="CI74">
        <v>25</v>
      </c>
      <c r="CJ74">
        <v>0.48</v>
      </c>
      <c r="CK74">
        <v>0.14</v>
      </c>
      <c r="CL74">
        <v>494.836064516129</v>
      </c>
      <c r="CM74">
        <v>-1.604758064517487</v>
      </c>
      <c r="CN74">
        <v>0.1223305768449462</v>
      </c>
      <c r="CO74">
        <v>-1</v>
      </c>
      <c r="CP74">
        <v>499.9944838709677</v>
      </c>
      <c r="CQ74">
        <v>-0.1037903225814184</v>
      </c>
      <c r="CR74">
        <v>0.05135384583251312</v>
      </c>
      <c r="CS74">
        <v>-1</v>
      </c>
      <c r="CT74">
        <v>0</v>
      </c>
      <c r="CU74">
        <v>0</v>
      </c>
      <c r="CV74" t="s">
        <v>333</v>
      </c>
      <c r="CW74">
        <v>3.16939</v>
      </c>
      <c r="CX74">
        <v>2.65573</v>
      </c>
      <c r="CY74">
        <v>0.114562</v>
      </c>
      <c r="CZ74">
        <v>0.11544</v>
      </c>
      <c r="DA74">
        <v>0.0559903</v>
      </c>
      <c r="DB74">
        <v>0.0524447</v>
      </c>
      <c r="DC74">
        <v>21329.8</v>
      </c>
      <c r="DD74">
        <v>21820.6</v>
      </c>
      <c r="DE74">
        <v>23186.2</v>
      </c>
      <c r="DF74">
        <v>22557.9</v>
      </c>
      <c r="DG74">
        <v>33068.7</v>
      </c>
      <c r="DH74">
        <v>30153.7</v>
      </c>
      <c r="DI74">
        <v>40746.6</v>
      </c>
      <c r="DJ74">
        <v>37340.3</v>
      </c>
      <c r="DK74">
        <v>2.10858</v>
      </c>
      <c r="DL74">
        <v>1.75096</v>
      </c>
      <c r="DM74">
        <v>-0.0436246</v>
      </c>
      <c r="DN74">
        <v>0</v>
      </c>
      <c r="DO74">
        <v>25.7437</v>
      </c>
      <c r="DP74">
        <v>999.9</v>
      </c>
      <c r="DQ74">
        <v>64.8</v>
      </c>
      <c r="DR74">
        <v>28.5</v>
      </c>
      <c r="DS74">
        <v>25.2586</v>
      </c>
      <c r="DT74">
        <v>30.01</v>
      </c>
      <c r="DU74">
        <v>11.7228</v>
      </c>
      <c r="DV74">
        <v>1</v>
      </c>
      <c r="DW74">
        <v>0.112642</v>
      </c>
      <c r="DX74">
        <v>0.977057</v>
      </c>
      <c r="DY74">
        <v>20.3647</v>
      </c>
      <c r="DZ74">
        <v>5.21082</v>
      </c>
      <c r="EA74">
        <v>11.8482</v>
      </c>
      <c r="EB74">
        <v>4.96856</v>
      </c>
      <c r="EC74">
        <v>3.29204</v>
      </c>
      <c r="ED74">
        <v>879.4</v>
      </c>
      <c r="EE74">
        <v>9999</v>
      </c>
      <c r="EF74">
        <v>9999</v>
      </c>
      <c r="EG74">
        <v>81.09999999999999</v>
      </c>
      <c r="EH74">
        <v>4.97157</v>
      </c>
      <c r="EI74">
        <v>1.8718</v>
      </c>
      <c r="EJ74">
        <v>1.86891</v>
      </c>
      <c r="EK74">
        <v>1.87135</v>
      </c>
      <c r="EL74">
        <v>1.86905</v>
      </c>
      <c r="EM74">
        <v>1.86805</v>
      </c>
      <c r="EN74">
        <v>1.86987</v>
      </c>
      <c r="EO74">
        <v>1.87166</v>
      </c>
      <c r="EP74">
        <v>0</v>
      </c>
      <c r="EQ74">
        <v>0</v>
      </c>
      <c r="ER74">
        <v>0</v>
      </c>
      <c r="ES74">
        <v>0</v>
      </c>
      <c r="ET74" t="s">
        <v>334</v>
      </c>
      <c r="EU74" t="s">
        <v>335</v>
      </c>
      <c r="EV74" t="s">
        <v>336</v>
      </c>
      <c r="EW74" t="s">
        <v>336</v>
      </c>
      <c r="EX74" t="s">
        <v>336</v>
      </c>
      <c r="EY74" t="s">
        <v>336</v>
      </c>
      <c r="EZ74">
        <v>0</v>
      </c>
      <c r="FA74">
        <v>100</v>
      </c>
      <c r="FB74">
        <v>100</v>
      </c>
      <c r="FC74">
        <v>6.495</v>
      </c>
      <c r="FD74">
        <v>0.0588</v>
      </c>
      <c r="FE74">
        <v>6.495476190476325</v>
      </c>
      <c r="FF74">
        <v>0</v>
      </c>
      <c r="FG74">
        <v>0</v>
      </c>
      <c r="FH74">
        <v>0</v>
      </c>
      <c r="FI74">
        <v>0.05881499999999917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58.3</v>
      </c>
      <c r="FR74">
        <v>58.5</v>
      </c>
      <c r="FS74">
        <v>0.145264</v>
      </c>
      <c r="FT74">
        <v>4.99756</v>
      </c>
      <c r="FU74">
        <v>1.5979</v>
      </c>
      <c r="FV74">
        <v>2.16187</v>
      </c>
      <c r="FW74">
        <v>1.54785</v>
      </c>
      <c r="FX74">
        <v>2.39258</v>
      </c>
      <c r="FY74">
        <v>33.558</v>
      </c>
      <c r="FZ74">
        <v>16.0496</v>
      </c>
      <c r="GA74">
        <v>3</v>
      </c>
      <c r="GB74">
        <v>499.804</v>
      </c>
      <c r="GC74">
        <v>370.183</v>
      </c>
      <c r="GD74">
        <v>24.5483</v>
      </c>
      <c r="GE74">
        <v>28.6024</v>
      </c>
      <c r="GF74">
        <v>30.0006</v>
      </c>
      <c r="GG74">
        <v>28.4446</v>
      </c>
      <c r="GH74">
        <v>28.4212</v>
      </c>
      <c r="GI74">
        <v>-1</v>
      </c>
      <c r="GJ74">
        <v>100</v>
      </c>
      <c r="GK74">
        <v>0</v>
      </c>
      <c r="GL74">
        <v>24.5408</v>
      </c>
      <c r="GM74">
        <v>1200</v>
      </c>
      <c r="GN74">
        <v>26.7455</v>
      </c>
      <c r="GO74">
        <v>102.568</v>
      </c>
      <c r="GP74">
        <v>97.4778</v>
      </c>
    </row>
    <row r="75" spans="1:198">
      <c r="A75">
        <v>59</v>
      </c>
      <c r="B75">
        <v>1773272344.1</v>
      </c>
      <c r="C75">
        <v>3480.5</v>
      </c>
      <c r="D75" t="s">
        <v>451</v>
      </c>
      <c r="E75" t="s">
        <v>452</v>
      </c>
      <c r="F75">
        <v>15</v>
      </c>
      <c r="G75">
        <v>1773272336.099999</v>
      </c>
      <c r="H75">
        <f>(I75)/1000</f>
        <v>0</v>
      </c>
      <c r="I75">
        <f>1000*AY75*AG75*(AU75-AV75)/(100*AN75*(1000-AG75*AU75))</f>
        <v>0</v>
      </c>
      <c r="J75">
        <f>AY75*AG75*(AT75-AS75*(1000-AG75*AV75)/(1000-AG75*AU75))/(100*AN75)</f>
        <v>0</v>
      </c>
      <c r="K75">
        <f>AS75 - IF(AG75&gt;1, J75*AN75*100.0/(AI75), 0)</f>
        <v>0</v>
      </c>
      <c r="L75">
        <f>((R75-H75/2)*K75-J75)/(R75+H75/2)</f>
        <v>0</v>
      </c>
      <c r="M75">
        <f>L75*(AZ75+BA75)/1000.0</f>
        <v>0</v>
      </c>
      <c r="N75">
        <f>(AS75 - IF(AG75&gt;1, J75*AN75*100.0/(AI75), 0))*(AZ75+BA75)/1000.0</f>
        <v>0</v>
      </c>
      <c r="O75">
        <f>2.0/((1/Q75-1/P75)+SIGN(Q75)*SQRT((1/Q75-1/P75)*(1/Q75-1/P75) + 4*AO75/((AO75+1)*(AO75+1))*(2*1/Q75*1/P75-1/P75*1/P75)))</f>
        <v>0</v>
      </c>
      <c r="P75">
        <f>IF(LEFT(AP75,1)&lt;&gt;"0",IF(LEFT(AP75,1)="1",3.0,AQ75),$D$5+$E$5*(BG75*AZ75/($K$5*1000))+$F$5*(BG75*AZ75/($K$5*1000))*MAX(MIN(AN75,$J$5),$I$5)*MAX(MIN(AN75,$J$5),$I$5)+$G$5*MAX(MIN(AN75,$J$5),$I$5)*(BG75*AZ75/($K$5*1000))+$H$5*(BG75*AZ75/($K$5*1000))*(BG75*AZ75/($K$5*1000)))</f>
        <v>0</v>
      </c>
      <c r="Q75">
        <f>H75*(1000-(1000*0.61365*exp(17.502*U75/(240.97+U75))/(AZ75+BA75)+AU75)/2)/(1000*0.61365*exp(17.502*U75/(240.97+U75))/(AZ75+BA75)-AU75)</f>
        <v>0</v>
      </c>
      <c r="R75">
        <f>1/((AO75+1)/(O75/1.6)+1/(P75/1.37)) + AO75/((AO75+1)/(O75/1.6) + AO75/(P75/1.37))</f>
        <v>0</v>
      </c>
      <c r="S75">
        <f>(AJ75*AM75)</f>
        <v>0</v>
      </c>
      <c r="T75">
        <f>(BB75+(S75+2*0.95*5.67E-8*(((BB75+$B$7)+273)^4-(BB75+273)^4)-44100*H75)/(1.84*29.3*P75+8*0.95*5.67E-8*(BB75+273)^3))</f>
        <v>0</v>
      </c>
      <c r="U75">
        <f>($C$7*BC75+$D$7*BD75+$E$7*T75)</f>
        <v>0</v>
      </c>
      <c r="V75">
        <f>0.61365*exp(17.502*U75/(240.97+U75))</f>
        <v>0</v>
      </c>
      <c r="W75">
        <f>(X75/Y75*100)</f>
        <v>0</v>
      </c>
      <c r="X75">
        <f>AU75*(AZ75+BA75)/1000</f>
        <v>0</v>
      </c>
      <c r="Y75">
        <f>0.61365*exp(17.502*BB75/(240.97+BB75))</f>
        <v>0</v>
      </c>
      <c r="Z75">
        <f>(V75-AU75*(AZ75+BA75)/1000)</f>
        <v>0</v>
      </c>
      <c r="AA75">
        <f>(-H75*44100)</f>
        <v>0</v>
      </c>
      <c r="AB75">
        <f>2*29.3*P75*0.92*(BB75-U75)</f>
        <v>0</v>
      </c>
      <c r="AC75">
        <f>2*0.95*5.67E-8*(((BB75+$B$7)+273)^4-(U75+273)^4)</f>
        <v>0</v>
      </c>
      <c r="AD75">
        <f>S75+AC75+AA75+AB75</f>
        <v>0</v>
      </c>
      <c r="AE75">
        <v>3</v>
      </c>
      <c r="AF75">
        <v>1</v>
      </c>
      <c r="AG75">
        <f>IF(AE75*$H$13&gt;=AI75,1.0,(AI75/(AI75-AE75*$H$13)))</f>
        <v>0</v>
      </c>
      <c r="AH75">
        <f>(AG75-1)*100</f>
        <v>0</v>
      </c>
      <c r="AI75">
        <f>MAX(0,($B$13+$C$13*BG75)/(1+$D$13*BG75)*AZ75/(BB75+273)*$E$13)</f>
        <v>0</v>
      </c>
      <c r="AJ75">
        <f>$B$11*BH75+$C$11*BI75+$D$11*BT75</f>
        <v>0</v>
      </c>
      <c r="AK75">
        <f>AJ75*AL75</f>
        <v>0</v>
      </c>
      <c r="AL75">
        <f>($B$11*$D$9+$C$11*$D$9+$D$11*(BU75*$E$9+BV75*$G$9))/($B$11+$C$11+$D$11)</f>
        <v>0</v>
      </c>
      <c r="AM75">
        <f>($B$11*$K$9+$C$11*$K$9+$D$11*(BU75*$L$9+BV75*$N$9))/($B$11+$C$11+$D$11)</f>
        <v>0</v>
      </c>
      <c r="AN75">
        <v>3</v>
      </c>
      <c r="AO75">
        <v>0.5</v>
      </c>
      <c r="AP75" t="s">
        <v>331</v>
      </c>
      <c r="AQ75">
        <v>2</v>
      </c>
      <c r="AR75">
        <v>1773272336.099999</v>
      </c>
      <c r="AS75">
        <v>497.3314838709678</v>
      </c>
      <c r="AT75">
        <v>496.2887096774193</v>
      </c>
      <c r="AU75">
        <v>9.290827741935482</v>
      </c>
      <c r="AV75">
        <v>8.55568741935484</v>
      </c>
      <c r="AW75">
        <v>490.8359354838709</v>
      </c>
      <c r="AX75">
        <v>9.232014516129032</v>
      </c>
      <c r="AY75">
        <v>499.9879032258065</v>
      </c>
      <c r="AZ75">
        <v>100.2349677419355</v>
      </c>
      <c r="BA75">
        <v>0.03462179032258065</v>
      </c>
      <c r="BB75">
        <v>24.98184516129032</v>
      </c>
      <c r="BC75">
        <v>24.99567419354839</v>
      </c>
      <c r="BD75">
        <v>999.9000000000003</v>
      </c>
      <c r="BE75">
        <v>0</v>
      </c>
      <c r="BF75">
        <v>0</v>
      </c>
      <c r="BG75">
        <v>4995.967741935484</v>
      </c>
      <c r="BH75">
        <v>1.30584870967742</v>
      </c>
      <c r="BI75">
        <v>327.3650967741936</v>
      </c>
      <c r="BJ75">
        <v>1.042808903225807</v>
      </c>
      <c r="BK75">
        <v>501.9955161290323</v>
      </c>
      <c r="BL75">
        <v>500.5713870967742</v>
      </c>
      <c r="BM75">
        <v>0.7351402258064516</v>
      </c>
      <c r="BN75">
        <v>496.2887096774193</v>
      </c>
      <c r="BO75">
        <v>8.55568741935484</v>
      </c>
      <c r="BP75">
        <v>0.9312670645161291</v>
      </c>
      <c r="BQ75">
        <v>0.8575802903225807</v>
      </c>
      <c r="BR75">
        <v>5.883197419354838</v>
      </c>
      <c r="BS75">
        <v>4.697895161290322</v>
      </c>
      <c r="BT75">
        <v>0</v>
      </c>
      <c r="BU75">
        <v>0</v>
      </c>
      <c r="BV75">
        <v>0</v>
      </c>
      <c r="BW75">
        <v>26</v>
      </c>
      <c r="BX75">
        <v>27</v>
      </c>
      <c r="BY75">
        <v>1773268786.6</v>
      </c>
      <c r="BZ75" t="s">
        <v>332</v>
      </c>
      <c r="CA75">
        <v>1773268786.6</v>
      </c>
      <c r="CB75">
        <v>1773268774.1</v>
      </c>
      <c r="CC75">
        <v>2</v>
      </c>
      <c r="CD75">
        <v>0.264</v>
      </c>
      <c r="CE75">
        <v>-0.024</v>
      </c>
      <c r="CF75">
        <v>6.495</v>
      </c>
      <c r="CG75">
        <v>0.059</v>
      </c>
      <c r="CH75">
        <v>488</v>
      </c>
      <c r="CI75">
        <v>25</v>
      </c>
      <c r="CJ75">
        <v>0.48</v>
      </c>
      <c r="CK75">
        <v>0.14</v>
      </c>
      <c r="CL75">
        <v>496.2736333333332</v>
      </c>
      <c r="CM75">
        <v>3.007208008897898</v>
      </c>
      <c r="CN75">
        <v>0.2262296006764465</v>
      </c>
      <c r="CO75">
        <v>-1</v>
      </c>
      <c r="CP75">
        <v>499.989</v>
      </c>
      <c r="CQ75">
        <v>0.1330545050055688</v>
      </c>
      <c r="CR75">
        <v>0.04057503337439504</v>
      </c>
      <c r="CS75">
        <v>-1</v>
      </c>
      <c r="CT75">
        <v>0</v>
      </c>
      <c r="CU75">
        <v>0</v>
      </c>
      <c r="CV75" t="s">
        <v>333</v>
      </c>
      <c r="CW75">
        <v>3.16945</v>
      </c>
      <c r="CX75">
        <v>2.65567</v>
      </c>
      <c r="CY75">
        <v>0.114792</v>
      </c>
      <c r="CZ75">
        <v>0.115802</v>
      </c>
      <c r="DA75">
        <v>0.0562865</v>
      </c>
      <c r="DB75">
        <v>0.0527502</v>
      </c>
      <c r="DC75">
        <v>21321.4</v>
      </c>
      <c r="DD75">
        <v>21809.2</v>
      </c>
      <c r="DE75">
        <v>23183.4</v>
      </c>
      <c r="DF75">
        <v>22555.5</v>
      </c>
      <c r="DG75">
        <v>33054.5</v>
      </c>
      <c r="DH75">
        <v>30140.4</v>
      </c>
      <c r="DI75">
        <v>40742.1</v>
      </c>
      <c r="DJ75">
        <v>37336.1</v>
      </c>
      <c r="DK75">
        <v>2.1082</v>
      </c>
      <c r="DL75">
        <v>1.74856</v>
      </c>
      <c r="DM75">
        <v>-0.0444829</v>
      </c>
      <c r="DN75">
        <v>0</v>
      </c>
      <c r="DO75">
        <v>25.7168</v>
      </c>
      <c r="DP75">
        <v>999.9</v>
      </c>
      <c r="DQ75">
        <v>64.5</v>
      </c>
      <c r="DR75">
        <v>28.6</v>
      </c>
      <c r="DS75">
        <v>25.2883</v>
      </c>
      <c r="DT75">
        <v>30.34</v>
      </c>
      <c r="DU75">
        <v>11.5705</v>
      </c>
      <c r="DV75">
        <v>1</v>
      </c>
      <c r="DW75">
        <v>0.117697</v>
      </c>
      <c r="DX75">
        <v>0.8001</v>
      </c>
      <c r="DY75">
        <v>20.3659</v>
      </c>
      <c r="DZ75">
        <v>5.21094</v>
      </c>
      <c r="EA75">
        <v>11.8482</v>
      </c>
      <c r="EB75">
        <v>4.96772</v>
      </c>
      <c r="EC75">
        <v>3.29206</v>
      </c>
      <c r="ED75">
        <v>879.4</v>
      </c>
      <c r="EE75">
        <v>9999</v>
      </c>
      <c r="EF75">
        <v>9999</v>
      </c>
      <c r="EG75">
        <v>81.09999999999999</v>
      </c>
      <c r="EH75">
        <v>4.97157</v>
      </c>
      <c r="EI75">
        <v>1.8718</v>
      </c>
      <c r="EJ75">
        <v>1.86892</v>
      </c>
      <c r="EK75">
        <v>1.87134</v>
      </c>
      <c r="EL75">
        <v>1.86906</v>
      </c>
      <c r="EM75">
        <v>1.86804</v>
      </c>
      <c r="EN75">
        <v>1.86993</v>
      </c>
      <c r="EO75">
        <v>1.87168</v>
      </c>
      <c r="EP75">
        <v>0</v>
      </c>
      <c r="EQ75">
        <v>0</v>
      </c>
      <c r="ER75">
        <v>0</v>
      </c>
      <c r="ES75">
        <v>0</v>
      </c>
      <c r="ET75" t="s">
        <v>334</v>
      </c>
      <c r="EU75" t="s">
        <v>335</v>
      </c>
      <c r="EV75" t="s">
        <v>336</v>
      </c>
      <c r="EW75" t="s">
        <v>336</v>
      </c>
      <c r="EX75" t="s">
        <v>336</v>
      </c>
      <c r="EY75" t="s">
        <v>336</v>
      </c>
      <c r="EZ75">
        <v>0</v>
      </c>
      <c r="FA75">
        <v>100</v>
      </c>
      <c r="FB75">
        <v>100</v>
      </c>
      <c r="FC75">
        <v>6.496</v>
      </c>
      <c r="FD75">
        <v>0.0588</v>
      </c>
      <c r="FE75">
        <v>6.495476190476325</v>
      </c>
      <c r="FF75">
        <v>0</v>
      </c>
      <c r="FG75">
        <v>0</v>
      </c>
      <c r="FH75">
        <v>0</v>
      </c>
      <c r="FI75">
        <v>0.05881499999999917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59.3</v>
      </c>
      <c r="FR75">
        <v>59.5</v>
      </c>
      <c r="FS75">
        <v>0.145264</v>
      </c>
      <c r="FT75">
        <v>4.99756</v>
      </c>
      <c r="FU75">
        <v>1.5979</v>
      </c>
      <c r="FV75">
        <v>2.16187</v>
      </c>
      <c r="FW75">
        <v>1.54785</v>
      </c>
      <c r="FX75">
        <v>2.44507</v>
      </c>
      <c r="FY75">
        <v>33.693</v>
      </c>
      <c r="FZ75">
        <v>16.0583</v>
      </c>
      <c r="GA75">
        <v>3</v>
      </c>
      <c r="GB75">
        <v>500.121</v>
      </c>
      <c r="GC75">
        <v>369.311</v>
      </c>
      <c r="GD75">
        <v>24.6121</v>
      </c>
      <c r="GE75">
        <v>28.668</v>
      </c>
      <c r="GF75">
        <v>30.0003</v>
      </c>
      <c r="GG75">
        <v>28.5123</v>
      </c>
      <c r="GH75">
        <v>28.4869</v>
      </c>
      <c r="GI75">
        <v>-1</v>
      </c>
      <c r="GJ75">
        <v>100</v>
      </c>
      <c r="GK75">
        <v>0</v>
      </c>
      <c r="GL75">
        <v>24.6322</v>
      </c>
      <c r="GM75">
        <v>1200</v>
      </c>
      <c r="GN75">
        <v>26.7455</v>
      </c>
      <c r="GO75">
        <v>102.556</v>
      </c>
      <c r="GP75">
        <v>97.46720000000001</v>
      </c>
    </row>
    <row r="76" spans="1:198">
      <c r="A76">
        <v>60</v>
      </c>
      <c r="B76">
        <v>1773272404.1</v>
      </c>
      <c r="C76">
        <v>3540.5</v>
      </c>
      <c r="D76" t="s">
        <v>453</v>
      </c>
      <c r="E76" t="s">
        <v>454</v>
      </c>
      <c r="F76">
        <v>15</v>
      </c>
      <c r="G76">
        <v>1773272396.099999</v>
      </c>
      <c r="H76">
        <f>(I76)/1000</f>
        <v>0</v>
      </c>
      <c r="I76">
        <f>1000*AY76*AG76*(AU76-AV76)/(100*AN76*(1000-AG76*AU76))</f>
        <v>0</v>
      </c>
      <c r="J76">
        <f>AY76*AG76*(AT76-AS76*(1000-AG76*AV76)/(1000-AG76*AU76))/(100*AN76)</f>
        <v>0</v>
      </c>
      <c r="K76">
        <f>AS76 - IF(AG76&gt;1, J76*AN76*100.0/(AI76), 0)</f>
        <v>0</v>
      </c>
      <c r="L76">
        <f>((R76-H76/2)*K76-J76)/(R76+H76/2)</f>
        <v>0</v>
      </c>
      <c r="M76">
        <f>L76*(AZ76+BA76)/1000.0</f>
        <v>0</v>
      </c>
      <c r="N76">
        <f>(AS76 - IF(AG76&gt;1, J76*AN76*100.0/(AI76), 0))*(AZ76+BA76)/1000.0</f>
        <v>0</v>
      </c>
      <c r="O76">
        <f>2.0/((1/Q76-1/P76)+SIGN(Q76)*SQRT((1/Q76-1/P76)*(1/Q76-1/P76) + 4*AO76/((AO76+1)*(AO76+1))*(2*1/Q76*1/P76-1/P76*1/P76)))</f>
        <v>0</v>
      </c>
      <c r="P76">
        <f>IF(LEFT(AP76,1)&lt;&gt;"0",IF(LEFT(AP76,1)="1",3.0,AQ76),$D$5+$E$5*(BG76*AZ76/($K$5*1000))+$F$5*(BG76*AZ76/($K$5*1000))*MAX(MIN(AN76,$J$5),$I$5)*MAX(MIN(AN76,$J$5),$I$5)+$G$5*MAX(MIN(AN76,$J$5),$I$5)*(BG76*AZ76/($K$5*1000))+$H$5*(BG76*AZ76/($K$5*1000))*(BG76*AZ76/($K$5*1000)))</f>
        <v>0</v>
      </c>
      <c r="Q76">
        <f>H76*(1000-(1000*0.61365*exp(17.502*U76/(240.97+U76))/(AZ76+BA76)+AU76)/2)/(1000*0.61365*exp(17.502*U76/(240.97+U76))/(AZ76+BA76)-AU76)</f>
        <v>0</v>
      </c>
      <c r="R76">
        <f>1/((AO76+1)/(O76/1.6)+1/(P76/1.37)) + AO76/((AO76+1)/(O76/1.6) + AO76/(P76/1.37))</f>
        <v>0</v>
      </c>
      <c r="S76">
        <f>(AJ76*AM76)</f>
        <v>0</v>
      </c>
      <c r="T76">
        <f>(BB76+(S76+2*0.95*5.67E-8*(((BB76+$B$7)+273)^4-(BB76+273)^4)-44100*H76)/(1.84*29.3*P76+8*0.95*5.67E-8*(BB76+273)^3))</f>
        <v>0</v>
      </c>
      <c r="U76">
        <f>($C$7*BC76+$D$7*BD76+$E$7*T76)</f>
        <v>0</v>
      </c>
      <c r="V76">
        <f>0.61365*exp(17.502*U76/(240.97+U76))</f>
        <v>0</v>
      </c>
      <c r="W76">
        <f>(X76/Y76*100)</f>
        <v>0</v>
      </c>
      <c r="X76">
        <f>AU76*(AZ76+BA76)/1000</f>
        <v>0</v>
      </c>
      <c r="Y76">
        <f>0.61365*exp(17.502*BB76/(240.97+BB76))</f>
        <v>0</v>
      </c>
      <c r="Z76">
        <f>(V76-AU76*(AZ76+BA76)/1000)</f>
        <v>0</v>
      </c>
      <c r="AA76">
        <f>(-H76*44100)</f>
        <v>0</v>
      </c>
      <c r="AB76">
        <f>2*29.3*P76*0.92*(BB76-U76)</f>
        <v>0</v>
      </c>
      <c r="AC76">
        <f>2*0.95*5.67E-8*(((BB76+$B$7)+273)^4-(U76+273)^4)</f>
        <v>0</v>
      </c>
      <c r="AD76">
        <f>S76+AC76+AA76+AB76</f>
        <v>0</v>
      </c>
      <c r="AE76">
        <v>2</v>
      </c>
      <c r="AF76">
        <v>0</v>
      </c>
      <c r="AG76">
        <f>IF(AE76*$H$13&gt;=AI76,1.0,(AI76/(AI76-AE76*$H$13)))</f>
        <v>0</v>
      </c>
      <c r="AH76">
        <f>(AG76-1)*100</f>
        <v>0</v>
      </c>
      <c r="AI76">
        <f>MAX(0,($B$13+$C$13*BG76)/(1+$D$13*BG76)*AZ76/(BB76+273)*$E$13)</f>
        <v>0</v>
      </c>
      <c r="AJ76">
        <f>$B$11*BH76+$C$11*BI76+$D$11*BT76</f>
        <v>0</v>
      </c>
      <c r="AK76">
        <f>AJ76*AL76</f>
        <v>0</v>
      </c>
      <c r="AL76">
        <f>($B$11*$D$9+$C$11*$D$9+$D$11*(BU76*$E$9+BV76*$G$9))/($B$11+$C$11+$D$11)</f>
        <v>0</v>
      </c>
      <c r="AM76">
        <f>($B$11*$K$9+$C$11*$K$9+$D$11*(BU76*$L$9+BV76*$N$9))/($B$11+$C$11+$D$11)</f>
        <v>0</v>
      </c>
      <c r="AN76">
        <v>3</v>
      </c>
      <c r="AO76">
        <v>0.5</v>
      </c>
      <c r="AP76" t="s">
        <v>331</v>
      </c>
      <c r="AQ76">
        <v>2</v>
      </c>
      <c r="AR76">
        <v>1773272396.099999</v>
      </c>
      <c r="AS76">
        <v>498.8807741935483</v>
      </c>
      <c r="AT76">
        <v>497.4519999999999</v>
      </c>
      <c r="AU76">
        <v>9.350646451612905</v>
      </c>
      <c r="AV76">
        <v>8.611623225806452</v>
      </c>
      <c r="AW76">
        <v>492.3854516129032</v>
      </c>
      <c r="AX76">
        <v>9.291829677419356</v>
      </c>
      <c r="AY76">
        <v>500.0017096774193</v>
      </c>
      <c r="AZ76">
        <v>100.2360322580645</v>
      </c>
      <c r="BA76">
        <v>0.0346435870967742</v>
      </c>
      <c r="BB76">
        <v>24.98701612903226</v>
      </c>
      <c r="BC76">
        <v>24.97796129032258</v>
      </c>
      <c r="BD76">
        <v>999.9000000000003</v>
      </c>
      <c r="BE76">
        <v>0</v>
      </c>
      <c r="BF76">
        <v>0</v>
      </c>
      <c r="BG76">
        <v>4994.258064516129</v>
      </c>
      <c r="BH76">
        <v>1.409114516129032</v>
      </c>
      <c r="BI76">
        <v>360.2607419354839</v>
      </c>
      <c r="BJ76">
        <v>1.428788387096774</v>
      </c>
      <c r="BK76">
        <v>503.5897741935484</v>
      </c>
      <c r="BL76">
        <v>501.7732258064515</v>
      </c>
      <c r="BM76">
        <v>0.739022</v>
      </c>
      <c r="BN76">
        <v>497.4519999999999</v>
      </c>
      <c r="BO76">
        <v>8.611623225806452</v>
      </c>
      <c r="BP76">
        <v>0.937271387096774</v>
      </c>
      <c r="BQ76">
        <v>0.8631948387096775</v>
      </c>
      <c r="BR76">
        <v>5.976088709677418</v>
      </c>
      <c r="BS76">
        <v>4.791313870967741</v>
      </c>
      <c r="BT76">
        <v>0</v>
      </c>
      <c r="BU76">
        <v>0</v>
      </c>
      <c r="BV76">
        <v>0</v>
      </c>
      <c r="BW76">
        <v>26</v>
      </c>
      <c r="BX76">
        <v>30</v>
      </c>
      <c r="BY76">
        <v>1773268786.6</v>
      </c>
      <c r="BZ76" t="s">
        <v>332</v>
      </c>
      <c r="CA76">
        <v>1773268786.6</v>
      </c>
      <c r="CB76">
        <v>1773268774.1</v>
      </c>
      <c r="CC76">
        <v>2</v>
      </c>
      <c r="CD76">
        <v>0.264</v>
      </c>
      <c r="CE76">
        <v>-0.024</v>
      </c>
      <c r="CF76">
        <v>6.495</v>
      </c>
      <c r="CG76">
        <v>0.059</v>
      </c>
      <c r="CH76">
        <v>488</v>
      </c>
      <c r="CI76">
        <v>25</v>
      </c>
      <c r="CJ76">
        <v>0.48</v>
      </c>
      <c r="CK76">
        <v>0.14</v>
      </c>
      <c r="CL76">
        <v>497.4584999999999</v>
      </c>
      <c r="CM76">
        <v>-1.025486095662087</v>
      </c>
      <c r="CN76">
        <v>0.08594794936471221</v>
      </c>
      <c r="CO76">
        <v>-1</v>
      </c>
      <c r="CP76">
        <v>500.0014666666666</v>
      </c>
      <c r="CQ76">
        <v>0.2762002224688477</v>
      </c>
      <c r="CR76">
        <v>0.04693096584937848</v>
      </c>
      <c r="CS76">
        <v>-1</v>
      </c>
      <c r="CT76">
        <v>0</v>
      </c>
      <c r="CU76">
        <v>0</v>
      </c>
      <c r="CV76" t="s">
        <v>333</v>
      </c>
      <c r="CW76">
        <v>3.1696</v>
      </c>
      <c r="CX76">
        <v>2.65595</v>
      </c>
      <c r="CY76">
        <v>0.114973</v>
      </c>
      <c r="CZ76">
        <v>0.115874</v>
      </c>
      <c r="DA76">
        <v>0.0565672</v>
      </c>
      <c r="DB76">
        <v>0.0530178</v>
      </c>
      <c r="DC76">
        <v>21315.5</v>
      </c>
      <c r="DD76">
        <v>21806.8</v>
      </c>
      <c r="DE76">
        <v>23182</v>
      </c>
      <c r="DF76">
        <v>22555</v>
      </c>
      <c r="DG76">
        <v>33042.9</v>
      </c>
      <c r="DH76">
        <v>30130.9</v>
      </c>
      <c r="DI76">
        <v>40740</v>
      </c>
      <c r="DJ76">
        <v>37335</v>
      </c>
      <c r="DK76">
        <v>2.10786</v>
      </c>
      <c r="DL76">
        <v>1.74688</v>
      </c>
      <c r="DM76">
        <v>-0.0401676</v>
      </c>
      <c r="DN76">
        <v>0</v>
      </c>
      <c r="DO76">
        <v>25.6269</v>
      </c>
      <c r="DP76">
        <v>999.9</v>
      </c>
      <c r="DQ76">
        <v>64.40000000000001</v>
      </c>
      <c r="DR76">
        <v>28.7</v>
      </c>
      <c r="DS76">
        <v>25.3952</v>
      </c>
      <c r="DT76">
        <v>30.52</v>
      </c>
      <c r="DU76">
        <v>11.4623</v>
      </c>
      <c r="DV76">
        <v>1</v>
      </c>
      <c r="DW76">
        <v>0.119776</v>
      </c>
      <c r="DX76">
        <v>0.673251</v>
      </c>
      <c r="DY76">
        <v>20.3668</v>
      </c>
      <c r="DZ76">
        <v>5.21022</v>
      </c>
      <c r="EA76">
        <v>11.8482</v>
      </c>
      <c r="EB76">
        <v>4.96776</v>
      </c>
      <c r="EC76">
        <v>3.29204</v>
      </c>
      <c r="ED76">
        <v>879.4</v>
      </c>
      <c r="EE76">
        <v>9999</v>
      </c>
      <c r="EF76">
        <v>9999</v>
      </c>
      <c r="EG76">
        <v>81.09999999999999</v>
      </c>
      <c r="EH76">
        <v>4.9716</v>
      </c>
      <c r="EI76">
        <v>1.8718</v>
      </c>
      <c r="EJ76">
        <v>1.86891</v>
      </c>
      <c r="EK76">
        <v>1.87135</v>
      </c>
      <c r="EL76">
        <v>1.86905</v>
      </c>
      <c r="EM76">
        <v>1.86803</v>
      </c>
      <c r="EN76">
        <v>1.86994</v>
      </c>
      <c r="EO76">
        <v>1.87168</v>
      </c>
      <c r="EP76">
        <v>0</v>
      </c>
      <c r="EQ76">
        <v>0</v>
      </c>
      <c r="ER76">
        <v>0</v>
      </c>
      <c r="ES76">
        <v>0</v>
      </c>
      <c r="ET76" t="s">
        <v>334</v>
      </c>
      <c r="EU76" t="s">
        <v>335</v>
      </c>
      <c r="EV76" t="s">
        <v>336</v>
      </c>
      <c r="EW76" t="s">
        <v>336</v>
      </c>
      <c r="EX76" t="s">
        <v>336</v>
      </c>
      <c r="EY76" t="s">
        <v>336</v>
      </c>
      <c r="EZ76">
        <v>0</v>
      </c>
      <c r="FA76">
        <v>100</v>
      </c>
      <c r="FB76">
        <v>100</v>
      </c>
      <c r="FC76">
        <v>6.496</v>
      </c>
      <c r="FD76">
        <v>0.0588</v>
      </c>
      <c r="FE76">
        <v>6.495476190476325</v>
      </c>
      <c r="FF76">
        <v>0</v>
      </c>
      <c r="FG76">
        <v>0</v>
      </c>
      <c r="FH76">
        <v>0</v>
      </c>
      <c r="FI76">
        <v>0.05881499999999917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60.3</v>
      </c>
      <c r="FR76">
        <v>60.5</v>
      </c>
      <c r="FS76">
        <v>0.144043</v>
      </c>
      <c r="FT76">
        <v>4.99756</v>
      </c>
      <c r="FU76">
        <v>1.5979</v>
      </c>
      <c r="FV76">
        <v>2.16064</v>
      </c>
      <c r="FW76">
        <v>1.54785</v>
      </c>
      <c r="FX76">
        <v>2.40479</v>
      </c>
      <c r="FY76">
        <v>33.8057</v>
      </c>
      <c r="FZ76">
        <v>16.0496</v>
      </c>
      <c r="GA76">
        <v>3</v>
      </c>
      <c r="GB76">
        <v>500.308</v>
      </c>
      <c r="GC76">
        <v>368.719</v>
      </c>
      <c r="GD76">
        <v>24.7996</v>
      </c>
      <c r="GE76">
        <v>28.7064</v>
      </c>
      <c r="GF76">
        <v>30.0003</v>
      </c>
      <c r="GG76">
        <v>28.5606</v>
      </c>
      <c r="GH76">
        <v>28.5359</v>
      </c>
      <c r="GI76">
        <v>-1</v>
      </c>
      <c r="GJ76">
        <v>100</v>
      </c>
      <c r="GK76">
        <v>0</v>
      </c>
      <c r="GL76">
        <v>24.8066</v>
      </c>
      <c r="GM76">
        <v>1200</v>
      </c>
      <c r="GN76">
        <v>26.7455</v>
      </c>
      <c r="GO76">
        <v>102.55</v>
      </c>
      <c r="GP76">
        <v>97.4645</v>
      </c>
    </row>
    <row r="77" spans="1:198">
      <c r="A77">
        <v>61</v>
      </c>
      <c r="B77">
        <v>1773272464.1</v>
      </c>
      <c r="C77">
        <v>3600.5</v>
      </c>
      <c r="D77" t="s">
        <v>455</v>
      </c>
      <c r="E77" t="s">
        <v>456</v>
      </c>
      <c r="F77">
        <v>15</v>
      </c>
      <c r="G77">
        <v>1773272456.099999</v>
      </c>
      <c r="H77">
        <f>(I77)/1000</f>
        <v>0</v>
      </c>
      <c r="I77">
        <f>1000*AY77*AG77*(AU77-AV77)/(100*AN77*(1000-AG77*AU77))</f>
        <v>0</v>
      </c>
      <c r="J77">
        <f>AY77*AG77*(AT77-AS77*(1000-AG77*AV77)/(1000-AG77*AU77))/(100*AN77)</f>
        <v>0</v>
      </c>
      <c r="K77">
        <f>AS77 - IF(AG77&gt;1, J77*AN77*100.0/(AI77), 0)</f>
        <v>0</v>
      </c>
      <c r="L77">
        <f>((R77-H77/2)*K77-J77)/(R77+H77/2)</f>
        <v>0</v>
      </c>
      <c r="M77">
        <f>L77*(AZ77+BA77)/1000.0</f>
        <v>0</v>
      </c>
      <c r="N77">
        <f>(AS77 - IF(AG77&gt;1, J77*AN77*100.0/(AI77), 0))*(AZ77+BA77)/1000.0</f>
        <v>0</v>
      </c>
      <c r="O77">
        <f>2.0/((1/Q77-1/P77)+SIGN(Q77)*SQRT((1/Q77-1/P77)*(1/Q77-1/P77) + 4*AO77/((AO77+1)*(AO77+1))*(2*1/Q77*1/P77-1/P77*1/P77)))</f>
        <v>0</v>
      </c>
      <c r="P77">
        <f>IF(LEFT(AP77,1)&lt;&gt;"0",IF(LEFT(AP77,1)="1",3.0,AQ77),$D$5+$E$5*(BG77*AZ77/($K$5*1000))+$F$5*(BG77*AZ77/($K$5*1000))*MAX(MIN(AN77,$J$5),$I$5)*MAX(MIN(AN77,$J$5),$I$5)+$G$5*MAX(MIN(AN77,$J$5),$I$5)*(BG77*AZ77/($K$5*1000))+$H$5*(BG77*AZ77/($K$5*1000))*(BG77*AZ77/($K$5*1000)))</f>
        <v>0</v>
      </c>
      <c r="Q77">
        <f>H77*(1000-(1000*0.61365*exp(17.502*U77/(240.97+U77))/(AZ77+BA77)+AU77)/2)/(1000*0.61365*exp(17.502*U77/(240.97+U77))/(AZ77+BA77)-AU77)</f>
        <v>0</v>
      </c>
      <c r="R77">
        <f>1/((AO77+1)/(O77/1.6)+1/(P77/1.37)) + AO77/((AO77+1)/(O77/1.6) + AO77/(P77/1.37))</f>
        <v>0</v>
      </c>
      <c r="S77">
        <f>(AJ77*AM77)</f>
        <v>0</v>
      </c>
      <c r="T77">
        <f>(BB77+(S77+2*0.95*5.67E-8*(((BB77+$B$7)+273)^4-(BB77+273)^4)-44100*H77)/(1.84*29.3*P77+8*0.95*5.67E-8*(BB77+273)^3))</f>
        <v>0</v>
      </c>
      <c r="U77">
        <f>($C$7*BC77+$D$7*BD77+$E$7*T77)</f>
        <v>0</v>
      </c>
      <c r="V77">
        <f>0.61365*exp(17.502*U77/(240.97+U77))</f>
        <v>0</v>
      </c>
      <c r="W77">
        <f>(X77/Y77*100)</f>
        <v>0</v>
      </c>
      <c r="X77">
        <f>AU77*(AZ77+BA77)/1000</f>
        <v>0</v>
      </c>
      <c r="Y77">
        <f>0.61365*exp(17.502*BB77/(240.97+BB77))</f>
        <v>0</v>
      </c>
      <c r="Z77">
        <f>(V77-AU77*(AZ77+BA77)/1000)</f>
        <v>0</v>
      </c>
      <c r="AA77">
        <f>(-H77*44100)</f>
        <v>0</v>
      </c>
      <c r="AB77">
        <f>2*29.3*P77*0.92*(BB77-U77)</f>
        <v>0</v>
      </c>
      <c r="AC77">
        <f>2*0.95*5.67E-8*(((BB77+$B$7)+273)^4-(U77+273)^4)</f>
        <v>0</v>
      </c>
      <c r="AD77">
        <f>S77+AC77+AA77+AB77</f>
        <v>0</v>
      </c>
      <c r="AE77">
        <v>2</v>
      </c>
      <c r="AF77">
        <v>0</v>
      </c>
      <c r="AG77">
        <f>IF(AE77*$H$13&gt;=AI77,1.0,(AI77/(AI77-AE77*$H$13)))</f>
        <v>0</v>
      </c>
      <c r="AH77">
        <f>(AG77-1)*100</f>
        <v>0</v>
      </c>
      <c r="AI77">
        <f>MAX(0,($B$13+$C$13*BG77)/(1+$D$13*BG77)*AZ77/(BB77+273)*$E$13)</f>
        <v>0</v>
      </c>
      <c r="AJ77">
        <f>$B$11*BH77+$C$11*BI77+$D$11*BT77</f>
        <v>0</v>
      </c>
      <c r="AK77">
        <f>AJ77*AL77</f>
        <v>0</v>
      </c>
      <c r="AL77">
        <f>($B$11*$D$9+$C$11*$D$9+$D$11*(BU77*$E$9+BV77*$G$9))/($B$11+$C$11+$D$11)</f>
        <v>0</v>
      </c>
      <c r="AM77">
        <f>($B$11*$K$9+$C$11*$K$9+$D$11*(BU77*$L$9+BV77*$N$9))/($B$11+$C$11+$D$11)</f>
        <v>0</v>
      </c>
      <c r="AN77">
        <v>3</v>
      </c>
      <c r="AO77">
        <v>0.5</v>
      </c>
      <c r="AP77" t="s">
        <v>331</v>
      </c>
      <c r="AQ77">
        <v>2</v>
      </c>
      <c r="AR77">
        <v>1773272456.099999</v>
      </c>
      <c r="AS77">
        <v>498.0599999999999</v>
      </c>
      <c r="AT77">
        <v>495.5572903225806</v>
      </c>
      <c r="AU77">
        <v>9.41318612903226</v>
      </c>
      <c r="AV77">
        <v>8.673254193548386</v>
      </c>
      <c r="AW77">
        <v>491.5644193548387</v>
      </c>
      <c r="AX77">
        <v>9.354370322580644</v>
      </c>
      <c r="AY77">
        <v>500.0269032258064</v>
      </c>
      <c r="AZ77">
        <v>100.2401290322581</v>
      </c>
      <c r="BA77">
        <v>0.03435603225806451</v>
      </c>
      <c r="BB77">
        <v>24.99824516129032</v>
      </c>
      <c r="BC77">
        <v>24.9757</v>
      </c>
      <c r="BD77">
        <v>999.9000000000003</v>
      </c>
      <c r="BE77">
        <v>0</v>
      </c>
      <c r="BF77">
        <v>0</v>
      </c>
      <c r="BG77">
        <v>5003.580645161291</v>
      </c>
      <c r="BH77">
        <v>1.430381612903226</v>
      </c>
      <c r="BI77">
        <v>356.5318387096773</v>
      </c>
      <c r="BJ77">
        <v>2.502621612903226</v>
      </c>
      <c r="BK77">
        <v>502.792870967742</v>
      </c>
      <c r="BL77">
        <v>499.893</v>
      </c>
      <c r="BM77">
        <v>0.7399306451612904</v>
      </c>
      <c r="BN77">
        <v>495.5572903225806</v>
      </c>
      <c r="BO77">
        <v>8.673254193548386</v>
      </c>
      <c r="BP77">
        <v>0.9435791612903228</v>
      </c>
      <c r="BQ77">
        <v>0.8694083870967743</v>
      </c>
      <c r="BR77">
        <v>6.073112903225807</v>
      </c>
      <c r="BS77">
        <v>4.894074193548387</v>
      </c>
      <c r="BT77">
        <v>0</v>
      </c>
      <c r="BU77">
        <v>0</v>
      </c>
      <c r="BV77">
        <v>0</v>
      </c>
      <c r="BW77">
        <v>26</v>
      </c>
      <c r="BX77">
        <v>29</v>
      </c>
      <c r="BY77">
        <v>1773268786.6</v>
      </c>
      <c r="BZ77" t="s">
        <v>332</v>
      </c>
      <c r="CA77">
        <v>1773268786.6</v>
      </c>
      <c r="CB77">
        <v>1773268774.1</v>
      </c>
      <c r="CC77">
        <v>2</v>
      </c>
      <c r="CD77">
        <v>0.264</v>
      </c>
      <c r="CE77">
        <v>-0.024</v>
      </c>
      <c r="CF77">
        <v>6.495</v>
      </c>
      <c r="CG77">
        <v>0.059</v>
      </c>
      <c r="CH77">
        <v>488</v>
      </c>
      <c r="CI77">
        <v>25</v>
      </c>
      <c r="CJ77">
        <v>0.48</v>
      </c>
      <c r="CK77">
        <v>0.14</v>
      </c>
      <c r="CL77">
        <v>495.5572903225806</v>
      </c>
      <c r="CM77">
        <v>-8.948709677420625</v>
      </c>
      <c r="CN77">
        <v>0.673661453864234</v>
      </c>
      <c r="CO77">
        <v>-1</v>
      </c>
      <c r="CP77">
        <v>500.0269032258064</v>
      </c>
      <c r="CQ77">
        <v>-0.02172580645192913</v>
      </c>
      <c r="CR77">
        <v>0.03236421245231778</v>
      </c>
      <c r="CS77">
        <v>-1</v>
      </c>
      <c r="CT77">
        <v>0</v>
      </c>
      <c r="CU77">
        <v>0</v>
      </c>
      <c r="CV77" t="s">
        <v>333</v>
      </c>
      <c r="CW77">
        <v>3.16959</v>
      </c>
      <c r="CX77">
        <v>2.65545</v>
      </c>
      <c r="CY77">
        <v>0.114661</v>
      </c>
      <c r="CZ77">
        <v>0.115415</v>
      </c>
      <c r="DA77">
        <v>0.0568676</v>
      </c>
      <c r="DB77">
        <v>0.0533216</v>
      </c>
      <c r="DC77">
        <v>21322</v>
      </c>
      <c r="DD77">
        <v>21817.2</v>
      </c>
      <c r="DE77">
        <v>23180.9</v>
      </c>
      <c r="DF77">
        <v>22554.2</v>
      </c>
      <c r="DG77">
        <v>33030.9</v>
      </c>
      <c r="DH77">
        <v>30120</v>
      </c>
      <c r="DI77">
        <v>40738.4</v>
      </c>
      <c r="DJ77">
        <v>37333.6</v>
      </c>
      <c r="DK77">
        <v>2.10744</v>
      </c>
      <c r="DL77">
        <v>1.7467</v>
      </c>
      <c r="DM77">
        <v>-0.0376701</v>
      </c>
      <c r="DN77">
        <v>0</v>
      </c>
      <c r="DO77">
        <v>25.5941</v>
      </c>
      <c r="DP77">
        <v>999.9</v>
      </c>
      <c r="DQ77">
        <v>64</v>
      </c>
      <c r="DR77">
        <v>28.7</v>
      </c>
      <c r="DS77">
        <v>25.2343</v>
      </c>
      <c r="DT77">
        <v>29.98</v>
      </c>
      <c r="DU77">
        <v>11.4904</v>
      </c>
      <c r="DV77">
        <v>1</v>
      </c>
      <c r="DW77">
        <v>0.12235</v>
      </c>
      <c r="DX77">
        <v>0.794736</v>
      </c>
      <c r="DY77">
        <v>20.3659</v>
      </c>
      <c r="DZ77">
        <v>5.21094</v>
      </c>
      <c r="EA77">
        <v>11.8482</v>
      </c>
      <c r="EB77">
        <v>4.96788</v>
      </c>
      <c r="EC77">
        <v>3.29206</v>
      </c>
      <c r="ED77">
        <v>879.4</v>
      </c>
      <c r="EE77">
        <v>9999</v>
      </c>
      <c r="EF77">
        <v>9999</v>
      </c>
      <c r="EG77">
        <v>81.09999999999999</v>
      </c>
      <c r="EH77">
        <v>4.97159</v>
      </c>
      <c r="EI77">
        <v>1.8718</v>
      </c>
      <c r="EJ77">
        <v>1.86893</v>
      </c>
      <c r="EK77">
        <v>1.87137</v>
      </c>
      <c r="EL77">
        <v>1.86909</v>
      </c>
      <c r="EM77">
        <v>1.86802</v>
      </c>
      <c r="EN77">
        <v>1.86992</v>
      </c>
      <c r="EO77">
        <v>1.87173</v>
      </c>
      <c r="EP77">
        <v>0</v>
      </c>
      <c r="EQ77">
        <v>0</v>
      </c>
      <c r="ER77">
        <v>0</v>
      </c>
      <c r="ES77">
        <v>0</v>
      </c>
      <c r="ET77" t="s">
        <v>334</v>
      </c>
      <c r="EU77" t="s">
        <v>335</v>
      </c>
      <c r="EV77" t="s">
        <v>336</v>
      </c>
      <c r="EW77" t="s">
        <v>336</v>
      </c>
      <c r="EX77" t="s">
        <v>336</v>
      </c>
      <c r="EY77" t="s">
        <v>336</v>
      </c>
      <c r="EZ77">
        <v>0</v>
      </c>
      <c r="FA77">
        <v>100</v>
      </c>
      <c r="FB77">
        <v>100</v>
      </c>
      <c r="FC77">
        <v>6.495</v>
      </c>
      <c r="FD77">
        <v>0.0588</v>
      </c>
      <c r="FE77">
        <v>6.495476190476325</v>
      </c>
      <c r="FF77">
        <v>0</v>
      </c>
      <c r="FG77">
        <v>0</v>
      </c>
      <c r="FH77">
        <v>0</v>
      </c>
      <c r="FI77">
        <v>0.05881499999999917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61.3</v>
      </c>
      <c r="FR77">
        <v>61.5</v>
      </c>
      <c r="FS77">
        <v>0.145264</v>
      </c>
      <c r="FT77">
        <v>4.99756</v>
      </c>
      <c r="FU77">
        <v>1.5979</v>
      </c>
      <c r="FV77">
        <v>2.16064</v>
      </c>
      <c r="FW77">
        <v>1.54785</v>
      </c>
      <c r="FX77">
        <v>2.42065</v>
      </c>
      <c r="FY77">
        <v>33.8735</v>
      </c>
      <c r="FZ77">
        <v>16.0496</v>
      </c>
      <c r="GA77">
        <v>3</v>
      </c>
      <c r="GB77">
        <v>500.378</v>
      </c>
      <c r="GC77">
        <v>368.882</v>
      </c>
      <c r="GD77">
        <v>24.6853</v>
      </c>
      <c r="GE77">
        <v>28.7349</v>
      </c>
      <c r="GF77">
        <v>30.0003</v>
      </c>
      <c r="GG77">
        <v>28.6001</v>
      </c>
      <c r="GH77">
        <v>28.5789</v>
      </c>
      <c r="GI77">
        <v>-1</v>
      </c>
      <c r="GJ77">
        <v>100</v>
      </c>
      <c r="GK77">
        <v>0</v>
      </c>
      <c r="GL77">
        <v>24.6849</v>
      </c>
      <c r="GM77">
        <v>1200</v>
      </c>
      <c r="GN77">
        <v>26.7455</v>
      </c>
      <c r="GO77">
        <v>102.546</v>
      </c>
      <c r="GP77">
        <v>97.46080000000001</v>
      </c>
    </row>
    <row r="78" spans="1:198">
      <c r="A78">
        <v>62</v>
      </c>
      <c r="B78">
        <v>1773272524.1</v>
      </c>
      <c r="C78">
        <v>3660.5</v>
      </c>
      <c r="D78" t="s">
        <v>457</v>
      </c>
      <c r="E78" t="s">
        <v>458</v>
      </c>
      <c r="F78">
        <v>15</v>
      </c>
      <c r="G78">
        <v>1773272516.099999</v>
      </c>
      <c r="H78">
        <f>(I78)/1000</f>
        <v>0</v>
      </c>
      <c r="I78">
        <f>1000*AY78*AG78*(AU78-AV78)/(100*AN78*(1000-AG78*AU78))</f>
        <v>0</v>
      </c>
      <c r="J78">
        <f>AY78*AG78*(AT78-AS78*(1000-AG78*AV78)/(1000-AG78*AU78))/(100*AN78)</f>
        <v>0</v>
      </c>
      <c r="K78">
        <f>AS78 - IF(AG78&gt;1, J78*AN78*100.0/(AI78), 0)</f>
        <v>0</v>
      </c>
      <c r="L78">
        <f>((R78-H78/2)*K78-J78)/(R78+H78/2)</f>
        <v>0</v>
      </c>
      <c r="M78">
        <f>L78*(AZ78+BA78)/1000.0</f>
        <v>0</v>
      </c>
      <c r="N78">
        <f>(AS78 - IF(AG78&gt;1, J78*AN78*100.0/(AI78), 0))*(AZ78+BA78)/1000.0</f>
        <v>0</v>
      </c>
      <c r="O78">
        <f>2.0/((1/Q78-1/P78)+SIGN(Q78)*SQRT((1/Q78-1/P78)*(1/Q78-1/P78) + 4*AO78/((AO78+1)*(AO78+1))*(2*1/Q78*1/P78-1/P78*1/P78)))</f>
        <v>0</v>
      </c>
      <c r="P78">
        <f>IF(LEFT(AP78,1)&lt;&gt;"0",IF(LEFT(AP78,1)="1",3.0,AQ78),$D$5+$E$5*(BG78*AZ78/($K$5*1000))+$F$5*(BG78*AZ78/($K$5*1000))*MAX(MIN(AN78,$J$5),$I$5)*MAX(MIN(AN78,$J$5),$I$5)+$G$5*MAX(MIN(AN78,$J$5),$I$5)*(BG78*AZ78/($K$5*1000))+$H$5*(BG78*AZ78/($K$5*1000))*(BG78*AZ78/($K$5*1000)))</f>
        <v>0</v>
      </c>
      <c r="Q78">
        <f>H78*(1000-(1000*0.61365*exp(17.502*U78/(240.97+U78))/(AZ78+BA78)+AU78)/2)/(1000*0.61365*exp(17.502*U78/(240.97+U78))/(AZ78+BA78)-AU78)</f>
        <v>0</v>
      </c>
      <c r="R78">
        <f>1/((AO78+1)/(O78/1.6)+1/(P78/1.37)) + AO78/((AO78+1)/(O78/1.6) + AO78/(P78/1.37))</f>
        <v>0</v>
      </c>
      <c r="S78">
        <f>(AJ78*AM78)</f>
        <v>0</v>
      </c>
      <c r="T78">
        <f>(BB78+(S78+2*0.95*5.67E-8*(((BB78+$B$7)+273)^4-(BB78+273)^4)-44100*H78)/(1.84*29.3*P78+8*0.95*5.67E-8*(BB78+273)^3))</f>
        <v>0</v>
      </c>
      <c r="U78">
        <f>($C$7*BC78+$D$7*BD78+$E$7*T78)</f>
        <v>0</v>
      </c>
      <c r="V78">
        <f>0.61365*exp(17.502*U78/(240.97+U78))</f>
        <v>0</v>
      </c>
      <c r="W78">
        <f>(X78/Y78*100)</f>
        <v>0</v>
      </c>
      <c r="X78">
        <f>AU78*(AZ78+BA78)/1000</f>
        <v>0</v>
      </c>
      <c r="Y78">
        <f>0.61365*exp(17.502*BB78/(240.97+BB78))</f>
        <v>0</v>
      </c>
      <c r="Z78">
        <f>(V78-AU78*(AZ78+BA78)/1000)</f>
        <v>0</v>
      </c>
      <c r="AA78">
        <f>(-H78*44100)</f>
        <v>0</v>
      </c>
      <c r="AB78">
        <f>2*29.3*P78*0.92*(BB78-U78)</f>
        <v>0</v>
      </c>
      <c r="AC78">
        <f>2*0.95*5.67E-8*(((BB78+$B$7)+273)^4-(U78+273)^4)</f>
        <v>0</v>
      </c>
      <c r="AD78">
        <f>S78+AC78+AA78+AB78</f>
        <v>0</v>
      </c>
      <c r="AE78">
        <v>2</v>
      </c>
      <c r="AF78">
        <v>0</v>
      </c>
      <c r="AG78">
        <f>IF(AE78*$H$13&gt;=AI78,1.0,(AI78/(AI78-AE78*$H$13)))</f>
        <v>0</v>
      </c>
      <c r="AH78">
        <f>(AG78-1)*100</f>
        <v>0</v>
      </c>
      <c r="AI78">
        <f>MAX(0,($B$13+$C$13*BG78)/(1+$D$13*BG78)*AZ78/(BB78+273)*$E$13)</f>
        <v>0</v>
      </c>
      <c r="AJ78">
        <f>$B$11*BH78+$C$11*BI78+$D$11*BT78</f>
        <v>0</v>
      </c>
      <c r="AK78">
        <f>AJ78*AL78</f>
        <v>0</v>
      </c>
      <c r="AL78">
        <f>($B$11*$D$9+$C$11*$D$9+$D$11*(BU78*$E$9+BV78*$G$9))/($B$11+$C$11+$D$11)</f>
        <v>0</v>
      </c>
      <c r="AM78">
        <f>($B$11*$K$9+$C$11*$K$9+$D$11*(BU78*$L$9+BV78*$N$9))/($B$11+$C$11+$D$11)</f>
        <v>0</v>
      </c>
      <c r="AN78">
        <v>3</v>
      </c>
      <c r="AO78">
        <v>0.5</v>
      </c>
      <c r="AP78" t="s">
        <v>331</v>
      </c>
      <c r="AQ78">
        <v>2</v>
      </c>
      <c r="AR78">
        <v>1773272516.099999</v>
      </c>
      <c r="AS78">
        <v>496.5593225806451</v>
      </c>
      <c r="AT78">
        <v>495.6081612903227</v>
      </c>
      <c r="AU78">
        <v>9.479000645161291</v>
      </c>
      <c r="AV78">
        <v>8.736640322580644</v>
      </c>
      <c r="AW78">
        <v>490.0639032258065</v>
      </c>
      <c r="AX78">
        <v>9.420185483870968</v>
      </c>
      <c r="AY78">
        <v>499.9957741935484</v>
      </c>
      <c r="AZ78">
        <v>100.2418387096774</v>
      </c>
      <c r="BA78">
        <v>0.03457590967741935</v>
      </c>
      <c r="BB78">
        <v>25.01020000000002</v>
      </c>
      <c r="BC78">
        <v>24.99173225806452</v>
      </c>
      <c r="BD78">
        <v>999.9000000000003</v>
      </c>
      <c r="BE78">
        <v>0</v>
      </c>
      <c r="BF78">
        <v>0</v>
      </c>
      <c r="BG78">
        <v>5002.532258064516</v>
      </c>
      <c r="BH78">
        <v>1.468602580645161</v>
      </c>
      <c r="BI78">
        <v>386.0445806451613</v>
      </c>
      <c r="BJ78">
        <v>0.9511646129032258</v>
      </c>
      <c r="BK78">
        <v>501.3112580645161</v>
      </c>
      <c r="BL78">
        <v>499.9763548387096</v>
      </c>
      <c r="BM78">
        <v>0.7423596451612903</v>
      </c>
      <c r="BN78">
        <v>495.6081612903227</v>
      </c>
      <c r="BO78">
        <v>8.736640322580644</v>
      </c>
      <c r="BP78">
        <v>0.9501927741935484</v>
      </c>
      <c r="BQ78">
        <v>0.8757772580645162</v>
      </c>
      <c r="BR78">
        <v>6.174228064516127</v>
      </c>
      <c r="BS78">
        <v>4.998733870967742</v>
      </c>
      <c r="BT78">
        <v>0</v>
      </c>
      <c r="BU78">
        <v>0</v>
      </c>
      <c r="BV78">
        <v>0</v>
      </c>
      <c r="BW78">
        <v>26</v>
      </c>
      <c r="BX78">
        <v>31.67311290322581</v>
      </c>
      <c r="BY78">
        <v>1773268786.6</v>
      </c>
      <c r="BZ78" t="s">
        <v>332</v>
      </c>
      <c r="CA78">
        <v>1773268786.6</v>
      </c>
      <c r="CB78">
        <v>1773268774.1</v>
      </c>
      <c r="CC78">
        <v>2</v>
      </c>
      <c r="CD78">
        <v>0.264</v>
      </c>
      <c r="CE78">
        <v>-0.024</v>
      </c>
      <c r="CF78">
        <v>6.495</v>
      </c>
      <c r="CG78">
        <v>0.059</v>
      </c>
      <c r="CH78">
        <v>488</v>
      </c>
      <c r="CI78">
        <v>25</v>
      </c>
      <c r="CJ78">
        <v>0.48</v>
      </c>
      <c r="CK78">
        <v>0.14</v>
      </c>
      <c r="CL78">
        <v>495.5105806451613</v>
      </c>
      <c r="CM78">
        <v>6.889983870967173</v>
      </c>
      <c r="CN78">
        <v>0.5186806945040463</v>
      </c>
      <c r="CO78">
        <v>-1</v>
      </c>
      <c r="CP78">
        <v>499.9927419354839</v>
      </c>
      <c r="CQ78">
        <v>0.1167580645144094</v>
      </c>
      <c r="CR78">
        <v>0.03402557647297808</v>
      </c>
      <c r="CS78">
        <v>-1</v>
      </c>
      <c r="CT78">
        <v>0</v>
      </c>
      <c r="CU78">
        <v>0</v>
      </c>
      <c r="CV78" t="s">
        <v>333</v>
      </c>
      <c r="CW78">
        <v>3.16963</v>
      </c>
      <c r="CX78">
        <v>2.65578</v>
      </c>
      <c r="CY78">
        <v>0.114673</v>
      </c>
      <c r="CZ78">
        <v>0.115698</v>
      </c>
      <c r="DA78">
        <v>0.0571775</v>
      </c>
      <c r="DB78">
        <v>0.053636</v>
      </c>
      <c r="DC78">
        <v>21319.8</v>
      </c>
      <c r="DD78">
        <v>21809</v>
      </c>
      <c r="DE78">
        <v>23179.1</v>
      </c>
      <c r="DF78">
        <v>22553</v>
      </c>
      <c r="DG78">
        <v>33017.5</v>
      </c>
      <c r="DH78">
        <v>30108.4</v>
      </c>
      <c r="DI78">
        <v>40735.3</v>
      </c>
      <c r="DJ78">
        <v>37331.6</v>
      </c>
      <c r="DK78">
        <v>2.1071</v>
      </c>
      <c r="DL78">
        <v>1.74536</v>
      </c>
      <c r="DM78">
        <v>-0.0386238</v>
      </c>
      <c r="DN78">
        <v>0</v>
      </c>
      <c r="DO78">
        <v>25.6215</v>
      </c>
      <c r="DP78">
        <v>999.9</v>
      </c>
      <c r="DQ78">
        <v>63.8</v>
      </c>
      <c r="DR78">
        <v>28.8</v>
      </c>
      <c r="DS78">
        <v>25.3026</v>
      </c>
      <c r="DT78">
        <v>30.1</v>
      </c>
      <c r="DU78">
        <v>11.7668</v>
      </c>
      <c r="DV78">
        <v>1</v>
      </c>
      <c r="DW78">
        <v>0.125081</v>
      </c>
      <c r="DX78">
        <v>0.937974</v>
      </c>
      <c r="DY78">
        <v>20.365</v>
      </c>
      <c r="DZ78">
        <v>5.21154</v>
      </c>
      <c r="EA78">
        <v>11.8482</v>
      </c>
      <c r="EB78">
        <v>4.96776</v>
      </c>
      <c r="EC78">
        <v>3.2921</v>
      </c>
      <c r="ED78">
        <v>879.4</v>
      </c>
      <c r="EE78">
        <v>9999</v>
      </c>
      <c r="EF78">
        <v>9999</v>
      </c>
      <c r="EG78">
        <v>81.09999999999999</v>
      </c>
      <c r="EH78">
        <v>4.97159</v>
      </c>
      <c r="EI78">
        <v>1.8718</v>
      </c>
      <c r="EJ78">
        <v>1.86898</v>
      </c>
      <c r="EK78">
        <v>1.87137</v>
      </c>
      <c r="EL78">
        <v>1.86908</v>
      </c>
      <c r="EM78">
        <v>1.86806</v>
      </c>
      <c r="EN78">
        <v>1.86996</v>
      </c>
      <c r="EO78">
        <v>1.87175</v>
      </c>
      <c r="EP78">
        <v>0</v>
      </c>
      <c r="EQ78">
        <v>0</v>
      </c>
      <c r="ER78">
        <v>0</v>
      </c>
      <c r="ES78">
        <v>0</v>
      </c>
      <c r="ET78" t="s">
        <v>334</v>
      </c>
      <c r="EU78" t="s">
        <v>335</v>
      </c>
      <c r="EV78" t="s">
        <v>336</v>
      </c>
      <c r="EW78" t="s">
        <v>336</v>
      </c>
      <c r="EX78" t="s">
        <v>336</v>
      </c>
      <c r="EY78" t="s">
        <v>336</v>
      </c>
      <c r="EZ78">
        <v>0</v>
      </c>
      <c r="FA78">
        <v>100</v>
      </c>
      <c r="FB78">
        <v>100</v>
      </c>
      <c r="FC78">
        <v>6.495</v>
      </c>
      <c r="FD78">
        <v>0.0588</v>
      </c>
      <c r="FE78">
        <v>6.495476190476325</v>
      </c>
      <c r="FF78">
        <v>0</v>
      </c>
      <c r="FG78">
        <v>0</v>
      </c>
      <c r="FH78">
        <v>0</v>
      </c>
      <c r="FI78">
        <v>0.05881499999999917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62.3</v>
      </c>
      <c r="FR78">
        <v>62.5</v>
      </c>
      <c r="FS78">
        <v>0.145264</v>
      </c>
      <c r="FT78">
        <v>4.99756</v>
      </c>
      <c r="FU78">
        <v>1.5979</v>
      </c>
      <c r="FV78">
        <v>2.15942</v>
      </c>
      <c r="FW78">
        <v>1.54785</v>
      </c>
      <c r="FX78">
        <v>2.30957</v>
      </c>
      <c r="FY78">
        <v>33.9865</v>
      </c>
      <c r="FZ78">
        <v>16.0408</v>
      </c>
      <c r="GA78">
        <v>3</v>
      </c>
      <c r="GB78">
        <v>500.516</v>
      </c>
      <c r="GC78">
        <v>368.445</v>
      </c>
      <c r="GD78">
        <v>24.5955</v>
      </c>
      <c r="GE78">
        <v>28.7703</v>
      </c>
      <c r="GF78">
        <v>30.0003</v>
      </c>
      <c r="GG78">
        <v>28.6426</v>
      </c>
      <c r="GH78">
        <v>28.6241</v>
      </c>
      <c r="GI78">
        <v>-1</v>
      </c>
      <c r="GJ78">
        <v>100</v>
      </c>
      <c r="GK78">
        <v>0</v>
      </c>
      <c r="GL78">
        <v>24.5831</v>
      </c>
      <c r="GM78">
        <v>1200</v>
      </c>
      <c r="GN78">
        <v>26.7455</v>
      </c>
      <c r="GO78">
        <v>102.538</v>
      </c>
      <c r="GP78">
        <v>97.4558</v>
      </c>
    </row>
    <row r="79" spans="1:198">
      <c r="A79">
        <v>63</v>
      </c>
      <c r="B79">
        <v>1773272584.1</v>
      </c>
      <c r="C79">
        <v>3720.5</v>
      </c>
      <c r="D79" t="s">
        <v>459</v>
      </c>
      <c r="E79" t="s">
        <v>460</v>
      </c>
      <c r="F79">
        <v>15</v>
      </c>
      <c r="G79">
        <v>1773272576.099999</v>
      </c>
      <c r="H79">
        <f>(I79)/1000</f>
        <v>0</v>
      </c>
      <c r="I79">
        <f>1000*AY79*AG79*(AU79-AV79)/(100*AN79*(1000-AG79*AU79))</f>
        <v>0</v>
      </c>
      <c r="J79">
        <f>AY79*AG79*(AT79-AS79*(1000-AG79*AV79)/(1000-AG79*AU79))/(100*AN79)</f>
        <v>0</v>
      </c>
      <c r="K79">
        <f>AS79 - IF(AG79&gt;1, J79*AN79*100.0/(AI79), 0)</f>
        <v>0</v>
      </c>
      <c r="L79">
        <f>((R79-H79/2)*K79-J79)/(R79+H79/2)</f>
        <v>0</v>
      </c>
      <c r="M79">
        <f>L79*(AZ79+BA79)/1000.0</f>
        <v>0</v>
      </c>
      <c r="N79">
        <f>(AS79 - IF(AG79&gt;1, J79*AN79*100.0/(AI79), 0))*(AZ79+BA79)/1000.0</f>
        <v>0</v>
      </c>
      <c r="O79">
        <f>2.0/((1/Q79-1/P79)+SIGN(Q79)*SQRT((1/Q79-1/P79)*(1/Q79-1/P79) + 4*AO79/((AO79+1)*(AO79+1))*(2*1/Q79*1/P79-1/P79*1/P79)))</f>
        <v>0</v>
      </c>
      <c r="P79">
        <f>IF(LEFT(AP79,1)&lt;&gt;"0",IF(LEFT(AP79,1)="1",3.0,AQ79),$D$5+$E$5*(BG79*AZ79/($K$5*1000))+$F$5*(BG79*AZ79/($K$5*1000))*MAX(MIN(AN79,$J$5),$I$5)*MAX(MIN(AN79,$J$5),$I$5)+$G$5*MAX(MIN(AN79,$J$5),$I$5)*(BG79*AZ79/($K$5*1000))+$H$5*(BG79*AZ79/($K$5*1000))*(BG79*AZ79/($K$5*1000)))</f>
        <v>0</v>
      </c>
      <c r="Q79">
        <f>H79*(1000-(1000*0.61365*exp(17.502*U79/(240.97+U79))/(AZ79+BA79)+AU79)/2)/(1000*0.61365*exp(17.502*U79/(240.97+U79))/(AZ79+BA79)-AU79)</f>
        <v>0</v>
      </c>
      <c r="R79">
        <f>1/((AO79+1)/(O79/1.6)+1/(P79/1.37)) + AO79/((AO79+1)/(O79/1.6) + AO79/(P79/1.37))</f>
        <v>0</v>
      </c>
      <c r="S79">
        <f>(AJ79*AM79)</f>
        <v>0</v>
      </c>
      <c r="T79">
        <f>(BB79+(S79+2*0.95*5.67E-8*(((BB79+$B$7)+273)^4-(BB79+273)^4)-44100*H79)/(1.84*29.3*P79+8*0.95*5.67E-8*(BB79+273)^3))</f>
        <v>0</v>
      </c>
      <c r="U79">
        <f>($C$7*BC79+$D$7*BD79+$E$7*T79)</f>
        <v>0</v>
      </c>
      <c r="V79">
        <f>0.61365*exp(17.502*U79/(240.97+U79))</f>
        <v>0</v>
      </c>
      <c r="W79">
        <f>(X79/Y79*100)</f>
        <v>0</v>
      </c>
      <c r="X79">
        <f>AU79*(AZ79+BA79)/1000</f>
        <v>0</v>
      </c>
      <c r="Y79">
        <f>0.61365*exp(17.502*BB79/(240.97+BB79))</f>
        <v>0</v>
      </c>
      <c r="Z79">
        <f>(V79-AU79*(AZ79+BA79)/1000)</f>
        <v>0</v>
      </c>
      <c r="AA79">
        <f>(-H79*44100)</f>
        <v>0</v>
      </c>
      <c r="AB79">
        <f>2*29.3*P79*0.92*(BB79-U79)</f>
        <v>0</v>
      </c>
      <c r="AC79">
        <f>2*0.95*5.67E-8*(((BB79+$B$7)+273)^4-(U79+273)^4)</f>
        <v>0</v>
      </c>
      <c r="AD79">
        <f>S79+AC79+AA79+AB79</f>
        <v>0</v>
      </c>
      <c r="AE79">
        <v>2</v>
      </c>
      <c r="AF79">
        <v>0</v>
      </c>
      <c r="AG79">
        <f>IF(AE79*$H$13&gt;=AI79,1.0,(AI79/(AI79-AE79*$H$13)))</f>
        <v>0</v>
      </c>
      <c r="AH79">
        <f>(AG79-1)*100</f>
        <v>0</v>
      </c>
      <c r="AI79">
        <f>MAX(0,($B$13+$C$13*BG79)/(1+$D$13*BG79)*AZ79/(BB79+273)*$E$13)</f>
        <v>0</v>
      </c>
      <c r="AJ79">
        <f>$B$11*BH79+$C$11*BI79+$D$11*BT79</f>
        <v>0</v>
      </c>
      <c r="AK79">
        <f>AJ79*AL79</f>
        <v>0</v>
      </c>
      <c r="AL79">
        <f>($B$11*$D$9+$C$11*$D$9+$D$11*(BU79*$E$9+BV79*$G$9))/($B$11+$C$11+$D$11)</f>
        <v>0</v>
      </c>
      <c r="AM79">
        <f>($B$11*$K$9+$C$11*$K$9+$D$11*(BU79*$L$9+BV79*$N$9))/($B$11+$C$11+$D$11)</f>
        <v>0</v>
      </c>
      <c r="AN79">
        <v>3</v>
      </c>
      <c r="AO79">
        <v>0.5</v>
      </c>
      <c r="AP79" t="s">
        <v>331</v>
      </c>
      <c r="AQ79">
        <v>2</v>
      </c>
      <c r="AR79">
        <v>1773272576.099999</v>
      </c>
      <c r="AS79">
        <v>498.0672903225806</v>
      </c>
      <c r="AT79">
        <v>496.6357096774194</v>
      </c>
      <c r="AU79">
        <v>9.55493193548387</v>
      </c>
      <c r="AV79">
        <v>8.810547741935483</v>
      </c>
      <c r="AW79">
        <v>491.5718387096774</v>
      </c>
      <c r="AX79">
        <v>9.496117096774194</v>
      </c>
      <c r="AY79">
        <v>499.9961290322579</v>
      </c>
      <c r="AZ79">
        <v>100.2449677419355</v>
      </c>
      <c r="BA79">
        <v>0.03452149677419355</v>
      </c>
      <c r="BB79">
        <v>25.00841612903226</v>
      </c>
      <c r="BC79">
        <v>25.00195806451613</v>
      </c>
      <c r="BD79">
        <v>999.9000000000003</v>
      </c>
      <c r="BE79">
        <v>0</v>
      </c>
      <c r="BF79">
        <v>0</v>
      </c>
      <c r="BG79">
        <v>4996.225806451613</v>
      </c>
      <c r="BH79">
        <v>1.53907129032258</v>
      </c>
      <c r="BI79">
        <v>416.804870967742</v>
      </c>
      <c r="BJ79">
        <v>1.43155</v>
      </c>
      <c r="BK79">
        <v>502.8722258064517</v>
      </c>
      <c r="BL79">
        <v>501.0502903225806</v>
      </c>
      <c r="BM79">
        <v>0.7443841612903225</v>
      </c>
      <c r="BN79">
        <v>496.6357096774194</v>
      </c>
      <c r="BO79">
        <v>8.810547741935483</v>
      </c>
      <c r="BP79">
        <v>0.957834387096774</v>
      </c>
      <c r="BQ79">
        <v>0.8832136451612905</v>
      </c>
      <c r="BR79">
        <v>6.290288709677418</v>
      </c>
      <c r="BS79">
        <v>5.120085806451613</v>
      </c>
      <c r="BT79">
        <v>0</v>
      </c>
      <c r="BU79">
        <v>0</v>
      </c>
      <c r="BV79">
        <v>0</v>
      </c>
      <c r="BW79">
        <v>26</v>
      </c>
      <c r="BX79">
        <v>34</v>
      </c>
      <c r="BY79">
        <v>1773268786.6</v>
      </c>
      <c r="BZ79" t="s">
        <v>332</v>
      </c>
      <c r="CA79">
        <v>1773268786.6</v>
      </c>
      <c r="CB79">
        <v>1773268774.1</v>
      </c>
      <c r="CC79">
        <v>2</v>
      </c>
      <c r="CD79">
        <v>0.264</v>
      </c>
      <c r="CE79">
        <v>-0.024</v>
      </c>
      <c r="CF79">
        <v>6.495</v>
      </c>
      <c r="CG79">
        <v>0.059</v>
      </c>
      <c r="CH79">
        <v>488</v>
      </c>
      <c r="CI79">
        <v>25</v>
      </c>
      <c r="CJ79">
        <v>0.48</v>
      </c>
      <c r="CK79">
        <v>0.14</v>
      </c>
      <c r="CL79">
        <v>496.6357096774194</v>
      </c>
      <c r="CM79">
        <v>-0.3287903225808225</v>
      </c>
      <c r="CN79">
        <v>0.02604982019427454</v>
      </c>
      <c r="CO79">
        <v>-1</v>
      </c>
      <c r="CP79">
        <v>499.9961290322579</v>
      </c>
      <c r="CQ79">
        <v>0.3038225806448739</v>
      </c>
      <c r="CR79">
        <v>0.05407744860337563</v>
      </c>
      <c r="CS79">
        <v>-1</v>
      </c>
      <c r="CT79">
        <v>0</v>
      </c>
      <c r="CU79">
        <v>0</v>
      </c>
      <c r="CV79" t="s">
        <v>333</v>
      </c>
      <c r="CW79">
        <v>3.16959</v>
      </c>
      <c r="CX79">
        <v>2.65587</v>
      </c>
      <c r="CY79">
        <v>0.114812</v>
      </c>
      <c r="CZ79">
        <v>0.115737</v>
      </c>
      <c r="DA79">
        <v>0.0575375</v>
      </c>
      <c r="DB79">
        <v>0.0539922</v>
      </c>
      <c r="DC79">
        <v>21314.3</v>
      </c>
      <c r="DD79">
        <v>21807.1</v>
      </c>
      <c r="DE79">
        <v>23176.9</v>
      </c>
      <c r="DF79">
        <v>22552.2</v>
      </c>
      <c r="DG79">
        <v>33002.1</v>
      </c>
      <c r="DH79">
        <v>30095.8</v>
      </c>
      <c r="DI79">
        <v>40732.1</v>
      </c>
      <c r="DJ79">
        <v>37330.2</v>
      </c>
      <c r="DK79">
        <v>2.10692</v>
      </c>
      <c r="DL79">
        <v>1.7443</v>
      </c>
      <c r="DM79">
        <v>-0.0407934</v>
      </c>
      <c r="DN79">
        <v>0</v>
      </c>
      <c r="DO79">
        <v>25.6778</v>
      </c>
      <c r="DP79">
        <v>999.9</v>
      </c>
      <c r="DQ79">
        <v>63.6</v>
      </c>
      <c r="DR79">
        <v>28.9</v>
      </c>
      <c r="DS79">
        <v>25.367</v>
      </c>
      <c r="DT79">
        <v>30.13</v>
      </c>
      <c r="DU79">
        <v>11.855</v>
      </c>
      <c r="DV79">
        <v>1</v>
      </c>
      <c r="DW79">
        <v>0.12838</v>
      </c>
      <c r="DX79">
        <v>1.04215</v>
      </c>
      <c r="DY79">
        <v>20.3638</v>
      </c>
      <c r="DZ79">
        <v>5.2107</v>
      </c>
      <c r="EA79">
        <v>11.8482</v>
      </c>
      <c r="EB79">
        <v>4.96792</v>
      </c>
      <c r="EC79">
        <v>3.292</v>
      </c>
      <c r="ED79">
        <v>879.4</v>
      </c>
      <c r="EE79">
        <v>9999</v>
      </c>
      <c r="EF79">
        <v>9999</v>
      </c>
      <c r="EG79">
        <v>81.09999999999999</v>
      </c>
      <c r="EH79">
        <v>4.97157</v>
      </c>
      <c r="EI79">
        <v>1.8718</v>
      </c>
      <c r="EJ79">
        <v>1.86893</v>
      </c>
      <c r="EK79">
        <v>1.87143</v>
      </c>
      <c r="EL79">
        <v>1.86909</v>
      </c>
      <c r="EM79">
        <v>1.86811</v>
      </c>
      <c r="EN79">
        <v>1.86995</v>
      </c>
      <c r="EO79">
        <v>1.87171</v>
      </c>
      <c r="EP79">
        <v>0</v>
      </c>
      <c r="EQ79">
        <v>0</v>
      </c>
      <c r="ER79">
        <v>0</v>
      </c>
      <c r="ES79">
        <v>0</v>
      </c>
      <c r="ET79" t="s">
        <v>334</v>
      </c>
      <c r="EU79" t="s">
        <v>335</v>
      </c>
      <c r="EV79" t="s">
        <v>336</v>
      </c>
      <c r="EW79" t="s">
        <v>336</v>
      </c>
      <c r="EX79" t="s">
        <v>336</v>
      </c>
      <c r="EY79" t="s">
        <v>336</v>
      </c>
      <c r="EZ79">
        <v>0</v>
      </c>
      <c r="FA79">
        <v>100</v>
      </c>
      <c r="FB79">
        <v>100</v>
      </c>
      <c r="FC79">
        <v>6.495</v>
      </c>
      <c r="FD79">
        <v>0.0588</v>
      </c>
      <c r="FE79">
        <v>6.495476190476325</v>
      </c>
      <c r="FF79">
        <v>0</v>
      </c>
      <c r="FG79">
        <v>0</v>
      </c>
      <c r="FH79">
        <v>0</v>
      </c>
      <c r="FI79">
        <v>0.05881499999999917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63.3</v>
      </c>
      <c r="FR79">
        <v>63.5</v>
      </c>
      <c r="FS79">
        <v>0.145264</v>
      </c>
      <c r="FT79">
        <v>4.99756</v>
      </c>
      <c r="FU79">
        <v>1.5979</v>
      </c>
      <c r="FV79">
        <v>2.15942</v>
      </c>
      <c r="FW79">
        <v>1.54785</v>
      </c>
      <c r="FX79">
        <v>2.3645</v>
      </c>
      <c r="FY79">
        <v>34.0998</v>
      </c>
      <c r="FZ79">
        <v>16.0321</v>
      </c>
      <c r="GA79">
        <v>3</v>
      </c>
      <c r="GB79">
        <v>500.78</v>
      </c>
      <c r="GC79">
        <v>368.173</v>
      </c>
      <c r="GD79">
        <v>24.4667</v>
      </c>
      <c r="GE79">
        <v>28.8131</v>
      </c>
      <c r="GF79">
        <v>30.0004</v>
      </c>
      <c r="GG79">
        <v>28.6891</v>
      </c>
      <c r="GH79">
        <v>28.672</v>
      </c>
      <c r="GI79">
        <v>-1</v>
      </c>
      <c r="GJ79">
        <v>100</v>
      </c>
      <c r="GK79">
        <v>0</v>
      </c>
      <c r="GL79">
        <v>24.4583</v>
      </c>
      <c r="GM79">
        <v>1200</v>
      </c>
      <c r="GN79">
        <v>26.7455</v>
      </c>
      <c r="GO79">
        <v>102.529</v>
      </c>
      <c r="GP79">
        <v>97.4522</v>
      </c>
    </row>
    <row r="80" spans="1:198">
      <c r="A80">
        <v>64</v>
      </c>
      <c r="B80">
        <v>1773272644.1</v>
      </c>
      <c r="C80">
        <v>3780.5</v>
      </c>
      <c r="D80" t="s">
        <v>461</v>
      </c>
      <c r="E80" t="s">
        <v>462</v>
      </c>
      <c r="F80">
        <v>15</v>
      </c>
      <c r="G80">
        <v>1773272636.099999</v>
      </c>
      <c r="H80">
        <f>(I80)/1000</f>
        <v>0</v>
      </c>
      <c r="I80">
        <f>1000*AY80*AG80*(AU80-AV80)/(100*AN80*(1000-AG80*AU80))</f>
        <v>0</v>
      </c>
      <c r="J80">
        <f>AY80*AG80*(AT80-AS80*(1000-AG80*AV80)/(1000-AG80*AU80))/(100*AN80)</f>
        <v>0</v>
      </c>
      <c r="K80">
        <f>AS80 - IF(AG80&gt;1, J80*AN80*100.0/(AI80), 0)</f>
        <v>0</v>
      </c>
      <c r="L80">
        <f>((R80-H80/2)*K80-J80)/(R80+H80/2)</f>
        <v>0</v>
      </c>
      <c r="M80">
        <f>L80*(AZ80+BA80)/1000.0</f>
        <v>0</v>
      </c>
      <c r="N80">
        <f>(AS80 - IF(AG80&gt;1, J80*AN80*100.0/(AI80), 0))*(AZ80+BA80)/1000.0</f>
        <v>0</v>
      </c>
      <c r="O80">
        <f>2.0/((1/Q80-1/P80)+SIGN(Q80)*SQRT((1/Q80-1/P80)*(1/Q80-1/P80) + 4*AO80/((AO80+1)*(AO80+1))*(2*1/Q80*1/P80-1/P80*1/P80)))</f>
        <v>0</v>
      </c>
      <c r="P80">
        <f>IF(LEFT(AP80,1)&lt;&gt;"0",IF(LEFT(AP80,1)="1",3.0,AQ80),$D$5+$E$5*(BG80*AZ80/($K$5*1000))+$F$5*(BG80*AZ80/($K$5*1000))*MAX(MIN(AN80,$J$5),$I$5)*MAX(MIN(AN80,$J$5),$I$5)+$G$5*MAX(MIN(AN80,$J$5),$I$5)*(BG80*AZ80/($K$5*1000))+$H$5*(BG80*AZ80/($K$5*1000))*(BG80*AZ80/($K$5*1000)))</f>
        <v>0</v>
      </c>
      <c r="Q80">
        <f>H80*(1000-(1000*0.61365*exp(17.502*U80/(240.97+U80))/(AZ80+BA80)+AU80)/2)/(1000*0.61365*exp(17.502*U80/(240.97+U80))/(AZ80+BA80)-AU80)</f>
        <v>0</v>
      </c>
      <c r="R80">
        <f>1/((AO80+1)/(O80/1.6)+1/(P80/1.37)) + AO80/((AO80+1)/(O80/1.6) + AO80/(P80/1.37))</f>
        <v>0</v>
      </c>
      <c r="S80">
        <f>(AJ80*AM80)</f>
        <v>0</v>
      </c>
      <c r="T80">
        <f>(BB80+(S80+2*0.95*5.67E-8*(((BB80+$B$7)+273)^4-(BB80+273)^4)-44100*H80)/(1.84*29.3*P80+8*0.95*5.67E-8*(BB80+273)^3))</f>
        <v>0</v>
      </c>
      <c r="U80">
        <f>($C$7*BC80+$D$7*BD80+$E$7*T80)</f>
        <v>0</v>
      </c>
      <c r="V80">
        <f>0.61365*exp(17.502*U80/(240.97+U80))</f>
        <v>0</v>
      </c>
      <c r="W80">
        <f>(X80/Y80*100)</f>
        <v>0</v>
      </c>
      <c r="X80">
        <f>AU80*(AZ80+BA80)/1000</f>
        <v>0</v>
      </c>
      <c r="Y80">
        <f>0.61365*exp(17.502*BB80/(240.97+BB80))</f>
        <v>0</v>
      </c>
      <c r="Z80">
        <f>(V80-AU80*(AZ80+BA80)/1000)</f>
        <v>0</v>
      </c>
      <c r="AA80">
        <f>(-H80*44100)</f>
        <v>0</v>
      </c>
      <c r="AB80">
        <f>2*29.3*P80*0.92*(BB80-U80)</f>
        <v>0</v>
      </c>
      <c r="AC80">
        <f>2*0.95*5.67E-8*(((BB80+$B$7)+273)^4-(U80+273)^4)</f>
        <v>0</v>
      </c>
      <c r="AD80">
        <f>S80+AC80+AA80+AB80</f>
        <v>0</v>
      </c>
      <c r="AE80">
        <v>2</v>
      </c>
      <c r="AF80">
        <v>0</v>
      </c>
      <c r="AG80">
        <f>IF(AE80*$H$13&gt;=AI80,1.0,(AI80/(AI80-AE80*$H$13)))</f>
        <v>0</v>
      </c>
      <c r="AH80">
        <f>(AG80-1)*100</f>
        <v>0</v>
      </c>
      <c r="AI80">
        <f>MAX(0,($B$13+$C$13*BG80)/(1+$D$13*BG80)*AZ80/(BB80+273)*$E$13)</f>
        <v>0</v>
      </c>
      <c r="AJ80">
        <f>$B$11*BH80+$C$11*BI80+$D$11*BT80</f>
        <v>0</v>
      </c>
      <c r="AK80">
        <f>AJ80*AL80</f>
        <v>0</v>
      </c>
      <c r="AL80">
        <f>($B$11*$D$9+$C$11*$D$9+$D$11*(BU80*$E$9+BV80*$G$9))/($B$11+$C$11+$D$11)</f>
        <v>0</v>
      </c>
      <c r="AM80">
        <f>($B$11*$K$9+$C$11*$K$9+$D$11*(BU80*$L$9+BV80*$N$9))/($B$11+$C$11+$D$11)</f>
        <v>0</v>
      </c>
      <c r="AN80">
        <v>3</v>
      </c>
      <c r="AO80">
        <v>0.5</v>
      </c>
      <c r="AP80" t="s">
        <v>331</v>
      </c>
      <c r="AQ80">
        <v>2</v>
      </c>
      <c r="AR80">
        <v>1773272636.099999</v>
      </c>
      <c r="AS80">
        <v>497.2346129032258</v>
      </c>
      <c r="AT80">
        <v>495.7823225806452</v>
      </c>
      <c r="AU80">
        <v>9.62794516129032</v>
      </c>
      <c r="AV80">
        <v>8.879397096774193</v>
      </c>
      <c r="AW80">
        <v>490.739</v>
      </c>
      <c r="AX80">
        <v>9.569130645161291</v>
      </c>
      <c r="AY80">
        <v>500.0035161290322</v>
      </c>
      <c r="AZ80">
        <v>100.2471290322581</v>
      </c>
      <c r="BA80">
        <v>0.03444879677419355</v>
      </c>
      <c r="BB80">
        <v>24.99662258064517</v>
      </c>
      <c r="BC80">
        <v>24.98518709677419</v>
      </c>
      <c r="BD80">
        <v>999.9000000000003</v>
      </c>
      <c r="BE80">
        <v>0</v>
      </c>
      <c r="BF80">
        <v>0</v>
      </c>
      <c r="BG80">
        <v>4998.064516129032</v>
      </c>
      <c r="BH80">
        <v>1.432756451612904</v>
      </c>
      <c r="BI80">
        <v>397.3770322580645</v>
      </c>
      <c r="BJ80">
        <v>1.452234516129032</v>
      </c>
      <c r="BK80">
        <v>502.0685161290323</v>
      </c>
      <c r="BL80">
        <v>500.2239677419355</v>
      </c>
      <c r="BM80">
        <v>0.7485482903225807</v>
      </c>
      <c r="BN80">
        <v>495.7823225806452</v>
      </c>
      <c r="BO80">
        <v>8.879397096774193</v>
      </c>
      <c r="BP80">
        <v>0.9651736129032257</v>
      </c>
      <c r="BQ80">
        <v>0.8901339032258062</v>
      </c>
      <c r="BR80">
        <v>6.400990645161291</v>
      </c>
      <c r="BS80">
        <v>5.23221193548387</v>
      </c>
      <c r="BT80">
        <v>0</v>
      </c>
      <c r="BU80">
        <v>0</v>
      </c>
      <c r="BV80">
        <v>0</v>
      </c>
      <c r="BW80">
        <v>26</v>
      </c>
      <c r="BX80">
        <v>31.49784838709678</v>
      </c>
      <c r="BY80">
        <v>1773268786.6</v>
      </c>
      <c r="BZ80" t="s">
        <v>332</v>
      </c>
      <c r="CA80">
        <v>1773268786.6</v>
      </c>
      <c r="CB80">
        <v>1773268774.1</v>
      </c>
      <c r="CC80">
        <v>2</v>
      </c>
      <c r="CD80">
        <v>0.264</v>
      </c>
      <c r="CE80">
        <v>-0.024</v>
      </c>
      <c r="CF80">
        <v>6.495</v>
      </c>
      <c r="CG80">
        <v>0.059</v>
      </c>
      <c r="CH80">
        <v>488</v>
      </c>
      <c r="CI80">
        <v>25</v>
      </c>
      <c r="CJ80">
        <v>0.48</v>
      </c>
      <c r="CK80">
        <v>0.14</v>
      </c>
      <c r="CL80">
        <v>495.7809354838709</v>
      </c>
      <c r="CM80">
        <v>-0.1241612903233317</v>
      </c>
      <c r="CN80">
        <v>0.01475812621175124</v>
      </c>
      <c r="CO80">
        <v>-1</v>
      </c>
      <c r="CP80">
        <v>500.0089354838709</v>
      </c>
      <c r="CQ80">
        <v>-0.12585483871015</v>
      </c>
      <c r="CR80">
        <v>0.02332786715617454</v>
      </c>
      <c r="CS80">
        <v>-1</v>
      </c>
      <c r="CT80">
        <v>0</v>
      </c>
      <c r="CU80">
        <v>0</v>
      </c>
      <c r="CV80" t="s">
        <v>333</v>
      </c>
      <c r="CW80">
        <v>3.16958</v>
      </c>
      <c r="CX80">
        <v>2.65573</v>
      </c>
      <c r="CY80">
        <v>0.114662</v>
      </c>
      <c r="CZ80">
        <v>0.115596</v>
      </c>
      <c r="DA80">
        <v>0.0578773</v>
      </c>
      <c r="DB80">
        <v>0.0543147</v>
      </c>
      <c r="DC80">
        <v>21316.1</v>
      </c>
      <c r="DD80">
        <v>21809.1</v>
      </c>
      <c r="DE80">
        <v>23175.2</v>
      </c>
      <c r="DF80">
        <v>22550.8</v>
      </c>
      <c r="DG80">
        <v>32987.7</v>
      </c>
      <c r="DH80">
        <v>30083.3</v>
      </c>
      <c r="DI80">
        <v>40729.1</v>
      </c>
      <c r="DJ80">
        <v>37327.6</v>
      </c>
      <c r="DK80">
        <v>2.10608</v>
      </c>
      <c r="DL80">
        <v>1.7438</v>
      </c>
      <c r="DM80">
        <v>-0.0416875</v>
      </c>
      <c r="DN80">
        <v>0</v>
      </c>
      <c r="DO80">
        <v>25.6815</v>
      </c>
      <c r="DP80">
        <v>999.9</v>
      </c>
      <c r="DQ80">
        <v>63.2</v>
      </c>
      <c r="DR80">
        <v>28.9</v>
      </c>
      <c r="DS80">
        <v>25.2079</v>
      </c>
      <c r="DT80">
        <v>30.37</v>
      </c>
      <c r="DU80">
        <v>11.5104</v>
      </c>
      <c r="DV80">
        <v>1</v>
      </c>
      <c r="DW80">
        <v>0.131813</v>
      </c>
      <c r="DX80">
        <v>0.892702</v>
      </c>
      <c r="DY80">
        <v>20.3649</v>
      </c>
      <c r="DZ80">
        <v>5.2113</v>
      </c>
      <c r="EA80">
        <v>11.8482</v>
      </c>
      <c r="EB80">
        <v>4.9678</v>
      </c>
      <c r="EC80">
        <v>3.29204</v>
      </c>
      <c r="ED80">
        <v>879.4</v>
      </c>
      <c r="EE80">
        <v>9999</v>
      </c>
      <c r="EF80">
        <v>9999</v>
      </c>
      <c r="EG80">
        <v>81.2</v>
      </c>
      <c r="EH80">
        <v>4.9716</v>
      </c>
      <c r="EI80">
        <v>1.87181</v>
      </c>
      <c r="EJ80">
        <v>1.869</v>
      </c>
      <c r="EK80">
        <v>1.87143</v>
      </c>
      <c r="EL80">
        <v>1.8691</v>
      </c>
      <c r="EM80">
        <v>1.86812</v>
      </c>
      <c r="EN80">
        <v>1.86996</v>
      </c>
      <c r="EO80">
        <v>1.87173</v>
      </c>
      <c r="EP80">
        <v>0</v>
      </c>
      <c r="EQ80">
        <v>0</v>
      </c>
      <c r="ER80">
        <v>0</v>
      </c>
      <c r="ES80">
        <v>0</v>
      </c>
      <c r="ET80" t="s">
        <v>334</v>
      </c>
      <c r="EU80" t="s">
        <v>335</v>
      </c>
      <c r="EV80" t="s">
        <v>336</v>
      </c>
      <c r="EW80" t="s">
        <v>336</v>
      </c>
      <c r="EX80" t="s">
        <v>336</v>
      </c>
      <c r="EY80" t="s">
        <v>336</v>
      </c>
      <c r="EZ80">
        <v>0</v>
      </c>
      <c r="FA80">
        <v>100</v>
      </c>
      <c r="FB80">
        <v>100</v>
      </c>
      <c r="FC80">
        <v>6.495</v>
      </c>
      <c r="FD80">
        <v>0.0588</v>
      </c>
      <c r="FE80">
        <v>6.495476190476325</v>
      </c>
      <c r="FF80">
        <v>0</v>
      </c>
      <c r="FG80">
        <v>0</v>
      </c>
      <c r="FH80">
        <v>0</v>
      </c>
      <c r="FI80">
        <v>0.05881499999999917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64.3</v>
      </c>
      <c r="FR80">
        <v>64.5</v>
      </c>
      <c r="FS80">
        <v>0.144043</v>
      </c>
      <c r="FT80">
        <v>4.99756</v>
      </c>
      <c r="FU80">
        <v>1.5979</v>
      </c>
      <c r="FV80">
        <v>2.15942</v>
      </c>
      <c r="FW80">
        <v>1.54785</v>
      </c>
      <c r="FX80">
        <v>2.41699</v>
      </c>
      <c r="FY80">
        <v>34.2133</v>
      </c>
      <c r="FZ80">
        <v>16.0496</v>
      </c>
      <c r="GA80">
        <v>3</v>
      </c>
      <c r="GB80">
        <v>500.655</v>
      </c>
      <c r="GC80">
        <v>368.183</v>
      </c>
      <c r="GD80">
        <v>24.5859</v>
      </c>
      <c r="GE80">
        <v>28.8561</v>
      </c>
      <c r="GF80">
        <v>30.0004</v>
      </c>
      <c r="GG80">
        <v>28.7348</v>
      </c>
      <c r="GH80">
        <v>28.7178</v>
      </c>
      <c r="GI80">
        <v>-1</v>
      </c>
      <c r="GJ80">
        <v>100</v>
      </c>
      <c r="GK80">
        <v>0</v>
      </c>
      <c r="GL80">
        <v>24.588</v>
      </c>
      <c r="GM80">
        <v>1200</v>
      </c>
      <c r="GN80">
        <v>26.7455</v>
      </c>
      <c r="GO80">
        <v>102.522</v>
      </c>
      <c r="GP80">
        <v>97.4457</v>
      </c>
    </row>
    <row r="81" spans="1:198">
      <c r="A81">
        <v>65</v>
      </c>
      <c r="B81">
        <v>1773272704.1</v>
      </c>
      <c r="C81">
        <v>3840.5</v>
      </c>
      <c r="D81" t="s">
        <v>463</v>
      </c>
      <c r="E81" t="s">
        <v>464</v>
      </c>
      <c r="F81">
        <v>15</v>
      </c>
      <c r="G81">
        <v>1773272696.099999</v>
      </c>
      <c r="H81">
        <f>(I81)/1000</f>
        <v>0</v>
      </c>
      <c r="I81">
        <f>1000*AY81*AG81*(AU81-AV81)/(100*AN81*(1000-AG81*AU81))</f>
        <v>0</v>
      </c>
      <c r="J81">
        <f>AY81*AG81*(AT81-AS81*(1000-AG81*AV81)/(1000-AG81*AU81))/(100*AN81)</f>
        <v>0</v>
      </c>
      <c r="K81">
        <f>AS81 - IF(AG81&gt;1, J81*AN81*100.0/(AI81), 0)</f>
        <v>0</v>
      </c>
      <c r="L81">
        <f>((R81-H81/2)*K81-J81)/(R81+H81/2)</f>
        <v>0</v>
      </c>
      <c r="M81">
        <f>L81*(AZ81+BA81)/1000.0</f>
        <v>0</v>
      </c>
      <c r="N81">
        <f>(AS81 - IF(AG81&gt;1, J81*AN81*100.0/(AI81), 0))*(AZ81+BA81)/1000.0</f>
        <v>0</v>
      </c>
      <c r="O81">
        <f>2.0/((1/Q81-1/P81)+SIGN(Q81)*SQRT((1/Q81-1/P81)*(1/Q81-1/P81) + 4*AO81/((AO81+1)*(AO81+1))*(2*1/Q81*1/P81-1/P81*1/P81)))</f>
        <v>0</v>
      </c>
      <c r="P81">
        <f>IF(LEFT(AP81,1)&lt;&gt;"0",IF(LEFT(AP81,1)="1",3.0,AQ81),$D$5+$E$5*(BG81*AZ81/($K$5*1000))+$F$5*(BG81*AZ81/($K$5*1000))*MAX(MIN(AN81,$J$5),$I$5)*MAX(MIN(AN81,$J$5),$I$5)+$G$5*MAX(MIN(AN81,$J$5),$I$5)*(BG81*AZ81/($K$5*1000))+$H$5*(BG81*AZ81/($K$5*1000))*(BG81*AZ81/($K$5*1000)))</f>
        <v>0</v>
      </c>
      <c r="Q81">
        <f>H81*(1000-(1000*0.61365*exp(17.502*U81/(240.97+U81))/(AZ81+BA81)+AU81)/2)/(1000*0.61365*exp(17.502*U81/(240.97+U81))/(AZ81+BA81)-AU81)</f>
        <v>0</v>
      </c>
      <c r="R81">
        <f>1/((AO81+1)/(O81/1.6)+1/(P81/1.37)) + AO81/((AO81+1)/(O81/1.6) + AO81/(P81/1.37))</f>
        <v>0</v>
      </c>
      <c r="S81">
        <f>(AJ81*AM81)</f>
        <v>0</v>
      </c>
      <c r="T81">
        <f>(BB81+(S81+2*0.95*5.67E-8*(((BB81+$B$7)+273)^4-(BB81+273)^4)-44100*H81)/(1.84*29.3*P81+8*0.95*5.67E-8*(BB81+273)^3))</f>
        <v>0</v>
      </c>
      <c r="U81">
        <f>($C$7*BC81+$D$7*BD81+$E$7*T81)</f>
        <v>0</v>
      </c>
      <c r="V81">
        <f>0.61365*exp(17.502*U81/(240.97+U81))</f>
        <v>0</v>
      </c>
      <c r="W81">
        <f>(X81/Y81*100)</f>
        <v>0</v>
      </c>
      <c r="X81">
        <f>AU81*(AZ81+BA81)/1000</f>
        <v>0</v>
      </c>
      <c r="Y81">
        <f>0.61365*exp(17.502*BB81/(240.97+BB81))</f>
        <v>0</v>
      </c>
      <c r="Z81">
        <f>(V81-AU81*(AZ81+BA81)/1000)</f>
        <v>0</v>
      </c>
      <c r="AA81">
        <f>(-H81*44100)</f>
        <v>0</v>
      </c>
      <c r="AB81">
        <f>2*29.3*P81*0.92*(BB81-U81)</f>
        <v>0</v>
      </c>
      <c r="AC81">
        <f>2*0.95*5.67E-8*(((BB81+$B$7)+273)^4-(U81+273)^4)</f>
        <v>0</v>
      </c>
      <c r="AD81">
        <f>S81+AC81+AA81+AB81</f>
        <v>0</v>
      </c>
      <c r="AE81">
        <v>2</v>
      </c>
      <c r="AF81">
        <v>0</v>
      </c>
      <c r="AG81">
        <f>IF(AE81*$H$13&gt;=AI81,1.0,(AI81/(AI81-AE81*$H$13)))</f>
        <v>0</v>
      </c>
      <c r="AH81">
        <f>(AG81-1)*100</f>
        <v>0</v>
      </c>
      <c r="AI81">
        <f>MAX(0,($B$13+$C$13*BG81)/(1+$D$13*BG81)*AZ81/(BB81+273)*$E$13)</f>
        <v>0</v>
      </c>
      <c r="AJ81">
        <f>$B$11*BH81+$C$11*BI81+$D$11*BT81</f>
        <v>0</v>
      </c>
      <c r="AK81">
        <f>AJ81*AL81</f>
        <v>0</v>
      </c>
      <c r="AL81">
        <f>($B$11*$D$9+$C$11*$D$9+$D$11*(BU81*$E$9+BV81*$G$9))/($B$11+$C$11+$D$11)</f>
        <v>0</v>
      </c>
      <c r="AM81">
        <f>($B$11*$K$9+$C$11*$K$9+$D$11*(BU81*$L$9+BV81*$N$9))/($B$11+$C$11+$D$11)</f>
        <v>0</v>
      </c>
      <c r="AN81">
        <v>3</v>
      </c>
      <c r="AO81">
        <v>0.5</v>
      </c>
      <c r="AP81" t="s">
        <v>331</v>
      </c>
      <c r="AQ81">
        <v>2</v>
      </c>
      <c r="AR81">
        <v>1773272696.099999</v>
      </c>
      <c r="AS81">
        <v>497.7121612903226</v>
      </c>
      <c r="AT81">
        <v>496.295935483871</v>
      </c>
      <c r="AU81">
        <v>9.695188709677421</v>
      </c>
      <c r="AV81">
        <v>8.942401612903225</v>
      </c>
      <c r="AW81">
        <v>491.2167419354838</v>
      </c>
      <c r="AX81">
        <v>9.636372903225807</v>
      </c>
      <c r="AY81">
        <v>499.9861612903225</v>
      </c>
      <c r="AZ81">
        <v>100.2487419354838</v>
      </c>
      <c r="BA81">
        <v>0.03437272903225806</v>
      </c>
      <c r="BB81">
        <v>24.99831290322581</v>
      </c>
      <c r="BC81">
        <v>24.98225483870968</v>
      </c>
      <c r="BD81">
        <v>999.9000000000003</v>
      </c>
      <c r="BE81">
        <v>0</v>
      </c>
      <c r="BF81">
        <v>0</v>
      </c>
      <c r="BG81">
        <v>4992.741935483871</v>
      </c>
      <c r="BH81">
        <v>1.541845483870968</v>
      </c>
      <c r="BI81">
        <v>432.9167419354839</v>
      </c>
      <c r="BJ81">
        <v>1.416224193548387</v>
      </c>
      <c r="BK81">
        <v>502.5848064516129</v>
      </c>
      <c r="BL81">
        <v>500.774064516129</v>
      </c>
      <c r="BM81">
        <v>0.7527861290322581</v>
      </c>
      <c r="BN81">
        <v>496.295935483871</v>
      </c>
      <c r="BO81">
        <v>8.942401612903225</v>
      </c>
      <c r="BP81">
        <v>0.9719307419354839</v>
      </c>
      <c r="BQ81">
        <v>0.8964649032258063</v>
      </c>
      <c r="BR81">
        <v>6.502257419354838</v>
      </c>
      <c r="BS81">
        <v>5.334114516129032</v>
      </c>
      <c r="BT81">
        <v>0</v>
      </c>
      <c r="BU81">
        <v>0</v>
      </c>
      <c r="BV81">
        <v>0</v>
      </c>
      <c r="BW81">
        <v>26</v>
      </c>
      <c r="BX81">
        <v>34.00967096774193</v>
      </c>
      <c r="BY81">
        <v>1773268786.6</v>
      </c>
      <c r="BZ81" t="s">
        <v>332</v>
      </c>
      <c r="CA81">
        <v>1773268786.6</v>
      </c>
      <c r="CB81">
        <v>1773268774.1</v>
      </c>
      <c r="CC81">
        <v>2</v>
      </c>
      <c r="CD81">
        <v>0.264</v>
      </c>
      <c r="CE81">
        <v>-0.024</v>
      </c>
      <c r="CF81">
        <v>6.495</v>
      </c>
      <c r="CG81">
        <v>0.059</v>
      </c>
      <c r="CH81">
        <v>488</v>
      </c>
      <c r="CI81">
        <v>25</v>
      </c>
      <c r="CJ81">
        <v>0.48</v>
      </c>
      <c r="CK81">
        <v>0.14</v>
      </c>
      <c r="CL81">
        <v>496.295935483871</v>
      </c>
      <c r="CM81">
        <v>-0.05941935483948269</v>
      </c>
      <c r="CN81">
        <v>0.01512514565938395</v>
      </c>
      <c r="CO81">
        <v>-1</v>
      </c>
      <c r="CP81">
        <v>499.9861612903225</v>
      </c>
      <c r="CQ81">
        <v>-0.05753225806632095</v>
      </c>
      <c r="CR81">
        <v>0.02570062980801503</v>
      </c>
      <c r="CS81">
        <v>-1</v>
      </c>
      <c r="CT81">
        <v>0</v>
      </c>
      <c r="CU81">
        <v>0</v>
      </c>
      <c r="CV81" t="s">
        <v>333</v>
      </c>
      <c r="CW81">
        <v>3.16959</v>
      </c>
      <c r="CX81">
        <v>2.65537</v>
      </c>
      <c r="CY81">
        <v>0.114737</v>
      </c>
      <c r="CZ81">
        <v>0.115663</v>
      </c>
      <c r="DA81">
        <v>0.0581907</v>
      </c>
      <c r="DB81">
        <v>0.0546137</v>
      </c>
      <c r="DC81">
        <v>21312.3</v>
      </c>
      <c r="DD81">
        <v>21806.1</v>
      </c>
      <c r="DE81">
        <v>23173.2</v>
      </c>
      <c r="DF81">
        <v>22549.5</v>
      </c>
      <c r="DG81">
        <v>32974.2</v>
      </c>
      <c r="DH81">
        <v>30071.9</v>
      </c>
      <c r="DI81">
        <v>40726.1</v>
      </c>
      <c r="DJ81">
        <v>37325.4</v>
      </c>
      <c r="DK81">
        <v>2.10596</v>
      </c>
      <c r="DL81">
        <v>1.74208</v>
      </c>
      <c r="DM81">
        <v>-0.0416934</v>
      </c>
      <c r="DN81">
        <v>0</v>
      </c>
      <c r="DO81">
        <v>25.6696</v>
      </c>
      <c r="DP81">
        <v>999.9</v>
      </c>
      <c r="DQ81">
        <v>63</v>
      </c>
      <c r="DR81">
        <v>29</v>
      </c>
      <c r="DS81">
        <v>25.2754</v>
      </c>
      <c r="DT81">
        <v>30.07</v>
      </c>
      <c r="DU81">
        <v>11.859</v>
      </c>
      <c r="DV81">
        <v>1</v>
      </c>
      <c r="DW81">
        <v>0.134709</v>
      </c>
      <c r="DX81">
        <v>0.873625</v>
      </c>
      <c r="DY81">
        <v>20.3654</v>
      </c>
      <c r="DZ81">
        <v>5.21178</v>
      </c>
      <c r="EA81">
        <v>11.8483</v>
      </c>
      <c r="EB81">
        <v>4.96784</v>
      </c>
      <c r="EC81">
        <v>3.29208</v>
      </c>
      <c r="ED81">
        <v>879.4</v>
      </c>
      <c r="EE81">
        <v>9999</v>
      </c>
      <c r="EF81">
        <v>9999</v>
      </c>
      <c r="EG81">
        <v>81.2</v>
      </c>
      <c r="EH81">
        <v>4.97159</v>
      </c>
      <c r="EI81">
        <v>1.87181</v>
      </c>
      <c r="EJ81">
        <v>1.86902</v>
      </c>
      <c r="EK81">
        <v>1.87142</v>
      </c>
      <c r="EL81">
        <v>1.8691</v>
      </c>
      <c r="EM81">
        <v>1.86811</v>
      </c>
      <c r="EN81">
        <v>1.86996</v>
      </c>
      <c r="EO81">
        <v>1.87169</v>
      </c>
      <c r="EP81">
        <v>0</v>
      </c>
      <c r="EQ81">
        <v>0</v>
      </c>
      <c r="ER81">
        <v>0</v>
      </c>
      <c r="ES81">
        <v>0</v>
      </c>
      <c r="ET81" t="s">
        <v>334</v>
      </c>
      <c r="EU81" t="s">
        <v>335</v>
      </c>
      <c r="EV81" t="s">
        <v>336</v>
      </c>
      <c r="EW81" t="s">
        <v>336</v>
      </c>
      <c r="EX81" t="s">
        <v>336</v>
      </c>
      <c r="EY81" t="s">
        <v>336</v>
      </c>
      <c r="EZ81">
        <v>0</v>
      </c>
      <c r="FA81">
        <v>100</v>
      </c>
      <c r="FB81">
        <v>100</v>
      </c>
      <c r="FC81">
        <v>6.495</v>
      </c>
      <c r="FD81">
        <v>0.0588</v>
      </c>
      <c r="FE81">
        <v>6.495476190476325</v>
      </c>
      <c r="FF81">
        <v>0</v>
      </c>
      <c r="FG81">
        <v>0</v>
      </c>
      <c r="FH81">
        <v>0</v>
      </c>
      <c r="FI81">
        <v>0.05881499999999917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65.3</v>
      </c>
      <c r="FR81">
        <v>65.5</v>
      </c>
      <c r="FS81">
        <v>0.144043</v>
      </c>
      <c r="FT81">
        <v>4.99756</v>
      </c>
      <c r="FU81">
        <v>1.5979</v>
      </c>
      <c r="FV81">
        <v>2.1582</v>
      </c>
      <c r="FW81">
        <v>1.54785</v>
      </c>
      <c r="FX81">
        <v>2.40967</v>
      </c>
      <c r="FY81">
        <v>34.3042</v>
      </c>
      <c r="FZ81">
        <v>16.0321</v>
      </c>
      <c r="GA81">
        <v>3</v>
      </c>
      <c r="GB81">
        <v>500.906</v>
      </c>
      <c r="GC81">
        <v>367.524</v>
      </c>
      <c r="GD81">
        <v>24.6027</v>
      </c>
      <c r="GE81">
        <v>28.8926</v>
      </c>
      <c r="GF81">
        <v>30.0003</v>
      </c>
      <c r="GG81">
        <v>28.7755</v>
      </c>
      <c r="GH81">
        <v>28.7593</v>
      </c>
      <c r="GI81">
        <v>-1</v>
      </c>
      <c r="GJ81">
        <v>100</v>
      </c>
      <c r="GK81">
        <v>0</v>
      </c>
      <c r="GL81">
        <v>24.6032</v>
      </c>
      <c r="GM81">
        <v>1200</v>
      </c>
      <c r="GN81">
        <v>26.7455</v>
      </c>
      <c r="GO81">
        <v>102.514</v>
      </c>
      <c r="GP81">
        <v>97.44</v>
      </c>
    </row>
    <row r="82" spans="1:198">
      <c r="A82">
        <v>66</v>
      </c>
      <c r="B82">
        <v>1773272764.1</v>
      </c>
      <c r="C82">
        <v>3900.5</v>
      </c>
      <c r="D82" t="s">
        <v>465</v>
      </c>
      <c r="E82" t="s">
        <v>466</v>
      </c>
      <c r="F82">
        <v>15</v>
      </c>
      <c r="G82">
        <v>1773272756.099999</v>
      </c>
      <c r="H82">
        <f>(I82)/1000</f>
        <v>0</v>
      </c>
      <c r="I82">
        <f>1000*AY82*AG82*(AU82-AV82)/(100*AN82*(1000-AG82*AU82))</f>
        <v>0</v>
      </c>
      <c r="J82">
        <f>AY82*AG82*(AT82-AS82*(1000-AG82*AV82)/(1000-AG82*AU82))/(100*AN82)</f>
        <v>0</v>
      </c>
      <c r="K82">
        <f>AS82 - IF(AG82&gt;1, J82*AN82*100.0/(AI82), 0)</f>
        <v>0</v>
      </c>
      <c r="L82">
        <f>((R82-H82/2)*K82-J82)/(R82+H82/2)</f>
        <v>0</v>
      </c>
      <c r="M82">
        <f>L82*(AZ82+BA82)/1000.0</f>
        <v>0</v>
      </c>
      <c r="N82">
        <f>(AS82 - IF(AG82&gt;1, J82*AN82*100.0/(AI82), 0))*(AZ82+BA82)/1000.0</f>
        <v>0</v>
      </c>
      <c r="O82">
        <f>2.0/((1/Q82-1/P82)+SIGN(Q82)*SQRT((1/Q82-1/P82)*(1/Q82-1/P82) + 4*AO82/((AO82+1)*(AO82+1))*(2*1/Q82*1/P82-1/P82*1/P82)))</f>
        <v>0</v>
      </c>
      <c r="P82">
        <f>IF(LEFT(AP82,1)&lt;&gt;"0",IF(LEFT(AP82,1)="1",3.0,AQ82),$D$5+$E$5*(BG82*AZ82/($K$5*1000))+$F$5*(BG82*AZ82/($K$5*1000))*MAX(MIN(AN82,$J$5),$I$5)*MAX(MIN(AN82,$J$5),$I$5)+$G$5*MAX(MIN(AN82,$J$5),$I$5)*(BG82*AZ82/($K$5*1000))+$H$5*(BG82*AZ82/($K$5*1000))*(BG82*AZ82/($K$5*1000)))</f>
        <v>0</v>
      </c>
      <c r="Q82">
        <f>H82*(1000-(1000*0.61365*exp(17.502*U82/(240.97+U82))/(AZ82+BA82)+AU82)/2)/(1000*0.61365*exp(17.502*U82/(240.97+U82))/(AZ82+BA82)-AU82)</f>
        <v>0</v>
      </c>
      <c r="R82">
        <f>1/((AO82+1)/(O82/1.6)+1/(P82/1.37)) + AO82/((AO82+1)/(O82/1.6) + AO82/(P82/1.37))</f>
        <v>0</v>
      </c>
      <c r="S82">
        <f>(AJ82*AM82)</f>
        <v>0</v>
      </c>
      <c r="T82">
        <f>(BB82+(S82+2*0.95*5.67E-8*(((BB82+$B$7)+273)^4-(BB82+273)^4)-44100*H82)/(1.84*29.3*P82+8*0.95*5.67E-8*(BB82+273)^3))</f>
        <v>0</v>
      </c>
      <c r="U82">
        <f>($C$7*BC82+$D$7*BD82+$E$7*T82)</f>
        <v>0</v>
      </c>
      <c r="V82">
        <f>0.61365*exp(17.502*U82/(240.97+U82))</f>
        <v>0</v>
      </c>
      <c r="W82">
        <f>(X82/Y82*100)</f>
        <v>0</v>
      </c>
      <c r="X82">
        <f>AU82*(AZ82+BA82)/1000</f>
        <v>0</v>
      </c>
      <c r="Y82">
        <f>0.61365*exp(17.502*BB82/(240.97+BB82))</f>
        <v>0</v>
      </c>
      <c r="Z82">
        <f>(V82-AU82*(AZ82+BA82)/1000)</f>
        <v>0</v>
      </c>
      <c r="AA82">
        <f>(-H82*44100)</f>
        <v>0</v>
      </c>
      <c r="AB82">
        <f>2*29.3*P82*0.92*(BB82-U82)</f>
        <v>0</v>
      </c>
      <c r="AC82">
        <f>2*0.95*5.67E-8*(((BB82+$B$7)+273)^4-(U82+273)^4)</f>
        <v>0</v>
      </c>
      <c r="AD82">
        <f>S82+AC82+AA82+AB82</f>
        <v>0</v>
      </c>
      <c r="AE82">
        <v>2</v>
      </c>
      <c r="AF82">
        <v>0</v>
      </c>
      <c r="AG82">
        <f>IF(AE82*$H$13&gt;=AI82,1.0,(AI82/(AI82-AE82*$H$13)))</f>
        <v>0</v>
      </c>
      <c r="AH82">
        <f>(AG82-1)*100</f>
        <v>0</v>
      </c>
      <c r="AI82">
        <f>MAX(0,($B$13+$C$13*BG82)/(1+$D$13*BG82)*AZ82/(BB82+273)*$E$13)</f>
        <v>0</v>
      </c>
      <c r="AJ82">
        <f>$B$11*BH82+$C$11*BI82+$D$11*BT82</f>
        <v>0</v>
      </c>
      <c r="AK82">
        <f>AJ82*AL82</f>
        <v>0</v>
      </c>
      <c r="AL82">
        <f>($B$11*$D$9+$C$11*$D$9+$D$11*(BU82*$E$9+BV82*$G$9))/($B$11+$C$11+$D$11)</f>
        <v>0</v>
      </c>
      <c r="AM82">
        <f>($B$11*$K$9+$C$11*$K$9+$D$11*(BU82*$L$9+BV82*$N$9))/($B$11+$C$11+$D$11)</f>
        <v>0</v>
      </c>
      <c r="AN82">
        <v>3</v>
      </c>
      <c r="AO82">
        <v>0.5</v>
      </c>
      <c r="AP82" t="s">
        <v>331</v>
      </c>
      <c r="AQ82">
        <v>2</v>
      </c>
      <c r="AR82">
        <v>1773272756.099999</v>
      </c>
      <c r="AS82">
        <v>497.2444516129032</v>
      </c>
      <c r="AT82">
        <v>495.8115483870968</v>
      </c>
      <c r="AU82">
        <v>9.76385806451613</v>
      </c>
      <c r="AV82">
        <v>9.003997741935484</v>
      </c>
      <c r="AW82">
        <v>490.748935483871</v>
      </c>
      <c r="AX82">
        <v>9.705042580645161</v>
      </c>
      <c r="AY82">
        <v>500.0178064516129</v>
      </c>
      <c r="AZ82">
        <v>100.2502258064516</v>
      </c>
      <c r="BA82">
        <v>0.03437341612903226</v>
      </c>
      <c r="BB82">
        <v>25.01239677419354</v>
      </c>
      <c r="BC82">
        <v>25.00080000000001</v>
      </c>
      <c r="BD82">
        <v>999.9000000000003</v>
      </c>
      <c r="BE82">
        <v>0</v>
      </c>
      <c r="BF82">
        <v>0</v>
      </c>
      <c r="BG82">
        <v>5009.516129032259</v>
      </c>
      <c r="BH82">
        <v>1.649888387096774</v>
      </c>
      <c r="BI82">
        <v>476.8232258064516</v>
      </c>
      <c r="BJ82">
        <v>1.432857741935484</v>
      </c>
      <c r="BK82">
        <v>502.1473548387096</v>
      </c>
      <c r="BL82">
        <v>500.3164838709677</v>
      </c>
      <c r="BM82">
        <v>0.7598592903225805</v>
      </c>
      <c r="BN82">
        <v>495.8115483870968</v>
      </c>
      <c r="BO82">
        <v>9.003997741935484</v>
      </c>
      <c r="BP82">
        <v>0.9788279354838708</v>
      </c>
      <c r="BQ82">
        <v>0.902652</v>
      </c>
      <c r="BR82">
        <v>6.604983870967742</v>
      </c>
      <c r="BS82">
        <v>5.433089677419356</v>
      </c>
      <c r="BT82">
        <v>0</v>
      </c>
      <c r="BU82">
        <v>0</v>
      </c>
      <c r="BV82">
        <v>0</v>
      </c>
      <c r="BW82">
        <v>26</v>
      </c>
      <c r="BX82">
        <v>37</v>
      </c>
      <c r="BY82">
        <v>1773268786.6</v>
      </c>
      <c r="BZ82" t="s">
        <v>332</v>
      </c>
      <c r="CA82">
        <v>1773268786.6</v>
      </c>
      <c r="CB82">
        <v>1773268774.1</v>
      </c>
      <c r="CC82">
        <v>2</v>
      </c>
      <c r="CD82">
        <v>0.264</v>
      </c>
      <c r="CE82">
        <v>-0.024</v>
      </c>
      <c r="CF82">
        <v>6.495</v>
      </c>
      <c r="CG82">
        <v>0.059</v>
      </c>
      <c r="CH82">
        <v>488</v>
      </c>
      <c r="CI82">
        <v>25</v>
      </c>
      <c r="CJ82">
        <v>0.48</v>
      </c>
      <c r="CK82">
        <v>0.14</v>
      </c>
      <c r="CL82">
        <v>495.8115483870968</v>
      </c>
      <c r="CM82">
        <v>0.7113870967741595</v>
      </c>
      <c r="CN82">
        <v>0.06532738333599442</v>
      </c>
      <c r="CO82">
        <v>-1</v>
      </c>
      <c r="CP82">
        <v>500.0178064516129</v>
      </c>
      <c r="CQ82">
        <v>-0.06261290322733713</v>
      </c>
      <c r="CR82">
        <v>0.05201452610683126</v>
      </c>
      <c r="CS82">
        <v>-1</v>
      </c>
      <c r="CT82">
        <v>0</v>
      </c>
      <c r="CU82">
        <v>0</v>
      </c>
      <c r="CV82" t="s">
        <v>333</v>
      </c>
      <c r="CW82">
        <v>3.16967</v>
      </c>
      <c r="CX82">
        <v>2.65539</v>
      </c>
      <c r="CY82">
        <v>0.114655</v>
      </c>
      <c r="CZ82">
        <v>0.115589</v>
      </c>
      <c r="DA82">
        <v>0.0585132</v>
      </c>
      <c r="DB82">
        <v>0.0549096</v>
      </c>
      <c r="DC82">
        <v>21312.6</v>
      </c>
      <c r="DD82">
        <v>21807.5</v>
      </c>
      <c r="DE82">
        <v>23171.5</v>
      </c>
      <c r="DF82">
        <v>22549.1</v>
      </c>
      <c r="DG82">
        <v>32960.8</v>
      </c>
      <c r="DH82">
        <v>30061.6</v>
      </c>
      <c r="DI82">
        <v>40723.6</v>
      </c>
      <c r="DJ82">
        <v>37324.4</v>
      </c>
      <c r="DK82">
        <v>2.10568</v>
      </c>
      <c r="DL82">
        <v>1.74146</v>
      </c>
      <c r="DM82">
        <v>-0.0410616</v>
      </c>
      <c r="DN82">
        <v>0</v>
      </c>
      <c r="DO82">
        <v>25.6853</v>
      </c>
      <c r="DP82">
        <v>999.9</v>
      </c>
      <c r="DQ82">
        <v>62.7</v>
      </c>
      <c r="DR82">
        <v>29.1</v>
      </c>
      <c r="DS82">
        <v>25.2972</v>
      </c>
      <c r="DT82">
        <v>30.43</v>
      </c>
      <c r="DU82">
        <v>11.6226</v>
      </c>
      <c r="DV82">
        <v>1</v>
      </c>
      <c r="DW82">
        <v>0.136955</v>
      </c>
      <c r="DX82">
        <v>1.04478</v>
      </c>
      <c r="DY82">
        <v>20.364</v>
      </c>
      <c r="DZ82">
        <v>5.21238</v>
      </c>
      <c r="EA82">
        <v>11.8482</v>
      </c>
      <c r="EB82">
        <v>4.9684</v>
      </c>
      <c r="EC82">
        <v>3.292</v>
      </c>
      <c r="ED82">
        <v>879.4</v>
      </c>
      <c r="EE82">
        <v>9999</v>
      </c>
      <c r="EF82">
        <v>9999</v>
      </c>
      <c r="EG82">
        <v>81.2</v>
      </c>
      <c r="EH82">
        <v>4.97163</v>
      </c>
      <c r="EI82">
        <v>1.8718</v>
      </c>
      <c r="EJ82">
        <v>1.86895</v>
      </c>
      <c r="EK82">
        <v>1.87141</v>
      </c>
      <c r="EL82">
        <v>1.86913</v>
      </c>
      <c r="EM82">
        <v>1.86811</v>
      </c>
      <c r="EN82">
        <v>1.86995</v>
      </c>
      <c r="EO82">
        <v>1.87174</v>
      </c>
      <c r="EP82">
        <v>0</v>
      </c>
      <c r="EQ82">
        <v>0</v>
      </c>
      <c r="ER82">
        <v>0</v>
      </c>
      <c r="ES82">
        <v>0</v>
      </c>
      <c r="ET82" t="s">
        <v>334</v>
      </c>
      <c r="EU82" t="s">
        <v>335</v>
      </c>
      <c r="EV82" t="s">
        <v>336</v>
      </c>
      <c r="EW82" t="s">
        <v>336</v>
      </c>
      <c r="EX82" t="s">
        <v>336</v>
      </c>
      <c r="EY82" t="s">
        <v>336</v>
      </c>
      <c r="EZ82">
        <v>0</v>
      </c>
      <c r="FA82">
        <v>100</v>
      </c>
      <c r="FB82">
        <v>100</v>
      </c>
      <c r="FC82">
        <v>6.495</v>
      </c>
      <c r="FD82">
        <v>0.0588</v>
      </c>
      <c r="FE82">
        <v>6.495476190476325</v>
      </c>
      <c r="FF82">
        <v>0</v>
      </c>
      <c r="FG82">
        <v>0</v>
      </c>
      <c r="FH82">
        <v>0</v>
      </c>
      <c r="FI82">
        <v>0.05881499999999917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66.3</v>
      </c>
      <c r="FR82">
        <v>66.5</v>
      </c>
      <c r="FS82">
        <v>0.144043</v>
      </c>
      <c r="FT82">
        <v>4.99756</v>
      </c>
      <c r="FU82">
        <v>1.5979</v>
      </c>
      <c r="FV82">
        <v>2.15698</v>
      </c>
      <c r="FW82">
        <v>1.54785</v>
      </c>
      <c r="FX82">
        <v>2.41699</v>
      </c>
      <c r="FY82">
        <v>34.418</v>
      </c>
      <c r="FZ82">
        <v>16.0408</v>
      </c>
      <c r="GA82">
        <v>3</v>
      </c>
      <c r="GB82">
        <v>501.049</v>
      </c>
      <c r="GC82">
        <v>367.433</v>
      </c>
      <c r="GD82">
        <v>24.5001</v>
      </c>
      <c r="GE82">
        <v>28.9284</v>
      </c>
      <c r="GF82">
        <v>30.0003</v>
      </c>
      <c r="GG82">
        <v>28.814</v>
      </c>
      <c r="GH82">
        <v>28.799</v>
      </c>
      <c r="GI82">
        <v>-1</v>
      </c>
      <c r="GJ82">
        <v>100</v>
      </c>
      <c r="GK82">
        <v>0</v>
      </c>
      <c r="GL82">
        <v>24.4839</v>
      </c>
      <c r="GM82">
        <v>1200</v>
      </c>
      <c r="GN82">
        <v>26.7455</v>
      </c>
      <c r="GO82">
        <v>102.507</v>
      </c>
      <c r="GP82">
        <v>97.43770000000001</v>
      </c>
    </row>
    <row r="83" spans="1:198">
      <c r="A83">
        <v>67</v>
      </c>
      <c r="B83">
        <v>1773272824.1</v>
      </c>
      <c r="C83">
        <v>3960.5</v>
      </c>
      <c r="D83" t="s">
        <v>467</v>
      </c>
      <c r="E83" t="s">
        <v>468</v>
      </c>
      <c r="F83">
        <v>15</v>
      </c>
      <c r="G83">
        <v>1773272816.099999</v>
      </c>
      <c r="H83">
        <f>(I83)/1000</f>
        <v>0</v>
      </c>
      <c r="I83">
        <f>1000*AY83*AG83*(AU83-AV83)/(100*AN83*(1000-AG83*AU83))</f>
        <v>0</v>
      </c>
      <c r="J83">
        <f>AY83*AG83*(AT83-AS83*(1000-AG83*AV83)/(1000-AG83*AU83))/(100*AN83)</f>
        <v>0</v>
      </c>
      <c r="K83">
        <f>AS83 - IF(AG83&gt;1, J83*AN83*100.0/(AI83), 0)</f>
        <v>0</v>
      </c>
      <c r="L83">
        <f>((R83-H83/2)*K83-J83)/(R83+H83/2)</f>
        <v>0</v>
      </c>
      <c r="M83">
        <f>L83*(AZ83+BA83)/1000.0</f>
        <v>0</v>
      </c>
      <c r="N83">
        <f>(AS83 - IF(AG83&gt;1, J83*AN83*100.0/(AI83), 0))*(AZ83+BA83)/1000.0</f>
        <v>0</v>
      </c>
      <c r="O83">
        <f>2.0/((1/Q83-1/P83)+SIGN(Q83)*SQRT((1/Q83-1/P83)*(1/Q83-1/P83) + 4*AO83/((AO83+1)*(AO83+1))*(2*1/Q83*1/P83-1/P83*1/P83)))</f>
        <v>0</v>
      </c>
      <c r="P83">
        <f>IF(LEFT(AP83,1)&lt;&gt;"0",IF(LEFT(AP83,1)="1",3.0,AQ83),$D$5+$E$5*(BG83*AZ83/($K$5*1000))+$F$5*(BG83*AZ83/($K$5*1000))*MAX(MIN(AN83,$J$5),$I$5)*MAX(MIN(AN83,$J$5),$I$5)+$G$5*MAX(MIN(AN83,$J$5),$I$5)*(BG83*AZ83/($K$5*1000))+$H$5*(BG83*AZ83/($K$5*1000))*(BG83*AZ83/($K$5*1000)))</f>
        <v>0</v>
      </c>
      <c r="Q83">
        <f>H83*(1000-(1000*0.61365*exp(17.502*U83/(240.97+U83))/(AZ83+BA83)+AU83)/2)/(1000*0.61365*exp(17.502*U83/(240.97+U83))/(AZ83+BA83)-AU83)</f>
        <v>0</v>
      </c>
      <c r="R83">
        <f>1/((AO83+1)/(O83/1.6)+1/(P83/1.37)) + AO83/((AO83+1)/(O83/1.6) + AO83/(P83/1.37))</f>
        <v>0</v>
      </c>
      <c r="S83">
        <f>(AJ83*AM83)</f>
        <v>0</v>
      </c>
      <c r="T83">
        <f>(BB83+(S83+2*0.95*5.67E-8*(((BB83+$B$7)+273)^4-(BB83+273)^4)-44100*H83)/(1.84*29.3*P83+8*0.95*5.67E-8*(BB83+273)^3))</f>
        <v>0</v>
      </c>
      <c r="U83">
        <f>($C$7*BC83+$D$7*BD83+$E$7*T83)</f>
        <v>0</v>
      </c>
      <c r="V83">
        <f>0.61365*exp(17.502*U83/(240.97+U83))</f>
        <v>0</v>
      </c>
      <c r="W83">
        <f>(X83/Y83*100)</f>
        <v>0</v>
      </c>
      <c r="X83">
        <f>AU83*(AZ83+BA83)/1000</f>
        <v>0</v>
      </c>
      <c r="Y83">
        <f>0.61365*exp(17.502*BB83/(240.97+BB83))</f>
        <v>0</v>
      </c>
      <c r="Z83">
        <f>(V83-AU83*(AZ83+BA83)/1000)</f>
        <v>0</v>
      </c>
      <c r="AA83">
        <f>(-H83*44100)</f>
        <v>0</v>
      </c>
      <c r="AB83">
        <f>2*29.3*P83*0.92*(BB83-U83)</f>
        <v>0</v>
      </c>
      <c r="AC83">
        <f>2*0.95*5.67E-8*(((BB83+$B$7)+273)^4-(U83+273)^4)</f>
        <v>0</v>
      </c>
      <c r="AD83">
        <f>S83+AC83+AA83+AB83</f>
        <v>0</v>
      </c>
      <c r="AE83">
        <v>2</v>
      </c>
      <c r="AF83">
        <v>0</v>
      </c>
      <c r="AG83">
        <f>IF(AE83*$H$13&gt;=AI83,1.0,(AI83/(AI83-AE83*$H$13)))</f>
        <v>0</v>
      </c>
      <c r="AH83">
        <f>(AG83-1)*100</f>
        <v>0</v>
      </c>
      <c r="AI83">
        <f>MAX(0,($B$13+$C$13*BG83)/(1+$D$13*BG83)*AZ83/(BB83+273)*$E$13)</f>
        <v>0</v>
      </c>
      <c r="AJ83">
        <f>$B$11*BH83+$C$11*BI83+$D$11*BT83</f>
        <v>0</v>
      </c>
      <c r="AK83">
        <f>AJ83*AL83</f>
        <v>0</v>
      </c>
      <c r="AL83">
        <f>($B$11*$D$9+$C$11*$D$9+$D$11*(BU83*$E$9+BV83*$G$9))/($B$11+$C$11+$D$11)</f>
        <v>0</v>
      </c>
      <c r="AM83">
        <f>($B$11*$K$9+$C$11*$K$9+$D$11*(BU83*$L$9+BV83*$N$9))/($B$11+$C$11+$D$11)</f>
        <v>0</v>
      </c>
      <c r="AN83">
        <v>3</v>
      </c>
      <c r="AO83">
        <v>0.5</v>
      </c>
      <c r="AP83" t="s">
        <v>331</v>
      </c>
      <c r="AQ83">
        <v>2</v>
      </c>
      <c r="AR83">
        <v>1773272816.099999</v>
      </c>
      <c r="AS83">
        <v>496.9808064516128</v>
      </c>
      <c r="AT83">
        <v>495.6358709677419</v>
      </c>
      <c r="AU83">
        <v>9.830918064516128</v>
      </c>
      <c r="AV83">
        <v>9.063840000000001</v>
      </c>
      <c r="AW83">
        <v>490.4852903225806</v>
      </c>
      <c r="AX83">
        <v>9.772103225806452</v>
      </c>
      <c r="AY83">
        <v>500.0036774193549</v>
      </c>
      <c r="AZ83">
        <v>100.2521935483871</v>
      </c>
      <c r="BA83">
        <v>0.03458525806451612</v>
      </c>
      <c r="BB83">
        <v>25.0097193548387</v>
      </c>
      <c r="BC83">
        <v>25.01084838709677</v>
      </c>
      <c r="BD83">
        <v>999.9000000000003</v>
      </c>
      <c r="BE83">
        <v>0</v>
      </c>
      <c r="BF83">
        <v>0</v>
      </c>
      <c r="BG83">
        <v>5002.16129032258</v>
      </c>
      <c r="BH83">
        <v>1.760119677419355</v>
      </c>
      <c r="BI83">
        <v>508.8337096774194</v>
      </c>
      <c r="BJ83">
        <v>1.344980322580645</v>
      </c>
      <c r="BK83">
        <v>501.9149999999998</v>
      </c>
      <c r="BL83">
        <v>500.1693225806451</v>
      </c>
      <c r="BM83">
        <v>0.7670784838709678</v>
      </c>
      <c r="BN83">
        <v>495.6358709677419</v>
      </c>
      <c r="BO83">
        <v>9.063840000000001</v>
      </c>
      <c r="BP83">
        <v>0.985570806451613</v>
      </c>
      <c r="BQ83">
        <v>0.9086695483870968</v>
      </c>
      <c r="BR83">
        <v>6.704796774193548</v>
      </c>
      <c r="BS83">
        <v>5.52878064516129</v>
      </c>
      <c r="BT83">
        <v>0</v>
      </c>
      <c r="BU83">
        <v>0</v>
      </c>
      <c r="BV83">
        <v>0</v>
      </c>
      <c r="BW83">
        <v>26</v>
      </c>
      <c r="BX83">
        <v>39</v>
      </c>
      <c r="BY83">
        <v>1773268786.6</v>
      </c>
      <c r="BZ83" t="s">
        <v>332</v>
      </c>
      <c r="CA83">
        <v>1773268786.6</v>
      </c>
      <c r="CB83">
        <v>1773268774.1</v>
      </c>
      <c r="CC83">
        <v>2</v>
      </c>
      <c r="CD83">
        <v>0.264</v>
      </c>
      <c r="CE83">
        <v>-0.024</v>
      </c>
      <c r="CF83">
        <v>6.495</v>
      </c>
      <c r="CG83">
        <v>0.059</v>
      </c>
      <c r="CH83">
        <v>488</v>
      </c>
      <c r="CI83">
        <v>25</v>
      </c>
      <c r="CJ83">
        <v>0.48</v>
      </c>
      <c r="CK83">
        <v>0.14</v>
      </c>
      <c r="CL83">
        <v>495.6358709677419</v>
      </c>
      <c r="CM83">
        <v>0.8645806451601201</v>
      </c>
      <c r="CN83">
        <v>0.06656829717955733</v>
      </c>
      <c r="CO83">
        <v>-1</v>
      </c>
      <c r="CP83">
        <v>500.0036774193549</v>
      </c>
      <c r="CQ83">
        <v>-0.02704838709854028</v>
      </c>
      <c r="CR83">
        <v>0.04639548580431259</v>
      </c>
      <c r="CS83">
        <v>-1</v>
      </c>
      <c r="CT83">
        <v>0</v>
      </c>
      <c r="CU83">
        <v>0</v>
      </c>
      <c r="CV83" t="s">
        <v>333</v>
      </c>
      <c r="CW83">
        <v>3.16974</v>
      </c>
      <c r="CX83">
        <v>2.65543</v>
      </c>
      <c r="CY83">
        <v>0.114613</v>
      </c>
      <c r="CZ83">
        <v>0.115556</v>
      </c>
      <c r="DA83">
        <v>0.0588192</v>
      </c>
      <c r="DB83">
        <v>0.0551845</v>
      </c>
      <c r="DC83">
        <v>21311.5</v>
      </c>
      <c r="DD83">
        <v>21806.4</v>
      </c>
      <c r="DE83">
        <v>23169.4</v>
      </c>
      <c r="DF83">
        <v>22547.3</v>
      </c>
      <c r="DG83">
        <v>32947.4</v>
      </c>
      <c r="DH83">
        <v>30050.2</v>
      </c>
      <c r="DI83">
        <v>40720.4</v>
      </c>
      <c r="DJ83">
        <v>37321.3</v>
      </c>
      <c r="DK83">
        <v>2.10536</v>
      </c>
      <c r="DL83">
        <v>1.73972</v>
      </c>
      <c r="DM83">
        <v>-0.0454605</v>
      </c>
      <c r="DN83">
        <v>0</v>
      </c>
      <c r="DO83">
        <v>25.7485</v>
      </c>
      <c r="DP83">
        <v>999.9</v>
      </c>
      <c r="DQ83">
        <v>62.4</v>
      </c>
      <c r="DR83">
        <v>29.2</v>
      </c>
      <c r="DS83">
        <v>25.3224</v>
      </c>
      <c r="DT83">
        <v>30.1</v>
      </c>
      <c r="DU83">
        <v>11.5505</v>
      </c>
      <c r="DV83">
        <v>1</v>
      </c>
      <c r="DW83">
        <v>0.141553</v>
      </c>
      <c r="DX83">
        <v>1.1895</v>
      </c>
      <c r="DY83">
        <v>20.3628</v>
      </c>
      <c r="DZ83">
        <v>5.21094</v>
      </c>
      <c r="EA83">
        <v>11.8482</v>
      </c>
      <c r="EB83">
        <v>4.96876</v>
      </c>
      <c r="EC83">
        <v>3.292</v>
      </c>
      <c r="ED83">
        <v>879.4</v>
      </c>
      <c r="EE83">
        <v>9999</v>
      </c>
      <c r="EF83">
        <v>9999</v>
      </c>
      <c r="EG83">
        <v>81.2</v>
      </c>
      <c r="EH83">
        <v>4.9716</v>
      </c>
      <c r="EI83">
        <v>1.8718</v>
      </c>
      <c r="EJ83">
        <v>1.86901</v>
      </c>
      <c r="EK83">
        <v>1.87143</v>
      </c>
      <c r="EL83">
        <v>1.86918</v>
      </c>
      <c r="EM83">
        <v>1.86812</v>
      </c>
      <c r="EN83">
        <v>1.86996</v>
      </c>
      <c r="EO83">
        <v>1.87178</v>
      </c>
      <c r="EP83">
        <v>0</v>
      </c>
      <c r="EQ83">
        <v>0</v>
      </c>
      <c r="ER83">
        <v>0</v>
      </c>
      <c r="ES83">
        <v>0</v>
      </c>
      <c r="ET83" t="s">
        <v>334</v>
      </c>
      <c r="EU83" t="s">
        <v>335</v>
      </c>
      <c r="EV83" t="s">
        <v>336</v>
      </c>
      <c r="EW83" t="s">
        <v>336</v>
      </c>
      <c r="EX83" t="s">
        <v>336</v>
      </c>
      <c r="EY83" t="s">
        <v>336</v>
      </c>
      <c r="EZ83">
        <v>0</v>
      </c>
      <c r="FA83">
        <v>100</v>
      </c>
      <c r="FB83">
        <v>100</v>
      </c>
      <c r="FC83">
        <v>6.496</v>
      </c>
      <c r="FD83">
        <v>0.0588</v>
      </c>
      <c r="FE83">
        <v>6.495476190476325</v>
      </c>
      <c r="FF83">
        <v>0</v>
      </c>
      <c r="FG83">
        <v>0</v>
      </c>
      <c r="FH83">
        <v>0</v>
      </c>
      <c r="FI83">
        <v>0.05881499999999917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67.3</v>
      </c>
      <c r="FR83">
        <v>67.5</v>
      </c>
      <c r="FS83">
        <v>0.144043</v>
      </c>
      <c r="FT83">
        <v>4.99756</v>
      </c>
      <c r="FU83">
        <v>1.5979</v>
      </c>
      <c r="FV83">
        <v>2.15698</v>
      </c>
      <c r="FW83">
        <v>1.54785</v>
      </c>
      <c r="FX83">
        <v>2.39868</v>
      </c>
      <c r="FY83">
        <v>34.5321</v>
      </c>
      <c r="FZ83">
        <v>16.0321</v>
      </c>
      <c r="GA83">
        <v>3</v>
      </c>
      <c r="GB83">
        <v>501.263</v>
      </c>
      <c r="GC83">
        <v>366.821</v>
      </c>
      <c r="GD83">
        <v>24.3032</v>
      </c>
      <c r="GE83">
        <v>28.9794</v>
      </c>
      <c r="GF83">
        <v>30.0004</v>
      </c>
      <c r="GG83">
        <v>28.8647</v>
      </c>
      <c r="GH83">
        <v>28.8504</v>
      </c>
      <c r="GI83">
        <v>-1</v>
      </c>
      <c r="GJ83">
        <v>100</v>
      </c>
      <c r="GK83">
        <v>0</v>
      </c>
      <c r="GL83">
        <v>24.2987</v>
      </c>
      <c r="GM83">
        <v>1200</v>
      </c>
      <c r="GN83">
        <v>26.7455</v>
      </c>
      <c r="GO83">
        <v>102.498</v>
      </c>
      <c r="GP83">
        <v>97.4297</v>
      </c>
    </row>
    <row r="84" spans="1:198">
      <c r="A84">
        <v>68</v>
      </c>
      <c r="B84">
        <v>1773272884.1</v>
      </c>
      <c r="C84">
        <v>4020.5</v>
      </c>
      <c r="D84" t="s">
        <v>469</v>
      </c>
      <c r="E84" t="s">
        <v>470</v>
      </c>
      <c r="F84">
        <v>15</v>
      </c>
      <c r="G84">
        <v>1773272876.099999</v>
      </c>
      <c r="H84">
        <f>(I84)/1000</f>
        <v>0</v>
      </c>
      <c r="I84">
        <f>1000*AY84*AG84*(AU84-AV84)/(100*AN84*(1000-AG84*AU84))</f>
        <v>0</v>
      </c>
      <c r="J84">
        <f>AY84*AG84*(AT84-AS84*(1000-AG84*AV84)/(1000-AG84*AU84))/(100*AN84)</f>
        <v>0</v>
      </c>
      <c r="K84">
        <f>AS84 - IF(AG84&gt;1, J84*AN84*100.0/(AI84), 0)</f>
        <v>0</v>
      </c>
      <c r="L84">
        <f>((R84-H84/2)*K84-J84)/(R84+H84/2)</f>
        <v>0</v>
      </c>
      <c r="M84">
        <f>L84*(AZ84+BA84)/1000.0</f>
        <v>0</v>
      </c>
      <c r="N84">
        <f>(AS84 - IF(AG84&gt;1, J84*AN84*100.0/(AI84), 0))*(AZ84+BA84)/1000.0</f>
        <v>0</v>
      </c>
      <c r="O84">
        <f>2.0/((1/Q84-1/P84)+SIGN(Q84)*SQRT((1/Q84-1/P84)*(1/Q84-1/P84) + 4*AO84/((AO84+1)*(AO84+1))*(2*1/Q84*1/P84-1/P84*1/P84)))</f>
        <v>0</v>
      </c>
      <c r="P84">
        <f>IF(LEFT(AP84,1)&lt;&gt;"0",IF(LEFT(AP84,1)="1",3.0,AQ84),$D$5+$E$5*(BG84*AZ84/($K$5*1000))+$F$5*(BG84*AZ84/($K$5*1000))*MAX(MIN(AN84,$J$5),$I$5)*MAX(MIN(AN84,$J$5),$I$5)+$G$5*MAX(MIN(AN84,$J$5),$I$5)*(BG84*AZ84/($K$5*1000))+$H$5*(BG84*AZ84/($K$5*1000))*(BG84*AZ84/($K$5*1000)))</f>
        <v>0</v>
      </c>
      <c r="Q84">
        <f>H84*(1000-(1000*0.61365*exp(17.502*U84/(240.97+U84))/(AZ84+BA84)+AU84)/2)/(1000*0.61365*exp(17.502*U84/(240.97+U84))/(AZ84+BA84)-AU84)</f>
        <v>0</v>
      </c>
      <c r="R84">
        <f>1/((AO84+1)/(O84/1.6)+1/(P84/1.37)) + AO84/((AO84+1)/(O84/1.6) + AO84/(P84/1.37))</f>
        <v>0</v>
      </c>
      <c r="S84">
        <f>(AJ84*AM84)</f>
        <v>0</v>
      </c>
      <c r="T84">
        <f>(BB84+(S84+2*0.95*5.67E-8*(((BB84+$B$7)+273)^4-(BB84+273)^4)-44100*H84)/(1.84*29.3*P84+8*0.95*5.67E-8*(BB84+273)^3))</f>
        <v>0</v>
      </c>
      <c r="U84">
        <f>($C$7*BC84+$D$7*BD84+$E$7*T84)</f>
        <v>0</v>
      </c>
      <c r="V84">
        <f>0.61365*exp(17.502*U84/(240.97+U84))</f>
        <v>0</v>
      </c>
      <c r="W84">
        <f>(X84/Y84*100)</f>
        <v>0</v>
      </c>
      <c r="X84">
        <f>AU84*(AZ84+BA84)/1000</f>
        <v>0</v>
      </c>
      <c r="Y84">
        <f>0.61365*exp(17.502*BB84/(240.97+BB84))</f>
        <v>0</v>
      </c>
      <c r="Z84">
        <f>(V84-AU84*(AZ84+BA84)/1000)</f>
        <v>0</v>
      </c>
      <c r="AA84">
        <f>(-H84*44100)</f>
        <v>0</v>
      </c>
      <c r="AB84">
        <f>2*29.3*P84*0.92*(BB84-U84)</f>
        <v>0</v>
      </c>
      <c r="AC84">
        <f>2*0.95*5.67E-8*(((BB84+$B$7)+273)^4-(U84+273)^4)</f>
        <v>0</v>
      </c>
      <c r="AD84">
        <f>S84+AC84+AA84+AB84</f>
        <v>0</v>
      </c>
      <c r="AE84">
        <v>2</v>
      </c>
      <c r="AF84">
        <v>0</v>
      </c>
      <c r="AG84">
        <f>IF(AE84*$H$13&gt;=AI84,1.0,(AI84/(AI84-AE84*$H$13)))</f>
        <v>0</v>
      </c>
      <c r="AH84">
        <f>(AG84-1)*100</f>
        <v>0</v>
      </c>
      <c r="AI84">
        <f>MAX(0,($B$13+$C$13*BG84)/(1+$D$13*BG84)*AZ84/(BB84+273)*$E$13)</f>
        <v>0</v>
      </c>
      <c r="AJ84">
        <f>$B$11*BH84+$C$11*BI84+$D$11*BT84</f>
        <v>0</v>
      </c>
      <c r="AK84">
        <f>AJ84*AL84</f>
        <v>0</v>
      </c>
      <c r="AL84">
        <f>($B$11*$D$9+$C$11*$D$9+$D$11*(BU84*$E$9+BV84*$G$9))/($B$11+$C$11+$D$11)</f>
        <v>0</v>
      </c>
      <c r="AM84">
        <f>($B$11*$K$9+$C$11*$K$9+$D$11*(BU84*$L$9+BV84*$N$9))/($B$11+$C$11+$D$11)</f>
        <v>0</v>
      </c>
      <c r="AN84">
        <v>3</v>
      </c>
      <c r="AO84">
        <v>0.5</v>
      </c>
      <c r="AP84" t="s">
        <v>331</v>
      </c>
      <c r="AQ84">
        <v>2</v>
      </c>
      <c r="AR84">
        <v>1773272876.099999</v>
      </c>
      <c r="AS84">
        <v>496.9673225806451</v>
      </c>
      <c r="AT84">
        <v>495.0949354838709</v>
      </c>
      <c r="AU84">
        <v>9.88045935483871</v>
      </c>
      <c r="AV84">
        <v>9.100144516129031</v>
      </c>
      <c r="AW84">
        <v>490.471806451613</v>
      </c>
      <c r="AX84">
        <v>9.821644838709677</v>
      </c>
      <c r="AY84">
        <v>499.9920967741936</v>
      </c>
      <c r="AZ84">
        <v>100.2539677419355</v>
      </c>
      <c r="BA84">
        <v>0.03484544193548387</v>
      </c>
      <c r="BB84">
        <v>25.01448709677419</v>
      </c>
      <c r="BC84">
        <v>25.02869354838709</v>
      </c>
      <c r="BD84">
        <v>999.9000000000003</v>
      </c>
      <c r="BE84">
        <v>0</v>
      </c>
      <c r="BF84">
        <v>0</v>
      </c>
      <c r="BG84">
        <v>4999.548387096775</v>
      </c>
      <c r="BH84">
        <v>1.756698064516129</v>
      </c>
      <c r="BI84">
        <v>529.1241935483872</v>
      </c>
      <c r="BJ84">
        <v>1.872336451612903</v>
      </c>
      <c r="BK84">
        <v>501.9267096774194</v>
      </c>
      <c r="BL84">
        <v>499.6418387096774</v>
      </c>
      <c r="BM84">
        <v>0.7803158709677418</v>
      </c>
      <c r="BN84">
        <v>495.0949354838709</v>
      </c>
      <c r="BO84">
        <v>9.100144516129031</v>
      </c>
      <c r="BP84">
        <v>0.9905545483870967</v>
      </c>
      <c r="BQ84">
        <v>0.9123248064516127</v>
      </c>
      <c r="BR84">
        <v>6.778182258064516</v>
      </c>
      <c r="BS84">
        <v>5.586633548387096</v>
      </c>
      <c r="BT84">
        <v>0</v>
      </c>
      <c r="BU84">
        <v>0</v>
      </c>
      <c r="BV84">
        <v>0</v>
      </c>
      <c r="BW84">
        <v>26</v>
      </c>
      <c r="BX84">
        <v>40.26666774193549</v>
      </c>
      <c r="BY84">
        <v>1773268786.6</v>
      </c>
      <c r="BZ84" t="s">
        <v>332</v>
      </c>
      <c r="CA84">
        <v>1773268786.6</v>
      </c>
      <c r="CB84">
        <v>1773268774.1</v>
      </c>
      <c r="CC84">
        <v>2</v>
      </c>
      <c r="CD84">
        <v>0.264</v>
      </c>
      <c r="CE84">
        <v>-0.024</v>
      </c>
      <c r="CF84">
        <v>6.495</v>
      </c>
      <c r="CG84">
        <v>0.059</v>
      </c>
      <c r="CH84">
        <v>488</v>
      </c>
      <c r="CI84">
        <v>25</v>
      </c>
      <c r="CJ84">
        <v>0.48</v>
      </c>
      <c r="CK84">
        <v>0.14</v>
      </c>
      <c r="CL84">
        <v>495.0949354838709</v>
      </c>
      <c r="CM84">
        <v>-4.139032258065567</v>
      </c>
      <c r="CN84">
        <v>0.3094789518596088</v>
      </c>
      <c r="CO84">
        <v>-1</v>
      </c>
      <c r="CP84">
        <v>499.9920967741936</v>
      </c>
      <c r="CQ84">
        <v>0.2586290322585936</v>
      </c>
      <c r="CR84">
        <v>0.03419899530566584</v>
      </c>
      <c r="CS84">
        <v>-1</v>
      </c>
      <c r="CT84">
        <v>0</v>
      </c>
      <c r="CU84">
        <v>0</v>
      </c>
      <c r="CV84" t="s">
        <v>333</v>
      </c>
      <c r="CW84">
        <v>3.16973</v>
      </c>
      <c r="CX84">
        <v>2.65569</v>
      </c>
      <c r="CY84">
        <v>0.114503</v>
      </c>
      <c r="CZ84">
        <v>0.115342</v>
      </c>
      <c r="DA84">
        <v>0.0590305</v>
      </c>
      <c r="DB84">
        <v>0.0553383</v>
      </c>
      <c r="DC84">
        <v>21311.3</v>
      </c>
      <c r="DD84">
        <v>21810.1</v>
      </c>
      <c r="DE84">
        <v>23166.6</v>
      </c>
      <c r="DF84">
        <v>22545.8</v>
      </c>
      <c r="DG84">
        <v>32936.1</v>
      </c>
      <c r="DH84">
        <v>30043</v>
      </c>
      <c r="DI84">
        <v>40715.8</v>
      </c>
      <c r="DJ84">
        <v>37318.6</v>
      </c>
      <c r="DK84">
        <v>2.10486</v>
      </c>
      <c r="DL84">
        <v>1.73798</v>
      </c>
      <c r="DM84">
        <v>-0.0480771</v>
      </c>
      <c r="DN84">
        <v>0</v>
      </c>
      <c r="DO84">
        <v>25.8196</v>
      </c>
      <c r="DP84">
        <v>999.9</v>
      </c>
      <c r="DQ84">
        <v>62.2</v>
      </c>
      <c r="DR84">
        <v>29.3</v>
      </c>
      <c r="DS84">
        <v>25.3884</v>
      </c>
      <c r="DT84">
        <v>30.46</v>
      </c>
      <c r="DU84">
        <v>11.8069</v>
      </c>
      <c r="DV84">
        <v>1</v>
      </c>
      <c r="DW84">
        <v>0.146346</v>
      </c>
      <c r="DX84">
        <v>1.36698</v>
      </c>
      <c r="DY84">
        <v>20.361</v>
      </c>
      <c r="DZ84">
        <v>5.21166</v>
      </c>
      <c r="EA84">
        <v>11.8482</v>
      </c>
      <c r="EB84">
        <v>4.96816</v>
      </c>
      <c r="EC84">
        <v>3.292</v>
      </c>
      <c r="ED84">
        <v>879.4</v>
      </c>
      <c r="EE84">
        <v>9999</v>
      </c>
      <c r="EF84">
        <v>9999</v>
      </c>
      <c r="EG84">
        <v>81.2</v>
      </c>
      <c r="EH84">
        <v>4.97161</v>
      </c>
      <c r="EI84">
        <v>1.87181</v>
      </c>
      <c r="EJ84">
        <v>1.869</v>
      </c>
      <c r="EK84">
        <v>1.87143</v>
      </c>
      <c r="EL84">
        <v>1.8692</v>
      </c>
      <c r="EM84">
        <v>1.86811</v>
      </c>
      <c r="EN84">
        <v>1.86996</v>
      </c>
      <c r="EO84">
        <v>1.87177</v>
      </c>
      <c r="EP84">
        <v>0</v>
      </c>
      <c r="EQ84">
        <v>0</v>
      </c>
      <c r="ER84">
        <v>0</v>
      </c>
      <c r="ES84">
        <v>0</v>
      </c>
      <c r="ET84" t="s">
        <v>334</v>
      </c>
      <c r="EU84" t="s">
        <v>335</v>
      </c>
      <c r="EV84" t="s">
        <v>336</v>
      </c>
      <c r="EW84" t="s">
        <v>336</v>
      </c>
      <c r="EX84" t="s">
        <v>336</v>
      </c>
      <c r="EY84" t="s">
        <v>336</v>
      </c>
      <c r="EZ84">
        <v>0</v>
      </c>
      <c r="FA84">
        <v>100</v>
      </c>
      <c r="FB84">
        <v>100</v>
      </c>
      <c r="FC84">
        <v>6.496</v>
      </c>
      <c r="FD84">
        <v>0.0588</v>
      </c>
      <c r="FE84">
        <v>6.495476190476325</v>
      </c>
      <c r="FF84">
        <v>0</v>
      </c>
      <c r="FG84">
        <v>0</v>
      </c>
      <c r="FH84">
        <v>0</v>
      </c>
      <c r="FI84">
        <v>0.05881499999999917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68.3</v>
      </c>
      <c r="FR84">
        <v>68.5</v>
      </c>
      <c r="FS84">
        <v>0.144043</v>
      </c>
      <c r="FT84">
        <v>4.99756</v>
      </c>
      <c r="FU84">
        <v>1.5979</v>
      </c>
      <c r="FV84">
        <v>2.15698</v>
      </c>
      <c r="FW84">
        <v>1.54785</v>
      </c>
      <c r="FX84">
        <v>2.40601</v>
      </c>
      <c r="FY84">
        <v>34.6692</v>
      </c>
      <c r="FZ84">
        <v>16.0321</v>
      </c>
      <c r="GA84">
        <v>3</v>
      </c>
      <c r="GB84">
        <v>501.402</v>
      </c>
      <c r="GC84">
        <v>366.226</v>
      </c>
      <c r="GD84">
        <v>24.1739</v>
      </c>
      <c r="GE84">
        <v>29.04</v>
      </c>
      <c r="GF84">
        <v>30.0005</v>
      </c>
      <c r="GG84">
        <v>28.9191</v>
      </c>
      <c r="GH84">
        <v>28.9045</v>
      </c>
      <c r="GI84">
        <v>-1</v>
      </c>
      <c r="GJ84">
        <v>100</v>
      </c>
      <c r="GK84">
        <v>0</v>
      </c>
      <c r="GL84">
        <v>24.1575</v>
      </c>
      <c r="GM84">
        <v>1200</v>
      </c>
      <c r="GN84">
        <v>26.7455</v>
      </c>
      <c r="GO84">
        <v>102.487</v>
      </c>
      <c r="GP84">
        <v>97.423</v>
      </c>
    </row>
    <row r="85" spans="1:198">
      <c r="A85">
        <v>69</v>
      </c>
      <c r="B85">
        <v>1773272944.5</v>
      </c>
      <c r="C85">
        <v>4080.900000095367</v>
      </c>
      <c r="D85" t="s">
        <v>471</v>
      </c>
      <c r="E85" t="s">
        <v>472</v>
      </c>
      <c r="F85">
        <v>15</v>
      </c>
      <c r="G85">
        <v>1773272936.5</v>
      </c>
      <c r="H85">
        <f>(I85)/1000</f>
        <v>0</v>
      </c>
      <c r="I85">
        <f>1000*AY85*AG85*(AU85-AV85)/(100*AN85*(1000-AG85*AU85))</f>
        <v>0</v>
      </c>
      <c r="J85">
        <f>AY85*AG85*(AT85-AS85*(1000-AG85*AV85)/(1000-AG85*AU85))/(100*AN85)</f>
        <v>0</v>
      </c>
      <c r="K85">
        <f>AS85 - IF(AG85&gt;1, J85*AN85*100.0/(AI85), 0)</f>
        <v>0</v>
      </c>
      <c r="L85">
        <f>((R85-H85/2)*K85-J85)/(R85+H85/2)</f>
        <v>0</v>
      </c>
      <c r="M85">
        <f>L85*(AZ85+BA85)/1000.0</f>
        <v>0</v>
      </c>
      <c r="N85">
        <f>(AS85 - IF(AG85&gt;1, J85*AN85*100.0/(AI85), 0))*(AZ85+BA85)/1000.0</f>
        <v>0</v>
      </c>
      <c r="O85">
        <f>2.0/((1/Q85-1/P85)+SIGN(Q85)*SQRT((1/Q85-1/P85)*(1/Q85-1/P85) + 4*AO85/((AO85+1)*(AO85+1))*(2*1/Q85*1/P85-1/P85*1/P85)))</f>
        <v>0</v>
      </c>
      <c r="P85">
        <f>IF(LEFT(AP85,1)&lt;&gt;"0",IF(LEFT(AP85,1)="1",3.0,AQ85),$D$5+$E$5*(BG85*AZ85/($K$5*1000))+$F$5*(BG85*AZ85/($K$5*1000))*MAX(MIN(AN85,$J$5),$I$5)*MAX(MIN(AN85,$J$5),$I$5)+$G$5*MAX(MIN(AN85,$J$5),$I$5)*(BG85*AZ85/($K$5*1000))+$H$5*(BG85*AZ85/($K$5*1000))*(BG85*AZ85/($K$5*1000)))</f>
        <v>0</v>
      </c>
      <c r="Q85">
        <f>H85*(1000-(1000*0.61365*exp(17.502*U85/(240.97+U85))/(AZ85+BA85)+AU85)/2)/(1000*0.61365*exp(17.502*U85/(240.97+U85))/(AZ85+BA85)-AU85)</f>
        <v>0</v>
      </c>
      <c r="R85">
        <f>1/((AO85+1)/(O85/1.6)+1/(P85/1.37)) + AO85/((AO85+1)/(O85/1.6) + AO85/(P85/1.37))</f>
        <v>0</v>
      </c>
      <c r="S85">
        <f>(AJ85*AM85)</f>
        <v>0</v>
      </c>
      <c r="T85">
        <f>(BB85+(S85+2*0.95*5.67E-8*(((BB85+$B$7)+273)^4-(BB85+273)^4)-44100*H85)/(1.84*29.3*P85+8*0.95*5.67E-8*(BB85+273)^3))</f>
        <v>0</v>
      </c>
      <c r="U85">
        <f>($C$7*BC85+$D$7*BD85+$E$7*T85)</f>
        <v>0</v>
      </c>
      <c r="V85">
        <f>0.61365*exp(17.502*U85/(240.97+U85))</f>
        <v>0</v>
      </c>
      <c r="W85">
        <f>(X85/Y85*100)</f>
        <v>0</v>
      </c>
      <c r="X85">
        <f>AU85*(AZ85+BA85)/1000</f>
        <v>0</v>
      </c>
      <c r="Y85">
        <f>0.61365*exp(17.502*BB85/(240.97+BB85))</f>
        <v>0</v>
      </c>
      <c r="Z85">
        <f>(V85-AU85*(AZ85+BA85)/1000)</f>
        <v>0</v>
      </c>
      <c r="AA85">
        <f>(-H85*44100)</f>
        <v>0</v>
      </c>
      <c r="AB85">
        <f>2*29.3*P85*0.92*(BB85-U85)</f>
        <v>0</v>
      </c>
      <c r="AC85">
        <f>2*0.95*5.67E-8*(((BB85+$B$7)+273)^4-(U85+273)^4)</f>
        <v>0</v>
      </c>
      <c r="AD85">
        <f>S85+AC85+AA85+AB85</f>
        <v>0</v>
      </c>
      <c r="AE85">
        <v>1</v>
      </c>
      <c r="AF85">
        <v>0</v>
      </c>
      <c r="AG85">
        <f>IF(AE85*$H$13&gt;=AI85,1.0,(AI85/(AI85-AE85*$H$13)))</f>
        <v>0</v>
      </c>
      <c r="AH85">
        <f>(AG85-1)*100</f>
        <v>0</v>
      </c>
      <c r="AI85">
        <f>MAX(0,($B$13+$C$13*BG85)/(1+$D$13*BG85)*AZ85/(BB85+273)*$E$13)</f>
        <v>0</v>
      </c>
      <c r="AJ85">
        <f>$B$11*BH85+$C$11*BI85+$D$11*BT85</f>
        <v>0</v>
      </c>
      <c r="AK85">
        <f>AJ85*AL85</f>
        <v>0</v>
      </c>
      <c r="AL85">
        <f>($B$11*$D$9+$C$11*$D$9+$D$11*(BU85*$E$9+BV85*$G$9))/($B$11+$C$11+$D$11)</f>
        <v>0</v>
      </c>
      <c r="AM85">
        <f>($B$11*$K$9+$C$11*$K$9+$D$11*(BU85*$L$9+BV85*$N$9))/($B$11+$C$11+$D$11)</f>
        <v>0</v>
      </c>
      <c r="AN85">
        <v>3</v>
      </c>
      <c r="AO85">
        <v>0.5</v>
      </c>
      <c r="AP85" t="s">
        <v>331</v>
      </c>
      <c r="AQ85">
        <v>2</v>
      </c>
      <c r="AR85">
        <v>1773272936.5</v>
      </c>
      <c r="AS85">
        <v>494.7543870967741</v>
      </c>
      <c r="AT85">
        <v>492.5075483870968</v>
      </c>
      <c r="AU85">
        <v>9.916808709677417</v>
      </c>
      <c r="AV85">
        <v>9.120322903225807</v>
      </c>
      <c r="AW85">
        <v>488.2590322580646</v>
      </c>
      <c r="AX85">
        <v>9.857994516129034</v>
      </c>
      <c r="AY85">
        <v>499.9784838709678</v>
      </c>
      <c r="AZ85">
        <v>100.255</v>
      </c>
      <c r="BA85">
        <v>0.03495217419354837</v>
      </c>
      <c r="BB85">
        <v>25.00762903225806</v>
      </c>
      <c r="BC85">
        <v>25.03285483870968</v>
      </c>
      <c r="BD85">
        <v>999.9000000000003</v>
      </c>
      <c r="BE85">
        <v>0</v>
      </c>
      <c r="BF85">
        <v>0</v>
      </c>
      <c r="BG85">
        <v>4995.032258064516</v>
      </c>
      <c r="BH85">
        <v>1.801731612903225</v>
      </c>
      <c r="BI85">
        <v>546.1310322580645</v>
      </c>
      <c r="BJ85">
        <v>2.246924193548386</v>
      </c>
      <c r="BK85">
        <v>499.7100000000001</v>
      </c>
      <c r="BL85">
        <v>497.0406451612902</v>
      </c>
      <c r="BM85">
        <v>0.7964857096774194</v>
      </c>
      <c r="BN85">
        <v>492.5075483870968</v>
      </c>
      <c r="BO85">
        <v>9.120322903225807</v>
      </c>
      <c r="BP85">
        <v>0.9942099999999999</v>
      </c>
      <c r="BQ85">
        <v>0.9143582580645162</v>
      </c>
      <c r="BR85">
        <v>6.831803225806452</v>
      </c>
      <c r="BS85">
        <v>5.618730645161291</v>
      </c>
      <c r="BT85">
        <v>0</v>
      </c>
      <c r="BU85">
        <v>0</v>
      </c>
      <c r="BV85">
        <v>0</v>
      </c>
      <c r="BW85">
        <v>26</v>
      </c>
      <c r="BX85">
        <v>41.24193548387097</v>
      </c>
      <c r="BY85">
        <v>1773268786.6</v>
      </c>
      <c r="BZ85" t="s">
        <v>332</v>
      </c>
      <c r="CA85">
        <v>1773268786.6</v>
      </c>
      <c r="CB85">
        <v>1773268774.1</v>
      </c>
      <c r="CC85">
        <v>2</v>
      </c>
      <c r="CD85">
        <v>0.264</v>
      </c>
      <c r="CE85">
        <v>-0.024</v>
      </c>
      <c r="CF85">
        <v>6.495</v>
      </c>
      <c r="CG85">
        <v>0.059</v>
      </c>
      <c r="CH85">
        <v>488</v>
      </c>
      <c r="CI85">
        <v>25</v>
      </c>
      <c r="CJ85">
        <v>0.48</v>
      </c>
      <c r="CK85">
        <v>0.14</v>
      </c>
      <c r="CL85">
        <v>492.5075483870968</v>
      </c>
      <c r="CM85">
        <v>-6.837435483871503</v>
      </c>
      <c r="CN85">
        <v>0.5204011999880571</v>
      </c>
      <c r="CO85">
        <v>-1</v>
      </c>
      <c r="CP85">
        <v>499.9784838709678</v>
      </c>
      <c r="CQ85">
        <v>0.2230161290322288</v>
      </c>
      <c r="CR85">
        <v>0.0556688776014226</v>
      </c>
      <c r="CS85">
        <v>-1</v>
      </c>
      <c r="CT85">
        <v>0</v>
      </c>
      <c r="CU85">
        <v>0</v>
      </c>
      <c r="CV85" t="s">
        <v>333</v>
      </c>
      <c r="CW85">
        <v>3.16982</v>
      </c>
      <c r="CX85">
        <v>2.6559</v>
      </c>
      <c r="CY85">
        <v>0.114053</v>
      </c>
      <c r="CZ85">
        <v>0.114858</v>
      </c>
      <c r="DA85">
        <v>0.0591865</v>
      </c>
      <c r="DB85">
        <v>0.0554181</v>
      </c>
      <c r="DC85">
        <v>21319.6</v>
      </c>
      <c r="DD85">
        <v>21820.1</v>
      </c>
      <c r="DE85">
        <v>23164.1</v>
      </c>
      <c r="DF85">
        <v>22544</v>
      </c>
      <c r="DG85">
        <v>32927.4</v>
      </c>
      <c r="DH85">
        <v>30037.8</v>
      </c>
      <c r="DI85">
        <v>40711.9</v>
      </c>
      <c r="DJ85">
        <v>37315.4</v>
      </c>
      <c r="DK85">
        <v>2.10446</v>
      </c>
      <c r="DL85">
        <v>1.7367</v>
      </c>
      <c r="DM85">
        <v>-0.0496119</v>
      </c>
      <c r="DN85">
        <v>0</v>
      </c>
      <c r="DO85">
        <v>25.8533</v>
      </c>
      <c r="DP85">
        <v>999.9</v>
      </c>
      <c r="DQ85">
        <v>61.8</v>
      </c>
      <c r="DR85">
        <v>29.4</v>
      </c>
      <c r="DS85">
        <v>25.3702</v>
      </c>
      <c r="DT85">
        <v>29.77</v>
      </c>
      <c r="DU85">
        <v>11.6546</v>
      </c>
      <c r="DV85">
        <v>1</v>
      </c>
      <c r="DW85">
        <v>0.150543</v>
      </c>
      <c r="DX85">
        <v>1.202</v>
      </c>
      <c r="DY85">
        <v>20.3628</v>
      </c>
      <c r="DZ85">
        <v>5.21298</v>
      </c>
      <c r="EA85">
        <v>11.8482</v>
      </c>
      <c r="EB85">
        <v>4.96832</v>
      </c>
      <c r="EC85">
        <v>3.292</v>
      </c>
      <c r="ED85">
        <v>879.4</v>
      </c>
      <c r="EE85">
        <v>9999</v>
      </c>
      <c r="EF85">
        <v>9999</v>
      </c>
      <c r="EG85">
        <v>81.2</v>
      </c>
      <c r="EH85">
        <v>4.97159</v>
      </c>
      <c r="EI85">
        <v>1.87181</v>
      </c>
      <c r="EJ85">
        <v>1.86903</v>
      </c>
      <c r="EK85">
        <v>1.87144</v>
      </c>
      <c r="EL85">
        <v>1.86918</v>
      </c>
      <c r="EM85">
        <v>1.86811</v>
      </c>
      <c r="EN85">
        <v>1.86996</v>
      </c>
      <c r="EO85">
        <v>1.87177</v>
      </c>
      <c r="EP85">
        <v>0</v>
      </c>
      <c r="EQ85">
        <v>0</v>
      </c>
      <c r="ER85">
        <v>0</v>
      </c>
      <c r="ES85">
        <v>0</v>
      </c>
      <c r="ET85" t="s">
        <v>334</v>
      </c>
      <c r="EU85" t="s">
        <v>335</v>
      </c>
      <c r="EV85" t="s">
        <v>336</v>
      </c>
      <c r="EW85" t="s">
        <v>336</v>
      </c>
      <c r="EX85" t="s">
        <v>336</v>
      </c>
      <c r="EY85" t="s">
        <v>336</v>
      </c>
      <c r="EZ85">
        <v>0</v>
      </c>
      <c r="FA85">
        <v>100</v>
      </c>
      <c r="FB85">
        <v>100</v>
      </c>
      <c r="FC85">
        <v>6.496</v>
      </c>
      <c r="FD85">
        <v>0.0588</v>
      </c>
      <c r="FE85">
        <v>6.495476190476325</v>
      </c>
      <c r="FF85">
        <v>0</v>
      </c>
      <c r="FG85">
        <v>0</v>
      </c>
      <c r="FH85">
        <v>0</v>
      </c>
      <c r="FI85">
        <v>0.05881499999999917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69.3</v>
      </c>
      <c r="FR85">
        <v>69.5</v>
      </c>
      <c r="FS85">
        <v>0.144043</v>
      </c>
      <c r="FT85">
        <v>4.99756</v>
      </c>
      <c r="FU85">
        <v>1.5979</v>
      </c>
      <c r="FV85">
        <v>2.15576</v>
      </c>
      <c r="FW85">
        <v>1.54785</v>
      </c>
      <c r="FX85">
        <v>2.44751</v>
      </c>
      <c r="FY85">
        <v>34.7608</v>
      </c>
      <c r="FZ85">
        <v>16.0321</v>
      </c>
      <c r="GA85">
        <v>3</v>
      </c>
      <c r="GB85">
        <v>501.615</v>
      </c>
      <c r="GC85">
        <v>365.874</v>
      </c>
      <c r="GD85">
        <v>24.3815</v>
      </c>
      <c r="GE85">
        <v>29.1029</v>
      </c>
      <c r="GF85">
        <v>30.0007</v>
      </c>
      <c r="GG85">
        <v>28.9756</v>
      </c>
      <c r="GH85">
        <v>28.959</v>
      </c>
      <c r="GI85">
        <v>-1</v>
      </c>
      <c r="GJ85">
        <v>100</v>
      </c>
      <c r="GK85">
        <v>0</v>
      </c>
      <c r="GL85">
        <v>24.3578</v>
      </c>
      <c r="GM85">
        <v>1200</v>
      </c>
      <c r="GN85">
        <v>26.7455</v>
      </c>
      <c r="GO85">
        <v>102.476</v>
      </c>
      <c r="GP85">
        <v>97.4148</v>
      </c>
    </row>
    <row r="86" spans="1:198">
      <c r="A86">
        <v>70</v>
      </c>
      <c r="B86">
        <v>1773273004.5</v>
      </c>
      <c r="C86">
        <v>4140.900000095367</v>
      </c>
      <c r="D86" t="s">
        <v>473</v>
      </c>
      <c r="E86" t="s">
        <v>474</v>
      </c>
      <c r="F86">
        <v>15</v>
      </c>
      <c r="G86">
        <v>1773272996.5</v>
      </c>
      <c r="H86">
        <f>(I86)/1000</f>
        <v>0</v>
      </c>
      <c r="I86">
        <f>1000*AY86*AG86*(AU86-AV86)/(100*AN86*(1000-AG86*AU86))</f>
        <v>0</v>
      </c>
      <c r="J86">
        <f>AY86*AG86*(AT86-AS86*(1000-AG86*AV86)/(1000-AG86*AU86))/(100*AN86)</f>
        <v>0</v>
      </c>
      <c r="K86">
        <f>AS86 - IF(AG86&gt;1, J86*AN86*100.0/(AI86), 0)</f>
        <v>0</v>
      </c>
      <c r="L86">
        <f>((R86-H86/2)*K86-J86)/(R86+H86/2)</f>
        <v>0</v>
      </c>
      <c r="M86">
        <f>L86*(AZ86+BA86)/1000.0</f>
        <v>0</v>
      </c>
      <c r="N86">
        <f>(AS86 - IF(AG86&gt;1, J86*AN86*100.0/(AI86), 0))*(AZ86+BA86)/1000.0</f>
        <v>0</v>
      </c>
      <c r="O86">
        <f>2.0/((1/Q86-1/P86)+SIGN(Q86)*SQRT((1/Q86-1/P86)*(1/Q86-1/P86) + 4*AO86/((AO86+1)*(AO86+1))*(2*1/Q86*1/P86-1/P86*1/P86)))</f>
        <v>0</v>
      </c>
      <c r="P86">
        <f>IF(LEFT(AP86,1)&lt;&gt;"0",IF(LEFT(AP86,1)="1",3.0,AQ86),$D$5+$E$5*(BG86*AZ86/($K$5*1000))+$F$5*(BG86*AZ86/($K$5*1000))*MAX(MIN(AN86,$J$5),$I$5)*MAX(MIN(AN86,$J$5),$I$5)+$G$5*MAX(MIN(AN86,$J$5),$I$5)*(BG86*AZ86/($K$5*1000))+$H$5*(BG86*AZ86/($K$5*1000))*(BG86*AZ86/($K$5*1000)))</f>
        <v>0</v>
      </c>
      <c r="Q86">
        <f>H86*(1000-(1000*0.61365*exp(17.502*U86/(240.97+U86))/(AZ86+BA86)+AU86)/2)/(1000*0.61365*exp(17.502*U86/(240.97+U86))/(AZ86+BA86)-AU86)</f>
        <v>0</v>
      </c>
      <c r="R86">
        <f>1/((AO86+1)/(O86/1.6)+1/(P86/1.37)) + AO86/((AO86+1)/(O86/1.6) + AO86/(P86/1.37))</f>
        <v>0</v>
      </c>
      <c r="S86">
        <f>(AJ86*AM86)</f>
        <v>0</v>
      </c>
      <c r="T86">
        <f>(BB86+(S86+2*0.95*5.67E-8*(((BB86+$B$7)+273)^4-(BB86+273)^4)-44100*H86)/(1.84*29.3*P86+8*0.95*5.67E-8*(BB86+273)^3))</f>
        <v>0</v>
      </c>
      <c r="U86">
        <f>($C$7*BC86+$D$7*BD86+$E$7*T86)</f>
        <v>0</v>
      </c>
      <c r="V86">
        <f>0.61365*exp(17.502*U86/(240.97+U86))</f>
        <v>0</v>
      </c>
      <c r="W86">
        <f>(X86/Y86*100)</f>
        <v>0</v>
      </c>
      <c r="X86">
        <f>AU86*(AZ86+BA86)/1000</f>
        <v>0</v>
      </c>
      <c r="Y86">
        <f>0.61365*exp(17.502*BB86/(240.97+BB86))</f>
        <v>0</v>
      </c>
      <c r="Z86">
        <f>(V86-AU86*(AZ86+BA86)/1000)</f>
        <v>0</v>
      </c>
      <c r="AA86">
        <f>(-H86*44100)</f>
        <v>0</v>
      </c>
      <c r="AB86">
        <f>2*29.3*P86*0.92*(BB86-U86)</f>
        <v>0</v>
      </c>
      <c r="AC86">
        <f>2*0.95*5.67E-8*(((BB86+$B$7)+273)^4-(U86+273)^4)</f>
        <v>0</v>
      </c>
      <c r="AD86">
        <f>S86+AC86+AA86+AB86</f>
        <v>0</v>
      </c>
      <c r="AE86">
        <v>1</v>
      </c>
      <c r="AF86">
        <v>0</v>
      </c>
      <c r="AG86">
        <f>IF(AE86*$H$13&gt;=AI86,1.0,(AI86/(AI86-AE86*$H$13)))</f>
        <v>0</v>
      </c>
      <c r="AH86">
        <f>(AG86-1)*100</f>
        <v>0</v>
      </c>
      <c r="AI86">
        <f>MAX(0,($B$13+$C$13*BG86)/(1+$D$13*BG86)*AZ86/(BB86+273)*$E$13)</f>
        <v>0</v>
      </c>
      <c r="AJ86">
        <f>$B$11*BH86+$C$11*BI86+$D$11*BT86</f>
        <v>0</v>
      </c>
      <c r="AK86">
        <f>AJ86*AL86</f>
        <v>0</v>
      </c>
      <c r="AL86">
        <f>($B$11*$D$9+$C$11*$D$9+$D$11*(BU86*$E$9+BV86*$G$9))/($B$11+$C$11+$D$11)</f>
        <v>0</v>
      </c>
      <c r="AM86">
        <f>($B$11*$K$9+$C$11*$K$9+$D$11*(BU86*$L$9+BV86*$N$9))/($B$11+$C$11+$D$11)</f>
        <v>0</v>
      </c>
      <c r="AN86">
        <v>3</v>
      </c>
      <c r="AO86">
        <v>0.5</v>
      </c>
      <c r="AP86" t="s">
        <v>331</v>
      </c>
      <c r="AQ86">
        <v>2</v>
      </c>
      <c r="AR86">
        <v>1773272996.5</v>
      </c>
      <c r="AS86">
        <v>493.5460322580645</v>
      </c>
      <c r="AT86">
        <v>492.0409677419355</v>
      </c>
      <c r="AU86">
        <v>9.952318387096776</v>
      </c>
      <c r="AV86">
        <v>9.146722258064518</v>
      </c>
      <c r="AW86">
        <v>487.0506129032258</v>
      </c>
      <c r="AX86">
        <v>9.893505161290324</v>
      </c>
      <c r="AY86">
        <v>500.014</v>
      </c>
      <c r="AZ86">
        <v>100.2575161290322</v>
      </c>
      <c r="BA86">
        <v>0.0349426129032258</v>
      </c>
      <c r="BB86">
        <v>25.01265483870968</v>
      </c>
      <c r="BC86">
        <v>25.04168064516129</v>
      </c>
      <c r="BD86">
        <v>999.9000000000003</v>
      </c>
      <c r="BE86">
        <v>0</v>
      </c>
      <c r="BF86">
        <v>0</v>
      </c>
      <c r="BG86">
        <v>5001.354838709677</v>
      </c>
      <c r="BH86">
        <v>1.870693548387097</v>
      </c>
      <c r="BI86">
        <v>583.2416774193549</v>
      </c>
      <c r="BJ86">
        <v>1.504953548387097</v>
      </c>
      <c r="BK86">
        <v>498.5072903225807</v>
      </c>
      <c r="BL86">
        <v>496.5831612903226</v>
      </c>
      <c r="BM86">
        <v>0.8055980967741936</v>
      </c>
      <c r="BN86">
        <v>492.0409677419355</v>
      </c>
      <c r="BO86">
        <v>9.146722258064518</v>
      </c>
      <c r="BP86">
        <v>0.9977952258064515</v>
      </c>
      <c r="BQ86">
        <v>0.9170279677419353</v>
      </c>
      <c r="BR86">
        <v>6.884224516129033</v>
      </c>
      <c r="BS86">
        <v>5.660771935483871</v>
      </c>
      <c r="BT86">
        <v>0</v>
      </c>
      <c r="BU86">
        <v>0</v>
      </c>
      <c r="BV86">
        <v>0</v>
      </c>
      <c r="BW86">
        <v>26</v>
      </c>
      <c r="BX86">
        <v>43</v>
      </c>
      <c r="BY86">
        <v>1773268786.6</v>
      </c>
      <c r="BZ86" t="s">
        <v>332</v>
      </c>
      <c r="CA86">
        <v>1773268786.6</v>
      </c>
      <c r="CB86">
        <v>1773268774.1</v>
      </c>
      <c r="CC86">
        <v>2</v>
      </c>
      <c r="CD86">
        <v>0.264</v>
      </c>
      <c r="CE86">
        <v>-0.024</v>
      </c>
      <c r="CF86">
        <v>6.495</v>
      </c>
      <c r="CG86">
        <v>0.059</v>
      </c>
      <c r="CH86">
        <v>488</v>
      </c>
      <c r="CI86">
        <v>25</v>
      </c>
      <c r="CJ86">
        <v>0.48</v>
      </c>
      <c r="CK86">
        <v>0.14</v>
      </c>
      <c r="CL86">
        <v>492.0428</v>
      </c>
      <c r="CM86">
        <v>0.08868520578383168</v>
      </c>
      <c r="CN86">
        <v>0.01936388390794004</v>
      </c>
      <c r="CO86">
        <v>-1</v>
      </c>
      <c r="CP86">
        <v>500.0158666666667</v>
      </c>
      <c r="CQ86">
        <v>0.4341890989974416</v>
      </c>
      <c r="CR86">
        <v>0.0425775632098525</v>
      </c>
      <c r="CS86">
        <v>-1</v>
      </c>
      <c r="CT86">
        <v>0</v>
      </c>
      <c r="CU86">
        <v>0</v>
      </c>
      <c r="CV86" t="s">
        <v>333</v>
      </c>
      <c r="CW86">
        <v>3.16965</v>
      </c>
      <c r="CX86">
        <v>2.65599</v>
      </c>
      <c r="CY86">
        <v>0.113962</v>
      </c>
      <c r="CZ86">
        <v>0.114865</v>
      </c>
      <c r="DA86">
        <v>0.0593546</v>
      </c>
      <c r="DB86">
        <v>0.0555497</v>
      </c>
      <c r="DC86">
        <v>21319.5</v>
      </c>
      <c r="DD86">
        <v>21818.5</v>
      </c>
      <c r="DE86">
        <v>23161.8</v>
      </c>
      <c r="DF86">
        <v>22542.8</v>
      </c>
      <c r="DG86">
        <v>32918.4</v>
      </c>
      <c r="DH86">
        <v>30031.8</v>
      </c>
      <c r="DI86">
        <v>40708.3</v>
      </c>
      <c r="DJ86">
        <v>37313.3</v>
      </c>
      <c r="DK86">
        <v>2.10352</v>
      </c>
      <c r="DL86">
        <v>1.7361</v>
      </c>
      <c r="DM86">
        <v>-0.0496387</v>
      </c>
      <c r="DN86">
        <v>0</v>
      </c>
      <c r="DO86">
        <v>25.8573</v>
      </c>
      <c r="DP86">
        <v>999.9</v>
      </c>
      <c r="DQ86">
        <v>61.5</v>
      </c>
      <c r="DR86">
        <v>29.5</v>
      </c>
      <c r="DS86">
        <v>25.3927</v>
      </c>
      <c r="DT86">
        <v>30.37</v>
      </c>
      <c r="DU86">
        <v>11.7388</v>
      </c>
      <c r="DV86">
        <v>1</v>
      </c>
      <c r="DW86">
        <v>0.15462</v>
      </c>
      <c r="DX86">
        <v>1.3428</v>
      </c>
      <c r="DY86">
        <v>20.3611</v>
      </c>
      <c r="DZ86">
        <v>5.21262</v>
      </c>
      <c r="EA86">
        <v>11.8482</v>
      </c>
      <c r="EB86">
        <v>4.968</v>
      </c>
      <c r="EC86">
        <v>3.29202</v>
      </c>
      <c r="ED86">
        <v>879.4</v>
      </c>
      <c r="EE86">
        <v>9999</v>
      </c>
      <c r="EF86">
        <v>9999</v>
      </c>
      <c r="EG86">
        <v>81.3</v>
      </c>
      <c r="EH86">
        <v>4.97162</v>
      </c>
      <c r="EI86">
        <v>1.87181</v>
      </c>
      <c r="EJ86">
        <v>1.86904</v>
      </c>
      <c r="EK86">
        <v>1.87146</v>
      </c>
      <c r="EL86">
        <v>1.8692</v>
      </c>
      <c r="EM86">
        <v>1.86813</v>
      </c>
      <c r="EN86">
        <v>1.86996</v>
      </c>
      <c r="EO86">
        <v>1.87177</v>
      </c>
      <c r="EP86">
        <v>0</v>
      </c>
      <c r="EQ86">
        <v>0</v>
      </c>
      <c r="ER86">
        <v>0</v>
      </c>
      <c r="ES86">
        <v>0</v>
      </c>
      <c r="ET86" t="s">
        <v>334</v>
      </c>
      <c r="EU86" t="s">
        <v>335</v>
      </c>
      <c r="EV86" t="s">
        <v>336</v>
      </c>
      <c r="EW86" t="s">
        <v>336</v>
      </c>
      <c r="EX86" t="s">
        <v>336</v>
      </c>
      <c r="EY86" t="s">
        <v>336</v>
      </c>
      <c r="EZ86">
        <v>0</v>
      </c>
      <c r="FA86">
        <v>100</v>
      </c>
      <c r="FB86">
        <v>100</v>
      </c>
      <c r="FC86">
        <v>6.495</v>
      </c>
      <c r="FD86">
        <v>0.0588</v>
      </c>
      <c r="FE86">
        <v>6.495476190476325</v>
      </c>
      <c r="FF86">
        <v>0</v>
      </c>
      <c r="FG86">
        <v>0</v>
      </c>
      <c r="FH86">
        <v>0</v>
      </c>
      <c r="FI86">
        <v>0.05881499999999917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70.3</v>
      </c>
      <c r="FR86">
        <v>70.5</v>
      </c>
      <c r="FS86">
        <v>0.144043</v>
      </c>
      <c r="FT86">
        <v>4.99756</v>
      </c>
      <c r="FU86">
        <v>1.5979</v>
      </c>
      <c r="FV86">
        <v>2.15576</v>
      </c>
      <c r="FW86">
        <v>1.54785</v>
      </c>
      <c r="FX86">
        <v>2.44629</v>
      </c>
      <c r="FY86">
        <v>34.8755</v>
      </c>
      <c r="FZ86">
        <v>16.0233</v>
      </c>
      <c r="GA86">
        <v>3</v>
      </c>
      <c r="GB86">
        <v>501.471</v>
      </c>
      <c r="GC86">
        <v>365.856</v>
      </c>
      <c r="GD86">
        <v>24.2013</v>
      </c>
      <c r="GE86">
        <v>29.1548</v>
      </c>
      <c r="GF86">
        <v>30.0003</v>
      </c>
      <c r="GG86">
        <v>29.0267</v>
      </c>
      <c r="GH86">
        <v>29.0093</v>
      </c>
      <c r="GI86">
        <v>-1</v>
      </c>
      <c r="GJ86">
        <v>100</v>
      </c>
      <c r="GK86">
        <v>0</v>
      </c>
      <c r="GL86">
        <v>24.1913</v>
      </c>
      <c r="GM86">
        <v>1200</v>
      </c>
      <c r="GN86">
        <v>26.7455</v>
      </c>
      <c r="GO86">
        <v>102.467</v>
      </c>
      <c r="GP86">
        <v>97.40940000000001</v>
      </c>
    </row>
    <row r="87" spans="1:198">
      <c r="A87">
        <v>71</v>
      </c>
      <c r="B87">
        <v>1773273064.5</v>
      </c>
      <c r="C87">
        <v>4200.900000095367</v>
      </c>
      <c r="D87" t="s">
        <v>475</v>
      </c>
      <c r="E87" t="s">
        <v>476</v>
      </c>
      <c r="F87">
        <v>15</v>
      </c>
      <c r="G87">
        <v>1773273056.5</v>
      </c>
      <c r="H87">
        <f>(I87)/1000</f>
        <v>0</v>
      </c>
      <c r="I87">
        <f>1000*AY87*AG87*(AU87-AV87)/(100*AN87*(1000-AG87*AU87))</f>
        <v>0</v>
      </c>
      <c r="J87">
        <f>AY87*AG87*(AT87-AS87*(1000-AG87*AV87)/(1000-AG87*AU87))/(100*AN87)</f>
        <v>0</v>
      </c>
      <c r="K87">
        <f>AS87 - IF(AG87&gt;1, J87*AN87*100.0/(AI87), 0)</f>
        <v>0</v>
      </c>
      <c r="L87">
        <f>((R87-H87/2)*K87-J87)/(R87+H87/2)</f>
        <v>0</v>
      </c>
      <c r="M87">
        <f>L87*(AZ87+BA87)/1000.0</f>
        <v>0</v>
      </c>
      <c r="N87">
        <f>(AS87 - IF(AG87&gt;1, J87*AN87*100.0/(AI87), 0))*(AZ87+BA87)/1000.0</f>
        <v>0</v>
      </c>
      <c r="O87">
        <f>2.0/((1/Q87-1/P87)+SIGN(Q87)*SQRT((1/Q87-1/P87)*(1/Q87-1/P87) + 4*AO87/((AO87+1)*(AO87+1))*(2*1/Q87*1/P87-1/P87*1/P87)))</f>
        <v>0</v>
      </c>
      <c r="P87">
        <f>IF(LEFT(AP87,1)&lt;&gt;"0",IF(LEFT(AP87,1)="1",3.0,AQ87),$D$5+$E$5*(BG87*AZ87/($K$5*1000))+$F$5*(BG87*AZ87/($K$5*1000))*MAX(MIN(AN87,$J$5),$I$5)*MAX(MIN(AN87,$J$5),$I$5)+$G$5*MAX(MIN(AN87,$J$5),$I$5)*(BG87*AZ87/($K$5*1000))+$H$5*(BG87*AZ87/($K$5*1000))*(BG87*AZ87/($K$5*1000)))</f>
        <v>0</v>
      </c>
      <c r="Q87">
        <f>H87*(1000-(1000*0.61365*exp(17.502*U87/(240.97+U87))/(AZ87+BA87)+AU87)/2)/(1000*0.61365*exp(17.502*U87/(240.97+U87))/(AZ87+BA87)-AU87)</f>
        <v>0</v>
      </c>
      <c r="R87">
        <f>1/((AO87+1)/(O87/1.6)+1/(P87/1.37)) + AO87/((AO87+1)/(O87/1.6) + AO87/(P87/1.37))</f>
        <v>0</v>
      </c>
      <c r="S87">
        <f>(AJ87*AM87)</f>
        <v>0</v>
      </c>
      <c r="T87">
        <f>(BB87+(S87+2*0.95*5.67E-8*(((BB87+$B$7)+273)^4-(BB87+273)^4)-44100*H87)/(1.84*29.3*P87+8*0.95*5.67E-8*(BB87+273)^3))</f>
        <v>0</v>
      </c>
      <c r="U87">
        <f>($C$7*BC87+$D$7*BD87+$E$7*T87)</f>
        <v>0</v>
      </c>
      <c r="V87">
        <f>0.61365*exp(17.502*U87/(240.97+U87))</f>
        <v>0</v>
      </c>
      <c r="W87">
        <f>(X87/Y87*100)</f>
        <v>0</v>
      </c>
      <c r="X87">
        <f>AU87*(AZ87+BA87)/1000</f>
        <v>0</v>
      </c>
      <c r="Y87">
        <f>0.61365*exp(17.502*BB87/(240.97+BB87))</f>
        <v>0</v>
      </c>
      <c r="Z87">
        <f>(V87-AU87*(AZ87+BA87)/1000)</f>
        <v>0</v>
      </c>
      <c r="AA87">
        <f>(-H87*44100)</f>
        <v>0</v>
      </c>
      <c r="AB87">
        <f>2*29.3*P87*0.92*(BB87-U87)</f>
        <v>0</v>
      </c>
      <c r="AC87">
        <f>2*0.95*5.67E-8*(((BB87+$B$7)+273)^4-(U87+273)^4)</f>
        <v>0</v>
      </c>
      <c r="AD87">
        <f>S87+AC87+AA87+AB87</f>
        <v>0</v>
      </c>
      <c r="AE87">
        <v>1</v>
      </c>
      <c r="AF87">
        <v>0</v>
      </c>
      <c r="AG87">
        <f>IF(AE87*$H$13&gt;=AI87,1.0,(AI87/(AI87-AE87*$H$13)))</f>
        <v>0</v>
      </c>
      <c r="AH87">
        <f>(AG87-1)*100</f>
        <v>0</v>
      </c>
      <c r="AI87">
        <f>MAX(0,($B$13+$C$13*BG87)/(1+$D$13*BG87)*AZ87/(BB87+273)*$E$13)</f>
        <v>0</v>
      </c>
      <c r="AJ87">
        <f>$B$11*BH87+$C$11*BI87+$D$11*BT87</f>
        <v>0</v>
      </c>
      <c r="AK87">
        <f>AJ87*AL87</f>
        <v>0</v>
      </c>
      <c r="AL87">
        <f>($B$11*$D$9+$C$11*$D$9+$D$11*(BU87*$E$9+BV87*$G$9))/($B$11+$C$11+$D$11)</f>
        <v>0</v>
      </c>
      <c r="AM87">
        <f>($B$11*$K$9+$C$11*$K$9+$D$11*(BU87*$L$9+BV87*$N$9))/($B$11+$C$11+$D$11)</f>
        <v>0</v>
      </c>
      <c r="AN87">
        <v>3</v>
      </c>
      <c r="AO87">
        <v>0.5</v>
      </c>
      <c r="AP87" t="s">
        <v>331</v>
      </c>
      <c r="AQ87">
        <v>2</v>
      </c>
      <c r="AR87">
        <v>1773273056.5</v>
      </c>
      <c r="AS87">
        <v>494.0678387096774</v>
      </c>
      <c r="AT87">
        <v>492.7678709677419</v>
      </c>
      <c r="AU87">
        <v>10.00016580645162</v>
      </c>
      <c r="AV87">
        <v>9.184097096774194</v>
      </c>
      <c r="AW87">
        <v>487.5724516129033</v>
      </c>
      <c r="AX87">
        <v>9.941351935483869</v>
      </c>
      <c r="AY87">
        <v>500.0006129032258</v>
      </c>
      <c r="AZ87">
        <v>100.2575483870968</v>
      </c>
      <c r="BA87">
        <v>0.03487065161290322</v>
      </c>
      <c r="BB87">
        <v>25.00600322580645</v>
      </c>
      <c r="BC87">
        <v>25.04462580645161</v>
      </c>
      <c r="BD87">
        <v>999.9000000000003</v>
      </c>
      <c r="BE87">
        <v>0</v>
      </c>
      <c r="BF87">
        <v>0</v>
      </c>
      <c r="BG87">
        <v>5001.580645161291</v>
      </c>
      <c r="BH87">
        <v>1.925064516129032</v>
      </c>
      <c r="BI87">
        <v>596.8050645161291</v>
      </c>
      <c r="BJ87">
        <v>1.300027741935484</v>
      </c>
      <c r="BK87">
        <v>499.0586774193549</v>
      </c>
      <c r="BL87">
        <v>497.3354193548386</v>
      </c>
      <c r="BM87">
        <v>0.8160691612903225</v>
      </c>
      <c r="BN87">
        <v>492.7678709677419</v>
      </c>
      <c r="BO87">
        <v>9.184097096774194</v>
      </c>
      <c r="BP87">
        <v>1.002592903225807</v>
      </c>
      <c r="BQ87">
        <v>0.920774935483871</v>
      </c>
      <c r="BR87">
        <v>6.954101935483871</v>
      </c>
      <c r="BS87">
        <v>5.719597419354839</v>
      </c>
      <c r="BT87">
        <v>0</v>
      </c>
      <c r="BU87">
        <v>0</v>
      </c>
      <c r="BV87">
        <v>0</v>
      </c>
      <c r="BW87">
        <v>26</v>
      </c>
      <c r="BX87">
        <v>43</v>
      </c>
      <c r="BY87">
        <v>1773268786.6</v>
      </c>
      <c r="BZ87" t="s">
        <v>332</v>
      </c>
      <c r="CA87">
        <v>1773268786.6</v>
      </c>
      <c r="CB87">
        <v>1773268774.1</v>
      </c>
      <c r="CC87">
        <v>2</v>
      </c>
      <c r="CD87">
        <v>0.264</v>
      </c>
      <c r="CE87">
        <v>-0.024</v>
      </c>
      <c r="CF87">
        <v>6.495</v>
      </c>
      <c r="CG87">
        <v>0.059</v>
      </c>
      <c r="CH87">
        <v>488</v>
      </c>
      <c r="CI87">
        <v>25</v>
      </c>
      <c r="CJ87">
        <v>0.48</v>
      </c>
      <c r="CK87">
        <v>0.14</v>
      </c>
      <c r="CL87">
        <v>492.7717</v>
      </c>
      <c r="CM87">
        <v>-0.8259043381524068</v>
      </c>
      <c r="CN87">
        <v>0.06950450824706965</v>
      </c>
      <c r="CO87">
        <v>-1</v>
      </c>
      <c r="CP87">
        <v>500.0021666666666</v>
      </c>
      <c r="CQ87">
        <v>0.1331879866523156</v>
      </c>
      <c r="CR87">
        <v>0.03279236022138007</v>
      </c>
      <c r="CS87">
        <v>-1</v>
      </c>
      <c r="CT87">
        <v>0</v>
      </c>
      <c r="CU87">
        <v>0</v>
      </c>
      <c r="CV87" t="s">
        <v>333</v>
      </c>
      <c r="CW87">
        <v>3.16966</v>
      </c>
      <c r="CX87">
        <v>2.65604</v>
      </c>
      <c r="CY87">
        <v>0.114055</v>
      </c>
      <c r="CZ87">
        <v>0.114968</v>
      </c>
      <c r="DA87">
        <v>0.0595717</v>
      </c>
      <c r="DB87">
        <v>0.0557223</v>
      </c>
      <c r="DC87">
        <v>21315.2</v>
      </c>
      <c r="DD87">
        <v>21814.6</v>
      </c>
      <c r="DE87">
        <v>23159.8</v>
      </c>
      <c r="DF87">
        <v>22541.6</v>
      </c>
      <c r="DG87">
        <v>32908.5</v>
      </c>
      <c r="DH87">
        <v>30024.3</v>
      </c>
      <c r="DI87">
        <v>40705.5</v>
      </c>
      <c r="DJ87">
        <v>37311</v>
      </c>
      <c r="DK87">
        <v>2.10308</v>
      </c>
      <c r="DL87">
        <v>1.7342</v>
      </c>
      <c r="DM87">
        <v>-0.0528425</v>
      </c>
      <c r="DN87">
        <v>0</v>
      </c>
      <c r="DO87">
        <v>25.9128</v>
      </c>
      <c r="DP87">
        <v>999.9</v>
      </c>
      <c r="DQ87">
        <v>61.3</v>
      </c>
      <c r="DR87">
        <v>29.5</v>
      </c>
      <c r="DS87">
        <v>25.3103</v>
      </c>
      <c r="DT87">
        <v>29.89</v>
      </c>
      <c r="DU87">
        <v>11.6066</v>
      </c>
      <c r="DV87">
        <v>1</v>
      </c>
      <c r="DW87">
        <v>0.158774</v>
      </c>
      <c r="DX87">
        <v>1.38011</v>
      </c>
      <c r="DY87">
        <v>20.3606</v>
      </c>
      <c r="DZ87">
        <v>5.2113</v>
      </c>
      <c r="EA87">
        <v>11.8482</v>
      </c>
      <c r="EB87">
        <v>4.96788</v>
      </c>
      <c r="EC87">
        <v>3.292</v>
      </c>
      <c r="ED87">
        <v>879.4</v>
      </c>
      <c r="EE87">
        <v>9999</v>
      </c>
      <c r="EF87">
        <v>9999</v>
      </c>
      <c r="EG87">
        <v>81.3</v>
      </c>
      <c r="EH87">
        <v>4.97158</v>
      </c>
      <c r="EI87">
        <v>1.87183</v>
      </c>
      <c r="EJ87">
        <v>1.86905</v>
      </c>
      <c r="EK87">
        <v>1.87147</v>
      </c>
      <c r="EL87">
        <v>1.8692</v>
      </c>
      <c r="EM87">
        <v>1.86813</v>
      </c>
      <c r="EN87">
        <v>1.86996</v>
      </c>
      <c r="EO87">
        <v>1.8718</v>
      </c>
      <c r="EP87">
        <v>0</v>
      </c>
      <c r="EQ87">
        <v>0</v>
      </c>
      <c r="ER87">
        <v>0</v>
      </c>
      <c r="ES87">
        <v>0</v>
      </c>
      <c r="ET87" t="s">
        <v>334</v>
      </c>
      <c r="EU87" t="s">
        <v>335</v>
      </c>
      <c r="EV87" t="s">
        <v>336</v>
      </c>
      <c r="EW87" t="s">
        <v>336</v>
      </c>
      <c r="EX87" t="s">
        <v>336</v>
      </c>
      <c r="EY87" t="s">
        <v>336</v>
      </c>
      <c r="EZ87">
        <v>0</v>
      </c>
      <c r="FA87">
        <v>100</v>
      </c>
      <c r="FB87">
        <v>100</v>
      </c>
      <c r="FC87">
        <v>6.495</v>
      </c>
      <c r="FD87">
        <v>0.0588</v>
      </c>
      <c r="FE87">
        <v>6.495476190476325</v>
      </c>
      <c r="FF87">
        <v>0</v>
      </c>
      <c r="FG87">
        <v>0</v>
      </c>
      <c r="FH87">
        <v>0</v>
      </c>
      <c r="FI87">
        <v>0.05881499999999917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71.3</v>
      </c>
      <c r="FR87">
        <v>71.5</v>
      </c>
      <c r="FS87">
        <v>0.144043</v>
      </c>
      <c r="FT87">
        <v>4.99756</v>
      </c>
      <c r="FU87">
        <v>1.5979</v>
      </c>
      <c r="FV87">
        <v>2.15576</v>
      </c>
      <c r="FW87">
        <v>1.54785</v>
      </c>
      <c r="FX87">
        <v>2.40479</v>
      </c>
      <c r="FY87">
        <v>34.9904</v>
      </c>
      <c r="FZ87">
        <v>16.0146</v>
      </c>
      <c r="GA87">
        <v>3</v>
      </c>
      <c r="GB87">
        <v>501.622</v>
      </c>
      <c r="GC87">
        <v>365.168</v>
      </c>
      <c r="GD87">
        <v>24.1255</v>
      </c>
      <c r="GE87">
        <v>29.2084</v>
      </c>
      <c r="GF87">
        <v>30.0004</v>
      </c>
      <c r="GG87">
        <v>29.0784</v>
      </c>
      <c r="GH87">
        <v>29.0622</v>
      </c>
      <c r="GI87">
        <v>-1</v>
      </c>
      <c r="GJ87">
        <v>100</v>
      </c>
      <c r="GK87">
        <v>0</v>
      </c>
      <c r="GL87">
        <v>24.1183</v>
      </c>
      <c r="GM87">
        <v>1200</v>
      </c>
      <c r="GN87">
        <v>26.7455</v>
      </c>
      <c r="GO87">
        <v>102.459</v>
      </c>
      <c r="GP87">
        <v>97.4036</v>
      </c>
    </row>
    <row r="88" spans="1:198">
      <c r="A88">
        <v>72</v>
      </c>
      <c r="B88">
        <v>1773273124.5</v>
      </c>
      <c r="C88">
        <v>4260.900000095367</v>
      </c>
      <c r="D88" t="s">
        <v>477</v>
      </c>
      <c r="E88" t="s">
        <v>478</v>
      </c>
      <c r="F88">
        <v>15</v>
      </c>
      <c r="G88">
        <v>1773273116.5</v>
      </c>
      <c r="H88">
        <f>(I88)/1000</f>
        <v>0</v>
      </c>
      <c r="I88">
        <f>1000*AY88*AG88*(AU88-AV88)/(100*AN88*(1000-AG88*AU88))</f>
        <v>0</v>
      </c>
      <c r="J88">
        <f>AY88*AG88*(AT88-AS88*(1000-AG88*AV88)/(1000-AG88*AU88))/(100*AN88)</f>
        <v>0</v>
      </c>
      <c r="K88">
        <f>AS88 - IF(AG88&gt;1, J88*AN88*100.0/(AI88), 0)</f>
        <v>0</v>
      </c>
      <c r="L88">
        <f>((R88-H88/2)*K88-J88)/(R88+H88/2)</f>
        <v>0</v>
      </c>
      <c r="M88">
        <f>L88*(AZ88+BA88)/1000.0</f>
        <v>0</v>
      </c>
      <c r="N88">
        <f>(AS88 - IF(AG88&gt;1, J88*AN88*100.0/(AI88), 0))*(AZ88+BA88)/1000.0</f>
        <v>0</v>
      </c>
      <c r="O88">
        <f>2.0/((1/Q88-1/P88)+SIGN(Q88)*SQRT((1/Q88-1/P88)*(1/Q88-1/P88) + 4*AO88/((AO88+1)*(AO88+1))*(2*1/Q88*1/P88-1/P88*1/P88)))</f>
        <v>0</v>
      </c>
      <c r="P88">
        <f>IF(LEFT(AP88,1)&lt;&gt;"0",IF(LEFT(AP88,1)="1",3.0,AQ88),$D$5+$E$5*(BG88*AZ88/($K$5*1000))+$F$5*(BG88*AZ88/($K$5*1000))*MAX(MIN(AN88,$J$5),$I$5)*MAX(MIN(AN88,$J$5),$I$5)+$G$5*MAX(MIN(AN88,$J$5),$I$5)*(BG88*AZ88/($K$5*1000))+$H$5*(BG88*AZ88/($K$5*1000))*(BG88*AZ88/($K$5*1000)))</f>
        <v>0</v>
      </c>
      <c r="Q88">
        <f>H88*(1000-(1000*0.61365*exp(17.502*U88/(240.97+U88))/(AZ88+BA88)+AU88)/2)/(1000*0.61365*exp(17.502*U88/(240.97+U88))/(AZ88+BA88)-AU88)</f>
        <v>0</v>
      </c>
      <c r="R88">
        <f>1/((AO88+1)/(O88/1.6)+1/(P88/1.37)) + AO88/((AO88+1)/(O88/1.6) + AO88/(P88/1.37))</f>
        <v>0</v>
      </c>
      <c r="S88">
        <f>(AJ88*AM88)</f>
        <v>0</v>
      </c>
      <c r="T88">
        <f>(BB88+(S88+2*0.95*5.67E-8*(((BB88+$B$7)+273)^4-(BB88+273)^4)-44100*H88)/(1.84*29.3*P88+8*0.95*5.67E-8*(BB88+273)^3))</f>
        <v>0</v>
      </c>
      <c r="U88">
        <f>($C$7*BC88+$D$7*BD88+$E$7*T88)</f>
        <v>0</v>
      </c>
      <c r="V88">
        <f>0.61365*exp(17.502*U88/(240.97+U88))</f>
        <v>0</v>
      </c>
      <c r="W88">
        <f>(X88/Y88*100)</f>
        <v>0</v>
      </c>
      <c r="X88">
        <f>AU88*(AZ88+BA88)/1000</f>
        <v>0</v>
      </c>
      <c r="Y88">
        <f>0.61365*exp(17.502*BB88/(240.97+BB88))</f>
        <v>0</v>
      </c>
      <c r="Z88">
        <f>(V88-AU88*(AZ88+BA88)/1000)</f>
        <v>0</v>
      </c>
      <c r="AA88">
        <f>(-H88*44100)</f>
        <v>0</v>
      </c>
      <c r="AB88">
        <f>2*29.3*P88*0.92*(BB88-U88)</f>
        <v>0</v>
      </c>
      <c r="AC88">
        <f>2*0.95*5.67E-8*(((BB88+$B$7)+273)^4-(U88+273)^4)</f>
        <v>0</v>
      </c>
      <c r="AD88">
        <f>S88+AC88+AA88+AB88</f>
        <v>0</v>
      </c>
      <c r="AE88">
        <v>1</v>
      </c>
      <c r="AF88">
        <v>0</v>
      </c>
      <c r="AG88">
        <f>IF(AE88*$H$13&gt;=AI88,1.0,(AI88/(AI88-AE88*$H$13)))</f>
        <v>0</v>
      </c>
      <c r="AH88">
        <f>(AG88-1)*100</f>
        <v>0</v>
      </c>
      <c r="AI88">
        <f>MAX(0,($B$13+$C$13*BG88)/(1+$D$13*BG88)*AZ88/(BB88+273)*$E$13)</f>
        <v>0</v>
      </c>
      <c r="AJ88">
        <f>$B$11*BH88+$C$11*BI88+$D$11*BT88</f>
        <v>0</v>
      </c>
      <c r="AK88">
        <f>AJ88*AL88</f>
        <v>0</v>
      </c>
      <c r="AL88">
        <f>($B$11*$D$9+$C$11*$D$9+$D$11*(BU88*$E$9+BV88*$G$9))/($B$11+$C$11+$D$11)</f>
        <v>0</v>
      </c>
      <c r="AM88">
        <f>($B$11*$K$9+$C$11*$K$9+$D$11*(BU88*$L$9+BV88*$N$9))/($B$11+$C$11+$D$11)</f>
        <v>0</v>
      </c>
      <c r="AN88">
        <v>3</v>
      </c>
      <c r="AO88">
        <v>0.5</v>
      </c>
      <c r="AP88" t="s">
        <v>331</v>
      </c>
      <c r="AQ88">
        <v>2</v>
      </c>
      <c r="AR88">
        <v>1773273116.5</v>
      </c>
      <c r="AS88">
        <v>494.9757096774194</v>
      </c>
      <c r="AT88">
        <v>493.6788064516129</v>
      </c>
      <c r="AU88">
        <v>10.04990967741935</v>
      </c>
      <c r="AV88">
        <v>9.229649677419356</v>
      </c>
      <c r="AW88">
        <v>488.4803225806452</v>
      </c>
      <c r="AX88">
        <v>9.991093548387095</v>
      </c>
      <c r="AY88">
        <v>499.9949677419354</v>
      </c>
      <c r="AZ88">
        <v>100.2542580645161</v>
      </c>
      <c r="BA88">
        <v>0.03477347741935485</v>
      </c>
      <c r="BB88">
        <v>25.00435161290322</v>
      </c>
      <c r="BC88">
        <v>25.07095161290322</v>
      </c>
      <c r="BD88">
        <v>999.9000000000003</v>
      </c>
      <c r="BE88">
        <v>0</v>
      </c>
      <c r="BF88">
        <v>0</v>
      </c>
      <c r="BG88">
        <v>4996.516129032259</v>
      </c>
      <c r="BH88">
        <v>1.887552580645162</v>
      </c>
      <c r="BI88">
        <v>601.9455806451613</v>
      </c>
      <c r="BJ88">
        <v>1.296973870967742</v>
      </c>
      <c r="BK88">
        <v>500.0007096774194</v>
      </c>
      <c r="BL88">
        <v>498.2777096774194</v>
      </c>
      <c r="BM88">
        <v>0.8202588709677419</v>
      </c>
      <c r="BN88">
        <v>493.6788064516129</v>
      </c>
      <c r="BO88">
        <v>9.229649677419356</v>
      </c>
      <c r="BP88">
        <v>1.007546129032258</v>
      </c>
      <c r="BQ88">
        <v>0.9253113548387096</v>
      </c>
      <c r="BR88">
        <v>7.025954193548388</v>
      </c>
      <c r="BS88">
        <v>5.79053258064516</v>
      </c>
      <c r="BT88">
        <v>0</v>
      </c>
      <c r="BU88">
        <v>0</v>
      </c>
      <c r="BV88">
        <v>0</v>
      </c>
      <c r="BW88">
        <v>26</v>
      </c>
      <c r="BX88">
        <v>43</v>
      </c>
      <c r="BY88">
        <v>1773268786.6</v>
      </c>
      <c r="BZ88" t="s">
        <v>332</v>
      </c>
      <c r="CA88">
        <v>1773268786.6</v>
      </c>
      <c r="CB88">
        <v>1773268774.1</v>
      </c>
      <c r="CC88">
        <v>2</v>
      </c>
      <c r="CD88">
        <v>0.264</v>
      </c>
      <c r="CE88">
        <v>-0.024</v>
      </c>
      <c r="CF88">
        <v>6.495</v>
      </c>
      <c r="CG88">
        <v>0.059</v>
      </c>
      <c r="CH88">
        <v>488</v>
      </c>
      <c r="CI88">
        <v>25</v>
      </c>
      <c r="CJ88">
        <v>0.48</v>
      </c>
      <c r="CK88">
        <v>0.14</v>
      </c>
      <c r="CL88">
        <v>493.6788064516129</v>
      </c>
      <c r="CM88">
        <v>0.09996774193472098</v>
      </c>
      <c r="CN88">
        <v>0.06303579083440784</v>
      </c>
      <c r="CO88">
        <v>-1</v>
      </c>
      <c r="CP88">
        <v>499.9949677419354</v>
      </c>
      <c r="CQ88">
        <v>-0.04959677419537519</v>
      </c>
      <c r="CR88">
        <v>0.02427594570891403</v>
      </c>
      <c r="CS88">
        <v>-1</v>
      </c>
      <c r="CT88">
        <v>0</v>
      </c>
      <c r="CU88">
        <v>0</v>
      </c>
      <c r="CV88" t="s">
        <v>333</v>
      </c>
      <c r="CW88">
        <v>3.1697</v>
      </c>
      <c r="CX88">
        <v>2.65626</v>
      </c>
      <c r="CY88">
        <v>0.114194</v>
      </c>
      <c r="CZ88">
        <v>0.115123</v>
      </c>
      <c r="DA88">
        <v>0.0598075</v>
      </c>
      <c r="DB88">
        <v>0.0559554</v>
      </c>
      <c r="DC88">
        <v>21309.5</v>
      </c>
      <c r="DD88">
        <v>21808.9</v>
      </c>
      <c r="DE88">
        <v>23157.5</v>
      </c>
      <c r="DF88">
        <v>22539.7</v>
      </c>
      <c r="DG88">
        <v>32896.8</v>
      </c>
      <c r="DH88">
        <v>30013.9</v>
      </c>
      <c r="DI88">
        <v>40701.4</v>
      </c>
      <c r="DJ88">
        <v>37307.5</v>
      </c>
      <c r="DK88">
        <v>2.10242</v>
      </c>
      <c r="DL88">
        <v>1.73344</v>
      </c>
      <c r="DM88">
        <v>-0.0581801</v>
      </c>
      <c r="DN88">
        <v>0</v>
      </c>
      <c r="DO88">
        <v>26.0212</v>
      </c>
      <c r="DP88">
        <v>999.9</v>
      </c>
      <c r="DQ88">
        <v>61.1</v>
      </c>
      <c r="DR88">
        <v>29.6</v>
      </c>
      <c r="DS88">
        <v>25.378</v>
      </c>
      <c r="DT88">
        <v>29.92</v>
      </c>
      <c r="DU88">
        <v>11.8189</v>
      </c>
      <c r="DV88">
        <v>1</v>
      </c>
      <c r="DW88">
        <v>0.163957</v>
      </c>
      <c r="DX88">
        <v>1.48424</v>
      </c>
      <c r="DY88">
        <v>20.3598</v>
      </c>
      <c r="DZ88">
        <v>5.21178</v>
      </c>
      <c r="EA88">
        <v>11.8482</v>
      </c>
      <c r="EB88">
        <v>4.96772</v>
      </c>
      <c r="EC88">
        <v>3.29202</v>
      </c>
      <c r="ED88">
        <v>879.4</v>
      </c>
      <c r="EE88">
        <v>9999</v>
      </c>
      <c r="EF88">
        <v>9999</v>
      </c>
      <c r="EG88">
        <v>81.3</v>
      </c>
      <c r="EH88">
        <v>4.9716</v>
      </c>
      <c r="EI88">
        <v>1.87184</v>
      </c>
      <c r="EJ88">
        <v>1.86905</v>
      </c>
      <c r="EK88">
        <v>1.87148</v>
      </c>
      <c r="EL88">
        <v>1.8692</v>
      </c>
      <c r="EM88">
        <v>1.86812</v>
      </c>
      <c r="EN88">
        <v>1.86996</v>
      </c>
      <c r="EO88">
        <v>1.87179</v>
      </c>
      <c r="EP88">
        <v>0</v>
      </c>
      <c r="EQ88">
        <v>0</v>
      </c>
      <c r="ER88">
        <v>0</v>
      </c>
      <c r="ES88">
        <v>0</v>
      </c>
      <c r="ET88" t="s">
        <v>334</v>
      </c>
      <c r="EU88" t="s">
        <v>335</v>
      </c>
      <c r="EV88" t="s">
        <v>336</v>
      </c>
      <c r="EW88" t="s">
        <v>336</v>
      </c>
      <c r="EX88" t="s">
        <v>336</v>
      </c>
      <c r="EY88" t="s">
        <v>336</v>
      </c>
      <c r="EZ88">
        <v>0</v>
      </c>
      <c r="FA88">
        <v>100</v>
      </c>
      <c r="FB88">
        <v>100</v>
      </c>
      <c r="FC88">
        <v>6.495</v>
      </c>
      <c r="FD88">
        <v>0.0588</v>
      </c>
      <c r="FE88">
        <v>6.495476190476325</v>
      </c>
      <c r="FF88">
        <v>0</v>
      </c>
      <c r="FG88">
        <v>0</v>
      </c>
      <c r="FH88">
        <v>0</v>
      </c>
      <c r="FI88">
        <v>0.05881499999999917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72.3</v>
      </c>
      <c r="FR88">
        <v>72.5</v>
      </c>
      <c r="FS88">
        <v>0.144043</v>
      </c>
      <c r="FT88">
        <v>4.99756</v>
      </c>
      <c r="FU88">
        <v>1.5979</v>
      </c>
      <c r="FV88">
        <v>2.15454</v>
      </c>
      <c r="FW88">
        <v>1.54785</v>
      </c>
      <c r="FX88">
        <v>2.33398</v>
      </c>
      <c r="FY88">
        <v>35.1286</v>
      </c>
      <c r="FZ88">
        <v>16.0058</v>
      </c>
      <c r="GA88">
        <v>3</v>
      </c>
      <c r="GB88">
        <v>501.706</v>
      </c>
      <c r="GC88">
        <v>365.121</v>
      </c>
      <c r="GD88">
        <v>24.007</v>
      </c>
      <c r="GE88">
        <v>29.2707</v>
      </c>
      <c r="GF88">
        <v>30.0005</v>
      </c>
      <c r="GG88">
        <v>29.1379</v>
      </c>
      <c r="GH88">
        <v>29.1222</v>
      </c>
      <c r="GI88">
        <v>-1</v>
      </c>
      <c r="GJ88">
        <v>100</v>
      </c>
      <c r="GK88">
        <v>0</v>
      </c>
      <c r="GL88">
        <v>24.0077</v>
      </c>
      <c r="GM88">
        <v>1200</v>
      </c>
      <c r="GN88">
        <v>26.7455</v>
      </c>
      <c r="GO88">
        <v>102.449</v>
      </c>
      <c r="GP88">
        <v>97.39490000000001</v>
      </c>
    </row>
    <row r="89" spans="1:198">
      <c r="A89">
        <v>73</v>
      </c>
      <c r="B89">
        <v>1773273184.5</v>
      </c>
      <c r="C89">
        <v>4320.900000095367</v>
      </c>
      <c r="D89" t="s">
        <v>479</v>
      </c>
      <c r="E89" t="s">
        <v>480</v>
      </c>
      <c r="F89">
        <v>15</v>
      </c>
      <c r="G89">
        <v>1773273176.5</v>
      </c>
      <c r="H89">
        <f>(I89)/1000</f>
        <v>0</v>
      </c>
      <c r="I89">
        <f>1000*AY89*AG89*(AU89-AV89)/(100*AN89*(1000-AG89*AU89))</f>
        <v>0</v>
      </c>
      <c r="J89">
        <f>AY89*AG89*(AT89-AS89*(1000-AG89*AV89)/(1000-AG89*AU89))/(100*AN89)</f>
        <v>0</v>
      </c>
      <c r="K89">
        <f>AS89 - IF(AG89&gt;1, J89*AN89*100.0/(AI89), 0)</f>
        <v>0</v>
      </c>
      <c r="L89">
        <f>((R89-H89/2)*K89-J89)/(R89+H89/2)</f>
        <v>0</v>
      </c>
      <c r="M89">
        <f>L89*(AZ89+BA89)/1000.0</f>
        <v>0</v>
      </c>
      <c r="N89">
        <f>(AS89 - IF(AG89&gt;1, J89*AN89*100.0/(AI89), 0))*(AZ89+BA89)/1000.0</f>
        <v>0</v>
      </c>
      <c r="O89">
        <f>2.0/((1/Q89-1/P89)+SIGN(Q89)*SQRT((1/Q89-1/P89)*(1/Q89-1/P89) + 4*AO89/((AO89+1)*(AO89+1))*(2*1/Q89*1/P89-1/P89*1/P89)))</f>
        <v>0</v>
      </c>
      <c r="P89">
        <f>IF(LEFT(AP89,1)&lt;&gt;"0",IF(LEFT(AP89,1)="1",3.0,AQ89),$D$5+$E$5*(BG89*AZ89/($K$5*1000))+$F$5*(BG89*AZ89/($K$5*1000))*MAX(MIN(AN89,$J$5),$I$5)*MAX(MIN(AN89,$J$5),$I$5)+$G$5*MAX(MIN(AN89,$J$5),$I$5)*(BG89*AZ89/($K$5*1000))+$H$5*(BG89*AZ89/($K$5*1000))*(BG89*AZ89/($K$5*1000)))</f>
        <v>0</v>
      </c>
      <c r="Q89">
        <f>H89*(1000-(1000*0.61365*exp(17.502*U89/(240.97+U89))/(AZ89+BA89)+AU89)/2)/(1000*0.61365*exp(17.502*U89/(240.97+U89))/(AZ89+BA89)-AU89)</f>
        <v>0</v>
      </c>
      <c r="R89">
        <f>1/((AO89+1)/(O89/1.6)+1/(P89/1.37)) + AO89/((AO89+1)/(O89/1.6) + AO89/(P89/1.37))</f>
        <v>0</v>
      </c>
      <c r="S89">
        <f>(AJ89*AM89)</f>
        <v>0</v>
      </c>
      <c r="T89">
        <f>(BB89+(S89+2*0.95*5.67E-8*(((BB89+$B$7)+273)^4-(BB89+273)^4)-44100*H89)/(1.84*29.3*P89+8*0.95*5.67E-8*(BB89+273)^3))</f>
        <v>0</v>
      </c>
      <c r="U89">
        <f>($C$7*BC89+$D$7*BD89+$E$7*T89)</f>
        <v>0</v>
      </c>
      <c r="V89">
        <f>0.61365*exp(17.502*U89/(240.97+U89))</f>
        <v>0</v>
      </c>
      <c r="W89">
        <f>(X89/Y89*100)</f>
        <v>0</v>
      </c>
      <c r="X89">
        <f>AU89*(AZ89+BA89)/1000</f>
        <v>0</v>
      </c>
      <c r="Y89">
        <f>0.61365*exp(17.502*BB89/(240.97+BB89))</f>
        <v>0</v>
      </c>
      <c r="Z89">
        <f>(V89-AU89*(AZ89+BA89)/1000)</f>
        <v>0</v>
      </c>
      <c r="AA89">
        <f>(-H89*44100)</f>
        <v>0</v>
      </c>
      <c r="AB89">
        <f>2*29.3*P89*0.92*(BB89-U89)</f>
        <v>0</v>
      </c>
      <c r="AC89">
        <f>2*0.95*5.67E-8*(((BB89+$B$7)+273)^4-(U89+273)^4)</f>
        <v>0</v>
      </c>
      <c r="AD89">
        <f>S89+AC89+AA89+AB89</f>
        <v>0</v>
      </c>
      <c r="AE89">
        <v>1</v>
      </c>
      <c r="AF89">
        <v>0</v>
      </c>
      <c r="AG89">
        <f>IF(AE89*$H$13&gt;=AI89,1.0,(AI89/(AI89-AE89*$H$13)))</f>
        <v>0</v>
      </c>
      <c r="AH89">
        <f>(AG89-1)*100</f>
        <v>0</v>
      </c>
      <c r="AI89">
        <f>MAX(0,($B$13+$C$13*BG89)/(1+$D$13*BG89)*AZ89/(BB89+273)*$E$13)</f>
        <v>0</v>
      </c>
      <c r="AJ89">
        <f>$B$11*BH89+$C$11*BI89+$D$11*BT89</f>
        <v>0</v>
      </c>
      <c r="AK89">
        <f>AJ89*AL89</f>
        <v>0</v>
      </c>
      <c r="AL89">
        <f>($B$11*$D$9+$C$11*$D$9+$D$11*(BU89*$E$9+BV89*$G$9))/($B$11+$C$11+$D$11)</f>
        <v>0</v>
      </c>
      <c r="AM89">
        <f>($B$11*$K$9+$C$11*$K$9+$D$11*(BU89*$L$9+BV89*$N$9))/($B$11+$C$11+$D$11)</f>
        <v>0</v>
      </c>
      <c r="AN89">
        <v>3</v>
      </c>
      <c r="AO89">
        <v>0.5</v>
      </c>
      <c r="AP89" t="s">
        <v>331</v>
      </c>
      <c r="AQ89">
        <v>2</v>
      </c>
      <c r="AR89">
        <v>1773273176.5</v>
      </c>
      <c r="AS89">
        <v>495.7204516129033</v>
      </c>
      <c r="AT89">
        <v>494.4375483870968</v>
      </c>
      <c r="AU89">
        <v>10.12584838709677</v>
      </c>
      <c r="AV89">
        <v>9.30067935483871</v>
      </c>
      <c r="AW89">
        <v>489.2251612903226</v>
      </c>
      <c r="AX89">
        <v>10.06703870967742</v>
      </c>
      <c r="AY89">
        <v>500.0020322580644</v>
      </c>
      <c r="AZ89">
        <v>100.2532903225807</v>
      </c>
      <c r="BA89">
        <v>0.03470415806451613</v>
      </c>
      <c r="BB89">
        <v>25.00470967741936</v>
      </c>
      <c r="BC89">
        <v>25.09287419354838</v>
      </c>
      <c r="BD89">
        <v>999.9000000000003</v>
      </c>
      <c r="BE89">
        <v>0</v>
      </c>
      <c r="BF89">
        <v>0</v>
      </c>
      <c r="BG89">
        <v>5000.935483870968</v>
      </c>
      <c r="BH89">
        <v>1.929135161290323</v>
      </c>
      <c r="BI89">
        <v>618.0941290322581</v>
      </c>
      <c r="BJ89">
        <v>1.283002903225806</v>
      </c>
      <c r="BK89">
        <v>500.7914838709677</v>
      </c>
      <c r="BL89">
        <v>499.0792580645161</v>
      </c>
      <c r="BM89">
        <v>0.825169870967742</v>
      </c>
      <c r="BN89">
        <v>494.4375483870968</v>
      </c>
      <c r="BO89">
        <v>9.30067935483871</v>
      </c>
      <c r="BP89">
        <v>1.01515</v>
      </c>
      <c r="BQ89">
        <v>0.9324235161290324</v>
      </c>
      <c r="BR89">
        <v>7.135643548387097</v>
      </c>
      <c r="BS89">
        <v>5.901130967741937</v>
      </c>
      <c r="BT89">
        <v>0</v>
      </c>
      <c r="BU89">
        <v>0</v>
      </c>
      <c r="BV89">
        <v>0</v>
      </c>
      <c r="BW89">
        <v>27</v>
      </c>
      <c r="BX89">
        <v>43</v>
      </c>
      <c r="BY89">
        <v>1773268786.6</v>
      </c>
      <c r="BZ89" t="s">
        <v>332</v>
      </c>
      <c r="CA89">
        <v>1773268786.6</v>
      </c>
      <c r="CB89">
        <v>1773268774.1</v>
      </c>
      <c r="CC89">
        <v>2</v>
      </c>
      <c r="CD89">
        <v>0.264</v>
      </c>
      <c r="CE89">
        <v>-0.024</v>
      </c>
      <c r="CF89">
        <v>6.495</v>
      </c>
      <c r="CG89">
        <v>0.059</v>
      </c>
      <c r="CH89">
        <v>488</v>
      </c>
      <c r="CI89">
        <v>25</v>
      </c>
      <c r="CJ89">
        <v>0.48</v>
      </c>
      <c r="CK89">
        <v>0.14</v>
      </c>
      <c r="CL89">
        <v>494.4056129032258</v>
      </c>
      <c r="CM89">
        <v>1.665967741935276</v>
      </c>
      <c r="CN89">
        <v>0.1464063451426281</v>
      </c>
      <c r="CO89">
        <v>-1</v>
      </c>
      <c r="CP89">
        <v>500.000935483871</v>
      </c>
      <c r="CQ89">
        <v>-0.01287096774346709</v>
      </c>
      <c r="CR89">
        <v>0.03262290456389999</v>
      </c>
      <c r="CS89">
        <v>-1</v>
      </c>
      <c r="CT89">
        <v>0</v>
      </c>
      <c r="CU89">
        <v>0</v>
      </c>
      <c r="CV89" t="s">
        <v>333</v>
      </c>
      <c r="CW89">
        <v>3.1698</v>
      </c>
      <c r="CX89">
        <v>2.65586</v>
      </c>
      <c r="CY89">
        <v>0.114318</v>
      </c>
      <c r="CZ89">
        <v>0.115311</v>
      </c>
      <c r="DA89">
        <v>0.0601515</v>
      </c>
      <c r="DB89">
        <v>0.0562697</v>
      </c>
      <c r="DC89">
        <v>21303.6</v>
      </c>
      <c r="DD89">
        <v>21802.3</v>
      </c>
      <c r="DE89">
        <v>23154.7</v>
      </c>
      <c r="DF89">
        <v>22537.9</v>
      </c>
      <c r="DG89">
        <v>32881</v>
      </c>
      <c r="DH89">
        <v>30001.3</v>
      </c>
      <c r="DI89">
        <v>40697</v>
      </c>
      <c r="DJ89">
        <v>37304.4</v>
      </c>
      <c r="DK89">
        <v>2.1019</v>
      </c>
      <c r="DL89">
        <v>1.73124</v>
      </c>
      <c r="DM89">
        <v>-0.0624835</v>
      </c>
      <c r="DN89">
        <v>0</v>
      </c>
      <c r="DO89">
        <v>26.1135</v>
      </c>
      <c r="DP89">
        <v>999.9</v>
      </c>
      <c r="DQ89">
        <v>60.8</v>
      </c>
      <c r="DR89">
        <v>29.7</v>
      </c>
      <c r="DS89">
        <v>25.3988</v>
      </c>
      <c r="DT89">
        <v>29.8</v>
      </c>
      <c r="DU89">
        <v>11.6587</v>
      </c>
      <c r="DV89">
        <v>1</v>
      </c>
      <c r="DW89">
        <v>0.169413</v>
      </c>
      <c r="DX89">
        <v>1.53603</v>
      </c>
      <c r="DY89">
        <v>20.3592</v>
      </c>
      <c r="DZ89">
        <v>5.21226</v>
      </c>
      <c r="EA89">
        <v>11.8486</v>
      </c>
      <c r="EB89">
        <v>4.9678</v>
      </c>
      <c r="EC89">
        <v>3.292</v>
      </c>
      <c r="ED89">
        <v>879.4</v>
      </c>
      <c r="EE89">
        <v>9999</v>
      </c>
      <c r="EF89">
        <v>9999</v>
      </c>
      <c r="EG89">
        <v>81.3</v>
      </c>
      <c r="EH89">
        <v>4.97157</v>
      </c>
      <c r="EI89">
        <v>1.87189</v>
      </c>
      <c r="EJ89">
        <v>1.86905</v>
      </c>
      <c r="EK89">
        <v>1.87149</v>
      </c>
      <c r="EL89">
        <v>1.8692</v>
      </c>
      <c r="EM89">
        <v>1.86813</v>
      </c>
      <c r="EN89">
        <v>1.86996</v>
      </c>
      <c r="EO89">
        <v>1.8718</v>
      </c>
      <c r="EP89">
        <v>0</v>
      </c>
      <c r="EQ89">
        <v>0</v>
      </c>
      <c r="ER89">
        <v>0</v>
      </c>
      <c r="ES89">
        <v>0</v>
      </c>
      <c r="ET89" t="s">
        <v>334</v>
      </c>
      <c r="EU89" t="s">
        <v>335</v>
      </c>
      <c r="EV89" t="s">
        <v>336</v>
      </c>
      <c r="EW89" t="s">
        <v>336</v>
      </c>
      <c r="EX89" t="s">
        <v>336</v>
      </c>
      <c r="EY89" t="s">
        <v>336</v>
      </c>
      <c r="EZ89">
        <v>0</v>
      </c>
      <c r="FA89">
        <v>100</v>
      </c>
      <c r="FB89">
        <v>100</v>
      </c>
      <c r="FC89">
        <v>6.496</v>
      </c>
      <c r="FD89">
        <v>0.0588</v>
      </c>
      <c r="FE89">
        <v>6.495476190476325</v>
      </c>
      <c r="FF89">
        <v>0</v>
      </c>
      <c r="FG89">
        <v>0</v>
      </c>
      <c r="FH89">
        <v>0</v>
      </c>
      <c r="FI89">
        <v>0.05881499999999917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73.3</v>
      </c>
      <c r="FR89">
        <v>73.5</v>
      </c>
      <c r="FS89">
        <v>0.144043</v>
      </c>
      <c r="FT89">
        <v>4.99756</v>
      </c>
      <c r="FU89">
        <v>1.5979</v>
      </c>
      <c r="FV89">
        <v>2.15454</v>
      </c>
      <c r="FW89">
        <v>1.54785</v>
      </c>
      <c r="FX89">
        <v>2.43896</v>
      </c>
      <c r="FY89">
        <v>35.2902</v>
      </c>
      <c r="FZ89">
        <v>16.0146</v>
      </c>
      <c r="GA89">
        <v>3</v>
      </c>
      <c r="GB89">
        <v>501.906</v>
      </c>
      <c r="GC89">
        <v>364.336</v>
      </c>
      <c r="GD89">
        <v>23.9741</v>
      </c>
      <c r="GE89">
        <v>29.3407</v>
      </c>
      <c r="GF89">
        <v>30.0004</v>
      </c>
      <c r="GG89">
        <v>29.2019</v>
      </c>
      <c r="GH89">
        <v>29.1854</v>
      </c>
      <c r="GI89">
        <v>-1</v>
      </c>
      <c r="GJ89">
        <v>100</v>
      </c>
      <c r="GK89">
        <v>0</v>
      </c>
      <c r="GL89">
        <v>23.969</v>
      </c>
      <c r="GM89">
        <v>1200</v>
      </c>
      <c r="GN89">
        <v>26.7455</v>
      </c>
      <c r="GO89">
        <v>102.437</v>
      </c>
      <c r="GP89">
        <v>97.387</v>
      </c>
    </row>
    <row r="90" spans="1:198">
      <c r="A90">
        <v>74</v>
      </c>
      <c r="B90">
        <v>1773273244.5</v>
      </c>
      <c r="C90">
        <v>4380.900000095367</v>
      </c>
      <c r="D90" t="s">
        <v>481</v>
      </c>
      <c r="E90" t="s">
        <v>482</v>
      </c>
      <c r="F90">
        <v>15</v>
      </c>
      <c r="G90">
        <v>1773273236.5</v>
      </c>
      <c r="H90">
        <f>(I90)/1000</f>
        <v>0</v>
      </c>
      <c r="I90">
        <f>1000*AY90*AG90*(AU90-AV90)/(100*AN90*(1000-AG90*AU90))</f>
        <v>0</v>
      </c>
      <c r="J90">
        <f>AY90*AG90*(AT90-AS90*(1000-AG90*AV90)/(1000-AG90*AU90))/(100*AN90)</f>
        <v>0</v>
      </c>
      <c r="K90">
        <f>AS90 - IF(AG90&gt;1, J90*AN90*100.0/(AI90), 0)</f>
        <v>0</v>
      </c>
      <c r="L90">
        <f>((R90-H90/2)*K90-J90)/(R90+H90/2)</f>
        <v>0</v>
      </c>
      <c r="M90">
        <f>L90*(AZ90+BA90)/1000.0</f>
        <v>0</v>
      </c>
      <c r="N90">
        <f>(AS90 - IF(AG90&gt;1, J90*AN90*100.0/(AI90), 0))*(AZ90+BA90)/1000.0</f>
        <v>0</v>
      </c>
      <c r="O90">
        <f>2.0/((1/Q90-1/P90)+SIGN(Q90)*SQRT((1/Q90-1/P90)*(1/Q90-1/P90) + 4*AO90/((AO90+1)*(AO90+1))*(2*1/Q90*1/P90-1/P90*1/P90)))</f>
        <v>0</v>
      </c>
      <c r="P90">
        <f>IF(LEFT(AP90,1)&lt;&gt;"0",IF(LEFT(AP90,1)="1",3.0,AQ90),$D$5+$E$5*(BG90*AZ90/($K$5*1000))+$F$5*(BG90*AZ90/($K$5*1000))*MAX(MIN(AN90,$J$5),$I$5)*MAX(MIN(AN90,$J$5),$I$5)+$G$5*MAX(MIN(AN90,$J$5),$I$5)*(BG90*AZ90/($K$5*1000))+$H$5*(BG90*AZ90/($K$5*1000))*(BG90*AZ90/($K$5*1000)))</f>
        <v>0</v>
      </c>
      <c r="Q90">
        <f>H90*(1000-(1000*0.61365*exp(17.502*U90/(240.97+U90))/(AZ90+BA90)+AU90)/2)/(1000*0.61365*exp(17.502*U90/(240.97+U90))/(AZ90+BA90)-AU90)</f>
        <v>0</v>
      </c>
      <c r="R90">
        <f>1/((AO90+1)/(O90/1.6)+1/(P90/1.37)) + AO90/((AO90+1)/(O90/1.6) + AO90/(P90/1.37))</f>
        <v>0</v>
      </c>
      <c r="S90">
        <f>(AJ90*AM90)</f>
        <v>0</v>
      </c>
      <c r="T90">
        <f>(BB90+(S90+2*0.95*5.67E-8*(((BB90+$B$7)+273)^4-(BB90+273)^4)-44100*H90)/(1.84*29.3*P90+8*0.95*5.67E-8*(BB90+273)^3))</f>
        <v>0</v>
      </c>
      <c r="U90">
        <f>($C$7*BC90+$D$7*BD90+$E$7*T90)</f>
        <v>0</v>
      </c>
      <c r="V90">
        <f>0.61365*exp(17.502*U90/(240.97+U90))</f>
        <v>0</v>
      </c>
      <c r="W90">
        <f>(X90/Y90*100)</f>
        <v>0</v>
      </c>
      <c r="X90">
        <f>AU90*(AZ90+BA90)/1000</f>
        <v>0</v>
      </c>
      <c r="Y90">
        <f>0.61365*exp(17.502*BB90/(240.97+BB90))</f>
        <v>0</v>
      </c>
      <c r="Z90">
        <f>(V90-AU90*(AZ90+BA90)/1000)</f>
        <v>0</v>
      </c>
      <c r="AA90">
        <f>(-H90*44100)</f>
        <v>0</v>
      </c>
      <c r="AB90">
        <f>2*29.3*P90*0.92*(BB90-U90)</f>
        <v>0</v>
      </c>
      <c r="AC90">
        <f>2*0.95*5.67E-8*(((BB90+$B$7)+273)^4-(U90+273)^4)</f>
        <v>0</v>
      </c>
      <c r="AD90">
        <f>S90+AC90+AA90+AB90</f>
        <v>0</v>
      </c>
      <c r="AE90">
        <v>1</v>
      </c>
      <c r="AF90">
        <v>0</v>
      </c>
      <c r="AG90">
        <f>IF(AE90*$H$13&gt;=AI90,1.0,(AI90/(AI90-AE90*$H$13)))</f>
        <v>0</v>
      </c>
      <c r="AH90">
        <f>(AG90-1)*100</f>
        <v>0</v>
      </c>
      <c r="AI90">
        <f>MAX(0,($B$13+$C$13*BG90)/(1+$D$13*BG90)*AZ90/(BB90+273)*$E$13)</f>
        <v>0</v>
      </c>
      <c r="AJ90">
        <f>$B$11*BH90+$C$11*BI90+$D$11*BT90</f>
        <v>0</v>
      </c>
      <c r="AK90">
        <f>AJ90*AL90</f>
        <v>0</v>
      </c>
      <c r="AL90">
        <f>($B$11*$D$9+$C$11*$D$9+$D$11*(BU90*$E$9+BV90*$G$9))/($B$11+$C$11+$D$11)</f>
        <v>0</v>
      </c>
      <c r="AM90">
        <f>($B$11*$K$9+$C$11*$K$9+$D$11*(BU90*$L$9+BV90*$N$9))/($B$11+$C$11+$D$11)</f>
        <v>0</v>
      </c>
      <c r="AN90">
        <v>3</v>
      </c>
      <c r="AO90">
        <v>0.5</v>
      </c>
      <c r="AP90" t="s">
        <v>331</v>
      </c>
      <c r="AQ90">
        <v>2</v>
      </c>
      <c r="AR90">
        <v>1773273236.5</v>
      </c>
      <c r="AS90">
        <v>496.1689677419355</v>
      </c>
      <c r="AT90">
        <v>494.6717741935483</v>
      </c>
      <c r="AU90">
        <v>10.17839032258065</v>
      </c>
      <c r="AV90">
        <v>9.34024483870968</v>
      </c>
      <c r="AW90">
        <v>489.6734516129033</v>
      </c>
      <c r="AX90">
        <v>10.11956129032258</v>
      </c>
      <c r="AY90">
        <v>500.0016451612902</v>
      </c>
      <c r="AZ90">
        <v>100.2542903225806</v>
      </c>
      <c r="BA90">
        <v>0.03466122580645161</v>
      </c>
      <c r="BB90">
        <v>25.0059064516129</v>
      </c>
      <c r="BC90">
        <v>25.08866451612903</v>
      </c>
      <c r="BD90">
        <v>999.9000000000003</v>
      </c>
      <c r="BE90">
        <v>0</v>
      </c>
      <c r="BF90">
        <v>0</v>
      </c>
      <c r="BG90">
        <v>5001.129032258064</v>
      </c>
      <c r="BH90">
        <v>1.881693225806452</v>
      </c>
      <c r="BI90">
        <v>620.4527419354839</v>
      </c>
      <c r="BJ90">
        <v>1.497127741935484</v>
      </c>
      <c r="BK90">
        <v>501.2710322580645</v>
      </c>
      <c r="BL90">
        <v>499.3356774193548</v>
      </c>
      <c r="BM90">
        <v>0.8381383225806452</v>
      </c>
      <c r="BN90">
        <v>494.6717741935483</v>
      </c>
      <c r="BO90">
        <v>9.34024483870968</v>
      </c>
      <c r="BP90">
        <v>1.020425483870968</v>
      </c>
      <c r="BQ90">
        <v>0.9363992258064516</v>
      </c>
      <c r="BR90">
        <v>7.211335161290323</v>
      </c>
      <c r="BS90">
        <v>5.962629354838708</v>
      </c>
      <c r="BT90">
        <v>0</v>
      </c>
      <c r="BU90">
        <v>0</v>
      </c>
      <c r="BV90">
        <v>0</v>
      </c>
      <c r="BW90">
        <v>27</v>
      </c>
      <c r="BX90">
        <v>43</v>
      </c>
      <c r="BY90">
        <v>1773268786.6</v>
      </c>
      <c r="BZ90" t="s">
        <v>332</v>
      </c>
      <c r="CA90">
        <v>1773268786.6</v>
      </c>
      <c r="CB90">
        <v>1773268774.1</v>
      </c>
      <c r="CC90">
        <v>2</v>
      </c>
      <c r="CD90">
        <v>0.264</v>
      </c>
      <c r="CE90">
        <v>-0.024</v>
      </c>
      <c r="CF90">
        <v>6.495</v>
      </c>
      <c r="CG90">
        <v>0.059</v>
      </c>
      <c r="CH90">
        <v>488</v>
      </c>
      <c r="CI90">
        <v>25</v>
      </c>
      <c r="CJ90">
        <v>0.48</v>
      </c>
      <c r="CK90">
        <v>0.14</v>
      </c>
      <c r="CL90">
        <v>494.6717741935483</v>
      </c>
      <c r="CM90">
        <v>-1.236629032258177</v>
      </c>
      <c r="CN90">
        <v>0.09724518718579966</v>
      </c>
      <c r="CO90">
        <v>-1</v>
      </c>
      <c r="CP90">
        <v>500.0016451612902</v>
      </c>
      <c r="CQ90">
        <v>-0.1150161290350739</v>
      </c>
      <c r="CR90">
        <v>0.03405171435890079</v>
      </c>
      <c r="CS90">
        <v>-1</v>
      </c>
      <c r="CT90">
        <v>0</v>
      </c>
      <c r="CU90">
        <v>0</v>
      </c>
      <c r="CV90" t="s">
        <v>333</v>
      </c>
      <c r="CW90">
        <v>3.16978</v>
      </c>
      <c r="CX90">
        <v>2.65603</v>
      </c>
      <c r="CY90">
        <v>0.114332</v>
      </c>
      <c r="CZ90">
        <v>0.115249</v>
      </c>
      <c r="DA90">
        <v>0.0603745</v>
      </c>
      <c r="DB90">
        <v>0.0564378</v>
      </c>
      <c r="DC90">
        <v>21300.8</v>
      </c>
      <c r="DD90">
        <v>21802</v>
      </c>
      <c r="DE90">
        <v>23152.3</v>
      </c>
      <c r="DF90">
        <v>22536.3</v>
      </c>
      <c r="DG90">
        <v>32870.1</v>
      </c>
      <c r="DH90">
        <v>29993.3</v>
      </c>
      <c r="DI90">
        <v>40693.4</v>
      </c>
      <c r="DJ90">
        <v>37301.4</v>
      </c>
      <c r="DK90">
        <v>2.10156</v>
      </c>
      <c r="DL90">
        <v>1.72902</v>
      </c>
      <c r="DM90">
        <v>-0.0632495</v>
      </c>
      <c r="DN90">
        <v>0</v>
      </c>
      <c r="DO90">
        <v>26.129</v>
      </c>
      <c r="DP90">
        <v>999.9</v>
      </c>
      <c r="DQ90">
        <v>60.6</v>
      </c>
      <c r="DR90">
        <v>29.8</v>
      </c>
      <c r="DS90">
        <v>25.4579</v>
      </c>
      <c r="DT90">
        <v>30.04</v>
      </c>
      <c r="DU90">
        <v>11.9071</v>
      </c>
      <c r="DV90">
        <v>1</v>
      </c>
      <c r="DW90">
        <v>0.174902</v>
      </c>
      <c r="DX90">
        <v>1.63636</v>
      </c>
      <c r="DY90">
        <v>20.3579</v>
      </c>
      <c r="DZ90">
        <v>5.21226</v>
      </c>
      <c r="EA90">
        <v>11.8482</v>
      </c>
      <c r="EB90">
        <v>4.96796</v>
      </c>
      <c r="EC90">
        <v>3.29208</v>
      </c>
      <c r="ED90">
        <v>879.4</v>
      </c>
      <c r="EE90">
        <v>9999</v>
      </c>
      <c r="EF90">
        <v>9999</v>
      </c>
      <c r="EG90">
        <v>81.3</v>
      </c>
      <c r="EH90">
        <v>4.9716</v>
      </c>
      <c r="EI90">
        <v>1.87186</v>
      </c>
      <c r="EJ90">
        <v>1.86905</v>
      </c>
      <c r="EK90">
        <v>1.87149</v>
      </c>
      <c r="EL90">
        <v>1.8692</v>
      </c>
      <c r="EM90">
        <v>1.86813</v>
      </c>
      <c r="EN90">
        <v>1.86996</v>
      </c>
      <c r="EO90">
        <v>1.8718</v>
      </c>
      <c r="EP90">
        <v>0</v>
      </c>
      <c r="EQ90">
        <v>0</v>
      </c>
      <c r="ER90">
        <v>0</v>
      </c>
      <c r="ES90">
        <v>0</v>
      </c>
      <c r="ET90" t="s">
        <v>334</v>
      </c>
      <c r="EU90" t="s">
        <v>335</v>
      </c>
      <c r="EV90" t="s">
        <v>336</v>
      </c>
      <c r="EW90" t="s">
        <v>336</v>
      </c>
      <c r="EX90" t="s">
        <v>336</v>
      </c>
      <c r="EY90" t="s">
        <v>336</v>
      </c>
      <c r="EZ90">
        <v>0</v>
      </c>
      <c r="FA90">
        <v>100</v>
      </c>
      <c r="FB90">
        <v>100</v>
      </c>
      <c r="FC90">
        <v>6.496</v>
      </c>
      <c r="FD90">
        <v>0.0588</v>
      </c>
      <c r="FE90">
        <v>6.495476190476325</v>
      </c>
      <c r="FF90">
        <v>0</v>
      </c>
      <c r="FG90">
        <v>0</v>
      </c>
      <c r="FH90">
        <v>0</v>
      </c>
      <c r="FI90">
        <v>0.05881499999999917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74.3</v>
      </c>
      <c r="FR90">
        <v>74.5</v>
      </c>
      <c r="FS90">
        <v>0.144043</v>
      </c>
      <c r="FT90">
        <v>4.99756</v>
      </c>
      <c r="FU90">
        <v>1.5979</v>
      </c>
      <c r="FV90">
        <v>2.15454</v>
      </c>
      <c r="FW90">
        <v>1.54785</v>
      </c>
      <c r="FX90">
        <v>2.43164</v>
      </c>
      <c r="FY90">
        <v>35.4523</v>
      </c>
      <c r="FZ90">
        <v>15.997</v>
      </c>
      <c r="GA90">
        <v>3</v>
      </c>
      <c r="GB90">
        <v>502.217</v>
      </c>
      <c r="GC90">
        <v>363.546</v>
      </c>
      <c r="GD90">
        <v>23.8906</v>
      </c>
      <c r="GE90">
        <v>29.4085</v>
      </c>
      <c r="GF90">
        <v>30.0005</v>
      </c>
      <c r="GG90">
        <v>29.2666</v>
      </c>
      <c r="GH90">
        <v>29.2496</v>
      </c>
      <c r="GI90">
        <v>-1</v>
      </c>
      <c r="GJ90">
        <v>100</v>
      </c>
      <c r="GK90">
        <v>0</v>
      </c>
      <c r="GL90">
        <v>23.8856</v>
      </c>
      <c r="GM90">
        <v>1200</v>
      </c>
      <c r="GN90">
        <v>26.7455</v>
      </c>
      <c r="GO90">
        <v>102.428</v>
      </c>
      <c r="GP90">
        <v>97.3794</v>
      </c>
    </row>
    <row r="91" spans="1:198">
      <c r="A91">
        <v>75</v>
      </c>
      <c r="B91">
        <v>1773273304.5</v>
      </c>
      <c r="C91">
        <v>4440.900000095367</v>
      </c>
      <c r="D91" t="s">
        <v>483</v>
      </c>
      <c r="E91" t="s">
        <v>484</v>
      </c>
      <c r="F91">
        <v>15</v>
      </c>
      <c r="G91">
        <v>1773273296.5</v>
      </c>
      <c r="H91">
        <f>(I91)/1000</f>
        <v>0</v>
      </c>
      <c r="I91">
        <f>1000*AY91*AG91*(AU91-AV91)/(100*AN91*(1000-AG91*AU91))</f>
        <v>0</v>
      </c>
      <c r="J91">
        <f>AY91*AG91*(AT91-AS91*(1000-AG91*AV91)/(1000-AG91*AU91))/(100*AN91)</f>
        <v>0</v>
      </c>
      <c r="K91">
        <f>AS91 - IF(AG91&gt;1, J91*AN91*100.0/(AI91), 0)</f>
        <v>0</v>
      </c>
      <c r="L91">
        <f>((R91-H91/2)*K91-J91)/(R91+H91/2)</f>
        <v>0</v>
      </c>
      <c r="M91">
        <f>L91*(AZ91+BA91)/1000.0</f>
        <v>0</v>
      </c>
      <c r="N91">
        <f>(AS91 - IF(AG91&gt;1, J91*AN91*100.0/(AI91), 0))*(AZ91+BA91)/1000.0</f>
        <v>0</v>
      </c>
      <c r="O91">
        <f>2.0/((1/Q91-1/P91)+SIGN(Q91)*SQRT((1/Q91-1/P91)*(1/Q91-1/P91) + 4*AO91/((AO91+1)*(AO91+1))*(2*1/Q91*1/P91-1/P91*1/P91)))</f>
        <v>0</v>
      </c>
      <c r="P91">
        <f>IF(LEFT(AP91,1)&lt;&gt;"0",IF(LEFT(AP91,1)="1",3.0,AQ91),$D$5+$E$5*(BG91*AZ91/($K$5*1000))+$F$5*(BG91*AZ91/($K$5*1000))*MAX(MIN(AN91,$J$5),$I$5)*MAX(MIN(AN91,$J$5),$I$5)+$G$5*MAX(MIN(AN91,$J$5),$I$5)*(BG91*AZ91/($K$5*1000))+$H$5*(BG91*AZ91/($K$5*1000))*(BG91*AZ91/($K$5*1000)))</f>
        <v>0</v>
      </c>
      <c r="Q91">
        <f>H91*(1000-(1000*0.61365*exp(17.502*U91/(240.97+U91))/(AZ91+BA91)+AU91)/2)/(1000*0.61365*exp(17.502*U91/(240.97+U91))/(AZ91+BA91)-AU91)</f>
        <v>0</v>
      </c>
      <c r="R91">
        <f>1/((AO91+1)/(O91/1.6)+1/(P91/1.37)) + AO91/((AO91+1)/(O91/1.6) + AO91/(P91/1.37))</f>
        <v>0</v>
      </c>
      <c r="S91">
        <f>(AJ91*AM91)</f>
        <v>0</v>
      </c>
      <c r="T91">
        <f>(BB91+(S91+2*0.95*5.67E-8*(((BB91+$B$7)+273)^4-(BB91+273)^4)-44100*H91)/(1.84*29.3*P91+8*0.95*5.67E-8*(BB91+273)^3))</f>
        <v>0</v>
      </c>
      <c r="U91">
        <f>($C$7*BC91+$D$7*BD91+$E$7*T91)</f>
        <v>0</v>
      </c>
      <c r="V91">
        <f>0.61365*exp(17.502*U91/(240.97+U91))</f>
        <v>0</v>
      </c>
      <c r="W91">
        <f>(X91/Y91*100)</f>
        <v>0</v>
      </c>
      <c r="X91">
        <f>AU91*(AZ91+BA91)/1000</f>
        <v>0</v>
      </c>
      <c r="Y91">
        <f>0.61365*exp(17.502*BB91/(240.97+BB91))</f>
        <v>0</v>
      </c>
      <c r="Z91">
        <f>(V91-AU91*(AZ91+BA91)/1000)</f>
        <v>0</v>
      </c>
      <c r="AA91">
        <f>(-H91*44100)</f>
        <v>0</v>
      </c>
      <c r="AB91">
        <f>2*29.3*P91*0.92*(BB91-U91)</f>
        <v>0</v>
      </c>
      <c r="AC91">
        <f>2*0.95*5.67E-8*(((BB91+$B$7)+273)^4-(U91+273)^4)</f>
        <v>0</v>
      </c>
      <c r="AD91">
        <f>S91+AC91+AA91+AB91</f>
        <v>0</v>
      </c>
      <c r="AE91">
        <v>1</v>
      </c>
      <c r="AF91">
        <v>0</v>
      </c>
      <c r="AG91">
        <f>IF(AE91*$H$13&gt;=AI91,1.0,(AI91/(AI91-AE91*$H$13)))</f>
        <v>0</v>
      </c>
      <c r="AH91">
        <f>(AG91-1)*100</f>
        <v>0</v>
      </c>
      <c r="AI91">
        <f>MAX(0,($B$13+$C$13*BG91)/(1+$D$13*BG91)*AZ91/(BB91+273)*$E$13)</f>
        <v>0</v>
      </c>
      <c r="AJ91">
        <f>$B$11*BH91+$C$11*BI91+$D$11*BT91</f>
        <v>0</v>
      </c>
      <c r="AK91">
        <f>AJ91*AL91</f>
        <v>0</v>
      </c>
      <c r="AL91">
        <f>($B$11*$D$9+$C$11*$D$9+$D$11*(BU91*$E$9+BV91*$G$9))/($B$11+$C$11+$D$11)</f>
        <v>0</v>
      </c>
      <c r="AM91">
        <f>($B$11*$K$9+$C$11*$K$9+$D$11*(BU91*$L$9+BV91*$N$9))/($B$11+$C$11+$D$11)</f>
        <v>0</v>
      </c>
      <c r="AN91">
        <v>3</v>
      </c>
      <c r="AO91">
        <v>0.5</v>
      </c>
      <c r="AP91" t="s">
        <v>331</v>
      </c>
      <c r="AQ91">
        <v>2</v>
      </c>
      <c r="AR91">
        <v>1773273296.5</v>
      </c>
      <c r="AS91">
        <v>494.8153225806452</v>
      </c>
      <c r="AT91">
        <v>492.885806451613</v>
      </c>
      <c r="AU91">
        <v>10.2362</v>
      </c>
      <c r="AV91">
        <v>9.390014516129032</v>
      </c>
      <c r="AW91">
        <v>488.3197741935484</v>
      </c>
      <c r="AX91">
        <v>10.17738709677419</v>
      </c>
      <c r="AY91">
        <v>500.0078387096775</v>
      </c>
      <c r="AZ91">
        <v>100.2540322580645</v>
      </c>
      <c r="BA91">
        <v>0.03551717096774194</v>
      </c>
      <c r="BB91">
        <v>25.00153225806452</v>
      </c>
      <c r="BC91">
        <v>25.10730645161291</v>
      </c>
      <c r="BD91">
        <v>999.9000000000003</v>
      </c>
      <c r="BE91">
        <v>0</v>
      </c>
      <c r="BF91">
        <v>0</v>
      </c>
      <c r="BG91">
        <v>5001.290322580645</v>
      </c>
      <c r="BH91">
        <v>1.906849032258064</v>
      </c>
      <c r="BI91">
        <v>632.1774193548387</v>
      </c>
      <c r="BJ91">
        <v>1.929467741935484</v>
      </c>
      <c r="BK91">
        <v>499.9328064516127</v>
      </c>
      <c r="BL91">
        <v>497.5578709677419</v>
      </c>
      <c r="BM91">
        <v>0.8461924516129032</v>
      </c>
      <c r="BN91">
        <v>492.885806451613</v>
      </c>
      <c r="BO91">
        <v>9.390014516129032</v>
      </c>
      <c r="BP91">
        <v>1.026220967741936</v>
      </c>
      <c r="BQ91">
        <v>0.9413862903225807</v>
      </c>
      <c r="BR91">
        <v>7.294058387096775</v>
      </c>
      <c r="BS91">
        <v>6.039449677419356</v>
      </c>
      <c r="BT91">
        <v>0</v>
      </c>
      <c r="BU91">
        <v>0</v>
      </c>
      <c r="BV91">
        <v>0</v>
      </c>
      <c r="BW91">
        <v>27</v>
      </c>
      <c r="BX91">
        <v>43.06880967741934</v>
      </c>
      <c r="BY91">
        <v>1773268786.6</v>
      </c>
      <c r="BZ91" t="s">
        <v>332</v>
      </c>
      <c r="CA91">
        <v>1773268786.6</v>
      </c>
      <c r="CB91">
        <v>1773268774.1</v>
      </c>
      <c r="CC91">
        <v>2</v>
      </c>
      <c r="CD91">
        <v>0.264</v>
      </c>
      <c r="CE91">
        <v>-0.024</v>
      </c>
      <c r="CF91">
        <v>6.495</v>
      </c>
      <c r="CG91">
        <v>0.059</v>
      </c>
      <c r="CH91">
        <v>488</v>
      </c>
      <c r="CI91">
        <v>25</v>
      </c>
      <c r="CJ91">
        <v>0.48</v>
      </c>
      <c r="CK91">
        <v>0.14</v>
      </c>
      <c r="CL91">
        <v>492.8763333333334</v>
      </c>
      <c r="CM91">
        <v>0.9295661846503653</v>
      </c>
      <c r="CN91">
        <v>0.1805313146120535</v>
      </c>
      <c r="CO91">
        <v>-1</v>
      </c>
      <c r="CP91">
        <v>500.0087666666667</v>
      </c>
      <c r="CQ91">
        <v>-0.1466963292545882</v>
      </c>
      <c r="CR91">
        <v>0.0359570886227167</v>
      </c>
      <c r="CS91">
        <v>-1</v>
      </c>
      <c r="CT91">
        <v>0</v>
      </c>
      <c r="CU91">
        <v>0</v>
      </c>
      <c r="CV91" t="s">
        <v>333</v>
      </c>
      <c r="CW91">
        <v>3.1698</v>
      </c>
      <c r="CX91">
        <v>2.65673</v>
      </c>
      <c r="CY91">
        <v>0.114049</v>
      </c>
      <c r="CZ91">
        <v>0.114987</v>
      </c>
      <c r="DA91">
        <v>0.0606556</v>
      </c>
      <c r="DB91">
        <v>0.0566887</v>
      </c>
      <c r="DC91">
        <v>21304.7</v>
      </c>
      <c r="DD91">
        <v>21806</v>
      </c>
      <c r="DE91">
        <v>23149.4</v>
      </c>
      <c r="DF91">
        <v>22533.9</v>
      </c>
      <c r="DG91">
        <v>32856.4</v>
      </c>
      <c r="DH91">
        <v>29981.7</v>
      </c>
      <c r="DI91">
        <v>40688.8</v>
      </c>
      <c r="DJ91">
        <v>37297.1</v>
      </c>
      <c r="DK91">
        <v>2.10066</v>
      </c>
      <c r="DL91">
        <v>1.72732</v>
      </c>
      <c r="DM91">
        <v>-0.0660121</v>
      </c>
      <c r="DN91">
        <v>0</v>
      </c>
      <c r="DO91">
        <v>26.1916</v>
      </c>
      <c r="DP91">
        <v>999.9</v>
      </c>
      <c r="DQ91">
        <v>60.3</v>
      </c>
      <c r="DR91">
        <v>30</v>
      </c>
      <c r="DS91">
        <v>25.6254</v>
      </c>
      <c r="DT91">
        <v>30.01</v>
      </c>
      <c r="DU91">
        <v>11.9671</v>
      </c>
      <c r="DV91">
        <v>1</v>
      </c>
      <c r="DW91">
        <v>0.180569</v>
      </c>
      <c r="DX91">
        <v>1.44579</v>
      </c>
      <c r="DY91">
        <v>20.3603</v>
      </c>
      <c r="DZ91">
        <v>5.21202</v>
      </c>
      <c r="EA91">
        <v>11.8483</v>
      </c>
      <c r="EB91">
        <v>4.9678</v>
      </c>
      <c r="EC91">
        <v>3.2921</v>
      </c>
      <c r="ED91">
        <v>879.4</v>
      </c>
      <c r="EE91">
        <v>9999</v>
      </c>
      <c r="EF91">
        <v>9999</v>
      </c>
      <c r="EG91">
        <v>81.3</v>
      </c>
      <c r="EH91">
        <v>4.97159</v>
      </c>
      <c r="EI91">
        <v>1.87181</v>
      </c>
      <c r="EJ91">
        <v>1.86905</v>
      </c>
      <c r="EK91">
        <v>1.87147</v>
      </c>
      <c r="EL91">
        <v>1.8692</v>
      </c>
      <c r="EM91">
        <v>1.86813</v>
      </c>
      <c r="EN91">
        <v>1.86996</v>
      </c>
      <c r="EO91">
        <v>1.8718</v>
      </c>
      <c r="EP91">
        <v>0</v>
      </c>
      <c r="EQ91">
        <v>0</v>
      </c>
      <c r="ER91">
        <v>0</v>
      </c>
      <c r="ES91">
        <v>0</v>
      </c>
      <c r="ET91" t="s">
        <v>334</v>
      </c>
      <c r="EU91" t="s">
        <v>335</v>
      </c>
      <c r="EV91" t="s">
        <v>336</v>
      </c>
      <c r="EW91" t="s">
        <v>336</v>
      </c>
      <c r="EX91" t="s">
        <v>336</v>
      </c>
      <c r="EY91" t="s">
        <v>336</v>
      </c>
      <c r="EZ91">
        <v>0</v>
      </c>
      <c r="FA91">
        <v>100</v>
      </c>
      <c r="FB91">
        <v>100</v>
      </c>
      <c r="FC91">
        <v>6.496</v>
      </c>
      <c r="FD91">
        <v>0.0589</v>
      </c>
      <c r="FE91">
        <v>6.495476190476325</v>
      </c>
      <c r="FF91">
        <v>0</v>
      </c>
      <c r="FG91">
        <v>0</v>
      </c>
      <c r="FH91">
        <v>0</v>
      </c>
      <c r="FI91">
        <v>0.05881499999999917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75.3</v>
      </c>
      <c r="FR91">
        <v>75.5</v>
      </c>
      <c r="FS91">
        <v>0.144043</v>
      </c>
      <c r="FT91">
        <v>4.99756</v>
      </c>
      <c r="FU91">
        <v>1.5979</v>
      </c>
      <c r="FV91">
        <v>2.15332</v>
      </c>
      <c r="FW91">
        <v>1.54785</v>
      </c>
      <c r="FX91">
        <v>2.44873</v>
      </c>
      <c r="FY91">
        <v>35.5915</v>
      </c>
      <c r="FZ91">
        <v>16.0058</v>
      </c>
      <c r="GA91">
        <v>3</v>
      </c>
      <c r="GB91">
        <v>502.264</v>
      </c>
      <c r="GC91">
        <v>363.071</v>
      </c>
      <c r="GD91">
        <v>24.1595</v>
      </c>
      <c r="GE91">
        <v>29.4845</v>
      </c>
      <c r="GF91">
        <v>30.0011</v>
      </c>
      <c r="GG91">
        <v>29.3395</v>
      </c>
      <c r="GH91">
        <v>29.3211</v>
      </c>
      <c r="GI91">
        <v>-1</v>
      </c>
      <c r="GJ91">
        <v>100</v>
      </c>
      <c r="GK91">
        <v>0</v>
      </c>
      <c r="GL91">
        <v>24.1345</v>
      </c>
      <c r="GM91">
        <v>1200</v>
      </c>
      <c r="GN91">
        <v>26.7455</v>
      </c>
      <c r="GO91">
        <v>102.416</v>
      </c>
      <c r="GP91">
        <v>97.3686</v>
      </c>
    </row>
    <row r="92" spans="1:198">
      <c r="A92">
        <v>76</v>
      </c>
      <c r="B92">
        <v>1773273364.5</v>
      </c>
      <c r="C92">
        <v>4500.900000095367</v>
      </c>
      <c r="D92" t="s">
        <v>485</v>
      </c>
      <c r="E92" t="s">
        <v>486</v>
      </c>
      <c r="F92">
        <v>15</v>
      </c>
      <c r="G92">
        <v>1773273356.5</v>
      </c>
      <c r="H92">
        <f>(I92)/1000</f>
        <v>0</v>
      </c>
      <c r="I92">
        <f>1000*AY92*AG92*(AU92-AV92)/(100*AN92*(1000-AG92*AU92))</f>
        <v>0</v>
      </c>
      <c r="J92">
        <f>AY92*AG92*(AT92-AS92*(1000-AG92*AV92)/(1000-AG92*AU92))/(100*AN92)</f>
        <v>0</v>
      </c>
      <c r="K92">
        <f>AS92 - IF(AG92&gt;1, J92*AN92*100.0/(AI92), 0)</f>
        <v>0</v>
      </c>
      <c r="L92">
        <f>((R92-H92/2)*K92-J92)/(R92+H92/2)</f>
        <v>0</v>
      </c>
      <c r="M92">
        <f>L92*(AZ92+BA92)/1000.0</f>
        <v>0</v>
      </c>
      <c r="N92">
        <f>(AS92 - IF(AG92&gt;1, J92*AN92*100.0/(AI92), 0))*(AZ92+BA92)/1000.0</f>
        <v>0</v>
      </c>
      <c r="O92">
        <f>2.0/((1/Q92-1/P92)+SIGN(Q92)*SQRT((1/Q92-1/P92)*(1/Q92-1/P92) + 4*AO92/((AO92+1)*(AO92+1))*(2*1/Q92*1/P92-1/P92*1/P92)))</f>
        <v>0</v>
      </c>
      <c r="P92">
        <f>IF(LEFT(AP92,1)&lt;&gt;"0",IF(LEFT(AP92,1)="1",3.0,AQ92),$D$5+$E$5*(BG92*AZ92/($K$5*1000))+$F$5*(BG92*AZ92/($K$5*1000))*MAX(MIN(AN92,$J$5),$I$5)*MAX(MIN(AN92,$J$5),$I$5)+$G$5*MAX(MIN(AN92,$J$5),$I$5)*(BG92*AZ92/($K$5*1000))+$H$5*(BG92*AZ92/($K$5*1000))*(BG92*AZ92/($K$5*1000)))</f>
        <v>0</v>
      </c>
      <c r="Q92">
        <f>H92*(1000-(1000*0.61365*exp(17.502*U92/(240.97+U92))/(AZ92+BA92)+AU92)/2)/(1000*0.61365*exp(17.502*U92/(240.97+U92))/(AZ92+BA92)-AU92)</f>
        <v>0</v>
      </c>
      <c r="R92">
        <f>1/((AO92+1)/(O92/1.6)+1/(P92/1.37)) + AO92/((AO92+1)/(O92/1.6) + AO92/(P92/1.37))</f>
        <v>0</v>
      </c>
      <c r="S92">
        <f>(AJ92*AM92)</f>
        <v>0</v>
      </c>
      <c r="T92">
        <f>(BB92+(S92+2*0.95*5.67E-8*(((BB92+$B$7)+273)^4-(BB92+273)^4)-44100*H92)/(1.84*29.3*P92+8*0.95*5.67E-8*(BB92+273)^3))</f>
        <v>0</v>
      </c>
      <c r="U92">
        <f>($C$7*BC92+$D$7*BD92+$E$7*T92)</f>
        <v>0</v>
      </c>
      <c r="V92">
        <f>0.61365*exp(17.502*U92/(240.97+U92))</f>
        <v>0</v>
      </c>
      <c r="W92">
        <f>(X92/Y92*100)</f>
        <v>0</v>
      </c>
      <c r="X92">
        <f>AU92*(AZ92+BA92)/1000</f>
        <v>0</v>
      </c>
      <c r="Y92">
        <f>0.61365*exp(17.502*BB92/(240.97+BB92))</f>
        <v>0</v>
      </c>
      <c r="Z92">
        <f>(V92-AU92*(AZ92+BA92)/1000)</f>
        <v>0</v>
      </c>
      <c r="AA92">
        <f>(-H92*44100)</f>
        <v>0</v>
      </c>
      <c r="AB92">
        <f>2*29.3*P92*0.92*(BB92-U92)</f>
        <v>0</v>
      </c>
      <c r="AC92">
        <f>2*0.95*5.67E-8*(((BB92+$B$7)+273)^4-(U92+273)^4)</f>
        <v>0</v>
      </c>
      <c r="AD92">
        <f>S92+AC92+AA92+AB92</f>
        <v>0</v>
      </c>
      <c r="AE92">
        <v>1</v>
      </c>
      <c r="AF92">
        <v>0</v>
      </c>
      <c r="AG92">
        <f>IF(AE92*$H$13&gt;=AI92,1.0,(AI92/(AI92-AE92*$H$13)))</f>
        <v>0</v>
      </c>
      <c r="AH92">
        <f>(AG92-1)*100</f>
        <v>0</v>
      </c>
      <c r="AI92">
        <f>MAX(0,($B$13+$C$13*BG92)/(1+$D$13*BG92)*AZ92/(BB92+273)*$E$13)</f>
        <v>0</v>
      </c>
      <c r="AJ92">
        <f>$B$11*BH92+$C$11*BI92+$D$11*BT92</f>
        <v>0</v>
      </c>
      <c r="AK92">
        <f>AJ92*AL92</f>
        <v>0</v>
      </c>
      <c r="AL92">
        <f>($B$11*$D$9+$C$11*$D$9+$D$11*(BU92*$E$9+BV92*$G$9))/($B$11+$C$11+$D$11)</f>
        <v>0</v>
      </c>
      <c r="AM92">
        <f>($B$11*$K$9+$C$11*$K$9+$D$11*(BU92*$L$9+BV92*$N$9))/($B$11+$C$11+$D$11)</f>
        <v>0</v>
      </c>
      <c r="AN92">
        <v>3</v>
      </c>
      <c r="AO92">
        <v>0.5</v>
      </c>
      <c r="AP92" t="s">
        <v>331</v>
      </c>
      <c r="AQ92">
        <v>2</v>
      </c>
      <c r="AR92">
        <v>1773273356.5</v>
      </c>
      <c r="AS92">
        <v>494.4719032258064</v>
      </c>
      <c r="AT92">
        <v>493.1749677419353</v>
      </c>
      <c r="AU92">
        <v>10.30594838709677</v>
      </c>
      <c r="AV92">
        <v>9.452512580645159</v>
      </c>
      <c r="AW92">
        <v>487.9765806451614</v>
      </c>
      <c r="AX92">
        <v>10.24713548387097</v>
      </c>
      <c r="AY92">
        <v>500.0077096774195</v>
      </c>
      <c r="AZ92">
        <v>100.256064516129</v>
      </c>
      <c r="BA92">
        <v>0.03539109999999999</v>
      </c>
      <c r="BB92">
        <v>25.01311612903226</v>
      </c>
      <c r="BC92">
        <v>25.10153548387096</v>
      </c>
      <c r="BD92">
        <v>999.9000000000003</v>
      </c>
      <c r="BE92">
        <v>0</v>
      </c>
      <c r="BF92">
        <v>0</v>
      </c>
      <c r="BG92">
        <v>5002.451612903225</v>
      </c>
      <c r="BH92">
        <v>1.937673225806452</v>
      </c>
      <c r="BI92">
        <v>650.2363225806452</v>
      </c>
      <c r="BJ92">
        <v>1.297043870967742</v>
      </c>
      <c r="BK92">
        <v>499.6210967741935</v>
      </c>
      <c r="BL92">
        <v>497.8812258064517</v>
      </c>
      <c r="BM92">
        <v>0.8534359354838712</v>
      </c>
      <c r="BN92">
        <v>493.1749677419353</v>
      </c>
      <c r="BO92">
        <v>9.452512580645159</v>
      </c>
      <c r="BP92">
        <v>1.033232580645161</v>
      </c>
      <c r="BQ92">
        <v>0.9476708064516127</v>
      </c>
      <c r="BR92">
        <v>7.393619999999999</v>
      </c>
      <c r="BS92">
        <v>6.135742903225806</v>
      </c>
      <c r="BT92">
        <v>0</v>
      </c>
      <c r="BU92">
        <v>0</v>
      </c>
      <c r="BV92">
        <v>0</v>
      </c>
      <c r="BW92">
        <v>27</v>
      </c>
      <c r="BX92">
        <v>44</v>
      </c>
      <c r="BY92">
        <v>1773268786.6</v>
      </c>
      <c r="BZ92" t="s">
        <v>332</v>
      </c>
      <c r="CA92">
        <v>1773268786.6</v>
      </c>
      <c r="CB92">
        <v>1773268774.1</v>
      </c>
      <c r="CC92">
        <v>2</v>
      </c>
      <c r="CD92">
        <v>0.264</v>
      </c>
      <c r="CE92">
        <v>-0.024</v>
      </c>
      <c r="CF92">
        <v>6.495</v>
      </c>
      <c r="CG92">
        <v>0.059</v>
      </c>
      <c r="CH92">
        <v>488</v>
      </c>
      <c r="CI92">
        <v>25</v>
      </c>
      <c r="CJ92">
        <v>0.48</v>
      </c>
      <c r="CK92">
        <v>0.14</v>
      </c>
      <c r="CL92">
        <v>493.1666333333332</v>
      </c>
      <c r="CM92">
        <v>1.286629588430884</v>
      </c>
      <c r="CN92">
        <v>0.09750948102050774</v>
      </c>
      <c r="CO92">
        <v>-1</v>
      </c>
      <c r="CP92">
        <v>500.0086333333335</v>
      </c>
      <c r="CQ92">
        <v>-0.1718442714123491</v>
      </c>
      <c r="CR92">
        <v>0.04695280136003939</v>
      </c>
      <c r="CS92">
        <v>-1</v>
      </c>
      <c r="CT92">
        <v>0</v>
      </c>
      <c r="CU92">
        <v>0</v>
      </c>
      <c r="CV92" t="s">
        <v>333</v>
      </c>
      <c r="CW92">
        <v>3.16985</v>
      </c>
      <c r="CX92">
        <v>2.65649</v>
      </c>
      <c r="CY92">
        <v>0.114044</v>
      </c>
      <c r="CZ92">
        <v>0.115018</v>
      </c>
      <c r="DA92">
        <v>0.0609637</v>
      </c>
      <c r="DB92">
        <v>0.0569772</v>
      </c>
      <c r="DC92">
        <v>21301.6</v>
      </c>
      <c r="DD92">
        <v>21802.7</v>
      </c>
      <c r="DE92">
        <v>23146.2</v>
      </c>
      <c r="DF92">
        <v>22531.5</v>
      </c>
      <c r="DG92">
        <v>32841.2</v>
      </c>
      <c r="DH92">
        <v>29969.2</v>
      </c>
      <c r="DI92">
        <v>40683.5</v>
      </c>
      <c r="DJ92">
        <v>37293.1</v>
      </c>
      <c r="DK92">
        <v>2.09994</v>
      </c>
      <c r="DL92">
        <v>1.7256</v>
      </c>
      <c r="DM92">
        <v>-0.06494220000000001</v>
      </c>
      <c r="DN92">
        <v>0</v>
      </c>
      <c r="DO92">
        <v>26.1584</v>
      </c>
      <c r="DP92">
        <v>999.9</v>
      </c>
      <c r="DQ92">
        <v>60</v>
      </c>
      <c r="DR92">
        <v>30.1</v>
      </c>
      <c r="DS92">
        <v>25.6455</v>
      </c>
      <c r="DT92">
        <v>30.34</v>
      </c>
      <c r="DU92">
        <v>11.7989</v>
      </c>
      <c r="DV92">
        <v>1</v>
      </c>
      <c r="DW92">
        <v>0.186846</v>
      </c>
      <c r="DX92">
        <v>1.61759</v>
      </c>
      <c r="DY92">
        <v>20.358</v>
      </c>
      <c r="DZ92">
        <v>5.21202</v>
      </c>
      <c r="EA92">
        <v>11.8485</v>
      </c>
      <c r="EB92">
        <v>4.96788</v>
      </c>
      <c r="EC92">
        <v>3.29216</v>
      </c>
      <c r="ED92">
        <v>879.4</v>
      </c>
      <c r="EE92">
        <v>9999</v>
      </c>
      <c r="EF92">
        <v>9999</v>
      </c>
      <c r="EG92">
        <v>81.40000000000001</v>
      </c>
      <c r="EH92">
        <v>4.97157</v>
      </c>
      <c r="EI92">
        <v>1.87183</v>
      </c>
      <c r="EJ92">
        <v>1.86905</v>
      </c>
      <c r="EK92">
        <v>1.87148</v>
      </c>
      <c r="EL92">
        <v>1.8692</v>
      </c>
      <c r="EM92">
        <v>1.86813</v>
      </c>
      <c r="EN92">
        <v>1.86996</v>
      </c>
      <c r="EO92">
        <v>1.8718</v>
      </c>
      <c r="EP92">
        <v>0</v>
      </c>
      <c r="EQ92">
        <v>0</v>
      </c>
      <c r="ER92">
        <v>0</v>
      </c>
      <c r="ES92">
        <v>0</v>
      </c>
      <c r="ET92" t="s">
        <v>334</v>
      </c>
      <c r="EU92" t="s">
        <v>335</v>
      </c>
      <c r="EV92" t="s">
        <v>336</v>
      </c>
      <c r="EW92" t="s">
        <v>336</v>
      </c>
      <c r="EX92" t="s">
        <v>336</v>
      </c>
      <c r="EY92" t="s">
        <v>336</v>
      </c>
      <c r="EZ92">
        <v>0</v>
      </c>
      <c r="FA92">
        <v>100</v>
      </c>
      <c r="FB92">
        <v>100</v>
      </c>
      <c r="FC92">
        <v>6.495</v>
      </c>
      <c r="FD92">
        <v>0.0589</v>
      </c>
      <c r="FE92">
        <v>6.495476190476325</v>
      </c>
      <c r="FF92">
        <v>0</v>
      </c>
      <c r="FG92">
        <v>0</v>
      </c>
      <c r="FH92">
        <v>0</v>
      </c>
      <c r="FI92">
        <v>0.05881499999999917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76.3</v>
      </c>
      <c r="FR92">
        <v>76.5</v>
      </c>
      <c r="FS92">
        <v>0.144043</v>
      </c>
      <c r="FT92">
        <v>4.99756</v>
      </c>
      <c r="FU92">
        <v>1.5979</v>
      </c>
      <c r="FV92">
        <v>2.15332</v>
      </c>
      <c r="FW92">
        <v>1.54785</v>
      </c>
      <c r="FX92">
        <v>2.40845</v>
      </c>
      <c r="FY92">
        <v>35.7311</v>
      </c>
      <c r="FZ92">
        <v>15.997</v>
      </c>
      <c r="GA92">
        <v>3</v>
      </c>
      <c r="GB92">
        <v>502.347</v>
      </c>
      <c r="GC92">
        <v>362.534</v>
      </c>
      <c r="GD92">
        <v>23.9373</v>
      </c>
      <c r="GE92">
        <v>29.5468</v>
      </c>
      <c r="GF92">
        <v>30.0005</v>
      </c>
      <c r="GG92">
        <v>29.4036</v>
      </c>
      <c r="GH92">
        <v>29.3838</v>
      </c>
      <c r="GI92">
        <v>-1</v>
      </c>
      <c r="GJ92">
        <v>100</v>
      </c>
      <c r="GK92">
        <v>0</v>
      </c>
      <c r="GL92">
        <v>23.9269</v>
      </c>
      <c r="GM92">
        <v>1200</v>
      </c>
      <c r="GN92">
        <v>26.7455</v>
      </c>
      <c r="GO92">
        <v>102.402</v>
      </c>
      <c r="GP92">
        <v>97.35809999999999</v>
      </c>
    </row>
    <row r="93" spans="1:198">
      <c r="A93">
        <v>77</v>
      </c>
      <c r="B93">
        <v>1773273424.5</v>
      </c>
      <c r="C93">
        <v>4560.900000095367</v>
      </c>
      <c r="D93" t="s">
        <v>487</v>
      </c>
      <c r="E93" t="s">
        <v>488</v>
      </c>
      <c r="F93">
        <v>15</v>
      </c>
      <c r="G93">
        <v>1773273416.5</v>
      </c>
      <c r="H93">
        <f>(I93)/1000</f>
        <v>0</v>
      </c>
      <c r="I93">
        <f>1000*AY93*AG93*(AU93-AV93)/(100*AN93*(1000-AG93*AU93))</f>
        <v>0</v>
      </c>
      <c r="J93">
        <f>AY93*AG93*(AT93-AS93*(1000-AG93*AV93)/(1000-AG93*AU93))/(100*AN93)</f>
        <v>0</v>
      </c>
      <c r="K93">
        <f>AS93 - IF(AG93&gt;1, J93*AN93*100.0/(AI93), 0)</f>
        <v>0</v>
      </c>
      <c r="L93">
        <f>((R93-H93/2)*K93-J93)/(R93+H93/2)</f>
        <v>0</v>
      </c>
      <c r="M93">
        <f>L93*(AZ93+BA93)/1000.0</f>
        <v>0</v>
      </c>
      <c r="N93">
        <f>(AS93 - IF(AG93&gt;1, J93*AN93*100.0/(AI93), 0))*(AZ93+BA93)/1000.0</f>
        <v>0</v>
      </c>
      <c r="O93">
        <f>2.0/((1/Q93-1/P93)+SIGN(Q93)*SQRT((1/Q93-1/P93)*(1/Q93-1/P93) + 4*AO93/((AO93+1)*(AO93+1))*(2*1/Q93*1/P93-1/P93*1/P93)))</f>
        <v>0</v>
      </c>
      <c r="P93">
        <f>IF(LEFT(AP93,1)&lt;&gt;"0",IF(LEFT(AP93,1)="1",3.0,AQ93),$D$5+$E$5*(BG93*AZ93/($K$5*1000))+$F$5*(BG93*AZ93/($K$5*1000))*MAX(MIN(AN93,$J$5),$I$5)*MAX(MIN(AN93,$J$5),$I$5)+$G$5*MAX(MIN(AN93,$J$5),$I$5)*(BG93*AZ93/($K$5*1000))+$H$5*(BG93*AZ93/($K$5*1000))*(BG93*AZ93/($K$5*1000)))</f>
        <v>0</v>
      </c>
      <c r="Q93">
        <f>H93*(1000-(1000*0.61365*exp(17.502*U93/(240.97+U93))/(AZ93+BA93)+AU93)/2)/(1000*0.61365*exp(17.502*U93/(240.97+U93))/(AZ93+BA93)-AU93)</f>
        <v>0</v>
      </c>
      <c r="R93">
        <f>1/((AO93+1)/(O93/1.6)+1/(P93/1.37)) + AO93/((AO93+1)/(O93/1.6) + AO93/(P93/1.37))</f>
        <v>0</v>
      </c>
      <c r="S93">
        <f>(AJ93*AM93)</f>
        <v>0</v>
      </c>
      <c r="T93">
        <f>(BB93+(S93+2*0.95*5.67E-8*(((BB93+$B$7)+273)^4-(BB93+273)^4)-44100*H93)/(1.84*29.3*P93+8*0.95*5.67E-8*(BB93+273)^3))</f>
        <v>0</v>
      </c>
      <c r="U93">
        <f>($C$7*BC93+$D$7*BD93+$E$7*T93)</f>
        <v>0</v>
      </c>
      <c r="V93">
        <f>0.61365*exp(17.502*U93/(240.97+U93))</f>
        <v>0</v>
      </c>
      <c r="W93">
        <f>(X93/Y93*100)</f>
        <v>0</v>
      </c>
      <c r="X93">
        <f>AU93*(AZ93+BA93)/1000</f>
        <v>0</v>
      </c>
      <c r="Y93">
        <f>0.61365*exp(17.502*BB93/(240.97+BB93))</f>
        <v>0</v>
      </c>
      <c r="Z93">
        <f>(V93-AU93*(AZ93+BA93)/1000)</f>
        <v>0</v>
      </c>
      <c r="AA93">
        <f>(-H93*44100)</f>
        <v>0</v>
      </c>
      <c r="AB93">
        <f>2*29.3*P93*0.92*(BB93-U93)</f>
        <v>0</v>
      </c>
      <c r="AC93">
        <f>2*0.95*5.67E-8*(((BB93+$B$7)+273)^4-(U93+273)^4)</f>
        <v>0</v>
      </c>
      <c r="AD93">
        <f>S93+AC93+AA93+AB93</f>
        <v>0</v>
      </c>
      <c r="AE93">
        <v>0</v>
      </c>
      <c r="AF93">
        <v>0</v>
      </c>
      <c r="AG93">
        <f>IF(AE93*$H$13&gt;=AI93,1.0,(AI93/(AI93-AE93*$H$13)))</f>
        <v>0</v>
      </c>
      <c r="AH93">
        <f>(AG93-1)*100</f>
        <v>0</v>
      </c>
      <c r="AI93">
        <f>MAX(0,($B$13+$C$13*BG93)/(1+$D$13*BG93)*AZ93/(BB93+273)*$E$13)</f>
        <v>0</v>
      </c>
      <c r="AJ93">
        <f>$B$11*BH93+$C$11*BI93+$D$11*BT93</f>
        <v>0</v>
      </c>
      <c r="AK93">
        <f>AJ93*AL93</f>
        <v>0</v>
      </c>
      <c r="AL93">
        <f>($B$11*$D$9+$C$11*$D$9+$D$11*(BU93*$E$9+BV93*$G$9))/($B$11+$C$11+$D$11)</f>
        <v>0</v>
      </c>
      <c r="AM93">
        <f>($B$11*$K$9+$C$11*$K$9+$D$11*(BU93*$L$9+BV93*$N$9))/($B$11+$C$11+$D$11)</f>
        <v>0</v>
      </c>
      <c r="AN93">
        <v>3</v>
      </c>
      <c r="AO93">
        <v>0.5</v>
      </c>
      <c r="AP93" t="s">
        <v>331</v>
      </c>
      <c r="AQ93">
        <v>2</v>
      </c>
      <c r="AR93">
        <v>1773273416.5</v>
      </c>
      <c r="AS93">
        <v>494.0580322580646</v>
      </c>
      <c r="AT93">
        <v>492.6613870967741</v>
      </c>
      <c r="AU93">
        <v>10.37529032258064</v>
      </c>
      <c r="AV93">
        <v>9.515322580645162</v>
      </c>
      <c r="AW93">
        <v>487.5625806451612</v>
      </c>
      <c r="AX93">
        <v>10.31648387096774</v>
      </c>
      <c r="AY93">
        <v>499.9881290322581</v>
      </c>
      <c r="AZ93">
        <v>100.2560967741936</v>
      </c>
      <c r="BA93">
        <v>0.03516270322580645</v>
      </c>
      <c r="BB93">
        <v>25.00076451612903</v>
      </c>
      <c r="BC93">
        <v>25.06754193548387</v>
      </c>
      <c r="BD93">
        <v>999.9000000000003</v>
      </c>
      <c r="BE93">
        <v>0</v>
      </c>
      <c r="BF93">
        <v>0</v>
      </c>
      <c r="BG93">
        <v>4997.548387096775</v>
      </c>
      <c r="BH93">
        <v>1.925124838709678</v>
      </c>
      <c r="BI93">
        <v>651.9236451612903</v>
      </c>
      <c r="BJ93">
        <v>1.396648064516129</v>
      </c>
      <c r="BK93">
        <v>499.2377741935484</v>
      </c>
      <c r="BL93">
        <v>497.3942580645162</v>
      </c>
      <c r="BM93">
        <v>0.8599701612903228</v>
      </c>
      <c r="BN93">
        <v>492.6613870967741</v>
      </c>
      <c r="BO93">
        <v>9.515322580645162</v>
      </c>
      <c r="BP93">
        <v>1.040186774193548</v>
      </c>
      <c r="BQ93">
        <v>0.9539690322580646</v>
      </c>
      <c r="BR93">
        <v>7.491758387096775</v>
      </c>
      <c r="BS93">
        <v>6.231684516129033</v>
      </c>
      <c r="BT93">
        <v>0</v>
      </c>
      <c r="BU93">
        <v>0</v>
      </c>
      <c r="BV93">
        <v>0</v>
      </c>
      <c r="BW93">
        <v>27</v>
      </c>
      <c r="BX93">
        <v>43.5569870967742</v>
      </c>
      <c r="BY93">
        <v>1773268786.6</v>
      </c>
      <c r="BZ93" t="s">
        <v>332</v>
      </c>
      <c r="CA93">
        <v>1773268786.6</v>
      </c>
      <c r="CB93">
        <v>1773268774.1</v>
      </c>
      <c r="CC93">
        <v>2</v>
      </c>
      <c r="CD93">
        <v>0.264</v>
      </c>
      <c r="CE93">
        <v>-0.024</v>
      </c>
      <c r="CF93">
        <v>6.495</v>
      </c>
      <c r="CG93">
        <v>0.059</v>
      </c>
      <c r="CH93">
        <v>488</v>
      </c>
      <c r="CI93">
        <v>25</v>
      </c>
      <c r="CJ93">
        <v>0.48</v>
      </c>
      <c r="CK93">
        <v>0.14</v>
      </c>
      <c r="CL93">
        <v>492.6501333333333</v>
      </c>
      <c r="CM93">
        <v>3.703261401556628</v>
      </c>
      <c r="CN93">
        <v>0.2740741667667514</v>
      </c>
      <c r="CO93">
        <v>-1</v>
      </c>
      <c r="CP93">
        <v>499.9866000000001</v>
      </c>
      <c r="CQ93">
        <v>0.1673859844262888</v>
      </c>
      <c r="CR93">
        <v>0.03798122343123437</v>
      </c>
      <c r="CS93">
        <v>-1</v>
      </c>
      <c r="CT93">
        <v>0</v>
      </c>
      <c r="CU93">
        <v>0</v>
      </c>
      <c r="CV93" t="s">
        <v>333</v>
      </c>
      <c r="CW93">
        <v>3.16993</v>
      </c>
      <c r="CX93">
        <v>2.65633</v>
      </c>
      <c r="CY93">
        <v>0.113965</v>
      </c>
      <c r="CZ93">
        <v>0.114929</v>
      </c>
      <c r="DA93">
        <v>0.0612729</v>
      </c>
      <c r="DB93">
        <v>0.057269</v>
      </c>
      <c r="DC93">
        <v>21300.9</v>
      </c>
      <c r="DD93">
        <v>21802.9</v>
      </c>
      <c r="DE93">
        <v>23143.6</v>
      </c>
      <c r="DF93">
        <v>22529.6</v>
      </c>
      <c r="DG93">
        <v>32827</v>
      </c>
      <c r="DH93">
        <v>29956.9</v>
      </c>
      <c r="DI93">
        <v>40679.4</v>
      </c>
      <c r="DJ93">
        <v>37289.5</v>
      </c>
      <c r="DK93">
        <v>2.09994</v>
      </c>
      <c r="DL93">
        <v>1.724</v>
      </c>
      <c r="DM93">
        <v>-0.0635356</v>
      </c>
      <c r="DN93">
        <v>0</v>
      </c>
      <c r="DO93">
        <v>26.0988</v>
      </c>
      <c r="DP93">
        <v>999.9</v>
      </c>
      <c r="DQ93">
        <v>59.6</v>
      </c>
      <c r="DR93">
        <v>30.2</v>
      </c>
      <c r="DS93">
        <v>25.6171</v>
      </c>
      <c r="DT93">
        <v>30.19</v>
      </c>
      <c r="DU93">
        <v>11.7268</v>
      </c>
      <c r="DV93">
        <v>1</v>
      </c>
      <c r="DW93">
        <v>0.190892</v>
      </c>
      <c r="DX93">
        <v>1.45806</v>
      </c>
      <c r="DY93">
        <v>20.3602</v>
      </c>
      <c r="DZ93">
        <v>5.21178</v>
      </c>
      <c r="EA93">
        <v>11.8483</v>
      </c>
      <c r="EB93">
        <v>4.96788</v>
      </c>
      <c r="EC93">
        <v>3.29202</v>
      </c>
      <c r="ED93">
        <v>879.4</v>
      </c>
      <c r="EE93">
        <v>9999</v>
      </c>
      <c r="EF93">
        <v>9999</v>
      </c>
      <c r="EG93">
        <v>81.40000000000001</v>
      </c>
      <c r="EH93">
        <v>4.97158</v>
      </c>
      <c r="EI93">
        <v>1.87181</v>
      </c>
      <c r="EJ93">
        <v>1.86905</v>
      </c>
      <c r="EK93">
        <v>1.87148</v>
      </c>
      <c r="EL93">
        <v>1.8692</v>
      </c>
      <c r="EM93">
        <v>1.86813</v>
      </c>
      <c r="EN93">
        <v>1.86997</v>
      </c>
      <c r="EO93">
        <v>1.8718</v>
      </c>
      <c r="EP93">
        <v>0</v>
      </c>
      <c r="EQ93">
        <v>0</v>
      </c>
      <c r="ER93">
        <v>0</v>
      </c>
      <c r="ES93">
        <v>0</v>
      </c>
      <c r="ET93" t="s">
        <v>334</v>
      </c>
      <c r="EU93" t="s">
        <v>335</v>
      </c>
      <c r="EV93" t="s">
        <v>336</v>
      </c>
      <c r="EW93" t="s">
        <v>336</v>
      </c>
      <c r="EX93" t="s">
        <v>336</v>
      </c>
      <c r="EY93" t="s">
        <v>336</v>
      </c>
      <c r="EZ93">
        <v>0</v>
      </c>
      <c r="FA93">
        <v>100</v>
      </c>
      <c r="FB93">
        <v>100</v>
      </c>
      <c r="FC93">
        <v>6.495</v>
      </c>
      <c r="FD93">
        <v>0.0589</v>
      </c>
      <c r="FE93">
        <v>6.495476190476325</v>
      </c>
      <c r="FF93">
        <v>0</v>
      </c>
      <c r="FG93">
        <v>0</v>
      </c>
      <c r="FH93">
        <v>0</v>
      </c>
      <c r="FI93">
        <v>0.05881499999999917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77.3</v>
      </c>
      <c r="FR93">
        <v>77.5</v>
      </c>
      <c r="FS93">
        <v>0.144043</v>
      </c>
      <c r="FT93">
        <v>4.99756</v>
      </c>
      <c r="FU93">
        <v>1.5979</v>
      </c>
      <c r="FV93">
        <v>2.1521</v>
      </c>
      <c r="FW93">
        <v>1.54785</v>
      </c>
      <c r="FX93">
        <v>2.38403</v>
      </c>
      <c r="FY93">
        <v>35.8477</v>
      </c>
      <c r="FZ93">
        <v>15.9883</v>
      </c>
      <c r="GA93">
        <v>3</v>
      </c>
      <c r="GB93">
        <v>502.775</v>
      </c>
      <c r="GC93">
        <v>362.01</v>
      </c>
      <c r="GD93">
        <v>24.0277</v>
      </c>
      <c r="GE93">
        <v>29.5957</v>
      </c>
      <c r="GF93">
        <v>30.0004</v>
      </c>
      <c r="GG93">
        <v>29.4582</v>
      </c>
      <c r="GH93">
        <v>29.4381</v>
      </c>
      <c r="GI93">
        <v>-1</v>
      </c>
      <c r="GJ93">
        <v>100</v>
      </c>
      <c r="GK93">
        <v>0</v>
      </c>
      <c r="GL93">
        <v>24.0277</v>
      </c>
      <c r="GM93">
        <v>1200</v>
      </c>
      <c r="GN93">
        <v>26.7455</v>
      </c>
      <c r="GO93">
        <v>102.391</v>
      </c>
      <c r="GP93">
        <v>97.34910000000001</v>
      </c>
    </row>
    <row r="94" spans="1:198">
      <c r="A94">
        <v>78</v>
      </c>
      <c r="B94">
        <v>1773273484.5</v>
      </c>
      <c r="C94">
        <v>4620.900000095367</v>
      </c>
      <c r="D94" t="s">
        <v>489</v>
      </c>
      <c r="E94" t="s">
        <v>490</v>
      </c>
      <c r="F94">
        <v>15</v>
      </c>
      <c r="G94">
        <v>1773273476.5</v>
      </c>
      <c r="H94">
        <f>(I94)/1000</f>
        <v>0</v>
      </c>
      <c r="I94">
        <f>1000*AY94*AG94*(AU94-AV94)/(100*AN94*(1000-AG94*AU94))</f>
        <v>0</v>
      </c>
      <c r="J94">
        <f>AY94*AG94*(AT94-AS94*(1000-AG94*AV94)/(1000-AG94*AU94))/(100*AN94)</f>
        <v>0</v>
      </c>
      <c r="K94">
        <f>AS94 - IF(AG94&gt;1, J94*AN94*100.0/(AI94), 0)</f>
        <v>0</v>
      </c>
      <c r="L94">
        <f>((R94-H94/2)*K94-J94)/(R94+H94/2)</f>
        <v>0</v>
      </c>
      <c r="M94">
        <f>L94*(AZ94+BA94)/1000.0</f>
        <v>0</v>
      </c>
      <c r="N94">
        <f>(AS94 - IF(AG94&gt;1, J94*AN94*100.0/(AI94), 0))*(AZ94+BA94)/1000.0</f>
        <v>0</v>
      </c>
      <c r="O94">
        <f>2.0/((1/Q94-1/P94)+SIGN(Q94)*SQRT((1/Q94-1/P94)*(1/Q94-1/P94) + 4*AO94/((AO94+1)*(AO94+1))*(2*1/Q94*1/P94-1/P94*1/P94)))</f>
        <v>0</v>
      </c>
      <c r="P94">
        <f>IF(LEFT(AP94,1)&lt;&gt;"0",IF(LEFT(AP94,1)="1",3.0,AQ94),$D$5+$E$5*(BG94*AZ94/($K$5*1000))+$F$5*(BG94*AZ94/($K$5*1000))*MAX(MIN(AN94,$J$5),$I$5)*MAX(MIN(AN94,$J$5),$I$5)+$G$5*MAX(MIN(AN94,$J$5),$I$5)*(BG94*AZ94/($K$5*1000))+$H$5*(BG94*AZ94/($K$5*1000))*(BG94*AZ94/($K$5*1000)))</f>
        <v>0</v>
      </c>
      <c r="Q94">
        <f>H94*(1000-(1000*0.61365*exp(17.502*U94/(240.97+U94))/(AZ94+BA94)+AU94)/2)/(1000*0.61365*exp(17.502*U94/(240.97+U94))/(AZ94+BA94)-AU94)</f>
        <v>0</v>
      </c>
      <c r="R94">
        <f>1/((AO94+1)/(O94/1.6)+1/(P94/1.37)) + AO94/((AO94+1)/(O94/1.6) + AO94/(P94/1.37))</f>
        <v>0</v>
      </c>
      <c r="S94">
        <f>(AJ94*AM94)</f>
        <v>0</v>
      </c>
      <c r="T94">
        <f>(BB94+(S94+2*0.95*5.67E-8*(((BB94+$B$7)+273)^4-(BB94+273)^4)-44100*H94)/(1.84*29.3*P94+8*0.95*5.67E-8*(BB94+273)^3))</f>
        <v>0</v>
      </c>
      <c r="U94">
        <f>($C$7*BC94+$D$7*BD94+$E$7*T94)</f>
        <v>0</v>
      </c>
      <c r="V94">
        <f>0.61365*exp(17.502*U94/(240.97+U94))</f>
        <v>0</v>
      </c>
      <c r="W94">
        <f>(X94/Y94*100)</f>
        <v>0</v>
      </c>
      <c r="X94">
        <f>AU94*(AZ94+BA94)/1000</f>
        <v>0</v>
      </c>
      <c r="Y94">
        <f>0.61365*exp(17.502*BB94/(240.97+BB94))</f>
        <v>0</v>
      </c>
      <c r="Z94">
        <f>(V94-AU94*(AZ94+BA94)/1000)</f>
        <v>0</v>
      </c>
      <c r="AA94">
        <f>(-H94*44100)</f>
        <v>0</v>
      </c>
      <c r="AB94">
        <f>2*29.3*P94*0.92*(BB94-U94)</f>
        <v>0</v>
      </c>
      <c r="AC94">
        <f>2*0.95*5.67E-8*(((BB94+$B$7)+273)^4-(U94+273)^4)</f>
        <v>0</v>
      </c>
      <c r="AD94">
        <f>S94+AC94+AA94+AB94</f>
        <v>0</v>
      </c>
      <c r="AE94">
        <v>0</v>
      </c>
      <c r="AF94">
        <v>0</v>
      </c>
      <c r="AG94">
        <f>IF(AE94*$H$13&gt;=AI94,1.0,(AI94/(AI94-AE94*$H$13)))</f>
        <v>0</v>
      </c>
      <c r="AH94">
        <f>(AG94-1)*100</f>
        <v>0</v>
      </c>
      <c r="AI94">
        <f>MAX(0,($B$13+$C$13*BG94)/(1+$D$13*BG94)*AZ94/(BB94+273)*$E$13)</f>
        <v>0</v>
      </c>
      <c r="AJ94">
        <f>$B$11*BH94+$C$11*BI94+$D$11*BT94</f>
        <v>0</v>
      </c>
      <c r="AK94">
        <f>AJ94*AL94</f>
        <v>0</v>
      </c>
      <c r="AL94">
        <f>($B$11*$D$9+$C$11*$D$9+$D$11*(BU94*$E$9+BV94*$G$9))/($B$11+$C$11+$D$11)</f>
        <v>0</v>
      </c>
      <c r="AM94">
        <f>($B$11*$K$9+$C$11*$K$9+$D$11*(BU94*$L$9+BV94*$N$9))/($B$11+$C$11+$D$11)</f>
        <v>0</v>
      </c>
      <c r="AN94">
        <v>3</v>
      </c>
      <c r="AO94">
        <v>0.5</v>
      </c>
      <c r="AP94" t="s">
        <v>331</v>
      </c>
      <c r="AQ94">
        <v>2</v>
      </c>
      <c r="AR94">
        <v>1773273476.5</v>
      </c>
      <c r="AS94">
        <v>495.2882580645161</v>
      </c>
      <c r="AT94">
        <v>494.1114193548386</v>
      </c>
      <c r="AU94">
        <v>10.44852903225806</v>
      </c>
      <c r="AV94">
        <v>9.58543741935484</v>
      </c>
      <c r="AW94">
        <v>488.7928387096775</v>
      </c>
      <c r="AX94">
        <v>10.38971612903226</v>
      </c>
      <c r="AY94">
        <v>499.9986774193549</v>
      </c>
      <c r="AZ94">
        <v>100.2551612903226</v>
      </c>
      <c r="BA94">
        <v>0.03577381612903226</v>
      </c>
      <c r="BB94">
        <v>25.00147741935484</v>
      </c>
      <c r="BC94">
        <v>25.06805161290323</v>
      </c>
      <c r="BD94">
        <v>999.9000000000003</v>
      </c>
      <c r="BE94">
        <v>0</v>
      </c>
      <c r="BF94">
        <v>0</v>
      </c>
      <c r="BG94">
        <v>5007.548387096775</v>
      </c>
      <c r="BH94">
        <v>1.924754516129033</v>
      </c>
      <c r="BI94">
        <v>666.5122258064516</v>
      </c>
      <c r="BJ94">
        <v>1.176856129032258</v>
      </c>
      <c r="BK94">
        <v>500.5179677419354</v>
      </c>
      <c r="BL94">
        <v>498.8934838709677</v>
      </c>
      <c r="BM94">
        <v>0.8630977419354838</v>
      </c>
      <c r="BN94">
        <v>494.1114193548386</v>
      </c>
      <c r="BO94">
        <v>9.58543741935484</v>
      </c>
      <c r="BP94">
        <v>1.04752</v>
      </c>
      <c r="BQ94">
        <v>0.9609893870967742</v>
      </c>
      <c r="BR94">
        <v>7.594630322580645</v>
      </c>
      <c r="BS94">
        <v>6.337968064516129</v>
      </c>
      <c r="BT94">
        <v>0</v>
      </c>
      <c r="BU94">
        <v>0</v>
      </c>
      <c r="BV94">
        <v>0</v>
      </c>
      <c r="BW94">
        <v>27</v>
      </c>
      <c r="BX94">
        <v>44</v>
      </c>
      <c r="BY94">
        <v>1773268786.6</v>
      </c>
      <c r="BZ94" t="s">
        <v>332</v>
      </c>
      <c r="CA94">
        <v>1773268786.6</v>
      </c>
      <c r="CB94">
        <v>1773268774.1</v>
      </c>
      <c r="CC94">
        <v>2</v>
      </c>
      <c r="CD94">
        <v>0.264</v>
      </c>
      <c r="CE94">
        <v>-0.024</v>
      </c>
      <c r="CF94">
        <v>6.495</v>
      </c>
      <c r="CG94">
        <v>0.059</v>
      </c>
      <c r="CH94">
        <v>488</v>
      </c>
      <c r="CI94">
        <v>25</v>
      </c>
      <c r="CJ94">
        <v>0.48</v>
      </c>
      <c r="CK94">
        <v>0.14</v>
      </c>
      <c r="CL94">
        <v>494.1114193548386</v>
      </c>
      <c r="CM94">
        <v>2.10329032258145</v>
      </c>
      <c r="CN94">
        <v>0.1688203424131326</v>
      </c>
      <c r="CO94">
        <v>-1</v>
      </c>
      <c r="CP94">
        <v>499.9986774193549</v>
      </c>
      <c r="CQ94">
        <v>0.1058225806447586</v>
      </c>
      <c r="CR94">
        <v>0.04634957430766291</v>
      </c>
      <c r="CS94">
        <v>-1</v>
      </c>
      <c r="CT94">
        <v>0</v>
      </c>
      <c r="CU94">
        <v>0</v>
      </c>
      <c r="CV94" t="s">
        <v>333</v>
      </c>
      <c r="CW94">
        <v>3.16993</v>
      </c>
      <c r="CX94">
        <v>2.65647</v>
      </c>
      <c r="CY94">
        <v>0.114173</v>
      </c>
      <c r="CZ94">
        <v>0.115124</v>
      </c>
      <c r="DA94">
        <v>0.061605</v>
      </c>
      <c r="DB94">
        <v>0.0575925</v>
      </c>
      <c r="DC94">
        <v>21293.6</v>
      </c>
      <c r="DD94">
        <v>21796.7</v>
      </c>
      <c r="DE94">
        <v>23141.3</v>
      </c>
      <c r="DF94">
        <v>22528.3</v>
      </c>
      <c r="DG94">
        <v>32812.5</v>
      </c>
      <c r="DH94">
        <v>29944.7</v>
      </c>
      <c r="DI94">
        <v>40676</v>
      </c>
      <c r="DJ94">
        <v>37287.3</v>
      </c>
      <c r="DK94">
        <v>2.0994</v>
      </c>
      <c r="DL94">
        <v>1.72264</v>
      </c>
      <c r="DM94">
        <v>-0.0611544</v>
      </c>
      <c r="DN94">
        <v>0</v>
      </c>
      <c r="DO94">
        <v>26.0747</v>
      </c>
      <c r="DP94">
        <v>999.9</v>
      </c>
      <c r="DQ94">
        <v>59.4</v>
      </c>
      <c r="DR94">
        <v>30.2</v>
      </c>
      <c r="DS94">
        <v>25.5343</v>
      </c>
      <c r="DT94">
        <v>29.83</v>
      </c>
      <c r="DU94">
        <v>11.9872</v>
      </c>
      <c r="DV94">
        <v>1</v>
      </c>
      <c r="DW94">
        <v>0.194591</v>
      </c>
      <c r="DX94">
        <v>1.45928</v>
      </c>
      <c r="DY94">
        <v>20.3601</v>
      </c>
      <c r="DZ94">
        <v>5.21226</v>
      </c>
      <c r="EA94">
        <v>11.8483</v>
      </c>
      <c r="EB94">
        <v>4.96796</v>
      </c>
      <c r="EC94">
        <v>3.29218</v>
      </c>
      <c r="ED94">
        <v>879.4</v>
      </c>
      <c r="EE94">
        <v>9999</v>
      </c>
      <c r="EF94">
        <v>9999</v>
      </c>
      <c r="EG94">
        <v>81.40000000000001</v>
      </c>
      <c r="EH94">
        <v>4.97158</v>
      </c>
      <c r="EI94">
        <v>1.87184</v>
      </c>
      <c r="EJ94">
        <v>1.86905</v>
      </c>
      <c r="EK94">
        <v>1.87149</v>
      </c>
      <c r="EL94">
        <v>1.8692</v>
      </c>
      <c r="EM94">
        <v>1.86813</v>
      </c>
      <c r="EN94">
        <v>1.86997</v>
      </c>
      <c r="EO94">
        <v>1.8718</v>
      </c>
      <c r="EP94">
        <v>0</v>
      </c>
      <c r="EQ94">
        <v>0</v>
      </c>
      <c r="ER94">
        <v>0</v>
      </c>
      <c r="ES94">
        <v>0</v>
      </c>
      <c r="ET94" t="s">
        <v>334</v>
      </c>
      <c r="EU94" t="s">
        <v>335</v>
      </c>
      <c r="EV94" t="s">
        <v>336</v>
      </c>
      <c r="EW94" t="s">
        <v>336</v>
      </c>
      <c r="EX94" t="s">
        <v>336</v>
      </c>
      <c r="EY94" t="s">
        <v>336</v>
      </c>
      <c r="EZ94">
        <v>0</v>
      </c>
      <c r="FA94">
        <v>100</v>
      </c>
      <c r="FB94">
        <v>100</v>
      </c>
      <c r="FC94">
        <v>6.495</v>
      </c>
      <c r="FD94">
        <v>0.0588</v>
      </c>
      <c r="FE94">
        <v>6.495476190476325</v>
      </c>
      <c r="FF94">
        <v>0</v>
      </c>
      <c r="FG94">
        <v>0</v>
      </c>
      <c r="FH94">
        <v>0</v>
      </c>
      <c r="FI94">
        <v>0.05881499999999917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78.3</v>
      </c>
      <c r="FR94">
        <v>78.5</v>
      </c>
      <c r="FS94">
        <v>0.144043</v>
      </c>
      <c r="FT94">
        <v>4.99756</v>
      </c>
      <c r="FU94">
        <v>1.5979</v>
      </c>
      <c r="FV94">
        <v>2.1521</v>
      </c>
      <c r="FW94">
        <v>1.54785</v>
      </c>
      <c r="FX94">
        <v>2.44019</v>
      </c>
      <c r="FY94">
        <v>35.9645</v>
      </c>
      <c r="FZ94">
        <v>15.9883</v>
      </c>
      <c r="GA94">
        <v>3</v>
      </c>
      <c r="GB94">
        <v>502.848</v>
      </c>
      <c r="GC94">
        <v>361.589</v>
      </c>
      <c r="GD94">
        <v>24.0237</v>
      </c>
      <c r="GE94">
        <v>29.6394</v>
      </c>
      <c r="GF94">
        <v>30.0004</v>
      </c>
      <c r="GG94">
        <v>29.5077</v>
      </c>
      <c r="GH94">
        <v>29.4884</v>
      </c>
      <c r="GI94">
        <v>-1</v>
      </c>
      <c r="GJ94">
        <v>100</v>
      </c>
      <c r="GK94">
        <v>0</v>
      </c>
      <c r="GL94">
        <v>24.0216</v>
      </c>
      <c r="GM94">
        <v>1200</v>
      </c>
      <c r="GN94">
        <v>26.7455</v>
      </c>
      <c r="GO94">
        <v>102.382</v>
      </c>
      <c r="GP94">
        <v>97.3434</v>
      </c>
    </row>
    <row r="95" spans="1:198">
      <c r="A95">
        <v>79</v>
      </c>
      <c r="B95">
        <v>1773273544.5</v>
      </c>
      <c r="C95">
        <v>4680.900000095367</v>
      </c>
      <c r="D95" t="s">
        <v>491</v>
      </c>
      <c r="E95" t="s">
        <v>492</v>
      </c>
      <c r="F95">
        <v>15</v>
      </c>
      <c r="G95">
        <v>1773273536.5</v>
      </c>
      <c r="H95">
        <f>(I95)/1000</f>
        <v>0</v>
      </c>
      <c r="I95">
        <f>1000*AY95*AG95*(AU95-AV95)/(100*AN95*(1000-AG95*AU95))</f>
        <v>0</v>
      </c>
      <c r="J95">
        <f>AY95*AG95*(AT95-AS95*(1000-AG95*AV95)/(1000-AG95*AU95))/(100*AN95)</f>
        <v>0</v>
      </c>
      <c r="K95">
        <f>AS95 - IF(AG95&gt;1, J95*AN95*100.0/(AI95), 0)</f>
        <v>0</v>
      </c>
      <c r="L95">
        <f>((R95-H95/2)*K95-J95)/(R95+H95/2)</f>
        <v>0</v>
      </c>
      <c r="M95">
        <f>L95*(AZ95+BA95)/1000.0</f>
        <v>0</v>
      </c>
      <c r="N95">
        <f>(AS95 - IF(AG95&gt;1, J95*AN95*100.0/(AI95), 0))*(AZ95+BA95)/1000.0</f>
        <v>0</v>
      </c>
      <c r="O95">
        <f>2.0/((1/Q95-1/P95)+SIGN(Q95)*SQRT((1/Q95-1/P95)*(1/Q95-1/P95) + 4*AO95/((AO95+1)*(AO95+1))*(2*1/Q95*1/P95-1/P95*1/P95)))</f>
        <v>0</v>
      </c>
      <c r="P95">
        <f>IF(LEFT(AP95,1)&lt;&gt;"0",IF(LEFT(AP95,1)="1",3.0,AQ95),$D$5+$E$5*(BG95*AZ95/($K$5*1000))+$F$5*(BG95*AZ95/($K$5*1000))*MAX(MIN(AN95,$J$5),$I$5)*MAX(MIN(AN95,$J$5),$I$5)+$G$5*MAX(MIN(AN95,$J$5),$I$5)*(BG95*AZ95/($K$5*1000))+$H$5*(BG95*AZ95/($K$5*1000))*(BG95*AZ95/($K$5*1000)))</f>
        <v>0</v>
      </c>
      <c r="Q95">
        <f>H95*(1000-(1000*0.61365*exp(17.502*U95/(240.97+U95))/(AZ95+BA95)+AU95)/2)/(1000*0.61365*exp(17.502*U95/(240.97+U95))/(AZ95+BA95)-AU95)</f>
        <v>0</v>
      </c>
      <c r="R95">
        <f>1/((AO95+1)/(O95/1.6)+1/(P95/1.37)) + AO95/((AO95+1)/(O95/1.6) + AO95/(P95/1.37))</f>
        <v>0</v>
      </c>
      <c r="S95">
        <f>(AJ95*AM95)</f>
        <v>0</v>
      </c>
      <c r="T95">
        <f>(BB95+(S95+2*0.95*5.67E-8*(((BB95+$B$7)+273)^4-(BB95+273)^4)-44100*H95)/(1.84*29.3*P95+8*0.95*5.67E-8*(BB95+273)^3))</f>
        <v>0</v>
      </c>
      <c r="U95">
        <f>($C$7*BC95+$D$7*BD95+$E$7*T95)</f>
        <v>0</v>
      </c>
      <c r="V95">
        <f>0.61365*exp(17.502*U95/(240.97+U95))</f>
        <v>0</v>
      </c>
      <c r="W95">
        <f>(X95/Y95*100)</f>
        <v>0</v>
      </c>
      <c r="X95">
        <f>AU95*(AZ95+BA95)/1000</f>
        <v>0</v>
      </c>
      <c r="Y95">
        <f>0.61365*exp(17.502*BB95/(240.97+BB95))</f>
        <v>0</v>
      </c>
      <c r="Z95">
        <f>(V95-AU95*(AZ95+BA95)/1000)</f>
        <v>0</v>
      </c>
      <c r="AA95">
        <f>(-H95*44100)</f>
        <v>0</v>
      </c>
      <c r="AB95">
        <f>2*29.3*P95*0.92*(BB95-U95)</f>
        <v>0</v>
      </c>
      <c r="AC95">
        <f>2*0.95*5.67E-8*(((BB95+$B$7)+273)^4-(U95+273)^4)</f>
        <v>0</v>
      </c>
      <c r="AD95">
        <f>S95+AC95+AA95+AB95</f>
        <v>0</v>
      </c>
      <c r="AE95">
        <v>0</v>
      </c>
      <c r="AF95">
        <v>0</v>
      </c>
      <c r="AG95">
        <f>IF(AE95*$H$13&gt;=AI95,1.0,(AI95/(AI95-AE95*$H$13)))</f>
        <v>0</v>
      </c>
      <c r="AH95">
        <f>(AG95-1)*100</f>
        <v>0</v>
      </c>
      <c r="AI95">
        <f>MAX(0,($B$13+$C$13*BG95)/(1+$D$13*BG95)*AZ95/(BB95+273)*$E$13)</f>
        <v>0</v>
      </c>
      <c r="AJ95">
        <f>$B$11*BH95+$C$11*BI95+$D$11*BT95</f>
        <v>0</v>
      </c>
      <c r="AK95">
        <f>AJ95*AL95</f>
        <v>0</v>
      </c>
      <c r="AL95">
        <f>($B$11*$D$9+$C$11*$D$9+$D$11*(BU95*$E$9+BV95*$G$9))/($B$11+$C$11+$D$11)</f>
        <v>0</v>
      </c>
      <c r="AM95">
        <f>($B$11*$K$9+$C$11*$K$9+$D$11*(BU95*$L$9+BV95*$N$9))/($B$11+$C$11+$D$11)</f>
        <v>0</v>
      </c>
      <c r="AN95">
        <v>3</v>
      </c>
      <c r="AO95">
        <v>0.5</v>
      </c>
      <c r="AP95" t="s">
        <v>331</v>
      </c>
      <c r="AQ95">
        <v>2</v>
      </c>
      <c r="AR95">
        <v>1773273536.5</v>
      </c>
      <c r="AS95">
        <v>495.3879032258064</v>
      </c>
      <c r="AT95">
        <v>493.8599354838709</v>
      </c>
      <c r="AU95">
        <v>10.52040322580645</v>
      </c>
      <c r="AV95">
        <v>9.659635161290321</v>
      </c>
      <c r="AW95">
        <v>488.8926129032258</v>
      </c>
      <c r="AX95">
        <v>10.46159354838709</v>
      </c>
      <c r="AY95">
        <v>499.9917741935483</v>
      </c>
      <c r="AZ95">
        <v>100.2548387096774</v>
      </c>
      <c r="BA95">
        <v>0.03555002580645161</v>
      </c>
      <c r="BB95">
        <v>25.01146129032258</v>
      </c>
      <c r="BC95">
        <v>25.0569129032258</v>
      </c>
      <c r="BD95">
        <v>999.9000000000003</v>
      </c>
      <c r="BE95">
        <v>0</v>
      </c>
      <c r="BF95">
        <v>0</v>
      </c>
      <c r="BG95">
        <v>4993.290322580645</v>
      </c>
      <c r="BH95">
        <v>2.01378</v>
      </c>
      <c r="BI95">
        <v>703.3329354838709</v>
      </c>
      <c r="BJ95">
        <v>1.527949032258064</v>
      </c>
      <c r="BK95">
        <v>500.6550322580645</v>
      </c>
      <c r="BL95">
        <v>498.6770967741935</v>
      </c>
      <c r="BM95">
        <v>0.8607709677419355</v>
      </c>
      <c r="BN95">
        <v>493.8599354838709</v>
      </c>
      <c r="BO95">
        <v>9.659635161290321</v>
      </c>
      <c r="BP95">
        <v>1.054720967741936</v>
      </c>
      <c r="BQ95">
        <v>0.9684252580645163</v>
      </c>
      <c r="BR95">
        <v>7.695052903225808</v>
      </c>
      <c r="BS95">
        <v>6.4498</v>
      </c>
      <c r="BT95">
        <v>0</v>
      </c>
      <c r="BU95">
        <v>0</v>
      </c>
      <c r="BV95">
        <v>0</v>
      </c>
      <c r="BW95">
        <v>27</v>
      </c>
      <c r="BX95">
        <v>45</v>
      </c>
      <c r="BY95">
        <v>1773268786.6</v>
      </c>
      <c r="BZ95" t="s">
        <v>332</v>
      </c>
      <c r="CA95">
        <v>1773268786.6</v>
      </c>
      <c r="CB95">
        <v>1773268774.1</v>
      </c>
      <c r="CC95">
        <v>2</v>
      </c>
      <c r="CD95">
        <v>0.264</v>
      </c>
      <c r="CE95">
        <v>-0.024</v>
      </c>
      <c r="CF95">
        <v>6.495</v>
      </c>
      <c r="CG95">
        <v>0.059</v>
      </c>
      <c r="CH95">
        <v>488</v>
      </c>
      <c r="CI95">
        <v>25</v>
      </c>
      <c r="CJ95">
        <v>0.48</v>
      </c>
      <c r="CK95">
        <v>0.14</v>
      </c>
      <c r="CL95">
        <v>493.8586666666666</v>
      </c>
      <c r="CM95">
        <v>-0.4550122358161839</v>
      </c>
      <c r="CN95">
        <v>0.04633525175884734</v>
      </c>
      <c r="CO95">
        <v>-1</v>
      </c>
      <c r="CP95">
        <v>499.9916666666666</v>
      </c>
      <c r="CQ95">
        <v>0.1042224694100469</v>
      </c>
      <c r="CR95">
        <v>0.04695269487000585</v>
      </c>
      <c r="CS95">
        <v>-1</v>
      </c>
      <c r="CT95">
        <v>0</v>
      </c>
      <c r="CU95">
        <v>0</v>
      </c>
      <c r="CV95" t="s">
        <v>333</v>
      </c>
      <c r="CW95">
        <v>3.16983</v>
      </c>
      <c r="CX95">
        <v>2.6568</v>
      </c>
      <c r="CY95">
        <v>0.114133</v>
      </c>
      <c r="CZ95">
        <v>0.115059</v>
      </c>
      <c r="DA95">
        <v>0.0619375</v>
      </c>
      <c r="DB95">
        <v>0.0579519</v>
      </c>
      <c r="DC95">
        <v>21292.7</v>
      </c>
      <c r="DD95">
        <v>21797.5</v>
      </c>
      <c r="DE95">
        <v>23139.5</v>
      </c>
      <c r="DF95">
        <v>22527.5</v>
      </c>
      <c r="DG95">
        <v>32798.1</v>
      </c>
      <c r="DH95">
        <v>29932.2</v>
      </c>
      <c r="DI95">
        <v>40672.7</v>
      </c>
      <c r="DJ95">
        <v>37286</v>
      </c>
      <c r="DK95">
        <v>2.09894</v>
      </c>
      <c r="DL95">
        <v>1.72126</v>
      </c>
      <c r="DM95">
        <v>-0.0603348</v>
      </c>
      <c r="DN95">
        <v>0</v>
      </c>
      <c r="DO95">
        <v>26.0567</v>
      </c>
      <c r="DP95">
        <v>999.9</v>
      </c>
      <c r="DQ95">
        <v>59.3</v>
      </c>
      <c r="DR95">
        <v>30.3</v>
      </c>
      <c r="DS95">
        <v>25.6395</v>
      </c>
      <c r="DT95">
        <v>29.77</v>
      </c>
      <c r="DU95">
        <v>12.1394</v>
      </c>
      <c r="DV95">
        <v>1</v>
      </c>
      <c r="DW95">
        <v>0.197758</v>
      </c>
      <c r="DX95">
        <v>1.57632</v>
      </c>
      <c r="DY95">
        <v>20.3585</v>
      </c>
      <c r="DZ95">
        <v>5.21094</v>
      </c>
      <c r="EA95">
        <v>11.8485</v>
      </c>
      <c r="EB95">
        <v>4.968</v>
      </c>
      <c r="EC95">
        <v>3.29212</v>
      </c>
      <c r="ED95">
        <v>879.4</v>
      </c>
      <c r="EE95">
        <v>9999</v>
      </c>
      <c r="EF95">
        <v>9999</v>
      </c>
      <c r="EG95">
        <v>81.40000000000001</v>
      </c>
      <c r="EH95">
        <v>4.9716</v>
      </c>
      <c r="EI95">
        <v>1.87185</v>
      </c>
      <c r="EJ95">
        <v>1.86905</v>
      </c>
      <c r="EK95">
        <v>1.87149</v>
      </c>
      <c r="EL95">
        <v>1.8692</v>
      </c>
      <c r="EM95">
        <v>1.86813</v>
      </c>
      <c r="EN95">
        <v>1.86996</v>
      </c>
      <c r="EO95">
        <v>1.8718</v>
      </c>
      <c r="EP95">
        <v>0</v>
      </c>
      <c r="EQ95">
        <v>0</v>
      </c>
      <c r="ER95">
        <v>0</v>
      </c>
      <c r="ES95">
        <v>0</v>
      </c>
      <c r="ET95" t="s">
        <v>334</v>
      </c>
      <c r="EU95" t="s">
        <v>335</v>
      </c>
      <c r="EV95" t="s">
        <v>336</v>
      </c>
      <c r="EW95" t="s">
        <v>336</v>
      </c>
      <c r="EX95" t="s">
        <v>336</v>
      </c>
      <c r="EY95" t="s">
        <v>336</v>
      </c>
      <c r="EZ95">
        <v>0</v>
      </c>
      <c r="FA95">
        <v>100</v>
      </c>
      <c r="FB95">
        <v>100</v>
      </c>
      <c r="FC95">
        <v>6.496</v>
      </c>
      <c r="FD95">
        <v>0.0589</v>
      </c>
      <c r="FE95">
        <v>6.495476190476325</v>
      </c>
      <c r="FF95">
        <v>0</v>
      </c>
      <c r="FG95">
        <v>0</v>
      </c>
      <c r="FH95">
        <v>0</v>
      </c>
      <c r="FI95">
        <v>0.05881499999999917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79.3</v>
      </c>
      <c r="FR95">
        <v>79.5</v>
      </c>
      <c r="FS95">
        <v>0.144043</v>
      </c>
      <c r="FT95">
        <v>4.99756</v>
      </c>
      <c r="FU95">
        <v>1.5979</v>
      </c>
      <c r="FV95">
        <v>2.15088</v>
      </c>
      <c r="FW95">
        <v>1.54785</v>
      </c>
      <c r="FX95">
        <v>2.4353</v>
      </c>
      <c r="FY95">
        <v>36.0816</v>
      </c>
      <c r="FZ95">
        <v>15.9795</v>
      </c>
      <c r="GA95">
        <v>3</v>
      </c>
      <c r="GB95">
        <v>502.91</v>
      </c>
      <c r="GC95">
        <v>361.121</v>
      </c>
      <c r="GD95">
        <v>23.9643</v>
      </c>
      <c r="GE95">
        <v>29.6752</v>
      </c>
      <c r="GF95">
        <v>30.0004</v>
      </c>
      <c r="GG95">
        <v>29.55</v>
      </c>
      <c r="GH95">
        <v>29.5323</v>
      </c>
      <c r="GI95">
        <v>-1</v>
      </c>
      <c r="GJ95">
        <v>100</v>
      </c>
      <c r="GK95">
        <v>0</v>
      </c>
      <c r="GL95">
        <v>23.9468</v>
      </c>
      <c r="GM95">
        <v>1200</v>
      </c>
      <c r="GN95">
        <v>26.7455</v>
      </c>
      <c r="GO95">
        <v>102.374</v>
      </c>
      <c r="GP95">
        <v>97.34010000000001</v>
      </c>
    </row>
    <row r="96" spans="1:198">
      <c r="A96">
        <v>80</v>
      </c>
      <c r="B96">
        <v>1773273604.5</v>
      </c>
      <c r="C96">
        <v>4740.900000095367</v>
      </c>
      <c r="D96" t="s">
        <v>493</v>
      </c>
      <c r="E96" t="s">
        <v>494</v>
      </c>
      <c r="F96">
        <v>15</v>
      </c>
      <c r="G96">
        <v>1773273596.5</v>
      </c>
      <c r="H96">
        <f>(I96)/1000</f>
        <v>0</v>
      </c>
      <c r="I96">
        <f>1000*AY96*AG96*(AU96-AV96)/(100*AN96*(1000-AG96*AU96))</f>
        <v>0</v>
      </c>
      <c r="J96">
        <f>AY96*AG96*(AT96-AS96*(1000-AG96*AV96)/(1000-AG96*AU96))/(100*AN96)</f>
        <v>0</v>
      </c>
      <c r="K96">
        <f>AS96 - IF(AG96&gt;1, J96*AN96*100.0/(AI96), 0)</f>
        <v>0</v>
      </c>
      <c r="L96">
        <f>((R96-H96/2)*K96-J96)/(R96+H96/2)</f>
        <v>0</v>
      </c>
      <c r="M96">
        <f>L96*(AZ96+BA96)/1000.0</f>
        <v>0</v>
      </c>
      <c r="N96">
        <f>(AS96 - IF(AG96&gt;1, J96*AN96*100.0/(AI96), 0))*(AZ96+BA96)/1000.0</f>
        <v>0</v>
      </c>
      <c r="O96">
        <f>2.0/((1/Q96-1/P96)+SIGN(Q96)*SQRT((1/Q96-1/P96)*(1/Q96-1/P96) + 4*AO96/((AO96+1)*(AO96+1))*(2*1/Q96*1/P96-1/P96*1/P96)))</f>
        <v>0</v>
      </c>
      <c r="P96">
        <f>IF(LEFT(AP96,1)&lt;&gt;"0",IF(LEFT(AP96,1)="1",3.0,AQ96),$D$5+$E$5*(BG96*AZ96/($K$5*1000))+$F$5*(BG96*AZ96/($K$5*1000))*MAX(MIN(AN96,$J$5),$I$5)*MAX(MIN(AN96,$J$5),$I$5)+$G$5*MAX(MIN(AN96,$J$5),$I$5)*(BG96*AZ96/($K$5*1000))+$H$5*(BG96*AZ96/($K$5*1000))*(BG96*AZ96/($K$5*1000)))</f>
        <v>0</v>
      </c>
      <c r="Q96">
        <f>H96*(1000-(1000*0.61365*exp(17.502*U96/(240.97+U96))/(AZ96+BA96)+AU96)/2)/(1000*0.61365*exp(17.502*U96/(240.97+U96))/(AZ96+BA96)-AU96)</f>
        <v>0</v>
      </c>
      <c r="R96">
        <f>1/((AO96+1)/(O96/1.6)+1/(P96/1.37)) + AO96/((AO96+1)/(O96/1.6) + AO96/(P96/1.37))</f>
        <v>0</v>
      </c>
      <c r="S96">
        <f>(AJ96*AM96)</f>
        <v>0</v>
      </c>
      <c r="T96">
        <f>(BB96+(S96+2*0.95*5.67E-8*(((BB96+$B$7)+273)^4-(BB96+273)^4)-44100*H96)/(1.84*29.3*P96+8*0.95*5.67E-8*(BB96+273)^3))</f>
        <v>0</v>
      </c>
      <c r="U96">
        <f>($C$7*BC96+$D$7*BD96+$E$7*T96)</f>
        <v>0</v>
      </c>
      <c r="V96">
        <f>0.61365*exp(17.502*U96/(240.97+U96))</f>
        <v>0</v>
      </c>
      <c r="W96">
        <f>(X96/Y96*100)</f>
        <v>0</v>
      </c>
      <c r="X96">
        <f>AU96*(AZ96+BA96)/1000</f>
        <v>0</v>
      </c>
      <c r="Y96">
        <f>0.61365*exp(17.502*BB96/(240.97+BB96))</f>
        <v>0</v>
      </c>
      <c r="Z96">
        <f>(V96-AU96*(AZ96+BA96)/1000)</f>
        <v>0</v>
      </c>
      <c r="AA96">
        <f>(-H96*44100)</f>
        <v>0</v>
      </c>
      <c r="AB96">
        <f>2*29.3*P96*0.92*(BB96-U96)</f>
        <v>0</v>
      </c>
      <c r="AC96">
        <f>2*0.95*5.67E-8*(((BB96+$B$7)+273)^4-(U96+273)^4)</f>
        <v>0</v>
      </c>
      <c r="AD96">
        <f>S96+AC96+AA96+AB96</f>
        <v>0</v>
      </c>
      <c r="AE96">
        <v>0</v>
      </c>
      <c r="AF96">
        <v>0</v>
      </c>
      <c r="AG96">
        <f>IF(AE96*$H$13&gt;=AI96,1.0,(AI96/(AI96-AE96*$H$13)))</f>
        <v>0</v>
      </c>
      <c r="AH96">
        <f>(AG96-1)*100</f>
        <v>0</v>
      </c>
      <c r="AI96">
        <f>MAX(0,($B$13+$C$13*BG96)/(1+$D$13*BG96)*AZ96/(BB96+273)*$E$13)</f>
        <v>0</v>
      </c>
      <c r="AJ96">
        <f>$B$11*BH96+$C$11*BI96+$D$11*BT96</f>
        <v>0</v>
      </c>
      <c r="AK96">
        <f>AJ96*AL96</f>
        <v>0</v>
      </c>
      <c r="AL96">
        <f>($B$11*$D$9+$C$11*$D$9+$D$11*(BU96*$E$9+BV96*$G$9))/($B$11+$C$11+$D$11)</f>
        <v>0</v>
      </c>
      <c r="AM96">
        <f>($B$11*$K$9+$C$11*$K$9+$D$11*(BU96*$L$9+BV96*$N$9))/($B$11+$C$11+$D$11)</f>
        <v>0</v>
      </c>
      <c r="AN96">
        <v>3</v>
      </c>
      <c r="AO96">
        <v>0.5</v>
      </c>
      <c r="AP96" t="s">
        <v>331</v>
      </c>
      <c r="AQ96">
        <v>2</v>
      </c>
      <c r="AR96">
        <v>1773273596.5</v>
      </c>
      <c r="AS96">
        <v>495.5627419354839</v>
      </c>
      <c r="AT96">
        <v>493.9285806451612</v>
      </c>
      <c r="AU96">
        <v>10.60349032258064</v>
      </c>
      <c r="AV96">
        <v>9.744609032258063</v>
      </c>
      <c r="AW96">
        <v>489.0671612903226</v>
      </c>
      <c r="AX96">
        <v>10.54466451612903</v>
      </c>
      <c r="AY96">
        <v>500.0103870967742</v>
      </c>
      <c r="AZ96">
        <v>100.2560967741935</v>
      </c>
      <c r="BA96">
        <v>0.03542798387096774</v>
      </c>
      <c r="BB96">
        <v>25.01392580645162</v>
      </c>
      <c r="BC96">
        <v>25.09545806451613</v>
      </c>
      <c r="BD96">
        <v>999.9000000000003</v>
      </c>
      <c r="BE96">
        <v>0</v>
      </c>
      <c r="BF96">
        <v>0</v>
      </c>
      <c r="BG96">
        <v>5006.064516129032</v>
      </c>
      <c r="BH96">
        <v>2.00098935483871</v>
      </c>
      <c r="BI96">
        <v>709.2203870967743</v>
      </c>
      <c r="BJ96">
        <v>1.63419870967742</v>
      </c>
      <c r="BK96">
        <v>500.8736774193549</v>
      </c>
      <c r="BL96">
        <v>498.7890967741936</v>
      </c>
      <c r="BM96">
        <v>0.858870322580645</v>
      </c>
      <c r="BN96">
        <v>493.9285806451612</v>
      </c>
      <c r="BO96">
        <v>9.744609032258063</v>
      </c>
      <c r="BP96">
        <v>1.063064193548387</v>
      </c>
      <c r="BQ96">
        <v>0.9769565161290324</v>
      </c>
      <c r="BR96">
        <v>7.810606774193549</v>
      </c>
      <c r="BS96">
        <v>6.577173225806452</v>
      </c>
      <c r="BT96">
        <v>0</v>
      </c>
      <c r="BU96">
        <v>0</v>
      </c>
      <c r="BV96">
        <v>0</v>
      </c>
      <c r="BW96">
        <v>27</v>
      </c>
      <c r="BX96">
        <v>45</v>
      </c>
      <c r="BY96">
        <v>1773268786.6</v>
      </c>
      <c r="BZ96" t="s">
        <v>332</v>
      </c>
      <c r="CA96">
        <v>1773268786.6</v>
      </c>
      <c r="CB96">
        <v>1773268774.1</v>
      </c>
      <c r="CC96">
        <v>2</v>
      </c>
      <c r="CD96">
        <v>0.264</v>
      </c>
      <c r="CE96">
        <v>-0.024</v>
      </c>
      <c r="CF96">
        <v>6.495</v>
      </c>
      <c r="CG96">
        <v>0.059</v>
      </c>
      <c r="CH96">
        <v>488</v>
      </c>
      <c r="CI96">
        <v>25</v>
      </c>
      <c r="CJ96">
        <v>0.48</v>
      </c>
      <c r="CK96">
        <v>0.14</v>
      </c>
      <c r="CL96">
        <v>493.9364999999999</v>
      </c>
      <c r="CM96">
        <v>-1.644253615127032</v>
      </c>
      <c r="CN96">
        <v>0.1214810684839456</v>
      </c>
      <c r="CO96">
        <v>-1</v>
      </c>
      <c r="CP96">
        <v>500.0089333333333</v>
      </c>
      <c r="CQ96">
        <v>-0.07293437152258575</v>
      </c>
      <c r="CR96">
        <v>0.04678599030573553</v>
      </c>
      <c r="CS96">
        <v>-1</v>
      </c>
      <c r="CT96">
        <v>0</v>
      </c>
      <c r="CU96">
        <v>0</v>
      </c>
      <c r="CV96" t="s">
        <v>333</v>
      </c>
      <c r="CW96">
        <v>3.16991</v>
      </c>
      <c r="CX96">
        <v>2.65643</v>
      </c>
      <c r="CY96">
        <v>0.114124</v>
      </c>
      <c r="CZ96">
        <v>0.115005</v>
      </c>
      <c r="DA96">
        <v>0.0623074</v>
      </c>
      <c r="DB96">
        <v>0.0583389</v>
      </c>
      <c r="DC96">
        <v>21291.3</v>
      </c>
      <c r="DD96">
        <v>21797.3</v>
      </c>
      <c r="DE96">
        <v>23137.8</v>
      </c>
      <c r="DF96">
        <v>22526.1</v>
      </c>
      <c r="DG96">
        <v>32783</v>
      </c>
      <c r="DH96">
        <v>29917.8</v>
      </c>
      <c r="DI96">
        <v>40670.2</v>
      </c>
      <c r="DJ96">
        <v>37283.6</v>
      </c>
      <c r="DK96">
        <v>2.0985</v>
      </c>
      <c r="DL96">
        <v>1.72018</v>
      </c>
      <c r="DM96">
        <v>-0.0654906</v>
      </c>
      <c r="DN96">
        <v>0</v>
      </c>
      <c r="DO96">
        <v>26.1701</v>
      </c>
      <c r="DP96">
        <v>999.9</v>
      </c>
      <c r="DQ96">
        <v>58.9</v>
      </c>
      <c r="DR96">
        <v>30.4</v>
      </c>
      <c r="DS96">
        <v>25.6115</v>
      </c>
      <c r="DT96">
        <v>30.01</v>
      </c>
      <c r="DU96">
        <v>12.1114</v>
      </c>
      <c r="DV96">
        <v>1</v>
      </c>
      <c r="DW96">
        <v>0.201612</v>
      </c>
      <c r="DX96">
        <v>1.76768</v>
      </c>
      <c r="DY96">
        <v>20.3556</v>
      </c>
      <c r="DZ96">
        <v>5.20926</v>
      </c>
      <c r="EA96">
        <v>11.8486</v>
      </c>
      <c r="EB96">
        <v>4.9676</v>
      </c>
      <c r="EC96">
        <v>3.29174</v>
      </c>
      <c r="ED96">
        <v>879.4</v>
      </c>
      <c r="EE96">
        <v>9999</v>
      </c>
      <c r="EF96">
        <v>9999</v>
      </c>
      <c r="EG96">
        <v>81.40000000000001</v>
      </c>
      <c r="EH96">
        <v>4.97159</v>
      </c>
      <c r="EI96">
        <v>1.87188</v>
      </c>
      <c r="EJ96">
        <v>1.86905</v>
      </c>
      <c r="EK96">
        <v>1.87149</v>
      </c>
      <c r="EL96">
        <v>1.8692</v>
      </c>
      <c r="EM96">
        <v>1.86813</v>
      </c>
      <c r="EN96">
        <v>1.86997</v>
      </c>
      <c r="EO96">
        <v>1.8718</v>
      </c>
      <c r="EP96">
        <v>0</v>
      </c>
      <c r="EQ96">
        <v>0</v>
      </c>
      <c r="ER96">
        <v>0</v>
      </c>
      <c r="ES96">
        <v>0</v>
      </c>
      <c r="ET96" t="s">
        <v>334</v>
      </c>
      <c r="EU96" t="s">
        <v>335</v>
      </c>
      <c r="EV96" t="s">
        <v>336</v>
      </c>
      <c r="EW96" t="s">
        <v>336</v>
      </c>
      <c r="EX96" t="s">
        <v>336</v>
      </c>
      <c r="EY96" t="s">
        <v>336</v>
      </c>
      <c r="EZ96">
        <v>0</v>
      </c>
      <c r="FA96">
        <v>100</v>
      </c>
      <c r="FB96">
        <v>100</v>
      </c>
      <c r="FC96">
        <v>6.496</v>
      </c>
      <c r="FD96">
        <v>0.0588</v>
      </c>
      <c r="FE96">
        <v>6.495476190476325</v>
      </c>
      <c r="FF96">
        <v>0</v>
      </c>
      <c r="FG96">
        <v>0</v>
      </c>
      <c r="FH96">
        <v>0</v>
      </c>
      <c r="FI96">
        <v>0.05881499999999917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80.3</v>
      </c>
      <c r="FR96">
        <v>80.5</v>
      </c>
      <c r="FS96">
        <v>0.144043</v>
      </c>
      <c r="FT96">
        <v>4.99756</v>
      </c>
      <c r="FU96">
        <v>1.5979</v>
      </c>
      <c r="FV96">
        <v>2.15088</v>
      </c>
      <c r="FW96">
        <v>1.54785</v>
      </c>
      <c r="FX96">
        <v>2.43164</v>
      </c>
      <c r="FY96">
        <v>36.1754</v>
      </c>
      <c r="FZ96">
        <v>15.9708</v>
      </c>
      <c r="GA96">
        <v>3</v>
      </c>
      <c r="GB96">
        <v>503.015</v>
      </c>
      <c r="GC96">
        <v>360.836</v>
      </c>
      <c r="GD96">
        <v>23.7556</v>
      </c>
      <c r="GE96">
        <v>29.7192</v>
      </c>
      <c r="GF96">
        <v>30.0004</v>
      </c>
      <c r="GG96">
        <v>29.5963</v>
      </c>
      <c r="GH96">
        <v>29.5809</v>
      </c>
      <c r="GI96">
        <v>-1</v>
      </c>
      <c r="GJ96">
        <v>100</v>
      </c>
      <c r="GK96">
        <v>0</v>
      </c>
      <c r="GL96">
        <v>23.7455</v>
      </c>
      <c r="GM96">
        <v>1200</v>
      </c>
      <c r="GN96">
        <v>26.7455</v>
      </c>
      <c r="GO96">
        <v>102.367</v>
      </c>
      <c r="GP96">
        <v>97.3339</v>
      </c>
    </row>
    <row r="97" spans="1:198">
      <c r="A97">
        <v>81</v>
      </c>
      <c r="B97">
        <v>1773273664.5</v>
      </c>
      <c r="C97">
        <v>4800.900000095367</v>
      </c>
      <c r="D97" t="s">
        <v>495</v>
      </c>
      <c r="E97" t="s">
        <v>496</v>
      </c>
      <c r="F97">
        <v>15</v>
      </c>
      <c r="G97">
        <v>1773273656.5</v>
      </c>
      <c r="H97">
        <f>(I97)/1000</f>
        <v>0</v>
      </c>
      <c r="I97">
        <f>1000*AY97*AG97*(AU97-AV97)/(100*AN97*(1000-AG97*AU97))</f>
        <v>0</v>
      </c>
      <c r="J97">
        <f>AY97*AG97*(AT97-AS97*(1000-AG97*AV97)/(1000-AG97*AU97))/(100*AN97)</f>
        <v>0</v>
      </c>
      <c r="K97">
        <f>AS97 - IF(AG97&gt;1, J97*AN97*100.0/(AI97), 0)</f>
        <v>0</v>
      </c>
      <c r="L97">
        <f>((R97-H97/2)*K97-J97)/(R97+H97/2)</f>
        <v>0</v>
      </c>
      <c r="M97">
        <f>L97*(AZ97+BA97)/1000.0</f>
        <v>0</v>
      </c>
      <c r="N97">
        <f>(AS97 - IF(AG97&gt;1, J97*AN97*100.0/(AI97), 0))*(AZ97+BA97)/1000.0</f>
        <v>0</v>
      </c>
      <c r="O97">
        <f>2.0/((1/Q97-1/P97)+SIGN(Q97)*SQRT((1/Q97-1/P97)*(1/Q97-1/P97) + 4*AO97/((AO97+1)*(AO97+1))*(2*1/Q97*1/P97-1/P97*1/P97)))</f>
        <v>0</v>
      </c>
      <c r="P97">
        <f>IF(LEFT(AP97,1)&lt;&gt;"0",IF(LEFT(AP97,1)="1",3.0,AQ97),$D$5+$E$5*(BG97*AZ97/($K$5*1000))+$F$5*(BG97*AZ97/($K$5*1000))*MAX(MIN(AN97,$J$5),$I$5)*MAX(MIN(AN97,$J$5),$I$5)+$G$5*MAX(MIN(AN97,$J$5),$I$5)*(BG97*AZ97/($K$5*1000))+$H$5*(BG97*AZ97/($K$5*1000))*(BG97*AZ97/($K$5*1000)))</f>
        <v>0</v>
      </c>
      <c r="Q97">
        <f>H97*(1000-(1000*0.61365*exp(17.502*U97/(240.97+U97))/(AZ97+BA97)+AU97)/2)/(1000*0.61365*exp(17.502*U97/(240.97+U97))/(AZ97+BA97)-AU97)</f>
        <v>0</v>
      </c>
      <c r="R97">
        <f>1/((AO97+1)/(O97/1.6)+1/(P97/1.37)) + AO97/((AO97+1)/(O97/1.6) + AO97/(P97/1.37))</f>
        <v>0</v>
      </c>
      <c r="S97">
        <f>(AJ97*AM97)</f>
        <v>0</v>
      </c>
      <c r="T97">
        <f>(BB97+(S97+2*0.95*5.67E-8*(((BB97+$B$7)+273)^4-(BB97+273)^4)-44100*H97)/(1.84*29.3*P97+8*0.95*5.67E-8*(BB97+273)^3))</f>
        <v>0</v>
      </c>
      <c r="U97">
        <f>($C$7*BC97+$D$7*BD97+$E$7*T97)</f>
        <v>0</v>
      </c>
      <c r="V97">
        <f>0.61365*exp(17.502*U97/(240.97+U97))</f>
        <v>0</v>
      </c>
      <c r="W97">
        <f>(X97/Y97*100)</f>
        <v>0</v>
      </c>
      <c r="X97">
        <f>AU97*(AZ97+BA97)/1000</f>
        <v>0</v>
      </c>
      <c r="Y97">
        <f>0.61365*exp(17.502*BB97/(240.97+BB97))</f>
        <v>0</v>
      </c>
      <c r="Z97">
        <f>(V97-AU97*(AZ97+BA97)/1000)</f>
        <v>0</v>
      </c>
      <c r="AA97">
        <f>(-H97*44100)</f>
        <v>0</v>
      </c>
      <c r="AB97">
        <f>2*29.3*P97*0.92*(BB97-U97)</f>
        <v>0</v>
      </c>
      <c r="AC97">
        <f>2*0.95*5.67E-8*(((BB97+$B$7)+273)^4-(U97+273)^4)</f>
        <v>0</v>
      </c>
      <c r="AD97">
        <f>S97+AC97+AA97+AB97</f>
        <v>0</v>
      </c>
      <c r="AE97">
        <v>0</v>
      </c>
      <c r="AF97">
        <v>0</v>
      </c>
      <c r="AG97">
        <f>IF(AE97*$H$13&gt;=AI97,1.0,(AI97/(AI97-AE97*$H$13)))</f>
        <v>0</v>
      </c>
      <c r="AH97">
        <f>(AG97-1)*100</f>
        <v>0</v>
      </c>
      <c r="AI97">
        <f>MAX(0,($B$13+$C$13*BG97)/(1+$D$13*BG97)*AZ97/(BB97+273)*$E$13)</f>
        <v>0</v>
      </c>
      <c r="AJ97">
        <f>$B$11*BH97+$C$11*BI97+$D$11*BT97</f>
        <v>0</v>
      </c>
      <c r="AK97">
        <f>AJ97*AL97</f>
        <v>0</v>
      </c>
      <c r="AL97">
        <f>($B$11*$D$9+$C$11*$D$9+$D$11*(BU97*$E$9+BV97*$G$9))/($B$11+$C$11+$D$11)</f>
        <v>0</v>
      </c>
      <c r="AM97">
        <f>($B$11*$K$9+$C$11*$K$9+$D$11*(BU97*$L$9+BV97*$N$9))/($B$11+$C$11+$D$11)</f>
        <v>0</v>
      </c>
      <c r="AN97">
        <v>3</v>
      </c>
      <c r="AO97">
        <v>0.5</v>
      </c>
      <c r="AP97" t="s">
        <v>331</v>
      </c>
      <c r="AQ97">
        <v>2</v>
      </c>
      <c r="AR97">
        <v>1773273656.5</v>
      </c>
      <c r="AS97">
        <v>494.7447096774195</v>
      </c>
      <c r="AT97">
        <v>493.2338709677418</v>
      </c>
      <c r="AU97">
        <v>10.68005483870968</v>
      </c>
      <c r="AV97">
        <v>9.817642903225805</v>
      </c>
      <c r="AW97">
        <v>488.2492903225806</v>
      </c>
      <c r="AX97">
        <v>10.62124193548387</v>
      </c>
      <c r="AY97">
        <v>500.0048709677419</v>
      </c>
      <c r="AZ97">
        <v>100.2572258064516</v>
      </c>
      <c r="BA97">
        <v>0.03509595483870968</v>
      </c>
      <c r="BB97">
        <v>25.01945483870968</v>
      </c>
      <c r="BC97">
        <v>25.11963548387097</v>
      </c>
      <c r="BD97">
        <v>999.9000000000003</v>
      </c>
      <c r="BE97">
        <v>0</v>
      </c>
      <c r="BF97">
        <v>0</v>
      </c>
      <c r="BG97">
        <v>5004.258064516129</v>
      </c>
      <c r="BH97">
        <v>2.005210322580645</v>
      </c>
      <c r="BI97">
        <v>718.0126451612903</v>
      </c>
      <c r="BJ97">
        <v>1.510906129032258</v>
      </c>
      <c r="BK97">
        <v>500.0856774193547</v>
      </c>
      <c r="BL97">
        <v>498.1243548387096</v>
      </c>
      <c r="BM97">
        <v>0.8624108064516132</v>
      </c>
      <c r="BN97">
        <v>493.2338709677418</v>
      </c>
      <c r="BO97">
        <v>9.817642903225805</v>
      </c>
      <c r="BP97">
        <v>1.070752903225807</v>
      </c>
      <c r="BQ97">
        <v>0.9842894516129032</v>
      </c>
      <c r="BR97">
        <v>7.916413870967741</v>
      </c>
      <c r="BS97">
        <v>6.685874516129031</v>
      </c>
      <c r="BT97">
        <v>0</v>
      </c>
      <c r="BU97">
        <v>0</v>
      </c>
      <c r="BV97">
        <v>0</v>
      </c>
      <c r="BW97">
        <v>27</v>
      </c>
      <c r="BX97">
        <v>45</v>
      </c>
      <c r="BY97">
        <v>1773268786.6</v>
      </c>
      <c r="BZ97" t="s">
        <v>332</v>
      </c>
      <c r="CA97">
        <v>1773268786.6</v>
      </c>
      <c r="CB97">
        <v>1773268774.1</v>
      </c>
      <c r="CC97">
        <v>2</v>
      </c>
      <c r="CD97">
        <v>0.264</v>
      </c>
      <c r="CE97">
        <v>-0.024</v>
      </c>
      <c r="CF97">
        <v>6.495</v>
      </c>
      <c r="CG97">
        <v>0.059</v>
      </c>
      <c r="CH97">
        <v>488</v>
      </c>
      <c r="CI97">
        <v>25</v>
      </c>
      <c r="CJ97">
        <v>0.48</v>
      </c>
      <c r="CK97">
        <v>0.14</v>
      </c>
      <c r="CL97">
        <v>493.2338709677418</v>
      </c>
      <c r="CM97">
        <v>-0.2437741935482318</v>
      </c>
      <c r="CN97">
        <v>0.02070334542934209</v>
      </c>
      <c r="CO97">
        <v>-1</v>
      </c>
      <c r="CP97">
        <v>500.0048709677419</v>
      </c>
      <c r="CQ97">
        <v>0.211838709676983</v>
      </c>
      <c r="CR97">
        <v>0.05363962301440903</v>
      </c>
      <c r="CS97">
        <v>-1</v>
      </c>
      <c r="CT97">
        <v>0</v>
      </c>
      <c r="CU97">
        <v>0</v>
      </c>
      <c r="CV97" t="s">
        <v>333</v>
      </c>
      <c r="CW97">
        <v>3.17001</v>
      </c>
      <c r="CX97">
        <v>2.65641</v>
      </c>
      <c r="CY97">
        <v>0.113999</v>
      </c>
      <c r="CZ97">
        <v>0.114914</v>
      </c>
      <c r="DA97">
        <v>0.06264400000000001</v>
      </c>
      <c r="DB97">
        <v>0.0586742</v>
      </c>
      <c r="DC97">
        <v>21292</v>
      </c>
      <c r="DD97">
        <v>21798.2</v>
      </c>
      <c r="DE97">
        <v>23135.6</v>
      </c>
      <c r="DF97">
        <v>22524.9</v>
      </c>
      <c r="DG97">
        <v>32768.5</v>
      </c>
      <c r="DH97">
        <v>29905</v>
      </c>
      <c r="DI97">
        <v>40666.9</v>
      </c>
      <c r="DJ97">
        <v>37281.1</v>
      </c>
      <c r="DK97">
        <v>2.09802</v>
      </c>
      <c r="DL97">
        <v>1.71888</v>
      </c>
      <c r="DM97">
        <v>-0.0695378</v>
      </c>
      <c r="DN97">
        <v>0</v>
      </c>
      <c r="DO97">
        <v>26.2627</v>
      </c>
      <c r="DP97">
        <v>999.9</v>
      </c>
      <c r="DQ97">
        <v>58.6</v>
      </c>
      <c r="DR97">
        <v>30.5</v>
      </c>
      <c r="DS97">
        <v>25.6248</v>
      </c>
      <c r="DT97">
        <v>30.22</v>
      </c>
      <c r="DU97">
        <v>11.7949</v>
      </c>
      <c r="DV97">
        <v>1</v>
      </c>
      <c r="DW97">
        <v>0.205939</v>
      </c>
      <c r="DX97">
        <v>1.77529</v>
      </c>
      <c r="DY97">
        <v>20.356</v>
      </c>
      <c r="DZ97">
        <v>5.21106</v>
      </c>
      <c r="EA97">
        <v>11.8488</v>
      </c>
      <c r="EB97">
        <v>4.96788</v>
      </c>
      <c r="EC97">
        <v>3.29212</v>
      </c>
      <c r="ED97">
        <v>879.4</v>
      </c>
      <c r="EE97">
        <v>9999</v>
      </c>
      <c r="EF97">
        <v>9999</v>
      </c>
      <c r="EG97">
        <v>81.40000000000001</v>
      </c>
      <c r="EH97">
        <v>4.97159</v>
      </c>
      <c r="EI97">
        <v>1.87189</v>
      </c>
      <c r="EJ97">
        <v>1.86905</v>
      </c>
      <c r="EK97">
        <v>1.87149</v>
      </c>
      <c r="EL97">
        <v>1.8692</v>
      </c>
      <c r="EM97">
        <v>1.86814</v>
      </c>
      <c r="EN97">
        <v>1.86997</v>
      </c>
      <c r="EO97">
        <v>1.8718</v>
      </c>
      <c r="EP97">
        <v>0</v>
      </c>
      <c r="EQ97">
        <v>0</v>
      </c>
      <c r="ER97">
        <v>0</v>
      </c>
      <c r="ES97">
        <v>0</v>
      </c>
      <c r="ET97" t="s">
        <v>334</v>
      </c>
      <c r="EU97" t="s">
        <v>335</v>
      </c>
      <c r="EV97" t="s">
        <v>336</v>
      </c>
      <c r="EW97" t="s">
        <v>336</v>
      </c>
      <c r="EX97" t="s">
        <v>336</v>
      </c>
      <c r="EY97" t="s">
        <v>336</v>
      </c>
      <c r="EZ97">
        <v>0</v>
      </c>
      <c r="FA97">
        <v>100</v>
      </c>
      <c r="FB97">
        <v>100</v>
      </c>
      <c r="FC97">
        <v>6.495</v>
      </c>
      <c r="FD97">
        <v>0.0588</v>
      </c>
      <c r="FE97">
        <v>6.495476190476325</v>
      </c>
      <c r="FF97">
        <v>0</v>
      </c>
      <c r="FG97">
        <v>0</v>
      </c>
      <c r="FH97">
        <v>0</v>
      </c>
      <c r="FI97">
        <v>0.05881499999999917</v>
      </c>
      <c r="FJ97">
        <v>0</v>
      </c>
      <c r="FK97">
        <v>0</v>
      </c>
      <c r="FL97">
        <v>0</v>
      </c>
      <c r="FM97">
        <v>-1</v>
      </c>
      <c r="FN97">
        <v>-1</v>
      </c>
      <c r="FO97">
        <v>-1</v>
      </c>
      <c r="FP97">
        <v>-1</v>
      </c>
      <c r="FQ97">
        <v>81.3</v>
      </c>
      <c r="FR97">
        <v>81.5</v>
      </c>
      <c r="FS97">
        <v>0.144043</v>
      </c>
      <c r="FT97">
        <v>4.99756</v>
      </c>
      <c r="FU97">
        <v>1.5979</v>
      </c>
      <c r="FV97">
        <v>2.15088</v>
      </c>
      <c r="FW97">
        <v>1.54785</v>
      </c>
      <c r="FX97">
        <v>2.43652</v>
      </c>
      <c r="FY97">
        <v>36.3165</v>
      </c>
      <c r="FZ97">
        <v>15.9708</v>
      </c>
      <c r="GA97">
        <v>3</v>
      </c>
      <c r="GB97">
        <v>503.161</v>
      </c>
      <c r="GC97">
        <v>360.476</v>
      </c>
      <c r="GD97">
        <v>23.8475</v>
      </c>
      <c r="GE97">
        <v>29.7737</v>
      </c>
      <c r="GF97">
        <v>30.0006</v>
      </c>
      <c r="GG97">
        <v>29.6509</v>
      </c>
      <c r="GH97">
        <v>29.6366</v>
      </c>
      <c r="GI97">
        <v>-1</v>
      </c>
      <c r="GJ97">
        <v>100</v>
      </c>
      <c r="GK97">
        <v>0</v>
      </c>
      <c r="GL97">
        <v>23.8201</v>
      </c>
      <c r="GM97">
        <v>1200</v>
      </c>
      <c r="GN97">
        <v>26.7455</v>
      </c>
      <c r="GO97">
        <v>102.358</v>
      </c>
      <c r="GP97">
        <v>97.3278</v>
      </c>
    </row>
    <row r="98" spans="1:198">
      <c r="A98">
        <v>82</v>
      </c>
      <c r="B98">
        <v>1773273724.5</v>
      </c>
      <c r="C98">
        <v>4860.900000095367</v>
      </c>
      <c r="D98" t="s">
        <v>497</v>
      </c>
      <c r="E98" t="s">
        <v>498</v>
      </c>
      <c r="F98">
        <v>15</v>
      </c>
      <c r="G98">
        <v>1773273716.5</v>
      </c>
      <c r="H98">
        <f>(I98)/1000</f>
        <v>0</v>
      </c>
      <c r="I98">
        <f>1000*AY98*AG98*(AU98-AV98)/(100*AN98*(1000-AG98*AU98))</f>
        <v>0</v>
      </c>
      <c r="J98">
        <f>AY98*AG98*(AT98-AS98*(1000-AG98*AV98)/(1000-AG98*AU98))/(100*AN98)</f>
        <v>0</v>
      </c>
      <c r="K98">
        <f>AS98 - IF(AG98&gt;1, J98*AN98*100.0/(AI98), 0)</f>
        <v>0</v>
      </c>
      <c r="L98">
        <f>((R98-H98/2)*K98-J98)/(R98+H98/2)</f>
        <v>0</v>
      </c>
      <c r="M98">
        <f>L98*(AZ98+BA98)/1000.0</f>
        <v>0</v>
      </c>
      <c r="N98">
        <f>(AS98 - IF(AG98&gt;1, J98*AN98*100.0/(AI98), 0))*(AZ98+BA98)/1000.0</f>
        <v>0</v>
      </c>
      <c r="O98">
        <f>2.0/((1/Q98-1/P98)+SIGN(Q98)*SQRT((1/Q98-1/P98)*(1/Q98-1/P98) + 4*AO98/((AO98+1)*(AO98+1))*(2*1/Q98*1/P98-1/P98*1/P98)))</f>
        <v>0</v>
      </c>
      <c r="P98">
        <f>IF(LEFT(AP98,1)&lt;&gt;"0",IF(LEFT(AP98,1)="1",3.0,AQ98),$D$5+$E$5*(BG98*AZ98/($K$5*1000))+$F$5*(BG98*AZ98/($K$5*1000))*MAX(MIN(AN98,$J$5),$I$5)*MAX(MIN(AN98,$J$5),$I$5)+$G$5*MAX(MIN(AN98,$J$5),$I$5)*(BG98*AZ98/($K$5*1000))+$H$5*(BG98*AZ98/($K$5*1000))*(BG98*AZ98/($K$5*1000)))</f>
        <v>0</v>
      </c>
      <c r="Q98">
        <f>H98*(1000-(1000*0.61365*exp(17.502*U98/(240.97+U98))/(AZ98+BA98)+AU98)/2)/(1000*0.61365*exp(17.502*U98/(240.97+U98))/(AZ98+BA98)-AU98)</f>
        <v>0</v>
      </c>
      <c r="R98">
        <f>1/((AO98+1)/(O98/1.6)+1/(P98/1.37)) + AO98/((AO98+1)/(O98/1.6) + AO98/(P98/1.37))</f>
        <v>0</v>
      </c>
      <c r="S98">
        <f>(AJ98*AM98)</f>
        <v>0</v>
      </c>
      <c r="T98">
        <f>(BB98+(S98+2*0.95*5.67E-8*(((BB98+$B$7)+273)^4-(BB98+273)^4)-44100*H98)/(1.84*29.3*P98+8*0.95*5.67E-8*(BB98+273)^3))</f>
        <v>0</v>
      </c>
      <c r="U98">
        <f>($C$7*BC98+$D$7*BD98+$E$7*T98)</f>
        <v>0</v>
      </c>
      <c r="V98">
        <f>0.61365*exp(17.502*U98/(240.97+U98))</f>
        <v>0</v>
      </c>
      <c r="W98">
        <f>(X98/Y98*100)</f>
        <v>0</v>
      </c>
      <c r="X98">
        <f>AU98*(AZ98+BA98)/1000</f>
        <v>0</v>
      </c>
      <c r="Y98">
        <f>0.61365*exp(17.502*BB98/(240.97+BB98))</f>
        <v>0</v>
      </c>
      <c r="Z98">
        <f>(V98-AU98*(AZ98+BA98)/1000)</f>
        <v>0</v>
      </c>
      <c r="AA98">
        <f>(-H98*44100)</f>
        <v>0</v>
      </c>
      <c r="AB98">
        <f>2*29.3*P98*0.92*(BB98-U98)</f>
        <v>0</v>
      </c>
      <c r="AC98">
        <f>2*0.95*5.67E-8*(((BB98+$B$7)+273)^4-(U98+273)^4)</f>
        <v>0</v>
      </c>
      <c r="AD98">
        <f>S98+AC98+AA98+AB98</f>
        <v>0</v>
      </c>
      <c r="AE98">
        <v>0</v>
      </c>
      <c r="AF98">
        <v>0</v>
      </c>
      <c r="AG98">
        <f>IF(AE98*$H$13&gt;=AI98,1.0,(AI98/(AI98-AE98*$H$13)))</f>
        <v>0</v>
      </c>
      <c r="AH98">
        <f>(AG98-1)*100</f>
        <v>0</v>
      </c>
      <c r="AI98">
        <f>MAX(0,($B$13+$C$13*BG98)/(1+$D$13*BG98)*AZ98/(BB98+273)*$E$13)</f>
        <v>0</v>
      </c>
      <c r="AJ98">
        <f>$B$11*BH98+$C$11*BI98+$D$11*BT98</f>
        <v>0</v>
      </c>
      <c r="AK98">
        <f>AJ98*AL98</f>
        <v>0</v>
      </c>
      <c r="AL98">
        <f>($B$11*$D$9+$C$11*$D$9+$D$11*(BU98*$E$9+BV98*$G$9))/($B$11+$C$11+$D$11)</f>
        <v>0</v>
      </c>
      <c r="AM98">
        <f>($B$11*$K$9+$C$11*$K$9+$D$11*(BU98*$L$9+BV98*$N$9))/($B$11+$C$11+$D$11)</f>
        <v>0</v>
      </c>
      <c r="AN98">
        <v>3</v>
      </c>
      <c r="AO98">
        <v>0.5</v>
      </c>
      <c r="AP98" t="s">
        <v>331</v>
      </c>
      <c r="AQ98">
        <v>2</v>
      </c>
      <c r="AR98">
        <v>1773273716.5</v>
      </c>
      <c r="AS98">
        <v>495.3417419354839</v>
      </c>
      <c r="AT98">
        <v>494.0016451612902</v>
      </c>
      <c r="AU98">
        <v>10.75213225806452</v>
      </c>
      <c r="AV98">
        <v>9.893661612903223</v>
      </c>
      <c r="AW98">
        <v>488.8464193548388</v>
      </c>
      <c r="AX98">
        <v>10.69330322580645</v>
      </c>
      <c r="AY98">
        <v>499.9950967741936</v>
      </c>
      <c r="AZ98">
        <v>100.2573548387096</v>
      </c>
      <c r="BA98">
        <v>0.03542167096774194</v>
      </c>
      <c r="BB98">
        <v>25.01410967741935</v>
      </c>
      <c r="BC98">
        <v>25.1196</v>
      </c>
      <c r="BD98">
        <v>999.9000000000003</v>
      </c>
      <c r="BE98">
        <v>0</v>
      </c>
      <c r="BF98">
        <v>0</v>
      </c>
      <c r="BG98">
        <v>4991.580645161291</v>
      </c>
      <c r="BH98">
        <v>2.024601935483871</v>
      </c>
      <c r="BI98">
        <v>729.4677741935484</v>
      </c>
      <c r="BJ98">
        <v>1.340178387096774</v>
      </c>
      <c r="BK98">
        <v>500.7257096774193</v>
      </c>
      <c r="BL98">
        <v>498.938</v>
      </c>
      <c r="BM98">
        <v>0.8584690967741935</v>
      </c>
      <c r="BN98">
        <v>494.0016451612902</v>
      </c>
      <c r="BO98">
        <v>9.893661612903223</v>
      </c>
      <c r="BP98">
        <v>1.077979677419355</v>
      </c>
      <c r="BQ98">
        <v>0.9919112258064515</v>
      </c>
      <c r="BR98">
        <v>8.015249677419355</v>
      </c>
      <c r="BS98">
        <v>6.798104193548387</v>
      </c>
      <c r="BT98">
        <v>0</v>
      </c>
      <c r="BU98">
        <v>0</v>
      </c>
      <c r="BV98">
        <v>0</v>
      </c>
      <c r="BW98">
        <v>27</v>
      </c>
      <c r="BX98">
        <v>45</v>
      </c>
      <c r="BY98">
        <v>1773268786.6</v>
      </c>
      <c r="BZ98" t="s">
        <v>332</v>
      </c>
      <c r="CA98">
        <v>1773268786.6</v>
      </c>
      <c r="CB98">
        <v>1773268774.1</v>
      </c>
      <c r="CC98">
        <v>2</v>
      </c>
      <c r="CD98">
        <v>0.264</v>
      </c>
      <c r="CE98">
        <v>-0.024</v>
      </c>
      <c r="CF98">
        <v>6.495</v>
      </c>
      <c r="CG98">
        <v>0.059</v>
      </c>
      <c r="CH98">
        <v>488</v>
      </c>
      <c r="CI98">
        <v>25</v>
      </c>
      <c r="CJ98">
        <v>0.48</v>
      </c>
      <c r="CK98">
        <v>0.14</v>
      </c>
      <c r="CL98">
        <v>493.9996666666666</v>
      </c>
      <c r="CM98">
        <v>0.5898286985539717</v>
      </c>
      <c r="CN98">
        <v>0.04725486453500835</v>
      </c>
      <c r="CO98">
        <v>-1</v>
      </c>
      <c r="CP98">
        <v>499.9938666666667</v>
      </c>
      <c r="CQ98">
        <v>0.04303448275810474</v>
      </c>
      <c r="CR98">
        <v>0.03531263544713516</v>
      </c>
      <c r="CS98">
        <v>-1</v>
      </c>
      <c r="CT98">
        <v>0</v>
      </c>
      <c r="CU98">
        <v>0</v>
      </c>
      <c r="CV98" t="s">
        <v>333</v>
      </c>
      <c r="CW98">
        <v>3.16988</v>
      </c>
      <c r="CX98">
        <v>2.65678</v>
      </c>
      <c r="CY98">
        <v>0.114106</v>
      </c>
      <c r="CZ98">
        <v>0.115046</v>
      </c>
      <c r="DA98">
        <v>0.0629557</v>
      </c>
      <c r="DB98">
        <v>0.0590074</v>
      </c>
      <c r="DC98">
        <v>21287.1</v>
      </c>
      <c r="DD98">
        <v>21793.3</v>
      </c>
      <c r="DE98">
        <v>23133.3</v>
      </c>
      <c r="DF98">
        <v>22523.4</v>
      </c>
      <c r="DG98">
        <v>32754.4</v>
      </c>
      <c r="DH98">
        <v>29892.2</v>
      </c>
      <c r="DI98">
        <v>40663.1</v>
      </c>
      <c r="DJ98">
        <v>37278.5</v>
      </c>
      <c r="DK98">
        <v>2.09726</v>
      </c>
      <c r="DL98">
        <v>1.71684</v>
      </c>
      <c r="DM98">
        <v>-0.0717074</v>
      </c>
      <c r="DN98">
        <v>0</v>
      </c>
      <c r="DO98">
        <v>26.2977</v>
      </c>
      <c r="DP98">
        <v>999.9</v>
      </c>
      <c r="DQ98">
        <v>58.4</v>
      </c>
      <c r="DR98">
        <v>30.6</v>
      </c>
      <c r="DS98">
        <v>25.6866</v>
      </c>
      <c r="DT98">
        <v>30.13</v>
      </c>
      <c r="DU98">
        <v>12.1314</v>
      </c>
      <c r="DV98">
        <v>1</v>
      </c>
      <c r="DW98">
        <v>0.210951</v>
      </c>
      <c r="DX98">
        <v>1.94809</v>
      </c>
      <c r="DY98">
        <v>20.3537</v>
      </c>
      <c r="DZ98">
        <v>5.21106</v>
      </c>
      <c r="EA98">
        <v>11.8485</v>
      </c>
      <c r="EB98">
        <v>4.96776</v>
      </c>
      <c r="EC98">
        <v>3.29216</v>
      </c>
      <c r="ED98">
        <v>879.4</v>
      </c>
      <c r="EE98">
        <v>9999</v>
      </c>
      <c r="EF98">
        <v>9999</v>
      </c>
      <c r="EG98">
        <v>81.5</v>
      </c>
      <c r="EH98">
        <v>4.97158</v>
      </c>
      <c r="EI98">
        <v>1.8719</v>
      </c>
      <c r="EJ98">
        <v>1.86905</v>
      </c>
      <c r="EK98">
        <v>1.87149</v>
      </c>
      <c r="EL98">
        <v>1.8692</v>
      </c>
      <c r="EM98">
        <v>1.86814</v>
      </c>
      <c r="EN98">
        <v>1.87</v>
      </c>
      <c r="EO98">
        <v>1.8718</v>
      </c>
      <c r="EP98">
        <v>0</v>
      </c>
      <c r="EQ98">
        <v>0</v>
      </c>
      <c r="ER98">
        <v>0</v>
      </c>
      <c r="ES98">
        <v>0</v>
      </c>
      <c r="ET98" t="s">
        <v>334</v>
      </c>
      <c r="EU98" t="s">
        <v>335</v>
      </c>
      <c r="EV98" t="s">
        <v>336</v>
      </c>
      <c r="EW98" t="s">
        <v>336</v>
      </c>
      <c r="EX98" t="s">
        <v>336</v>
      </c>
      <c r="EY98" t="s">
        <v>336</v>
      </c>
      <c r="EZ98">
        <v>0</v>
      </c>
      <c r="FA98">
        <v>100</v>
      </c>
      <c r="FB98">
        <v>100</v>
      </c>
      <c r="FC98">
        <v>6.495</v>
      </c>
      <c r="FD98">
        <v>0.0588</v>
      </c>
      <c r="FE98">
        <v>6.495476190476325</v>
      </c>
      <c r="FF98">
        <v>0</v>
      </c>
      <c r="FG98">
        <v>0</v>
      </c>
      <c r="FH98">
        <v>0</v>
      </c>
      <c r="FI98">
        <v>0.05881499999999917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82.3</v>
      </c>
      <c r="FR98">
        <v>82.5</v>
      </c>
      <c r="FS98">
        <v>0.144043</v>
      </c>
      <c r="FT98">
        <v>4.99756</v>
      </c>
      <c r="FU98">
        <v>1.5979</v>
      </c>
      <c r="FV98">
        <v>2.15088</v>
      </c>
      <c r="FW98">
        <v>1.54785</v>
      </c>
      <c r="FX98">
        <v>2.39746</v>
      </c>
      <c r="FY98">
        <v>36.4343</v>
      </c>
      <c r="FZ98">
        <v>15.962</v>
      </c>
      <c r="GA98">
        <v>3</v>
      </c>
      <c r="GB98">
        <v>503.151</v>
      </c>
      <c r="GC98">
        <v>359.728</v>
      </c>
      <c r="GD98">
        <v>23.6075</v>
      </c>
      <c r="GE98">
        <v>29.8339</v>
      </c>
      <c r="GF98">
        <v>30.0004</v>
      </c>
      <c r="GG98">
        <v>29.7066</v>
      </c>
      <c r="GH98">
        <v>29.6919</v>
      </c>
      <c r="GI98">
        <v>-1</v>
      </c>
      <c r="GJ98">
        <v>100</v>
      </c>
      <c r="GK98">
        <v>0</v>
      </c>
      <c r="GL98">
        <v>23.5936</v>
      </c>
      <c r="GM98">
        <v>1200</v>
      </c>
      <c r="GN98">
        <v>26.7455</v>
      </c>
      <c r="GO98">
        <v>102.349</v>
      </c>
      <c r="GP98">
        <v>97.3212</v>
      </c>
    </row>
    <row r="99" spans="1:198">
      <c r="A99">
        <v>83</v>
      </c>
      <c r="B99">
        <v>1773273784.5</v>
      </c>
      <c r="C99">
        <v>4920.900000095367</v>
      </c>
      <c r="D99" t="s">
        <v>499</v>
      </c>
      <c r="E99" t="s">
        <v>500</v>
      </c>
      <c r="F99">
        <v>15</v>
      </c>
      <c r="G99">
        <v>1773273776.5</v>
      </c>
      <c r="H99">
        <f>(I99)/1000</f>
        <v>0</v>
      </c>
      <c r="I99">
        <f>1000*AY99*AG99*(AU99-AV99)/(100*AN99*(1000-AG99*AU99))</f>
        <v>0</v>
      </c>
      <c r="J99">
        <f>AY99*AG99*(AT99-AS99*(1000-AG99*AV99)/(1000-AG99*AU99))/(100*AN99)</f>
        <v>0</v>
      </c>
      <c r="K99">
        <f>AS99 - IF(AG99&gt;1, J99*AN99*100.0/(AI99), 0)</f>
        <v>0</v>
      </c>
      <c r="L99">
        <f>((R99-H99/2)*K99-J99)/(R99+H99/2)</f>
        <v>0</v>
      </c>
      <c r="M99">
        <f>L99*(AZ99+BA99)/1000.0</f>
        <v>0</v>
      </c>
      <c r="N99">
        <f>(AS99 - IF(AG99&gt;1, J99*AN99*100.0/(AI99), 0))*(AZ99+BA99)/1000.0</f>
        <v>0</v>
      </c>
      <c r="O99">
        <f>2.0/((1/Q99-1/P99)+SIGN(Q99)*SQRT((1/Q99-1/P99)*(1/Q99-1/P99) + 4*AO99/((AO99+1)*(AO99+1))*(2*1/Q99*1/P99-1/P99*1/P99)))</f>
        <v>0</v>
      </c>
      <c r="P99">
        <f>IF(LEFT(AP99,1)&lt;&gt;"0",IF(LEFT(AP99,1)="1",3.0,AQ99),$D$5+$E$5*(BG99*AZ99/($K$5*1000))+$F$5*(BG99*AZ99/($K$5*1000))*MAX(MIN(AN99,$J$5),$I$5)*MAX(MIN(AN99,$J$5),$I$5)+$G$5*MAX(MIN(AN99,$J$5),$I$5)*(BG99*AZ99/($K$5*1000))+$H$5*(BG99*AZ99/($K$5*1000))*(BG99*AZ99/($K$5*1000)))</f>
        <v>0</v>
      </c>
      <c r="Q99">
        <f>H99*(1000-(1000*0.61365*exp(17.502*U99/(240.97+U99))/(AZ99+BA99)+AU99)/2)/(1000*0.61365*exp(17.502*U99/(240.97+U99))/(AZ99+BA99)-AU99)</f>
        <v>0</v>
      </c>
      <c r="R99">
        <f>1/((AO99+1)/(O99/1.6)+1/(P99/1.37)) + AO99/((AO99+1)/(O99/1.6) + AO99/(P99/1.37))</f>
        <v>0</v>
      </c>
      <c r="S99">
        <f>(AJ99*AM99)</f>
        <v>0</v>
      </c>
      <c r="T99">
        <f>(BB99+(S99+2*0.95*5.67E-8*(((BB99+$B$7)+273)^4-(BB99+273)^4)-44100*H99)/(1.84*29.3*P99+8*0.95*5.67E-8*(BB99+273)^3))</f>
        <v>0</v>
      </c>
      <c r="U99">
        <f>($C$7*BC99+$D$7*BD99+$E$7*T99)</f>
        <v>0</v>
      </c>
      <c r="V99">
        <f>0.61365*exp(17.502*U99/(240.97+U99))</f>
        <v>0</v>
      </c>
      <c r="W99">
        <f>(X99/Y99*100)</f>
        <v>0</v>
      </c>
      <c r="X99">
        <f>AU99*(AZ99+BA99)/1000</f>
        <v>0</v>
      </c>
      <c r="Y99">
        <f>0.61365*exp(17.502*BB99/(240.97+BB99))</f>
        <v>0</v>
      </c>
      <c r="Z99">
        <f>(V99-AU99*(AZ99+BA99)/1000)</f>
        <v>0</v>
      </c>
      <c r="AA99">
        <f>(-H99*44100)</f>
        <v>0</v>
      </c>
      <c r="AB99">
        <f>2*29.3*P99*0.92*(BB99-U99)</f>
        <v>0</v>
      </c>
      <c r="AC99">
        <f>2*0.95*5.67E-8*(((BB99+$B$7)+273)^4-(U99+273)^4)</f>
        <v>0</v>
      </c>
      <c r="AD99">
        <f>S99+AC99+AA99+AB99</f>
        <v>0</v>
      </c>
      <c r="AE99">
        <v>0</v>
      </c>
      <c r="AF99">
        <v>0</v>
      </c>
      <c r="AG99">
        <f>IF(AE99*$H$13&gt;=AI99,1.0,(AI99/(AI99-AE99*$H$13)))</f>
        <v>0</v>
      </c>
      <c r="AH99">
        <f>(AG99-1)*100</f>
        <v>0</v>
      </c>
      <c r="AI99">
        <f>MAX(0,($B$13+$C$13*BG99)/(1+$D$13*BG99)*AZ99/(BB99+273)*$E$13)</f>
        <v>0</v>
      </c>
      <c r="AJ99">
        <f>$B$11*BH99+$C$11*BI99+$D$11*BT99</f>
        <v>0</v>
      </c>
      <c r="AK99">
        <f>AJ99*AL99</f>
        <v>0</v>
      </c>
      <c r="AL99">
        <f>($B$11*$D$9+$C$11*$D$9+$D$11*(BU99*$E$9+BV99*$G$9))/($B$11+$C$11+$D$11)</f>
        <v>0</v>
      </c>
      <c r="AM99">
        <f>($B$11*$K$9+$C$11*$K$9+$D$11*(BU99*$L$9+BV99*$N$9))/($B$11+$C$11+$D$11)</f>
        <v>0</v>
      </c>
      <c r="AN99">
        <v>3</v>
      </c>
      <c r="AO99">
        <v>0.5</v>
      </c>
      <c r="AP99" t="s">
        <v>331</v>
      </c>
      <c r="AQ99">
        <v>2</v>
      </c>
      <c r="AR99">
        <v>1773273776.5</v>
      </c>
      <c r="AS99">
        <v>495.6188387096774</v>
      </c>
      <c r="AT99">
        <v>493.9012258064516</v>
      </c>
      <c r="AU99">
        <v>10.80381935483871</v>
      </c>
      <c r="AV99">
        <v>9.942236774193548</v>
      </c>
      <c r="AW99">
        <v>489.1233870967741</v>
      </c>
      <c r="AX99">
        <v>10.74500322580645</v>
      </c>
      <c r="AY99">
        <v>499.9967419354838</v>
      </c>
      <c r="AZ99">
        <v>100.2597419354839</v>
      </c>
      <c r="BA99">
        <v>0.03516018387096774</v>
      </c>
      <c r="BB99">
        <v>25.01027419354839</v>
      </c>
      <c r="BC99">
        <v>25.12878064516129</v>
      </c>
      <c r="BD99">
        <v>999.9000000000003</v>
      </c>
      <c r="BE99">
        <v>0</v>
      </c>
      <c r="BF99">
        <v>0</v>
      </c>
      <c r="BG99">
        <v>5000.129032258064</v>
      </c>
      <c r="BH99">
        <v>2.038381612903226</v>
      </c>
      <c r="BI99">
        <v>747.4283225806452</v>
      </c>
      <c r="BJ99">
        <v>1.717588064516129</v>
      </c>
      <c r="BK99">
        <v>501.0319032258065</v>
      </c>
      <c r="BL99">
        <v>498.8610322580645</v>
      </c>
      <c r="BM99">
        <v>0.8615886129032259</v>
      </c>
      <c r="BN99">
        <v>493.9012258064516</v>
      </c>
      <c r="BO99">
        <v>9.942236774193548</v>
      </c>
      <c r="BP99">
        <v>1.083189032258064</v>
      </c>
      <c r="BQ99">
        <v>0.9968064516129034</v>
      </c>
      <c r="BR99">
        <v>8.086142903225808</v>
      </c>
      <c r="BS99">
        <v>6.869782903225806</v>
      </c>
      <c r="BT99">
        <v>0</v>
      </c>
      <c r="BU99">
        <v>0</v>
      </c>
      <c r="BV99">
        <v>0</v>
      </c>
      <c r="BW99">
        <v>27.05806451612903</v>
      </c>
      <c r="BX99">
        <v>45.17096774193548</v>
      </c>
      <c r="BY99">
        <v>1773268786.6</v>
      </c>
      <c r="BZ99" t="s">
        <v>332</v>
      </c>
      <c r="CA99">
        <v>1773268786.6</v>
      </c>
      <c r="CB99">
        <v>1773268774.1</v>
      </c>
      <c r="CC99">
        <v>2</v>
      </c>
      <c r="CD99">
        <v>0.264</v>
      </c>
      <c r="CE99">
        <v>-0.024</v>
      </c>
      <c r="CF99">
        <v>6.495</v>
      </c>
      <c r="CG99">
        <v>0.059</v>
      </c>
      <c r="CH99">
        <v>488</v>
      </c>
      <c r="CI99">
        <v>25</v>
      </c>
      <c r="CJ99">
        <v>0.48</v>
      </c>
      <c r="CK99">
        <v>0.14</v>
      </c>
      <c r="CL99">
        <v>493.9012258064516</v>
      </c>
      <c r="CM99">
        <v>-2.172338709677855</v>
      </c>
      <c r="CN99">
        <v>0.1639635501739298</v>
      </c>
      <c r="CO99">
        <v>-1</v>
      </c>
      <c r="CP99">
        <v>499.9967419354838</v>
      </c>
      <c r="CQ99">
        <v>0.1334999999973716</v>
      </c>
      <c r="CR99">
        <v>0.045820806474044</v>
      </c>
      <c r="CS99">
        <v>-1</v>
      </c>
      <c r="CT99">
        <v>0</v>
      </c>
      <c r="CU99">
        <v>0</v>
      </c>
      <c r="CV99" t="s">
        <v>333</v>
      </c>
      <c r="CW99">
        <v>3.16995</v>
      </c>
      <c r="CX99">
        <v>2.65596</v>
      </c>
      <c r="CY99">
        <v>0.114085</v>
      </c>
      <c r="CZ99">
        <v>0.114969</v>
      </c>
      <c r="DA99">
        <v>0.0631869</v>
      </c>
      <c r="DB99">
        <v>0.0592311</v>
      </c>
      <c r="DC99">
        <v>21285.1</v>
      </c>
      <c r="DD99">
        <v>21793.3</v>
      </c>
      <c r="DE99">
        <v>23130.8</v>
      </c>
      <c r="DF99">
        <v>22521.6</v>
      </c>
      <c r="DG99">
        <v>32742.9</v>
      </c>
      <c r="DH99">
        <v>29882.6</v>
      </c>
      <c r="DI99">
        <v>40659.1</v>
      </c>
      <c r="DJ99">
        <v>37275.5</v>
      </c>
      <c r="DK99">
        <v>2.09686</v>
      </c>
      <c r="DL99">
        <v>1.71572</v>
      </c>
      <c r="DM99">
        <v>-0.0730932</v>
      </c>
      <c r="DN99">
        <v>0</v>
      </c>
      <c r="DO99">
        <v>26.3423</v>
      </c>
      <c r="DP99">
        <v>999.9</v>
      </c>
      <c r="DQ99">
        <v>58.1</v>
      </c>
      <c r="DR99">
        <v>30.7</v>
      </c>
      <c r="DS99">
        <v>25.6974</v>
      </c>
      <c r="DT99">
        <v>29.9801</v>
      </c>
      <c r="DU99">
        <v>11.887</v>
      </c>
      <c r="DV99">
        <v>1</v>
      </c>
      <c r="DW99">
        <v>0.215299</v>
      </c>
      <c r="DX99">
        <v>1.8607</v>
      </c>
      <c r="DY99">
        <v>20.355</v>
      </c>
      <c r="DZ99">
        <v>5.21034</v>
      </c>
      <c r="EA99">
        <v>11.8483</v>
      </c>
      <c r="EB99">
        <v>4.9678</v>
      </c>
      <c r="EC99">
        <v>3.29208</v>
      </c>
      <c r="ED99">
        <v>879.4</v>
      </c>
      <c r="EE99">
        <v>9999</v>
      </c>
      <c r="EF99">
        <v>9999</v>
      </c>
      <c r="EG99">
        <v>81.5</v>
      </c>
      <c r="EH99">
        <v>4.97158</v>
      </c>
      <c r="EI99">
        <v>1.87192</v>
      </c>
      <c r="EJ99">
        <v>1.86906</v>
      </c>
      <c r="EK99">
        <v>1.87149</v>
      </c>
      <c r="EL99">
        <v>1.8692</v>
      </c>
      <c r="EM99">
        <v>1.8682</v>
      </c>
      <c r="EN99">
        <v>1.87001</v>
      </c>
      <c r="EO99">
        <v>1.8718</v>
      </c>
      <c r="EP99">
        <v>0</v>
      </c>
      <c r="EQ99">
        <v>0</v>
      </c>
      <c r="ER99">
        <v>0</v>
      </c>
      <c r="ES99">
        <v>0</v>
      </c>
      <c r="ET99" t="s">
        <v>334</v>
      </c>
      <c r="EU99" t="s">
        <v>335</v>
      </c>
      <c r="EV99" t="s">
        <v>336</v>
      </c>
      <c r="EW99" t="s">
        <v>336</v>
      </c>
      <c r="EX99" t="s">
        <v>336</v>
      </c>
      <c r="EY99" t="s">
        <v>336</v>
      </c>
      <c r="EZ99">
        <v>0</v>
      </c>
      <c r="FA99">
        <v>100</v>
      </c>
      <c r="FB99">
        <v>100</v>
      </c>
      <c r="FC99">
        <v>6.496</v>
      </c>
      <c r="FD99">
        <v>0.0589</v>
      </c>
      <c r="FE99">
        <v>6.495476190476325</v>
      </c>
      <c r="FF99">
        <v>0</v>
      </c>
      <c r="FG99">
        <v>0</v>
      </c>
      <c r="FH99">
        <v>0</v>
      </c>
      <c r="FI99">
        <v>0.05881499999999917</v>
      </c>
      <c r="FJ99">
        <v>0</v>
      </c>
      <c r="FK99">
        <v>0</v>
      </c>
      <c r="FL99">
        <v>0</v>
      </c>
      <c r="FM99">
        <v>-1</v>
      </c>
      <c r="FN99">
        <v>-1</v>
      </c>
      <c r="FO99">
        <v>-1</v>
      </c>
      <c r="FP99">
        <v>-1</v>
      </c>
      <c r="FQ99">
        <v>83.3</v>
      </c>
      <c r="FR99">
        <v>83.5</v>
      </c>
      <c r="FS99">
        <v>0.144043</v>
      </c>
      <c r="FT99">
        <v>4.99756</v>
      </c>
      <c r="FU99">
        <v>1.5979</v>
      </c>
      <c r="FV99">
        <v>2.14966</v>
      </c>
      <c r="FW99">
        <v>1.54785</v>
      </c>
      <c r="FX99">
        <v>2.33398</v>
      </c>
      <c r="FY99">
        <v>36.5759</v>
      </c>
      <c r="FZ99">
        <v>15.9533</v>
      </c>
      <c r="GA99">
        <v>3</v>
      </c>
      <c r="GB99">
        <v>503.369</v>
      </c>
      <c r="GC99">
        <v>359.472</v>
      </c>
      <c r="GD99">
        <v>23.7428</v>
      </c>
      <c r="GE99">
        <v>29.8942</v>
      </c>
      <c r="GF99">
        <v>30.0008</v>
      </c>
      <c r="GG99">
        <v>29.7645</v>
      </c>
      <c r="GH99">
        <v>29.7495</v>
      </c>
      <c r="GI99">
        <v>-1</v>
      </c>
      <c r="GJ99">
        <v>100</v>
      </c>
      <c r="GK99">
        <v>0</v>
      </c>
      <c r="GL99">
        <v>23.7157</v>
      </c>
      <c r="GM99">
        <v>1200</v>
      </c>
      <c r="GN99">
        <v>26.7455</v>
      </c>
      <c r="GO99">
        <v>102.338</v>
      </c>
      <c r="GP99">
        <v>97.3135</v>
      </c>
    </row>
    <row r="100" spans="1:198">
      <c r="A100">
        <v>84</v>
      </c>
      <c r="B100">
        <v>1773273844.5</v>
      </c>
      <c r="C100">
        <v>4980.900000095367</v>
      </c>
      <c r="D100" t="s">
        <v>501</v>
      </c>
      <c r="E100" t="s">
        <v>502</v>
      </c>
      <c r="F100">
        <v>15</v>
      </c>
      <c r="G100">
        <v>1773273836.5</v>
      </c>
      <c r="H100">
        <f>(I100)/1000</f>
        <v>0</v>
      </c>
      <c r="I100">
        <f>1000*AY100*AG100*(AU100-AV100)/(100*AN100*(1000-AG100*AU100))</f>
        <v>0</v>
      </c>
      <c r="J100">
        <f>AY100*AG100*(AT100-AS100*(1000-AG100*AV100)/(1000-AG100*AU100))/(100*AN100)</f>
        <v>0</v>
      </c>
      <c r="K100">
        <f>AS100 - IF(AG100&gt;1, J100*AN100*100.0/(AI100), 0)</f>
        <v>0</v>
      </c>
      <c r="L100">
        <f>((R100-H100/2)*K100-J100)/(R100+H100/2)</f>
        <v>0</v>
      </c>
      <c r="M100">
        <f>L100*(AZ100+BA100)/1000.0</f>
        <v>0</v>
      </c>
      <c r="N100">
        <f>(AS100 - IF(AG100&gt;1, J100*AN100*100.0/(AI100), 0))*(AZ100+BA100)/1000.0</f>
        <v>0</v>
      </c>
      <c r="O100">
        <f>2.0/((1/Q100-1/P100)+SIGN(Q100)*SQRT((1/Q100-1/P100)*(1/Q100-1/P100) + 4*AO100/((AO100+1)*(AO100+1))*(2*1/Q100*1/P100-1/P100*1/P100)))</f>
        <v>0</v>
      </c>
      <c r="P100">
        <f>IF(LEFT(AP100,1)&lt;&gt;"0",IF(LEFT(AP100,1)="1",3.0,AQ100),$D$5+$E$5*(BG100*AZ100/($K$5*1000))+$F$5*(BG100*AZ100/($K$5*1000))*MAX(MIN(AN100,$J$5),$I$5)*MAX(MIN(AN100,$J$5),$I$5)+$G$5*MAX(MIN(AN100,$J$5),$I$5)*(BG100*AZ100/($K$5*1000))+$H$5*(BG100*AZ100/($K$5*1000))*(BG100*AZ100/($K$5*1000)))</f>
        <v>0</v>
      </c>
      <c r="Q100">
        <f>H100*(1000-(1000*0.61365*exp(17.502*U100/(240.97+U100))/(AZ100+BA100)+AU100)/2)/(1000*0.61365*exp(17.502*U100/(240.97+U100))/(AZ100+BA100)-AU100)</f>
        <v>0</v>
      </c>
      <c r="R100">
        <f>1/((AO100+1)/(O100/1.6)+1/(P100/1.37)) + AO100/((AO100+1)/(O100/1.6) + AO100/(P100/1.37))</f>
        <v>0</v>
      </c>
      <c r="S100">
        <f>(AJ100*AM100)</f>
        <v>0</v>
      </c>
      <c r="T100">
        <f>(BB100+(S100+2*0.95*5.67E-8*(((BB100+$B$7)+273)^4-(BB100+273)^4)-44100*H100)/(1.84*29.3*P100+8*0.95*5.67E-8*(BB100+273)^3))</f>
        <v>0</v>
      </c>
      <c r="U100">
        <f>($C$7*BC100+$D$7*BD100+$E$7*T100)</f>
        <v>0</v>
      </c>
      <c r="V100">
        <f>0.61365*exp(17.502*U100/(240.97+U100))</f>
        <v>0</v>
      </c>
      <c r="W100">
        <f>(X100/Y100*100)</f>
        <v>0</v>
      </c>
      <c r="X100">
        <f>AU100*(AZ100+BA100)/1000</f>
        <v>0</v>
      </c>
      <c r="Y100">
        <f>0.61365*exp(17.502*BB100/(240.97+BB100))</f>
        <v>0</v>
      </c>
      <c r="Z100">
        <f>(V100-AU100*(AZ100+BA100)/1000)</f>
        <v>0</v>
      </c>
      <c r="AA100">
        <f>(-H100*44100)</f>
        <v>0</v>
      </c>
      <c r="AB100">
        <f>2*29.3*P100*0.92*(BB100-U100)</f>
        <v>0</v>
      </c>
      <c r="AC100">
        <f>2*0.95*5.67E-8*(((BB100+$B$7)+273)^4-(U100+273)^4)</f>
        <v>0</v>
      </c>
      <c r="AD100">
        <f>S100+AC100+AA100+AB100</f>
        <v>0</v>
      </c>
      <c r="AE100">
        <v>0</v>
      </c>
      <c r="AF100">
        <v>0</v>
      </c>
      <c r="AG100">
        <f>IF(AE100*$H$13&gt;=AI100,1.0,(AI100/(AI100-AE100*$H$13)))</f>
        <v>0</v>
      </c>
      <c r="AH100">
        <f>(AG100-1)*100</f>
        <v>0</v>
      </c>
      <c r="AI100">
        <f>MAX(0,($B$13+$C$13*BG100)/(1+$D$13*BG100)*AZ100/(BB100+273)*$E$13)</f>
        <v>0</v>
      </c>
      <c r="AJ100">
        <f>$B$11*BH100+$C$11*BI100+$D$11*BT100</f>
        <v>0</v>
      </c>
      <c r="AK100">
        <f>AJ100*AL100</f>
        <v>0</v>
      </c>
      <c r="AL100">
        <f>($B$11*$D$9+$C$11*$D$9+$D$11*(BU100*$E$9+BV100*$G$9))/($B$11+$C$11+$D$11)</f>
        <v>0</v>
      </c>
      <c r="AM100">
        <f>($B$11*$K$9+$C$11*$K$9+$D$11*(BU100*$L$9+BV100*$N$9))/($B$11+$C$11+$D$11)</f>
        <v>0</v>
      </c>
      <c r="AN100">
        <v>3</v>
      </c>
      <c r="AO100">
        <v>0.5</v>
      </c>
      <c r="AP100" t="s">
        <v>331</v>
      </c>
      <c r="AQ100">
        <v>2</v>
      </c>
      <c r="AR100">
        <v>1773273836.5</v>
      </c>
      <c r="AS100">
        <v>494.8840967741937</v>
      </c>
      <c r="AT100">
        <v>493.2598387096774</v>
      </c>
      <c r="AU100">
        <v>10.87832580645161</v>
      </c>
      <c r="AV100">
        <v>10.01979032258065</v>
      </c>
      <c r="AW100">
        <v>488.3885161290323</v>
      </c>
      <c r="AX100">
        <v>10.81950967741935</v>
      </c>
      <c r="AY100">
        <v>500.0013225806451</v>
      </c>
      <c r="AZ100">
        <v>100.2602258064516</v>
      </c>
      <c r="BA100">
        <v>0.03543542258064517</v>
      </c>
      <c r="BB100">
        <v>25.02119032258064</v>
      </c>
      <c r="BC100">
        <v>25.16896129032258</v>
      </c>
      <c r="BD100">
        <v>999.9000000000003</v>
      </c>
      <c r="BE100">
        <v>0</v>
      </c>
      <c r="BF100">
        <v>0</v>
      </c>
      <c r="BG100">
        <v>5004.064516129032</v>
      </c>
      <c r="BH100">
        <v>2.06042</v>
      </c>
      <c r="BI100">
        <v>768.0091935483872</v>
      </c>
      <c r="BJ100">
        <v>1.624165483870968</v>
      </c>
      <c r="BK100">
        <v>500.3266774193548</v>
      </c>
      <c r="BL100">
        <v>498.2522258064516</v>
      </c>
      <c r="BM100">
        <v>0.858531806451613</v>
      </c>
      <c r="BN100">
        <v>493.2598387096774</v>
      </c>
      <c r="BO100">
        <v>10.01979032258065</v>
      </c>
      <c r="BP100">
        <v>1.090663870967742</v>
      </c>
      <c r="BQ100">
        <v>1.004586451612903</v>
      </c>
      <c r="BR100">
        <v>8.187322903225805</v>
      </c>
      <c r="BS100">
        <v>6.983073548387097</v>
      </c>
      <c r="BT100">
        <v>0</v>
      </c>
      <c r="BU100">
        <v>0</v>
      </c>
      <c r="BV100">
        <v>0</v>
      </c>
      <c r="BW100">
        <v>28</v>
      </c>
      <c r="BX100">
        <v>46</v>
      </c>
      <c r="BY100">
        <v>1773268786.6</v>
      </c>
      <c r="BZ100" t="s">
        <v>332</v>
      </c>
      <c r="CA100">
        <v>1773268786.6</v>
      </c>
      <c r="CB100">
        <v>1773268774.1</v>
      </c>
      <c r="CC100">
        <v>2</v>
      </c>
      <c r="CD100">
        <v>0.264</v>
      </c>
      <c r="CE100">
        <v>-0.024</v>
      </c>
      <c r="CF100">
        <v>6.495</v>
      </c>
      <c r="CG100">
        <v>0.059</v>
      </c>
      <c r="CH100">
        <v>488</v>
      </c>
      <c r="CI100">
        <v>25</v>
      </c>
      <c r="CJ100">
        <v>0.48</v>
      </c>
      <c r="CK100">
        <v>0.14</v>
      </c>
      <c r="CL100">
        <v>493.2711666666666</v>
      </c>
      <c r="CM100">
        <v>-2.586420467185804</v>
      </c>
      <c r="CN100">
        <v>0.1884809598400368</v>
      </c>
      <c r="CO100">
        <v>-1</v>
      </c>
      <c r="CP100">
        <v>500.0001333333333</v>
      </c>
      <c r="CQ100">
        <v>-0.171604004448677</v>
      </c>
      <c r="CR100">
        <v>0.04918314977938985</v>
      </c>
      <c r="CS100">
        <v>-1</v>
      </c>
      <c r="CT100">
        <v>0</v>
      </c>
      <c r="CU100">
        <v>0</v>
      </c>
      <c r="CV100" t="s">
        <v>333</v>
      </c>
      <c r="CW100">
        <v>3.16996</v>
      </c>
      <c r="CX100">
        <v>2.65681</v>
      </c>
      <c r="CY100">
        <v>0.113949</v>
      </c>
      <c r="CZ100">
        <v>0.114818</v>
      </c>
      <c r="DA100">
        <v>0.06352240000000001</v>
      </c>
      <c r="DB100">
        <v>0.0595907</v>
      </c>
      <c r="DC100">
        <v>21286</v>
      </c>
      <c r="DD100">
        <v>21795.2</v>
      </c>
      <c r="DE100">
        <v>23128.5</v>
      </c>
      <c r="DF100">
        <v>22519.9</v>
      </c>
      <c r="DG100">
        <v>32728.2</v>
      </c>
      <c r="DH100">
        <v>29868.5</v>
      </c>
      <c r="DI100">
        <v>40655.6</v>
      </c>
      <c r="DJ100">
        <v>37272.4</v>
      </c>
      <c r="DK100">
        <v>2.09624</v>
      </c>
      <c r="DL100">
        <v>1.7141</v>
      </c>
      <c r="DM100">
        <v>-0.0769526</v>
      </c>
      <c r="DN100">
        <v>0</v>
      </c>
      <c r="DO100">
        <v>26.423</v>
      </c>
      <c r="DP100">
        <v>999.9</v>
      </c>
      <c r="DQ100">
        <v>57.8</v>
      </c>
      <c r="DR100">
        <v>30.8</v>
      </c>
      <c r="DS100">
        <v>25.7127</v>
      </c>
      <c r="DT100">
        <v>30.1301</v>
      </c>
      <c r="DU100">
        <v>12.0513</v>
      </c>
      <c r="DV100">
        <v>1</v>
      </c>
      <c r="DW100">
        <v>0.220791</v>
      </c>
      <c r="DX100">
        <v>2.14223</v>
      </c>
      <c r="DY100">
        <v>20.3511</v>
      </c>
      <c r="DZ100">
        <v>5.21142</v>
      </c>
      <c r="EA100">
        <v>11.8483</v>
      </c>
      <c r="EB100">
        <v>4.96768</v>
      </c>
      <c r="EC100">
        <v>3.29208</v>
      </c>
      <c r="ED100">
        <v>879.4</v>
      </c>
      <c r="EE100">
        <v>9999</v>
      </c>
      <c r="EF100">
        <v>9999</v>
      </c>
      <c r="EG100">
        <v>81.5</v>
      </c>
      <c r="EH100">
        <v>4.97159</v>
      </c>
      <c r="EI100">
        <v>1.87189</v>
      </c>
      <c r="EJ100">
        <v>1.86915</v>
      </c>
      <c r="EK100">
        <v>1.87149</v>
      </c>
      <c r="EL100">
        <v>1.86923</v>
      </c>
      <c r="EM100">
        <v>1.86816</v>
      </c>
      <c r="EN100">
        <v>1.86999</v>
      </c>
      <c r="EO100">
        <v>1.8718</v>
      </c>
      <c r="EP100">
        <v>0</v>
      </c>
      <c r="EQ100">
        <v>0</v>
      </c>
      <c r="ER100">
        <v>0</v>
      </c>
      <c r="ES100">
        <v>0</v>
      </c>
      <c r="ET100" t="s">
        <v>334</v>
      </c>
      <c r="EU100" t="s">
        <v>335</v>
      </c>
      <c r="EV100" t="s">
        <v>336</v>
      </c>
      <c r="EW100" t="s">
        <v>336</v>
      </c>
      <c r="EX100" t="s">
        <v>336</v>
      </c>
      <c r="EY100" t="s">
        <v>336</v>
      </c>
      <c r="EZ100">
        <v>0</v>
      </c>
      <c r="FA100">
        <v>100</v>
      </c>
      <c r="FB100">
        <v>100</v>
      </c>
      <c r="FC100">
        <v>6.495</v>
      </c>
      <c r="FD100">
        <v>0.0588</v>
      </c>
      <c r="FE100">
        <v>6.495476190476325</v>
      </c>
      <c r="FF100">
        <v>0</v>
      </c>
      <c r="FG100">
        <v>0</v>
      </c>
      <c r="FH100">
        <v>0</v>
      </c>
      <c r="FI100">
        <v>0.05881499999999917</v>
      </c>
      <c r="FJ100">
        <v>0</v>
      </c>
      <c r="FK100">
        <v>0</v>
      </c>
      <c r="FL100">
        <v>0</v>
      </c>
      <c r="FM100">
        <v>-1</v>
      </c>
      <c r="FN100">
        <v>-1</v>
      </c>
      <c r="FO100">
        <v>-1</v>
      </c>
      <c r="FP100">
        <v>-1</v>
      </c>
      <c r="FQ100">
        <v>84.3</v>
      </c>
      <c r="FR100">
        <v>84.5</v>
      </c>
      <c r="FS100">
        <v>0.144043</v>
      </c>
      <c r="FT100">
        <v>4.99756</v>
      </c>
      <c r="FU100">
        <v>1.5979</v>
      </c>
      <c r="FV100">
        <v>2.14966</v>
      </c>
      <c r="FW100">
        <v>1.54785</v>
      </c>
      <c r="FX100">
        <v>2.34619</v>
      </c>
      <c r="FY100">
        <v>36.6943</v>
      </c>
      <c r="FZ100">
        <v>15.9533</v>
      </c>
      <c r="GA100">
        <v>3</v>
      </c>
      <c r="GB100">
        <v>503.45</v>
      </c>
      <c r="GC100">
        <v>358.953</v>
      </c>
      <c r="GD100">
        <v>23.4913</v>
      </c>
      <c r="GE100">
        <v>29.9557</v>
      </c>
      <c r="GF100">
        <v>30.0005</v>
      </c>
      <c r="GG100">
        <v>29.8214</v>
      </c>
      <c r="GH100">
        <v>29.8067</v>
      </c>
      <c r="GI100">
        <v>-1</v>
      </c>
      <c r="GJ100">
        <v>100</v>
      </c>
      <c r="GK100">
        <v>0</v>
      </c>
      <c r="GL100">
        <v>23.4677</v>
      </c>
      <c r="GM100">
        <v>1200</v>
      </c>
      <c r="GN100">
        <v>26.7455</v>
      </c>
      <c r="GO100">
        <v>102.329</v>
      </c>
      <c r="GP100">
        <v>97.3056</v>
      </c>
    </row>
    <row r="101" spans="1:198">
      <c r="A101">
        <v>85</v>
      </c>
      <c r="B101">
        <v>1773273904.5</v>
      </c>
      <c r="C101">
        <v>5040.900000095367</v>
      </c>
      <c r="D101" t="s">
        <v>503</v>
      </c>
      <c r="E101" t="s">
        <v>504</v>
      </c>
      <c r="F101">
        <v>15</v>
      </c>
      <c r="G101">
        <v>1773273896.5</v>
      </c>
      <c r="H101">
        <f>(I101)/1000</f>
        <v>0</v>
      </c>
      <c r="I101">
        <f>1000*AY101*AG101*(AU101-AV101)/(100*AN101*(1000-AG101*AU101))</f>
        <v>0</v>
      </c>
      <c r="J101">
        <f>AY101*AG101*(AT101-AS101*(1000-AG101*AV101)/(1000-AG101*AU101))/(100*AN101)</f>
        <v>0</v>
      </c>
      <c r="K101">
        <f>AS101 - IF(AG101&gt;1, J101*AN101*100.0/(AI101), 0)</f>
        <v>0</v>
      </c>
      <c r="L101">
        <f>((R101-H101/2)*K101-J101)/(R101+H101/2)</f>
        <v>0</v>
      </c>
      <c r="M101">
        <f>L101*(AZ101+BA101)/1000.0</f>
        <v>0</v>
      </c>
      <c r="N101">
        <f>(AS101 - IF(AG101&gt;1, J101*AN101*100.0/(AI101), 0))*(AZ101+BA101)/1000.0</f>
        <v>0</v>
      </c>
      <c r="O101">
        <f>2.0/((1/Q101-1/P101)+SIGN(Q101)*SQRT((1/Q101-1/P101)*(1/Q101-1/P101) + 4*AO101/((AO101+1)*(AO101+1))*(2*1/Q101*1/P101-1/P101*1/P101)))</f>
        <v>0</v>
      </c>
      <c r="P101">
        <f>IF(LEFT(AP101,1)&lt;&gt;"0",IF(LEFT(AP101,1)="1",3.0,AQ101),$D$5+$E$5*(BG101*AZ101/($K$5*1000))+$F$5*(BG101*AZ101/($K$5*1000))*MAX(MIN(AN101,$J$5),$I$5)*MAX(MIN(AN101,$J$5),$I$5)+$G$5*MAX(MIN(AN101,$J$5),$I$5)*(BG101*AZ101/($K$5*1000))+$H$5*(BG101*AZ101/($K$5*1000))*(BG101*AZ101/($K$5*1000)))</f>
        <v>0</v>
      </c>
      <c r="Q101">
        <f>H101*(1000-(1000*0.61365*exp(17.502*U101/(240.97+U101))/(AZ101+BA101)+AU101)/2)/(1000*0.61365*exp(17.502*U101/(240.97+U101))/(AZ101+BA101)-AU101)</f>
        <v>0</v>
      </c>
      <c r="R101">
        <f>1/((AO101+1)/(O101/1.6)+1/(P101/1.37)) + AO101/((AO101+1)/(O101/1.6) + AO101/(P101/1.37))</f>
        <v>0</v>
      </c>
      <c r="S101">
        <f>(AJ101*AM101)</f>
        <v>0</v>
      </c>
      <c r="T101">
        <f>(BB101+(S101+2*0.95*5.67E-8*(((BB101+$B$7)+273)^4-(BB101+273)^4)-44100*H101)/(1.84*29.3*P101+8*0.95*5.67E-8*(BB101+273)^3))</f>
        <v>0</v>
      </c>
      <c r="U101">
        <f>($C$7*BC101+$D$7*BD101+$E$7*T101)</f>
        <v>0</v>
      </c>
      <c r="V101">
        <f>0.61365*exp(17.502*U101/(240.97+U101))</f>
        <v>0</v>
      </c>
      <c r="W101">
        <f>(X101/Y101*100)</f>
        <v>0</v>
      </c>
      <c r="X101">
        <f>AU101*(AZ101+BA101)/1000</f>
        <v>0</v>
      </c>
      <c r="Y101">
        <f>0.61365*exp(17.502*BB101/(240.97+BB101))</f>
        <v>0</v>
      </c>
      <c r="Z101">
        <f>(V101-AU101*(AZ101+BA101)/1000)</f>
        <v>0</v>
      </c>
      <c r="AA101">
        <f>(-H101*44100)</f>
        <v>0</v>
      </c>
      <c r="AB101">
        <f>2*29.3*P101*0.92*(BB101-U101)</f>
        <v>0</v>
      </c>
      <c r="AC101">
        <f>2*0.95*5.67E-8*(((BB101+$B$7)+273)^4-(U101+273)^4)</f>
        <v>0</v>
      </c>
      <c r="AD101">
        <f>S101+AC101+AA101+AB101</f>
        <v>0</v>
      </c>
      <c r="AE101">
        <v>0</v>
      </c>
      <c r="AF101">
        <v>0</v>
      </c>
      <c r="AG101">
        <f>IF(AE101*$H$13&gt;=AI101,1.0,(AI101/(AI101-AE101*$H$13)))</f>
        <v>0</v>
      </c>
      <c r="AH101">
        <f>(AG101-1)*100</f>
        <v>0</v>
      </c>
      <c r="AI101">
        <f>MAX(0,($B$13+$C$13*BG101)/(1+$D$13*BG101)*AZ101/(BB101+273)*$E$13)</f>
        <v>0</v>
      </c>
      <c r="AJ101">
        <f>$B$11*BH101+$C$11*BI101+$D$11*BT101</f>
        <v>0</v>
      </c>
      <c r="AK101">
        <f>AJ101*AL101</f>
        <v>0</v>
      </c>
      <c r="AL101">
        <f>($B$11*$D$9+$C$11*$D$9+$D$11*(BU101*$E$9+BV101*$G$9))/($B$11+$C$11+$D$11)</f>
        <v>0</v>
      </c>
      <c r="AM101">
        <f>($B$11*$K$9+$C$11*$K$9+$D$11*(BU101*$L$9+BV101*$N$9))/($B$11+$C$11+$D$11)</f>
        <v>0</v>
      </c>
      <c r="AN101">
        <v>3</v>
      </c>
      <c r="AO101">
        <v>0.5</v>
      </c>
      <c r="AP101" t="s">
        <v>331</v>
      </c>
      <c r="AQ101">
        <v>2</v>
      </c>
      <c r="AR101">
        <v>1773273896.5</v>
      </c>
      <c r="AS101">
        <v>493.9288387096773</v>
      </c>
      <c r="AT101">
        <v>492.5284838709678</v>
      </c>
      <c r="AU101">
        <v>10.93045483870968</v>
      </c>
      <c r="AV101">
        <v>10.06598709677419</v>
      </c>
      <c r="AW101">
        <v>487.4333870967743</v>
      </c>
      <c r="AX101">
        <v>10.87164838709677</v>
      </c>
      <c r="AY101">
        <v>499.9969677419356</v>
      </c>
      <c r="AZ101">
        <v>100.2633548387097</v>
      </c>
      <c r="BA101">
        <v>0.03554704516129033</v>
      </c>
      <c r="BB101">
        <v>24.99796451612903</v>
      </c>
      <c r="BC101">
        <v>25.13685806451613</v>
      </c>
      <c r="BD101">
        <v>999.9000000000003</v>
      </c>
      <c r="BE101">
        <v>0</v>
      </c>
      <c r="BF101">
        <v>0</v>
      </c>
      <c r="BG101">
        <v>4998.258064516129</v>
      </c>
      <c r="BH101">
        <v>2.034895483870968</v>
      </c>
      <c r="BI101">
        <v>770.5441290322581</v>
      </c>
      <c r="BJ101">
        <v>1.400401612903226</v>
      </c>
      <c r="BK101">
        <v>499.3874193548387</v>
      </c>
      <c r="BL101">
        <v>497.5367096774193</v>
      </c>
      <c r="BM101">
        <v>0.8644734516129032</v>
      </c>
      <c r="BN101">
        <v>492.5284838709678</v>
      </c>
      <c r="BO101">
        <v>10.06598709677419</v>
      </c>
      <c r="BP101">
        <v>1.095924193548387</v>
      </c>
      <c r="BQ101">
        <v>1.00924935483871</v>
      </c>
      <c r="BR101">
        <v>8.25817064516129</v>
      </c>
      <c r="BS101">
        <v>7.05059064516129</v>
      </c>
      <c r="BT101">
        <v>0</v>
      </c>
      <c r="BU101">
        <v>0</v>
      </c>
      <c r="BV101">
        <v>0</v>
      </c>
      <c r="BW101">
        <v>28</v>
      </c>
      <c r="BX101">
        <v>45.61076129032259</v>
      </c>
      <c r="BY101">
        <v>1773268786.6</v>
      </c>
      <c r="BZ101" t="s">
        <v>332</v>
      </c>
      <c r="CA101">
        <v>1773268786.6</v>
      </c>
      <c r="CB101">
        <v>1773268774.1</v>
      </c>
      <c r="CC101">
        <v>2</v>
      </c>
      <c r="CD101">
        <v>0.264</v>
      </c>
      <c r="CE101">
        <v>-0.024</v>
      </c>
      <c r="CF101">
        <v>6.495</v>
      </c>
      <c r="CG101">
        <v>0.059</v>
      </c>
      <c r="CH101">
        <v>488</v>
      </c>
      <c r="CI101">
        <v>25</v>
      </c>
      <c r="CJ101">
        <v>0.48</v>
      </c>
      <c r="CK101">
        <v>0.14</v>
      </c>
      <c r="CL101">
        <v>492.5284838709678</v>
      </c>
      <c r="CM101">
        <v>0.6137419354831356</v>
      </c>
      <c r="CN101">
        <v>0.05484280819598863</v>
      </c>
      <c r="CO101">
        <v>-1</v>
      </c>
      <c r="CP101">
        <v>499.9969677419356</v>
      </c>
      <c r="CQ101">
        <v>0.2166774193532461</v>
      </c>
      <c r="CR101">
        <v>0.05413274238505664</v>
      </c>
      <c r="CS101">
        <v>-1</v>
      </c>
      <c r="CT101">
        <v>0</v>
      </c>
      <c r="CU101">
        <v>0</v>
      </c>
      <c r="CV101" t="s">
        <v>333</v>
      </c>
      <c r="CW101">
        <v>3.16995</v>
      </c>
      <c r="CX101">
        <v>2.65664</v>
      </c>
      <c r="CY101">
        <v>0.113819</v>
      </c>
      <c r="CZ101">
        <v>0.11474</v>
      </c>
      <c r="DA101">
        <v>0.0637476</v>
      </c>
      <c r="DB101">
        <v>0.0597865</v>
      </c>
      <c r="DC101">
        <v>21287.3</v>
      </c>
      <c r="DD101">
        <v>21795.6</v>
      </c>
      <c r="DE101">
        <v>23126.8</v>
      </c>
      <c r="DF101">
        <v>22518.5</v>
      </c>
      <c r="DG101">
        <v>32717.9</v>
      </c>
      <c r="DH101">
        <v>29860.3</v>
      </c>
      <c r="DI101">
        <v>40652.7</v>
      </c>
      <c r="DJ101">
        <v>37270.1</v>
      </c>
      <c r="DK101">
        <v>2.09558</v>
      </c>
      <c r="DL101">
        <v>1.71248</v>
      </c>
      <c r="DM101">
        <v>-0.0788808</v>
      </c>
      <c r="DN101">
        <v>0</v>
      </c>
      <c r="DO101">
        <v>26.4412</v>
      </c>
      <c r="DP101">
        <v>999.9</v>
      </c>
      <c r="DQ101">
        <v>57.5</v>
      </c>
      <c r="DR101">
        <v>30.9</v>
      </c>
      <c r="DS101">
        <v>25.7263</v>
      </c>
      <c r="DT101">
        <v>30.4601</v>
      </c>
      <c r="DU101">
        <v>12.1755</v>
      </c>
      <c r="DV101">
        <v>1</v>
      </c>
      <c r="DW101">
        <v>0.224787</v>
      </c>
      <c r="DX101">
        <v>1.96512</v>
      </c>
      <c r="DY101">
        <v>20.3539</v>
      </c>
      <c r="DZ101">
        <v>5.21166</v>
      </c>
      <c r="EA101">
        <v>11.8483</v>
      </c>
      <c r="EB101">
        <v>4.96772</v>
      </c>
      <c r="EC101">
        <v>3.29208</v>
      </c>
      <c r="ED101">
        <v>879.4</v>
      </c>
      <c r="EE101">
        <v>9999</v>
      </c>
      <c r="EF101">
        <v>9999</v>
      </c>
      <c r="EG101">
        <v>81.5</v>
      </c>
      <c r="EH101">
        <v>4.97161</v>
      </c>
      <c r="EI101">
        <v>1.87191</v>
      </c>
      <c r="EJ101">
        <v>1.86912</v>
      </c>
      <c r="EK101">
        <v>1.87149</v>
      </c>
      <c r="EL101">
        <v>1.8692</v>
      </c>
      <c r="EM101">
        <v>1.86814</v>
      </c>
      <c r="EN101">
        <v>1.86998</v>
      </c>
      <c r="EO101">
        <v>1.8718</v>
      </c>
      <c r="EP101">
        <v>0</v>
      </c>
      <c r="EQ101">
        <v>0</v>
      </c>
      <c r="ER101">
        <v>0</v>
      </c>
      <c r="ES101">
        <v>0</v>
      </c>
      <c r="ET101" t="s">
        <v>334</v>
      </c>
      <c r="EU101" t="s">
        <v>335</v>
      </c>
      <c r="EV101" t="s">
        <v>336</v>
      </c>
      <c r="EW101" t="s">
        <v>336</v>
      </c>
      <c r="EX101" t="s">
        <v>336</v>
      </c>
      <c r="EY101" t="s">
        <v>336</v>
      </c>
      <c r="EZ101">
        <v>0</v>
      </c>
      <c r="FA101">
        <v>100</v>
      </c>
      <c r="FB101">
        <v>100</v>
      </c>
      <c r="FC101">
        <v>6.496</v>
      </c>
      <c r="FD101">
        <v>0.0588</v>
      </c>
      <c r="FE101">
        <v>6.495476190476325</v>
      </c>
      <c r="FF101">
        <v>0</v>
      </c>
      <c r="FG101">
        <v>0</v>
      </c>
      <c r="FH101">
        <v>0</v>
      </c>
      <c r="FI101">
        <v>0.05881499999999917</v>
      </c>
      <c r="FJ101">
        <v>0</v>
      </c>
      <c r="FK101">
        <v>0</v>
      </c>
      <c r="FL101">
        <v>0</v>
      </c>
      <c r="FM101">
        <v>-1</v>
      </c>
      <c r="FN101">
        <v>-1</v>
      </c>
      <c r="FO101">
        <v>-1</v>
      </c>
      <c r="FP101">
        <v>-1</v>
      </c>
      <c r="FQ101">
        <v>85.3</v>
      </c>
      <c r="FR101">
        <v>85.5</v>
      </c>
      <c r="FS101">
        <v>0.144043</v>
      </c>
      <c r="FT101">
        <v>4.99756</v>
      </c>
      <c r="FU101">
        <v>1.5979</v>
      </c>
      <c r="FV101">
        <v>2.14844</v>
      </c>
      <c r="FW101">
        <v>1.54785</v>
      </c>
      <c r="FX101">
        <v>2.42798</v>
      </c>
      <c r="FY101">
        <v>36.8366</v>
      </c>
      <c r="FZ101">
        <v>15.9533</v>
      </c>
      <c r="GA101">
        <v>3</v>
      </c>
      <c r="GB101">
        <v>503.532</v>
      </c>
      <c r="GC101">
        <v>358.448</v>
      </c>
      <c r="GD101">
        <v>23.606</v>
      </c>
      <c r="GE101">
        <v>30.0198</v>
      </c>
      <c r="GF101">
        <v>30.0009</v>
      </c>
      <c r="GG101">
        <v>29.8816</v>
      </c>
      <c r="GH101">
        <v>29.8664</v>
      </c>
      <c r="GI101">
        <v>-1</v>
      </c>
      <c r="GJ101">
        <v>100</v>
      </c>
      <c r="GK101">
        <v>0</v>
      </c>
      <c r="GL101">
        <v>23.5889</v>
      </c>
      <c r="GM101">
        <v>1200</v>
      </c>
      <c r="GN101">
        <v>26.7455</v>
      </c>
      <c r="GO101">
        <v>102.322</v>
      </c>
      <c r="GP101">
        <v>97.2996</v>
      </c>
    </row>
    <row r="102" spans="1:198">
      <c r="A102">
        <v>86</v>
      </c>
      <c r="B102">
        <v>1773273964.5</v>
      </c>
      <c r="C102">
        <v>5100.900000095367</v>
      </c>
      <c r="D102" t="s">
        <v>505</v>
      </c>
      <c r="E102" t="s">
        <v>506</v>
      </c>
      <c r="F102">
        <v>15</v>
      </c>
      <c r="G102">
        <v>1773273956.5</v>
      </c>
      <c r="H102">
        <f>(I102)/1000</f>
        <v>0</v>
      </c>
      <c r="I102">
        <f>1000*AY102*AG102*(AU102-AV102)/(100*AN102*(1000-AG102*AU102))</f>
        <v>0</v>
      </c>
      <c r="J102">
        <f>AY102*AG102*(AT102-AS102*(1000-AG102*AV102)/(1000-AG102*AU102))/(100*AN102)</f>
        <v>0</v>
      </c>
      <c r="K102">
        <f>AS102 - IF(AG102&gt;1, J102*AN102*100.0/(AI102), 0)</f>
        <v>0</v>
      </c>
      <c r="L102">
        <f>((R102-H102/2)*K102-J102)/(R102+H102/2)</f>
        <v>0</v>
      </c>
      <c r="M102">
        <f>L102*(AZ102+BA102)/1000.0</f>
        <v>0</v>
      </c>
      <c r="N102">
        <f>(AS102 - IF(AG102&gt;1, J102*AN102*100.0/(AI102), 0))*(AZ102+BA102)/1000.0</f>
        <v>0</v>
      </c>
      <c r="O102">
        <f>2.0/((1/Q102-1/P102)+SIGN(Q102)*SQRT((1/Q102-1/P102)*(1/Q102-1/P102) + 4*AO102/((AO102+1)*(AO102+1))*(2*1/Q102*1/P102-1/P102*1/P102)))</f>
        <v>0</v>
      </c>
      <c r="P102">
        <f>IF(LEFT(AP102,1)&lt;&gt;"0",IF(LEFT(AP102,1)="1",3.0,AQ102),$D$5+$E$5*(BG102*AZ102/($K$5*1000))+$F$5*(BG102*AZ102/($K$5*1000))*MAX(MIN(AN102,$J$5),$I$5)*MAX(MIN(AN102,$J$5),$I$5)+$G$5*MAX(MIN(AN102,$J$5),$I$5)*(BG102*AZ102/($K$5*1000))+$H$5*(BG102*AZ102/($K$5*1000))*(BG102*AZ102/($K$5*1000)))</f>
        <v>0</v>
      </c>
      <c r="Q102">
        <f>H102*(1000-(1000*0.61365*exp(17.502*U102/(240.97+U102))/(AZ102+BA102)+AU102)/2)/(1000*0.61365*exp(17.502*U102/(240.97+U102))/(AZ102+BA102)-AU102)</f>
        <v>0</v>
      </c>
      <c r="R102">
        <f>1/((AO102+1)/(O102/1.6)+1/(P102/1.37)) + AO102/((AO102+1)/(O102/1.6) + AO102/(P102/1.37))</f>
        <v>0</v>
      </c>
      <c r="S102">
        <f>(AJ102*AM102)</f>
        <v>0</v>
      </c>
      <c r="T102">
        <f>(BB102+(S102+2*0.95*5.67E-8*(((BB102+$B$7)+273)^4-(BB102+273)^4)-44100*H102)/(1.84*29.3*P102+8*0.95*5.67E-8*(BB102+273)^3))</f>
        <v>0</v>
      </c>
      <c r="U102">
        <f>($C$7*BC102+$D$7*BD102+$E$7*T102)</f>
        <v>0</v>
      </c>
      <c r="V102">
        <f>0.61365*exp(17.502*U102/(240.97+U102))</f>
        <v>0</v>
      </c>
      <c r="W102">
        <f>(X102/Y102*100)</f>
        <v>0</v>
      </c>
      <c r="X102">
        <f>AU102*(AZ102+BA102)/1000</f>
        <v>0</v>
      </c>
      <c r="Y102">
        <f>0.61365*exp(17.502*BB102/(240.97+BB102))</f>
        <v>0</v>
      </c>
      <c r="Z102">
        <f>(V102-AU102*(AZ102+BA102)/1000)</f>
        <v>0</v>
      </c>
      <c r="AA102">
        <f>(-H102*44100)</f>
        <v>0</v>
      </c>
      <c r="AB102">
        <f>2*29.3*P102*0.92*(BB102-U102)</f>
        <v>0</v>
      </c>
      <c r="AC102">
        <f>2*0.95*5.67E-8*(((BB102+$B$7)+273)^4-(U102+273)^4)</f>
        <v>0</v>
      </c>
      <c r="AD102">
        <f>S102+AC102+AA102+AB102</f>
        <v>0</v>
      </c>
      <c r="AE102">
        <v>0</v>
      </c>
      <c r="AF102">
        <v>0</v>
      </c>
      <c r="AG102">
        <f>IF(AE102*$H$13&gt;=AI102,1.0,(AI102/(AI102-AE102*$H$13)))</f>
        <v>0</v>
      </c>
      <c r="AH102">
        <f>(AG102-1)*100</f>
        <v>0</v>
      </c>
      <c r="AI102">
        <f>MAX(0,($B$13+$C$13*BG102)/(1+$D$13*BG102)*AZ102/(BB102+273)*$E$13)</f>
        <v>0</v>
      </c>
      <c r="AJ102">
        <f>$B$11*BH102+$C$11*BI102+$D$11*BT102</f>
        <v>0</v>
      </c>
      <c r="AK102">
        <f>AJ102*AL102</f>
        <v>0</v>
      </c>
      <c r="AL102">
        <f>($B$11*$D$9+$C$11*$D$9+$D$11*(BU102*$E$9+BV102*$G$9))/($B$11+$C$11+$D$11)</f>
        <v>0</v>
      </c>
      <c r="AM102">
        <f>($B$11*$K$9+$C$11*$K$9+$D$11*(BU102*$L$9+BV102*$N$9))/($B$11+$C$11+$D$11)</f>
        <v>0</v>
      </c>
      <c r="AN102">
        <v>3</v>
      </c>
      <c r="AO102">
        <v>0.5</v>
      </c>
      <c r="AP102" t="s">
        <v>331</v>
      </c>
      <c r="AQ102">
        <v>2</v>
      </c>
      <c r="AR102">
        <v>1773273956.5</v>
      </c>
      <c r="AS102">
        <v>494.8016774193548</v>
      </c>
      <c r="AT102">
        <v>493.314064516129</v>
      </c>
      <c r="AU102">
        <v>10.98231612903226</v>
      </c>
      <c r="AV102">
        <v>10.11148709677419</v>
      </c>
      <c r="AW102">
        <v>488.3063548387098</v>
      </c>
      <c r="AX102">
        <v>10.92350967741936</v>
      </c>
      <c r="AY102">
        <v>499.9980645161291</v>
      </c>
      <c r="AZ102">
        <v>100.2663870967742</v>
      </c>
      <c r="BA102">
        <v>0.03577479677419355</v>
      </c>
      <c r="BB102">
        <v>25.02012580645162</v>
      </c>
      <c r="BC102">
        <v>25.17745806451613</v>
      </c>
      <c r="BD102">
        <v>999.9000000000003</v>
      </c>
      <c r="BE102">
        <v>0</v>
      </c>
      <c r="BF102">
        <v>0</v>
      </c>
      <c r="BG102">
        <v>5003.16129032258</v>
      </c>
      <c r="BH102">
        <v>2.074510967741935</v>
      </c>
      <c r="BI102">
        <v>779.6018387096775</v>
      </c>
      <c r="BJ102">
        <v>1.487726129032258</v>
      </c>
      <c r="BK102">
        <v>500.2961935483872</v>
      </c>
      <c r="BL102">
        <v>498.3531290322581</v>
      </c>
      <c r="BM102">
        <v>0.870828129032258</v>
      </c>
      <c r="BN102">
        <v>493.314064516129</v>
      </c>
      <c r="BO102">
        <v>10.11148709677419</v>
      </c>
      <c r="BP102">
        <v>1.101157741935484</v>
      </c>
      <c r="BQ102">
        <v>1.013841935483871</v>
      </c>
      <c r="BR102">
        <v>8.328347096774193</v>
      </c>
      <c r="BS102">
        <v>7.116837096774195</v>
      </c>
      <c r="BT102">
        <v>0</v>
      </c>
      <c r="BU102">
        <v>0</v>
      </c>
      <c r="BV102">
        <v>0</v>
      </c>
      <c r="BW102">
        <v>28</v>
      </c>
      <c r="BX102">
        <v>45</v>
      </c>
      <c r="BY102">
        <v>1773268786.6</v>
      </c>
      <c r="BZ102" t="s">
        <v>332</v>
      </c>
      <c r="CA102">
        <v>1773268786.6</v>
      </c>
      <c r="CB102">
        <v>1773268774.1</v>
      </c>
      <c r="CC102">
        <v>2</v>
      </c>
      <c r="CD102">
        <v>0.264</v>
      </c>
      <c r="CE102">
        <v>-0.024</v>
      </c>
      <c r="CF102">
        <v>6.495</v>
      </c>
      <c r="CG102">
        <v>0.059</v>
      </c>
      <c r="CH102">
        <v>488</v>
      </c>
      <c r="CI102">
        <v>25</v>
      </c>
      <c r="CJ102">
        <v>0.48</v>
      </c>
      <c r="CK102">
        <v>0.14</v>
      </c>
      <c r="CL102">
        <v>493.314064516129</v>
      </c>
      <c r="CM102">
        <v>-1.627403225807774</v>
      </c>
      <c r="CN102">
        <v>0.1264834390495365</v>
      </c>
      <c r="CO102">
        <v>-1</v>
      </c>
      <c r="CP102">
        <v>499.9980645161291</v>
      </c>
      <c r="CQ102">
        <v>0.2418387096786246</v>
      </c>
      <c r="CR102">
        <v>0.05277275414079335</v>
      </c>
      <c r="CS102">
        <v>-1</v>
      </c>
      <c r="CT102">
        <v>0</v>
      </c>
      <c r="CU102">
        <v>0</v>
      </c>
      <c r="CV102" t="s">
        <v>333</v>
      </c>
      <c r="CW102">
        <v>3.17006</v>
      </c>
      <c r="CX102">
        <v>2.657</v>
      </c>
      <c r="CY102">
        <v>0.113933</v>
      </c>
      <c r="CZ102">
        <v>0.11484</v>
      </c>
      <c r="DA102">
        <v>0.0639605</v>
      </c>
      <c r="DB102">
        <v>0.0599816</v>
      </c>
      <c r="DC102">
        <v>21282.1</v>
      </c>
      <c r="DD102">
        <v>21791.2</v>
      </c>
      <c r="DE102">
        <v>23124.4</v>
      </c>
      <c r="DF102">
        <v>22516.7</v>
      </c>
      <c r="DG102">
        <v>32707.3</v>
      </c>
      <c r="DH102">
        <v>29851.1</v>
      </c>
      <c r="DI102">
        <v>40648.9</v>
      </c>
      <c r="DJ102">
        <v>37266.6</v>
      </c>
      <c r="DK102">
        <v>2.09516</v>
      </c>
      <c r="DL102">
        <v>1.71052</v>
      </c>
      <c r="DM102">
        <v>-0.0804603</v>
      </c>
      <c r="DN102">
        <v>0</v>
      </c>
      <c r="DO102">
        <v>26.4874</v>
      </c>
      <c r="DP102">
        <v>999.9</v>
      </c>
      <c r="DQ102">
        <v>57.2</v>
      </c>
      <c r="DR102">
        <v>31.1</v>
      </c>
      <c r="DS102">
        <v>25.8841</v>
      </c>
      <c r="DT102">
        <v>29.8601</v>
      </c>
      <c r="DU102">
        <v>11.879</v>
      </c>
      <c r="DV102">
        <v>1</v>
      </c>
      <c r="DW102">
        <v>0.230606</v>
      </c>
      <c r="DX102">
        <v>2.22401</v>
      </c>
      <c r="DY102">
        <v>20.3495</v>
      </c>
      <c r="DZ102">
        <v>5.21142</v>
      </c>
      <c r="EA102">
        <v>11.8486</v>
      </c>
      <c r="EB102">
        <v>4.96772</v>
      </c>
      <c r="EC102">
        <v>3.29206</v>
      </c>
      <c r="ED102">
        <v>879.4</v>
      </c>
      <c r="EE102">
        <v>9999</v>
      </c>
      <c r="EF102">
        <v>9999</v>
      </c>
      <c r="EG102">
        <v>81.5</v>
      </c>
      <c r="EH102">
        <v>4.9716</v>
      </c>
      <c r="EI102">
        <v>1.87192</v>
      </c>
      <c r="EJ102">
        <v>1.8691</v>
      </c>
      <c r="EK102">
        <v>1.87149</v>
      </c>
      <c r="EL102">
        <v>1.86921</v>
      </c>
      <c r="EM102">
        <v>1.86819</v>
      </c>
      <c r="EN102">
        <v>1.87001</v>
      </c>
      <c r="EO102">
        <v>1.8718</v>
      </c>
      <c r="EP102">
        <v>0</v>
      </c>
      <c r="EQ102">
        <v>0</v>
      </c>
      <c r="ER102">
        <v>0</v>
      </c>
      <c r="ES102">
        <v>0</v>
      </c>
      <c r="ET102" t="s">
        <v>334</v>
      </c>
      <c r="EU102" t="s">
        <v>335</v>
      </c>
      <c r="EV102" t="s">
        <v>336</v>
      </c>
      <c r="EW102" t="s">
        <v>336</v>
      </c>
      <c r="EX102" t="s">
        <v>336</v>
      </c>
      <c r="EY102" t="s">
        <v>336</v>
      </c>
      <c r="EZ102">
        <v>0</v>
      </c>
      <c r="FA102">
        <v>100</v>
      </c>
      <c r="FB102">
        <v>100</v>
      </c>
      <c r="FC102">
        <v>6.495</v>
      </c>
      <c r="FD102">
        <v>0.0588</v>
      </c>
      <c r="FE102">
        <v>6.495476190476325</v>
      </c>
      <c r="FF102">
        <v>0</v>
      </c>
      <c r="FG102">
        <v>0</v>
      </c>
      <c r="FH102">
        <v>0</v>
      </c>
      <c r="FI102">
        <v>0.05881499999999917</v>
      </c>
      <c r="FJ102">
        <v>0</v>
      </c>
      <c r="FK102">
        <v>0</v>
      </c>
      <c r="FL102">
        <v>0</v>
      </c>
      <c r="FM102">
        <v>-1</v>
      </c>
      <c r="FN102">
        <v>-1</v>
      </c>
      <c r="FO102">
        <v>-1</v>
      </c>
      <c r="FP102">
        <v>-1</v>
      </c>
      <c r="FQ102">
        <v>86.3</v>
      </c>
      <c r="FR102">
        <v>86.5</v>
      </c>
      <c r="FS102">
        <v>0.144043</v>
      </c>
      <c r="FT102">
        <v>4.99756</v>
      </c>
      <c r="FU102">
        <v>1.5979</v>
      </c>
      <c r="FV102">
        <v>2.14844</v>
      </c>
      <c r="FW102">
        <v>1.54785</v>
      </c>
      <c r="FX102">
        <v>2.31689</v>
      </c>
      <c r="FY102">
        <v>36.9794</v>
      </c>
      <c r="FZ102">
        <v>15.9358</v>
      </c>
      <c r="GA102">
        <v>3</v>
      </c>
      <c r="GB102">
        <v>503.752</v>
      </c>
      <c r="GC102">
        <v>357.768</v>
      </c>
      <c r="GD102">
        <v>23.4422</v>
      </c>
      <c r="GE102">
        <v>30.0801</v>
      </c>
      <c r="GF102">
        <v>30.0006</v>
      </c>
      <c r="GG102">
        <v>29.9414</v>
      </c>
      <c r="GH102">
        <v>29.9264</v>
      </c>
      <c r="GI102">
        <v>-1</v>
      </c>
      <c r="GJ102">
        <v>100</v>
      </c>
      <c r="GK102">
        <v>0</v>
      </c>
      <c r="GL102">
        <v>23.4149</v>
      </c>
      <c r="GM102">
        <v>1200</v>
      </c>
      <c r="GN102">
        <v>26.7455</v>
      </c>
      <c r="GO102">
        <v>102.312</v>
      </c>
      <c r="GP102">
        <v>97.29089999999999</v>
      </c>
    </row>
    <row r="103" spans="1:198">
      <c r="A103">
        <v>87</v>
      </c>
      <c r="B103">
        <v>1773274024.5</v>
      </c>
      <c r="C103">
        <v>5160.900000095367</v>
      </c>
      <c r="D103" t="s">
        <v>507</v>
      </c>
      <c r="E103" t="s">
        <v>508</v>
      </c>
      <c r="F103">
        <v>15</v>
      </c>
      <c r="G103">
        <v>1773274016.5</v>
      </c>
      <c r="H103">
        <f>(I103)/1000</f>
        <v>0</v>
      </c>
      <c r="I103">
        <f>1000*AY103*AG103*(AU103-AV103)/(100*AN103*(1000-AG103*AU103))</f>
        <v>0</v>
      </c>
      <c r="J103">
        <f>AY103*AG103*(AT103-AS103*(1000-AG103*AV103)/(1000-AG103*AU103))/(100*AN103)</f>
        <v>0</v>
      </c>
      <c r="K103">
        <f>AS103 - IF(AG103&gt;1, J103*AN103*100.0/(AI103), 0)</f>
        <v>0</v>
      </c>
      <c r="L103">
        <f>((R103-H103/2)*K103-J103)/(R103+H103/2)</f>
        <v>0</v>
      </c>
      <c r="M103">
        <f>L103*(AZ103+BA103)/1000.0</f>
        <v>0</v>
      </c>
      <c r="N103">
        <f>(AS103 - IF(AG103&gt;1, J103*AN103*100.0/(AI103), 0))*(AZ103+BA103)/1000.0</f>
        <v>0</v>
      </c>
      <c r="O103">
        <f>2.0/((1/Q103-1/P103)+SIGN(Q103)*SQRT((1/Q103-1/P103)*(1/Q103-1/P103) + 4*AO103/((AO103+1)*(AO103+1))*(2*1/Q103*1/P103-1/P103*1/P103)))</f>
        <v>0</v>
      </c>
      <c r="P103">
        <f>IF(LEFT(AP103,1)&lt;&gt;"0",IF(LEFT(AP103,1)="1",3.0,AQ103),$D$5+$E$5*(BG103*AZ103/($K$5*1000))+$F$5*(BG103*AZ103/($K$5*1000))*MAX(MIN(AN103,$J$5),$I$5)*MAX(MIN(AN103,$J$5),$I$5)+$G$5*MAX(MIN(AN103,$J$5),$I$5)*(BG103*AZ103/($K$5*1000))+$H$5*(BG103*AZ103/($K$5*1000))*(BG103*AZ103/($K$5*1000)))</f>
        <v>0</v>
      </c>
      <c r="Q103">
        <f>H103*(1000-(1000*0.61365*exp(17.502*U103/(240.97+U103))/(AZ103+BA103)+AU103)/2)/(1000*0.61365*exp(17.502*U103/(240.97+U103))/(AZ103+BA103)-AU103)</f>
        <v>0</v>
      </c>
      <c r="R103">
        <f>1/((AO103+1)/(O103/1.6)+1/(P103/1.37)) + AO103/((AO103+1)/(O103/1.6) + AO103/(P103/1.37))</f>
        <v>0</v>
      </c>
      <c r="S103">
        <f>(AJ103*AM103)</f>
        <v>0</v>
      </c>
      <c r="T103">
        <f>(BB103+(S103+2*0.95*5.67E-8*(((BB103+$B$7)+273)^4-(BB103+273)^4)-44100*H103)/(1.84*29.3*P103+8*0.95*5.67E-8*(BB103+273)^3))</f>
        <v>0</v>
      </c>
      <c r="U103">
        <f>($C$7*BC103+$D$7*BD103+$E$7*T103)</f>
        <v>0</v>
      </c>
      <c r="V103">
        <f>0.61365*exp(17.502*U103/(240.97+U103))</f>
        <v>0</v>
      </c>
      <c r="W103">
        <f>(X103/Y103*100)</f>
        <v>0</v>
      </c>
      <c r="X103">
        <f>AU103*(AZ103+BA103)/1000</f>
        <v>0</v>
      </c>
      <c r="Y103">
        <f>0.61365*exp(17.502*BB103/(240.97+BB103))</f>
        <v>0</v>
      </c>
      <c r="Z103">
        <f>(V103-AU103*(AZ103+BA103)/1000)</f>
        <v>0</v>
      </c>
      <c r="AA103">
        <f>(-H103*44100)</f>
        <v>0</v>
      </c>
      <c r="AB103">
        <f>2*29.3*P103*0.92*(BB103-U103)</f>
        <v>0</v>
      </c>
      <c r="AC103">
        <f>2*0.95*5.67E-8*(((BB103+$B$7)+273)^4-(U103+273)^4)</f>
        <v>0</v>
      </c>
      <c r="AD103">
        <f>S103+AC103+AA103+AB103</f>
        <v>0</v>
      </c>
      <c r="AE103">
        <v>0</v>
      </c>
      <c r="AF103">
        <v>0</v>
      </c>
      <c r="AG103">
        <f>IF(AE103*$H$13&gt;=AI103,1.0,(AI103/(AI103-AE103*$H$13)))</f>
        <v>0</v>
      </c>
      <c r="AH103">
        <f>(AG103-1)*100</f>
        <v>0</v>
      </c>
      <c r="AI103">
        <f>MAX(0,($B$13+$C$13*BG103)/(1+$D$13*BG103)*AZ103/(BB103+273)*$E$13)</f>
        <v>0</v>
      </c>
      <c r="AJ103">
        <f>$B$11*BH103+$C$11*BI103+$D$11*BT103</f>
        <v>0</v>
      </c>
      <c r="AK103">
        <f>AJ103*AL103</f>
        <v>0</v>
      </c>
      <c r="AL103">
        <f>($B$11*$D$9+$C$11*$D$9+$D$11*(BU103*$E$9+BV103*$G$9))/($B$11+$C$11+$D$11)</f>
        <v>0</v>
      </c>
      <c r="AM103">
        <f>($B$11*$K$9+$C$11*$K$9+$D$11*(BU103*$L$9+BV103*$N$9))/($B$11+$C$11+$D$11)</f>
        <v>0</v>
      </c>
      <c r="AN103">
        <v>3</v>
      </c>
      <c r="AO103">
        <v>0.5</v>
      </c>
      <c r="AP103" t="s">
        <v>331</v>
      </c>
      <c r="AQ103">
        <v>2</v>
      </c>
      <c r="AR103">
        <v>1773274016.5</v>
      </c>
      <c r="AS103">
        <v>494.1791612903226</v>
      </c>
      <c r="AT103">
        <v>492.6493870967742</v>
      </c>
      <c r="AU103">
        <v>11.03514193548387</v>
      </c>
      <c r="AV103">
        <v>10.16827741935484</v>
      </c>
      <c r="AW103">
        <v>487.6836451612903</v>
      </c>
      <c r="AX103">
        <v>10.97632580645161</v>
      </c>
      <c r="AY103">
        <v>499.9992258064516</v>
      </c>
      <c r="AZ103">
        <v>100.2685483870968</v>
      </c>
      <c r="BA103">
        <v>0.03563304838709678</v>
      </c>
      <c r="BB103">
        <v>25.00189677419355</v>
      </c>
      <c r="BC103">
        <v>25.17732580645161</v>
      </c>
      <c r="BD103">
        <v>999.9000000000003</v>
      </c>
      <c r="BE103">
        <v>0</v>
      </c>
      <c r="BF103">
        <v>0</v>
      </c>
      <c r="BG103">
        <v>5000.83870967742</v>
      </c>
      <c r="BH103">
        <v>2.024107741935484</v>
      </c>
      <c r="BI103">
        <v>773.8518387096775</v>
      </c>
      <c r="BJ103">
        <v>1.529794838709677</v>
      </c>
      <c r="BK103">
        <v>499.6933870967742</v>
      </c>
      <c r="BL103">
        <v>497.7101935483871</v>
      </c>
      <c r="BM103">
        <v>0.8668550967741936</v>
      </c>
      <c r="BN103">
        <v>492.6493870967742</v>
      </c>
      <c r="BO103">
        <v>10.16827741935484</v>
      </c>
      <c r="BP103">
        <v>1.106478064516129</v>
      </c>
      <c r="BQ103">
        <v>1.019559032258065</v>
      </c>
      <c r="BR103">
        <v>8.399392580645161</v>
      </c>
      <c r="BS103">
        <v>7.198918709677421</v>
      </c>
      <c r="BT103">
        <v>0</v>
      </c>
      <c r="BU103">
        <v>0</v>
      </c>
      <c r="BV103">
        <v>0</v>
      </c>
      <c r="BW103">
        <v>28</v>
      </c>
      <c r="BX103">
        <v>44.12903225806452</v>
      </c>
      <c r="BY103">
        <v>1773268786.6</v>
      </c>
      <c r="BZ103" t="s">
        <v>332</v>
      </c>
      <c r="CA103">
        <v>1773268786.6</v>
      </c>
      <c r="CB103">
        <v>1773268774.1</v>
      </c>
      <c r="CC103">
        <v>2</v>
      </c>
      <c r="CD103">
        <v>0.264</v>
      </c>
      <c r="CE103">
        <v>-0.024</v>
      </c>
      <c r="CF103">
        <v>6.495</v>
      </c>
      <c r="CG103">
        <v>0.059</v>
      </c>
      <c r="CH103">
        <v>488</v>
      </c>
      <c r="CI103">
        <v>25</v>
      </c>
      <c r="CJ103">
        <v>0.48</v>
      </c>
      <c r="CK103">
        <v>0.14</v>
      </c>
      <c r="CL103">
        <v>492.6500666666667</v>
      </c>
      <c r="CM103">
        <v>-0.6895127919908542</v>
      </c>
      <c r="CN103">
        <v>0.05372270366324631</v>
      </c>
      <c r="CO103">
        <v>-1</v>
      </c>
      <c r="CP103">
        <v>500.0006666666667</v>
      </c>
      <c r="CQ103">
        <v>0.17512791991105</v>
      </c>
      <c r="CR103">
        <v>0.04891307482553887</v>
      </c>
      <c r="CS103">
        <v>-1</v>
      </c>
      <c r="CT103">
        <v>0</v>
      </c>
      <c r="CU103">
        <v>0</v>
      </c>
      <c r="CV103" t="s">
        <v>333</v>
      </c>
      <c r="CW103">
        <v>3.17008</v>
      </c>
      <c r="CX103">
        <v>2.65678</v>
      </c>
      <c r="CY103">
        <v>0.113809</v>
      </c>
      <c r="CZ103">
        <v>0.114731</v>
      </c>
      <c r="DA103">
        <v>0.0642142</v>
      </c>
      <c r="DB103">
        <v>0.0602654</v>
      </c>
      <c r="DC103">
        <v>21282.3</v>
      </c>
      <c r="DD103">
        <v>21791.6</v>
      </c>
      <c r="DE103">
        <v>23121.7</v>
      </c>
      <c r="DF103">
        <v>22514.6</v>
      </c>
      <c r="DG103">
        <v>32694.9</v>
      </c>
      <c r="DH103">
        <v>29839.1</v>
      </c>
      <c r="DI103">
        <v>40644.8</v>
      </c>
      <c r="DJ103">
        <v>37263</v>
      </c>
      <c r="DK103">
        <v>2.09414</v>
      </c>
      <c r="DL103">
        <v>1.70942</v>
      </c>
      <c r="DM103">
        <v>-0.08603329999999999</v>
      </c>
      <c r="DN103">
        <v>0</v>
      </c>
      <c r="DO103">
        <v>26.5852</v>
      </c>
      <c r="DP103">
        <v>999.9</v>
      </c>
      <c r="DQ103">
        <v>57</v>
      </c>
      <c r="DR103">
        <v>31.2</v>
      </c>
      <c r="DS103">
        <v>25.9397</v>
      </c>
      <c r="DT103">
        <v>30.0401</v>
      </c>
      <c r="DU103">
        <v>11.9511</v>
      </c>
      <c r="DV103">
        <v>1</v>
      </c>
      <c r="DW103">
        <v>0.236496</v>
      </c>
      <c r="DX103">
        <v>2.1944</v>
      </c>
      <c r="DY103">
        <v>20.35</v>
      </c>
      <c r="DZ103">
        <v>5.21082</v>
      </c>
      <c r="EA103">
        <v>11.8495</v>
      </c>
      <c r="EB103">
        <v>4.96792</v>
      </c>
      <c r="EC103">
        <v>3.29206</v>
      </c>
      <c r="ED103">
        <v>879.4</v>
      </c>
      <c r="EE103">
        <v>9999</v>
      </c>
      <c r="EF103">
        <v>9999</v>
      </c>
      <c r="EG103">
        <v>81.5</v>
      </c>
      <c r="EH103">
        <v>4.97159</v>
      </c>
      <c r="EI103">
        <v>1.87191</v>
      </c>
      <c r="EJ103">
        <v>1.86913</v>
      </c>
      <c r="EK103">
        <v>1.87149</v>
      </c>
      <c r="EL103">
        <v>1.86922</v>
      </c>
      <c r="EM103">
        <v>1.86818</v>
      </c>
      <c r="EN103">
        <v>1.86999</v>
      </c>
      <c r="EO103">
        <v>1.8718</v>
      </c>
      <c r="EP103">
        <v>0</v>
      </c>
      <c r="EQ103">
        <v>0</v>
      </c>
      <c r="ER103">
        <v>0</v>
      </c>
      <c r="ES103">
        <v>0</v>
      </c>
      <c r="ET103" t="s">
        <v>334</v>
      </c>
      <c r="EU103" t="s">
        <v>335</v>
      </c>
      <c r="EV103" t="s">
        <v>336</v>
      </c>
      <c r="EW103" t="s">
        <v>336</v>
      </c>
      <c r="EX103" t="s">
        <v>336</v>
      </c>
      <c r="EY103" t="s">
        <v>336</v>
      </c>
      <c r="EZ103">
        <v>0</v>
      </c>
      <c r="FA103">
        <v>100</v>
      </c>
      <c r="FB103">
        <v>100</v>
      </c>
      <c r="FC103">
        <v>6.496</v>
      </c>
      <c r="FD103">
        <v>0.0588</v>
      </c>
      <c r="FE103">
        <v>6.495476190476325</v>
      </c>
      <c r="FF103">
        <v>0</v>
      </c>
      <c r="FG103">
        <v>0</v>
      </c>
      <c r="FH103">
        <v>0</v>
      </c>
      <c r="FI103">
        <v>0.05881499999999917</v>
      </c>
      <c r="FJ103">
        <v>0</v>
      </c>
      <c r="FK103">
        <v>0</v>
      </c>
      <c r="FL103">
        <v>0</v>
      </c>
      <c r="FM103">
        <v>-1</v>
      </c>
      <c r="FN103">
        <v>-1</v>
      </c>
      <c r="FO103">
        <v>-1</v>
      </c>
      <c r="FP103">
        <v>-1</v>
      </c>
      <c r="FQ103">
        <v>87.3</v>
      </c>
      <c r="FR103">
        <v>87.5</v>
      </c>
      <c r="FS103">
        <v>0.144043</v>
      </c>
      <c r="FT103">
        <v>4.99756</v>
      </c>
      <c r="FU103">
        <v>1.5979</v>
      </c>
      <c r="FV103">
        <v>2.14844</v>
      </c>
      <c r="FW103">
        <v>1.54785</v>
      </c>
      <c r="FX103">
        <v>2.40112</v>
      </c>
      <c r="FY103">
        <v>37.1225</v>
      </c>
      <c r="FZ103">
        <v>15.9445</v>
      </c>
      <c r="GA103">
        <v>3</v>
      </c>
      <c r="GB103">
        <v>503.669</v>
      </c>
      <c r="GC103">
        <v>357.565</v>
      </c>
      <c r="GD103">
        <v>23.2785</v>
      </c>
      <c r="GE103">
        <v>30.152</v>
      </c>
      <c r="GF103">
        <v>30.0004</v>
      </c>
      <c r="GG103">
        <v>30.0077</v>
      </c>
      <c r="GH103">
        <v>29.9918</v>
      </c>
      <c r="GI103">
        <v>-1</v>
      </c>
      <c r="GJ103">
        <v>100</v>
      </c>
      <c r="GK103">
        <v>0</v>
      </c>
      <c r="GL103">
        <v>23.4337</v>
      </c>
      <c r="GM103">
        <v>1200</v>
      </c>
      <c r="GN103">
        <v>26.7455</v>
      </c>
      <c r="GO103">
        <v>102.301</v>
      </c>
      <c r="GP103">
        <v>97.2816</v>
      </c>
    </row>
    <row r="104" spans="1:198">
      <c r="A104">
        <v>88</v>
      </c>
      <c r="B104">
        <v>1773274084.5</v>
      </c>
      <c r="C104">
        <v>5220.900000095367</v>
      </c>
      <c r="D104" t="s">
        <v>509</v>
      </c>
      <c r="E104" t="s">
        <v>510</v>
      </c>
      <c r="F104">
        <v>15</v>
      </c>
      <c r="G104">
        <v>1773274076.5</v>
      </c>
      <c r="H104">
        <f>(I104)/1000</f>
        <v>0</v>
      </c>
      <c r="I104">
        <f>1000*AY104*AG104*(AU104-AV104)/(100*AN104*(1000-AG104*AU104))</f>
        <v>0</v>
      </c>
      <c r="J104">
        <f>AY104*AG104*(AT104-AS104*(1000-AG104*AV104)/(1000-AG104*AU104))/(100*AN104)</f>
        <v>0</v>
      </c>
      <c r="K104">
        <f>AS104 - IF(AG104&gt;1, J104*AN104*100.0/(AI104), 0)</f>
        <v>0</v>
      </c>
      <c r="L104">
        <f>((R104-H104/2)*K104-J104)/(R104+H104/2)</f>
        <v>0</v>
      </c>
      <c r="M104">
        <f>L104*(AZ104+BA104)/1000.0</f>
        <v>0</v>
      </c>
      <c r="N104">
        <f>(AS104 - IF(AG104&gt;1, J104*AN104*100.0/(AI104), 0))*(AZ104+BA104)/1000.0</f>
        <v>0</v>
      </c>
      <c r="O104">
        <f>2.0/((1/Q104-1/P104)+SIGN(Q104)*SQRT((1/Q104-1/P104)*(1/Q104-1/P104) + 4*AO104/((AO104+1)*(AO104+1))*(2*1/Q104*1/P104-1/P104*1/P104)))</f>
        <v>0</v>
      </c>
      <c r="P104">
        <f>IF(LEFT(AP104,1)&lt;&gt;"0",IF(LEFT(AP104,1)="1",3.0,AQ104),$D$5+$E$5*(BG104*AZ104/($K$5*1000))+$F$5*(BG104*AZ104/($K$5*1000))*MAX(MIN(AN104,$J$5),$I$5)*MAX(MIN(AN104,$J$5),$I$5)+$G$5*MAX(MIN(AN104,$J$5),$I$5)*(BG104*AZ104/($K$5*1000))+$H$5*(BG104*AZ104/($K$5*1000))*(BG104*AZ104/($K$5*1000)))</f>
        <v>0</v>
      </c>
      <c r="Q104">
        <f>H104*(1000-(1000*0.61365*exp(17.502*U104/(240.97+U104))/(AZ104+BA104)+AU104)/2)/(1000*0.61365*exp(17.502*U104/(240.97+U104))/(AZ104+BA104)-AU104)</f>
        <v>0</v>
      </c>
      <c r="R104">
        <f>1/((AO104+1)/(O104/1.6)+1/(P104/1.37)) + AO104/((AO104+1)/(O104/1.6) + AO104/(P104/1.37))</f>
        <v>0</v>
      </c>
      <c r="S104">
        <f>(AJ104*AM104)</f>
        <v>0</v>
      </c>
      <c r="T104">
        <f>(BB104+(S104+2*0.95*5.67E-8*(((BB104+$B$7)+273)^4-(BB104+273)^4)-44100*H104)/(1.84*29.3*P104+8*0.95*5.67E-8*(BB104+273)^3))</f>
        <v>0</v>
      </c>
      <c r="U104">
        <f>($C$7*BC104+$D$7*BD104+$E$7*T104)</f>
        <v>0</v>
      </c>
      <c r="V104">
        <f>0.61365*exp(17.502*U104/(240.97+U104))</f>
        <v>0</v>
      </c>
      <c r="W104">
        <f>(X104/Y104*100)</f>
        <v>0</v>
      </c>
      <c r="X104">
        <f>AU104*(AZ104+BA104)/1000</f>
        <v>0</v>
      </c>
      <c r="Y104">
        <f>0.61365*exp(17.502*BB104/(240.97+BB104))</f>
        <v>0</v>
      </c>
      <c r="Z104">
        <f>(V104-AU104*(AZ104+BA104)/1000)</f>
        <v>0</v>
      </c>
      <c r="AA104">
        <f>(-H104*44100)</f>
        <v>0</v>
      </c>
      <c r="AB104">
        <f>2*29.3*P104*0.92*(BB104-U104)</f>
        <v>0</v>
      </c>
      <c r="AC104">
        <f>2*0.95*5.67E-8*(((BB104+$B$7)+273)^4-(U104+273)^4)</f>
        <v>0</v>
      </c>
      <c r="AD104">
        <f>S104+AC104+AA104+AB104</f>
        <v>0</v>
      </c>
      <c r="AE104">
        <v>0</v>
      </c>
      <c r="AF104">
        <v>0</v>
      </c>
      <c r="AG104">
        <f>IF(AE104*$H$13&gt;=AI104,1.0,(AI104/(AI104-AE104*$H$13)))</f>
        <v>0</v>
      </c>
      <c r="AH104">
        <f>(AG104-1)*100</f>
        <v>0</v>
      </c>
      <c r="AI104">
        <f>MAX(0,($B$13+$C$13*BG104)/(1+$D$13*BG104)*AZ104/(BB104+273)*$E$13)</f>
        <v>0</v>
      </c>
      <c r="AJ104">
        <f>$B$11*BH104+$C$11*BI104+$D$11*BT104</f>
        <v>0</v>
      </c>
      <c r="AK104">
        <f>AJ104*AL104</f>
        <v>0</v>
      </c>
      <c r="AL104">
        <f>($B$11*$D$9+$C$11*$D$9+$D$11*(BU104*$E$9+BV104*$G$9))/($B$11+$C$11+$D$11)</f>
        <v>0</v>
      </c>
      <c r="AM104">
        <f>($B$11*$K$9+$C$11*$K$9+$D$11*(BU104*$L$9+BV104*$N$9))/($B$11+$C$11+$D$11)</f>
        <v>0</v>
      </c>
      <c r="AN104">
        <v>3</v>
      </c>
      <c r="AO104">
        <v>0.5</v>
      </c>
      <c r="AP104" t="s">
        <v>331</v>
      </c>
      <c r="AQ104">
        <v>2</v>
      </c>
      <c r="AR104">
        <v>1773274076.5</v>
      </c>
      <c r="AS104">
        <v>494.0127096774194</v>
      </c>
      <c r="AT104">
        <v>492.5588387096774</v>
      </c>
      <c r="AU104">
        <v>11.1296</v>
      </c>
      <c r="AV104">
        <v>10.26532903225807</v>
      </c>
      <c r="AW104">
        <v>487.5174193548387</v>
      </c>
      <c r="AX104">
        <v>11.0707935483871</v>
      </c>
      <c r="AY104">
        <v>500.0056774193548</v>
      </c>
      <c r="AZ104">
        <v>100.2704516129032</v>
      </c>
      <c r="BA104">
        <v>0.03593644193548386</v>
      </c>
      <c r="BB104">
        <v>25.00619677419355</v>
      </c>
      <c r="BC104">
        <v>25.19762580645161</v>
      </c>
      <c r="BD104">
        <v>999.9000000000003</v>
      </c>
      <c r="BE104">
        <v>0</v>
      </c>
      <c r="BF104">
        <v>0</v>
      </c>
      <c r="BG104">
        <v>5006.677419354839</v>
      </c>
      <c r="BH104">
        <v>2.009774838709678</v>
      </c>
      <c r="BI104">
        <v>783.727870967742</v>
      </c>
      <c r="BJ104">
        <v>1.45403064516129</v>
      </c>
      <c r="BK104">
        <v>499.572870967742</v>
      </c>
      <c r="BL104">
        <v>497.6674193548386</v>
      </c>
      <c r="BM104">
        <v>0.8642693870967741</v>
      </c>
      <c r="BN104">
        <v>492.5588387096774</v>
      </c>
      <c r="BO104">
        <v>10.26532903225807</v>
      </c>
      <c r="BP104">
        <v>1.115968709677419</v>
      </c>
      <c r="BQ104">
        <v>1.029308709677419</v>
      </c>
      <c r="BR104">
        <v>8.525402903225809</v>
      </c>
      <c r="BS104">
        <v>7.337975806451613</v>
      </c>
      <c r="BT104">
        <v>0</v>
      </c>
      <c r="BU104">
        <v>0</v>
      </c>
      <c r="BV104">
        <v>0</v>
      </c>
      <c r="BW104">
        <v>28</v>
      </c>
      <c r="BX104">
        <v>44.72150322580645</v>
      </c>
      <c r="BY104">
        <v>1773268786.6</v>
      </c>
      <c r="BZ104" t="s">
        <v>332</v>
      </c>
      <c r="CA104">
        <v>1773268786.6</v>
      </c>
      <c r="CB104">
        <v>1773268774.1</v>
      </c>
      <c r="CC104">
        <v>2</v>
      </c>
      <c r="CD104">
        <v>0.264</v>
      </c>
      <c r="CE104">
        <v>-0.024</v>
      </c>
      <c r="CF104">
        <v>6.495</v>
      </c>
      <c r="CG104">
        <v>0.059</v>
      </c>
      <c r="CH104">
        <v>488</v>
      </c>
      <c r="CI104">
        <v>25</v>
      </c>
      <c r="CJ104">
        <v>0.48</v>
      </c>
      <c r="CK104">
        <v>0.14</v>
      </c>
      <c r="CL104">
        <v>492.5576666666666</v>
      </c>
      <c r="CM104">
        <v>0.2270255839828126</v>
      </c>
      <c r="CN104">
        <v>0.02653844171930087</v>
      </c>
      <c r="CO104">
        <v>-1</v>
      </c>
      <c r="CP104">
        <v>500.0084</v>
      </c>
      <c r="CQ104">
        <v>0.01073192436044233</v>
      </c>
      <c r="CR104">
        <v>0.04271502467906595</v>
      </c>
      <c r="CS104">
        <v>-1</v>
      </c>
      <c r="CT104">
        <v>0</v>
      </c>
      <c r="CU104">
        <v>0</v>
      </c>
      <c r="CV104" t="s">
        <v>333</v>
      </c>
      <c r="CW104">
        <v>3.17006</v>
      </c>
      <c r="CX104">
        <v>2.6572</v>
      </c>
      <c r="CY104">
        <v>0.113781</v>
      </c>
      <c r="CZ104">
        <v>0.114711</v>
      </c>
      <c r="DA104">
        <v>0.0646473</v>
      </c>
      <c r="DB104">
        <v>0.060725</v>
      </c>
      <c r="DC104">
        <v>21280.5</v>
      </c>
      <c r="DD104">
        <v>21790.5</v>
      </c>
      <c r="DE104">
        <v>23119.4</v>
      </c>
      <c r="DF104">
        <v>22513.1</v>
      </c>
      <c r="DG104">
        <v>32676.9</v>
      </c>
      <c r="DH104">
        <v>29822.1</v>
      </c>
      <c r="DI104">
        <v>40641.3</v>
      </c>
      <c r="DJ104">
        <v>37260.3</v>
      </c>
      <c r="DK104">
        <v>2.09368</v>
      </c>
      <c r="DL104">
        <v>1.70742</v>
      </c>
      <c r="DM104">
        <v>-0.08854869999999999</v>
      </c>
      <c r="DN104">
        <v>0</v>
      </c>
      <c r="DO104">
        <v>26.6429</v>
      </c>
      <c r="DP104">
        <v>999.9</v>
      </c>
      <c r="DQ104">
        <v>56.7</v>
      </c>
      <c r="DR104">
        <v>31.3</v>
      </c>
      <c r="DS104">
        <v>25.9496</v>
      </c>
      <c r="DT104">
        <v>29.8301</v>
      </c>
      <c r="DU104">
        <v>11.9591</v>
      </c>
      <c r="DV104">
        <v>1</v>
      </c>
      <c r="DW104">
        <v>0.240972</v>
      </c>
      <c r="DX104">
        <v>2.21236</v>
      </c>
      <c r="DY104">
        <v>20.3493</v>
      </c>
      <c r="DZ104">
        <v>5.21058</v>
      </c>
      <c r="EA104">
        <v>11.8492</v>
      </c>
      <c r="EB104">
        <v>4.96776</v>
      </c>
      <c r="EC104">
        <v>3.29206</v>
      </c>
      <c r="ED104">
        <v>879.4</v>
      </c>
      <c r="EE104">
        <v>9999</v>
      </c>
      <c r="EF104">
        <v>9999</v>
      </c>
      <c r="EG104">
        <v>81.59999999999999</v>
      </c>
      <c r="EH104">
        <v>4.97157</v>
      </c>
      <c r="EI104">
        <v>1.8719</v>
      </c>
      <c r="EJ104">
        <v>1.86909</v>
      </c>
      <c r="EK104">
        <v>1.87149</v>
      </c>
      <c r="EL104">
        <v>1.86921</v>
      </c>
      <c r="EM104">
        <v>1.86815</v>
      </c>
      <c r="EN104">
        <v>1.86997</v>
      </c>
      <c r="EO104">
        <v>1.8718</v>
      </c>
      <c r="EP104">
        <v>0</v>
      </c>
      <c r="EQ104">
        <v>0</v>
      </c>
      <c r="ER104">
        <v>0</v>
      </c>
      <c r="ES104">
        <v>0</v>
      </c>
      <c r="ET104" t="s">
        <v>334</v>
      </c>
      <c r="EU104" t="s">
        <v>335</v>
      </c>
      <c r="EV104" t="s">
        <v>336</v>
      </c>
      <c r="EW104" t="s">
        <v>336</v>
      </c>
      <c r="EX104" t="s">
        <v>336</v>
      </c>
      <c r="EY104" t="s">
        <v>336</v>
      </c>
      <c r="EZ104">
        <v>0</v>
      </c>
      <c r="FA104">
        <v>100</v>
      </c>
      <c r="FB104">
        <v>100</v>
      </c>
      <c r="FC104">
        <v>6.496</v>
      </c>
      <c r="FD104">
        <v>0.0589</v>
      </c>
      <c r="FE104">
        <v>6.495476190476325</v>
      </c>
      <c r="FF104">
        <v>0</v>
      </c>
      <c r="FG104">
        <v>0</v>
      </c>
      <c r="FH104">
        <v>0</v>
      </c>
      <c r="FI104">
        <v>0.05881499999999917</v>
      </c>
      <c r="FJ104">
        <v>0</v>
      </c>
      <c r="FK104">
        <v>0</v>
      </c>
      <c r="FL104">
        <v>0</v>
      </c>
      <c r="FM104">
        <v>-1</v>
      </c>
      <c r="FN104">
        <v>-1</v>
      </c>
      <c r="FO104">
        <v>-1</v>
      </c>
      <c r="FP104">
        <v>-1</v>
      </c>
      <c r="FQ104">
        <v>88.3</v>
      </c>
      <c r="FR104">
        <v>88.5</v>
      </c>
      <c r="FS104">
        <v>0.144043</v>
      </c>
      <c r="FT104">
        <v>4.99756</v>
      </c>
      <c r="FU104">
        <v>1.5979</v>
      </c>
      <c r="FV104">
        <v>2.14722</v>
      </c>
      <c r="FW104">
        <v>1.54785</v>
      </c>
      <c r="FX104">
        <v>2.35596</v>
      </c>
      <c r="FY104">
        <v>37.2659</v>
      </c>
      <c r="FZ104">
        <v>15.927</v>
      </c>
      <c r="GA104">
        <v>3</v>
      </c>
      <c r="GB104">
        <v>503.883</v>
      </c>
      <c r="GC104">
        <v>356.873</v>
      </c>
      <c r="GD104">
        <v>23.369</v>
      </c>
      <c r="GE104">
        <v>30.2161</v>
      </c>
      <c r="GF104">
        <v>30.0004</v>
      </c>
      <c r="GG104">
        <v>30.07</v>
      </c>
      <c r="GH104">
        <v>30.0536</v>
      </c>
      <c r="GI104">
        <v>-1</v>
      </c>
      <c r="GJ104">
        <v>100</v>
      </c>
      <c r="GK104">
        <v>0</v>
      </c>
      <c r="GL104">
        <v>23.367</v>
      </c>
      <c r="GM104">
        <v>1200</v>
      </c>
      <c r="GN104">
        <v>26.7455</v>
      </c>
      <c r="GO104">
        <v>102.291</v>
      </c>
      <c r="GP104">
        <v>97.2748</v>
      </c>
    </row>
    <row r="105" spans="1:198">
      <c r="A105">
        <v>89</v>
      </c>
      <c r="B105">
        <v>1773274144.5</v>
      </c>
      <c r="C105">
        <v>5280.900000095367</v>
      </c>
      <c r="D105" t="s">
        <v>511</v>
      </c>
      <c r="E105" t="s">
        <v>512</v>
      </c>
      <c r="F105">
        <v>15</v>
      </c>
      <c r="G105">
        <v>1773274136.5</v>
      </c>
      <c r="H105">
        <f>(I105)/1000</f>
        <v>0</v>
      </c>
      <c r="I105">
        <f>1000*AY105*AG105*(AU105-AV105)/(100*AN105*(1000-AG105*AU105))</f>
        <v>0</v>
      </c>
      <c r="J105">
        <f>AY105*AG105*(AT105-AS105*(1000-AG105*AV105)/(1000-AG105*AU105))/(100*AN105)</f>
        <v>0</v>
      </c>
      <c r="K105">
        <f>AS105 - IF(AG105&gt;1, J105*AN105*100.0/(AI105), 0)</f>
        <v>0</v>
      </c>
      <c r="L105">
        <f>((R105-H105/2)*K105-J105)/(R105+H105/2)</f>
        <v>0</v>
      </c>
      <c r="M105">
        <f>L105*(AZ105+BA105)/1000.0</f>
        <v>0</v>
      </c>
      <c r="N105">
        <f>(AS105 - IF(AG105&gt;1, J105*AN105*100.0/(AI105), 0))*(AZ105+BA105)/1000.0</f>
        <v>0</v>
      </c>
      <c r="O105">
        <f>2.0/((1/Q105-1/P105)+SIGN(Q105)*SQRT((1/Q105-1/P105)*(1/Q105-1/P105) + 4*AO105/((AO105+1)*(AO105+1))*(2*1/Q105*1/P105-1/P105*1/P105)))</f>
        <v>0</v>
      </c>
      <c r="P105">
        <f>IF(LEFT(AP105,1)&lt;&gt;"0",IF(LEFT(AP105,1)="1",3.0,AQ105),$D$5+$E$5*(BG105*AZ105/($K$5*1000))+$F$5*(BG105*AZ105/($K$5*1000))*MAX(MIN(AN105,$J$5),$I$5)*MAX(MIN(AN105,$J$5),$I$5)+$G$5*MAX(MIN(AN105,$J$5),$I$5)*(BG105*AZ105/($K$5*1000))+$H$5*(BG105*AZ105/($K$5*1000))*(BG105*AZ105/($K$5*1000)))</f>
        <v>0</v>
      </c>
      <c r="Q105">
        <f>H105*(1000-(1000*0.61365*exp(17.502*U105/(240.97+U105))/(AZ105+BA105)+AU105)/2)/(1000*0.61365*exp(17.502*U105/(240.97+U105))/(AZ105+BA105)-AU105)</f>
        <v>0</v>
      </c>
      <c r="R105">
        <f>1/((AO105+1)/(O105/1.6)+1/(P105/1.37)) + AO105/((AO105+1)/(O105/1.6) + AO105/(P105/1.37))</f>
        <v>0</v>
      </c>
      <c r="S105">
        <f>(AJ105*AM105)</f>
        <v>0</v>
      </c>
      <c r="T105">
        <f>(BB105+(S105+2*0.95*5.67E-8*(((BB105+$B$7)+273)^4-(BB105+273)^4)-44100*H105)/(1.84*29.3*P105+8*0.95*5.67E-8*(BB105+273)^3))</f>
        <v>0</v>
      </c>
      <c r="U105">
        <f>($C$7*BC105+$D$7*BD105+$E$7*T105)</f>
        <v>0</v>
      </c>
      <c r="V105">
        <f>0.61365*exp(17.502*U105/(240.97+U105))</f>
        <v>0</v>
      </c>
      <c r="W105">
        <f>(X105/Y105*100)</f>
        <v>0</v>
      </c>
      <c r="X105">
        <f>AU105*(AZ105+BA105)/1000</f>
        <v>0</v>
      </c>
      <c r="Y105">
        <f>0.61365*exp(17.502*BB105/(240.97+BB105))</f>
        <v>0</v>
      </c>
      <c r="Z105">
        <f>(V105-AU105*(AZ105+BA105)/1000)</f>
        <v>0</v>
      </c>
      <c r="AA105">
        <f>(-H105*44100)</f>
        <v>0</v>
      </c>
      <c r="AB105">
        <f>2*29.3*P105*0.92*(BB105-U105)</f>
        <v>0</v>
      </c>
      <c r="AC105">
        <f>2*0.95*5.67E-8*(((BB105+$B$7)+273)^4-(U105+273)^4)</f>
        <v>0</v>
      </c>
      <c r="AD105">
        <f>S105+AC105+AA105+AB105</f>
        <v>0</v>
      </c>
      <c r="AE105">
        <v>0</v>
      </c>
      <c r="AF105">
        <v>0</v>
      </c>
      <c r="AG105">
        <f>IF(AE105*$H$13&gt;=AI105,1.0,(AI105/(AI105-AE105*$H$13)))</f>
        <v>0</v>
      </c>
      <c r="AH105">
        <f>(AG105-1)*100</f>
        <v>0</v>
      </c>
      <c r="AI105">
        <f>MAX(0,($B$13+$C$13*BG105)/(1+$D$13*BG105)*AZ105/(BB105+273)*$E$13)</f>
        <v>0</v>
      </c>
      <c r="AJ105">
        <f>$B$11*BH105+$C$11*BI105+$D$11*BT105</f>
        <v>0</v>
      </c>
      <c r="AK105">
        <f>AJ105*AL105</f>
        <v>0</v>
      </c>
      <c r="AL105">
        <f>($B$11*$D$9+$C$11*$D$9+$D$11*(BU105*$E$9+BV105*$G$9))/($B$11+$C$11+$D$11)</f>
        <v>0</v>
      </c>
      <c r="AM105">
        <f>($B$11*$K$9+$C$11*$K$9+$D$11*(BU105*$L$9+BV105*$N$9))/($B$11+$C$11+$D$11)</f>
        <v>0</v>
      </c>
      <c r="AN105">
        <v>3</v>
      </c>
      <c r="AO105">
        <v>0.5</v>
      </c>
      <c r="AP105" t="s">
        <v>331</v>
      </c>
      <c r="AQ105">
        <v>2</v>
      </c>
      <c r="AR105">
        <v>1773274136.5</v>
      </c>
      <c r="AS105">
        <v>494.2432258064516</v>
      </c>
      <c r="AT105">
        <v>492.8227096774193</v>
      </c>
      <c r="AU105">
        <v>11.24133870967742</v>
      </c>
      <c r="AV105">
        <v>10.37583548387097</v>
      </c>
      <c r="AW105">
        <v>487.7475483870968</v>
      </c>
      <c r="AX105">
        <v>11.18252903225806</v>
      </c>
      <c r="AY105">
        <v>500.0069999999999</v>
      </c>
      <c r="AZ105">
        <v>100.2731290322581</v>
      </c>
      <c r="BA105">
        <v>0.03564463870967741</v>
      </c>
      <c r="BB105">
        <v>25.01547096774193</v>
      </c>
      <c r="BC105">
        <v>25.22728387096774</v>
      </c>
      <c r="BD105">
        <v>999.9000000000003</v>
      </c>
      <c r="BE105">
        <v>0</v>
      </c>
      <c r="BF105">
        <v>0</v>
      </c>
      <c r="BG105">
        <v>5005.903225806452</v>
      </c>
      <c r="BH105">
        <v>2.061715161290322</v>
      </c>
      <c r="BI105">
        <v>809.4219032258064</v>
      </c>
      <c r="BJ105">
        <v>1.420446774193548</v>
      </c>
      <c r="BK105">
        <v>499.8622903225806</v>
      </c>
      <c r="BL105">
        <v>497.9896774193549</v>
      </c>
      <c r="BM105">
        <v>0.865498935483871</v>
      </c>
      <c r="BN105">
        <v>492.8227096774193</v>
      </c>
      <c r="BO105">
        <v>10.37583548387097</v>
      </c>
      <c r="BP105">
        <v>1.127205806451613</v>
      </c>
      <c r="BQ105">
        <v>1.04041935483871</v>
      </c>
      <c r="BR105">
        <v>8.673357741935485</v>
      </c>
      <c r="BS105">
        <v>7.495035161290323</v>
      </c>
      <c r="BT105">
        <v>0</v>
      </c>
      <c r="BU105">
        <v>0</v>
      </c>
      <c r="BV105">
        <v>0</v>
      </c>
      <c r="BW105">
        <v>28</v>
      </c>
      <c r="BX105">
        <v>45</v>
      </c>
      <c r="BY105">
        <v>1773268786.6</v>
      </c>
      <c r="BZ105" t="s">
        <v>332</v>
      </c>
      <c r="CA105">
        <v>1773268786.6</v>
      </c>
      <c r="CB105">
        <v>1773268774.1</v>
      </c>
      <c r="CC105">
        <v>2</v>
      </c>
      <c r="CD105">
        <v>0.264</v>
      </c>
      <c r="CE105">
        <v>-0.024</v>
      </c>
      <c r="CF105">
        <v>6.495</v>
      </c>
      <c r="CG105">
        <v>0.059</v>
      </c>
      <c r="CH105">
        <v>488</v>
      </c>
      <c r="CI105">
        <v>25</v>
      </c>
      <c r="CJ105">
        <v>0.48</v>
      </c>
      <c r="CK105">
        <v>0.14</v>
      </c>
      <c r="CL105">
        <v>492.8225333333333</v>
      </c>
      <c r="CM105">
        <v>-0.05243159065579962</v>
      </c>
      <c r="CN105">
        <v>0.01251594538534434</v>
      </c>
      <c r="CO105">
        <v>-1</v>
      </c>
      <c r="CP105">
        <v>500.0064</v>
      </c>
      <c r="CQ105">
        <v>0.05280533926533351</v>
      </c>
      <c r="CR105">
        <v>0.05711310415891495</v>
      </c>
      <c r="CS105">
        <v>-1</v>
      </c>
      <c r="CT105">
        <v>0</v>
      </c>
      <c r="CU105">
        <v>0</v>
      </c>
      <c r="CV105" t="s">
        <v>333</v>
      </c>
      <c r="CW105">
        <v>3.17013</v>
      </c>
      <c r="CX105">
        <v>2.65679</v>
      </c>
      <c r="CY105">
        <v>0.113811</v>
      </c>
      <c r="CZ105">
        <v>0.114738</v>
      </c>
      <c r="DA105">
        <v>0.0651351</v>
      </c>
      <c r="DB105">
        <v>0.0612181</v>
      </c>
      <c r="DC105">
        <v>21277.2</v>
      </c>
      <c r="DD105">
        <v>21787.9</v>
      </c>
      <c r="DE105">
        <v>23116.8</v>
      </c>
      <c r="DF105">
        <v>22511.3</v>
      </c>
      <c r="DG105">
        <v>32656.4</v>
      </c>
      <c r="DH105">
        <v>29803.7</v>
      </c>
      <c r="DI105">
        <v>40637.3</v>
      </c>
      <c r="DJ105">
        <v>37257</v>
      </c>
      <c r="DK105">
        <v>2.09314</v>
      </c>
      <c r="DL105">
        <v>1.7055</v>
      </c>
      <c r="DM105">
        <v>-0.091362</v>
      </c>
      <c r="DN105">
        <v>0</v>
      </c>
      <c r="DO105">
        <v>26.7233</v>
      </c>
      <c r="DP105">
        <v>999.9</v>
      </c>
      <c r="DQ105">
        <v>56.5</v>
      </c>
      <c r="DR105">
        <v>31.4</v>
      </c>
      <c r="DS105">
        <v>26.0042</v>
      </c>
      <c r="DT105">
        <v>29.9501</v>
      </c>
      <c r="DU105">
        <v>11.9992</v>
      </c>
      <c r="DV105">
        <v>1</v>
      </c>
      <c r="DW105">
        <v>0.246724</v>
      </c>
      <c r="DX105">
        <v>2.31592</v>
      </c>
      <c r="DY105">
        <v>20.3479</v>
      </c>
      <c r="DZ105">
        <v>5.21118</v>
      </c>
      <c r="EA105">
        <v>11.85</v>
      </c>
      <c r="EB105">
        <v>4.96792</v>
      </c>
      <c r="EC105">
        <v>3.2921</v>
      </c>
      <c r="ED105">
        <v>879.4</v>
      </c>
      <c r="EE105">
        <v>9999</v>
      </c>
      <c r="EF105">
        <v>9999</v>
      </c>
      <c r="EG105">
        <v>81.59999999999999</v>
      </c>
      <c r="EH105">
        <v>4.9716</v>
      </c>
      <c r="EI105">
        <v>1.87195</v>
      </c>
      <c r="EJ105">
        <v>1.86916</v>
      </c>
      <c r="EK105">
        <v>1.8715</v>
      </c>
      <c r="EL105">
        <v>1.86931</v>
      </c>
      <c r="EM105">
        <v>1.86819</v>
      </c>
      <c r="EN105">
        <v>1.87002</v>
      </c>
      <c r="EO105">
        <v>1.8718</v>
      </c>
      <c r="EP105">
        <v>0</v>
      </c>
      <c r="EQ105">
        <v>0</v>
      </c>
      <c r="ER105">
        <v>0</v>
      </c>
      <c r="ES105">
        <v>0</v>
      </c>
      <c r="ET105" t="s">
        <v>334</v>
      </c>
      <c r="EU105" t="s">
        <v>335</v>
      </c>
      <c r="EV105" t="s">
        <v>336</v>
      </c>
      <c r="EW105" t="s">
        <v>336</v>
      </c>
      <c r="EX105" t="s">
        <v>336</v>
      </c>
      <c r="EY105" t="s">
        <v>336</v>
      </c>
      <c r="EZ105">
        <v>0</v>
      </c>
      <c r="FA105">
        <v>100</v>
      </c>
      <c r="FB105">
        <v>100</v>
      </c>
      <c r="FC105">
        <v>6.495</v>
      </c>
      <c r="FD105">
        <v>0.0588</v>
      </c>
      <c r="FE105">
        <v>6.495476190476325</v>
      </c>
      <c r="FF105">
        <v>0</v>
      </c>
      <c r="FG105">
        <v>0</v>
      </c>
      <c r="FH105">
        <v>0</v>
      </c>
      <c r="FI105">
        <v>0.05881499999999917</v>
      </c>
      <c r="FJ105">
        <v>0</v>
      </c>
      <c r="FK105">
        <v>0</v>
      </c>
      <c r="FL105">
        <v>0</v>
      </c>
      <c r="FM105">
        <v>-1</v>
      </c>
      <c r="FN105">
        <v>-1</v>
      </c>
      <c r="FO105">
        <v>-1</v>
      </c>
      <c r="FP105">
        <v>-1</v>
      </c>
      <c r="FQ105">
        <v>89.3</v>
      </c>
      <c r="FR105">
        <v>89.5</v>
      </c>
      <c r="FS105">
        <v>0.144043</v>
      </c>
      <c r="FT105">
        <v>4.99756</v>
      </c>
      <c r="FU105">
        <v>1.5979</v>
      </c>
      <c r="FV105">
        <v>2.14722</v>
      </c>
      <c r="FW105">
        <v>1.54785</v>
      </c>
      <c r="FX105">
        <v>2.37427</v>
      </c>
      <c r="FY105">
        <v>37.4338</v>
      </c>
      <c r="FZ105">
        <v>15.9182</v>
      </c>
      <c r="GA105">
        <v>3</v>
      </c>
      <c r="GB105">
        <v>504.067</v>
      </c>
      <c r="GC105">
        <v>356.239</v>
      </c>
      <c r="GD105">
        <v>23.3557</v>
      </c>
      <c r="GE105">
        <v>30.2813</v>
      </c>
      <c r="GF105">
        <v>30.0006</v>
      </c>
      <c r="GG105">
        <v>30.1344</v>
      </c>
      <c r="GH105">
        <v>30.1182</v>
      </c>
      <c r="GI105">
        <v>-1</v>
      </c>
      <c r="GJ105">
        <v>100</v>
      </c>
      <c r="GK105">
        <v>0</v>
      </c>
      <c r="GL105">
        <v>23.3357</v>
      </c>
      <c r="GM105">
        <v>1200</v>
      </c>
      <c r="GN105">
        <v>26.7455</v>
      </c>
      <c r="GO105">
        <v>102.281</v>
      </c>
      <c r="GP105">
        <v>97.2666</v>
      </c>
    </row>
    <row r="106" spans="1:198">
      <c r="A106">
        <v>90</v>
      </c>
      <c r="B106">
        <v>1773274204.5</v>
      </c>
      <c r="C106">
        <v>5340.900000095367</v>
      </c>
      <c r="D106" t="s">
        <v>513</v>
      </c>
      <c r="E106" t="s">
        <v>514</v>
      </c>
      <c r="F106">
        <v>15</v>
      </c>
      <c r="G106">
        <v>1773274196.5</v>
      </c>
      <c r="H106">
        <f>(I106)/1000</f>
        <v>0</v>
      </c>
      <c r="I106">
        <f>1000*AY106*AG106*(AU106-AV106)/(100*AN106*(1000-AG106*AU106))</f>
        <v>0</v>
      </c>
      <c r="J106">
        <f>AY106*AG106*(AT106-AS106*(1000-AG106*AV106)/(1000-AG106*AU106))/(100*AN106)</f>
        <v>0</v>
      </c>
      <c r="K106">
        <f>AS106 - IF(AG106&gt;1, J106*AN106*100.0/(AI106), 0)</f>
        <v>0</v>
      </c>
      <c r="L106">
        <f>((R106-H106/2)*K106-J106)/(R106+H106/2)</f>
        <v>0</v>
      </c>
      <c r="M106">
        <f>L106*(AZ106+BA106)/1000.0</f>
        <v>0</v>
      </c>
      <c r="N106">
        <f>(AS106 - IF(AG106&gt;1, J106*AN106*100.0/(AI106), 0))*(AZ106+BA106)/1000.0</f>
        <v>0</v>
      </c>
      <c r="O106">
        <f>2.0/((1/Q106-1/P106)+SIGN(Q106)*SQRT((1/Q106-1/P106)*(1/Q106-1/P106) + 4*AO106/((AO106+1)*(AO106+1))*(2*1/Q106*1/P106-1/P106*1/P106)))</f>
        <v>0</v>
      </c>
      <c r="P106">
        <f>IF(LEFT(AP106,1)&lt;&gt;"0",IF(LEFT(AP106,1)="1",3.0,AQ106),$D$5+$E$5*(BG106*AZ106/($K$5*1000))+$F$5*(BG106*AZ106/($K$5*1000))*MAX(MIN(AN106,$J$5),$I$5)*MAX(MIN(AN106,$J$5),$I$5)+$G$5*MAX(MIN(AN106,$J$5),$I$5)*(BG106*AZ106/($K$5*1000))+$H$5*(BG106*AZ106/($K$5*1000))*(BG106*AZ106/($K$5*1000)))</f>
        <v>0</v>
      </c>
      <c r="Q106">
        <f>H106*(1000-(1000*0.61365*exp(17.502*U106/(240.97+U106))/(AZ106+BA106)+AU106)/2)/(1000*0.61365*exp(17.502*U106/(240.97+U106))/(AZ106+BA106)-AU106)</f>
        <v>0</v>
      </c>
      <c r="R106">
        <f>1/((AO106+1)/(O106/1.6)+1/(P106/1.37)) + AO106/((AO106+1)/(O106/1.6) + AO106/(P106/1.37))</f>
        <v>0</v>
      </c>
      <c r="S106">
        <f>(AJ106*AM106)</f>
        <v>0</v>
      </c>
      <c r="T106">
        <f>(BB106+(S106+2*0.95*5.67E-8*(((BB106+$B$7)+273)^4-(BB106+273)^4)-44100*H106)/(1.84*29.3*P106+8*0.95*5.67E-8*(BB106+273)^3))</f>
        <v>0</v>
      </c>
      <c r="U106">
        <f>($C$7*BC106+$D$7*BD106+$E$7*T106)</f>
        <v>0</v>
      </c>
      <c r="V106">
        <f>0.61365*exp(17.502*U106/(240.97+U106))</f>
        <v>0</v>
      </c>
      <c r="W106">
        <f>(X106/Y106*100)</f>
        <v>0</v>
      </c>
      <c r="X106">
        <f>AU106*(AZ106+BA106)/1000</f>
        <v>0</v>
      </c>
      <c r="Y106">
        <f>0.61365*exp(17.502*BB106/(240.97+BB106))</f>
        <v>0</v>
      </c>
      <c r="Z106">
        <f>(V106-AU106*(AZ106+BA106)/1000)</f>
        <v>0</v>
      </c>
      <c r="AA106">
        <f>(-H106*44100)</f>
        <v>0</v>
      </c>
      <c r="AB106">
        <f>2*29.3*P106*0.92*(BB106-U106)</f>
        <v>0</v>
      </c>
      <c r="AC106">
        <f>2*0.95*5.67E-8*(((BB106+$B$7)+273)^4-(U106+273)^4)</f>
        <v>0</v>
      </c>
      <c r="AD106">
        <f>S106+AC106+AA106+AB106</f>
        <v>0</v>
      </c>
      <c r="AE106">
        <v>0</v>
      </c>
      <c r="AF106">
        <v>0</v>
      </c>
      <c r="AG106">
        <f>IF(AE106*$H$13&gt;=AI106,1.0,(AI106/(AI106-AE106*$H$13)))</f>
        <v>0</v>
      </c>
      <c r="AH106">
        <f>(AG106-1)*100</f>
        <v>0</v>
      </c>
      <c r="AI106">
        <f>MAX(0,($B$13+$C$13*BG106)/(1+$D$13*BG106)*AZ106/(BB106+273)*$E$13)</f>
        <v>0</v>
      </c>
      <c r="AJ106">
        <f>$B$11*BH106+$C$11*BI106+$D$11*BT106</f>
        <v>0</v>
      </c>
      <c r="AK106">
        <f>AJ106*AL106</f>
        <v>0</v>
      </c>
      <c r="AL106">
        <f>($B$11*$D$9+$C$11*$D$9+$D$11*(BU106*$E$9+BV106*$G$9))/($B$11+$C$11+$D$11)</f>
        <v>0</v>
      </c>
      <c r="AM106">
        <f>($B$11*$K$9+$C$11*$K$9+$D$11*(BU106*$L$9+BV106*$N$9))/($B$11+$C$11+$D$11)</f>
        <v>0</v>
      </c>
      <c r="AN106">
        <v>3</v>
      </c>
      <c r="AO106">
        <v>0.5</v>
      </c>
      <c r="AP106" t="s">
        <v>331</v>
      </c>
      <c r="AQ106">
        <v>2</v>
      </c>
      <c r="AR106">
        <v>1773274196.5</v>
      </c>
      <c r="AS106">
        <v>490.2635483870967</v>
      </c>
      <c r="AT106">
        <v>489.0244193548388</v>
      </c>
      <c r="AU106">
        <v>11.3436</v>
      </c>
      <c r="AV106">
        <v>10.47882258064516</v>
      </c>
      <c r="AW106">
        <v>483.768064516129</v>
      </c>
      <c r="AX106">
        <v>11.28478064516129</v>
      </c>
      <c r="AY106">
        <v>500.0036451612903</v>
      </c>
      <c r="AZ106">
        <v>100.2730967741935</v>
      </c>
      <c r="BA106">
        <v>0.03583458387096774</v>
      </c>
      <c r="BB106">
        <v>25.0070935483871</v>
      </c>
      <c r="BC106">
        <v>25.22715806451613</v>
      </c>
      <c r="BD106">
        <v>999.9000000000003</v>
      </c>
      <c r="BE106">
        <v>0</v>
      </c>
      <c r="BF106">
        <v>0</v>
      </c>
      <c r="BG106">
        <v>4997.83870967742</v>
      </c>
      <c r="BH106">
        <v>2.074969032258065</v>
      </c>
      <c r="BI106">
        <v>826.4306451612905</v>
      </c>
      <c r="BJ106">
        <v>1.239273774193549</v>
      </c>
      <c r="BK106">
        <v>495.8888064516129</v>
      </c>
      <c r="BL106">
        <v>494.202870967742</v>
      </c>
      <c r="BM106">
        <v>0.8647753870967744</v>
      </c>
      <c r="BN106">
        <v>489.0244193548388</v>
      </c>
      <c r="BO106">
        <v>10.47882258064516</v>
      </c>
      <c r="BP106">
        <v>1.137458709677419</v>
      </c>
      <c r="BQ106">
        <v>1.050745483870968</v>
      </c>
      <c r="BR106">
        <v>8.807241612903224</v>
      </c>
      <c r="BS106">
        <v>7.639685806451613</v>
      </c>
      <c r="BT106">
        <v>0</v>
      </c>
      <c r="BU106">
        <v>0</v>
      </c>
      <c r="BV106">
        <v>0</v>
      </c>
      <c r="BW106">
        <v>28</v>
      </c>
      <c r="BX106">
        <v>45.86989032258064</v>
      </c>
      <c r="BY106">
        <v>1773268786.6</v>
      </c>
      <c r="BZ106" t="s">
        <v>332</v>
      </c>
      <c r="CA106">
        <v>1773268786.6</v>
      </c>
      <c r="CB106">
        <v>1773268774.1</v>
      </c>
      <c r="CC106">
        <v>2</v>
      </c>
      <c r="CD106">
        <v>0.264</v>
      </c>
      <c r="CE106">
        <v>-0.024</v>
      </c>
      <c r="CF106">
        <v>6.495</v>
      </c>
      <c r="CG106">
        <v>0.059</v>
      </c>
      <c r="CH106">
        <v>488</v>
      </c>
      <c r="CI106">
        <v>25</v>
      </c>
      <c r="CJ106">
        <v>0.48</v>
      </c>
      <c r="CK106">
        <v>0.14</v>
      </c>
      <c r="CL106">
        <v>489.0183333333334</v>
      </c>
      <c r="CM106">
        <v>4.286522803114083</v>
      </c>
      <c r="CN106">
        <v>0.3470597771117906</v>
      </c>
      <c r="CO106">
        <v>-1</v>
      </c>
      <c r="CP106">
        <v>500.005</v>
      </c>
      <c r="CQ106">
        <v>0.0906073414905538</v>
      </c>
      <c r="CR106">
        <v>0.05666627450844861</v>
      </c>
      <c r="CS106">
        <v>-1</v>
      </c>
      <c r="CT106">
        <v>0</v>
      </c>
      <c r="CU106">
        <v>0</v>
      </c>
      <c r="CV106" t="s">
        <v>333</v>
      </c>
      <c r="CW106">
        <v>3.17015</v>
      </c>
      <c r="CX106">
        <v>2.65701</v>
      </c>
      <c r="CY106">
        <v>0.113149</v>
      </c>
      <c r="CZ106">
        <v>0.114096</v>
      </c>
      <c r="DA106">
        <v>0.06558849999999999</v>
      </c>
      <c r="DB106">
        <v>0.0616908</v>
      </c>
      <c r="DC106">
        <v>21290.1</v>
      </c>
      <c r="DD106">
        <v>21801.7</v>
      </c>
      <c r="DE106">
        <v>23113.9</v>
      </c>
      <c r="DF106">
        <v>22509.5</v>
      </c>
      <c r="DG106">
        <v>32636.7</v>
      </c>
      <c r="DH106">
        <v>29786.1</v>
      </c>
      <c r="DI106">
        <v>40632.7</v>
      </c>
      <c r="DJ106">
        <v>37254</v>
      </c>
      <c r="DK106">
        <v>2.0927</v>
      </c>
      <c r="DL106">
        <v>1.70458</v>
      </c>
      <c r="DM106">
        <v>-0.0941992</v>
      </c>
      <c r="DN106">
        <v>0</v>
      </c>
      <c r="DO106">
        <v>26.7718</v>
      </c>
      <c r="DP106">
        <v>999.9</v>
      </c>
      <c r="DQ106">
        <v>55.9</v>
      </c>
      <c r="DR106">
        <v>31.5</v>
      </c>
      <c r="DS106">
        <v>25.8755</v>
      </c>
      <c r="DT106">
        <v>30.4001</v>
      </c>
      <c r="DU106">
        <v>12.0353</v>
      </c>
      <c r="DV106">
        <v>1</v>
      </c>
      <c r="DW106">
        <v>0.252026</v>
      </c>
      <c r="DX106">
        <v>2.37247</v>
      </c>
      <c r="DY106">
        <v>20.3468</v>
      </c>
      <c r="DZ106">
        <v>5.21058</v>
      </c>
      <c r="EA106">
        <v>11.8485</v>
      </c>
      <c r="EB106">
        <v>4.96784</v>
      </c>
      <c r="EC106">
        <v>3.29208</v>
      </c>
      <c r="ED106">
        <v>879.4</v>
      </c>
      <c r="EE106">
        <v>9999</v>
      </c>
      <c r="EF106">
        <v>9999</v>
      </c>
      <c r="EG106">
        <v>81.59999999999999</v>
      </c>
      <c r="EH106">
        <v>4.97158</v>
      </c>
      <c r="EI106">
        <v>1.87192</v>
      </c>
      <c r="EJ106">
        <v>1.86913</v>
      </c>
      <c r="EK106">
        <v>1.87149</v>
      </c>
      <c r="EL106">
        <v>1.86925</v>
      </c>
      <c r="EM106">
        <v>1.86815</v>
      </c>
      <c r="EN106">
        <v>1.86999</v>
      </c>
      <c r="EO106">
        <v>1.8718</v>
      </c>
      <c r="EP106">
        <v>0</v>
      </c>
      <c r="EQ106">
        <v>0</v>
      </c>
      <c r="ER106">
        <v>0</v>
      </c>
      <c r="ES106">
        <v>0</v>
      </c>
      <c r="ET106" t="s">
        <v>334</v>
      </c>
      <c r="EU106" t="s">
        <v>335</v>
      </c>
      <c r="EV106" t="s">
        <v>336</v>
      </c>
      <c r="EW106" t="s">
        <v>336</v>
      </c>
      <c r="EX106" t="s">
        <v>336</v>
      </c>
      <c r="EY106" t="s">
        <v>336</v>
      </c>
      <c r="EZ106">
        <v>0</v>
      </c>
      <c r="FA106">
        <v>100</v>
      </c>
      <c r="FB106">
        <v>100</v>
      </c>
      <c r="FC106">
        <v>6.495</v>
      </c>
      <c r="FD106">
        <v>0.0589</v>
      </c>
      <c r="FE106">
        <v>6.495476190476325</v>
      </c>
      <c r="FF106">
        <v>0</v>
      </c>
      <c r="FG106">
        <v>0</v>
      </c>
      <c r="FH106">
        <v>0</v>
      </c>
      <c r="FI106">
        <v>0.05881499999999917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90.3</v>
      </c>
      <c r="FR106">
        <v>90.5</v>
      </c>
      <c r="FS106">
        <v>0.144043</v>
      </c>
      <c r="FT106">
        <v>4.99756</v>
      </c>
      <c r="FU106">
        <v>1.5979</v>
      </c>
      <c r="FV106">
        <v>2.14722</v>
      </c>
      <c r="FW106">
        <v>1.54785</v>
      </c>
      <c r="FX106">
        <v>2.40112</v>
      </c>
      <c r="FY106">
        <v>37.6022</v>
      </c>
      <c r="FZ106">
        <v>15.9182</v>
      </c>
      <c r="GA106">
        <v>3</v>
      </c>
      <c r="GB106">
        <v>504.302</v>
      </c>
      <c r="GC106">
        <v>356.113</v>
      </c>
      <c r="GD106">
        <v>23.2154</v>
      </c>
      <c r="GE106">
        <v>30.3463</v>
      </c>
      <c r="GF106">
        <v>30.0005</v>
      </c>
      <c r="GG106">
        <v>30.1979</v>
      </c>
      <c r="GH106">
        <v>30.181</v>
      </c>
      <c r="GI106">
        <v>-1</v>
      </c>
      <c r="GJ106">
        <v>100</v>
      </c>
      <c r="GK106">
        <v>0</v>
      </c>
      <c r="GL106">
        <v>23.2076</v>
      </c>
      <c r="GM106">
        <v>1200</v>
      </c>
      <c r="GN106">
        <v>26.7455</v>
      </c>
      <c r="GO106">
        <v>102.269</v>
      </c>
      <c r="GP106">
        <v>97.2586</v>
      </c>
    </row>
    <row r="107" spans="1:198">
      <c r="A107">
        <v>91</v>
      </c>
      <c r="B107">
        <v>1773274264.5</v>
      </c>
      <c r="C107">
        <v>5400.900000095367</v>
      </c>
      <c r="D107" t="s">
        <v>515</v>
      </c>
      <c r="E107" t="s">
        <v>516</v>
      </c>
      <c r="F107">
        <v>15</v>
      </c>
      <c r="G107">
        <v>1773274256.5</v>
      </c>
      <c r="H107">
        <f>(I107)/1000</f>
        <v>0</v>
      </c>
      <c r="I107">
        <f>1000*AY107*AG107*(AU107-AV107)/(100*AN107*(1000-AG107*AU107))</f>
        <v>0</v>
      </c>
      <c r="J107">
        <f>AY107*AG107*(AT107-AS107*(1000-AG107*AV107)/(1000-AG107*AU107))/(100*AN107)</f>
        <v>0</v>
      </c>
      <c r="K107">
        <f>AS107 - IF(AG107&gt;1, J107*AN107*100.0/(AI107), 0)</f>
        <v>0</v>
      </c>
      <c r="L107">
        <f>((R107-H107/2)*K107-J107)/(R107+H107/2)</f>
        <v>0</v>
      </c>
      <c r="M107">
        <f>L107*(AZ107+BA107)/1000.0</f>
        <v>0</v>
      </c>
      <c r="N107">
        <f>(AS107 - IF(AG107&gt;1, J107*AN107*100.0/(AI107), 0))*(AZ107+BA107)/1000.0</f>
        <v>0</v>
      </c>
      <c r="O107">
        <f>2.0/((1/Q107-1/P107)+SIGN(Q107)*SQRT((1/Q107-1/P107)*(1/Q107-1/P107) + 4*AO107/((AO107+1)*(AO107+1))*(2*1/Q107*1/P107-1/P107*1/P107)))</f>
        <v>0</v>
      </c>
      <c r="P107">
        <f>IF(LEFT(AP107,1)&lt;&gt;"0",IF(LEFT(AP107,1)="1",3.0,AQ107),$D$5+$E$5*(BG107*AZ107/($K$5*1000))+$F$5*(BG107*AZ107/($K$5*1000))*MAX(MIN(AN107,$J$5),$I$5)*MAX(MIN(AN107,$J$5),$I$5)+$G$5*MAX(MIN(AN107,$J$5),$I$5)*(BG107*AZ107/($K$5*1000))+$H$5*(BG107*AZ107/($K$5*1000))*(BG107*AZ107/($K$5*1000)))</f>
        <v>0</v>
      </c>
      <c r="Q107">
        <f>H107*(1000-(1000*0.61365*exp(17.502*U107/(240.97+U107))/(AZ107+BA107)+AU107)/2)/(1000*0.61365*exp(17.502*U107/(240.97+U107))/(AZ107+BA107)-AU107)</f>
        <v>0</v>
      </c>
      <c r="R107">
        <f>1/((AO107+1)/(O107/1.6)+1/(P107/1.37)) + AO107/((AO107+1)/(O107/1.6) + AO107/(P107/1.37))</f>
        <v>0</v>
      </c>
      <c r="S107">
        <f>(AJ107*AM107)</f>
        <v>0</v>
      </c>
      <c r="T107">
        <f>(BB107+(S107+2*0.95*5.67E-8*(((BB107+$B$7)+273)^4-(BB107+273)^4)-44100*H107)/(1.84*29.3*P107+8*0.95*5.67E-8*(BB107+273)^3))</f>
        <v>0</v>
      </c>
      <c r="U107">
        <f>($C$7*BC107+$D$7*BD107+$E$7*T107)</f>
        <v>0</v>
      </c>
      <c r="V107">
        <f>0.61365*exp(17.502*U107/(240.97+U107))</f>
        <v>0</v>
      </c>
      <c r="W107">
        <f>(X107/Y107*100)</f>
        <v>0</v>
      </c>
      <c r="X107">
        <f>AU107*(AZ107+BA107)/1000</f>
        <v>0</v>
      </c>
      <c r="Y107">
        <f>0.61365*exp(17.502*BB107/(240.97+BB107))</f>
        <v>0</v>
      </c>
      <c r="Z107">
        <f>(V107-AU107*(AZ107+BA107)/1000)</f>
        <v>0</v>
      </c>
      <c r="AA107">
        <f>(-H107*44100)</f>
        <v>0</v>
      </c>
      <c r="AB107">
        <f>2*29.3*P107*0.92*(BB107-U107)</f>
        <v>0</v>
      </c>
      <c r="AC107">
        <f>2*0.95*5.67E-8*(((BB107+$B$7)+273)^4-(U107+273)^4)</f>
        <v>0</v>
      </c>
      <c r="AD107">
        <f>S107+AC107+AA107+AB107</f>
        <v>0</v>
      </c>
      <c r="AE107">
        <v>0</v>
      </c>
      <c r="AF107">
        <v>0</v>
      </c>
      <c r="AG107">
        <f>IF(AE107*$H$13&gt;=AI107,1.0,(AI107/(AI107-AE107*$H$13)))</f>
        <v>0</v>
      </c>
      <c r="AH107">
        <f>(AG107-1)*100</f>
        <v>0</v>
      </c>
      <c r="AI107">
        <f>MAX(0,($B$13+$C$13*BG107)/(1+$D$13*BG107)*AZ107/(BB107+273)*$E$13)</f>
        <v>0</v>
      </c>
      <c r="AJ107">
        <f>$B$11*BH107+$C$11*BI107+$D$11*BT107</f>
        <v>0</v>
      </c>
      <c r="AK107">
        <f>AJ107*AL107</f>
        <v>0</v>
      </c>
      <c r="AL107">
        <f>($B$11*$D$9+$C$11*$D$9+$D$11*(BU107*$E$9+BV107*$G$9))/($B$11+$C$11+$D$11)</f>
        <v>0</v>
      </c>
      <c r="AM107">
        <f>($B$11*$K$9+$C$11*$K$9+$D$11*(BU107*$L$9+BV107*$N$9))/($B$11+$C$11+$D$11)</f>
        <v>0</v>
      </c>
      <c r="AN107">
        <v>3</v>
      </c>
      <c r="AO107">
        <v>0.5</v>
      </c>
      <c r="AP107" t="s">
        <v>331</v>
      </c>
      <c r="AQ107">
        <v>2</v>
      </c>
      <c r="AR107">
        <v>1773274256.5</v>
      </c>
      <c r="AS107">
        <v>491.619193548387</v>
      </c>
      <c r="AT107">
        <v>490.1647741935485</v>
      </c>
      <c r="AU107">
        <v>11.45124193548387</v>
      </c>
      <c r="AV107">
        <v>10.58176774193549</v>
      </c>
      <c r="AW107">
        <v>485.1236451612904</v>
      </c>
      <c r="AX107">
        <v>11.39242903225806</v>
      </c>
      <c r="AY107">
        <v>500.0105161290322</v>
      </c>
      <c r="AZ107">
        <v>100.2757419354839</v>
      </c>
      <c r="BA107">
        <v>0.03601061290322581</v>
      </c>
      <c r="BB107">
        <v>25.00740967741936</v>
      </c>
      <c r="BC107">
        <v>25.23078387096775</v>
      </c>
      <c r="BD107">
        <v>999.9000000000003</v>
      </c>
      <c r="BE107">
        <v>0</v>
      </c>
      <c r="BF107">
        <v>0</v>
      </c>
      <c r="BG107">
        <v>5008.112903225807</v>
      </c>
      <c r="BH107">
        <v>2.109030322580645</v>
      </c>
      <c r="BI107">
        <v>851.0432258064515</v>
      </c>
      <c r="BJ107">
        <v>1.454420967741936</v>
      </c>
      <c r="BK107">
        <v>497.3140322580645</v>
      </c>
      <c r="BL107">
        <v>495.4070967741935</v>
      </c>
      <c r="BM107">
        <v>0.8694778709677418</v>
      </c>
      <c r="BN107">
        <v>490.1647741935485</v>
      </c>
      <c r="BO107">
        <v>10.58176774193549</v>
      </c>
      <c r="BP107">
        <v>1.148281612903226</v>
      </c>
      <c r="BQ107">
        <v>1.061094193548387</v>
      </c>
      <c r="BR107">
        <v>8.947405483870966</v>
      </c>
      <c r="BS107">
        <v>7.783399677419356</v>
      </c>
      <c r="BT107">
        <v>0</v>
      </c>
      <c r="BU107">
        <v>0</v>
      </c>
      <c r="BV107">
        <v>0</v>
      </c>
      <c r="BW107">
        <v>29</v>
      </c>
      <c r="BX107">
        <v>46.23332903225806</v>
      </c>
      <c r="BY107">
        <v>1773268786.6</v>
      </c>
      <c r="BZ107" t="s">
        <v>332</v>
      </c>
      <c r="CA107">
        <v>1773268786.6</v>
      </c>
      <c r="CB107">
        <v>1773268774.1</v>
      </c>
      <c r="CC107">
        <v>2</v>
      </c>
      <c r="CD107">
        <v>0.264</v>
      </c>
      <c r="CE107">
        <v>-0.024</v>
      </c>
      <c r="CF107">
        <v>6.495</v>
      </c>
      <c r="CG107">
        <v>0.059</v>
      </c>
      <c r="CH107">
        <v>488</v>
      </c>
      <c r="CI107">
        <v>25</v>
      </c>
      <c r="CJ107">
        <v>0.48</v>
      </c>
      <c r="CK107">
        <v>0.14</v>
      </c>
      <c r="CL107">
        <v>490.1647741935485</v>
      </c>
      <c r="CM107">
        <v>0.1041774193552276</v>
      </c>
      <c r="CN107">
        <v>0.07317575381866684</v>
      </c>
      <c r="CO107">
        <v>-1</v>
      </c>
      <c r="CP107">
        <v>500.0105161290322</v>
      </c>
      <c r="CQ107">
        <v>0.4817419354842747</v>
      </c>
      <c r="CR107">
        <v>0.06267369205127422</v>
      </c>
      <c r="CS107">
        <v>-1</v>
      </c>
      <c r="CT107">
        <v>0</v>
      </c>
      <c r="CU107">
        <v>0</v>
      </c>
      <c r="CV107" t="s">
        <v>333</v>
      </c>
      <c r="CW107">
        <v>3.17017</v>
      </c>
      <c r="CX107">
        <v>2.65723</v>
      </c>
      <c r="CY107">
        <v>0.113324</v>
      </c>
      <c r="CZ107">
        <v>0.114282</v>
      </c>
      <c r="DA107">
        <v>0.0660572</v>
      </c>
      <c r="DB107">
        <v>0.0621332</v>
      </c>
      <c r="DC107">
        <v>21283.9</v>
      </c>
      <c r="DD107">
        <v>21795.3</v>
      </c>
      <c r="DE107">
        <v>23111.9</v>
      </c>
      <c r="DF107">
        <v>22507.7</v>
      </c>
      <c r="DG107">
        <v>32617.6</v>
      </c>
      <c r="DH107">
        <v>29769.3</v>
      </c>
      <c r="DI107">
        <v>40629.5</v>
      </c>
      <c r="DJ107">
        <v>37250.7</v>
      </c>
      <c r="DK107">
        <v>2.0922</v>
      </c>
      <c r="DL107">
        <v>1.70236</v>
      </c>
      <c r="DM107">
        <v>-0.0948608</v>
      </c>
      <c r="DN107">
        <v>0</v>
      </c>
      <c r="DO107">
        <v>26.7868</v>
      </c>
      <c r="DP107">
        <v>999.9</v>
      </c>
      <c r="DQ107">
        <v>55.6</v>
      </c>
      <c r="DR107">
        <v>31.7</v>
      </c>
      <c r="DS107">
        <v>26.0314</v>
      </c>
      <c r="DT107">
        <v>30.1601</v>
      </c>
      <c r="DU107">
        <v>12.3077</v>
      </c>
      <c r="DV107">
        <v>1</v>
      </c>
      <c r="DW107">
        <v>0.256628</v>
      </c>
      <c r="DX107">
        <v>2.44749</v>
      </c>
      <c r="DY107">
        <v>20.3454</v>
      </c>
      <c r="DZ107">
        <v>5.21034</v>
      </c>
      <c r="EA107">
        <v>11.8509</v>
      </c>
      <c r="EB107">
        <v>4.96784</v>
      </c>
      <c r="EC107">
        <v>3.29204</v>
      </c>
      <c r="ED107">
        <v>879.4</v>
      </c>
      <c r="EE107">
        <v>9999</v>
      </c>
      <c r="EF107">
        <v>9999</v>
      </c>
      <c r="EG107">
        <v>81.59999999999999</v>
      </c>
      <c r="EH107">
        <v>4.97159</v>
      </c>
      <c r="EI107">
        <v>1.87194</v>
      </c>
      <c r="EJ107">
        <v>1.86916</v>
      </c>
      <c r="EK107">
        <v>1.87151</v>
      </c>
      <c r="EL107">
        <v>1.86924</v>
      </c>
      <c r="EM107">
        <v>1.86819</v>
      </c>
      <c r="EN107">
        <v>1.86997</v>
      </c>
      <c r="EO107">
        <v>1.8718</v>
      </c>
      <c r="EP107">
        <v>0</v>
      </c>
      <c r="EQ107">
        <v>0</v>
      </c>
      <c r="ER107">
        <v>0</v>
      </c>
      <c r="ES107">
        <v>0</v>
      </c>
      <c r="ET107" t="s">
        <v>334</v>
      </c>
      <c r="EU107" t="s">
        <v>335</v>
      </c>
      <c r="EV107" t="s">
        <v>336</v>
      </c>
      <c r="EW107" t="s">
        <v>336</v>
      </c>
      <c r="EX107" t="s">
        <v>336</v>
      </c>
      <c r="EY107" t="s">
        <v>336</v>
      </c>
      <c r="EZ107">
        <v>0</v>
      </c>
      <c r="FA107">
        <v>100</v>
      </c>
      <c r="FB107">
        <v>100</v>
      </c>
      <c r="FC107">
        <v>6.496</v>
      </c>
      <c r="FD107">
        <v>0.0588</v>
      </c>
      <c r="FE107">
        <v>6.495476190476325</v>
      </c>
      <c r="FF107">
        <v>0</v>
      </c>
      <c r="FG107">
        <v>0</v>
      </c>
      <c r="FH107">
        <v>0</v>
      </c>
      <c r="FI107">
        <v>0.05881499999999917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91.3</v>
      </c>
      <c r="FR107">
        <v>91.5</v>
      </c>
      <c r="FS107">
        <v>0.144043</v>
      </c>
      <c r="FT107">
        <v>4.99756</v>
      </c>
      <c r="FU107">
        <v>1.5979</v>
      </c>
      <c r="FV107">
        <v>2.146</v>
      </c>
      <c r="FW107">
        <v>1.54785</v>
      </c>
      <c r="FX107">
        <v>2.45605</v>
      </c>
      <c r="FY107">
        <v>37.7711</v>
      </c>
      <c r="FZ107">
        <v>15.9182</v>
      </c>
      <c r="GA107">
        <v>3</v>
      </c>
      <c r="GB107">
        <v>504.471</v>
      </c>
      <c r="GC107">
        <v>355.3</v>
      </c>
      <c r="GD107">
        <v>23.1757</v>
      </c>
      <c r="GE107">
        <v>30.4079</v>
      </c>
      <c r="GF107">
        <v>30.0005</v>
      </c>
      <c r="GG107">
        <v>30.2578</v>
      </c>
      <c r="GH107">
        <v>30.2418</v>
      </c>
      <c r="GI107">
        <v>-1</v>
      </c>
      <c r="GJ107">
        <v>100</v>
      </c>
      <c r="GK107">
        <v>0</v>
      </c>
      <c r="GL107">
        <v>23.1624</v>
      </c>
      <c r="GM107">
        <v>1200</v>
      </c>
      <c r="GN107">
        <v>26.7455</v>
      </c>
      <c r="GO107">
        <v>102.26</v>
      </c>
      <c r="GP107">
        <v>97.2505</v>
      </c>
    </row>
    <row r="108" spans="1:198">
      <c r="A108">
        <v>92</v>
      </c>
      <c r="B108">
        <v>1773274324.5</v>
      </c>
      <c r="C108">
        <v>5460.900000095367</v>
      </c>
      <c r="D108" t="s">
        <v>517</v>
      </c>
      <c r="E108" t="s">
        <v>518</v>
      </c>
      <c r="F108">
        <v>15</v>
      </c>
      <c r="G108">
        <v>1773274316.5</v>
      </c>
      <c r="H108">
        <f>(I108)/1000</f>
        <v>0</v>
      </c>
      <c r="I108">
        <f>1000*AY108*AG108*(AU108-AV108)/(100*AN108*(1000-AG108*AU108))</f>
        <v>0</v>
      </c>
      <c r="J108">
        <f>AY108*AG108*(AT108-AS108*(1000-AG108*AV108)/(1000-AG108*AU108))/(100*AN108)</f>
        <v>0</v>
      </c>
      <c r="K108">
        <f>AS108 - IF(AG108&gt;1, J108*AN108*100.0/(AI108), 0)</f>
        <v>0</v>
      </c>
      <c r="L108">
        <f>((R108-H108/2)*K108-J108)/(R108+H108/2)</f>
        <v>0</v>
      </c>
      <c r="M108">
        <f>L108*(AZ108+BA108)/1000.0</f>
        <v>0</v>
      </c>
      <c r="N108">
        <f>(AS108 - IF(AG108&gt;1, J108*AN108*100.0/(AI108), 0))*(AZ108+BA108)/1000.0</f>
        <v>0</v>
      </c>
      <c r="O108">
        <f>2.0/((1/Q108-1/P108)+SIGN(Q108)*SQRT((1/Q108-1/P108)*(1/Q108-1/P108) + 4*AO108/((AO108+1)*(AO108+1))*(2*1/Q108*1/P108-1/P108*1/P108)))</f>
        <v>0</v>
      </c>
      <c r="P108">
        <f>IF(LEFT(AP108,1)&lt;&gt;"0",IF(LEFT(AP108,1)="1",3.0,AQ108),$D$5+$E$5*(BG108*AZ108/($K$5*1000))+$F$5*(BG108*AZ108/($K$5*1000))*MAX(MIN(AN108,$J$5),$I$5)*MAX(MIN(AN108,$J$5),$I$5)+$G$5*MAX(MIN(AN108,$J$5),$I$5)*(BG108*AZ108/($K$5*1000))+$H$5*(BG108*AZ108/($K$5*1000))*(BG108*AZ108/($K$5*1000)))</f>
        <v>0</v>
      </c>
      <c r="Q108">
        <f>H108*(1000-(1000*0.61365*exp(17.502*U108/(240.97+U108))/(AZ108+BA108)+AU108)/2)/(1000*0.61365*exp(17.502*U108/(240.97+U108))/(AZ108+BA108)-AU108)</f>
        <v>0</v>
      </c>
      <c r="R108">
        <f>1/((AO108+1)/(O108/1.6)+1/(P108/1.37)) + AO108/((AO108+1)/(O108/1.6) + AO108/(P108/1.37))</f>
        <v>0</v>
      </c>
      <c r="S108">
        <f>(AJ108*AM108)</f>
        <v>0</v>
      </c>
      <c r="T108">
        <f>(BB108+(S108+2*0.95*5.67E-8*(((BB108+$B$7)+273)^4-(BB108+273)^4)-44100*H108)/(1.84*29.3*P108+8*0.95*5.67E-8*(BB108+273)^3))</f>
        <v>0</v>
      </c>
      <c r="U108">
        <f>($C$7*BC108+$D$7*BD108+$E$7*T108)</f>
        <v>0</v>
      </c>
      <c r="V108">
        <f>0.61365*exp(17.502*U108/(240.97+U108))</f>
        <v>0</v>
      </c>
      <c r="W108">
        <f>(X108/Y108*100)</f>
        <v>0</v>
      </c>
      <c r="X108">
        <f>AU108*(AZ108+BA108)/1000</f>
        <v>0</v>
      </c>
      <c r="Y108">
        <f>0.61365*exp(17.502*BB108/(240.97+BB108))</f>
        <v>0</v>
      </c>
      <c r="Z108">
        <f>(V108-AU108*(AZ108+BA108)/1000)</f>
        <v>0</v>
      </c>
      <c r="AA108">
        <f>(-H108*44100)</f>
        <v>0</v>
      </c>
      <c r="AB108">
        <f>2*29.3*P108*0.92*(BB108-U108)</f>
        <v>0</v>
      </c>
      <c r="AC108">
        <f>2*0.95*5.67E-8*(((BB108+$B$7)+273)^4-(U108+273)^4)</f>
        <v>0</v>
      </c>
      <c r="AD108">
        <f>S108+AC108+AA108+AB108</f>
        <v>0</v>
      </c>
      <c r="AE108">
        <v>0</v>
      </c>
      <c r="AF108">
        <v>0</v>
      </c>
      <c r="AG108">
        <f>IF(AE108*$H$13&gt;=AI108,1.0,(AI108/(AI108-AE108*$H$13)))</f>
        <v>0</v>
      </c>
      <c r="AH108">
        <f>(AG108-1)*100</f>
        <v>0</v>
      </c>
      <c r="AI108">
        <f>MAX(0,($B$13+$C$13*BG108)/(1+$D$13*BG108)*AZ108/(BB108+273)*$E$13)</f>
        <v>0</v>
      </c>
      <c r="AJ108">
        <f>$B$11*BH108+$C$11*BI108+$D$11*BT108</f>
        <v>0</v>
      </c>
      <c r="AK108">
        <f>AJ108*AL108</f>
        <v>0</v>
      </c>
      <c r="AL108">
        <f>($B$11*$D$9+$C$11*$D$9+$D$11*(BU108*$E$9+BV108*$G$9))/($B$11+$C$11+$D$11)</f>
        <v>0</v>
      </c>
      <c r="AM108">
        <f>($B$11*$K$9+$C$11*$K$9+$D$11*(BU108*$L$9+BV108*$N$9))/($B$11+$C$11+$D$11)</f>
        <v>0</v>
      </c>
      <c r="AN108">
        <v>3</v>
      </c>
      <c r="AO108">
        <v>0.5</v>
      </c>
      <c r="AP108" t="s">
        <v>331</v>
      </c>
      <c r="AQ108">
        <v>2</v>
      </c>
      <c r="AR108">
        <v>1773274316.5</v>
      </c>
      <c r="AS108">
        <v>492.8500967741935</v>
      </c>
      <c r="AT108">
        <v>491.3185161290323</v>
      </c>
      <c r="AU108">
        <v>11.54048709677419</v>
      </c>
      <c r="AV108">
        <v>10.66634516129032</v>
      </c>
      <c r="AW108">
        <v>486.3547096774194</v>
      </c>
      <c r="AX108">
        <v>11.48167096774194</v>
      </c>
      <c r="AY108">
        <v>499.9989032258065</v>
      </c>
      <c r="AZ108">
        <v>100.2752580645161</v>
      </c>
      <c r="BA108">
        <v>0.03654627741935484</v>
      </c>
      <c r="BB108">
        <v>25.0074064516129</v>
      </c>
      <c r="BC108">
        <v>25.24050322580645</v>
      </c>
      <c r="BD108">
        <v>999.9000000000003</v>
      </c>
      <c r="BE108">
        <v>0</v>
      </c>
      <c r="BF108">
        <v>0</v>
      </c>
      <c r="BG108">
        <v>4994.225806451613</v>
      </c>
      <c r="BH108">
        <v>2.104715806451613</v>
      </c>
      <c r="BI108">
        <v>865.0397096774194</v>
      </c>
      <c r="BJ108">
        <v>1.531606451612903</v>
      </c>
      <c r="BK108">
        <v>498.6042903225806</v>
      </c>
      <c r="BL108">
        <v>496.6155806451613</v>
      </c>
      <c r="BM108">
        <v>0.8741387419354839</v>
      </c>
      <c r="BN108">
        <v>491.3185161290323</v>
      </c>
      <c r="BO108">
        <v>10.66634516129032</v>
      </c>
      <c r="BP108">
        <v>1.157224516129033</v>
      </c>
      <c r="BQ108">
        <v>1.06957</v>
      </c>
      <c r="BR108">
        <v>9.06235451612903</v>
      </c>
      <c r="BS108">
        <v>7.900192580645159</v>
      </c>
      <c r="BT108">
        <v>0</v>
      </c>
      <c r="BU108">
        <v>0</v>
      </c>
      <c r="BV108">
        <v>0</v>
      </c>
      <c r="BW108">
        <v>29</v>
      </c>
      <c r="BX108">
        <v>46.85805806451612</v>
      </c>
      <c r="BY108">
        <v>1773268786.6</v>
      </c>
      <c r="BZ108" t="s">
        <v>332</v>
      </c>
      <c r="CA108">
        <v>1773268786.6</v>
      </c>
      <c r="CB108">
        <v>1773268774.1</v>
      </c>
      <c r="CC108">
        <v>2</v>
      </c>
      <c r="CD108">
        <v>0.264</v>
      </c>
      <c r="CE108">
        <v>-0.024</v>
      </c>
      <c r="CF108">
        <v>6.495</v>
      </c>
      <c r="CG108">
        <v>0.059</v>
      </c>
      <c r="CH108">
        <v>488</v>
      </c>
      <c r="CI108">
        <v>25</v>
      </c>
      <c r="CJ108">
        <v>0.48</v>
      </c>
      <c r="CK108">
        <v>0.14</v>
      </c>
      <c r="CL108">
        <v>491.3185161290323</v>
      </c>
      <c r="CM108">
        <v>-1.567258064517399</v>
      </c>
      <c r="CN108">
        <v>0.1221138736055459</v>
      </c>
      <c r="CO108">
        <v>-1</v>
      </c>
      <c r="CP108">
        <v>499.9989032258065</v>
      </c>
      <c r="CQ108">
        <v>-0.2257741935498284</v>
      </c>
      <c r="CR108">
        <v>0.05282555273588666</v>
      </c>
      <c r="CS108">
        <v>-1</v>
      </c>
      <c r="CT108">
        <v>0</v>
      </c>
      <c r="CU108">
        <v>0</v>
      </c>
      <c r="CV108" t="s">
        <v>333</v>
      </c>
      <c r="CW108">
        <v>3.17007</v>
      </c>
      <c r="CX108">
        <v>2.65786</v>
      </c>
      <c r="CY108">
        <v>0.113506</v>
      </c>
      <c r="CZ108">
        <v>0.114409</v>
      </c>
      <c r="DA108">
        <v>0.06644659999999999</v>
      </c>
      <c r="DB108">
        <v>0.0625208</v>
      </c>
      <c r="DC108">
        <v>21276.7</v>
      </c>
      <c r="DD108">
        <v>21789.8</v>
      </c>
      <c r="DE108">
        <v>23109.2</v>
      </c>
      <c r="DF108">
        <v>22505.5</v>
      </c>
      <c r="DG108">
        <v>32600</v>
      </c>
      <c r="DH108">
        <v>29753.7</v>
      </c>
      <c r="DI108">
        <v>40624.6</v>
      </c>
      <c r="DJ108">
        <v>37246.8</v>
      </c>
      <c r="DK108">
        <v>2.09118</v>
      </c>
      <c r="DL108">
        <v>1.70038</v>
      </c>
      <c r="DM108">
        <v>-0.09674430000000001</v>
      </c>
      <c r="DN108">
        <v>0</v>
      </c>
      <c r="DO108">
        <v>26.829</v>
      </c>
      <c r="DP108">
        <v>999.9</v>
      </c>
      <c r="DQ108">
        <v>55.3</v>
      </c>
      <c r="DR108">
        <v>31.8</v>
      </c>
      <c r="DS108">
        <v>26.0364</v>
      </c>
      <c r="DT108">
        <v>30.2801</v>
      </c>
      <c r="DU108">
        <v>12.2756</v>
      </c>
      <c r="DV108">
        <v>1</v>
      </c>
      <c r="DW108">
        <v>0.262813</v>
      </c>
      <c r="DX108">
        <v>2.53719</v>
      </c>
      <c r="DY108">
        <v>20.344</v>
      </c>
      <c r="DZ108">
        <v>5.21154</v>
      </c>
      <c r="EA108">
        <v>11.8503</v>
      </c>
      <c r="EB108">
        <v>4.96788</v>
      </c>
      <c r="EC108">
        <v>3.29214</v>
      </c>
      <c r="ED108">
        <v>879.4</v>
      </c>
      <c r="EE108">
        <v>9999</v>
      </c>
      <c r="EF108">
        <v>9999</v>
      </c>
      <c r="EG108">
        <v>81.59999999999999</v>
      </c>
      <c r="EH108">
        <v>4.97157</v>
      </c>
      <c r="EI108">
        <v>1.87195</v>
      </c>
      <c r="EJ108">
        <v>1.86918</v>
      </c>
      <c r="EK108">
        <v>1.87149</v>
      </c>
      <c r="EL108">
        <v>1.86929</v>
      </c>
      <c r="EM108">
        <v>1.86817</v>
      </c>
      <c r="EN108">
        <v>1.87</v>
      </c>
      <c r="EO108">
        <v>1.8718</v>
      </c>
      <c r="EP108">
        <v>0</v>
      </c>
      <c r="EQ108">
        <v>0</v>
      </c>
      <c r="ER108">
        <v>0</v>
      </c>
      <c r="ES108">
        <v>0</v>
      </c>
      <c r="ET108" t="s">
        <v>334</v>
      </c>
      <c r="EU108" t="s">
        <v>335</v>
      </c>
      <c r="EV108" t="s">
        <v>336</v>
      </c>
      <c r="EW108" t="s">
        <v>336</v>
      </c>
      <c r="EX108" t="s">
        <v>336</v>
      </c>
      <c r="EY108" t="s">
        <v>336</v>
      </c>
      <c r="EZ108">
        <v>0</v>
      </c>
      <c r="FA108">
        <v>100</v>
      </c>
      <c r="FB108">
        <v>100</v>
      </c>
      <c r="FC108">
        <v>6.496</v>
      </c>
      <c r="FD108">
        <v>0.0589</v>
      </c>
      <c r="FE108">
        <v>6.495476190476325</v>
      </c>
      <c r="FF108">
        <v>0</v>
      </c>
      <c r="FG108">
        <v>0</v>
      </c>
      <c r="FH108">
        <v>0</v>
      </c>
      <c r="FI108">
        <v>0.05881499999999917</v>
      </c>
      <c r="FJ108">
        <v>0</v>
      </c>
      <c r="FK108">
        <v>0</v>
      </c>
      <c r="FL108">
        <v>0</v>
      </c>
      <c r="FM108">
        <v>-1</v>
      </c>
      <c r="FN108">
        <v>-1</v>
      </c>
      <c r="FO108">
        <v>-1</v>
      </c>
      <c r="FP108">
        <v>-1</v>
      </c>
      <c r="FQ108">
        <v>92.3</v>
      </c>
      <c r="FR108">
        <v>92.5</v>
      </c>
      <c r="FS108">
        <v>0.144043</v>
      </c>
      <c r="FT108">
        <v>4.99756</v>
      </c>
      <c r="FU108">
        <v>1.5979</v>
      </c>
      <c r="FV108">
        <v>2.14478</v>
      </c>
      <c r="FW108">
        <v>1.54785</v>
      </c>
      <c r="FX108">
        <v>2.43774</v>
      </c>
      <c r="FY108">
        <v>37.9406</v>
      </c>
      <c r="FZ108">
        <v>15.9095</v>
      </c>
      <c r="GA108">
        <v>3</v>
      </c>
      <c r="GB108">
        <v>504.395</v>
      </c>
      <c r="GC108">
        <v>354.651</v>
      </c>
      <c r="GD108">
        <v>23.0675</v>
      </c>
      <c r="GE108">
        <v>30.475</v>
      </c>
      <c r="GF108">
        <v>30.0005</v>
      </c>
      <c r="GG108">
        <v>30.3253</v>
      </c>
      <c r="GH108">
        <v>30.3095</v>
      </c>
      <c r="GI108">
        <v>-1</v>
      </c>
      <c r="GJ108">
        <v>100</v>
      </c>
      <c r="GK108">
        <v>0</v>
      </c>
      <c r="GL108">
        <v>23.0597</v>
      </c>
      <c r="GM108">
        <v>1200</v>
      </c>
      <c r="GN108">
        <v>26.7455</v>
      </c>
      <c r="GO108">
        <v>102.248</v>
      </c>
      <c r="GP108">
        <v>97.24039999999999</v>
      </c>
    </row>
    <row r="109" spans="1:198">
      <c r="A109">
        <v>93</v>
      </c>
      <c r="B109">
        <v>1773274384.5</v>
      </c>
      <c r="C109">
        <v>5520.900000095367</v>
      </c>
      <c r="D109" t="s">
        <v>519</v>
      </c>
      <c r="E109" t="s">
        <v>520</v>
      </c>
      <c r="F109">
        <v>15</v>
      </c>
      <c r="G109">
        <v>1773274376.5</v>
      </c>
      <c r="H109">
        <f>(I109)/1000</f>
        <v>0</v>
      </c>
      <c r="I109">
        <f>1000*AY109*AG109*(AU109-AV109)/(100*AN109*(1000-AG109*AU109))</f>
        <v>0</v>
      </c>
      <c r="J109">
        <f>AY109*AG109*(AT109-AS109*(1000-AG109*AV109)/(1000-AG109*AU109))/(100*AN109)</f>
        <v>0</v>
      </c>
      <c r="K109">
        <f>AS109 - IF(AG109&gt;1, J109*AN109*100.0/(AI109), 0)</f>
        <v>0</v>
      </c>
      <c r="L109">
        <f>((R109-H109/2)*K109-J109)/(R109+H109/2)</f>
        <v>0</v>
      </c>
      <c r="M109">
        <f>L109*(AZ109+BA109)/1000.0</f>
        <v>0</v>
      </c>
      <c r="N109">
        <f>(AS109 - IF(AG109&gt;1, J109*AN109*100.0/(AI109), 0))*(AZ109+BA109)/1000.0</f>
        <v>0</v>
      </c>
      <c r="O109">
        <f>2.0/((1/Q109-1/P109)+SIGN(Q109)*SQRT((1/Q109-1/P109)*(1/Q109-1/P109) + 4*AO109/((AO109+1)*(AO109+1))*(2*1/Q109*1/P109-1/P109*1/P109)))</f>
        <v>0</v>
      </c>
      <c r="P109">
        <f>IF(LEFT(AP109,1)&lt;&gt;"0",IF(LEFT(AP109,1)="1",3.0,AQ109),$D$5+$E$5*(BG109*AZ109/($K$5*1000))+$F$5*(BG109*AZ109/($K$5*1000))*MAX(MIN(AN109,$J$5),$I$5)*MAX(MIN(AN109,$J$5),$I$5)+$G$5*MAX(MIN(AN109,$J$5),$I$5)*(BG109*AZ109/($K$5*1000))+$H$5*(BG109*AZ109/($K$5*1000))*(BG109*AZ109/($K$5*1000)))</f>
        <v>0</v>
      </c>
      <c r="Q109">
        <f>H109*(1000-(1000*0.61365*exp(17.502*U109/(240.97+U109))/(AZ109+BA109)+AU109)/2)/(1000*0.61365*exp(17.502*U109/(240.97+U109))/(AZ109+BA109)-AU109)</f>
        <v>0</v>
      </c>
      <c r="R109">
        <f>1/((AO109+1)/(O109/1.6)+1/(P109/1.37)) + AO109/((AO109+1)/(O109/1.6) + AO109/(P109/1.37))</f>
        <v>0</v>
      </c>
      <c r="S109">
        <f>(AJ109*AM109)</f>
        <v>0</v>
      </c>
      <c r="T109">
        <f>(BB109+(S109+2*0.95*5.67E-8*(((BB109+$B$7)+273)^4-(BB109+273)^4)-44100*H109)/(1.84*29.3*P109+8*0.95*5.67E-8*(BB109+273)^3))</f>
        <v>0</v>
      </c>
      <c r="U109">
        <f>($C$7*BC109+$D$7*BD109+$E$7*T109)</f>
        <v>0</v>
      </c>
      <c r="V109">
        <f>0.61365*exp(17.502*U109/(240.97+U109))</f>
        <v>0</v>
      </c>
      <c r="W109">
        <f>(X109/Y109*100)</f>
        <v>0</v>
      </c>
      <c r="X109">
        <f>AU109*(AZ109+BA109)/1000</f>
        <v>0</v>
      </c>
      <c r="Y109">
        <f>0.61365*exp(17.502*BB109/(240.97+BB109))</f>
        <v>0</v>
      </c>
      <c r="Z109">
        <f>(V109-AU109*(AZ109+BA109)/1000)</f>
        <v>0</v>
      </c>
      <c r="AA109">
        <f>(-H109*44100)</f>
        <v>0</v>
      </c>
      <c r="AB109">
        <f>2*29.3*P109*0.92*(BB109-U109)</f>
        <v>0</v>
      </c>
      <c r="AC109">
        <f>2*0.95*5.67E-8*(((BB109+$B$7)+273)^4-(U109+273)^4)</f>
        <v>0</v>
      </c>
      <c r="AD109">
        <f>S109+AC109+AA109+AB109</f>
        <v>0</v>
      </c>
      <c r="AE109">
        <v>0</v>
      </c>
      <c r="AF109">
        <v>0</v>
      </c>
      <c r="AG109">
        <f>IF(AE109*$H$13&gt;=AI109,1.0,(AI109/(AI109-AE109*$H$13)))</f>
        <v>0</v>
      </c>
      <c r="AH109">
        <f>(AG109-1)*100</f>
        <v>0</v>
      </c>
      <c r="AI109">
        <f>MAX(0,($B$13+$C$13*BG109)/(1+$D$13*BG109)*AZ109/(BB109+273)*$E$13)</f>
        <v>0</v>
      </c>
      <c r="AJ109">
        <f>$B$11*BH109+$C$11*BI109+$D$11*BT109</f>
        <v>0</v>
      </c>
      <c r="AK109">
        <f>AJ109*AL109</f>
        <v>0</v>
      </c>
      <c r="AL109">
        <f>($B$11*$D$9+$C$11*$D$9+$D$11*(BU109*$E$9+BV109*$G$9))/($B$11+$C$11+$D$11)</f>
        <v>0</v>
      </c>
      <c r="AM109">
        <f>($B$11*$K$9+$C$11*$K$9+$D$11*(BU109*$L$9+BV109*$N$9))/($B$11+$C$11+$D$11)</f>
        <v>0</v>
      </c>
      <c r="AN109">
        <v>3</v>
      </c>
      <c r="AO109">
        <v>0.5</v>
      </c>
      <c r="AP109" t="s">
        <v>331</v>
      </c>
      <c r="AQ109">
        <v>2</v>
      </c>
      <c r="AR109">
        <v>1773274376.5</v>
      </c>
      <c r="AS109">
        <v>492.680064516129</v>
      </c>
      <c r="AT109">
        <v>491.1970322580645</v>
      </c>
      <c r="AU109">
        <v>11.63708387096774</v>
      </c>
      <c r="AV109">
        <v>10.7548</v>
      </c>
      <c r="AW109">
        <v>486.1845806451614</v>
      </c>
      <c r="AX109">
        <v>11.57826129032258</v>
      </c>
      <c r="AY109">
        <v>500.0044838709678</v>
      </c>
      <c r="AZ109">
        <v>100.2764193548387</v>
      </c>
      <c r="BA109">
        <v>0.03657614516129032</v>
      </c>
      <c r="BB109">
        <v>25.00668387096774</v>
      </c>
      <c r="BC109">
        <v>25.2555</v>
      </c>
      <c r="BD109">
        <v>999.9000000000003</v>
      </c>
      <c r="BE109">
        <v>0</v>
      </c>
      <c r="BF109">
        <v>0</v>
      </c>
      <c r="BG109">
        <v>5003.225806451613</v>
      </c>
      <c r="BH109">
        <v>2.144324838709678</v>
      </c>
      <c r="BI109">
        <v>883.0559354838709</v>
      </c>
      <c r="BJ109">
        <v>1.482967419354839</v>
      </c>
      <c r="BK109">
        <v>498.4809677419355</v>
      </c>
      <c r="BL109">
        <v>496.5373548387097</v>
      </c>
      <c r="BM109">
        <v>0.8822793548387098</v>
      </c>
      <c r="BN109">
        <v>491.1970322580645</v>
      </c>
      <c r="BO109">
        <v>10.7548</v>
      </c>
      <c r="BP109">
        <v>1.166924838709677</v>
      </c>
      <c r="BQ109">
        <v>1.078453548387097</v>
      </c>
      <c r="BR109">
        <v>9.18614548387097</v>
      </c>
      <c r="BS109">
        <v>8.021707741935485</v>
      </c>
      <c r="BT109">
        <v>0</v>
      </c>
      <c r="BU109">
        <v>0</v>
      </c>
      <c r="BV109">
        <v>0</v>
      </c>
      <c r="BW109">
        <v>29</v>
      </c>
      <c r="BX109">
        <v>47</v>
      </c>
      <c r="BY109">
        <v>1773268786.6</v>
      </c>
      <c r="BZ109" t="s">
        <v>332</v>
      </c>
      <c r="CA109">
        <v>1773268786.6</v>
      </c>
      <c r="CB109">
        <v>1773268774.1</v>
      </c>
      <c r="CC109">
        <v>2</v>
      </c>
      <c r="CD109">
        <v>0.264</v>
      </c>
      <c r="CE109">
        <v>-0.024</v>
      </c>
      <c r="CF109">
        <v>6.495</v>
      </c>
      <c r="CG109">
        <v>0.059</v>
      </c>
      <c r="CH109">
        <v>488</v>
      </c>
      <c r="CI109">
        <v>25</v>
      </c>
      <c r="CJ109">
        <v>0.48</v>
      </c>
      <c r="CK109">
        <v>0.14</v>
      </c>
      <c r="CL109">
        <v>491.1970322580645</v>
      </c>
      <c r="CM109">
        <v>-0.2487580645171988</v>
      </c>
      <c r="CN109">
        <v>0.02163104678982733</v>
      </c>
      <c r="CO109">
        <v>-1</v>
      </c>
      <c r="CP109">
        <v>500.0044838709678</v>
      </c>
      <c r="CQ109">
        <v>-0.1848870967758235</v>
      </c>
      <c r="CR109">
        <v>0.05510861472831352</v>
      </c>
      <c r="CS109">
        <v>-1</v>
      </c>
      <c r="CT109">
        <v>0</v>
      </c>
      <c r="CU109">
        <v>0</v>
      </c>
      <c r="CV109" t="s">
        <v>333</v>
      </c>
      <c r="CW109">
        <v>3.17031</v>
      </c>
      <c r="CX109">
        <v>2.65759</v>
      </c>
      <c r="CY109">
        <v>0.113468</v>
      </c>
      <c r="CZ109">
        <v>0.114389</v>
      </c>
      <c r="DA109">
        <v>0.0668551</v>
      </c>
      <c r="DB109">
        <v>0.0629098</v>
      </c>
      <c r="DC109">
        <v>21274.4</v>
      </c>
      <c r="DD109">
        <v>21787.8</v>
      </c>
      <c r="DE109">
        <v>23106</v>
      </c>
      <c r="DF109">
        <v>22503.2</v>
      </c>
      <c r="DG109">
        <v>32581.7</v>
      </c>
      <c r="DH109">
        <v>29737.7</v>
      </c>
      <c r="DI109">
        <v>40619.8</v>
      </c>
      <c r="DJ109">
        <v>37242.5</v>
      </c>
      <c r="DK109">
        <v>2.09088</v>
      </c>
      <c r="DL109">
        <v>1.6979</v>
      </c>
      <c r="DM109">
        <v>-0.09889009999999999</v>
      </c>
      <c r="DN109">
        <v>0</v>
      </c>
      <c r="DO109">
        <v>26.8763</v>
      </c>
      <c r="DP109">
        <v>999.9</v>
      </c>
      <c r="DQ109">
        <v>55</v>
      </c>
      <c r="DR109">
        <v>31.9</v>
      </c>
      <c r="DS109">
        <v>26.0414</v>
      </c>
      <c r="DT109">
        <v>30.2501</v>
      </c>
      <c r="DU109">
        <v>12.0353</v>
      </c>
      <c r="DV109">
        <v>1</v>
      </c>
      <c r="DW109">
        <v>0.270094</v>
      </c>
      <c r="DX109">
        <v>2.64152</v>
      </c>
      <c r="DY109">
        <v>20.3418</v>
      </c>
      <c r="DZ109">
        <v>5.21226</v>
      </c>
      <c r="EA109">
        <v>11.8509</v>
      </c>
      <c r="EB109">
        <v>4.96784</v>
      </c>
      <c r="EC109">
        <v>3.2922</v>
      </c>
      <c r="ED109">
        <v>879.4</v>
      </c>
      <c r="EE109">
        <v>9999</v>
      </c>
      <c r="EF109">
        <v>9999</v>
      </c>
      <c r="EG109">
        <v>81.59999999999999</v>
      </c>
      <c r="EH109">
        <v>4.97157</v>
      </c>
      <c r="EI109">
        <v>1.87195</v>
      </c>
      <c r="EJ109">
        <v>1.86918</v>
      </c>
      <c r="EK109">
        <v>1.8715</v>
      </c>
      <c r="EL109">
        <v>1.86929</v>
      </c>
      <c r="EM109">
        <v>1.86821</v>
      </c>
      <c r="EN109">
        <v>1.87</v>
      </c>
      <c r="EO109">
        <v>1.87181</v>
      </c>
      <c r="EP109">
        <v>0</v>
      </c>
      <c r="EQ109">
        <v>0</v>
      </c>
      <c r="ER109">
        <v>0</v>
      </c>
      <c r="ES109">
        <v>0</v>
      </c>
      <c r="ET109" t="s">
        <v>334</v>
      </c>
      <c r="EU109" t="s">
        <v>335</v>
      </c>
      <c r="EV109" t="s">
        <v>336</v>
      </c>
      <c r="EW109" t="s">
        <v>336</v>
      </c>
      <c r="EX109" t="s">
        <v>336</v>
      </c>
      <c r="EY109" t="s">
        <v>336</v>
      </c>
      <c r="EZ109">
        <v>0</v>
      </c>
      <c r="FA109">
        <v>100</v>
      </c>
      <c r="FB109">
        <v>100</v>
      </c>
      <c r="FC109">
        <v>6.495</v>
      </c>
      <c r="FD109">
        <v>0.0589</v>
      </c>
      <c r="FE109">
        <v>6.495476190476325</v>
      </c>
      <c r="FF109">
        <v>0</v>
      </c>
      <c r="FG109">
        <v>0</v>
      </c>
      <c r="FH109">
        <v>0</v>
      </c>
      <c r="FI109">
        <v>0.05881499999999917</v>
      </c>
      <c r="FJ109">
        <v>0</v>
      </c>
      <c r="FK109">
        <v>0</v>
      </c>
      <c r="FL109">
        <v>0</v>
      </c>
      <c r="FM109">
        <v>-1</v>
      </c>
      <c r="FN109">
        <v>-1</v>
      </c>
      <c r="FO109">
        <v>-1</v>
      </c>
      <c r="FP109">
        <v>-1</v>
      </c>
      <c r="FQ109">
        <v>93.3</v>
      </c>
      <c r="FR109">
        <v>93.5</v>
      </c>
      <c r="FS109">
        <v>0.144043</v>
      </c>
      <c r="FT109">
        <v>4.99756</v>
      </c>
      <c r="FU109">
        <v>1.5979</v>
      </c>
      <c r="FV109">
        <v>2.14478</v>
      </c>
      <c r="FW109">
        <v>1.54785</v>
      </c>
      <c r="FX109">
        <v>2.31934</v>
      </c>
      <c r="FY109">
        <v>38.1106</v>
      </c>
      <c r="FZ109">
        <v>15.892</v>
      </c>
      <c r="GA109">
        <v>3</v>
      </c>
      <c r="GB109">
        <v>504.793</v>
      </c>
      <c r="GC109">
        <v>353.773</v>
      </c>
      <c r="GD109">
        <v>22.9741</v>
      </c>
      <c r="GE109">
        <v>30.553</v>
      </c>
      <c r="GF109">
        <v>30.0007</v>
      </c>
      <c r="GG109">
        <v>30.3996</v>
      </c>
      <c r="GH109">
        <v>30.3827</v>
      </c>
      <c r="GI109">
        <v>-1</v>
      </c>
      <c r="GJ109">
        <v>100</v>
      </c>
      <c r="GK109">
        <v>0</v>
      </c>
      <c r="GL109">
        <v>22.9676</v>
      </c>
      <c r="GM109">
        <v>1200</v>
      </c>
      <c r="GN109">
        <v>26.7455</v>
      </c>
      <c r="GO109">
        <v>102.235</v>
      </c>
      <c r="GP109">
        <v>97.22969999999999</v>
      </c>
    </row>
    <row r="110" spans="1:198">
      <c r="A110">
        <v>94</v>
      </c>
      <c r="B110">
        <v>1773274444.6</v>
      </c>
      <c r="C110">
        <v>5581</v>
      </c>
      <c r="D110" t="s">
        <v>521</v>
      </c>
      <c r="E110" t="s">
        <v>522</v>
      </c>
      <c r="F110">
        <v>15</v>
      </c>
      <c r="G110">
        <v>1773274436.729032</v>
      </c>
      <c r="H110">
        <f>(I110)/1000</f>
        <v>0</v>
      </c>
      <c r="I110">
        <f>1000*AY110*AG110*(AU110-AV110)/(100*AN110*(1000-AG110*AU110))</f>
        <v>0</v>
      </c>
      <c r="J110">
        <f>AY110*AG110*(AT110-AS110*(1000-AG110*AV110)/(1000-AG110*AU110))/(100*AN110)</f>
        <v>0</v>
      </c>
      <c r="K110">
        <f>AS110 - IF(AG110&gt;1, J110*AN110*100.0/(AI110), 0)</f>
        <v>0</v>
      </c>
      <c r="L110">
        <f>((R110-H110/2)*K110-J110)/(R110+H110/2)</f>
        <v>0</v>
      </c>
      <c r="M110">
        <f>L110*(AZ110+BA110)/1000.0</f>
        <v>0</v>
      </c>
      <c r="N110">
        <f>(AS110 - IF(AG110&gt;1, J110*AN110*100.0/(AI110), 0))*(AZ110+BA110)/1000.0</f>
        <v>0</v>
      </c>
      <c r="O110">
        <f>2.0/((1/Q110-1/P110)+SIGN(Q110)*SQRT((1/Q110-1/P110)*(1/Q110-1/P110) + 4*AO110/((AO110+1)*(AO110+1))*(2*1/Q110*1/P110-1/P110*1/P110)))</f>
        <v>0</v>
      </c>
      <c r="P110">
        <f>IF(LEFT(AP110,1)&lt;&gt;"0",IF(LEFT(AP110,1)="1",3.0,AQ110),$D$5+$E$5*(BG110*AZ110/($K$5*1000))+$F$5*(BG110*AZ110/($K$5*1000))*MAX(MIN(AN110,$J$5),$I$5)*MAX(MIN(AN110,$J$5),$I$5)+$G$5*MAX(MIN(AN110,$J$5),$I$5)*(BG110*AZ110/($K$5*1000))+$H$5*(BG110*AZ110/($K$5*1000))*(BG110*AZ110/($K$5*1000)))</f>
        <v>0</v>
      </c>
      <c r="Q110">
        <f>H110*(1000-(1000*0.61365*exp(17.502*U110/(240.97+U110))/(AZ110+BA110)+AU110)/2)/(1000*0.61365*exp(17.502*U110/(240.97+U110))/(AZ110+BA110)-AU110)</f>
        <v>0</v>
      </c>
      <c r="R110">
        <f>1/((AO110+1)/(O110/1.6)+1/(P110/1.37)) + AO110/((AO110+1)/(O110/1.6) + AO110/(P110/1.37))</f>
        <v>0</v>
      </c>
      <c r="S110">
        <f>(AJ110*AM110)</f>
        <v>0</v>
      </c>
      <c r="T110">
        <f>(BB110+(S110+2*0.95*5.67E-8*(((BB110+$B$7)+273)^4-(BB110+273)^4)-44100*H110)/(1.84*29.3*P110+8*0.95*5.67E-8*(BB110+273)^3))</f>
        <v>0</v>
      </c>
      <c r="U110">
        <f>($C$7*BC110+$D$7*BD110+$E$7*T110)</f>
        <v>0</v>
      </c>
      <c r="V110">
        <f>0.61365*exp(17.502*U110/(240.97+U110))</f>
        <v>0</v>
      </c>
      <c r="W110">
        <f>(X110/Y110*100)</f>
        <v>0</v>
      </c>
      <c r="X110">
        <f>AU110*(AZ110+BA110)/1000</f>
        <v>0</v>
      </c>
      <c r="Y110">
        <f>0.61365*exp(17.502*BB110/(240.97+BB110))</f>
        <v>0</v>
      </c>
      <c r="Z110">
        <f>(V110-AU110*(AZ110+BA110)/1000)</f>
        <v>0</v>
      </c>
      <c r="AA110">
        <f>(-H110*44100)</f>
        <v>0</v>
      </c>
      <c r="AB110">
        <f>2*29.3*P110*0.92*(BB110-U110)</f>
        <v>0</v>
      </c>
      <c r="AC110">
        <f>2*0.95*5.67E-8*(((BB110+$B$7)+273)^4-(U110+273)^4)</f>
        <v>0</v>
      </c>
      <c r="AD110">
        <f>S110+AC110+AA110+AB110</f>
        <v>0</v>
      </c>
      <c r="AE110">
        <v>0</v>
      </c>
      <c r="AF110">
        <v>0</v>
      </c>
      <c r="AG110">
        <f>IF(AE110*$H$13&gt;=AI110,1.0,(AI110/(AI110-AE110*$H$13)))</f>
        <v>0</v>
      </c>
      <c r="AH110">
        <f>(AG110-1)*100</f>
        <v>0</v>
      </c>
      <c r="AI110">
        <f>MAX(0,($B$13+$C$13*BG110)/(1+$D$13*BG110)*AZ110/(BB110+273)*$E$13)</f>
        <v>0</v>
      </c>
      <c r="AJ110">
        <f>$B$11*BH110+$C$11*BI110+$D$11*BT110</f>
        <v>0</v>
      </c>
      <c r="AK110">
        <f>AJ110*AL110</f>
        <v>0</v>
      </c>
      <c r="AL110">
        <f>($B$11*$D$9+$C$11*$D$9+$D$11*(BU110*$E$9+BV110*$G$9))/($B$11+$C$11+$D$11)</f>
        <v>0</v>
      </c>
      <c r="AM110">
        <f>($B$11*$K$9+$C$11*$K$9+$D$11*(BU110*$L$9+BV110*$N$9))/($B$11+$C$11+$D$11)</f>
        <v>0</v>
      </c>
      <c r="AN110">
        <v>3</v>
      </c>
      <c r="AO110">
        <v>0.5</v>
      </c>
      <c r="AP110" t="s">
        <v>331</v>
      </c>
      <c r="AQ110">
        <v>2</v>
      </c>
      <c r="AR110">
        <v>1773274436.729032</v>
      </c>
      <c r="AS110">
        <v>492.1500967741935</v>
      </c>
      <c r="AT110">
        <v>490.5276129032258</v>
      </c>
      <c r="AU110">
        <v>11.72352580645161</v>
      </c>
      <c r="AV110">
        <v>10.82547096774194</v>
      </c>
      <c r="AW110">
        <v>485.6545483870968</v>
      </c>
      <c r="AX110">
        <v>11.66471290322581</v>
      </c>
      <c r="AY110">
        <v>500.0122258064516</v>
      </c>
      <c r="AZ110">
        <v>100.2795161290323</v>
      </c>
      <c r="BA110">
        <v>0.03640741935483872</v>
      </c>
      <c r="BB110">
        <v>25.01157419354839</v>
      </c>
      <c r="BC110">
        <v>25.25814838709677</v>
      </c>
      <c r="BD110">
        <v>999.9000000000003</v>
      </c>
      <c r="BE110">
        <v>0</v>
      </c>
      <c r="BF110">
        <v>0</v>
      </c>
      <c r="BG110">
        <v>4999.935483870968</v>
      </c>
      <c r="BH110">
        <v>2.115626451612903</v>
      </c>
      <c r="BI110">
        <v>890.9997096774194</v>
      </c>
      <c r="BJ110">
        <v>1.622444838709677</v>
      </c>
      <c r="BK110">
        <v>497.9882580645161</v>
      </c>
      <c r="BL110">
        <v>495.8958064516129</v>
      </c>
      <c r="BM110">
        <v>0.8980647741935485</v>
      </c>
      <c r="BN110">
        <v>490.5276129032258</v>
      </c>
      <c r="BO110">
        <v>10.82547096774194</v>
      </c>
      <c r="BP110">
        <v>1.175629677419355</v>
      </c>
      <c r="BQ110">
        <v>1.085572258064516</v>
      </c>
      <c r="BR110">
        <v>9.296467419354839</v>
      </c>
      <c r="BS110">
        <v>8.118465806451614</v>
      </c>
      <c r="BT110">
        <v>0</v>
      </c>
      <c r="BU110">
        <v>0</v>
      </c>
      <c r="BV110">
        <v>0</v>
      </c>
      <c r="BW110">
        <v>29</v>
      </c>
      <c r="BX110">
        <v>47</v>
      </c>
      <c r="BY110">
        <v>1773268786.6</v>
      </c>
      <c r="BZ110" t="s">
        <v>332</v>
      </c>
      <c r="CA110">
        <v>1773268786.6</v>
      </c>
      <c r="CB110">
        <v>1773268774.1</v>
      </c>
      <c r="CC110">
        <v>2</v>
      </c>
      <c r="CD110">
        <v>0.264</v>
      </c>
      <c r="CE110">
        <v>-0.024</v>
      </c>
      <c r="CF110">
        <v>6.495</v>
      </c>
      <c r="CG110">
        <v>0.059</v>
      </c>
      <c r="CH110">
        <v>488</v>
      </c>
      <c r="CI110">
        <v>25</v>
      </c>
      <c r="CJ110">
        <v>0.48</v>
      </c>
      <c r="CK110">
        <v>0.14</v>
      </c>
      <c r="CL110">
        <v>490.5354193548387</v>
      </c>
      <c r="CM110">
        <v>-0.2485252010565769</v>
      </c>
      <c r="CN110">
        <v>0.04949537234383192</v>
      </c>
      <c r="CO110">
        <v>-1</v>
      </c>
      <c r="CP110">
        <v>500.0112258064516</v>
      </c>
      <c r="CQ110">
        <v>0.5164097478215472</v>
      </c>
      <c r="CR110">
        <v>0.06085027085445358</v>
      </c>
      <c r="CS110">
        <v>-1</v>
      </c>
      <c r="CT110">
        <v>0</v>
      </c>
      <c r="CU110">
        <v>0</v>
      </c>
      <c r="CV110" t="s">
        <v>333</v>
      </c>
      <c r="CW110">
        <v>3.17026</v>
      </c>
      <c r="CX110">
        <v>2.65779</v>
      </c>
      <c r="CY110">
        <v>0.113344</v>
      </c>
      <c r="CZ110">
        <v>0.114235</v>
      </c>
      <c r="DA110">
        <v>0.0672151</v>
      </c>
      <c r="DB110">
        <v>0.0631935</v>
      </c>
      <c r="DC110">
        <v>21273.7</v>
      </c>
      <c r="DD110">
        <v>21788.4</v>
      </c>
      <c r="DE110">
        <v>23102.3</v>
      </c>
      <c r="DF110">
        <v>22500.1</v>
      </c>
      <c r="DG110">
        <v>32564.3</v>
      </c>
      <c r="DH110">
        <v>29724.3</v>
      </c>
      <c r="DI110">
        <v>40614.1</v>
      </c>
      <c r="DJ110">
        <v>37237.2</v>
      </c>
      <c r="DK110">
        <v>2.09016</v>
      </c>
      <c r="DL110">
        <v>1.69562</v>
      </c>
      <c r="DM110">
        <v>-0.100437</v>
      </c>
      <c r="DN110">
        <v>0</v>
      </c>
      <c r="DO110">
        <v>26.9173</v>
      </c>
      <c r="DP110">
        <v>999.9</v>
      </c>
      <c r="DQ110">
        <v>54.7</v>
      </c>
      <c r="DR110">
        <v>32</v>
      </c>
      <c r="DS110">
        <v>26.0452</v>
      </c>
      <c r="DT110">
        <v>29.9964</v>
      </c>
      <c r="DU110">
        <v>12.1474</v>
      </c>
      <c r="DV110">
        <v>1</v>
      </c>
      <c r="DW110">
        <v>0.276447</v>
      </c>
      <c r="DX110">
        <v>2.55823</v>
      </c>
      <c r="DY110">
        <v>20.3434</v>
      </c>
      <c r="DZ110">
        <v>5.21214</v>
      </c>
      <c r="EA110">
        <v>11.8509</v>
      </c>
      <c r="EB110">
        <v>4.96776</v>
      </c>
      <c r="EC110">
        <v>3.29226</v>
      </c>
      <c r="ED110">
        <v>879.4</v>
      </c>
      <c r="EE110">
        <v>9999</v>
      </c>
      <c r="EF110">
        <v>9999</v>
      </c>
      <c r="EG110">
        <v>81.7</v>
      </c>
      <c r="EH110">
        <v>4.97156</v>
      </c>
      <c r="EI110">
        <v>1.87195</v>
      </c>
      <c r="EJ110">
        <v>1.86918</v>
      </c>
      <c r="EK110">
        <v>1.87149</v>
      </c>
      <c r="EL110">
        <v>1.86934</v>
      </c>
      <c r="EM110">
        <v>1.8682</v>
      </c>
      <c r="EN110">
        <v>1.87007</v>
      </c>
      <c r="EO110">
        <v>1.87181</v>
      </c>
      <c r="EP110">
        <v>0</v>
      </c>
      <c r="EQ110">
        <v>0</v>
      </c>
      <c r="ER110">
        <v>0</v>
      </c>
      <c r="ES110">
        <v>0</v>
      </c>
      <c r="ET110" t="s">
        <v>334</v>
      </c>
      <c r="EU110" t="s">
        <v>335</v>
      </c>
      <c r="EV110" t="s">
        <v>336</v>
      </c>
      <c r="EW110" t="s">
        <v>336</v>
      </c>
      <c r="EX110" t="s">
        <v>336</v>
      </c>
      <c r="EY110" t="s">
        <v>336</v>
      </c>
      <c r="EZ110">
        <v>0</v>
      </c>
      <c r="FA110">
        <v>100</v>
      </c>
      <c r="FB110">
        <v>100</v>
      </c>
      <c r="FC110">
        <v>6.496</v>
      </c>
      <c r="FD110">
        <v>0.0588</v>
      </c>
      <c r="FE110">
        <v>6.495476190476325</v>
      </c>
      <c r="FF110">
        <v>0</v>
      </c>
      <c r="FG110">
        <v>0</v>
      </c>
      <c r="FH110">
        <v>0</v>
      </c>
      <c r="FI110">
        <v>0.05881499999999917</v>
      </c>
      <c r="FJ110">
        <v>0</v>
      </c>
      <c r="FK110">
        <v>0</v>
      </c>
      <c r="FL110">
        <v>0</v>
      </c>
      <c r="FM110">
        <v>-1</v>
      </c>
      <c r="FN110">
        <v>-1</v>
      </c>
      <c r="FO110">
        <v>-1</v>
      </c>
      <c r="FP110">
        <v>-1</v>
      </c>
      <c r="FQ110">
        <v>94.3</v>
      </c>
      <c r="FR110">
        <v>94.5</v>
      </c>
      <c r="FS110">
        <v>0.144043</v>
      </c>
      <c r="FT110">
        <v>4.99756</v>
      </c>
      <c r="FU110">
        <v>1.5979</v>
      </c>
      <c r="FV110">
        <v>2.146</v>
      </c>
      <c r="FW110">
        <v>1.54785</v>
      </c>
      <c r="FX110">
        <v>2.42798</v>
      </c>
      <c r="FY110">
        <v>38.2568</v>
      </c>
      <c r="FZ110">
        <v>15.892</v>
      </c>
      <c r="GA110">
        <v>3</v>
      </c>
      <c r="GB110">
        <v>504.983</v>
      </c>
      <c r="GC110">
        <v>353.023</v>
      </c>
      <c r="GD110">
        <v>23.2085</v>
      </c>
      <c r="GE110">
        <v>30.6396</v>
      </c>
      <c r="GF110">
        <v>30.0013</v>
      </c>
      <c r="GG110">
        <v>30.4789</v>
      </c>
      <c r="GH110">
        <v>30.4604</v>
      </c>
      <c r="GI110">
        <v>-1</v>
      </c>
      <c r="GJ110">
        <v>100</v>
      </c>
      <c r="GK110">
        <v>0</v>
      </c>
      <c r="GL110">
        <v>23.1558</v>
      </c>
      <c r="GM110">
        <v>1200</v>
      </c>
      <c r="GN110">
        <v>26.7455</v>
      </c>
      <c r="GO110">
        <v>102.22</v>
      </c>
      <c r="GP110">
        <v>97.2161</v>
      </c>
    </row>
    <row r="111" spans="1:198">
      <c r="A111">
        <v>95</v>
      </c>
      <c r="B111">
        <v>1773274504.6</v>
      </c>
      <c r="C111">
        <v>5641</v>
      </c>
      <c r="D111" t="s">
        <v>523</v>
      </c>
      <c r="E111" t="s">
        <v>524</v>
      </c>
      <c r="F111">
        <v>15</v>
      </c>
      <c r="G111">
        <v>1773274496.599999</v>
      </c>
      <c r="H111">
        <f>(I111)/1000</f>
        <v>0</v>
      </c>
      <c r="I111">
        <f>1000*AY111*AG111*(AU111-AV111)/(100*AN111*(1000-AG111*AU111))</f>
        <v>0</v>
      </c>
      <c r="J111">
        <f>AY111*AG111*(AT111-AS111*(1000-AG111*AV111)/(1000-AG111*AU111))/(100*AN111)</f>
        <v>0</v>
      </c>
      <c r="K111">
        <f>AS111 - IF(AG111&gt;1, J111*AN111*100.0/(AI111), 0)</f>
        <v>0</v>
      </c>
      <c r="L111">
        <f>((R111-H111/2)*K111-J111)/(R111+H111/2)</f>
        <v>0</v>
      </c>
      <c r="M111">
        <f>L111*(AZ111+BA111)/1000.0</f>
        <v>0</v>
      </c>
      <c r="N111">
        <f>(AS111 - IF(AG111&gt;1, J111*AN111*100.0/(AI111), 0))*(AZ111+BA111)/1000.0</f>
        <v>0</v>
      </c>
      <c r="O111">
        <f>2.0/((1/Q111-1/P111)+SIGN(Q111)*SQRT((1/Q111-1/P111)*(1/Q111-1/P111) + 4*AO111/((AO111+1)*(AO111+1))*(2*1/Q111*1/P111-1/P111*1/P111)))</f>
        <v>0</v>
      </c>
      <c r="P111">
        <f>IF(LEFT(AP111,1)&lt;&gt;"0",IF(LEFT(AP111,1)="1",3.0,AQ111),$D$5+$E$5*(BG111*AZ111/($K$5*1000))+$F$5*(BG111*AZ111/($K$5*1000))*MAX(MIN(AN111,$J$5),$I$5)*MAX(MIN(AN111,$J$5),$I$5)+$G$5*MAX(MIN(AN111,$J$5),$I$5)*(BG111*AZ111/($K$5*1000))+$H$5*(BG111*AZ111/($K$5*1000))*(BG111*AZ111/($K$5*1000)))</f>
        <v>0</v>
      </c>
      <c r="Q111">
        <f>H111*(1000-(1000*0.61365*exp(17.502*U111/(240.97+U111))/(AZ111+BA111)+AU111)/2)/(1000*0.61365*exp(17.502*U111/(240.97+U111))/(AZ111+BA111)-AU111)</f>
        <v>0</v>
      </c>
      <c r="R111">
        <f>1/((AO111+1)/(O111/1.6)+1/(P111/1.37)) + AO111/((AO111+1)/(O111/1.6) + AO111/(P111/1.37))</f>
        <v>0</v>
      </c>
      <c r="S111">
        <f>(AJ111*AM111)</f>
        <v>0</v>
      </c>
      <c r="T111">
        <f>(BB111+(S111+2*0.95*5.67E-8*(((BB111+$B$7)+273)^4-(BB111+273)^4)-44100*H111)/(1.84*29.3*P111+8*0.95*5.67E-8*(BB111+273)^3))</f>
        <v>0</v>
      </c>
      <c r="U111">
        <f>($C$7*BC111+$D$7*BD111+$E$7*T111)</f>
        <v>0</v>
      </c>
      <c r="V111">
        <f>0.61365*exp(17.502*U111/(240.97+U111))</f>
        <v>0</v>
      </c>
      <c r="W111">
        <f>(X111/Y111*100)</f>
        <v>0</v>
      </c>
      <c r="X111">
        <f>AU111*(AZ111+BA111)/1000</f>
        <v>0</v>
      </c>
      <c r="Y111">
        <f>0.61365*exp(17.502*BB111/(240.97+BB111))</f>
        <v>0</v>
      </c>
      <c r="Z111">
        <f>(V111-AU111*(AZ111+BA111)/1000)</f>
        <v>0</v>
      </c>
      <c r="AA111">
        <f>(-H111*44100)</f>
        <v>0</v>
      </c>
      <c r="AB111">
        <f>2*29.3*P111*0.92*(BB111-U111)</f>
        <v>0</v>
      </c>
      <c r="AC111">
        <f>2*0.95*5.67E-8*(((BB111+$B$7)+273)^4-(U111+273)^4)</f>
        <v>0</v>
      </c>
      <c r="AD111">
        <f>S111+AC111+AA111+AB111</f>
        <v>0</v>
      </c>
      <c r="AE111">
        <v>0</v>
      </c>
      <c r="AF111">
        <v>0</v>
      </c>
      <c r="AG111">
        <f>IF(AE111*$H$13&gt;=AI111,1.0,(AI111/(AI111-AE111*$H$13)))</f>
        <v>0</v>
      </c>
      <c r="AH111">
        <f>(AG111-1)*100</f>
        <v>0</v>
      </c>
      <c r="AI111">
        <f>MAX(0,($B$13+$C$13*BG111)/(1+$D$13*BG111)*AZ111/(BB111+273)*$E$13)</f>
        <v>0</v>
      </c>
      <c r="AJ111">
        <f>$B$11*BH111+$C$11*BI111+$D$11*BT111</f>
        <v>0</v>
      </c>
      <c r="AK111">
        <f>AJ111*AL111</f>
        <v>0</v>
      </c>
      <c r="AL111">
        <f>($B$11*$D$9+$C$11*$D$9+$D$11*(BU111*$E$9+BV111*$G$9))/($B$11+$C$11+$D$11)</f>
        <v>0</v>
      </c>
      <c r="AM111">
        <f>($B$11*$K$9+$C$11*$K$9+$D$11*(BU111*$L$9+BV111*$N$9))/($B$11+$C$11+$D$11)</f>
        <v>0</v>
      </c>
      <c r="AN111">
        <v>3</v>
      </c>
      <c r="AO111">
        <v>0.5</v>
      </c>
      <c r="AP111" t="s">
        <v>331</v>
      </c>
      <c r="AQ111">
        <v>2</v>
      </c>
      <c r="AR111">
        <v>1773274496.599999</v>
      </c>
      <c r="AS111">
        <v>489.9659677419354</v>
      </c>
      <c r="AT111">
        <v>488.5185161290324</v>
      </c>
      <c r="AU111">
        <v>11.79293548387097</v>
      </c>
      <c r="AV111">
        <v>10.89119677419355</v>
      </c>
      <c r="AW111">
        <v>483.4706451612903</v>
      </c>
      <c r="AX111">
        <v>11.73411612903226</v>
      </c>
      <c r="AY111">
        <v>499.9834838709677</v>
      </c>
      <c r="AZ111">
        <v>100.2814193548387</v>
      </c>
      <c r="BA111">
        <v>0.03617244838709677</v>
      </c>
      <c r="BB111">
        <v>25.01625161290323</v>
      </c>
      <c r="BC111">
        <v>25.27041290322581</v>
      </c>
      <c r="BD111">
        <v>999.9000000000003</v>
      </c>
      <c r="BE111">
        <v>0</v>
      </c>
      <c r="BF111">
        <v>0</v>
      </c>
      <c r="BG111">
        <v>4997.129032258064</v>
      </c>
      <c r="BH111">
        <v>2.092697096774194</v>
      </c>
      <c r="BI111">
        <v>891.0961612903226</v>
      </c>
      <c r="BJ111">
        <v>1.447596774193548</v>
      </c>
      <c r="BK111">
        <v>495.8131612903225</v>
      </c>
      <c r="BL111">
        <v>493.8976129032259</v>
      </c>
      <c r="BM111">
        <v>0.9017448709677419</v>
      </c>
      <c r="BN111">
        <v>488.5185161290324</v>
      </c>
      <c r="BO111">
        <v>10.89119677419355</v>
      </c>
      <c r="BP111">
        <v>1.182612580645162</v>
      </c>
      <c r="BQ111">
        <v>1.092185161290323</v>
      </c>
      <c r="BR111">
        <v>9.384453225806451</v>
      </c>
      <c r="BS111">
        <v>8.207836451612904</v>
      </c>
      <c r="BT111">
        <v>0</v>
      </c>
      <c r="BU111">
        <v>0</v>
      </c>
      <c r="BV111">
        <v>0</v>
      </c>
      <c r="BW111">
        <v>29</v>
      </c>
      <c r="BX111">
        <v>47</v>
      </c>
      <c r="BY111">
        <v>1773268786.6</v>
      </c>
      <c r="BZ111" t="s">
        <v>332</v>
      </c>
      <c r="CA111">
        <v>1773268786.6</v>
      </c>
      <c r="CB111">
        <v>1773268774.1</v>
      </c>
      <c r="CC111">
        <v>2</v>
      </c>
      <c r="CD111">
        <v>0.264</v>
      </c>
      <c r="CE111">
        <v>-0.024</v>
      </c>
      <c r="CF111">
        <v>6.495</v>
      </c>
      <c r="CG111">
        <v>0.059</v>
      </c>
      <c r="CH111">
        <v>488</v>
      </c>
      <c r="CI111">
        <v>25</v>
      </c>
      <c r="CJ111">
        <v>0.48</v>
      </c>
      <c r="CK111">
        <v>0.14</v>
      </c>
      <c r="CL111">
        <v>488.5198666666668</v>
      </c>
      <c r="CM111">
        <v>0.4370189099006846</v>
      </c>
      <c r="CN111">
        <v>0.0483044051361313</v>
      </c>
      <c r="CO111">
        <v>-1</v>
      </c>
      <c r="CP111">
        <v>499.9892666666667</v>
      </c>
      <c r="CQ111">
        <v>-0.2051879866515091</v>
      </c>
      <c r="CR111">
        <v>0.05256610652840548</v>
      </c>
      <c r="CS111">
        <v>-1</v>
      </c>
      <c r="CT111">
        <v>0</v>
      </c>
      <c r="CU111">
        <v>0</v>
      </c>
      <c r="CV111" t="s">
        <v>333</v>
      </c>
      <c r="CW111">
        <v>3.17023</v>
      </c>
      <c r="CX111">
        <v>2.65784</v>
      </c>
      <c r="CY111">
        <v>0.112972</v>
      </c>
      <c r="CZ111">
        <v>0.113888</v>
      </c>
      <c r="DA111">
        <v>0.06752080000000001</v>
      </c>
      <c r="DB111">
        <v>0.0634965</v>
      </c>
      <c r="DC111">
        <v>21279.4</v>
      </c>
      <c r="DD111">
        <v>21794.4</v>
      </c>
      <c r="DE111">
        <v>23099.2</v>
      </c>
      <c r="DF111">
        <v>22497.7</v>
      </c>
      <c r="DG111">
        <v>32549.3</v>
      </c>
      <c r="DH111">
        <v>29710.9</v>
      </c>
      <c r="DI111">
        <v>40608.9</v>
      </c>
      <c r="DJ111">
        <v>37232.7</v>
      </c>
      <c r="DK111">
        <v>2.08912</v>
      </c>
      <c r="DL111">
        <v>1.69396</v>
      </c>
      <c r="DM111">
        <v>-0.103423</v>
      </c>
      <c r="DN111">
        <v>0</v>
      </c>
      <c r="DO111">
        <v>26.9704</v>
      </c>
      <c r="DP111">
        <v>999.9</v>
      </c>
      <c r="DQ111">
        <v>54.3</v>
      </c>
      <c r="DR111">
        <v>32.2</v>
      </c>
      <c r="DS111">
        <v>26.1499</v>
      </c>
      <c r="DT111">
        <v>30.2964</v>
      </c>
      <c r="DU111">
        <v>12.1394</v>
      </c>
      <c r="DV111">
        <v>1</v>
      </c>
      <c r="DW111">
        <v>0.283882</v>
      </c>
      <c r="DX111">
        <v>2.81979</v>
      </c>
      <c r="DY111">
        <v>20.3377</v>
      </c>
      <c r="DZ111">
        <v>5.21226</v>
      </c>
      <c r="EA111">
        <v>11.8518</v>
      </c>
      <c r="EB111">
        <v>4.9678</v>
      </c>
      <c r="EC111">
        <v>3.29218</v>
      </c>
      <c r="ED111">
        <v>879.4</v>
      </c>
      <c r="EE111">
        <v>9999</v>
      </c>
      <c r="EF111">
        <v>9999</v>
      </c>
      <c r="EG111">
        <v>81.7</v>
      </c>
      <c r="EH111">
        <v>4.97158</v>
      </c>
      <c r="EI111">
        <v>1.87195</v>
      </c>
      <c r="EJ111">
        <v>1.8692</v>
      </c>
      <c r="EK111">
        <v>1.87155</v>
      </c>
      <c r="EL111">
        <v>1.86934</v>
      </c>
      <c r="EM111">
        <v>1.86825</v>
      </c>
      <c r="EN111">
        <v>1.87004</v>
      </c>
      <c r="EO111">
        <v>1.87181</v>
      </c>
      <c r="EP111">
        <v>0</v>
      </c>
      <c r="EQ111">
        <v>0</v>
      </c>
      <c r="ER111">
        <v>0</v>
      </c>
      <c r="ES111">
        <v>0</v>
      </c>
      <c r="ET111" t="s">
        <v>334</v>
      </c>
      <c r="EU111" t="s">
        <v>335</v>
      </c>
      <c r="EV111" t="s">
        <v>336</v>
      </c>
      <c r="EW111" t="s">
        <v>336</v>
      </c>
      <c r="EX111" t="s">
        <v>336</v>
      </c>
      <c r="EY111" t="s">
        <v>336</v>
      </c>
      <c r="EZ111">
        <v>0</v>
      </c>
      <c r="FA111">
        <v>100</v>
      </c>
      <c r="FB111">
        <v>100</v>
      </c>
      <c r="FC111">
        <v>6.495</v>
      </c>
      <c r="FD111">
        <v>0.0588</v>
      </c>
      <c r="FE111">
        <v>6.495476190476325</v>
      </c>
      <c r="FF111">
        <v>0</v>
      </c>
      <c r="FG111">
        <v>0</v>
      </c>
      <c r="FH111">
        <v>0</v>
      </c>
      <c r="FI111">
        <v>0.05881499999999917</v>
      </c>
      <c r="FJ111">
        <v>0</v>
      </c>
      <c r="FK111">
        <v>0</v>
      </c>
      <c r="FL111">
        <v>0</v>
      </c>
      <c r="FM111">
        <v>-1</v>
      </c>
      <c r="FN111">
        <v>-1</v>
      </c>
      <c r="FO111">
        <v>-1</v>
      </c>
      <c r="FP111">
        <v>-1</v>
      </c>
      <c r="FQ111">
        <v>95.3</v>
      </c>
      <c r="FR111">
        <v>95.5</v>
      </c>
      <c r="FS111">
        <v>0.144043</v>
      </c>
      <c r="FT111">
        <v>4.99756</v>
      </c>
      <c r="FU111">
        <v>1.5979</v>
      </c>
      <c r="FV111">
        <v>2.14478</v>
      </c>
      <c r="FW111">
        <v>1.54785</v>
      </c>
      <c r="FX111">
        <v>2.41699</v>
      </c>
      <c r="FY111">
        <v>38.4279</v>
      </c>
      <c r="FZ111">
        <v>15.8832</v>
      </c>
      <c r="GA111">
        <v>3</v>
      </c>
      <c r="GB111">
        <v>504.924</v>
      </c>
      <c r="GC111">
        <v>352.554</v>
      </c>
      <c r="GD111">
        <v>22.8637</v>
      </c>
      <c r="GE111">
        <v>30.717</v>
      </c>
      <c r="GF111">
        <v>30.0005</v>
      </c>
      <c r="GG111">
        <v>30.5507</v>
      </c>
      <c r="GH111">
        <v>30.5309</v>
      </c>
      <c r="GI111">
        <v>-1</v>
      </c>
      <c r="GJ111">
        <v>100</v>
      </c>
      <c r="GK111">
        <v>0</v>
      </c>
      <c r="GL111">
        <v>22.8527</v>
      </c>
      <c r="GM111">
        <v>1200</v>
      </c>
      <c r="GN111">
        <v>26.7455</v>
      </c>
      <c r="GO111">
        <v>102.207</v>
      </c>
      <c r="GP111">
        <v>97.20480000000001</v>
      </c>
    </row>
    <row r="112" spans="1:198">
      <c r="A112">
        <v>96</v>
      </c>
      <c r="B112">
        <v>1773274564.6</v>
      </c>
      <c r="C112">
        <v>5701</v>
      </c>
      <c r="D112" t="s">
        <v>525</v>
      </c>
      <c r="E112" t="s">
        <v>526</v>
      </c>
      <c r="F112">
        <v>15</v>
      </c>
      <c r="G112">
        <v>1773274556.599999</v>
      </c>
      <c r="H112">
        <f>(I112)/1000</f>
        <v>0</v>
      </c>
      <c r="I112">
        <f>1000*AY112*AG112*(AU112-AV112)/(100*AN112*(1000-AG112*AU112))</f>
        <v>0</v>
      </c>
      <c r="J112">
        <f>AY112*AG112*(AT112-AS112*(1000-AG112*AV112)/(1000-AG112*AU112))/(100*AN112)</f>
        <v>0</v>
      </c>
      <c r="K112">
        <f>AS112 - IF(AG112&gt;1, J112*AN112*100.0/(AI112), 0)</f>
        <v>0</v>
      </c>
      <c r="L112">
        <f>((R112-H112/2)*K112-J112)/(R112+H112/2)</f>
        <v>0</v>
      </c>
      <c r="M112">
        <f>L112*(AZ112+BA112)/1000.0</f>
        <v>0</v>
      </c>
      <c r="N112">
        <f>(AS112 - IF(AG112&gt;1, J112*AN112*100.0/(AI112), 0))*(AZ112+BA112)/1000.0</f>
        <v>0</v>
      </c>
      <c r="O112">
        <f>2.0/((1/Q112-1/P112)+SIGN(Q112)*SQRT((1/Q112-1/P112)*(1/Q112-1/P112) + 4*AO112/((AO112+1)*(AO112+1))*(2*1/Q112*1/P112-1/P112*1/P112)))</f>
        <v>0</v>
      </c>
      <c r="P112">
        <f>IF(LEFT(AP112,1)&lt;&gt;"0",IF(LEFT(AP112,1)="1",3.0,AQ112),$D$5+$E$5*(BG112*AZ112/($K$5*1000))+$F$5*(BG112*AZ112/($K$5*1000))*MAX(MIN(AN112,$J$5),$I$5)*MAX(MIN(AN112,$J$5),$I$5)+$G$5*MAX(MIN(AN112,$J$5),$I$5)*(BG112*AZ112/($K$5*1000))+$H$5*(BG112*AZ112/($K$5*1000))*(BG112*AZ112/($K$5*1000)))</f>
        <v>0</v>
      </c>
      <c r="Q112">
        <f>H112*(1000-(1000*0.61365*exp(17.502*U112/(240.97+U112))/(AZ112+BA112)+AU112)/2)/(1000*0.61365*exp(17.502*U112/(240.97+U112))/(AZ112+BA112)-AU112)</f>
        <v>0</v>
      </c>
      <c r="R112">
        <f>1/((AO112+1)/(O112/1.6)+1/(P112/1.37)) + AO112/((AO112+1)/(O112/1.6) + AO112/(P112/1.37))</f>
        <v>0</v>
      </c>
      <c r="S112">
        <f>(AJ112*AM112)</f>
        <v>0</v>
      </c>
      <c r="T112">
        <f>(BB112+(S112+2*0.95*5.67E-8*(((BB112+$B$7)+273)^4-(BB112+273)^4)-44100*H112)/(1.84*29.3*P112+8*0.95*5.67E-8*(BB112+273)^3))</f>
        <v>0</v>
      </c>
      <c r="U112">
        <f>($C$7*BC112+$D$7*BD112+$E$7*T112)</f>
        <v>0</v>
      </c>
      <c r="V112">
        <f>0.61365*exp(17.502*U112/(240.97+U112))</f>
        <v>0</v>
      </c>
      <c r="W112">
        <f>(X112/Y112*100)</f>
        <v>0</v>
      </c>
      <c r="X112">
        <f>AU112*(AZ112+BA112)/1000</f>
        <v>0</v>
      </c>
      <c r="Y112">
        <f>0.61365*exp(17.502*BB112/(240.97+BB112))</f>
        <v>0</v>
      </c>
      <c r="Z112">
        <f>(V112-AU112*(AZ112+BA112)/1000)</f>
        <v>0</v>
      </c>
      <c r="AA112">
        <f>(-H112*44100)</f>
        <v>0</v>
      </c>
      <c r="AB112">
        <f>2*29.3*P112*0.92*(BB112-U112)</f>
        <v>0</v>
      </c>
      <c r="AC112">
        <f>2*0.95*5.67E-8*(((BB112+$B$7)+273)^4-(U112+273)^4)</f>
        <v>0</v>
      </c>
      <c r="AD112">
        <f>S112+AC112+AA112+AB112</f>
        <v>0</v>
      </c>
      <c r="AE112">
        <v>0</v>
      </c>
      <c r="AF112">
        <v>0</v>
      </c>
      <c r="AG112">
        <f>IF(AE112*$H$13&gt;=AI112,1.0,(AI112/(AI112-AE112*$H$13)))</f>
        <v>0</v>
      </c>
      <c r="AH112">
        <f>(AG112-1)*100</f>
        <v>0</v>
      </c>
      <c r="AI112">
        <f>MAX(0,($B$13+$C$13*BG112)/(1+$D$13*BG112)*AZ112/(BB112+273)*$E$13)</f>
        <v>0</v>
      </c>
      <c r="AJ112">
        <f>$B$11*BH112+$C$11*BI112+$D$11*BT112</f>
        <v>0</v>
      </c>
      <c r="AK112">
        <f>AJ112*AL112</f>
        <v>0</v>
      </c>
      <c r="AL112">
        <f>($B$11*$D$9+$C$11*$D$9+$D$11*(BU112*$E$9+BV112*$G$9))/($B$11+$C$11+$D$11)</f>
        <v>0</v>
      </c>
      <c r="AM112">
        <f>($B$11*$K$9+$C$11*$K$9+$D$11*(BU112*$L$9+BV112*$N$9))/($B$11+$C$11+$D$11)</f>
        <v>0</v>
      </c>
      <c r="AN112">
        <v>3</v>
      </c>
      <c r="AO112">
        <v>0.5</v>
      </c>
      <c r="AP112" t="s">
        <v>331</v>
      </c>
      <c r="AQ112">
        <v>2</v>
      </c>
      <c r="AR112">
        <v>1773274556.599999</v>
      </c>
      <c r="AS112">
        <v>488.7990645161292</v>
      </c>
      <c r="AT112">
        <v>486.9338387096775</v>
      </c>
      <c r="AU112">
        <v>11.87537419354839</v>
      </c>
      <c r="AV112">
        <v>10.95973548387096</v>
      </c>
      <c r="AW112">
        <v>482.3037741935483</v>
      </c>
      <c r="AX112">
        <v>11.81656451612903</v>
      </c>
      <c r="AY112">
        <v>499.9894838709677</v>
      </c>
      <c r="AZ112">
        <v>100.283064516129</v>
      </c>
      <c r="BA112">
        <v>0.0368446935483871</v>
      </c>
      <c r="BB112">
        <v>25.01909677419355</v>
      </c>
      <c r="BC112">
        <v>25.28137419354838</v>
      </c>
      <c r="BD112">
        <v>999.9000000000003</v>
      </c>
      <c r="BE112">
        <v>0</v>
      </c>
      <c r="BF112">
        <v>0</v>
      </c>
      <c r="BG112">
        <v>4997.580645161291</v>
      </c>
      <c r="BH112">
        <v>2.094268064516129</v>
      </c>
      <c r="BI112">
        <v>903.1619677419354</v>
      </c>
      <c r="BJ112">
        <v>1.865299677419355</v>
      </c>
      <c r="BK112">
        <v>494.6736451612904</v>
      </c>
      <c r="BL112">
        <v>492.3296451612903</v>
      </c>
      <c r="BM112">
        <v>0.9156337741935483</v>
      </c>
      <c r="BN112">
        <v>486.9338387096775</v>
      </c>
      <c r="BO112">
        <v>10.95973548387096</v>
      </c>
      <c r="BP112">
        <v>1.190899032258065</v>
      </c>
      <c r="BQ112">
        <v>1.099076774193548</v>
      </c>
      <c r="BR112">
        <v>9.488260645161292</v>
      </c>
      <c r="BS112">
        <v>8.300478387096776</v>
      </c>
      <c r="BT112">
        <v>0</v>
      </c>
      <c r="BU112">
        <v>0</v>
      </c>
      <c r="BV112">
        <v>0</v>
      </c>
      <c r="BW112">
        <v>29</v>
      </c>
      <c r="BX112">
        <v>47</v>
      </c>
      <c r="BY112">
        <v>1773268786.6</v>
      </c>
      <c r="BZ112" t="s">
        <v>332</v>
      </c>
      <c r="CA112">
        <v>1773268786.6</v>
      </c>
      <c r="CB112">
        <v>1773268774.1</v>
      </c>
      <c r="CC112">
        <v>2</v>
      </c>
      <c r="CD112">
        <v>0.264</v>
      </c>
      <c r="CE112">
        <v>-0.024</v>
      </c>
      <c r="CF112">
        <v>6.495</v>
      </c>
      <c r="CG112">
        <v>0.059</v>
      </c>
      <c r="CH112">
        <v>488</v>
      </c>
      <c r="CI112">
        <v>25</v>
      </c>
      <c r="CJ112">
        <v>0.48</v>
      </c>
      <c r="CK112">
        <v>0.14</v>
      </c>
      <c r="CL112">
        <v>486.9912258064516</v>
      </c>
      <c r="CM112">
        <v>-7.121129032260058</v>
      </c>
      <c r="CN112">
        <v>0.5363393671486255</v>
      </c>
      <c r="CO112">
        <v>-1</v>
      </c>
      <c r="CP112">
        <v>499.989064516129</v>
      </c>
      <c r="CQ112">
        <v>-0.06619354838787837</v>
      </c>
      <c r="CR112">
        <v>0.04764988947207811</v>
      </c>
      <c r="CS112">
        <v>-1</v>
      </c>
      <c r="CT112">
        <v>0</v>
      </c>
      <c r="CU112">
        <v>0</v>
      </c>
      <c r="CV112" t="s">
        <v>333</v>
      </c>
      <c r="CW112">
        <v>3.17032</v>
      </c>
      <c r="CX112">
        <v>2.65836</v>
      </c>
      <c r="CY112">
        <v>0.112664</v>
      </c>
      <c r="CZ112">
        <v>0.113427</v>
      </c>
      <c r="DA112">
        <v>0.0678643</v>
      </c>
      <c r="DB112">
        <v>0.0637862</v>
      </c>
      <c r="DC112">
        <v>21283.9</v>
      </c>
      <c r="DD112">
        <v>21803.9</v>
      </c>
      <c r="DE112">
        <v>23096.4</v>
      </c>
      <c r="DF112">
        <v>22496.1</v>
      </c>
      <c r="DG112">
        <v>32533.7</v>
      </c>
      <c r="DH112">
        <v>29699.7</v>
      </c>
      <c r="DI112">
        <v>40604.6</v>
      </c>
      <c r="DJ112">
        <v>37230.3</v>
      </c>
      <c r="DK112">
        <v>2.08888</v>
      </c>
      <c r="DL112">
        <v>1.69222</v>
      </c>
      <c r="DM112">
        <v>-0.104293</v>
      </c>
      <c r="DN112">
        <v>0</v>
      </c>
      <c r="DO112">
        <v>26.9968</v>
      </c>
      <c r="DP112">
        <v>999.9</v>
      </c>
      <c r="DQ112">
        <v>53.6</v>
      </c>
      <c r="DR112">
        <v>32.3</v>
      </c>
      <c r="DS112">
        <v>25.9592</v>
      </c>
      <c r="DT112">
        <v>30.1164</v>
      </c>
      <c r="DU112">
        <v>12.2716</v>
      </c>
      <c r="DV112">
        <v>1</v>
      </c>
      <c r="DW112">
        <v>0.288949</v>
      </c>
      <c r="DX112">
        <v>2.77509</v>
      </c>
      <c r="DY112">
        <v>20.3386</v>
      </c>
      <c r="DZ112">
        <v>5.21214</v>
      </c>
      <c r="EA112">
        <v>11.8504</v>
      </c>
      <c r="EB112">
        <v>4.96776</v>
      </c>
      <c r="EC112">
        <v>3.29242</v>
      </c>
      <c r="ED112">
        <v>879.4</v>
      </c>
      <c r="EE112">
        <v>9999</v>
      </c>
      <c r="EF112">
        <v>9999</v>
      </c>
      <c r="EG112">
        <v>81.7</v>
      </c>
      <c r="EH112">
        <v>4.97157</v>
      </c>
      <c r="EI112">
        <v>1.87195</v>
      </c>
      <c r="EJ112">
        <v>1.86919</v>
      </c>
      <c r="EK112">
        <v>1.87151</v>
      </c>
      <c r="EL112">
        <v>1.86931</v>
      </c>
      <c r="EM112">
        <v>1.86826</v>
      </c>
      <c r="EN112">
        <v>1.87003</v>
      </c>
      <c r="EO112">
        <v>1.8718</v>
      </c>
      <c r="EP112">
        <v>0</v>
      </c>
      <c r="EQ112">
        <v>0</v>
      </c>
      <c r="ER112">
        <v>0</v>
      </c>
      <c r="ES112">
        <v>0</v>
      </c>
      <c r="ET112" t="s">
        <v>334</v>
      </c>
      <c r="EU112" t="s">
        <v>335</v>
      </c>
      <c r="EV112" t="s">
        <v>336</v>
      </c>
      <c r="EW112" t="s">
        <v>336</v>
      </c>
      <c r="EX112" t="s">
        <v>336</v>
      </c>
      <c r="EY112" t="s">
        <v>336</v>
      </c>
      <c r="EZ112">
        <v>0</v>
      </c>
      <c r="FA112">
        <v>100</v>
      </c>
      <c r="FB112">
        <v>100</v>
      </c>
      <c r="FC112">
        <v>6.496</v>
      </c>
      <c r="FD112">
        <v>0.0589</v>
      </c>
      <c r="FE112">
        <v>6.495476190476325</v>
      </c>
      <c r="FF112">
        <v>0</v>
      </c>
      <c r="FG112">
        <v>0</v>
      </c>
      <c r="FH112">
        <v>0</v>
      </c>
      <c r="FI112">
        <v>0.05881499999999917</v>
      </c>
      <c r="FJ112">
        <v>0</v>
      </c>
      <c r="FK112">
        <v>0</v>
      </c>
      <c r="FL112">
        <v>0</v>
      </c>
      <c r="FM112">
        <v>-1</v>
      </c>
      <c r="FN112">
        <v>-1</v>
      </c>
      <c r="FO112">
        <v>-1</v>
      </c>
      <c r="FP112">
        <v>-1</v>
      </c>
      <c r="FQ112">
        <v>96.3</v>
      </c>
      <c r="FR112">
        <v>96.5</v>
      </c>
      <c r="FS112">
        <v>0.144043</v>
      </c>
      <c r="FT112">
        <v>4.99756</v>
      </c>
      <c r="FU112">
        <v>1.5979</v>
      </c>
      <c r="FV112">
        <v>2.14355</v>
      </c>
      <c r="FW112">
        <v>1.54785</v>
      </c>
      <c r="FX112">
        <v>2.41455</v>
      </c>
      <c r="FY112">
        <v>38.5504</v>
      </c>
      <c r="FZ112">
        <v>15.8657</v>
      </c>
      <c r="GA112">
        <v>3</v>
      </c>
      <c r="GB112">
        <v>505.316</v>
      </c>
      <c r="GC112">
        <v>352.032</v>
      </c>
      <c r="GD112">
        <v>22.9638</v>
      </c>
      <c r="GE112">
        <v>30.7855</v>
      </c>
      <c r="GF112">
        <v>30.0006</v>
      </c>
      <c r="GG112">
        <v>30.6197</v>
      </c>
      <c r="GH112">
        <v>30.5995</v>
      </c>
      <c r="GI112">
        <v>-1</v>
      </c>
      <c r="GJ112">
        <v>100</v>
      </c>
      <c r="GK112">
        <v>0</v>
      </c>
      <c r="GL112">
        <v>22.9417</v>
      </c>
      <c r="GM112">
        <v>1200</v>
      </c>
      <c r="GN112">
        <v>26.7455</v>
      </c>
      <c r="GO112">
        <v>102.196</v>
      </c>
      <c r="GP112">
        <v>97.1982</v>
      </c>
    </row>
    <row r="113" spans="1:198">
      <c r="A113">
        <v>97</v>
      </c>
      <c r="B113">
        <v>1773274624.6</v>
      </c>
      <c r="C113">
        <v>5761</v>
      </c>
      <c r="D113" t="s">
        <v>527</v>
      </c>
      <c r="E113" t="s">
        <v>528</v>
      </c>
      <c r="F113">
        <v>15</v>
      </c>
      <c r="G113">
        <v>1773274616.599999</v>
      </c>
      <c r="H113">
        <f>(I113)/1000</f>
        <v>0</v>
      </c>
      <c r="I113">
        <f>1000*AY113*AG113*(AU113-AV113)/(100*AN113*(1000-AG113*AU113))</f>
        <v>0</v>
      </c>
      <c r="J113">
        <f>AY113*AG113*(AT113-AS113*(1000-AG113*AV113)/(1000-AG113*AU113))/(100*AN113)</f>
        <v>0</v>
      </c>
      <c r="K113">
        <f>AS113 - IF(AG113&gt;1, J113*AN113*100.0/(AI113), 0)</f>
        <v>0</v>
      </c>
      <c r="L113">
        <f>((R113-H113/2)*K113-J113)/(R113+H113/2)</f>
        <v>0</v>
      </c>
      <c r="M113">
        <f>L113*(AZ113+BA113)/1000.0</f>
        <v>0</v>
      </c>
      <c r="N113">
        <f>(AS113 - IF(AG113&gt;1, J113*AN113*100.0/(AI113), 0))*(AZ113+BA113)/1000.0</f>
        <v>0</v>
      </c>
      <c r="O113">
        <f>2.0/((1/Q113-1/P113)+SIGN(Q113)*SQRT((1/Q113-1/P113)*(1/Q113-1/P113) + 4*AO113/((AO113+1)*(AO113+1))*(2*1/Q113*1/P113-1/P113*1/P113)))</f>
        <v>0</v>
      </c>
      <c r="P113">
        <f>IF(LEFT(AP113,1)&lt;&gt;"0",IF(LEFT(AP113,1)="1",3.0,AQ113),$D$5+$E$5*(BG113*AZ113/($K$5*1000))+$F$5*(BG113*AZ113/($K$5*1000))*MAX(MIN(AN113,$J$5),$I$5)*MAX(MIN(AN113,$J$5),$I$5)+$G$5*MAX(MIN(AN113,$J$5),$I$5)*(BG113*AZ113/($K$5*1000))+$H$5*(BG113*AZ113/($K$5*1000))*(BG113*AZ113/($K$5*1000)))</f>
        <v>0</v>
      </c>
      <c r="Q113">
        <f>H113*(1000-(1000*0.61365*exp(17.502*U113/(240.97+U113))/(AZ113+BA113)+AU113)/2)/(1000*0.61365*exp(17.502*U113/(240.97+U113))/(AZ113+BA113)-AU113)</f>
        <v>0</v>
      </c>
      <c r="R113">
        <f>1/((AO113+1)/(O113/1.6)+1/(P113/1.37)) + AO113/((AO113+1)/(O113/1.6) + AO113/(P113/1.37))</f>
        <v>0</v>
      </c>
      <c r="S113">
        <f>(AJ113*AM113)</f>
        <v>0</v>
      </c>
      <c r="T113">
        <f>(BB113+(S113+2*0.95*5.67E-8*(((BB113+$B$7)+273)^4-(BB113+273)^4)-44100*H113)/(1.84*29.3*P113+8*0.95*5.67E-8*(BB113+273)^3))</f>
        <v>0</v>
      </c>
      <c r="U113">
        <f>($C$7*BC113+$D$7*BD113+$E$7*T113)</f>
        <v>0</v>
      </c>
      <c r="V113">
        <f>0.61365*exp(17.502*U113/(240.97+U113))</f>
        <v>0</v>
      </c>
      <c r="W113">
        <f>(X113/Y113*100)</f>
        <v>0</v>
      </c>
      <c r="X113">
        <f>AU113*(AZ113+BA113)/1000</f>
        <v>0</v>
      </c>
      <c r="Y113">
        <f>0.61365*exp(17.502*BB113/(240.97+BB113))</f>
        <v>0</v>
      </c>
      <c r="Z113">
        <f>(V113-AU113*(AZ113+BA113)/1000)</f>
        <v>0</v>
      </c>
      <c r="AA113">
        <f>(-H113*44100)</f>
        <v>0</v>
      </c>
      <c r="AB113">
        <f>2*29.3*P113*0.92*(BB113-U113)</f>
        <v>0</v>
      </c>
      <c r="AC113">
        <f>2*0.95*5.67E-8*(((BB113+$B$7)+273)^4-(U113+273)^4)</f>
        <v>0</v>
      </c>
      <c r="AD113">
        <f>S113+AC113+AA113+AB113</f>
        <v>0</v>
      </c>
      <c r="AE113">
        <v>0</v>
      </c>
      <c r="AF113">
        <v>0</v>
      </c>
      <c r="AG113">
        <f>IF(AE113*$H$13&gt;=AI113,1.0,(AI113/(AI113-AE113*$H$13)))</f>
        <v>0</v>
      </c>
      <c r="AH113">
        <f>(AG113-1)*100</f>
        <v>0</v>
      </c>
      <c r="AI113">
        <f>MAX(0,($B$13+$C$13*BG113)/(1+$D$13*BG113)*AZ113/(BB113+273)*$E$13)</f>
        <v>0</v>
      </c>
      <c r="AJ113">
        <f>$B$11*BH113+$C$11*BI113+$D$11*BT113</f>
        <v>0</v>
      </c>
      <c r="AK113">
        <f>AJ113*AL113</f>
        <v>0</v>
      </c>
      <c r="AL113">
        <f>($B$11*$D$9+$C$11*$D$9+$D$11*(BU113*$E$9+BV113*$G$9))/($B$11+$C$11+$D$11)</f>
        <v>0</v>
      </c>
      <c r="AM113">
        <f>($B$11*$K$9+$C$11*$K$9+$D$11*(BU113*$L$9+BV113*$N$9))/($B$11+$C$11+$D$11)</f>
        <v>0</v>
      </c>
      <c r="AN113">
        <v>3</v>
      </c>
      <c r="AO113">
        <v>0.5</v>
      </c>
      <c r="AP113" t="s">
        <v>331</v>
      </c>
      <c r="AQ113">
        <v>2</v>
      </c>
      <c r="AR113">
        <v>1773274616.599999</v>
      </c>
      <c r="AS113">
        <v>487.4344516129032</v>
      </c>
      <c r="AT113">
        <v>486.2286774193548</v>
      </c>
      <c r="AU113">
        <v>11.92244193548387</v>
      </c>
      <c r="AV113">
        <v>10.98693225806452</v>
      </c>
      <c r="AW113">
        <v>480.9390000000001</v>
      </c>
      <c r="AX113">
        <v>11.86361612903226</v>
      </c>
      <c r="AY113">
        <v>500.0251612903226</v>
      </c>
      <c r="AZ113">
        <v>100.2824838709678</v>
      </c>
      <c r="BA113">
        <v>0.03667703548387097</v>
      </c>
      <c r="BB113">
        <v>24.9998935483871</v>
      </c>
      <c r="BC113">
        <v>25.24686774193548</v>
      </c>
      <c r="BD113">
        <v>999.9000000000003</v>
      </c>
      <c r="BE113">
        <v>0</v>
      </c>
      <c r="BF113">
        <v>0</v>
      </c>
      <c r="BG113">
        <v>5009.387096774193</v>
      </c>
      <c r="BH113">
        <v>2.066277741935484</v>
      </c>
      <c r="BI113">
        <v>905.5577741935484</v>
      </c>
      <c r="BJ113">
        <v>1.205757741935484</v>
      </c>
      <c r="BK113">
        <v>493.3159677419355</v>
      </c>
      <c r="BL113">
        <v>491.630129032258</v>
      </c>
      <c r="BM113">
        <v>0.9355005483870968</v>
      </c>
      <c r="BN113">
        <v>486.2286774193548</v>
      </c>
      <c r="BO113">
        <v>10.98693225806452</v>
      </c>
      <c r="BP113">
        <v>1.195610967741936</v>
      </c>
      <c r="BQ113">
        <v>1.101796451612903</v>
      </c>
      <c r="BR113">
        <v>9.547010000000002</v>
      </c>
      <c r="BS113">
        <v>8.33690387096774</v>
      </c>
      <c r="BT113">
        <v>0</v>
      </c>
      <c r="BU113">
        <v>0</v>
      </c>
      <c r="BV113">
        <v>0</v>
      </c>
      <c r="BW113">
        <v>29</v>
      </c>
      <c r="BX113">
        <v>46.50108709677419</v>
      </c>
      <c r="BY113">
        <v>1773268786.6</v>
      </c>
      <c r="BZ113" t="s">
        <v>332</v>
      </c>
      <c r="CA113">
        <v>1773268786.6</v>
      </c>
      <c r="CB113">
        <v>1773268774.1</v>
      </c>
      <c r="CC113">
        <v>2</v>
      </c>
      <c r="CD113">
        <v>0.264</v>
      </c>
      <c r="CE113">
        <v>-0.024</v>
      </c>
      <c r="CF113">
        <v>6.495</v>
      </c>
      <c r="CG113">
        <v>0.059</v>
      </c>
      <c r="CH113">
        <v>488</v>
      </c>
      <c r="CI113">
        <v>25</v>
      </c>
      <c r="CJ113">
        <v>0.48</v>
      </c>
      <c r="CK113">
        <v>0.14</v>
      </c>
      <c r="CL113">
        <v>486.2136333333333</v>
      </c>
      <c r="CM113">
        <v>1.719590656285159</v>
      </c>
      <c r="CN113">
        <v>0.1283631523798345</v>
      </c>
      <c r="CO113">
        <v>-1</v>
      </c>
      <c r="CP113">
        <v>500.0257</v>
      </c>
      <c r="CQ113">
        <v>-0.2715817575085793</v>
      </c>
      <c r="CR113">
        <v>0.06797801115066246</v>
      </c>
      <c r="CS113">
        <v>-1</v>
      </c>
      <c r="CT113">
        <v>0</v>
      </c>
      <c r="CU113">
        <v>0</v>
      </c>
      <c r="CV113" t="s">
        <v>333</v>
      </c>
      <c r="CW113">
        <v>3.1704</v>
      </c>
      <c r="CX113">
        <v>2.65776</v>
      </c>
      <c r="CY113">
        <v>0.112539</v>
      </c>
      <c r="CZ113">
        <v>0.113491</v>
      </c>
      <c r="DA113">
        <v>0.0680347</v>
      </c>
      <c r="DB113">
        <v>0.0638693</v>
      </c>
      <c r="DC113">
        <v>21284.7</v>
      </c>
      <c r="DD113">
        <v>21800.5</v>
      </c>
      <c r="DE113">
        <v>23094.3</v>
      </c>
      <c r="DF113">
        <v>22494.3</v>
      </c>
      <c r="DG113">
        <v>32525</v>
      </c>
      <c r="DH113">
        <v>29694</v>
      </c>
      <c r="DI113">
        <v>40601.3</v>
      </c>
      <c r="DJ113">
        <v>37226.7</v>
      </c>
      <c r="DK113">
        <v>2.0883</v>
      </c>
      <c r="DL113">
        <v>1.69064</v>
      </c>
      <c r="DM113">
        <v>-0.103292</v>
      </c>
      <c r="DN113">
        <v>0</v>
      </c>
      <c r="DO113">
        <v>26.9375</v>
      </c>
      <c r="DP113">
        <v>999.9</v>
      </c>
      <c r="DQ113">
        <v>53.3</v>
      </c>
      <c r="DR113">
        <v>32.4</v>
      </c>
      <c r="DS113">
        <v>25.9585</v>
      </c>
      <c r="DT113">
        <v>29.7264</v>
      </c>
      <c r="DU113">
        <v>12.1915</v>
      </c>
      <c r="DV113">
        <v>1</v>
      </c>
      <c r="DW113">
        <v>0.293648</v>
      </c>
      <c r="DX113">
        <v>2.75516</v>
      </c>
      <c r="DY113">
        <v>20.3393</v>
      </c>
      <c r="DZ113">
        <v>5.2113</v>
      </c>
      <c r="EA113">
        <v>11.8504</v>
      </c>
      <c r="EB113">
        <v>4.96772</v>
      </c>
      <c r="EC113">
        <v>3.29226</v>
      </c>
      <c r="ED113">
        <v>879.4</v>
      </c>
      <c r="EE113">
        <v>9999</v>
      </c>
      <c r="EF113">
        <v>9999</v>
      </c>
      <c r="EG113">
        <v>81.7</v>
      </c>
      <c r="EH113">
        <v>4.97158</v>
      </c>
      <c r="EI113">
        <v>1.87195</v>
      </c>
      <c r="EJ113">
        <v>1.8692</v>
      </c>
      <c r="EK113">
        <v>1.87154</v>
      </c>
      <c r="EL113">
        <v>1.86933</v>
      </c>
      <c r="EM113">
        <v>1.86821</v>
      </c>
      <c r="EN113">
        <v>1.87009</v>
      </c>
      <c r="EO113">
        <v>1.87181</v>
      </c>
      <c r="EP113">
        <v>0</v>
      </c>
      <c r="EQ113">
        <v>0</v>
      </c>
      <c r="ER113">
        <v>0</v>
      </c>
      <c r="ES113">
        <v>0</v>
      </c>
      <c r="ET113" t="s">
        <v>334</v>
      </c>
      <c r="EU113" t="s">
        <v>335</v>
      </c>
      <c r="EV113" t="s">
        <v>336</v>
      </c>
      <c r="EW113" t="s">
        <v>336</v>
      </c>
      <c r="EX113" t="s">
        <v>336</v>
      </c>
      <c r="EY113" t="s">
        <v>336</v>
      </c>
      <c r="EZ113">
        <v>0</v>
      </c>
      <c r="FA113">
        <v>100</v>
      </c>
      <c r="FB113">
        <v>100</v>
      </c>
      <c r="FC113">
        <v>6.495</v>
      </c>
      <c r="FD113">
        <v>0.0588</v>
      </c>
      <c r="FE113">
        <v>6.495476190476325</v>
      </c>
      <c r="FF113">
        <v>0</v>
      </c>
      <c r="FG113">
        <v>0</v>
      </c>
      <c r="FH113">
        <v>0</v>
      </c>
      <c r="FI113">
        <v>0.05881499999999917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97.3</v>
      </c>
      <c r="FR113">
        <v>97.5</v>
      </c>
      <c r="FS113">
        <v>0.144043</v>
      </c>
      <c r="FT113">
        <v>4.99756</v>
      </c>
      <c r="FU113">
        <v>1.5979</v>
      </c>
      <c r="FV113">
        <v>2.14355</v>
      </c>
      <c r="FW113">
        <v>1.54785</v>
      </c>
      <c r="FX113">
        <v>2.43286</v>
      </c>
      <c r="FY113">
        <v>38.6733</v>
      </c>
      <c r="FZ113">
        <v>15.8745</v>
      </c>
      <c r="GA113">
        <v>3</v>
      </c>
      <c r="GB113">
        <v>505.445</v>
      </c>
      <c r="GC113">
        <v>351.547</v>
      </c>
      <c r="GD113">
        <v>22.7943</v>
      </c>
      <c r="GE113">
        <v>30.8434</v>
      </c>
      <c r="GF113">
        <v>30.0003</v>
      </c>
      <c r="GG113">
        <v>30.6807</v>
      </c>
      <c r="GH113">
        <v>30.6597</v>
      </c>
      <c r="GI113">
        <v>-1</v>
      </c>
      <c r="GJ113">
        <v>100</v>
      </c>
      <c r="GK113">
        <v>0</v>
      </c>
      <c r="GL113">
        <v>22.9092</v>
      </c>
      <c r="GM113">
        <v>1200</v>
      </c>
      <c r="GN113">
        <v>26.7455</v>
      </c>
      <c r="GO113">
        <v>102.187</v>
      </c>
      <c r="GP113">
        <v>97.1896</v>
      </c>
    </row>
    <row r="114" spans="1:198">
      <c r="A114">
        <v>98</v>
      </c>
      <c r="B114">
        <v>1773274684.6</v>
      </c>
      <c r="C114">
        <v>5821</v>
      </c>
      <c r="D114" t="s">
        <v>529</v>
      </c>
      <c r="E114" t="s">
        <v>530</v>
      </c>
      <c r="F114">
        <v>15</v>
      </c>
      <c r="G114">
        <v>1773274676.599999</v>
      </c>
      <c r="H114">
        <f>(I114)/1000</f>
        <v>0</v>
      </c>
      <c r="I114">
        <f>1000*AY114*AG114*(AU114-AV114)/(100*AN114*(1000-AG114*AU114))</f>
        <v>0</v>
      </c>
      <c r="J114">
        <f>AY114*AG114*(AT114-AS114*(1000-AG114*AV114)/(1000-AG114*AU114))/(100*AN114)</f>
        <v>0</v>
      </c>
      <c r="K114">
        <f>AS114 - IF(AG114&gt;1, J114*AN114*100.0/(AI114), 0)</f>
        <v>0</v>
      </c>
      <c r="L114">
        <f>((R114-H114/2)*K114-J114)/(R114+H114/2)</f>
        <v>0</v>
      </c>
      <c r="M114">
        <f>L114*(AZ114+BA114)/1000.0</f>
        <v>0</v>
      </c>
      <c r="N114">
        <f>(AS114 - IF(AG114&gt;1, J114*AN114*100.0/(AI114), 0))*(AZ114+BA114)/1000.0</f>
        <v>0</v>
      </c>
      <c r="O114">
        <f>2.0/((1/Q114-1/P114)+SIGN(Q114)*SQRT((1/Q114-1/P114)*(1/Q114-1/P114) + 4*AO114/((AO114+1)*(AO114+1))*(2*1/Q114*1/P114-1/P114*1/P114)))</f>
        <v>0</v>
      </c>
      <c r="P114">
        <f>IF(LEFT(AP114,1)&lt;&gt;"0",IF(LEFT(AP114,1)="1",3.0,AQ114),$D$5+$E$5*(BG114*AZ114/($K$5*1000))+$F$5*(BG114*AZ114/($K$5*1000))*MAX(MIN(AN114,$J$5),$I$5)*MAX(MIN(AN114,$J$5),$I$5)+$G$5*MAX(MIN(AN114,$J$5),$I$5)*(BG114*AZ114/($K$5*1000))+$H$5*(BG114*AZ114/($K$5*1000))*(BG114*AZ114/($K$5*1000)))</f>
        <v>0</v>
      </c>
      <c r="Q114">
        <f>H114*(1000-(1000*0.61365*exp(17.502*U114/(240.97+U114))/(AZ114+BA114)+AU114)/2)/(1000*0.61365*exp(17.502*U114/(240.97+U114))/(AZ114+BA114)-AU114)</f>
        <v>0</v>
      </c>
      <c r="R114">
        <f>1/((AO114+1)/(O114/1.6)+1/(P114/1.37)) + AO114/((AO114+1)/(O114/1.6) + AO114/(P114/1.37))</f>
        <v>0</v>
      </c>
      <c r="S114">
        <f>(AJ114*AM114)</f>
        <v>0</v>
      </c>
      <c r="T114">
        <f>(BB114+(S114+2*0.95*5.67E-8*(((BB114+$B$7)+273)^4-(BB114+273)^4)-44100*H114)/(1.84*29.3*P114+8*0.95*5.67E-8*(BB114+273)^3))</f>
        <v>0</v>
      </c>
      <c r="U114">
        <f>($C$7*BC114+$D$7*BD114+$E$7*T114)</f>
        <v>0</v>
      </c>
      <c r="V114">
        <f>0.61365*exp(17.502*U114/(240.97+U114))</f>
        <v>0</v>
      </c>
      <c r="W114">
        <f>(X114/Y114*100)</f>
        <v>0</v>
      </c>
      <c r="X114">
        <f>AU114*(AZ114+BA114)/1000</f>
        <v>0</v>
      </c>
      <c r="Y114">
        <f>0.61365*exp(17.502*BB114/(240.97+BB114))</f>
        <v>0</v>
      </c>
      <c r="Z114">
        <f>(V114-AU114*(AZ114+BA114)/1000)</f>
        <v>0</v>
      </c>
      <c r="AA114">
        <f>(-H114*44100)</f>
        <v>0</v>
      </c>
      <c r="AB114">
        <f>2*29.3*P114*0.92*(BB114-U114)</f>
        <v>0</v>
      </c>
      <c r="AC114">
        <f>2*0.95*5.67E-8*(((BB114+$B$7)+273)^4-(U114+273)^4)</f>
        <v>0</v>
      </c>
      <c r="AD114">
        <f>S114+AC114+AA114+AB114</f>
        <v>0</v>
      </c>
      <c r="AE114">
        <v>0</v>
      </c>
      <c r="AF114">
        <v>0</v>
      </c>
      <c r="AG114">
        <f>IF(AE114*$H$13&gt;=AI114,1.0,(AI114/(AI114-AE114*$H$13)))</f>
        <v>0</v>
      </c>
      <c r="AH114">
        <f>(AG114-1)*100</f>
        <v>0</v>
      </c>
      <c r="AI114">
        <f>MAX(0,($B$13+$C$13*BG114)/(1+$D$13*BG114)*AZ114/(BB114+273)*$E$13)</f>
        <v>0</v>
      </c>
      <c r="AJ114">
        <f>$B$11*BH114+$C$11*BI114+$D$11*BT114</f>
        <v>0</v>
      </c>
      <c r="AK114">
        <f>AJ114*AL114</f>
        <v>0</v>
      </c>
      <c r="AL114">
        <f>($B$11*$D$9+$C$11*$D$9+$D$11*(BU114*$E$9+BV114*$G$9))/($B$11+$C$11+$D$11)</f>
        <v>0</v>
      </c>
      <c r="AM114">
        <f>($B$11*$K$9+$C$11*$K$9+$D$11*(BU114*$L$9+BV114*$N$9))/($B$11+$C$11+$D$11)</f>
        <v>0</v>
      </c>
      <c r="AN114">
        <v>3</v>
      </c>
      <c r="AO114">
        <v>0.5</v>
      </c>
      <c r="AP114" t="s">
        <v>331</v>
      </c>
      <c r="AQ114">
        <v>2</v>
      </c>
      <c r="AR114">
        <v>1773274676.599999</v>
      </c>
      <c r="AS114">
        <v>488.2453870967742</v>
      </c>
      <c r="AT114">
        <v>486.7746774193549</v>
      </c>
      <c r="AU114">
        <v>11.96955483870968</v>
      </c>
      <c r="AV114">
        <v>11.02487419354839</v>
      </c>
      <c r="AW114">
        <v>481.7499354838709</v>
      </c>
      <c r="AX114">
        <v>11.91073870967742</v>
      </c>
      <c r="AY114">
        <v>499.9852580645161</v>
      </c>
      <c r="AZ114">
        <v>100.2808387096774</v>
      </c>
      <c r="BA114">
        <v>0.03691887419354838</v>
      </c>
      <c r="BB114">
        <v>25.01016451612903</v>
      </c>
      <c r="BC114">
        <v>25.24743548387097</v>
      </c>
      <c r="BD114">
        <v>999.9000000000003</v>
      </c>
      <c r="BE114">
        <v>0</v>
      </c>
      <c r="BF114">
        <v>0</v>
      </c>
      <c r="BG114">
        <v>4994.903225806452</v>
      </c>
      <c r="BH114">
        <v>2.069512903225806</v>
      </c>
      <c r="BI114">
        <v>912.7345806451615</v>
      </c>
      <c r="BJ114">
        <v>1.470807096774194</v>
      </c>
      <c r="BK114">
        <v>494.160193548387</v>
      </c>
      <c r="BL114">
        <v>492.2011290322581</v>
      </c>
      <c r="BM114">
        <v>0.9446679677419354</v>
      </c>
      <c r="BN114">
        <v>486.7746774193549</v>
      </c>
      <c r="BO114">
        <v>11.02487419354839</v>
      </c>
      <c r="BP114">
        <v>1.200316129032258</v>
      </c>
      <c r="BQ114">
        <v>1.105583870967742</v>
      </c>
      <c r="BR114">
        <v>9.605468709677421</v>
      </c>
      <c r="BS114">
        <v>8.387485161290323</v>
      </c>
      <c r="BT114">
        <v>0</v>
      </c>
      <c r="BU114">
        <v>0</v>
      </c>
      <c r="BV114">
        <v>0</v>
      </c>
      <c r="BW114">
        <v>29</v>
      </c>
      <c r="BX114">
        <v>47</v>
      </c>
      <c r="BY114">
        <v>1773268786.6</v>
      </c>
      <c r="BZ114" t="s">
        <v>332</v>
      </c>
      <c r="CA114">
        <v>1773268786.6</v>
      </c>
      <c r="CB114">
        <v>1773268774.1</v>
      </c>
      <c r="CC114">
        <v>2</v>
      </c>
      <c r="CD114">
        <v>0.264</v>
      </c>
      <c r="CE114">
        <v>-0.024</v>
      </c>
      <c r="CF114">
        <v>6.495</v>
      </c>
      <c r="CG114">
        <v>0.059</v>
      </c>
      <c r="CH114">
        <v>488</v>
      </c>
      <c r="CI114">
        <v>25</v>
      </c>
      <c r="CJ114">
        <v>0.48</v>
      </c>
      <c r="CK114">
        <v>0.14</v>
      </c>
      <c r="CL114">
        <v>486.7805000000001</v>
      </c>
      <c r="CM114">
        <v>-0.3531657397103821</v>
      </c>
      <c r="CN114">
        <v>0.02803301624870093</v>
      </c>
      <c r="CO114">
        <v>-1</v>
      </c>
      <c r="CP114">
        <v>499.9923333333333</v>
      </c>
      <c r="CQ114">
        <v>-0.6346785317012833</v>
      </c>
      <c r="CR114">
        <v>0.06863251577949421</v>
      </c>
      <c r="CS114">
        <v>-1</v>
      </c>
      <c r="CT114">
        <v>0</v>
      </c>
      <c r="CU114">
        <v>0</v>
      </c>
      <c r="CV114" t="s">
        <v>333</v>
      </c>
      <c r="CW114">
        <v>3.17027</v>
      </c>
      <c r="CX114">
        <v>2.65841</v>
      </c>
      <c r="CY114">
        <v>0.112621</v>
      </c>
      <c r="CZ114">
        <v>0.11354</v>
      </c>
      <c r="DA114">
        <v>0.06824520000000001</v>
      </c>
      <c r="DB114">
        <v>0.0640387</v>
      </c>
      <c r="DC114">
        <v>21280.5</v>
      </c>
      <c r="DD114">
        <v>21797.9</v>
      </c>
      <c r="DE114">
        <v>23092</v>
      </c>
      <c r="DF114">
        <v>22493.1</v>
      </c>
      <c r="DG114">
        <v>32514.7</v>
      </c>
      <c r="DH114">
        <v>29686.7</v>
      </c>
      <c r="DI114">
        <v>40597.7</v>
      </c>
      <c r="DJ114">
        <v>37224.4</v>
      </c>
      <c r="DK114">
        <v>2.08766</v>
      </c>
      <c r="DL114">
        <v>1.68846</v>
      </c>
      <c r="DM114">
        <v>-0.102282</v>
      </c>
      <c r="DN114">
        <v>0</v>
      </c>
      <c r="DO114">
        <v>26.9242</v>
      </c>
      <c r="DP114">
        <v>999.9</v>
      </c>
      <c r="DQ114">
        <v>52.9</v>
      </c>
      <c r="DR114">
        <v>32.6</v>
      </c>
      <c r="DS114">
        <v>26.0549</v>
      </c>
      <c r="DT114">
        <v>29.8464</v>
      </c>
      <c r="DU114">
        <v>12.2236</v>
      </c>
      <c r="DV114">
        <v>1</v>
      </c>
      <c r="DW114">
        <v>0.297335</v>
      </c>
      <c r="DX114">
        <v>2.82919</v>
      </c>
      <c r="DY114">
        <v>20.3378</v>
      </c>
      <c r="DZ114">
        <v>5.21142</v>
      </c>
      <c r="EA114">
        <v>11.8509</v>
      </c>
      <c r="EB114">
        <v>4.96768</v>
      </c>
      <c r="EC114">
        <v>3.29212</v>
      </c>
      <c r="ED114">
        <v>879.4</v>
      </c>
      <c r="EE114">
        <v>9999</v>
      </c>
      <c r="EF114">
        <v>9999</v>
      </c>
      <c r="EG114">
        <v>81.7</v>
      </c>
      <c r="EH114">
        <v>4.97158</v>
      </c>
      <c r="EI114">
        <v>1.87195</v>
      </c>
      <c r="EJ114">
        <v>1.8692</v>
      </c>
      <c r="EK114">
        <v>1.87155</v>
      </c>
      <c r="EL114">
        <v>1.86933</v>
      </c>
      <c r="EM114">
        <v>1.86827</v>
      </c>
      <c r="EN114">
        <v>1.87011</v>
      </c>
      <c r="EO114">
        <v>1.8718</v>
      </c>
      <c r="EP114">
        <v>0</v>
      </c>
      <c r="EQ114">
        <v>0</v>
      </c>
      <c r="ER114">
        <v>0</v>
      </c>
      <c r="ES114">
        <v>0</v>
      </c>
      <c r="ET114" t="s">
        <v>334</v>
      </c>
      <c r="EU114" t="s">
        <v>335</v>
      </c>
      <c r="EV114" t="s">
        <v>336</v>
      </c>
      <c r="EW114" t="s">
        <v>336</v>
      </c>
      <c r="EX114" t="s">
        <v>336</v>
      </c>
      <c r="EY114" t="s">
        <v>336</v>
      </c>
      <c r="EZ114">
        <v>0</v>
      </c>
      <c r="FA114">
        <v>100</v>
      </c>
      <c r="FB114">
        <v>100</v>
      </c>
      <c r="FC114">
        <v>6.496</v>
      </c>
      <c r="FD114">
        <v>0.0588</v>
      </c>
      <c r="FE114">
        <v>6.495476190476325</v>
      </c>
      <c r="FF114">
        <v>0</v>
      </c>
      <c r="FG114">
        <v>0</v>
      </c>
      <c r="FH114">
        <v>0</v>
      </c>
      <c r="FI114">
        <v>0.05881499999999917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98.3</v>
      </c>
      <c r="FR114">
        <v>98.5</v>
      </c>
      <c r="FS114">
        <v>0.144043</v>
      </c>
      <c r="FT114">
        <v>4.99756</v>
      </c>
      <c r="FU114">
        <v>1.5979</v>
      </c>
      <c r="FV114">
        <v>2.14355</v>
      </c>
      <c r="FW114">
        <v>1.54785</v>
      </c>
      <c r="FX114">
        <v>2.44019</v>
      </c>
      <c r="FY114">
        <v>38.7717</v>
      </c>
      <c r="FZ114">
        <v>15.8657</v>
      </c>
      <c r="GA114">
        <v>3</v>
      </c>
      <c r="GB114">
        <v>505.492</v>
      </c>
      <c r="GC114">
        <v>350.727</v>
      </c>
      <c r="GD114">
        <v>22.8542</v>
      </c>
      <c r="GE114">
        <v>30.8949</v>
      </c>
      <c r="GF114">
        <v>30.0003</v>
      </c>
      <c r="GG114">
        <v>30.7359</v>
      </c>
      <c r="GH114">
        <v>30.7154</v>
      </c>
      <c r="GI114">
        <v>-1</v>
      </c>
      <c r="GJ114">
        <v>100</v>
      </c>
      <c r="GK114">
        <v>0</v>
      </c>
      <c r="GL114">
        <v>22.8428</v>
      </c>
      <c r="GM114">
        <v>1200</v>
      </c>
      <c r="GN114">
        <v>26.7455</v>
      </c>
      <c r="GO114">
        <v>102.177</v>
      </c>
      <c r="GP114">
        <v>97.18380000000001</v>
      </c>
    </row>
    <row r="115" spans="1:198">
      <c r="A115">
        <v>99</v>
      </c>
      <c r="B115">
        <v>1773274744.6</v>
      </c>
      <c r="C115">
        <v>5881</v>
      </c>
      <c r="D115" t="s">
        <v>531</v>
      </c>
      <c r="E115" t="s">
        <v>532</v>
      </c>
      <c r="F115">
        <v>15</v>
      </c>
      <c r="G115">
        <v>1773274736.599999</v>
      </c>
      <c r="H115">
        <f>(I115)/1000</f>
        <v>0</v>
      </c>
      <c r="I115">
        <f>1000*AY115*AG115*(AU115-AV115)/(100*AN115*(1000-AG115*AU115))</f>
        <v>0</v>
      </c>
      <c r="J115">
        <f>AY115*AG115*(AT115-AS115*(1000-AG115*AV115)/(1000-AG115*AU115))/(100*AN115)</f>
        <v>0</v>
      </c>
      <c r="K115">
        <f>AS115 - IF(AG115&gt;1, J115*AN115*100.0/(AI115), 0)</f>
        <v>0</v>
      </c>
      <c r="L115">
        <f>((R115-H115/2)*K115-J115)/(R115+H115/2)</f>
        <v>0</v>
      </c>
      <c r="M115">
        <f>L115*(AZ115+BA115)/1000.0</f>
        <v>0</v>
      </c>
      <c r="N115">
        <f>(AS115 - IF(AG115&gt;1, J115*AN115*100.0/(AI115), 0))*(AZ115+BA115)/1000.0</f>
        <v>0</v>
      </c>
      <c r="O115">
        <f>2.0/((1/Q115-1/P115)+SIGN(Q115)*SQRT((1/Q115-1/P115)*(1/Q115-1/P115) + 4*AO115/((AO115+1)*(AO115+1))*(2*1/Q115*1/P115-1/P115*1/P115)))</f>
        <v>0</v>
      </c>
      <c r="P115">
        <f>IF(LEFT(AP115,1)&lt;&gt;"0",IF(LEFT(AP115,1)="1",3.0,AQ115),$D$5+$E$5*(BG115*AZ115/($K$5*1000))+$F$5*(BG115*AZ115/($K$5*1000))*MAX(MIN(AN115,$J$5),$I$5)*MAX(MIN(AN115,$J$5),$I$5)+$G$5*MAX(MIN(AN115,$J$5),$I$5)*(BG115*AZ115/($K$5*1000))+$H$5*(BG115*AZ115/($K$5*1000))*(BG115*AZ115/($K$5*1000)))</f>
        <v>0</v>
      </c>
      <c r="Q115">
        <f>H115*(1000-(1000*0.61365*exp(17.502*U115/(240.97+U115))/(AZ115+BA115)+AU115)/2)/(1000*0.61365*exp(17.502*U115/(240.97+U115))/(AZ115+BA115)-AU115)</f>
        <v>0</v>
      </c>
      <c r="R115">
        <f>1/((AO115+1)/(O115/1.6)+1/(P115/1.37)) + AO115/((AO115+1)/(O115/1.6) + AO115/(P115/1.37))</f>
        <v>0</v>
      </c>
      <c r="S115">
        <f>(AJ115*AM115)</f>
        <v>0</v>
      </c>
      <c r="T115">
        <f>(BB115+(S115+2*0.95*5.67E-8*(((BB115+$B$7)+273)^4-(BB115+273)^4)-44100*H115)/(1.84*29.3*P115+8*0.95*5.67E-8*(BB115+273)^3))</f>
        <v>0</v>
      </c>
      <c r="U115">
        <f>($C$7*BC115+$D$7*BD115+$E$7*T115)</f>
        <v>0</v>
      </c>
      <c r="V115">
        <f>0.61365*exp(17.502*U115/(240.97+U115))</f>
        <v>0</v>
      </c>
      <c r="W115">
        <f>(X115/Y115*100)</f>
        <v>0</v>
      </c>
      <c r="X115">
        <f>AU115*(AZ115+BA115)/1000</f>
        <v>0</v>
      </c>
      <c r="Y115">
        <f>0.61365*exp(17.502*BB115/(240.97+BB115))</f>
        <v>0</v>
      </c>
      <c r="Z115">
        <f>(V115-AU115*(AZ115+BA115)/1000)</f>
        <v>0</v>
      </c>
      <c r="AA115">
        <f>(-H115*44100)</f>
        <v>0</v>
      </c>
      <c r="AB115">
        <f>2*29.3*P115*0.92*(BB115-U115)</f>
        <v>0</v>
      </c>
      <c r="AC115">
        <f>2*0.95*5.67E-8*(((BB115+$B$7)+273)^4-(U115+273)^4)</f>
        <v>0</v>
      </c>
      <c r="AD115">
        <f>S115+AC115+AA115+AB115</f>
        <v>0</v>
      </c>
      <c r="AE115">
        <v>0</v>
      </c>
      <c r="AF115">
        <v>0</v>
      </c>
      <c r="AG115">
        <f>IF(AE115*$H$13&gt;=AI115,1.0,(AI115/(AI115-AE115*$H$13)))</f>
        <v>0</v>
      </c>
      <c r="AH115">
        <f>(AG115-1)*100</f>
        <v>0</v>
      </c>
      <c r="AI115">
        <f>MAX(0,($B$13+$C$13*BG115)/(1+$D$13*BG115)*AZ115/(BB115+273)*$E$13)</f>
        <v>0</v>
      </c>
      <c r="AJ115">
        <f>$B$11*BH115+$C$11*BI115+$D$11*BT115</f>
        <v>0</v>
      </c>
      <c r="AK115">
        <f>AJ115*AL115</f>
        <v>0</v>
      </c>
      <c r="AL115">
        <f>($B$11*$D$9+$C$11*$D$9+$D$11*(BU115*$E$9+BV115*$G$9))/($B$11+$C$11+$D$11)</f>
        <v>0</v>
      </c>
      <c r="AM115">
        <f>($B$11*$K$9+$C$11*$K$9+$D$11*(BU115*$L$9+BV115*$N$9))/($B$11+$C$11+$D$11)</f>
        <v>0</v>
      </c>
      <c r="AN115">
        <v>3</v>
      </c>
      <c r="AO115">
        <v>0.5</v>
      </c>
      <c r="AP115" t="s">
        <v>331</v>
      </c>
      <c r="AQ115">
        <v>2</v>
      </c>
      <c r="AR115">
        <v>1773274736.599999</v>
      </c>
      <c r="AS115">
        <v>487.2926451612905</v>
      </c>
      <c r="AT115">
        <v>485.891129032258</v>
      </c>
      <c r="AU115">
        <v>12.01135483870968</v>
      </c>
      <c r="AV115">
        <v>11.05678709677419</v>
      </c>
      <c r="AW115">
        <v>480.7972258064516</v>
      </c>
      <c r="AX115">
        <v>11.95253548387097</v>
      </c>
      <c r="AY115">
        <v>500.0084516129031</v>
      </c>
      <c r="AZ115">
        <v>100.2819032258065</v>
      </c>
      <c r="BA115">
        <v>0.0366579064516129</v>
      </c>
      <c r="BB115">
        <v>25.00174193548387</v>
      </c>
      <c r="BC115">
        <v>25.24562903225807</v>
      </c>
      <c r="BD115">
        <v>999.9000000000003</v>
      </c>
      <c r="BE115">
        <v>0</v>
      </c>
      <c r="BF115">
        <v>0</v>
      </c>
      <c r="BG115">
        <v>5002.548387096775</v>
      </c>
      <c r="BH115">
        <v>2.018714516129033</v>
      </c>
      <c r="BI115">
        <v>914.3729032258065</v>
      </c>
      <c r="BJ115">
        <v>1.401448064516129</v>
      </c>
      <c r="BK115">
        <v>493.2168387096775</v>
      </c>
      <c r="BL115">
        <v>491.3236774193547</v>
      </c>
      <c r="BM115">
        <v>0.9545672580645163</v>
      </c>
      <c r="BN115">
        <v>485.891129032258</v>
      </c>
      <c r="BO115">
        <v>11.05678709677419</v>
      </c>
      <c r="BP115">
        <v>1.204521935483871</v>
      </c>
      <c r="BQ115">
        <v>1.108796129032258</v>
      </c>
      <c r="BR115">
        <v>9.657552258064516</v>
      </c>
      <c r="BS115">
        <v>8.430262258064518</v>
      </c>
      <c r="BT115">
        <v>0</v>
      </c>
      <c r="BU115">
        <v>0</v>
      </c>
      <c r="BV115">
        <v>0</v>
      </c>
      <c r="BW115">
        <v>29</v>
      </c>
      <c r="BX115">
        <v>47</v>
      </c>
      <c r="BY115">
        <v>1773268786.6</v>
      </c>
      <c r="BZ115" t="s">
        <v>332</v>
      </c>
      <c r="CA115">
        <v>1773268786.6</v>
      </c>
      <c r="CB115">
        <v>1773268774.1</v>
      </c>
      <c r="CC115">
        <v>2</v>
      </c>
      <c r="CD115">
        <v>0.264</v>
      </c>
      <c r="CE115">
        <v>-0.024</v>
      </c>
      <c r="CF115">
        <v>6.495</v>
      </c>
      <c r="CG115">
        <v>0.059</v>
      </c>
      <c r="CH115">
        <v>488</v>
      </c>
      <c r="CI115">
        <v>25</v>
      </c>
      <c r="CJ115">
        <v>0.48</v>
      </c>
      <c r="CK115">
        <v>0.14</v>
      </c>
      <c r="CL115">
        <v>485.8852580645161</v>
      </c>
      <c r="CM115">
        <v>0.5254838709659645</v>
      </c>
      <c r="CN115">
        <v>0.04378979682449737</v>
      </c>
      <c r="CO115">
        <v>-1</v>
      </c>
      <c r="CP115">
        <v>500.0038064516129</v>
      </c>
      <c r="CQ115">
        <v>0.2362258064508147</v>
      </c>
      <c r="CR115">
        <v>0.05570279390389</v>
      </c>
      <c r="CS115">
        <v>-1</v>
      </c>
      <c r="CT115">
        <v>0</v>
      </c>
      <c r="CU115">
        <v>0</v>
      </c>
      <c r="CV115" t="s">
        <v>333</v>
      </c>
      <c r="CW115">
        <v>3.17025</v>
      </c>
      <c r="CX115">
        <v>2.65793</v>
      </c>
      <c r="CY115">
        <v>0.112458</v>
      </c>
      <c r="CZ115">
        <v>0.11341</v>
      </c>
      <c r="DA115">
        <v>0.0684206</v>
      </c>
      <c r="DB115">
        <v>0.0641896</v>
      </c>
      <c r="DC115">
        <v>21282.5</v>
      </c>
      <c r="DD115">
        <v>21799.7</v>
      </c>
      <c r="DE115">
        <v>23090.2</v>
      </c>
      <c r="DF115">
        <v>22491.8</v>
      </c>
      <c r="DG115">
        <v>32506.3</v>
      </c>
      <c r="DH115">
        <v>29680.2</v>
      </c>
      <c r="DI115">
        <v>40595.1</v>
      </c>
      <c r="DJ115">
        <v>37222.4</v>
      </c>
      <c r="DK115">
        <v>2.08708</v>
      </c>
      <c r="DL115">
        <v>1.68784</v>
      </c>
      <c r="DM115">
        <v>-0.103766</v>
      </c>
      <c r="DN115">
        <v>0</v>
      </c>
      <c r="DO115">
        <v>26.9375</v>
      </c>
      <c r="DP115">
        <v>999.9</v>
      </c>
      <c r="DQ115">
        <v>52.5</v>
      </c>
      <c r="DR115">
        <v>32.7</v>
      </c>
      <c r="DS115">
        <v>26.0089</v>
      </c>
      <c r="DT115">
        <v>29.9964</v>
      </c>
      <c r="DU115">
        <v>12.5</v>
      </c>
      <c r="DV115">
        <v>1</v>
      </c>
      <c r="DW115">
        <v>0.30152</v>
      </c>
      <c r="DX115">
        <v>2.86288</v>
      </c>
      <c r="DY115">
        <v>20.3375</v>
      </c>
      <c r="DZ115">
        <v>5.21058</v>
      </c>
      <c r="EA115">
        <v>11.8506</v>
      </c>
      <c r="EB115">
        <v>4.9678</v>
      </c>
      <c r="EC115">
        <v>3.29242</v>
      </c>
      <c r="ED115">
        <v>879.4</v>
      </c>
      <c r="EE115">
        <v>9999</v>
      </c>
      <c r="EF115">
        <v>9999</v>
      </c>
      <c r="EG115">
        <v>81.7</v>
      </c>
      <c r="EH115">
        <v>4.97157</v>
      </c>
      <c r="EI115">
        <v>1.87195</v>
      </c>
      <c r="EJ115">
        <v>1.8692</v>
      </c>
      <c r="EK115">
        <v>1.87154</v>
      </c>
      <c r="EL115">
        <v>1.86934</v>
      </c>
      <c r="EM115">
        <v>1.86829</v>
      </c>
      <c r="EN115">
        <v>1.87011</v>
      </c>
      <c r="EO115">
        <v>1.87181</v>
      </c>
      <c r="EP115">
        <v>0</v>
      </c>
      <c r="EQ115">
        <v>0</v>
      </c>
      <c r="ER115">
        <v>0</v>
      </c>
      <c r="ES115">
        <v>0</v>
      </c>
      <c r="ET115" t="s">
        <v>334</v>
      </c>
      <c r="EU115" t="s">
        <v>335</v>
      </c>
      <c r="EV115" t="s">
        <v>336</v>
      </c>
      <c r="EW115" t="s">
        <v>336</v>
      </c>
      <c r="EX115" t="s">
        <v>336</v>
      </c>
      <c r="EY115" t="s">
        <v>336</v>
      </c>
      <c r="EZ115">
        <v>0</v>
      </c>
      <c r="FA115">
        <v>100</v>
      </c>
      <c r="FB115">
        <v>100</v>
      </c>
      <c r="FC115">
        <v>6.495</v>
      </c>
      <c r="FD115">
        <v>0.0589</v>
      </c>
      <c r="FE115">
        <v>6.495476190476325</v>
      </c>
      <c r="FF115">
        <v>0</v>
      </c>
      <c r="FG115">
        <v>0</v>
      </c>
      <c r="FH115">
        <v>0</v>
      </c>
      <c r="FI115">
        <v>0.05881499999999917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99.3</v>
      </c>
      <c r="FR115">
        <v>99.5</v>
      </c>
      <c r="FS115">
        <v>0.144043</v>
      </c>
      <c r="FT115">
        <v>4.99756</v>
      </c>
      <c r="FU115">
        <v>1.5979</v>
      </c>
      <c r="FV115">
        <v>2.14233</v>
      </c>
      <c r="FW115">
        <v>1.54785</v>
      </c>
      <c r="FX115">
        <v>2.36206</v>
      </c>
      <c r="FY115">
        <v>38.8457</v>
      </c>
      <c r="FZ115">
        <v>15.8482</v>
      </c>
      <c r="GA115">
        <v>3</v>
      </c>
      <c r="GB115">
        <v>505.548</v>
      </c>
      <c r="GC115">
        <v>350.697</v>
      </c>
      <c r="GD115">
        <v>22.7632</v>
      </c>
      <c r="GE115">
        <v>30.9419</v>
      </c>
      <c r="GF115">
        <v>30.0003</v>
      </c>
      <c r="GG115">
        <v>30.7876</v>
      </c>
      <c r="GH115">
        <v>30.7685</v>
      </c>
      <c r="GI115">
        <v>-1</v>
      </c>
      <c r="GJ115">
        <v>100</v>
      </c>
      <c r="GK115">
        <v>0</v>
      </c>
      <c r="GL115">
        <v>22.7643</v>
      </c>
      <c r="GM115">
        <v>1200</v>
      </c>
      <c r="GN115">
        <v>26.7455</v>
      </c>
      <c r="GO115">
        <v>102.17</v>
      </c>
      <c r="GP115">
        <v>97.1784</v>
      </c>
    </row>
    <row r="116" spans="1:198">
      <c r="A116">
        <v>100</v>
      </c>
      <c r="B116">
        <v>1773274804.6</v>
      </c>
      <c r="C116">
        <v>5941</v>
      </c>
      <c r="D116" t="s">
        <v>533</v>
      </c>
      <c r="E116" t="s">
        <v>534</v>
      </c>
      <c r="F116">
        <v>15</v>
      </c>
      <c r="G116">
        <v>1773274796.599999</v>
      </c>
      <c r="H116">
        <f>(I116)/1000</f>
        <v>0</v>
      </c>
      <c r="I116">
        <f>1000*AY116*AG116*(AU116-AV116)/(100*AN116*(1000-AG116*AU116))</f>
        <v>0</v>
      </c>
      <c r="J116">
        <f>AY116*AG116*(AT116-AS116*(1000-AG116*AV116)/(1000-AG116*AU116))/(100*AN116)</f>
        <v>0</v>
      </c>
      <c r="K116">
        <f>AS116 - IF(AG116&gt;1, J116*AN116*100.0/(AI116), 0)</f>
        <v>0</v>
      </c>
      <c r="L116">
        <f>((R116-H116/2)*K116-J116)/(R116+H116/2)</f>
        <v>0</v>
      </c>
      <c r="M116">
        <f>L116*(AZ116+BA116)/1000.0</f>
        <v>0</v>
      </c>
      <c r="N116">
        <f>(AS116 - IF(AG116&gt;1, J116*AN116*100.0/(AI116), 0))*(AZ116+BA116)/1000.0</f>
        <v>0</v>
      </c>
      <c r="O116">
        <f>2.0/((1/Q116-1/P116)+SIGN(Q116)*SQRT((1/Q116-1/P116)*(1/Q116-1/P116) + 4*AO116/((AO116+1)*(AO116+1))*(2*1/Q116*1/P116-1/P116*1/P116)))</f>
        <v>0</v>
      </c>
      <c r="P116">
        <f>IF(LEFT(AP116,1)&lt;&gt;"0",IF(LEFT(AP116,1)="1",3.0,AQ116),$D$5+$E$5*(BG116*AZ116/($K$5*1000))+$F$5*(BG116*AZ116/($K$5*1000))*MAX(MIN(AN116,$J$5),$I$5)*MAX(MIN(AN116,$J$5),$I$5)+$G$5*MAX(MIN(AN116,$J$5),$I$5)*(BG116*AZ116/($K$5*1000))+$H$5*(BG116*AZ116/($K$5*1000))*(BG116*AZ116/($K$5*1000)))</f>
        <v>0</v>
      </c>
      <c r="Q116">
        <f>H116*(1000-(1000*0.61365*exp(17.502*U116/(240.97+U116))/(AZ116+BA116)+AU116)/2)/(1000*0.61365*exp(17.502*U116/(240.97+U116))/(AZ116+BA116)-AU116)</f>
        <v>0</v>
      </c>
      <c r="R116">
        <f>1/((AO116+1)/(O116/1.6)+1/(P116/1.37)) + AO116/((AO116+1)/(O116/1.6) + AO116/(P116/1.37))</f>
        <v>0</v>
      </c>
      <c r="S116">
        <f>(AJ116*AM116)</f>
        <v>0</v>
      </c>
      <c r="T116">
        <f>(BB116+(S116+2*0.95*5.67E-8*(((BB116+$B$7)+273)^4-(BB116+273)^4)-44100*H116)/(1.84*29.3*P116+8*0.95*5.67E-8*(BB116+273)^3))</f>
        <v>0</v>
      </c>
      <c r="U116">
        <f>($C$7*BC116+$D$7*BD116+$E$7*T116)</f>
        <v>0</v>
      </c>
      <c r="V116">
        <f>0.61365*exp(17.502*U116/(240.97+U116))</f>
        <v>0</v>
      </c>
      <c r="W116">
        <f>(X116/Y116*100)</f>
        <v>0</v>
      </c>
      <c r="X116">
        <f>AU116*(AZ116+BA116)/1000</f>
        <v>0</v>
      </c>
      <c r="Y116">
        <f>0.61365*exp(17.502*BB116/(240.97+BB116))</f>
        <v>0</v>
      </c>
      <c r="Z116">
        <f>(V116-AU116*(AZ116+BA116)/1000)</f>
        <v>0</v>
      </c>
      <c r="AA116">
        <f>(-H116*44100)</f>
        <v>0</v>
      </c>
      <c r="AB116">
        <f>2*29.3*P116*0.92*(BB116-U116)</f>
        <v>0</v>
      </c>
      <c r="AC116">
        <f>2*0.95*5.67E-8*(((BB116+$B$7)+273)^4-(U116+273)^4)</f>
        <v>0</v>
      </c>
      <c r="AD116">
        <f>S116+AC116+AA116+AB116</f>
        <v>0</v>
      </c>
      <c r="AE116">
        <v>0</v>
      </c>
      <c r="AF116">
        <v>0</v>
      </c>
      <c r="AG116">
        <f>IF(AE116*$H$13&gt;=AI116,1.0,(AI116/(AI116-AE116*$H$13)))</f>
        <v>0</v>
      </c>
      <c r="AH116">
        <f>(AG116-1)*100</f>
        <v>0</v>
      </c>
      <c r="AI116">
        <f>MAX(0,($B$13+$C$13*BG116)/(1+$D$13*BG116)*AZ116/(BB116+273)*$E$13)</f>
        <v>0</v>
      </c>
      <c r="AJ116">
        <f>$B$11*BH116+$C$11*BI116+$D$11*BT116</f>
        <v>0</v>
      </c>
      <c r="AK116">
        <f>AJ116*AL116</f>
        <v>0</v>
      </c>
      <c r="AL116">
        <f>($B$11*$D$9+$C$11*$D$9+$D$11*(BU116*$E$9+BV116*$G$9))/($B$11+$C$11+$D$11)</f>
        <v>0</v>
      </c>
      <c r="AM116">
        <f>($B$11*$K$9+$C$11*$K$9+$D$11*(BU116*$L$9+BV116*$N$9))/($B$11+$C$11+$D$11)</f>
        <v>0</v>
      </c>
      <c r="AN116">
        <v>3</v>
      </c>
      <c r="AO116">
        <v>0.5</v>
      </c>
      <c r="AP116" t="s">
        <v>331</v>
      </c>
      <c r="AQ116">
        <v>2</v>
      </c>
      <c r="AR116">
        <v>1773274796.599999</v>
      </c>
      <c r="AS116">
        <v>487.5892903225806</v>
      </c>
      <c r="AT116">
        <v>486.5158387096774</v>
      </c>
      <c r="AU116">
        <v>12.07995806451613</v>
      </c>
      <c r="AV116">
        <v>11.12333548387097</v>
      </c>
      <c r="AW116">
        <v>481.0938387096775</v>
      </c>
      <c r="AX116">
        <v>12.02113225806452</v>
      </c>
      <c r="AY116">
        <v>499.9981935483871</v>
      </c>
      <c r="AZ116">
        <v>100.2812903225807</v>
      </c>
      <c r="BA116">
        <v>0.03699278709677419</v>
      </c>
      <c r="BB116">
        <v>25.01506129032258</v>
      </c>
      <c r="BC116">
        <v>25.29272903225807</v>
      </c>
      <c r="BD116">
        <v>999.9000000000003</v>
      </c>
      <c r="BE116">
        <v>0</v>
      </c>
      <c r="BF116">
        <v>0</v>
      </c>
      <c r="BG116">
        <v>4999.774193548387</v>
      </c>
      <c r="BH116">
        <v>2.047689032258065</v>
      </c>
      <c r="BI116">
        <v>920.096129032258</v>
      </c>
      <c r="BJ116">
        <v>1.073505032258065</v>
      </c>
      <c r="BK116">
        <v>493.5513548387098</v>
      </c>
      <c r="BL116">
        <v>491.9883870967741</v>
      </c>
      <c r="BM116">
        <v>0.9566151935483871</v>
      </c>
      <c r="BN116">
        <v>486.5158387096774</v>
      </c>
      <c r="BO116">
        <v>11.12333548387097</v>
      </c>
      <c r="BP116">
        <v>1.211392258064516</v>
      </c>
      <c r="BQ116">
        <v>1.115462580645161</v>
      </c>
      <c r="BR116">
        <v>9.7423</v>
      </c>
      <c r="BS116">
        <v>8.518698387096775</v>
      </c>
      <c r="BT116">
        <v>0</v>
      </c>
      <c r="BU116">
        <v>0</v>
      </c>
      <c r="BV116">
        <v>0</v>
      </c>
      <c r="BW116">
        <v>29</v>
      </c>
      <c r="BX116">
        <v>47</v>
      </c>
      <c r="BY116">
        <v>1773268786.6</v>
      </c>
      <c r="BZ116" t="s">
        <v>332</v>
      </c>
      <c r="CA116">
        <v>1773268786.6</v>
      </c>
      <c r="CB116">
        <v>1773268774.1</v>
      </c>
      <c r="CC116">
        <v>2</v>
      </c>
      <c r="CD116">
        <v>0.264</v>
      </c>
      <c r="CE116">
        <v>-0.024</v>
      </c>
      <c r="CF116">
        <v>6.495</v>
      </c>
      <c r="CG116">
        <v>0.059</v>
      </c>
      <c r="CH116">
        <v>488</v>
      </c>
      <c r="CI116">
        <v>25</v>
      </c>
      <c r="CJ116">
        <v>0.48</v>
      </c>
      <c r="CK116">
        <v>0.14</v>
      </c>
      <c r="CL116">
        <v>486.4744666666667</v>
      </c>
      <c r="CM116">
        <v>4.42251390433864</v>
      </c>
      <c r="CN116">
        <v>0.3236502982472815</v>
      </c>
      <c r="CO116">
        <v>-1</v>
      </c>
      <c r="CP116">
        <v>499.9997</v>
      </c>
      <c r="CQ116">
        <v>-0.2682714126812369</v>
      </c>
      <c r="CR116">
        <v>0.05318655845230173</v>
      </c>
      <c r="CS116">
        <v>-1</v>
      </c>
      <c r="CT116">
        <v>0</v>
      </c>
      <c r="CU116">
        <v>0</v>
      </c>
      <c r="CV116" t="s">
        <v>333</v>
      </c>
      <c r="CW116">
        <v>3.17038</v>
      </c>
      <c r="CX116">
        <v>2.65814</v>
      </c>
      <c r="CY116">
        <v>0.112558</v>
      </c>
      <c r="CZ116">
        <v>0.11354</v>
      </c>
      <c r="DA116">
        <v>0.0687276</v>
      </c>
      <c r="DB116">
        <v>0.06450359999999999</v>
      </c>
      <c r="DC116">
        <v>21277.8</v>
      </c>
      <c r="DD116">
        <v>21794.2</v>
      </c>
      <c r="DE116">
        <v>23087.9</v>
      </c>
      <c r="DF116">
        <v>22489.6</v>
      </c>
      <c r="DG116">
        <v>32492.5</v>
      </c>
      <c r="DH116">
        <v>29666.9</v>
      </c>
      <c r="DI116">
        <v>40591.3</v>
      </c>
      <c r="DJ116">
        <v>37218.4</v>
      </c>
      <c r="DK116">
        <v>2.08678</v>
      </c>
      <c r="DL116">
        <v>1.68618</v>
      </c>
      <c r="DM116">
        <v>-0.106597</v>
      </c>
      <c r="DN116">
        <v>0</v>
      </c>
      <c r="DO116">
        <v>27.0521</v>
      </c>
      <c r="DP116">
        <v>999.9</v>
      </c>
      <c r="DQ116">
        <v>52.3</v>
      </c>
      <c r="DR116">
        <v>32.8</v>
      </c>
      <c r="DS116">
        <v>26.0552</v>
      </c>
      <c r="DT116">
        <v>29.9664</v>
      </c>
      <c r="DU116">
        <v>12.1755</v>
      </c>
      <c r="DV116">
        <v>1</v>
      </c>
      <c r="DW116">
        <v>0.306862</v>
      </c>
      <c r="DX116">
        <v>2.95007</v>
      </c>
      <c r="DY116">
        <v>20.3355</v>
      </c>
      <c r="DZ116">
        <v>5.21118</v>
      </c>
      <c r="EA116">
        <v>11.8513</v>
      </c>
      <c r="EB116">
        <v>4.96772</v>
      </c>
      <c r="EC116">
        <v>3.29242</v>
      </c>
      <c r="ED116">
        <v>879.4</v>
      </c>
      <c r="EE116">
        <v>9999</v>
      </c>
      <c r="EF116">
        <v>9999</v>
      </c>
      <c r="EG116">
        <v>81.8</v>
      </c>
      <c r="EH116">
        <v>4.97158</v>
      </c>
      <c r="EI116">
        <v>1.87195</v>
      </c>
      <c r="EJ116">
        <v>1.8692</v>
      </c>
      <c r="EK116">
        <v>1.87159</v>
      </c>
      <c r="EL116">
        <v>1.86935</v>
      </c>
      <c r="EM116">
        <v>1.86827</v>
      </c>
      <c r="EN116">
        <v>1.87011</v>
      </c>
      <c r="EO116">
        <v>1.87181</v>
      </c>
      <c r="EP116">
        <v>0</v>
      </c>
      <c r="EQ116">
        <v>0</v>
      </c>
      <c r="ER116">
        <v>0</v>
      </c>
      <c r="ES116">
        <v>0</v>
      </c>
      <c r="ET116" t="s">
        <v>334</v>
      </c>
      <c r="EU116" t="s">
        <v>335</v>
      </c>
      <c r="EV116" t="s">
        <v>336</v>
      </c>
      <c r="EW116" t="s">
        <v>336</v>
      </c>
      <c r="EX116" t="s">
        <v>336</v>
      </c>
      <c r="EY116" t="s">
        <v>336</v>
      </c>
      <c r="EZ116">
        <v>0</v>
      </c>
      <c r="FA116">
        <v>100</v>
      </c>
      <c r="FB116">
        <v>100</v>
      </c>
      <c r="FC116">
        <v>6.495</v>
      </c>
      <c r="FD116">
        <v>0.0589</v>
      </c>
      <c r="FE116">
        <v>6.495476190476325</v>
      </c>
      <c r="FF116">
        <v>0</v>
      </c>
      <c r="FG116">
        <v>0</v>
      </c>
      <c r="FH116">
        <v>0</v>
      </c>
      <c r="FI116">
        <v>0.05881499999999917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100.3</v>
      </c>
      <c r="FR116">
        <v>100.5</v>
      </c>
      <c r="FS116">
        <v>0.144043</v>
      </c>
      <c r="FT116">
        <v>4.99756</v>
      </c>
      <c r="FU116">
        <v>1.5979</v>
      </c>
      <c r="FV116">
        <v>2.14355</v>
      </c>
      <c r="FW116">
        <v>1.54785</v>
      </c>
      <c r="FX116">
        <v>2.44263</v>
      </c>
      <c r="FY116">
        <v>38.9445</v>
      </c>
      <c r="FZ116">
        <v>15.8482</v>
      </c>
      <c r="GA116">
        <v>3</v>
      </c>
      <c r="GB116">
        <v>505.83</v>
      </c>
      <c r="GC116">
        <v>350.175</v>
      </c>
      <c r="GD116">
        <v>22.7835</v>
      </c>
      <c r="GE116">
        <v>30.9997</v>
      </c>
      <c r="GF116">
        <v>30.0005</v>
      </c>
      <c r="GG116">
        <v>30.8473</v>
      </c>
      <c r="GH116">
        <v>30.8298</v>
      </c>
      <c r="GI116">
        <v>-1</v>
      </c>
      <c r="GJ116">
        <v>100</v>
      </c>
      <c r="GK116">
        <v>0</v>
      </c>
      <c r="GL116">
        <v>22.7643</v>
      </c>
      <c r="GM116">
        <v>1200</v>
      </c>
      <c r="GN116">
        <v>26.7455</v>
      </c>
      <c r="GO116">
        <v>102.161</v>
      </c>
      <c r="GP116">
        <v>97.1683</v>
      </c>
    </row>
    <row r="117" spans="1:198">
      <c r="A117">
        <v>101</v>
      </c>
      <c r="B117">
        <v>1773274864.6</v>
      </c>
      <c r="C117">
        <v>6001</v>
      </c>
      <c r="D117" t="s">
        <v>535</v>
      </c>
      <c r="E117" t="s">
        <v>536</v>
      </c>
      <c r="F117">
        <v>15</v>
      </c>
      <c r="G117">
        <v>1773274856.599999</v>
      </c>
      <c r="H117">
        <f>(I117)/1000</f>
        <v>0</v>
      </c>
      <c r="I117">
        <f>1000*AY117*AG117*(AU117-AV117)/(100*AN117*(1000-AG117*AU117))</f>
        <v>0</v>
      </c>
      <c r="J117">
        <f>AY117*AG117*(AT117-AS117*(1000-AG117*AV117)/(1000-AG117*AU117))/(100*AN117)</f>
        <v>0</v>
      </c>
      <c r="K117">
        <f>AS117 - IF(AG117&gt;1, J117*AN117*100.0/(AI117), 0)</f>
        <v>0</v>
      </c>
      <c r="L117">
        <f>((R117-H117/2)*K117-J117)/(R117+H117/2)</f>
        <v>0</v>
      </c>
      <c r="M117">
        <f>L117*(AZ117+BA117)/1000.0</f>
        <v>0</v>
      </c>
      <c r="N117">
        <f>(AS117 - IF(AG117&gt;1, J117*AN117*100.0/(AI117), 0))*(AZ117+BA117)/1000.0</f>
        <v>0</v>
      </c>
      <c r="O117">
        <f>2.0/((1/Q117-1/P117)+SIGN(Q117)*SQRT((1/Q117-1/P117)*(1/Q117-1/P117) + 4*AO117/((AO117+1)*(AO117+1))*(2*1/Q117*1/P117-1/P117*1/P117)))</f>
        <v>0</v>
      </c>
      <c r="P117">
        <f>IF(LEFT(AP117,1)&lt;&gt;"0",IF(LEFT(AP117,1)="1",3.0,AQ117),$D$5+$E$5*(BG117*AZ117/($K$5*1000))+$F$5*(BG117*AZ117/($K$5*1000))*MAX(MIN(AN117,$J$5),$I$5)*MAX(MIN(AN117,$J$5),$I$5)+$G$5*MAX(MIN(AN117,$J$5),$I$5)*(BG117*AZ117/($K$5*1000))+$H$5*(BG117*AZ117/($K$5*1000))*(BG117*AZ117/($K$5*1000)))</f>
        <v>0</v>
      </c>
      <c r="Q117">
        <f>H117*(1000-(1000*0.61365*exp(17.502*U117/(240.97+U117))/(AZ117+BA117)+AU117)/2)/(1000*0.61365*exp(17.502*U117/(240.97+U117))/(AZ117+BA117)-AU117)</f>
        <v>0</v>
      </c>
      <c r="R117">
        <f>1/((AO117+1)/(O117/1.6)+1/(P117/1.37)) + AO117/((AO117+1)/(O117/1.6) + AO117/(P117/1.37))</f>
        <v>0</v>
      </c>
      <c r="S117">
        <f>(AJ117*AM117)</f>
        <v>0</v>
      </c>
      <c r="T117">
        <f>(BB117+(S117+2*0.95*5.67E-8*(((BB117+$B$7)+273)^4-(BB117+273)^4)-44100*H117)/(1.84*29.3*P117+8*0.95*5.67E-8*(BB117+273)^3))</f>
        <v>0</v>
      </c>
      <c r="U117">
        <f>($C$7*BC117+$D$7*BD117+$E$7*T117)</f>
        <v>0</v>
      </c>
      <c r="V117">
        <f>0.61365*exp(17.502*U117/(240.97+U117))</f>
        <v>0</v>
      </c>
      <c r="W117">
        <f>(X117/Y117*100)</f>
        <v>0</v>
      </c>
      <c r="X117">
        <f>AU117*(AZ117+BA117)/1000</f>
        <v>0</v>
      </c>
      <c r="Y117">
        <f>0.61365*exp(17.502*BB117/(240.97+BB117))</f>
        <v>0</v>
      </c>
      <c r="Z117">
        <f>(V117-AU117*(AZ117+BA117)/1000)</f>
        <v>0</v>
      </c>
      <c r="AA117">
        <f>(-H117*44100)</f>
        <v>0</v>
      </c>
      <c r="AB117">
        <f>2*29.3*P117*0.92*(BB117-U117)</f>
        <v>0</v>
      </c>
      <c r="AC117">
        <f>2*0.95*5.67E-8*(((BB117+$B$7)+273)^4-(U117+273)^4)</f>
        <v>0</v>
      </c>
      <c r="AD117">
        <f>S117+AC117+AA117+AB117</f>
        <v>0</v>
      </c>
      <c r="AE117">
        <v>0</v>
      </c>
      <c r="AF117">
        <v>0</v>
      </c>
      <c r="AG117">
        <f>IF(AE117*$H$13&gt;=AI117,1.0,(AI117/(AI117-AE117*$H$13)))</f>
        <v>0</v>
      </c>
      <c r="AH117">
        <f>(AG117-1)*100</f>
        <v>0</v>
      </c>
      <c r="AI117">
        <f>MAX(0,($B$13+$C$13*BG117)/(1+$D$13*BG117)*AZ117/(BB117+273)*$E$13)</f>
        <v>0</v>
      </c>
      <c r="AJ117">
        <f>$B$11*BH117+$C$11*BI117+$D$11*BT117</f>
        <v>0</v>
      </c>
      <c r="AK117">
        <f>AJ117*AL117</f>
        <v>0</v>
      </c>
      <c r="AL117">
        <f>($B$11*$D$9+$C$11*$D$9+$D$11*(BU117*$E$9+BV117*$G$9))/($B$11+$C$11+$D$11)</f>
        <v>0</v>
      </c>
      <c r="AM117">
        <f>($B$11*$K$9+$C$11*$K$9+$D$11*(BU117*$L$9+BV117*$N$9))/($B$11+$C$11+$D$11)</f>
        <v>0</v>
      </c>
      <c r="AN117">
        <v>3</v>
      </c>
      <c r="AO117">
        <v>0.5</v>
      </c>
      <c r="AP117" t="s">
        <v>331</v>
      </c>
      <c r="AQ117">
        <v>2</v>
      </c>
      <c r="AR117">
        <v>1773274856.599999</v>
      </c>
      <c r="AS117">
        <v>488.3285161290322</v>
      </c>
      <c r="AT117">
        <v>486.971</v>
      </c>
      <c r="AU117">
        <v>12.17530322580645</v>
      </c>
      <c r="AV117">
        <v>11.22808709677419</v>
      </c>
      <c r="AW117">
        <v>481.8330967741936</v>
      </c>
      <c r="AX117">
        <v>12.1164870967742</v>
      </c>
      <c r="AY117">
        <v>500.0128387096775</v>
      </c>
      <c r="AZ117">
        <v>100.2840322580645</v>
      </c>
      <c r="BA117">
        <v>0.03683132258064516</v>
      </c>
      <c r="BB117">
        <v>24.99992580645161</v>
      </c>
      <c r="BC117">
        <v>25.28428387096774</v>
      </c>
      <c r="BD117">
        <v>999.9000000000003</v>
      </c>
      <c r="BE117">
        <v>0</v>
      </c>
      <c r="BF117">
        <v>0</v>
      </c>
      <c r="BG117">
        <v>5000.806451612903</v>
      </c>
      <c r="BH117">
        <v>1.998736451612903</v>
      </c>
      <c r="BI117">
        <v>928.195935483871</v>
      </c>
      <c r="BJ117">
        <v>1.357617419354838</v>
      </c>
      <c r="BK117">
        <v>494.3473225806451</v>
      </c>
      <c r="BL117">
        <v>492.5008064516129</v>
      </c>
      <c r="BM117">
        <v>0.9472055806451614</v>
      </c>
      <c r="BN117">
        <v>486.971</v>
      </c>
      <c r="BO117">
        <v>11.22808709677419</v>
      </c>
      <c r="BP117">
        <v>1.220987096774193</v>
      </c>
      <c r="BQ117">
        <v>1.125998064516129</v>
      </c>
      <c r="BR117">
        <v>9.859929677419354</v>
      </c>
      <c r="BS117">
        <v>8.65751387096774</v>
      </c>
      <c r="BT117">
        <v>0</v>
      </c>
      <c r="BU117">
        <v>0</v>
      </c>
      <c r="BV117">
        <v>0</v>
      </c>
      <c r="BW117">
        <v>29</v>
      </c>
      <c r="BX117">
        <v>47</v>
      </c>
      <c r="BY117">
        <v>1773268786.6</v>
      </c>
      <c r="BZ117" t="s">
        <v>332</v>
      </c>
      <c r="CA117">
        <v>1773268786.6</v>
      </c>
      <c r="CB117">
        <v>1773268774.1</v>
      </c>
      <c r="CC117">
        <v>2</v>
      </c>
      <c r="CD117">
        <v>0.264</v>
      </c>
      <c r="CE117">
        <v>-0.024</v>
      </c>
      <c r="CF117">
        <v>6.495</v>
      </c>
      <c r="CG117">
        <v>0.059</v>
      </c>
      <c r="CH117">
        <v>488</v>
      </c>
      <c r="CI117">
        <v>25</v>
      </c>
      <c r="CJ117">
        <v>0.48</v>
      </c>
      <c r="CK117">
        <v>0.14</v>
      </c>
      <c r="CL117">
        <v>486.9635806451613</v>
      </c>
      <c r="CM117">
        <v>0.5875645161279109</v>
      </c>
      <c r="CN117">
        <v>0.05071983399888211</v>
      </c>
      <c r="CO117">
        <v>-1</v>
      </c>
      <c r="CP117">
        <v>500.0098387096774</v>
      </c>
      <c r="CQ117">
        <v>-0.06561290322604216</v>
      </c>
      <c r="CR117">
        <v>0.05453208394129379</v>
      </c>
      <c r="CS117">
        <v>-1</v>
      </c>
      <c r="CT117">
        <v>0</v>
      </c>
      <c r="CU117">
        <v>0</v>
      </c>
      <c r="CV117" t="s">
        <v>333</v>
      </c>
      <c r="CW117">
        <v>3.1703</v>
      </c>
      <c r="CX117">
        <v>2.65814</v>
      </c>
      <c r="CY117">
        <v>0.112608</v>
      </c>
      <c r="CZ117">
        <v>0.113579</v>
      </c>
      <c r="DA117">
        <v>0.0691465</v>
      </c>
      <c r="DB117">
        <v>0.0649696</v>
      </c>
      <c r="DC117">
        <v>21273.8</v>
      </c>
      <c r="DD117">
        <v>21791.3</v>
      </c>
      <c r="DE117">
        <v>23085.1</v>
      </c>
      <c r="DF117">
        <v>22487.8</v>
      </c>
      <c r="DG117">
        <v>32474.3</v>
      </c>
      <c r="DH117">
        <v>29649.7</v>
      </c>
      <c r="DI117">
        <v>40587.1</v>
      </c>
      <c r="DJ117">
        <v>37215.5</v>
      </c>
      <c r="DK117">
        <v>2.08626</v>
      </c>
      <c r="DL117">
        <v>1.68462</v>
      </c>
      <c r="DM117">
        <v>-0.112522</v>
      </c>
      <c r="DN117">
        <v>0</v>
      </c>
      <c r="DO117">
        <v>27.1189</v>
      </c>
      <c r="DP117">
        <v>999.9</v>
      </c>
      <c r="DQ117">
        <v>51.9</v>
      </c>
      <c r="DR117">
        <v>32.9</v>
      </c>
      <c r="DS117">
        <v>25.998</v>
      </c>
      <c r="DT117">
        <v>30.2365</v>
      </c>
      <c r="DU117">
        <v>12.3958</v>
      </c>
      <c r="DV117">
        <v>1</v>
      </c>
      <c r="DW117">
        <v>0.311852</v>
      </c>
      <c r="DX117">
        <v>2.91103</v>
      </c>
      <c r="DY117">
        <v>20.3362</v>
      </c>
      <c r="DZ117">
        <v>5.2107</v>
      </c>
      <c r="EA117">
        <v>11.8529</v>
      </c>
      <c r="EB117">
        <v>4.96776</v>
      </c>
      <c r="EC117">
        <v>3.29224</v>
      </c>
      <c r="ED117">
        <v>879.4</v>
      </c>
      <c r="EE117">
        <v>9999</v>
      </c>
      <c r="EF117">
        <v>9999</v>
      </c>
      <c r="EG117">
        <v>81.8</v>
      </c>
      <c r="EH117">
        <v>4.97158</v>
      </c>
      <c r="EI117">
        <v>1.87195</v>
      </c>
      <c r="EJ117">
        <v>1.8692</v>
      </c>
      <c r="EK117">
        <v>1.8716</v>
      </c>
      <c r="EL117">
        <v>1.86935</v>
      </c>
      <c r="EM117">
        <v>1.86826</v>
      </c>
      <c r="EN117">
        <v>1.87011</v>
      </c>
      <c r="EO117">
        <v>1.87183</v>
      </c>
      <c r="EP117">
        <v>0</v>
      </c>
      <c r="EQ117">
        <v>0</v>
      </c>
      <c r="ER117">
        <v>0</v>
      </c>
      <c r="ES117">
        <v>0</v>
      </c>
      <c r="ET117" t="s">
        <v>334</v>
      </c>
      <c r="EU117" t="s">
        <v>335</v>
      </c>
      <c r="EV117" t="s">
        <v>336</v>
      </c>
      <c r="EW117" t="s">
        <v>336</v>
      </c>
      <c r="EX117" t="s">
        <v>336</v>
      </c>
      <c r="EY117" t="s">
        <v>336</v>
      </c>
      <c r="EZ117">
        <v>0</v>
      </c>
      <c r="FA117">
        <v>100</v>
      </c>
      <c r="FB117">
        <v>100</v>
      </c>
      <c r="FC117">
        <v>6.495</v>
      </c>
      <c r="FD117">
        <v>0.0588</v>
      </c>
      <c r="FE117">
        <v>6.495476190476325</v>
      </c>
      <c r="FF117">
        <v>0</v>
      </c>
      <c r="FG117">
        <v>0</v>
      </c>
      <c r="FH117">
        <v>0</v>
      </c>
      <c r="FI117">
        <v>0.05881499999999917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101.3</v>
      </c>
      <c r="FR117">
        <v>101.5</v>
      </c>
      <c r="FS117">
        <v>0.144043</v>
      </c>
      <c r="FT117">
        <v>4.99756</v>
      </c>
      <c r="FU117">
        <v>1.5979</v>
      </c>
      <c r="FV117">
        <v>2.14233</v>
      </c>
      <c r="FW117">
        <v>1.54785</v>
      </c>
      <c r="FX117">
        <v>2.40601</v>
      </c>
      <c r="FY117">
        <v>39.0436</v>
      </c>
      <c r="FZ117">
        <v>15.8394</v>
      </c>
      <c r="GA117">
        <v>3</v>
      </c>
      <c r="GB117">
        <v>505.993</v>
      </c>
      <c r="GC117">
        <v>349.699</v>
      </c>
      <c r="GD117">
        <v>22.668</v>
      </c>
      <c r="GE117">
        <v>31.0629</v>
      </c>
      <c r="GF117">
        <v>30.0004</v>
      </c>
      <c r="GG117">
        <v>30.9083</v>
      </c>
      <c r="GH117">
        <v>30.8902</v>
      </c>
      <c r="GI117">
        <v>-1</v>
      </c>
      <c r="GJ117">
        <v>100</v>
      </c>
      <c r="GK117">
        <v>0</v>
      </c>
      <c r="GL117">
        <v>22.7593</v>
      </c>
      <c r="GM117">
        <v>1200</v>
      </c>
      <c r="GN117">
        <v>26.7455</v>
      </c>
      <c r="GO117">
        <v>102.149</v>
      </c>
      <c r="GP117">
        <v>97.1606</v>
      </c>
    </row>
    <row r="118" spans="1:198">
      <c r="A118">
        <v>102</v>
      </c>
      <c r="B118">
        <v>1773274924.6</v>
      </c>
      <c r="C118">
        <v>6061</v>
      </c>
      <c r="D118" t="s">
        <v>537</v>
      </c>
      <c r="E118" t="s">
        <v>538</v>
      </c>
      <c r="F118">
        <v>15</v>
      </c>
      <c r="G118">
        <v>1773274916.599999</v>
      </c>
      <c r="H118">
        <f>(I118)/1000</f>
        <v>0</v>
      </c>
      <c r="I118">
        <f>1000*AY118*AG118*(AU118-AV118)/(100*AN118*(1000-AG118*AU118))</f>
        <v>0</v>
      </c>
      <c r="J118">
        <f>AY118*AG118*(AT118-AS118*(1000-AG118*AV118)/(1000-AG118*AU118))/(100*AN118)</f>
        <v>0</v>
      </c>
      <c r="K118">
        <f>AS118 - IF(AG118&gt;1, J118*AN118*100.0/(AI118), 0)</f>
        <v>0</v>
      </c>
      <c r="L118">
        <f>((R118-H118/2)*K118-J118)/(R118+H118/2)</f>
        <v>0</v>
      </c>
      <c r="M118">
        <f>L118*(AZ118+BA118)/1000.0</f>
        <v>0</v>
      </c>
      <c r="N118">
        <f>(AS118 - IF(AG118&gt;1, J118*AN118*100.0/(AI118), 0))*(AZ118+BA118)/1000.0</f>
        <v>0</v>
      </c>
      <c r="O118">
        <f>2.0/((1/Q118-1/P118)+SIGN(Q118)*SQRT((1/Q118-1/P118)*(1/Q118-1/P118) + 4*AO118/((AO118+1)*(AO118+1))*(2*1/Q118*1/P118-1/P118*1/P118)))</f>
        <v>0</v>
      </c>
      <c r="P118">
        <f>IF(LEFT(AP118,1)&lt;&gt;"0",IF(LEFT(AP118,1)="1",3.0,AQ118),$D$5+$E$5*(BG118*AZ118/($K$5*1000))+$F$5*(BG118*AZ118/($K$5*1000))*MAX(MIN(AN118,$J$5),$I$5)*MAX(MIN(AN118,$J$5),$I$5)+$G$5*MAX(MIN(AN118,$J$5),$I$5)*(BG118*AZ118/($K$5*1000))+$H$5*(BG118*AZ118/($K$5*1000))*(BG118*AZ118/($K$5*1000)))</f>
        <v>0</v>
      </c>
      <c r="Q118">
        <f>H118*(1000-(1000*0.61365*exp(17.502*U118/(240.97+U118))/(AZ118+BA118)+AU118)/2)/(1000*0.61365*exp(17.502*U118/(240.97+U118))/(AZ118+BA118)-AU118)</f>
        <v>0</v>
      </c>
      <c r="R118">
        <f>1/((AO118+1)/(O118/1.6)+1/(P118/1.37)) + AO118/((AO118+1)/(O118/1.6) + AO118/(P118/1.37))</f>
        <v>0</v>
      </c>
      <c r="S118">
        <f>(AJ118*AM118)</f>
        <v>0</v>
      </c>
      <c r="T118">
        <f>(BB118+(S118+2*0.95*5.67E-8*(((BB118+$B$7)+273)^4-(BB118+273)^4)-44100*H118)/(1.84*29.3*P118+8*0.95*5.67E-8*(BB118+273)^3))</f>
        <v>0</v>
      </c>
      <c r="U118">
        <f>($C$7*BC118+$D$7*BD118+$E$7*T118)</f>
        <v>0</v>
      </c>
      <c r="V118">
        <f>0.61365*exp(17.502*U118/(240.97+U118))</f>
        <v>0</v>
      </c>
      <c r="W118">
        <f>(X118/Y118*100)</f>
        <v>0</v>
      </c>
      <c r="X118">
        <f>AU118*(AZ118+BA118)/1000</f>
        <v>0</v>
      </c>
      <c r="Y118">
        <f>0.61365*exp(17.502*BB118/(240.97+BB118))</f>
        <v>0</v>
      </c>
      <c r="Z118">
        <f>(V118-AU118*(AZ118+BA118)/1000)</f>
        <v>0</v>
      </c>
      <c r="AA118">
        <f>(-H118*44100)</f>
        <v>0</v>
      </c>
      <c r="AB118">
        <f>2*29.3*P118*0.92*(BB118-U118)</f>
        <v>0</v>
      </c>
      <c r="AC118">
        <f>2*0.95*5.67E-8*(((BB118+$B$7)+273)^4-(U118+273)^4)</f>
        <v>0</v>
      </c>
      <c r="AD118">
        <f>S118+AC118+AA118+AB118</f>
        <v>0</v>
      </c>
      <c r="AE118">
        <v>0</v>
      </c>
      <c r="AF118">
        <v>0</v>
      </c>
      <c r="AG118">
        <f>IF(AE118*$H$13&gt;=AI118,1.0,(AI118/(AI118-AE118*$H$13)))</f>
        <v>0</v>
      </c>
      <c r="AH118">
        <f>(AG118-1)*100</f>
        <v>0</v>
      </c>
      <c r="AI118">
        <f>MAX(0,($B$13+$C$13*BG118)/(1+$D$13*BG118)*AZ118/(BB118+273)*$E$13)</f>
        <v>0</v>
      </c>
      <c r="AJ118">
        <f>$B$11*BH118+$C$11*BI118+$D$11*BT118</f>
        <v>0</v>
      </c>
      <c r="AK118">
        <f>AJ118*AL118</f>
        <v>0</v>
      </c>
      <c r="AL118">
        <f>($B$11*$D$9+$C$11*$D$9+$D$11*(BU118*$E$9+BV118*$G$9))/($B$11+$C$11+$D$11)</f>
        <v>0</v>
      </c>
      <c r="AM118">
        <f>($B$11*$K$9+$C$11*$K$9+$D$11*(BU118*$L$9+BV118*$N$9))/($B$11+$C$11+$D$11)</f>
        <v>0</v>
      </c>
      <c r="AN118">
        <v>3</v>
      </c>
      <c r="AO118">
        <v>0.5</v>
      </c>
      <c r="AP118" t="s">
        <v>331</v>
      </c>
      <c r="AQ118">
        <v>2</v>
      </c>
      <c r="AR118">
        <v>1773274916.599999</v>
      </c>
      <c r="AS118">
        <v>488.7478064516129</v>
      </c>
      <c r="AT118">
        <v>487.4092580645161</v>
      </c>
      <c r="AU118">
        <v>12.28192903225806</v>
      </c>
      <c r="AV118">
        <v>11.34039032258064</v>
      </c>
      <c r="AW118">
        <v>482.2522903225806</v>
      </c>
      <c r="AX118">
        <v>12.22311935483871</v>
      </c>
      <c r="AY118">
        <v>499.988129032258</v>
      </c>
      <c r="AZ118">
        <v>100.2866129032258</v>
      </c>
      <c r="BA118">
        <v>0.03671801612903226</v>
      </c>
      <c r="BB118">
        <v>25.01287419354839</v>
      </c>
      <c r="BC118">
        <v>25.31742903225806</v>
      </c>
      <c r="BD118">
        <v>999.9000000000003</v>
      </c>
      <c r="BE118">
        <v>0</v>
      </c>
      <c r="BF118">
        <v>0</v>
      </c>
      <c r="BG118">
        <v>4994.83870967742</v>
      </c>
      <c r="BH118">
        <v>2.07423</v>
      </c>
      <c r="BI118">
        <v>950.8067096774195</v>
      </c>
      <c r="BJ118">
        <v>1.338571935483871</v>
      </c>
      <c r="BK118">
        <v>494.8252903225807</v>
      </c>
      <c r="BL118">
        <v>493</v>
      </c>
      <c r="BM118">
        <v>0.9415408387096775</v>
      </c>
      <c r="BN118">
        <v>487.4092580645161</v>
      </c>
      <c r="BO118">
        <v>11.34039032258064</v>
      </c>
      <c r="BP118">
        <v>1.231711612903226</v>
      </c>
      <c r="BQ118">
        <v>1.137288064516129</v>
      </c>
      <c r="BR118">
        <v>9.990463870967742</v>
      </c>
      <c r="BS118">
        <v>8.805019677419354</v>
      </c>
      <c r="BT118">
        <v>0</v>
      </c>
      <c r="BU118">
        <v>0</v>
      </c>
      <c r="BV118">
        <v>0</v>
      </c>
      <c r="BW118">
        <v>29.04515806451613</v>
      </c>
      <c r="BX118">
        <v>48</v>
      </c>
      <c r="BY118">
        <v>1773268786.6</v>
      </c>
      <c r="BZ118" t="s">
        <v>332</v>
      </c>
      <c r="CA118">
        <v>1773268786.6</v>
      </c>
      <c r="CB118">
        <v>1773268774.1</v>
      </c>
      <c r="CC118">
        <v>2</v>
      </c>
      <c r="CD118">
        <v>0.264</v>
      </c>
      <c r="CE118">
        <v>-0.024</v>
      </c>
      <c r="CF118">
        <v>6.495</v>
      </c>
      <c r="CG118">
        <v>0.059</v>
      </c>
      <c r="CH118">
        <v>488</v>
      </c>
      <c r="CI118">
        <v>25</v>
      </c>
      <c r="CJ118">
        <v>0.48</v>
      </c>
      <c r="CK118">
        <v>0.14</v>
      </c>
      <c r="CL118">
        <v>487.402064516129</v>
      </c>
      <c r="CM118">
        <v>1.103806451612726</v>
      </c>
      <c r="CN118">
        <v>0.09530255234163247</v>
      </c>
      <c r="CO118">
        <v>-1</v>
      </c>
      <c r="CP118">
        <v>499.9875806451612</v>
      </c>
      <c r="CQ118">
        <v>-0.1792258064535323</v>
      </c>
      <c r="CR118">
        <v>0.06859172064848255</v>
      </c>
      <c r="CS118">
        <v>-1</v>
      </c>
      <c r="CT118">
        <v>0</v>
      </c>
      <c r="CU118">
        <v>0</v>
      </c>
      <c r="CV118" t="s">
        <v>333</v>
      </c>
      <c r="CW118">
        <v>3.17035</v>
      </c>
      <c r="CX118">
        <v>2.65798</v>
      </c>
      <c r="CY118">
        <v>0.112682</v>
      </c>
      <c r="CZ118">
        <v>0.113629</v>
      </c>
      <c r="DA118">
        <v>0.069605</v>
      </c>
      <c r="DB118">
        <v>0.0654689</v>
      </c>
      <c r="DC118">
        <v>21270.7</v>
      </c>
      <c r="DD118">
        <v>21788.6</v>
      </c>
      <c r="DE118">
        <v>23083.9</v>
      </c>
      <c r="DF118">
        <v>22486.4</v>
      </c>
      <c r="DG118">
        <v>32456.8</v>
      </c>
      <c r="DH118">
        <v>29631.7</v>
      </c>
      <c r="DI118">
        <v>40585.3</v>
      </c>
      <c r="DJ118">
        <v>37213</v>
      </c>
      <c r="DK118">
        <v>2.08576</v>
      </c>
      <c r="DL118">
        <v>1.6831</v>
      </c>
      <c r="DM118">
        <v>-0.113288</v>
      </c>
      <c r="DN118">
        <v>0</v>
      </c>
      <c r="DO118">
        <v>27.1817</v>
      </c>
      <c r="DP118">
        <v>999.9</v>
      </c>
      <c r="DQ118">
        <v>51.5</v>
      </c>
      <c r="DR118">
        <v>33.1</v>
      </c>
      <c r="DS118">
        <v>26.0889</v>
      </c>
      <c r="DT118">
        <v>30.0564</v>
      </c>
      <c r="DU118">
        <v>12.5841</v>
      </c>
      <c r="DV118">
        <v>1</v>
      </c>
      <c r="DW118">
        <v>0.315738</v>
      </c>
      <c r="DX118">
        <v>3.02431</v>
      </c>
      <c r="DY118">
        <v>20.3336</v>
      </c>
      <c r="DZ118">
        <v>5.21142</v>
      </c>
      <c r="EA118">
        <v>11.8511</v>
      </c>
      <c r="EB118">
        <v>4.96784</v>
      </c>
      <c r="EC118">
        <v>3.29218</v>
      </c>
      <c r="ED118">
        <v>879.4</v>
      </c>
      <c r="EE118">
        <v>9999</v>
      </c>
      <c r="EF118">
        <v>9999</v>
      </c>
      <c r="EG118">
        <v>81.8</v>
      </c>
      <c r="EH118">
        <v>4.97158</v>
      </c>
      <c r="EI118">
        <v>1.87195</v>
      </c>
      <c r="EJ118">
        <v>1.8692</v>
      </c>
      <c r="EK118">
        <v>1.87156</v>
      </c>
      <c r="EL118">
        <v>1.86935</v>
      </c>
      <c r="EM118">
        <v>1.86826</v>
      </c>
      <c r="EN118">
        <v>1.87007</v>
      </c>
      <c r="EO118">
        <v>1.87182</v>
      </c>
      <c r="EP118">
        <v>0</v>
      </c>
      <c r="EQ118">
        <v>0</v>
      </c>
      <c r="ER118">
        <v>0</v>
      </c>
      <c r="ES118">
        <v>0</v>
      </c>
      <c r="ET118" t="s">
        <v>334</v>
      </c>
      <c r="EU118" t="s">
        <v>335</v>
      </c>
      <c r="EV118" t="s">
        <v>336</v>
      </c>
      <c r="EW118" t="s">
        <v>336</v>
      </c>
      <c r="EX118" t="s">
        <v>336</v>
      </c>
      <c r="EY118" t="s">
        <v>336</v>
      </c>
      <c r="EZ118">
        <v>0</v>
      </c>
      <c r="FA118">
        <v>100</v>
      </c>
      <c r="FB118">
        <v>100</v>
      </c>
      <c r="FC118">
        <v>6.495</v>
      </c>
      <c r="FD118">
        <v>0.0588</v>
      </c>
      <c r="FE118">
        <v>6.495476190476325</v>
      </c>
      <c r="FF118">
        <v>0</v>
      </c>
      <c r="FG118">
        <v>0</v>
      </c>
      <c r="FH118">
        <v>0</v>
      </c>
      <c r="FI118">
        <v>0.05881499999999917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102.3</v>
      </c>
      <c r="FR118">
        <v>102.5</v>
      </c>
      <c r="FS118">
        <v>0.144043</v>
      </c>
      <c r="FT118">
        <v>4.99756</v>
      </c>
      <c r="FU118">
        <v>1.5979</v>
      </c>
      <c r="FV118">
        <v>2.14233</v>
      </c>
      <c r="FW118">
        <v>1.54785</v>
      </c>
      <c r="FX118">
        <v>2.3584</v>
      </c>
      <c r="FY118">
        <v>39.1924</v>
      </c>
      <c r="FZ118">
        <v>15.8219</v>
      </c>
      <c r="GA118">
        <v>3</v>
      </c>
      <c r="GB118">
        <v>506.104</v>
      </c>
      <c r="GC118">
        <v>349.207</v>
      </c>
      <c r="GD118">
        <v>22.7009</v>
      </c>
      <c r="GE118">
        <v>31.1162</v>
      </c>
      <c r="GF118">
        <v>30.0005</v>
      </c>
      <c r="GG118">
        <v>30.9613</v>
      </c>
      <c r="GH118">
        <v>30.9437</v>
      </c>
      <c r="GI118">
        <v>-1</v>
      </c>
      <c r="GJ118">
        <v>100</v>
      </c>
      <c r="GK118">
        <v>0</v>
      </c>
      <c r="GL118">
        <v>22.6853</v>
      </c>
      <c r="GM118">
        <v>1200</v>
      </c>
      <c r="GN118">
        <v>26.7455</v>
      </c>
      <c r="GO118">
        <v>102.145</v>
      </c>
      <c r="GP118">
        <v>97.1544</v>
      </c>
    </row>
    <row r="119" spans="1:198">
      <c r="A119">
        <v>103</v>
      </c>
      <c r="B119">
        <v>1773274984.6</v>
      </c>
      <c r="C119">
        <v>6121</v>
      </c>
      <c r="D119" t="s">
        <v>539</v>
      </c>
      <c r="E119" t="s">
        <v>540</v>
      </c>
      <c r="F119">
        <v>15</v>
      </c>
      <c r="G119">
        <v>1773274976.599999</v>
      </c>
      <c r="H119">
        <f>(I119)/1000</f>
        <v>0</v>
      </c>
      <c r="I119">
        <f>1000*AY119*AG119*(AU119-AV119)/(100*AN119*(1000-AG119*AU119))</f>
        <v>0</v>
      </c>
      <c r="J119">
        <f>AY119*AG119*(AT119-AS119*(1000-AG119*AV119)/(1000-AG119*AU119))/(100*AN119)</f>
        <v>0</v>
      </c>
      <c r="K119">
        <f>AS119 - IF(AG119&gt;1, J119*AN119*100.0/(AI119), 0)</f>
        <v>0</v>
      </c>
      <c r="L119">
        <f>((R119-H119/2)*K119-J119)/(R119+H119/2)</f>
        <v>0</v>
      </c>
      <c r="M119">
        <f>L119*(AZ119+BA119)/1000.0</f>
        <v>0</v>
      </c>
      <c r="N119">
        <f>(AS119 - IF(AG119&gt;1, J119*AN119*100.0/(AI119), 0))*(AZ119+BA119)/1000.0</f>
        <v>0</v>
      </c>
      <c r="O119">
        <f>2.0/((1/Q119-1/P119)+SIGN(Q119)*SQRT((1/Q119-1/P119)*(1/Q119-1/P119) + 4*AO119/((AO119+1)*(AO119+1))*(2*1/Q119*1/P119-1/P119*1/P119)))</f>
        <v>0</v>
      </c>
      <c r="P119">
        <f>IF(LEFT(AP119,1)&lt;&gt;"0",IF(LEFT(AP119,1)="1",3.0,AQ119),$D$5+$E$5*(BG119*AZ119/($K$5*1000))+$F$5*(BG119*AZ119/($K$5*1000))*MAX(MIN(AN119,$J$5),$I$5)*MAX(MIN(AN119,$J$5),$I$5)+$G$5*MAX(MIN(AN119,$J$5),$I$5)*(BG119*AZ119/($K$5*1000))+$H$5*(BG119*AZ119/($K$5*1000))*(BG119*AZ119/($K$5*1000)))</f>
        <v>0</v>
      </c>
      <c r="Q119">
        <f>H119*(1000-(1000*0.61365*exp(17.502*U119/(240.97+U119))/(AZ119+BA119)+AU119)/2)/(1000*0.61365*exp(17.502*U119/(240.97+U119))/(AZ119+BA119)-AU119)</f>
        <v>0</v>
      </c>
      <c r="R119">
        <f>1/((AO119+1)/(O119/1.6)+1/(P119/1.37)) + AO119/((AO119+1)/(O119/1.6) + AO119/(P119/1.37))</f>
        <v>0</v>
      </c>
      <c r="S119">
        <f>(AJ119*AM119)</f>
        <v>0</v>
      </c>
      <c r="T119">
        <f>(BB119+(S119+2*0.95*5.67E-8*(((BB119+$B$7)+273)^4-(BB119+273)^4)-44100*H119)/(1.84*29.3*P119+8*0.95*5.67E-8*(BB119+273)^3))</f>
        <v>0</v>
      </c>
      <c r="U119">
        <f>($C$7*BC119+$D$7*BD119+$E$7*T119)</f>
        <v>0</v>
      </c>
      <c r="V119">
        <f>0.61365*exp(17.502*U119/(240.97+U119))</f>
        <v>0</v>
      </c>
      <c r="W119">
        <f>(X119/Y119*100)</f>
        <v>0</v>
      </c>
      <c r="X119">
        <f>AU119*(AZ119+BA119)/1000</f>
        <v>0</v>
      </c>
      <c r="Y119">
        <f>0.61365*exp(17.502*BB119/(240.97+BB119))</f>
        <v>0</v>
      </c>
      <c r="Z119">
        <f>(V119-AU119*(AZ119+BA119)/1000)</f>
        <v>0</v>
      </c>
      <c r="AA119">
        <f>(-H119*44100)</f>
        <v>0</v>
      </c>
      <c r="AB119">
        <f>2*29.3*P119*0.92*(BB119-U119)</f>
        <v>0</v>
      </c>
      <c r="AC119">
        <f>2*0.95*5.67E-8*(((BB119+$B$7)+273)^4-(U119+273)^4)</f>
        <v>0</v>
      </c>
      <c r="AD119">
        <f>S119+AC119+AA119+AB119</f>
        <v>0</v>
      </c>
      <c r="AE119">
        <v>0</v>
      </c>
      <c r="AF119">
        <v>0</v>
      </c>
      <c r="AG119">
        <f>IF(AE119*$H$13&gt;=AI119,1.0,(AI119/(AI119-AE119*$H$13)))</f>
        <v>0</v>
      </c>
      <c r="AH119">
        <f>(AG119-1)*100</f>
        <v>0</v>
      </c>
      <c r="AI119">
        <f>MAX(0,($B$13+$C$13*BG119)/(1+$D$13*BG119)*AZ119/(BB119+273)*$E$13)</f>
        <v>0</v>
      </c>
      <c r="AJ119">
        <f>$B$11*BH119+$C$11*BI119+$D$11*BT119</f>
        <v>0</v>
      </c>
      <c r="AK119">
        <f>AJ119*AL119</f>
        <v>0</v>
      </c>
      <c r="AL119">
        <f>($B$11*$D$9+$C$11*$D$9+$D$11*(BU119*$E$9+BV119*$G$9))/($B$11+$C$11+$D$11)</f>
        <v>0</v>
      </c>
      <c r="AM119">
        <f>($B$11*$K$9+$C$11*$K$9+$D$11*(BU119*$L$9+BV119*$N$9))/($B$11+$C$11+$D$11)</f>
        <v>0</v>
      </c>
      <c r="AN119">
        <v>3</v>
      </c>
      <c r="AO119">
        <v>0.5</v>
      </c>
      <c r="AP119" t="s">
        <v>331</v>
      </c>
      <c r="AQ119">
        <v>2</v>
      </c>
      <c r="AR119">
        <v>1773274976.599999</v>
      </c>
      <c r="AS119">
        <v>488.2901612903227</v>
      </c>
      <c r="AT119">
        <v>486.7087419354838</v>
      </c>
      <c r="AU119">
        <v>12.38357096774194</v>
      </c>
      <c r="AV119">
        <v>11.45337096774194</v>
      </c>
      <c r="AW119">
        <v>481.7946774193549</v>
      </c>
      <c r="AX119">
        <v>12.32475806451613</v>
      </c>
      <c r="AY119">
        <v>499.9997419354839</v>
      </c>
      <c r="AZ119">
        <v>100.2923225806452</v>
      </c>
      <c r="BA119">
        <v>0.0369737870967742</v>
      </c>
      <c r="BB119">
        <v>25.00772580645161</v>
      </c>
      <c r="BC119">
        <v>25.33360645161291</v>
      </c>
      <c r="BD119">
        <v>999.9000000000003</v>
      </c>
      <c r="BE119">
        <v>0</v>
      </c>
      <c r="BF119">
        <v>0</v>
      </c>
      <c r="BG119">
        <v>5002.241935483871</v>
      </c>
      <c r="BH119">
        <v>2.115413548387097</v>
      </c>
      <c r="BI119">
        <v>965.8580645161289</v>
      </c>
      <c r="BJ119">
        <v>1.581427096774193</v>
      </c>
      <c r="BK119">
        <v>494.4127741935483</v>
      </c>
      <c r="BL119">
        <v>492.3477419354839</v>
      </c>
      <c r="BM119">
        <v>0.9301992903225806</v>
      </c>
      <c r="BN119">
        <v>486.7087419354838</v>
      </c>
      <c r="BO119">
        <v>11.45337096774194</v>
      </c>
      <c r="BP119">
        <v>1.241976451612903</v>
      </c>
      <c r="BQ119">
        <v>1.148685161290323</v>
      </c>
      <c r="BR119">
        <v>10.11445483870968</v>
      </c>
      <c r="BS119">
        <v>8.952601612903225</v>
      </c>
      <c r="BT119">
        <v>0</v>
      </c>
      <c r="BU119">
        <v>0</v>
      </c>
      <c r="BV119">
        <v>0</v>
      </c>
      <c r="BW119">
        <v>30</v>
      </c>
      <c r="BX119">
        <v>50.1559129032258</v>
      </c>
      <c r="BY119">
        <v>1773268786.6</v>
      </c>
      <c r="BZ119" t="s">
        <v>332</v>
      </c>
      <c r="CA119">
        <v>1773268786.6</v>
      </c>
      <c r="CB119">
        <v>1773268774.1</v>
      </c>
      <c r="CC119">
        <v>2</v>
      </c>
      <c r="CD119">
        <v>0.264</v>
      </c>
      <c r="CE119">
        <v>-0.024</v>
      </c>
      <c r="CF119">
        <v>6.495</v>
      </c>
      <c r="CG119">
        <v>0.059</v>
      </c>
      <c r="CH119">
        <v>488</v>
      </c>
      <c r="CI119">
        <v>25</v>
      </c>
      <c r="CJ119">
        <v>0.48</v>
      </c>
      <c r="CK119">
        <v>0.14</v>
      </c>
      <c r="CL119">
        <v>486.7210322580646</v>
      </c>
      <c r="CM119">
        <v>-1.420887096774315</v>
      </c>
      <c r="CN119">
        <v>0.1103891894750833</v>
      </c>
      <c r="CO119">
        <v>-1</v>
      </c>
      <c r="CP119">
        <v>499.9983225806452</v>
      </c>
      <c r="CQ119">
        <v>0.09885483870889709</v>
      </c>
      <c r="CR119">
        <v>0.03973491768788503</v>
      </c>
      <c r="CS119">
        <v>-1</v>
      </c>
      <c r="CT119">
        <v>0</v>
      </c>
      <c r="CU119">
        <v>0</v>
      </c>
      <c r="CV119" t="s">
        <v>333</v>
      </c>
      <c r="CW119">
        <v>3.17041</v>
      </c>
      <c r="CX119">
        <v>2.6583</v>
      </c>
      <c r="CY119">
        <v>0.112545</v>
      </c>
      <c r="CZ119">
        <v>0.113457</v>
      </c>
      <c r="DA119">
        <v>0.0700443</v>
      </c>
      <c r="DB119">
        <v>0.0659715</v>
      </c>
      <c r="DC119">
        <v>21271.5</v>
      </c>
      <c r="DD119">
        <v>21791.3</v>
      </c>
      <c r="DE119">
        <v>23081.5</v>
      </c>
      <c r="DF119">
        <v>22485</v>
      </c>
      <c r="DG119">
        <v>32438.3</v>
      </c>
      <c r="DH119">
        <v>29613.3</v>
      </c>
      <c r="DI119">
        <v>40581.5</v>
      </c>
      <c r="DJ119">
        <v>37210.1</v>
      </c>
      <c r="DK119">
        <v>2.08502</v>
      </c>
      <c r="DL119">
        <v>1.68122</v>
      </c>
      <c r="DM119">
        <v>-0.118375</v>
      </c>
      <c r="DN119">
        <v>0</v>
      </c>
      <c r="DO119">
        <v>27.2738</v>
      </c>
      <c r="DP119">
        <v>999.9</v>
      </c>
      <c r="DQ119">
        <v>51.3</v>
      </c>
      <c r="DR119">
        <v>33.2</v>
      </c>
      <c r="DS119">
        <v>26.135</v>
      </c>
      <c r="DT119">
        <v>30.2965</v>
      </c>
      <c r="DU119">
        <v>12.4279</v>
      </c>
      <c r="DV119">
        <v>1</v>
      </c>
      <c r="DW119">
        <v>0.32125</v>
      </c>
      <c r="DX119">
        <v>3.15944</v>
      </c>
      <c r="DY119">
        <v>20.3304</v>
      </c>
      <c r="DZ119">
        <v>5.21046</v>
      </c>
      <c r="EA119">
        <v>11.8519</v>
      </c>
      <c r="EB119">
        <v>4.96752</v>
      </c>
      <c r="EC119">
        <v>3.29224</v>
      </c>
      <c r="ED119">
        <v>879.4</v>
      </c>
      <c r="EE119">
        <v>9999</v>
      </c>
      <c r="EF119">
        <v>9999</v>
      </c>
      <c r="EG119">
        <v>81.8</v>
      </c>
      <c r="EH119">
        <v>4.97156</v>
      </c>
      <c r="EI119">
        <v>1.87195</v>
      </c>
      <c r="EJ119">
        <v>1.8692</v>
      </c>
      <c r="EK119">
        <v>1.87159</v>
      </c>
      <c r="EL119">
        <v>1.86935</v>
      </c>
      <c r="EM119">
        <v>1.86829</v>
      </c>
      <c r="EN119">
        <v>1.87007</v>
      </c>
      <c r="EO119">
        <v>1.87181</v>
      </c>
      <c r="EP119">
        <v>0</v>
      </c>
      <c r="EQ119">
        <v>0</v>
      </c>
      <c r="ER119">
        <v>0</v>
      </c>
      <c r="ES119">
        <v>0</v>
      </c>
      <c r="ET119" t="s">
        <v>334</v>
      </c>
      <c r="EU119" t="s">
        <v>335</v>
      </c>
      <c r="EV119" t="s">
        <v>336</v>
      </c>
      <c r="EW119" t="s">
        <v>336</v>
      </c>
      <c r="EX119" t="s">
        <v>336</v>
      </c>
      <c r="EY119" t="s">
        <v>336</v>
      </c>
      <c r="EZ119">
        <v>0</v>
      </c>
      <c r="FA119">
        <v>100</v>
      </c>
      <c r="FB119">
        <v>100</v>
      </c>
      <c r="FC119">
        <v>6.496</v>
      </c>
      <c r="FD119">
        <v>0.0588</v>
      </c>
      <c r="FE119">
        <v>6.495476190476325</v>
      </c>
      <c r="FF119">
        <v>0</v>
      </c>
      <c r="FG119">
        <v>0</v>
      </c>
      <c r="FH119">
        <v>0</v>
      </c>
      <c r="FI119">
        <v>0.05881499999999917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103.3</v>
      </c>
      <c r="FR119">
        <v>103.5</v>
      </c>
      <c r="FS119">
        <v>0.144043</v>
      </c>
      <c r="FT119">
        <v>4.99756</v>
      </c>
      <c r="FU119">
        <v>1.5979</v>
      </c>
      <c r="FV119">
        <v>2.14111</v>
      </c>
      <c r="FW119">
        <v>1.54785</v>
      </c>
      <c r="FX119">
        <v>2.41821</v>
      </c>
      <c r="FY119">
        <v>39.3169</v>
      </c>
      <c r="FZ119">
        <v>15.8132</v>
      </c>
      <c r="GA119">
        <v>3</v>
      </c>
      <c r="GB119">
        <v>506.151</v>
      </c>
      <c r="GC119">
        <v>348.591</v>
      </c>
      <c r="GD119">
        <v>22.5317</v>
      </c>
      <c r="GE119">
        <v>31.1795</v>
      </c>
      <c r="GF119">
        <v>30.0005</v>
      </c>
      <c r="GG119">
        <v>31.0245</v>
      </c>
      <c r="GH119">
        <v>31.0087</v>
      </c>
      <c r="GI119">
        <v>-1</v>
      </c>
      <c r="GJ119">
        <v>100</v>
      </c>
      <c r="GK119">
        <v>0</v>
      </c>
      <c r="GL119">
        <v>22.5277</v>
      </c>
      <c r="GM119">
        <v>1200</v>
      </c>
      <c r="GN119">
        <v>26.7455</v>
      </c>
      <c r="GO119">
        <v>102.135</v>
      </c>
      <c r="GP119">
        <v>97.1473</v>
      </c>
    </row>
    <row r="120" spans="1:198">
      <c r="A120">
        <v>104</v>
      </c>
      <c r="B120">
        <v>1773275044.6</v>
      </c>
      <c r="C120">
        <v>6181</v>
      </c>
      <c r="D120" t="s">
        <v>541</v>
      </c>
      <c r="E120" t="s">
        <v>542</v>
      </c>
      <c r="F120">
        <v>15</v>
      </c>
      <c r="G120">
        <v>1773275036.599999</v>
      </c>
      <c r="H120">
        <f>(I120)/1000</f>
        <v>0</v>
      </c>
      <c r="I120">
        <f>1000*AY120*AG120*(AU120-AV120)/(100*AN120*(1000-AG120*AU120))</f>
        <v>0</v>
      </c>
      <c r="J120">
        <f>AY120*AG120*(AT120-AS120*(1000-AG120*AV120)/(1000-AG120*AU120))/(100*AN120)</f>
        <v>0</v>
      </c>
      <c r="K120">
        <f>AS120 - IF(AG120&gt;1, J120*AN120*100.0/(AI120), 0)</f>
        <v>0</v>
      </c>
      <c r="L120">
        <f>((R120-H120/2)*K120-J120)/(R120+H120/2)</f>
        <v>0</v>
      </c>
      <c r="M120">
        <f>L120*(AZ120+BA120)/1000.0</f>
        <v>0</v>
      </c>
      <c r="N120">
        <f>(AS120 - IF(AG120&gt;1, J120*AN120*100.0/(AI120), 0))*(AZ120+BA120)/1000.0</f>
        <v>0</v>
      </c>
      <c r="O120">
        <f>2.0/((1/Q120-1/P120)+SIGN(Q120)*SQRT((1/Q120-1/P120)*(1/Q120-1/P120) + 4*AO120/((AO120+1)*(AO120+1))*(2*1/Q120*1/P120-1/P120*1/P120)))</f>
        <v>0</v>
      </c>
      <c r="P120">
        <f>IF(LEFT(AP120,1)&lt;&gt;"0",IF(LEFT(AP120,1)="1",3.0,AQ120),$D$5+$E$5*(BG120*AZ120/($K$5*1000))+$F$5*(BG120*AZ120/($K$5*1000))*MAX(MIN(AN120,$J$5),$I$5)*MAX(MIN(AN120,$J$5),$I$5)+$G$5*MAX(MIN(AN120,$J$5),$I$5)*(BG120*AZ120/($K$5*1000))+$H$5*(BG120*AZ120/($K$5*1000))*(BG120*AZ120/($K$5*1000)))</f>
        <v>0</v>
      </c>
      <c r="Q120">
        <f>H120*(1000-(1000*0.61365*exp(17.502*U120/(240.97+U120))/(AZ120+BA120)+AU120)/2)/(1000*0.61365*exp(17.502*U120/(240.97+U120))/(AZ120+BA120)-AU120)</f>
        <v>0</v>
      </c>
      <c r="R120">
        <f>1/((AO120+1)/(O120/1.6)+1/(P120/1.37)) + AO120/((AO120+1)/(O120/1.6) + AO120/(P120/1.37))</f>
        <v>0</v>
      </c>
      <c r="S120">
        <f>(AJ120*AM120)</f>
        <v>0</v>
      </c>
      <c r="T120">
        <f>(BB120+(S120+2*0.95*5.67E-8*(((BB120+$B$7)+273)^4-(BB120+273)^4)-44100*H120)/(1.84*29.3*P120+8*0.95*5.67E-8*(BB120+273)^3))</f>
        <v>0</v>
      </c>
      <c r="U120">
        <f>($C$7*BC120+$D$7*BD120+$E$7*T120)</f>
        <v>0</v>
      </c>
      <c r="V120">
        <f>0.61365*exp(17.502*U120/(240.97+U120))</f>
        <v>0</v>
      </c>
      <c r="W120">
        <f>(X120/Y120*100)</f>
        <v>0</v>
      </c>
      <c r="X120">
        <f>AU120*(AZ120+BA120)/1000</f>
        <v>0</v>
      </c>
      <c r="Y120">
        <f>0.61365*exp(17.502*BB120/(240.97+BB120))</f>
        <v>0</v>
      </c>
      <c r="Z120">
        <f>(V120-AU120*(AZ120+BA120)/1000)</f>
        <v>0</v>
      </c>
      <c r="AA120">
        <f>(-H120*44100)</f>
        <v>0</v>
      </c>
      <c r="AB120">
        <f>2*29.3*P120*0.92*(BB120-U120)</f>
        <v>0</v>
      </c>
      <c r="AC120">
        <f>2*0.95*5.67E-8*(((BB120+$B$7)+273)^4-(U120+273)^4)</f>
        <v>0</v>
      </c>
      <c r="AD120">
        <f>S120+AC120+AA120+AB120</f>
        <v>0</v>
      </c>
      <c r="AE120">
        <v>0</v>
      </c>
      <c r="AF120">
        <v>0</v>
      </c>
      <c r="AG120">
        <f>IF(AE120*$H$13&gt;=AI120,1.0,(AI120/(AI120-AE120*$H$13)))</f>
        <v>0</v>
      </c>
      <c r="AH120">
        <f>(AG120-1)*100</f>
        <v>0</v>
      </c>
      <c r="AI120">
        <f>MAX(0,($B$13+$C$13*BG120)/(1+$D$13*BG120)*AZ120/(BB120+273)*$E$13)</f>
        <v>0</v>
      </c>
      <c r="AJ120">
        <f>$B$11*BH120+$C$11*BI120+$D$11*BT120</f>
        <v>0</v>
      </c>
      <c r="AK120">
        <f>AJ120*AL120</f>
        <v>0</v>
      </c>
      <c r="AL120">
        <f>($B$11*$D$9+$C$11*$D$9+$D$11*(BU120*$E$9+BV120*$G$9))/($B$11+$C$11+$D$11)</f>
        <v>0</v>
      </c>
      <c r="AM120">
        <f>($B$11*$K$9+$C$11*$K$9+$D$11*(BU120*$L$9+BV120*$N$9))/($B$11+$C$11+$D$11)</f>
        <v>0</v>
      </c>
      <c r="AN120">
        <v>3</v>
      </c>
      <c r="AO120">
        <v>0.5</v>
      </c>
      <c r="AP120" t="s">
        <v>331</v>
      </c>
      <c r="AQ120">
        <v>2</v>
      </c>
      <c r="AR120">
        <v>1773275036.599999</v>
      </c>
      <c r="AS120">
        <v>487.2983225806452</v>
      </c>
      <c r="AT120">
        <v>485.2528387096775</v>
      </c>
      <c r="AU120">
        <v>12.48956774193548</v>
      </c>
      <c r="AV120">
        <v>11.56564838709677</v>
      </c>
      <c r="AW120">
        <v>480.8028709677419</v>
      </c>
      <c r="AX120">
        <v>12.43075806451613</v>
      </c>
      <c r="AY120">
        <v>500.0095483870967</v>
      </c>
      <c r="AZ120">
        <v>100.2986451612904</v>
      </c>
      <c r="BA120">
        <v>0.03693335161290321</v>
      </c>
      <c r="BB120">
        <v>25.00855483870967</v>
      </c>
      <c r="BC120">
        <v>25.3613935483871</v>
      </c>
      <c r="BD120">
        <v>999.9000000000003</v>
      </c>
      <c r="BE120">
        <v>0</v>
      </c>
      <c r="BF120">
        <v>0</v>
      </c>
      <c r="BG120">
        <v>4998.612903225807</v>
      </c>
      <c r="BH120">
        <v>2.171635806451613</v>
      </c>
      <c r="BI120">
        <v>965.0472903225807</v>
      </c>
      <c r="BJ120">
        <v>2.045464838709678</v>
      </c>
      <c r="BK120">
        <v>493.4615161290323</v>
      </c>
      <c r="BL120">
        <v>490.9308387096775</v>
      </c>
      <c r="BM120">
        <v>0.9239221290322581</v>
      </c>
      <c r="BN120">
        <v>485.2528387096775</v>
      </c>
      <c r="BO120">
        <v>11.56564838709677</v>
      </c>
      <c r="BP120">
        <v>1.252686451612903</v>
      </c>
      <c r="BQ120">
        <v>1.160017096774194</v>
      </c>
      <c r="BR120">
        <v>10.24286451612903</v>
      </c>
      <c r="BS120">
        <v>9.098093870967741</v>
      </c>
      <c r="BT120">
        <v>0</v>
      </c>
      <c r="BU120">
        <v>0</v>
      </c>
      <c r="BV120">
        <v>0</v>
      </c>
      <c r="BW120">
        <v>30</v>
      </c>
      <c r="BX120">
        <v>53.61826451612904</v>
      </c>
      <c r="BY120">
        <v>1773268786.6</v>
      </c>
      <c r="BZ120" t="s">
        <v>332</v>
      </c>
      <c r="CA120">
        <v>1773268786.6</v>
      </c>
      <c r="CB120">
        <v>1773268774.1</v>
      </c>
      <c r="CC120">
        <v>2</v>
      </c>
      <c r="CD120">
        <v>0.264</v>
      </c>
      <c r="CE120">
        <v>-0.024</v>
      </c>
      <c r="CF120">
        <v>6.495</v>
      </c>
      <c r="CG120">
        <v>0.059</v>
      </c>
      <c r="CH120">
        <v>488</v>
      </c>
      <c r="CI120">
        <v>25</v>
      </c>
      <c r="CJ120">
        <v>0.48</v>
      </c>
      <c r="CK120">
        <v>0.14</v>
      </c>
      <c r="CL120">
        <v>485.3066666666666</v>
      </c>
      <c r="CM120">
        <v>-4.972084538378107</v>
      </c>
      <c r="CN120">
        <v>0.361730962026873</v>
      </c>
      <c r="CO120">
        <v>-1</v>
      </c>
      <c r="CP120">
        <v>500.0068999999999</v>
      </c>
      <c r="CQ120">
        <v>-0.002909899889757026</v>
      </c>
      <c r="CR120">
        <v>0.05641060774949214</v>
      </c>
      <c r="CS120">
        <v>-1</v>
      </c>
      <c r="CT120">
        <v>0</v>
      </c>
      <c r="CU120">
        <v>0</v>
      </c>
      <c r="CV120" t="s">
        <v>333</v>
      </c>
      <c r="CW120">
        <v>3.17048</v>
      </c>
      <c r="CX120">
        <v>2.65824</v>
      </c>
      <c r="CY120">
        <v>0.112289</v>
      </c>
      <c r="CZ120">
        <v>0.113141</v>
      </c>
      <c r="DA120">
        <v>0.0704813</v>
      </c>
      <c r="DB120">
        <v>0.0664484</v>
      </c>
      <c r="DC120">
        <v>21274.2</v>
      </c>
      <c r="DD120">
        <v>21795.6</v>
      </c>
      <c r="DE120">
        <v>23078.1</v>
      </c>
      <c r="DF120">
        <v>22481.7</v>
      </c>
      <c r="DG120">
        <v>32418.6</v>
      </c>
      <c r="DH120">
        <v>29593.8</v>
      </c>
      <c r="DI120">
        <v>40576.1</v>
      </c>
      <c r="DJ120">
        <v>37204.8</v>
      </c>
      <c r="DK120">
        <v>2.0841</v>
      </c>
      <c r="DL120">
        <v>1.67924</v>
      </c>
      <c r="DM120">
        <v>-0.122249</v>
      </c>
      <c r="DN120">
        <v>0</v>
      </c>
      <c r="DO120">
        <v>27.3576</v>
      </c>
      <c r="DP120">
        <v>999.9</v>
      </c>
      <c r="DQ120">
        <v>51.1</v>
      </c>
      <c r="DR120">
        <v>33.3</v>
      </c>
      <c r="DS120">
        <v>26.1769</v>
      </c>
      <c r="DT120">
        <v>29.9965</v>
      </c>
      <c r="DU120">
        <v>12.3317</v>
      </c>
      <c r="DV120">
        <v>1</v>
      </c>
      <c r="DW120">
        <v>0.328736</v>
      </c>
      <c r="DX120">
        <v>3.17743</v>
      </c>
      <c r="DY120">
        <v>20.3293</v>
      </c>
      <c r="DZ120">
        <v>5.20926</v>
      </c>
      <c r="EA120">
        <v>11.8513</v>
      </c>
      <c r="EB120">
        <v>4.96772</v>
      </c>
      <c r="EC120">
        <v>3.29218</v>
      </c>
      <c r="ED120">
        <v>879.4</v>
      </c>
      <c r="EE120">
        <v>9999</v>
      </c>
      <c r="EF120">
        <v>9999</v>
      </c>
      <c r="EG120">
        <v>81.8</v>
      </c>
      <c r="EH120">
        <v>4.97159</v>
      </c>
      <c r="EI120">
        <v>1.87195</v>
      </c>
      <c r="EJ120">
        <v>1.8692</v>
      </c>
      <c r="EK120">
        <v>1.87159</v>
      </c>
      <c r="EL120">
        <v>1.86935</v>
      </c>
      <c r="EM120">
        <v>1.86828</v>
      </c>
      <c r="EN120">
        <v>1.87009</v>
      </c>
      <c r="EO120">
        <v>1.8718</v>
      </c>
      <c r="EP120">
        <v>0</v>
      </c>
      <c r="EQ120">
        <v>0</v>
      </c>
      <c r="ER120">
        <v>0</v>
      </c>
      <c r="ES120">
        <v>0</v>
      </c>
      <c r="ET120" t="s">
        <v>334</v>
      </c>
      <c r="EU120" t="s">
        <v>335</v>
      </c>
      <c r="EV120" t="s">
        <v>336</v>
      </c>
      <c r="EW120" t="s">
        <v>336</v>
      </c>
      <c r="EX120" t="s">
        <v>336</v>
      </c>
      <c r="EY120" t="s">
        <v>336</v>
      </c>
      <c r="EZ120">
        <v>0</v>
      </c>
      <c r="FA120">
        <v>100</v>
      </c>
      <c r="FB120">
        <v>100</v>
      </c>
      <c r="FC120">
        <v>6.495</v>
      </c>
      <c r="FD120">
        <v>0.0588</v>
      </c>
      <c r="FE120">
        <v>6.495476190476325</v>
      </c>
      <c r="FF120">
        <v>0</v>
      </c>
      <c r="FG120">
        <v>0</v>
      </c>
      <c r="FH120">
        <v>0</v>
      </c>
      <c r="FI120">
        <v>0.05881499999999917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104.3</v>
      </c>
      <c r="FR120">
        <v>104.5</v>
      </c>
      <c r="FS120">
        <v>0.144043</v>
      </c>
      <c r="FT120">
        <v>4.99634</v>
      </c>
      <c r="FU120">
        <v>1.5979</v>
      </c>
      <c r="FV120">
        <v>2.14111</v>
      </c>
      <c r="FW120">
        <v>1.54785</v>
      </c>
      <c r="FX120">
        <v>2.44629</v>
      </c>
      <c r="FY120">
        <v>39.4666</v>
      </c>
      <c r="FZ120">
        <v>15.8132</v>
      </c>
      <c r="GA120">
        <v>3</v>
      </c>
      <c r="GB120">
        <v>506.205</v>
      </c>
      <c r="GC120">
        <v>347.993</v>
      </c>
      <c r="GD120">
        <v>22.5294</v>
      </c>
      <c r="GE120">
        <v>31.2614</v>
      </c>
      <c r="GF120">
        <v>30.0007</v>
      </c>
      <c r="GG120">
        <v>31.1027</v>
      </c>
      <c r="GH120">
        <v>31.0868</v>
      </c>
      <c r="GI120">
        <v>-1</v>
      </c>
      <c r="GJ120">
        <v>100</v>
      </c>
      <c r="GK120">
        <v>0</v>
      </c>
      <c r="GL120">
        <v>22.5258</v>
      </c>
      <c r="GM120">
        <v>1200</v>
      </c>
      <c r="GN120">
        <v>26.7455</v>
      </c>
      <c r="GO120">
        <v>102.121</v>
      </c>
      <c r="GP120">
        <v>97.13330000000001</v>
      </c>
    </row>
    <row r="121" spans="1:198">
      <c r="A121">
        <v>105</v>
      </c>
      <c r="B121">
        <v>1773275104.6</v>
      </c>
      <c r="C121">
        <v>6241</v>
      </c>
      <c r="D121" t="s">
        <v>543</v>
      </c>
      <c r="E121" t="s">
        <v>544</v>
      </c>
      <c r="F121">
        <v>15</v>
      </c>
      <c r="G121">
        <v>1773275096.599999</v>
      </c>
      <c r="H121">
        <f>(I121)/1000</f>
        <v>0</v>
      </c>
      <c r="I121">
        <f>1000*AY121*AG121*(AU121-AV121)/(100*AN121*(1000-AG121*AU121))</f>
        <v>0</v>
      </c>
      <c r="J121">
        <f>AY121*AG121*(AT121-AS121*(1000-AG121*AV121)/(1000-AG121*AU121))/(100*AN121)</f>
        <v>0</v>
      </c>
      <c r="K121">
        <f>AS121 - IF(AG121&gt;1, J121*AN121*100.0/(AI121), 0)</f>
        <v>0</v>
      </c>
      <c r="L121">
        <f>((R121-H121/2)*K121-J121)/(R121+H121/2)</f>
        <v>0</v>
      </c>
      <c r="M121">
        <f>L121*(AZ121+BA121)/1000.0</f>
        <v>0</v>
      </c>
      <c r="N121">
        <f>(AS121 - IF(AG121&gt;1, J121*AN121*100.0/(AI121), 0))*(AZ121+BA121)/1000.0</f>
        <v>0</v>
      </c>
      <c r="O121">
        <f>2.0/((1/Q121-1/P121)+SIGN(Q121)*SQRT((1/Q121-1/P121)*(1/Q121-1/P121) + 4*AO121/((AO121+1)*(AO121+1))*(2*1/Q121*1/P121-1/P121*1/P121)))</f>
        <v>0</v>
      </c>
      <c r="P121">
        <f>IF(LEFT(AP121,1)&lt;&gt;"0",IF(LEFT(AP121,1)="1",3.0,AQ121),$D$5+$E$5*(BG121*AZ121/($K$5*1000))+$F$5*(BG121*AZ121/($K$5*1000))*MAX(MIN(AN121,$J$5),$I$5)*MAX(MIN(AN121,$J$5),$I$5)+$G$5*MAX(MIN(AN121,$J$5),$I$5)*(BG121*AZ121/($K$5*1000))+$H$5*(BG121*AZ121/($K$5*1000))*(BG121*AZ121/($K$5*1000)))</f>
        <v>0</v>
      </c>
      <c r="Q121">
        <f>H121*(1000-(1000*0.61365*exp(17.502*U121/(240.97+U121))/(AZ121+BA121)+AU121)/2)/(1000*0.61365*exp(17.502*U121/(240.97+U121))/(AZ121+BA121)-AU121)</f>
        <v>0</v>
      </c>
      <c r="R121">
        <f>1/((AO121+1)/(O121/1.6)+1/(P121/1.37)) + AO121/((AO121+1)/(O121/1.6) + AO121/(P121/1.37))</f>
        <v>0</v>
      </c>
      <c r="S121">
        <f>(AJ121*AM121)</f>
        <v>0</v>
      </c>
      <c r="T121">
        <f>(BB121+(S121+2*0.95*5.67E-8*(((BB121+$B$7)+273)^4-(BB121+273)^4)-44100*H121)/(1.84*29.3*P121+8*0.95*5.67E-8*(BB121+273)^3))</f>
        <v>0</v>
      </c>
      <c r="U121">
        <f>($C$7*BC121+$D$7*BD121+$E$7*T121)</f>
        <v>0</v>
      </c>
      <c r="V121">
        <f>0.61365*exp(17.502*U121/(240.97+U121))</f>
        <v>0</v>
      </c>
      <c r="W121">
        <f>(X121/Y121*100)</f>
        <v>0</v>
      </c>
      <c r="X121">
        <f>AU121*(AZ121+BA121)/1000</f>
        <v>0</v>
      </c>
      <c r="Y121">
        <f>0.61365*exp(17.502*BB121/(240.97+BB121))</f>
        <v>0</v>
      </c>
      <c r="Z121">
        <f>(V121-AU121*(AZ121+BA121)/1000)</f>
        <v>0</v>
      </c>
      <c r="AA121">
        <f>(-H121*44100)</f>
        <v>0</v>
      </c>
      <c r="AB121">
        <f>2*29.3*P121*0.92*(BB121-U121)</f>
        <v>0</v>
      </c>
      <c r="AC121">
        <f>2*0.95*5.67E-8*(((BB121+$B$7)+273)^4-(U121+273)^4)</f>
        <v>0</v>
      </c>
      <c r="AD121">
        <f>S121+AC121+AA121+AB121</f>
        <v>0</v>
      </c>
      <c r="AE121">
        <v>0</v>
      </c>
      <c r="AF121">
        <v>0</v>
      </c>
      <c r="AG121">
        <f>IF(AE121*$H$13&gt;=AI121,1.0,(AI121/(AI121-AE121*$H$13)))</f>
        <v>0</v>
      </c>
      <c r="AH121">
        <f>(AG121-1)*100</f>
        <v>0</v>
      </c>
      <c r="AI121">
        <f>MAX(0,($B$13+$C$13*BG121)/(1+$D$13*BG121)*AZ121/(BB121+273)*$E$13)</f>
        <v>0</v>
      </c>
      <c r="AJ121">
        <f>$B$11*BH121+$C$11*BI121+$D$11*BT121</f>
        <v>0</v>
      </c>
      <c r="AK121">
        <f>AJ121*AL121</f>
        <v>0</v>
      </c>
      <c r="AL121">
        <f>($B$11*$D$9+$C$11*$D$9+$D$11*(BU121*$E$9+BV121*$G$9))/($B$11+$C$11+$D$11)</f>
        <v>0</v>
      </c>
      <c r="AM121">
        <f>($B$11*$K$9+$C$11*$K$9+$D$11*(BU121*$L$9+BV121*$N$9))/($B$11+$C$11+$D$11)</f>
        <v>0</v>
      </c>
      <c r="AN121">
        <v>3</v>
      </c>
      <c r="AO121">
        <v>0.5</v>
      </c>
      <c r="AP121" t="s">
        <v>331</v>
      </c>
      <c r="AQ121">
        <v>2</v>
      </c>
      <c r="AR121">
        <v>1773275096.599999</v>
      </c>
      <c r="AS121">
        <v>485.6861612903226</v>
      </c>
      <c r="AT121">
        <v>483.9095161290322</v>
      </c>
      <c r="AU121">
        <v>12.60191612903226</v>
      </c>
      <c r="AV121">
        <v>11.69392258064516</v>
      </c>
      <c r="AW121">
        <v>479.1907096774194</v>
      </c>
      <c r="AX121">
        <v>12.54310322580645</v>
      </c>
      <c r="AY121">
        <v>500.0069032258064</v>
      </c>
      <c r="AZ121">
        <v>100.3041935483871</v>
      </c>
      <c r="BA121">
        <v>0.03719290967741935</v>
      </c>
      <c r="BB121">
        <v>25.00587741935484</v>
      </c>
      <c r="BC121">
        <v>25.37160322580645</v>
      </c>
      <c r="BD121">
        <v>999.9000000000003</v>
      </c>
      <c r="BE121">
        <v>0</v>
      </c>
      <c r="BF121">
        <v>0</v>
      </c>
      <c r="BG121">
        <v>5002.387096774193</v>
      </c>
      <c r="BH121">
        <v>2.145560967741935</v>
      </c>
      <c r="BI121">
        <v>949.8834838709678</v>
      </c>
      <c r="BJ121">
        <v>1.776807096774194</v>
      </c>
      <c r="BK121">
        <v>491.884870967742</v>
      </c>
      <c r="BL121">
        <v>489.635064516129</v>
      </c>
      <c r="BM121">
        <v>0.9079870967741934</v>
      </c>
      <c r="BN121">
        <v>483.9095161290322</v>
      </c>
      <c r="BO121">
        <v>11.69392258064516</v>
      </c>
      <c r="BP121">
        <v>1.264026774193548</v>
      </c>
      <c r="BQ121">
        <v>1.172952258064516</v>
      </c>
      <c r="BR121">
        <v>10.37777741935484</v>
      </c>
      <c r="BS121">
        <v>9.262595806451612</v>
      </c>
      <c r="BT121">
        <v>0</v>
      </c>
      <c r="BU121">
        <v>0</v>
      </c>
      <c r="BV121">
        <v>0</v>
      </c>
      <c r="BW121">
        <v>30</v>
      </c>
      <c r="BX121">
        <v>55</v>
      </c>
      <c r="BY121">
        <v>1773268786.6</v>
      </c>
      <c r="BZ121" t="s">
        <v>332</v>
      </c>
      <c r="CA121">
        <v>1773268786.6</v>
      </c>
      <c r="CB121">
        <v>1773268774.1</v>
      </c>
      <c r="CC121">
        <v>2</v>
      </c>
      <c r="CD121">
        <v>0.264</v>
      </c>
      <c r="CE121">
        <v>-0.024</v>
      </c>
      <c r="CF121">
        <v>6.495</v>
      </c>
      <c r="CG121">
        <v>0.059</v>
      </c>
      <c r="CH121">
        <v>488</v>
      </c>
      <c r="CI121">
        <v>25</v>
      </c>
      <c r="CJ121">
        <v>0.48</v>
      </c>
      <c r="CK121">
        <v>0.14</v>
      </c>
      <c r="CL121">
        <v>483.8926666666666</v>
      </c>
      <c r="CM121">
        <v>-4.956814238041845</v>
      </c>
      <c r="CN121">
        <v>0.3646616087400597</v>
      </c>
      <c r="CO121">
        <v>-1</v>
      </c>
      <c r="CP121">
        <v>500.0100999999999</v>
      </c>
      <c r="CQ121">
        <v>0.1332413793110733</v>
      </c>
      <c r="CR121">
        <v>0.04767483612976794</v>
      </c>
      <c r="CS121">
        <v>-1</v>
      </c>
      <c r="CT121">
        <v>0</v>
      </c>
      <c r="CU121">
        <v>0</v>
      </c>
      <c r="CV121" t="s">
        <v>333</v>
      </c>
      <c r="CW121">
        <v>3.17054</v>
      </c>
      <c r="CX121">
        <v>2.65848</v>
      </c>
      <c r="CY121">
        <v>0.112037</v>
      </c>
      <c r="CZ121">
        <v>0.112891</v>
      </c>
      <c r="DA121">
        <v>0.07097000000000001</v>
      </c>
      <c r="DB121">
        <v>0.067021</v>
      </c>
      <c r="DC121">
        <v>21276.7</v>
      </c>
      <c r="DD121">
        <v>21799</v>
      </c>
      <c r="DE121">
        <v>23074.7</v>
      </c>
      <c r="DF121">
        <v>22479.1</v>
      </c>
      <c r="DG121">
        <v>32396.9</v>
      </c>
      <c r="DH121">
        <v>29571.8</v>
      </c>
      <c r="DI121">
        <v>40570.6</v>
      </c>
      <c r="DJ121">
        <v>37200.2</v>
      </c>
      <c r="DK121">
        <v>2.08348</v>
      </c>
      <c r="DL121">
        <v>1.67772</v>
      </c>
      <c r="DM121">
        <v>-0.12334</v>
      </c>
      <c r="DN121">
        <v>0</v>
      </c>
      <c r="DO121">
        <v>27.3864</v>
      </c>
      <c r="DP121">
        <v>999.9</v>
      </c>
      <c r="DQ121">
        <v>50.7</v>
      </c>
      <c r="DR121">
        <v>33.4</v>
      </c>
      <c r="DS121">
        <v>26.1174</v>
      </c>
      <c r="DT121">
        <v>30.0865</v>
      </c>
      <c r="DU121">
        <v>12.2716</v>
      </c>
      <c r="DV121">
        <v>1</v>
      </c>
      <c r="DW121">
        <v>0.335201</v>
      </c>
      <c r="DX121">
        <v>3.17216</v>
      </c>
      <c r="DY121">
        <v>20.3297</v>
      </c>
      <c r="DZ121">
        <v>5.21058</v>
      </c>
      <c r="EA121">
        <v>11.8521</v>
      </c>
      <c r="EB121">
        <v>4.96772</v>
      </c>
      <c r="EC121">
        <v>3.29228</v>
      </c>
      <c r="ED121">
        <v>879.4</v>
      </c>
      <c r="EE121">
        <v>9999</v>
      </c>
      <c r="EF121">
        <v>9999</v>
      </c>
      <c r="EG121">
        <v>81.8</v>
      </c>
      <c r="EH121">
        <v>4.97157</v>
      </c>
      <c r="EI121">
        <v>1.87195</v>
      </c>
      <c r="EJ121">
        <v>1.86921</v>
      </c>
      <c r="EK121">
        <v>1.87162</v>
      </c>
      <c r="EL121">
        <v>1.86935</v>
      </c>
      <c r="EM121">
        <v>1.86828</v>
      </c>
      <c r="EN121">
        <v>1.8701</v>
      </c>
      <c r="EO121">
        <v>1.87184</v>
      </c>
      <c r="EP121">
        <v>0</v>
      </c>
      <c r="EQ121">
        <v>0</v>
      </c>
      <c r="ER121">
        <v>0</v>
      </c>
      <c r="ES121">
        <v>0</v>
      </c>
      <c r="ET121" t="s">
        <v>334</v>
      </c>
      <c r="EU121" t="s">
        <v>335</v>
      </c>
      <c r="EV121" t="s">
        <v>336</v>
      </c>
      <c r="EW121" t="s">
        <v>336</v>
      </c>
      <c r="EX121" t="s">
        <v>336</v>
      </c>
      <c r="EY121" t="s">
        <v>336</v>
      </c>
      <c r="EZ121">
        <v>0</v>
      </c>
      <c r="FA121">
        <v>100</v>
      </c>
      <c r="FB121">
        <v>100</v>
      </c>
      <c r="FC121">
        <v>6.495</v>
      </c>
      <c r="FD121">
        <v>0.0588</v>
      </c>
      <c r="FE121">
        <v>6.495476190476325</v>
      </c>
      <c r="FF121">
        <v>0</v>
      </c>
      <c r="FG121">
        <v>0</v>
      </c>
      <c r="FH121">
        <v>0</v>
      </c>
      <c r="FI121">
        <v>0.05881499999999917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105.3</v>
      </c>
      <c r="FR121">
        <v>105.5</v>
      </c>
      <c r="FS121">
        <v>0.144043</v>
      </c>
      <c r="FT121">
        <v>4.99756</v>
      </c>
      <c r="FU121">
        <v>1.5979</v>
      </c>
      <c r="FV121">
        <v>2.14111</v>
      </c>
      <c r="FW121">
        <v>1.54785</v>
      </c>
      <c r="FX121">
        <v>2.42554</v>
      </c>
      <c r="FY121">
        <v>39.6167</v>
      </c>
      <c r="FZ121">
        <v>15.8044</v>
      </c>
      <c r="GA121">
        <v>3</v>
      </c>
      <c r="GB121">
        <v>506.419</v>
      </c>
      <c r="GC121">
        <v>347.603</v>
      </c>
      <c r="GD121">
        <v>22.5408</v>
      </c>
      <c r="GE121">
        <v>31.3433</v>
      </c>
      <c r="GF121">
        <v>30.0006</v>
      </c>
      <c r="GG121">
        <v>31.1785</v>
      </c>
      <c r="GH121">
        <v>31.1595</v>
      </c>
      <c r="GI121">
        <v>-1</v>
      </c>
      <c r="GJ121">
        <v>100</v>
      </c>
      <c r="GK121">
        <v>0</v>
      </c>
      <c r="GL121">
        <v>22.535</v>
      </c>
      <c r="GM121">
        <v>1200</v>
      </c>
      <c r="GN121">
        <v>26.7455</v>
      </c>
      <c r="GO121">
        <v>102.106</v>
      </c>
      <c r="GP121">
        <v>97.1216</v>
      </c>
    </row>
    <row r="122" spans="1:198">
      <c r="A122">
        <v>106</v>
      </c>
      <c r="B122">
        <v>1773275164.6</v>
      </c>
      <c r="C122">
        <v>6301</v>
      </c>
      <c r="D122" t="s">
        <v>545</v>
      </c>
      <c r="E122" t="s">
        <v>546</v>
      </c>
      <c r="F122">
        <v>15</v>
      </c>
      <c r="G122">
        <v>1773275156.599999</v>
      </c>
      <c r="H122">
        <f>(I122)/1000</f>
        <v>0</v>
      </c>
      <c r="I122">
        <f>1000*AY122*AG122*(AU122-AV122)/(100*AN122*(1000-AG122*AU122))</f>
        <v>0</v>
      </c>
      <c r="J122">
        <f>AY122*AG122*(AT122-AS122*(1000-AG122*AV122)/(1000-AG122*AU122))/(100*AN122)</f>
        <v>0</v>
      </c>
      <c r="K122">
        <f>AS122 - IF(AG122&gt;1, J122*AN122*100.0/(AI122), 0)</f>
        <v>0</v>
      </c>
      <c r="L122">
        <f>((R122-H122/2)*K122-J122)/(R122+H122/2)</f>
        <v>0</v>
      </c>
      <c r="M122">
        <f>L122*(AZ122+BA122)/1000.0</f>
        <v>0</v>
      </c>
      <c r="N122">
        <f>(AS122 - IF(AG122&gt;1, J122*AN122*100.0/(AI122), 0))*(AZ122+BA122)/1000.0</f>
        <v>0</v>
      </c>
      <c r="O122">
        <f>2.0/((1/Q122-1/P122)+SIGN(Q122)*SQRT((1/Q122-1/P122)*(1/Q122-1/P122) + 4*AO122/((AO122+1)*(AO122+1))*(2*1/Q122*1/P122-1/P122*1/P122)))</f>
        <v>0</v>
      </c>
      <c r="P122">
        <f>IF(LEFT(AP122,1)&lt;&gt;"0",IF(LEFT(AP122,1)="1",3.0,AQ122),$D$5+$E$5*(BG122*AZ122/($K$5*1000))+$F$5*(BG122*AZ122/($K$5*1000))*MAX(MIN(AN122,$J$5),$I$5)*MAX(MIN(AN122,$J$5),$I$5)+$G$5*MAX(MIN(AN122,$J$5),$I$5)*(BG122*AZ122/($K$5*1000))+$H$5*(BG122*AZ122/($K$5*1000))*(BG122*AZ122/($K$5*1000)))</f>
        <v>0</v>
      </c>
      <c r="Q122">
        <f>H122*(1000-(1000*0.61365*exp(17.502*U122/(240.97+U122))/(AZ122+BA122)+AU122)/2)/(1000*0.61365*exp(17.502*U122/(240.97+U122))/(AZ122+BA122)-AU122)</f>
        <v>0</v>
      </c>
      <c r="R122">
        <f>1/((AO122+1)/(O122/1.6)+1/(P122/1.37)) + AO122/((AO122+1)/(O122/1.6) + AO122/(P122/1.37))</f>
        <v>0</v>
      </c>
      <c r="S122">
        <f>(AJ122*AM122)</f>
        <v>0</v>
      </c>
      <c r="T122">
        <f>(BB122+(S122+2*0.95*5.67E-8*(((BB122+$B$7)+273)^4-(BB122+273)^4)-44100*H122)/(1.84*29.3*P122+8*0.95*5.67E-8*(BB122+273)^3))</f>
        <v>0</v>
      </c>
      <c r="U122">
        <f>($C$7*BC122+$D$7*BD122+$E$7*T122)</f>
        <v>0</v>
      </c>
      <c r="V122">
        <f>0.61365*exp(17.502*U122/(240.97+U122))</f>
        <v>0</v>
      </c>
      <c r="W122">
        <f>(X122/Y122*100)</f>
        <v>0</v>
      </c>
      <c r="X122">
        <f>AU122*(AZ122+BA122)/1000</f>
        <v>0</v>
      </c>
      <c r="Y122">
        <f>0.61365*exp(17.502*BB122/(240.97+BB122))</f>
        <v>0</v>
      </c>
      <c r="Z122">
        <f>(V122-AU122*(AZ122+BA122)/1000)</f>
        <v>0</v>
      </c>
      <c r="AA122">
        <f>(-H122*44100)</f>
        <v>0</v>
      </c>
      <c r="AB122">
        <f>2*29.3*P122*0.92*(BB122-U122)</f>
        <v>0</v>
      </c>
      <c r="AC122">
        <f>2*0.95*5.67E-8*(((BB122+$B$7)+273)^4-(U122+273)^4)</f>
        <v>0</v>
      </c>
      <c r="AD122">
        <f>S122+AC122+AA122+AB122</f>
        <v>0</v>
      </c>
      <c r="AE122">
        <v>0</v>
      </c>
      <c r="AF122">
        <v>0</v>
      </c>
      <c r="AG122">
        <f>IF(AE122*$H$13&gt;=AI122,1.0,(AI122/(AI122-AE122*$H$13)))</f>
        <v>0</v>
      </c>
      <c r="AH122">
        <f>(AG122-1)*100</f>
        <v>0</v>
      </c>
      <c r="AI122">
        <f>MAX(0,($B$13+$C$13*BG122)/(1+$D$13*BG122)*AZ122/(BB122+273)*$E$13)</f>
        <v>0</v>
      </c>
      <c r="AJ122">
        <f>$B$11*BH122+$C$11*BI122+$D$11*BT122</f>
        <v>0</v>
      </c>
      <c r="AK122">
        <f>AJ122*AL122</f>
        <v>0</v>
      </c>
      <c r="AL122">
        <f>($B$11*$D$9+$C$11*$D$9+$D$11*(BU122*$E$9+BV122*$G$9))/($B$11+$C$11+$D$11)</f>
        <v>0</v>
      </c>
      <c r="AM122">
        <f>($B$11*$K$9+$C$11*$K$9+$D$11*(BU122*$L$9+BV122*$N$9))/($B$11+$C$11+$D$11)</f>
        <v>0</v>
      </c>
      <c r="AN122">
        <v>3</v>
      </c>
      <c r="AO122">
        <v>0.5</v>
      </c>
      <c r="AP122" t="s">
        <v>331</v>
      </c>
      <c r="AQ122">
        <v>2</v>
      </c>
      <c r="AR122">
        <v>1773275156.599999</v>
      </c>
      <c r="AS122">
        <v>482.779935483871</v>
      </c>
      <c r="AT122">
        <v>480.9536451612904</v>
      </c>
      <c r="AU122">
        <v>12.70518387096774</v>
      </c>
      <c r="AV122">
        <v>11.80135806451613</v>
      </c>
      <c r="AW122">
        <v>476.2845483870968</v>
      </c>
      <c r="AX122">
        <v>12.64637419354839</v>
      </c>
      <c r="AY122">
        <v>499.9962903225806</v>
      </c>
      <c r="AZ122">
        <v>100.3101612903226</v>
      </c>
      <c r="BA122">
        <v>0.03696496451612903</v>
      </c>
      <c r="BB122">
        <v>24.99021935483871</v>
      </c>
      <c r="BC122">
        <v>25.33499354838709</v>
      </c>
      <c r="BD122">
        <v>999.9000000000003</v>
      </c>
      <c r="BE122">
        <v>0</v>
      </c>
      <c r="BF122">
        <v>0</v>
      </c>
      <c r="BG122">
        <v>4995.387096774193</v>
      </c>
      <c r="BH122">
        <v>2.18608935483871</v>
      </c>
      <c r="BI122">
        <v>981.1521290322582</v>
      </c>
      <c r="BJ122">
        <v>1.826338709677419</v>
      </c>
      <c r="BK122">
        <v>488.9928387096774</v>
      </c>
      <c r="BL122">
        <v>486.6973548387097</v>
      </c>
      <c r="BM122">
        <v>0.9038302903225807</v>
      </c>
      <c r="BN122">
        <v>480.9536451612904</v>
      </c>
      <c r="BO122">
        <v>11.80135806451613</v>
      </c>
      <c r="BP122">
        <v>1.27445935483871</v>
      </c>
      <c r="BQ122">
        <v>1.183796774193549</v>
      </c>
      <c r="BR122">
        <v>10.50097419354839</v>
      </c>
      <c r="BS122">
        <v>9.399311612903224</v>
      </c>
      <c r="BT122">
        <v>0</v>
      </c>
      <c r="BU122">
        <v>0</v>
      </c>
      <c r="BV122">
        <v>0</v>
      </c>
      <c r="BW122">
        <v>30</v>
      </c>
      <c r="BX122">
        <v>55.98601612903226</v>
      </c>
      <c r="BY122">
        <v>1773268786.6</v>
      </c>
      <c r="BZ122" t="s">
        <v>332</v>
      </c>
      <c r="CA122">
        <v>1773268786.6</v>
      </c>
      <c r="CB122">
        <v>1773268774.1</v>
      </c>
      <c r="CC122">
        <v>2</v>
      </c>
      <c r="CD122">
        <v>0.264</v>
      </c>
      <c r="CE122">
        <v>-0.024</v>
      </c>
      <c r="CF122">
        <v>6.495</v>
      </c>
      <c r="CG122">
        <v>0.059</v>
      </c>
      <c r="CH122">
        <v>488</v>
      </c>
      <c r="CI122">
        <v>25</v>
      </c>
      <c r="CJ122">
        <v>0.48</v>
      </c>
      <c r="CK122">
        <v>0.14</v>
      </c>
      <c r="CL122">
        <v>480.9871290322581</v>
      </c>
      <c r="CM122">
        <v>-4.739080645161171</v>
      </c>
      <c r="CN122">
        <v>0.3797622976356618</v>
      </c>
      <c r="CO122">
        <v>-1</v>
      </c>
      <c r="CP122">
        <v>499.9994193548387</v>
      </c>
      <c r="CQ122">
        <v>0.03701612903198441</v>
      </c>
      <c r="CR122">
        <v>0.04157835525115014</v>
      </c>
      <c r="CS122">
        <v>-1</v>
      </c>
      <c r="CT122">
        <v>0</v>
      </c>
      <c r="CU122">
        <v>0</v>
      </c>
      <c r="CV122" t="s">
        <v>333</v>
      </c>
      <c r="CW122">
        <v>3.17049</v>
      </c>
      <c r="CX122">
        <v>2.65843</v>
      </c>
      <c r="CY122">
        <v>0.111508</v>
      </c>
      <c r="CZ122">
        <v>0.112327</v>
      </c>
      <c r="DA122">
        <v>0.071391</v>
      </c>
      <c r="DB122">
        <v>0.0674696</v>
      </c>
      <c r="DC122">
        <v>21286.4</v>
      </c>
      <c r="DD122">
        <v>21810.1</v>
      </c>
      <c r="DE122">
        <v>23071.7</v>
      </c>
      <c r="DF122">
        <v>22476.4</v>
      </c>
      <c r="DG122">
        <v>32378.6</v>
      </c>
      <c r="DH122">
        <v>29553.6</v>
      </c>
      <c r="DI122">
        <v>40566.2</v>
      </c>
      <c r="DJ122">
        <v>37195.4</v>
      </c>
      <c r="DK122">
        <v>2.08258</v>
      </c>
      <c r="DL122">
        <v>1.67606</v>
      </c>
      <c r="DM122">
        <v>-0.123322</v>
      </c>
      <c r="DN122">
        <v>0</v>
      </c>
      <c r="DO122">
        <v>27.3524</v>
      </c>
      <c r="DP122">
        <v>999.9</v>
      </c>
      <c r="DQ122">
        <v>50.2</v>
      </c>
      <c r="DR122">
        <v>33.6</v>
      </c>
      <c r="DS122">
        <v>26.1503</v>
      </c>
      <c r="DT122">
        <v>30.1165</v>
      </c>
      <c r="DU122">
        <v>12.5</v>
      </c>
      <c r="DV122">
        <v>1</v>
      </c>
      <c r="DW122">
        <v>0.340701</v>
      </c>
      <c r="DX122">
        <v>3.03453</v>
      </c>
      <c r="DY122">
        <v>20.3327</v>
      </c>
      <c r="DZ122">
        <v>5.2101</v>
      </c>
      <c r="EA122">
        <v>11.8536</v>
      </c>
      <c r="EB122">
        <v>4.9678</v>
      </c>
      <c r="EC122">
        <v>3.29206</v>
      </c>
      <c r="ED122">
        <v>879.4</v>
      </c>
      <c r="EE122">
        <v>9999</v>
      </c>
      <c r="EF122">
        <v>9999</v>
      </c>
      <c r="EG122">
        <v>81.90000000000001</v>
      </c>
      <c r="EH122">
        <v>4.9716</v>
      </c>
      <c r="EI122">
        <v>1.87196</v>
      </c>
      <c r="EJ122">
        <v>1.86921</v>
      </c>
      <c r="EK122">
        <v>1.87163</v>
      </c>
      <c r="EL122">
        <v>1.86935</v>
      </c>
      <c r="EM122">
        <v>1.86829</v>
      </c>
      <c r="EN122">
        <v>1.87009</v>
      </c>
      <c r="EO122">
        <v>1.87186</v>
      </c>
      <c r="EP122">
        <v>0</v>
      </c>
      <c r="EQ122">
        <v>0</v>
      </c>
      <c r="ER122">
        <v>0</v>
      </c>
      <c r="ES122">
        <v>0</v>
      </c>
      <c r="ET122" t="s">
        <v>334</v>
      </c>
      <c r="EU122" t="s">
        <v>335</v>
      </c>
      <c r="EV122" t="s">
        <v>336</v>
      </c>
      <c r="EW122" t="s">
        <v>336</v>
      </c>
      <c r="EX122" t="s">
        <v>336</v>
      </c>
      <c r="EY122" t="s">
        <v>336</v>
      </c>
      <c r="EZ122">
        <v>0</v>
      </c>
      <c r="FA122">
        <v>100</v>
      </c>
      <c r="FB122">
        <v>100</v>
      </c>
      <c r="FC122">
        <v>6.496</v>
      </c>
      <c r="FD122">
        <v>0.0588</v>
      </c>
      <c r="FE122">
        <v>6.495476190476325</v>
      </c>
      <c r="FF122">
        <v>0</v>
      </c>
      <c r="FG122">
        <v>0</v>
      </c>
      <c r="FH122">
        <v>0</v>
      </c>
      <c r="FI122">
        <v>0.05881499999999917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106.3</v>
      </c>
      <c r="FR122">
        <v>106.5</v>
      </c>
      <c r="FS122">
        <v>0.144043</v>
      </c>
      <c r="FT122">
        <v>4.99756</v>
      </c>
      <c r="FU122">
        <v>1.5979</v>
      </c>
      <c r="FV122">
        <v>2.13989</v>
      </c>
      <c r="FW122">
        <v>1.54785</v>
      </c>
      <c r="FX122">
        <v>2.37183</v>
      </c>
      <c r="FY122">
        <v>39.7422</v>
      </c>
      <c r="FZ122">
        <v>15.7957</v>
      </c>
      <c r="GA122">
        <v>3</v>
      </c>
      <c r="GB122">
        <v>506.441</v>
      </c>
      <c r="GC122">
        <v>347.139</v>
      </c>
      <c r="GD122">
        <v>22.5589</v>
      </c>
      <c r="GE122">
        <v>31.4119</v>
      </c>
      <c r="GF122">
        <v>30.0005</v>
      </c>
      <c r="GG122">
        <v>31.251</v>
      </c>
      <c r="GH122">
        <v>31.2321</v>
      </c>
      <c r="GI122">
        <v>-1</v>
      </c>
      <c r="GJ122">
        <v>100</v>
      </c>
      <c r="GK122">
        <v>0</v>
      </c>
      <c r="GL122">
        <v>22.5679</v>
      </c>
      <c r="GM122">
        <v>1200</v>
      </c>
      <c r="GN122">
        <v>26.7455</v>
      </c>
      <c r="GO122">
        <v>102.094</v>
      </c>
      <c r="GP122">
        <v>97.10939999999999</v>
      </c>
    </row>
    <row r="123" spans="1:198">
      <c r="A123">
        <v>107</v>
      </c>
      <c r="B123">
        <v>1773275224.6</v>
      </c>
      <c r="C123">
        <v>6361</v>
      </c>
      <c r="D123" t="s">
        <v>547</v>
      </c>
      <c r="E123" t="s">
        <v>548</v>
      </c>
      <c r="F123">
        <v>15</v>
      </c>
      <c r="G123">
        <v>1773275216.599999</v>
      </c>
      <c r="H123">
        <f>(I123)/1000</f>
        <v>0</v>
      </c>
      <c r="I123">
        <f>1000*AY123*AG123*(AU123-AV123)/(100*AN123*(1000-AG123*AU123))</f>
        <v>0</v>
      </c>
      <c r="J123">
        <f>AY123*AG123*(AT123-AS123*(1000-AG123*AV123)/(1000-AG123*AU123))/(100*AN123)</f>
        <v>0</v>
      </c>
      <c r="K123">
        <f>AS123 - IF(AG123&gt;1, J123*AN123*100.0/(AI123), 0)</f>
        <v>0</v>
      </c>
      <c r="L123">
        <f>((R123-H123/2)*K123-J123)/(R123+H123/2)</f>
        <v>0</v>
      </c>
      <c r="M123">
        <f>L123*(AZ123+BA123)/1000.0</f>
        <v>0</v>
      </c>
      <c r="N123">
        <f>(AS123 - IF(AG123&gt;1, J123*AN123*100.0/(AI123), 0))*(AZ123+BA123)/1000.0</f>
        <v>0</v>
      </c>
      <c r="O123">
        <f>2.0/((1/Q123-1/P123)+SIGN(Q123)*SQRT((1/Q123-1/P123)*(1/Q123-1/P123) + 4*AO123/((AO123+1)*(AO123+1))*(2*1/Q123*1/P123-1/P123*1/P123)))</f>
        <v>0</v>
      </c>
      <c r="P123">
        <f>IF(LEFT(AP123,1)&lt;&gt;"0",IF(LEFT(AP123,1)="1",3.0,AQ123),$D$5+$E$5*(BG123*AZ123/($K$5*1000))+$F$5*(BG123*AZ123/($K$5*1000))*MAX(MIN(AN123,$J$5),$I$5)*MAX(MIN(AN123,$J$5),$I$5)+$G$5*MAX(MIN(AN123,$J$5),$I$5)*(BG123*AZ123/($K$5*1000))+$H$5*(BG123*AZ123/($K$5*1000))*(BG123*AZ123/($K$5*1000)))</f>
        <v>0</v>
      </c>
      <c r="Q123">
        <f>H123*(1000-(1000*0.61365*exp(17.502*U123/(240.97+U123))/(AZ123+BA123)+AU123)/2)/(1000*0.61365*exp(17.502*U123/(240.97+U123))/(AZ123+BA123)-AU123)</f>
        <v>0</v>
      </c>
      <c r="R123">
        <f>1/((AO123+1)/(O123/1.6)+1/(P123/1.37)) + AO123/((AO123+1)/(O123/1.6) + AO123/(P123/1.37))</f>
        <v>0</v>
      </c>
      <c r="S123">
        <f>(AJ123*AM123)</f>
        <v>0</v>
      </c>
      <c r="T123">
        <f>(BB123+(S123+2*0.95*5.67E-8*(((BB123+$B$7)+273)^4-(BB123+273)^4)-44100*H123)/(1.84*29.3*P123+8*0.95*5.67E-8*(BB123+273)^3))</f>
        <v>0</v>
      </c>
      <c r="U123">
        <f>($C$7*BC123+$D$7*BD123+$E$7*T123)</f>
        <v>0</v>
      </c>
      <c r="V123">
        <f>0.61365*exp(17.502*U123/(240.97+U123))</f>
        <v>0</v>
      </c>
      <c r="W123">
        <f>(X123/Y123*100)</f>
        <v>0</v>
      </c>
      <c r="X123">
        <f>AU123*(AZ123+BA123)/1000</f>
        <v>0</v>
      </c>
      <c r="Y123">
        <f>0.61365*exp(17.502*BB123/(240.97+BB123))</f>
        <v>0</v>
      </c>
      <c r="Z123">
        <f>(V123-AU123*(AZ123+BA123)/1000)</f>
        <v>0</v>
      </c>
      <c r="AA123">
        <f>(-H123*44100)</f>
        <v>0</v>
      </c>
      <c r="AB123">
        <f>2*29.3*P123*0.92*(BB123-U123)</f>
        <v>0</v>
      </c>
      <c r="AC123">
        <f>2*0.95*5.67E-8*(((BB123+$B$7)+273)^4-(U123+273)^4)</f>
        <v>0</v>
      </c>
      <c r="AD123">
        <f>S123+AC123+AA123+AB123</f>
        <v>0</v>
      </c>
      <c r="AE123">
        <v>0</v>
      </c>
      <c r="AF123">
        <v>0</v>
      </c>
      <c r="AG123">
        <f>IF(AE123*$H$13&gt;=AI123,1.0,(AI123/(AI123-AE123*$H$13)))</f>
        <v>0</v>
      </c>
      <c r="AH123">
        <f>(AG123-1)*100</f>
        <v>0</v>
      </c>
      <c r="AI123">
        <f>MAX(0,($B$13+$C$13*BG123)/(1+$D$13*BG123)*AZ123/(BB123+273)*$E$13)</f>
        <v>0</v>
      </c>
      <c r="AJ123">
        <f>$B$11*BH123+$C$11*BI123+$D$11*BT123</f>
        <v>0</v>
      </c>
      <c r="AK123">
        <f>AJ123*AL123</f>
        <v>0</v>
      </c>
      <c r="AL123">
        <f>($B$11*$D$9+$C$11*$D$9+$D$11*(BU123*$E$9+BV123*$G$9))/($B$11+$C$11+$D$11)</f>
        <v>0</v>
      </c>
      <c r="AM123">
        <f>($B$11*$K$9+$C$11*$K$9+$D$11*(BU123*$L$9+BV123*$N$9))/($B$11+$C$11+$D$11)</f>
        <v>0</v>
      </c>
      <c r="AN123">
        <v>3</v>
      </c>
      <c r="AO123">
        <v>0.5</v>
      </c>
      <c r="AP123" t="s">
        <v>331</v>
      </c>
      <c r="AQ123">
        <v>2</v>
      </c>
      <c r="AR123">
        <v>1773275216.599999</v>
      </c>
      <c r="AS123">
        <v>480.8269032258065</v>
      </c>
      <c r="AT123">
        <v>479.2891290322581</v>
      </c>
      <c r="AU123">
        <v>12.82365806451613</v>
      </c>
      <c r="AV123">
        <v>11.93676774193549</v>
      </c>
      <c r="AW123">
        <v>474.3313870967742</v>
      </c>
      <c r="AX123">
        <v>12.76485483870968</v>
      </c>
      <c r="AY123">
        <v>500.0104516129032</v>
      </c>
      <c r="AZ123">
        <v>100.3127419354839</v>
      </c>
      <c r="BA123">
        <v>0.0373957129032258</v>
      </c>
      <c r="BB123">
        <v>25.0030935483871</v>
      </c>
      <c r="BC123">
        <v>25.36935161290322</v>
      </c>
      <c r="BD123">
        <v>999.9000000000003</v>
      </c>
      <c r="BE123">
        <v>0</v>
      </c>
      <c r="BF123">
        <v>0</v>
      </c>
      <c r="BG123">
        <v>5004.258064516129</v>
      </c>
      <c r="BH123">
        <v>2.162201935483871</v>
      </c>
      <c r="BI123">
        <v>995.1158064516129</v>
      </c>
      <c r="BJ123">
        <v>1.537786129032258</v>
      </c>
      <c r="BK123">
        <v>487.0729677419355</v>
      </c>
      <c r="BL123">
        <v>485.0793548387097</v>
      </c>
      <c r="BM123">
        <v>0.8868966451612903</v>
      </c>
      <c r="BN123">
        <v>479.2891290322581</v>
      </c>
      <c r="BO123">
        <v>11.93676774193549</v>
      </c>
      <c r="BP123">
        <v>1.286377419354839</v>
      </c>
      <c r="BQ123">
        <v>1.197410967741936</v>
      </c>
      <c r="BR123">
        <v>10.64062903225807</v>
      </c>
      <c r="BS123">
        <v>9.569388709677421</v>
      </c>
      <c r="BT123">
        <v>0</v>
      </c>
      <c r="BU123">
        <v>0</v>
      </c>
      <c r="BV123">
        <v>0</v>
      </c>
      <c r="BW123">
        <v>30</v>
      </c>
      <c r="BX123">
        <v>55.9838741935484</v>
      </c>
      <c r="BY123">
        <v>1773268786.6</v>
      </c>
      <c r="BZ123" t="s">
        <v>332</v>
      </c>
      <c r="CA123">
        <v>1773268786.6</v>
      </c>
      <c r="CB123">
        <v>1773268774.1</v>
      </c>
      <c r="CC123">
        <v>2</v>
      </c>
      <c r="CD123">
        <v>0.264</v>
      </c>
      <c r="CE123">
        <v>-0.024</v>
      </c>
      <c r="CF123">
        <v>6.495</v>
      </c>
      <c r="CG123">
        <v>0.059</v>
      </c>
      <c r="CH123">
        <v>488</v>
      </c>
      <c r="CI123">
        <v>25</v>
      </c>
      <c r="CJ123">
        <v>0.48</v>
      </c>
      <c r="CK123">
        <v>0.14</v>
      </c>
      <c r="CL123">
        <v>479.2768666666667</v>
      </c>
      <c r="CM123">
        <v>0.4802669632923451</v>
      </c>
      <c r="CN123">
        <v>0.05020274450222199</v>
      </c>
      <c r="CO123">
        <v>-1</v>
      </c>
      <c r="CP123">
        <v>500.0075333333333</v>
      </c>
      <c r="CQ123">
        <v>0.2319911012239736</v>
      </c>
      <c r="CR123">
        <v>0.05289784704714141</v>
      </c>
      <c r="CS123">
        <v>-1</v>
      </c>
      <c r="CT123">
        <v>0</v>
      </c>
      <c r="CU123">
        <v>0</v>
      </c>
      <c r="CV123" t="s">
        <v>333</v>
      </c>
      <c r="CW123">
        <v>3.17054</v>
      </c>
      <c r="CX123">
        <v>2.65848</v>
      </c>
      <c r="CY123">
        <v>0.111232</v>
      </c>
      <c r="CZ123">
        <v>0.112172</v>
      </c>
      <c r="DA123">
        <v>0.071906</v>
      </c>
      <c r="DB123">
        <v>0.0680712</v>
      </c>
      <c r="DC123">
        <v>21290.8</v>
      </c>
      <c r="DD123">
        <v>21812.6</v>
      </c>
      <c r="DE123">
        <v>23069.6</v>
      </c>
      <c r="DF123">
        <v>22475.3</v>
      </c>
      <c r="DG123">
        <v>32357.5</v>
      </c>
      <c r="DH123">
        <v>29532.6</v>
      </c>
      <c r="DI123">
        <v>40562.4</v>
      </c>
      <c r="DJ123">
        <v>37193.1</v>
      </c>
      <c r="DK123">
        <v>2.08212</v>
      </c>
      <c r="DL123">
        <v>1.67442</v>
      </c>
      <c r="DM123">
        <v>-0.122947</v>
      </c>
      <c r="DN123">
        <v>0</v>
      </c>
      <c r="DO123">
        <v>27.371</v>
      </c>
      <c r="DP123">
        <v>999.9</v>
      </c>
      <c r="DQ123">
        <v>49.7</v>
      </c>
      <c r="DR123">
        <v>33.7</v>
      </c>
      <c r="DS123">
        <v>26.0336</v>
      </c>
      <c r="DT123">
        <v>30.1765</v>
      </c>
      <c r="DU123">
        <v>12.5441</v>
      </c>
      <c r="DV123">
        <v>1</v>
      </c>
      <c r="DW123">
        <v>0.345455</v>
      </c>
      <c r="DX123">
        <v>3.08154</v>
      </c>
      <c r="DY123">
        <v>20.3316</v>
      </c>
      <c r="DZ123">
        <v>5.20938</v>
      </c>
      <c r="EA123">
        <v>11.8533</v>
      </c>
      <c r="EB123">
        <v>4.96772</v>
      </c>
      <c r="EC123">
        <v>3.29202</v>
      </c>
      <c r="ED123">
        <v>879.4</v>
      </c>
      <c r="EE123">
        <v>9999</v>
      </c>
      <c r="EF123">
        <v>9999</v>
      </c>
      <c r="EG123">
        <v>81.90000000000001</v>
      </c>
      <c r="EH123">
        <v>4.97158</v>
      </c>
      <c r="EI123">
        <v>1.87195</v>
      </c>
      <c r="EJ123">
        <v>1.8692</v>
      </c>
      <c r="EK123">
        <v>1.87163</v>
      </c>
      <c r="EL123">
        <v>1.86935</v>
      </c>
      <c r="EM123">
        <v>1.86829</v>
      </c>
      <c r="EN123">
        <v>1.87011</v>
      </c>
      <c r="EO123">
        <v>1.87185</v>
      </c>
      <c r="EP123">
        <v>0</v>
      </c>
      <c r="EQ123">
        <v>0</v>
      </c>
      <c r="ER123">
        <v>0</v>
      </c>
      <c r="ES123">
        <v>0</v>
      </c>
      <c r="ET123" t="s">
        <v>334</v>
      </c>
      <c r="EU123" t="s">
        <v>335</v>
      </c>
      <c r="EV123" t="s">
        <v>336</v>
      </c>
      <c r="EW123" t="s">
        <v>336</v>
      </c>
      <c r="EX123" t="s">
        <v>336</v>
      </c>
      <c r="EY123" t="s">
        <v>336</v>
      </c>
      <c r="EZ123">
        <v>0</v>
      </c>
      <c r="FA123">
        <v>100</v>
      </c>
      <c r="FB123">
        <v>100</v>
      </c>
      <c r="FC123">
        <v>6.495</v>
      </c>
      <c r="FD123">
        <v>0.0588</v>
      </c>
      <c r="FE123">
        <v>6.495476190476325</v>
      </c>
      <c r="FF123">
        <v>0</v>
      </c>
      <c r="FG123">
        <v>0</v>
      </c>
      <c r="FH123">
        <v>0</v>
      </c>
      <c r="FI123">
        <v>0.05881499999999917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107.3</v>
      </c>
      <c r="FR123">
        <v>107.5</v>
      </c>
      <c r="FS123">
        <v>0.144043</v>
      </c>
      <c r="FT123">
        <v>4.99756</v>
      </c>
      <c r="FU123">
        <v>1.5979</v>
      </c>
      <c r="FV123">
        <v>2.13989</v>
      </c>
      <c r="FW123">
        <v>1.54785</v>
      </c>
      <c r="FX123">
        <v>2.41821</v>
      </c>
      <c r="FY123">
        <v>39.8932</v>
      </c>
      <c r="FZ123">
        <v>15.7869</v>
      </c>
      <c r="GA123">
        <v>3</v>
      </c>
      <c r="GB123">
        <v>506.645</v>
      </c>
      <c r="GC123">
        <v>346.631</v>
      </c>
      <c r="GD123">
        <v>22.556</v>
      </c>
      <c r="GE123">
        <v>31.4714</v>
      </c>
      <c r="GF123">
        <v>30.0003</v>
      </c>
      <c r="GG123">
        <v>31.3133</v>
      </c>
      <c r="GH123">
        <v>31.2946</v>
      </c>
      <c r="GI123">
        <v>-1</v>
      </c>
      <c r="GJ123">
        <v>100</v>
      </c>
      <c r="GK123">
        <v>0</v>
      </c>
      <c r="GL123">
        <v>22.5588</v>
      </c>
      <c r="GM123">
        <v>1200</v>
      </c>
      <c r="GN123">
        <v>26.7455</v>
      </c>
      <c r="GO123">
        <v>102.085</v>
      </c>
      <c r="GP123">
        <v>97.1039</v>
      </c>
    </row>
    <row r="124" spans="1:198">
      <c r="A124">
        <v>108</v>
      </c>
      <c r="B124">
        <v>1773275284.6</v>
      </c>
      <c r="C124">
        <v>6421</v>
      </c>
      <c r="D124" t="s">
        <v>549</v>
      </c>
      <c r="E124" t="s">
        <v>550</v>
      </c>
      <c r="F124">
        <v>15</v>
      </c>
      <c r="G124">
        <v>1773275276.599999</v>
      </c>
      <c r="H124">
        <f>(I124)/1000</f>
        <v>0</v>
      </c>
      <c r="I124">
        <f>1000*AY124*AG124*(AU124-AV124)/(100*AN124*(1000-AG124*AU124))</f>
        <v>0</v>
      </c>
      <c r="J124">
        <f>AY124*AG124*(AT124-AS124*(1000-AG124*AV124)/(1000-AG124*AU124))/(100*AN124)</f>
        <v>0</v>
      </c>
      <c r="K124">
        <f>AS124 - IF(AG124&gt;1, J124*AN124*100.0/(AI124), 0)</f>
        <v>0</v>
      </c>
      <c r="L124">
        <f>((R124-H124/2)*K124-J124)/(R124+H124/2)</f>
        <v>0</v>
      </c>
      <c r="M124">
        <f>L124*(AZ124+BA124)/1000.0</f>
        <v>0</v>
      </c>
      <c r="N124">
        <f>(AS124 - IF(AG124&gt;1, J124*AN124*100.0/(AI124), 0))*(AZ124+BA124)/1000.0</f>
        <v>0</v>
      </c>
      <c r="O124">
        <f>2.0/((1/Q124-1/P124)+SIGN(Q124)*SQRT((1/Q124-1/P124)*(1/Q124-1/P124) + 4*AO124/((AO124+1)*(AO124+1))*(2*1/Q124*1/P124-1/P124*1/P124)))</f>
        <v>0</v>
      </c>
      <c r="P124">
        <f>IF(LEFT(AP124,1)&lt;&gt;"0",IF(LEFT(AP124,1)="1",3.0,AQ124),$D$5+$E$5*(BG124*AZ124/($K$5*1000))+$F$5*(BG124*AZ124/($K$5*1000))*MAX(MIN(AN124,$J$5),$I$5)*MAX(MIN(AN124,$J$5),$I$5)+$G$5*MAX(MIN(AN124,$J$5),$I$5)*(BG124*AZ124/($K$5*1000))+$H$5*(BG124*AZ124/($K$5*1000))*(BG124*AZ124/($K$5*1000)))</f>
        <v>0</v>
      </c>
      <c r="Q124">
        <f>H124*(1000-(1000*0.61365*exp(17.502*U124/(240.97+U124))/(AZ124+BA124)+AU124)/2)/(1000*0.61365*exp(17.502*U124/(240.97+U124))/(AZ124+BA124)-AU124)</f>
        <v>0</v>
      </c>
      <c r="R124">
        <f>1/((AO124+1)/(O124/1.6)+1/(P124/1.37)) + AO124/((AO124+1)/(O124/1.6) + AO124/(P124/1.37))</f>
        <v>0</v>
      </c>
      <c r="S124">
        <f>(AJ124*AM124)</f>
        <v>0</v>
      </c>
      <c r="T124">
        <f>(BB124+(S124+2*0.95*5.67E-8*(((BB124+$B$7)+273)^4-(BB124+273)^4)-44100*H124)/(1.84*29.3*P124+8*0.95*5.67E-8*(BB124+273)^3))</f>
        <v>0</v>
      </c>
      <c r="U124">
        <f>($C$7*BC124+$D$7*BD124+$E$7*T124)</f>
        <v>0</v>
      </c>
      <c r="V124">
        <f>0.61365*exp(17.502*U124/(240.97+U124))</f>
        <v>0</v>
      </c>
      <c r="W124">
        <f>(X124/Y124*100)</f>
        <v>0</v>
      </c>
      <c r="X124">
        <f>AU124*(AZ124+BA124)/1000</f>
        <v>0</v>
      </c>
      <c r="Y124">
        <f>0.61365*exp(17.502*BB124/(240.97+BB124))</f>
        <v>0</v>
      </c>
      <c r="Z124">
        <f>(V124-AU124*(AZ124+BA124)/1000)</f>
        <v>0</v>
      </c>
      <c r="AA124">
        <f>(-H124*44100)</f>
        <v>0</v>
      </c>
      <c r="AB124">
        <f>2*29.3*P124*0.92*(BB124-U124)</f>
        <v>0</v>
      </c>
      <c r="AC124">
        <f>2*0.95*5.67E-8*(((BB124+$B$7)+273)^4-(U124+273)^4)</f>
        <v>0</v>
      </c>
      <c r="AD124">
        <f>S124+AC124+AA124+AB124</f>
        <v>0</v>
      </c>
      <c r="AE124">
        <v>0</v>
      </c>
      <c r="AF124">
        <v>0</v>
      </c>
      <c r="AG124">
        <f>IF(AE124*$H$13&gt;=AI124,1.0,(AI124/(AI124-AE124*$H$13)))</f>
        <v>0</v>
      </c>
      <c r="AH124">
        <f>(AG124-1)*100</f>
        <v>0</v>
      </c>
      <c r="AI124">
        <f>MAX(0,($B$13+$C$13*BG124)/(1+$D$13*BG124)*AZ124/(BB124+273)*$E$13)</f>
        <v>0</v>
      </c>
      <c r="AJ124">
        <f>$B$11*BH124+$C$11*BI124+$D$11*BT124</f>
        <v>0</v>
      </c>
      <c r="AK124">
        <f>AJ124*AL124</f>
        <v>0</v>
      </c>
      <c r="AL124">
        <f>($B$11*$D$9+$C$11*$D$9+$D$11*(BU124*$E$9+BV124*$G$9))/($B$11+$C$11+$D$11)</f>
        <v>0</v>
      </c>
      <c r="AM124">
        <f>($B$11*$K$9+$C$11*$K$9+$D$11*(BU124*$L$9+BV124*$N$9))/($B$11+$C$11+$D$11)</f>
        <v>0</v>
      </c>
      <c r="AN124">
        <v>3</v>
      </c>
      <c r="AO124">
        <v>0.5</v>
      </c>
      <c r="AP124" t="s">
        <v>331</v>
      </c>
      <c r="AQ124">
        <v>2</v>
      </c>
      <c r="AR124">
        <v>1773275276.599999</v>
      </c>
      <c r="AS124">
        <v>480.5848709677419</v>
      </c>
      <c r="AT124">
        <v>479.1147741935484</v>
      </c>
      <c r="AU124">
        <v>12.95529032258064</v>
      </c>
      <c r="AV124">
        <v>12.07571612903226</v>
      </c>
      <c r="AW124">
        <v>474.0893225806451</v>
      </c>
      <c r="AX124">
        <v>12.89647096774194</v>
      </c>
      <c r="AY124">
        <v>499.9980967741936</v>
      </c>
      <c r="AZ124">
        <v>100.3160967741936</v>
      </c>
      <c r="BA124">
        <v>0.03755832258064516</v>
      </c>
      <c r="BB124">
        <v>25.00363548387097</v>
      </c>
      <c r="BC124">
        <v>25.38124516129032</v>
      </c>
      <c r="BD124">
        <v>999.9000000000003</v>
      </c>
      <c r="BE124">
        <v>0</v>
      </c>
      <c r="BF124">
        <v>0</v>
      </c>
      <c r="BG124">
        <v>4996.354838709677</v>
      </c>
      <c r="BH124">
        <v>2.188404193548387</v>
      </c>
      <c r="BI124">
        <v>1006.999677419355</v>
      </c>
      <c r="BJ124">
        <v>1.47014</v>
      </c>
      <c r="BK124">
        <v>486.8927419354839</v>
      </c>
      <c r="BL124">
        <v>484.9710967741935</v>
      </c>
      <c r="BM124">
        <v>0.8795721935483872</v>
      </c>
      <c r="BN124">
        <v>479.1147741935484</v>
      </c>
      <c r="BO124">
        <v>12.07571612903226</v>
      </c>
      <c r="BP124">
        <v>1.299624838709677</v>
      </c>
      <c r="BQ124">
        <v>1.21139064516129</v>
      </c>
      <c r="BR124">
        <v>10.7945064516129</v>
      </c>
      <c r="BS124">
        <v>9.742256774193548</v>
      </c>
      <c r="BT124">
        <v>0</v>
      </c>
      <c r="BU124">
        <v>0</v>
      </c>
      <c r="BV124">
        <v>0</v>
      </c>
      <c r="BW124">
        <v>30</v>
      </c>
      <c r="BX124">
        <v>55.66236451612904</v>
      </c>
      <c r="BY124">
        <v>1773268786.6</v>
      </c>
      <c r="BZ124" t="s">
        <v>332</v>
      </c>
      <c r="CA124">
        <v>1773268786.6</v>
      </c>
      <c r="CB124">
        <v>1773268774.1</v>
      </c>
      <c r="CC124">
        <v>2</v>
      </c>
      <c r="CD124">
        <v>0.264</v>
      </c>
      <c r="CE124">
        <v>-0.024</v>
      </c>
      <c r="CF124">
        <v>6.495</v>
      </c>
      <c r="CG124">
        <v>0.059</v>
      </c>
      <c r="CH124">
        <v>488</v>
      </c>
      <c r="CI124">
        <v>25</v>
      </c>
      <c r="CJ124">
        <v>0.48</v>
      </c>
      <c r="CK124">
        <v>0.14</v>
      </c>
      <c r="CL124">
        <v>479.115870967742</v>
      </c>
      <c r="CM124">
        <v>-0.4931612903245542</v>
      </c>
      <c r="CN124">
        <v>0.04880490584507934</v>
      </c>
      <c r="CO124">
        <v>-1</v>
      </c>
      <c r="CP124">
        <v>500.0024516129032</v>
      </c>
      <c r="CQ124">
        <v>0.07311290322533014</v>
      </c>
      <c r="CR124">
        <v>0.04732512032238227</v>
      </c>
      <c r="CS124">
        <v>-1</v>
      </c>
      <c r="CT124">
        <v>0</v>
      </c>
      <c r="CU124">
        <v>0</v>
      </c>
      <c r="CV124" t="s">
        <v>333</v>
      </c>
      <c r="CW124">
        <v>3.17056</v>
      </c>
      <c r="CX124">
        <v>2.65865</v>
      </c>
      <c r="CY124">
        <v>0.111183</v>
      </c>
      <c r="CZ124">
        <v>0.112106</v>
      </c>
      <c r="DA124">
        <v>0.0724655</v>
      </c>
      <c r="DB124">
        <v>0.0686647</v>
      </c>
      <c r="DC124">
        <v>21289.8</v>
      </c>
      <c r="DD124">
        <v>21812.6</v>
      </c>
      <c r="DE124">
        <v>23067.5</v>
      </c>
      <c r="DF124">
        <v>22473.7</v>
      </c>
      <c r="DG124">
        <v>32335.3</v>
      </c>
      <c r="DH124">
        <v>29511.5</v>
      </c>
      <c r="DI124">
        <v>40559.2</v>
      </c>
      <c r="DJ124">
        <v>37190.4</v>
      </c>
      <c r="DK124">
        <v>2.08162</v>
      </c>
      <c r="DL124">
        <v>1.67276</v>
      </c>
      <c r="DM124">
        <v>-0.12368</v>
      </c>
      <c r="DN124">
        <v>0</v>
      </c>
      <c r="DO124">
        <v>27.4041</v>
      </c>
      <c r="DP124">
        <v>999.9</v>
      </c>
      <c r="DQ124">
        <v>49.3</v>
      </c>
      <c r="DR124">
        <v>33.8</v>
      </c>
      <c r="DS124">
        <v>25.9668</v>
      </c>
      <c r="DT124">
        <v>29.9664</v>
      </c>
      <c r="DU124">
        <v>12.5561</v>
      </c>
      <c r="DV124">
        <v>1</v>
      </c>
      <c r="DW124">
        <v>0.348921</v>
      </c>
      <c r="DX124">
        <v>3.09231</v>
      </c>
      <c r="DY124">
        <v>20.3317</v>
      </c>
      <c r="DZ124">
        <v>5.2107</v>
      </c>
      <c r="EA124">
        <v>11.8541</v>
      </c>
      <c r="EB124">
        <v>4.96776</v>
      </c>
      <c r="EC124">
        <v>3.29216</v>
      </c>
      <c r="ED124">
        <v>879.4</v>
      </c>
      <c r="EE124">
        <v>9999</v>
      </c>
      <c r="EF124">
        <v>9999</v>
      </c>
      <c r="EG124">
        <v>81.90000000000001</v>
      </c>
      <c r="EH124">
        <v>4.97158</v>
      </c>
      <c r="EI124">
        <v>1.87196</v>
      </c>
      <c r="EJ124">
        <v>1.86921</v>
      </c>
      <c r="EK124">
        <v>1.87164</v>
      </c>
      <c r="EL124">
        <v>1.86935</v>
      </c>
      <c r="EM124">
        <v>1.86829</v>
      </c>
      <c r="EN124">
        <v>1.87012</v>
      </c>
      <c r="EO124">
        <v>1.87188</v>
      </c>
      <c r="EP124">
        <v>0</v>
      </c>
      <c r="EQ124">
        <v>0</v>
      </c>
      <c r="ER124">
        <v>0</v>
      </c>
      <c r="ES124">
        <v>0</v>
      </c>
      <c r="ET124" t="s">
        <v>334</v>
      </c>
      <c r="EU124" t="s">
        <v>335</v>
      </c>
      <c r="EV124" t="s">
        <v>336</v>
      </c>
      <c r="EW124" t="s">
        <v>336</v>
      </c>
      <c r="EX124" t="s">
        <v>336</v>
      </c>
      <c r="EY124" t="s">
        <v>336</v>
      </c>
      <c r="EZ124">
        <v>0</v>
      </c>
      <c r="FA124">
        <v>100</v>
      </c>
      <c r="FB124">
        <v>100</v>
      </c>
      <c r="FC124">
        <v>6.495</v>
      </c>
      <c r="FD124">
        <v>0.0588</v>
      </c>
      <c r="FE124">
        <v>6.495476190476325</v>
      </c>
      <c r="FF124">
        <v>0</v>
      </c>
      <c r="FG124">
        <v>0</v>
      </c>
      <c r="FH124">
        <v>0</v>
      </c>
      <c r="FI124">
        <v>0.05881499999999917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108.3</v>
      </c>
      <c r="FR124">
        <v>108.5</v>
      </c>
      <c r="FS124">
        <v>0.144043</v>
      </c>
      <c r="FT124">
        <v>4.99756</v>
      </c>
      <c r="FU124">
        <v>1.5979</v>
      </c>
      <c r="FV124">
        <v>2.13867</v>
      </c>
      <c r="FW124">
        <v>1.54785</v>
      </c>
      <c r="FX124">
        <v>2.33154</v>
      </c>
      <c r="FY124">
        <v>40.0447</v>
      </c>
      <c r="FZ124">
        <v>15.7781</v>
      </c>
      <c r="GA124">
        <v>3</v>
      </c>
      <c r="GB124">
        <v>506.78</v>
      </c>
      <c r="GC124">
        <v>346.096</v>
      </c>
      <c r="GD124">
        <v>22.5706</v>
      </c>
      <c r="GE124">
        <v>31.5205</v>
      </c>
      <c r="GF124">
        <v>30.0005</v>
      </c>
      <c r="GG124">
        <v>31.3698</v>
      </c>
      <c r="GH124">
        <v>31.3539</v>
      </c>
      <c r="GI124">
        <v>-1</v>
      </c>
      <c r="GJ124">
        <v>100</v>
      </c>
      <c r="GK124">
        <v>0</v>
      </c>
      <c r="GL124">
        <v>22.5615</v>
      </c>
      <c r="GM124">
        <v>1200</v>
      </c>
      <c r="GN124">
        <v>26.7455</v>
      </c>
      <c r="GO124">
        <v>102.076</v>
      </c>
      <c r="GP124">
        <v>97.09690000000001</v>
      </c>
    </row>
    <row r="125" spans="1:198">
      <c r="A125">
        <v>109</v>
      </c>
      <c r="B125">
        <v>1773275344.6</v>
      </c>
      <c r="C125">
        <v>6481</v>
      </c>
      <c r="D125" t="s">
        <v>551</v>
      </c>
      <c r="E125" t="s">
        <v>552</v>
      </c>
      <c r="F125">
        <v>15</v>
      </c>
      <c r="G125">
        <v>1773275336.599999</v>
      </c>
      <c r="H125">
        <f>(I125)/1000</f>
        <v>0</v>
      </c>
      <c r="I125">
        <f>1000*AY125*AG125*(AU125-AV125)/(100*AN125*(1000-AG125*AU125))</f>
        <v>0</v>
      </c>
      <c r="J125">
        <f>AY125*AG125*(AT125-AS125*(1000-AG125*AV125)/(1000-AG125*AU125))/(100*AN125)</f>
        <v>0</v>
      </c>
      <c r="K125">
        <f>AS125 - IF(AG125&gt;1, J125*AN125*100.0/(AI125), 0)</f>
        <v>0</v>
      </c>
      <c r="L125">
        <f>((R125-H125/2)*K125-J125)/(R125+H125/2)</f>
        <v>0</v>
      </c>
      <c r="M125">
        <f>L125*(AZ125+BA125)/1000.0</f>
        <v>0</v>
      </c>
      <c r="N125">
        <f>(AS125 - IF(AG125&gt;1, J125*AN125*100.0/(AI125), 0))*(AZ125+BA125)/1000.0</f>
        <v>0</v>
      </c>
      <c r="O125">
        <f>2.0/((1/Q125-1/P125)+SIGN(Q125)*SQRT((1/Q125-1/P125)*(1/Q125-1/P125) + 4*AO125/((AO125+1)*(AO125+1))*(2*1/Q125*1/P125-1/P125*1/P125)))</f>
        <v>0</v>
      </c>
      <c r="P125">
        <f>IF(LEFT(AP125,1)&lt;&gt;"0",IF(LEFT(AP125,1)="1",3.0,AQ125),$D$5+$E$5*(BG125*AZ125/($K$5*1000))+$F$5*(BG125*AZ125/($K$5*1000))*MAX(MIN(AN125,$J$5),$I$5)*MAX(MIN(AN125,$J$5),$I$5)+$G$5*MAX(MIN(AN125,$J$5),$I$5)*(BG125*AZ125/($K$5*1000))+$H$5*(BG125*AZ125/($K$5*1000))*(BG125*AZ125/($K$5*1000)))</f>
        <v>0</v>
      </c>
      <c r="Q125">
        <f>H125*(1000-(1000*0.61365*exp(17.502*U125/(240.97+U125))/(AZ125+BA125)+AU125)/2)/(1000*0.61365*exp(17.502*U125/(240.97+U125))/(AZ125+BA125)-AU125)</f>
        <v>0</v>
      </c>
      <c r="R125">
        <f>1/((AO125+1)/(O125/1.6)+1/(P125/1.37)) + AO125/((AO125+1)/(O125/1.6) + AO125/(P125/1.37))</f>
        <v>0</v>
      </c>
      <c r="S125">
        <f>(AJ125*AM125)</f>
        <v>0</v>
      </c>
      <c r="T125">
        <f>(BB125+(S125+2*0.95*5.67E-8*(((BB125+$B$7)+273)^4-(BB125+273)^4)-44100*H125)/(1.84*29.3*P125+8*0.95*5.67E-8*(BB125+273)^3))</f>
        <v>0</v>
      </c>
      <c r="U125">
        <f>($C$7*BC125+$D$7*BD125+$E$7*T125)</f>
        <v>0</v>
      </c>
      <c r="V125">
        <f>0.61365*exp(17.502*U125/(240.97+U125))</f>
        <v>0</v>
      </c>
      <c r="W125">
        <f>(X125/Y125*100)</f>
        <v>0</v>
      </c>
      <c r="X125">
        <f>AU125*(AZ125+BA125)/1000</f>
        <v>0</v>
      </c>
      <c r="Y125">
        <f>0.61365*exp(17.502*BB125/(240.97+BB125))</f>
        <v>0</v>
      </c>
      <c r="Z125">
        <f>(V125-AU125*(AZ125+BA125)/1000)</f>
        <v>0</v>
      </c>
      <c r="AA125">
        <f>(-H125*44100)</f>
        <v>0</v>
      </c>
      <c r="AB125">
        <f>2*29.3*P125*0.92*(BB125-U125)</f>
        <v>0</v>
      </c>
      <c r="AC125">
        <f>2*0.95*5.67E-8*(((BB125+$B$7)+273)^4-(U125+273)^4)</f>
        <v>0</v>
      </c>
      <c r="AD125">
        <f>S125+AC125+AA125+AB125</f>
        <v>0</v>
      </c>
      <c r="AE125">
        <v>0</v>
      </c>
      <c r="AF125">
        <v>0</v>
      </c>
      <c r="AG125">
        <f>IF(AE125*$H$13&gt;=AI125,1.0,(AI125/(AI125-AE125*$H$13)))</f>
        <v>0</v>
      </c>
      <c r="AH125">
        <f>(AG125-1)*100</f>
        <v>0</v>
      </c>
      <c r="AI125">
        <f>MAX(0,($B$13+$C$13*BG125)/(1+$D$13*BG125)*AZ125/(BB125+273)*$E$13)</f>
        <v>0</v>
      </c>
      <c r="AJ125">
        <f>$B$11*BH125+$C$11*BI125+$D$11*BT125</f>
        <v>0</v>
      </c>
      <c r="AK125">
        <f>AJ125*AL125</f>
        <v>0</v>
      </c>
      <c r="AL125">
        <f>($B$11*$D$9+$C$11*$D$9+$D$11*(BU125*$E$9+BV125*$G$9))/($B$11+$C$11+$D$11)</f>
        <v>0</v>
      </c>
      <c r="AM125">
        <f>($B$11*$K$9+$C$11*$K$9+$D$11*(BU125*$L$9+BV125*$N$9))/($B$11+$C$11+$D$11)</f>
        <v>0</v>
      </c>
      <c r="AN125">
        <v>3</v>
      </c>
      <c r="AO125">
        <v>0.5</v>
      </c>
      <c r="AP125" t="s">
        <v>331</v>
      </c>
      <c r="AQ125">
        <v>2</v>
      </c>
      <c r="AR125">
        <v>1773275336.599999</v>
      </c>
      <c r="AS125">
        <v>479.9079032258064</v>
      </c>
      <c r="AT125">
        <v>478.0006451612903</v>
      </c>
      <c r="AU125">
        <v>13.07637096774194</v>
      </c>
      <c r="AV125">
        <v>12.19899677419355</v>
      </c>
      <c r="AW125">
        <v>473.4122903225806</v>
      </c>
      <c r="AX125">
        <v>13.01755161290323</v>
      </c>
      <c r="AY125">
        <v>499.9943548387097</v>
      </c>
      <c r="AZ125">
        <v>100.3181612903226</v>
      </c>
      <c r="BA125">
        <v>0.03774810322580646</v>
      </c>
      <c r="BB125">
        <v>25.02065483870968</v>
      </c>
      <c r="BC125">
        <v>25.40273548387097</v>
      </c>
      <c r="BD125">
        <v>999.9000000000003</v>
      </c>
      <c r="BE125">
        <v>0</v>
      </c>
      <c r="BF125">
        <v>0</v>
      </c>
      <c r="BG125">
        <v>5000.290322580645</v>
      </c>
      <c r="BH125">
        <v>2.173762580645162</v>
      </c>
      <c r="BI125">
        <v>1018.030967741936</v>
      </c>
      <c r="BJ125">
        <v>1.907186774193548</v>
      </c>
      <c r="BK125">
        <v>486.2664516129032</v>
      </c>
      <c r="BL125">
        <v>483.9036774193548</v>
      </c>
      <c r="BM125">
        <v>0.877372677419355</v>
      </c>
      <c r="BN125">
        <v>478.0006451612903</v>
      </c>
      <c r="BO125">
        <v>12.19899677419355</v>
      </c>
      <c r="BP125">
        <v>1.311797096774193</v>
      </c>
      <c r="BQ125">
        <v>1.22378</v>
      </c>
      <c r="BR125">
        <v>10.9346935483871</v>
      </c>
      <c r="BS125">
        <v>9.894022903225805</v>
      </c>
      <c r="BT125">
        <v>0</v>
      </c>
      <c r="BU125">
        <v>0</v>
      </c>
      <c r="BV125">
        <v>0</v>
      </c>
      <c r="BW125">
        <v>30</v>
      </c>
      <c r="BX125">
        <v>55.75269032258065</v>
      </c>
      <c r="BY125">
        <v>1773268786.6</v>
      </c>
      <c r="BZ125" t="s">
        <v>332</v>
      </c>
      <c r="CA125">
        <v>1773268786.6</v>
      </c>
      <c r="CB125">
        <v>1773268774.1</v>
      </c>
      <c r="CC125">
        <v>2</v>
      </c>
      <c r="CD125">
        <v>0.264</v>
      </c>
      <c r="CE125">
        <v>-0.024</v>
      </c>
      <c r="CF125">
        <v>6.495</v>
      </c>
      <c r="CG125">
        <v>0.059</v>
      </c>
      <c r="CH125">
        <v>488</v>
      </c>
      <c r="CI125">
        <v>25</v>
      </c>
      <c r="CJ125">
        <v>0.48</v>
      </c>
      <c r="CK125">
        <v>0.14</v>
      </c>
      <c r="CL125">
        <v>478.0162000000001</v>
      </c>
      <c r="CM125">
        <v>-1.325846496105661</v>
      </c>
      <c r="CN125">
        <v>0.09757848123433661</v>
      </c>
      <c r="CO125">
        <v>-1</v>
      </c>
      <c r="CP125">
        <v>499.9940666666668</v>
      </c>
      <c r="CQ125">
        <v>0.02680311457157949</v>
      </c>
      <c r="CR125">
        <v>0.03600919635623288</v>
      </c>
      <c r="CS125">
        <v>-1</v>
      </c>
      <c r="CT125">
        <v>0</v>
      </c>
      <c r="CU125">
        <v>0</v>
      </c>
      <c r="CV125" t="s">
        <v>333</v>
      </c>
      <c r="CW125">
        <v>3.17063</v>
      </c>
      <c r="CX125">
        <v>2.65896</v>
      </c>
      <c r="CY125">
        <v>0.111001</v>
      </c>
      <c r="CZ125">
        <v>0.111876</v>
      </c>
      <c r="DA125">
        <v>0.07294920000000001</v>
      </c>
      <c r="DB125">
        <v>0.0691864</v>
      </c>
      <c r="DC125">
        <v>21291.5</v>
      </c>
      <c r="DD125">
        <v>21815.9</v>
      </c>
      <c r="DE125">
        <v>23064.8</v>
      </c>
      <c r="DF125">
        <v>22471.5</v>
      </c>
      <c r="DG125">
        <v>32314.8</v>
      </c>
      <c r="DH125">
        <v>29491.7</v>
      </c>
      <c r="DI125">
        <v>40554.7</v>
      </c>
      <c r="DJ125">
        <v>37186.5</v>
      </c>
      <c r="DK125">
        <v>2.08088</v>
      </c>
      <c r="DL125">
        <v>1.67054</v>
      </c>
      <c r="DM125">
        <v>-0.124103</v>
      </c>
      <c r="DN125">
        <v>0</v>
      </c>
      <c r="DO125">
        <v>27.4279</v>
      </c>
      <c r="DP125">
        <v>999.9</v>
      </c>
      <c r="DQ125">
        <v>48.9</v>
      </c>
      <c r="DR125">
        <v>33.9</v>
      </c>
      <c r="DS125">
        <v>25.9012</v>
      </c>
      <c r="DT125">
        <v>30.2964</v>
      </c>
      <c r="DU125">
        <v>12.3878</v>
      </c>
      <c r="DV125">
        <v>1</v>
      </c>
      <c r="DW125">
        <v>0.355415</v>
      </c>
      <c r="DX125">
        <v>3.36196</v>
      </c>
      <c r="DY125">
        <v>20.3253</v>
      </c>
      <c r="DZ125">
        <v>5.2107</v>
      </c>
      <c r="EA125">
        <v>11.8541</v>
      </c>
      <c r="EB125">
        <v>4.96772</v>
      </c>
      <c r="EC125">
        <v>3.29234</v>
      </c>
      <c r="ED125">
        <v>879.4</v>
      </c>
      <c r="EE125">
        <v>9999</v>
      </c>
      <c r="EF125">
        <v>9999</v>
      </c>
      <c r="EG125">
        <v>81.90000000000001</v>
      </c>
      <c r="EH125">
        <v>4.97159</v>
      </c>
      <c r="EI125">
        <v>1.87195</v>
      </c>
      <c r="EJ125">
        <v>1.86922</v>
      </c>
      <c r="EK125">
        <v>1.87164</v>
      </c>
      <c r="EL125">
        <v>1.86935</v>
      </c>
      <c r="EM125">
        <v>1.86829</v>
      </c>
      <c r="EN125">
        <v>1.87011</v>
      </c>
      <c r="EO125">
        <v>1.87188</v>
      </c>
      <c r="EP125">
        <v>0</v>
      </c>
      <c r="EQ125">
        <v>0</v>
      </c>
      <c r="ER125">
        <v>0</v>
      </c>
      <c r="ES125">
        <v>0</v>
      </c>
      <c r="ET125" t="s">
        <v>334</v>
      </c>
      <c r="EU125" t="s">
        <v>335</v>
      </c>
      <c r="EV125" t="s">
        <v>336</v>
      </c>
      <c r="EW125" t="s">
        <v>336</v>
      </c>
      <c r="EX125" t="s">
        <v>336</v>
      </c>
      <c r="EY125" t="s">
        <v>336</v>
      </c>
      <c r="EZ125">
        <v>0</v>
      </c>
      <c r="FA125">
        <v>100</v>
      </c>
      <c r="FB125">
        <v>100</v>
      </c>
      <c r="FC125">
        <v>6.495</v>
      </c>
      <c r="FD125">
        <v>0.0588</v>
      </c>
      <c r="FE125">
        <v>6.495476190476325</v>
      </c>
      <c r="FF125">
        <v>0</v>
      </c>
      <c r="FG125">
        <v>0</v>
      </c>
      <c r="FH125">
        <v>0</v>
      </c>
      <c r="FI125">
        <v>0.05881499999999917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109.3</v>
      </c>
      <c r="FR125">
        <v>109.5</v>
      </c>
      <c r="FS125">
        <v>0.144043</v>
      </c>
      <c r="FT125">
        <v>4.99756</v>
      </c>
      <c r="FU125">
        <v>1.5979</v>
      </c>
      <c r="FV125">
        <v>2.13867</v>
      </c>
      <c r="FW125">
        <v>1.54785</v>
      </c>
      <c r="FX125">
        <v>2.4292</v>
      </c>
      <c r="FY125">
        <v>40.1713</v>
      </c>
      <c r="FZ125">
        <v>15.7694</v>
      </c>
      <c r="GA125">
        <v>3</v>
      </c>
      <c r="GB125">
        <v>506.805</v>
      </c>
      <c r="GC125">
        <v>345.279</v>
      </c>
      <c r="GD125">
        <v>22.3777</v>
      </c>
      <c r="GE125">
        <v>31.5779</v>
      </c>
      <c r="GF125">
        <v>30.0005</v>
      </c>
      <c r="GG125">
        <v>31.4306</v>
      </c>
      <c r="GH125">
        <v>31.414</v>
      </c>
      <c r="GI125">
        <v>-1</v>
      </c>
      <c r="GJ125">
        <v>100</v>
      </c>
      <c r="GK125">
        <v>0</v>
      </c>
      <c r="GL125">
        <v>22.3592</v>
      </c>
      <c r="GM125">
        <v>1200</v>
      </c>
      <c r="GN125">
        <v>26.7455</v>
      </c>
      <c r="GO125">
        <v>102.065</v>
      </c>
      <c r="GP125">
        <v>97.0869</v>
      </c>
    </row>
    <row r="126" spans="1:198">
      <c r="A126">
        <v>110</v>
      </c>
      <c r="B126">
        <v>1773275404.6</v>
      </c>
      <c r="C126">
        <v>6541</v>
      </c>
      <c r="D126" t="s">
        <v>553</v>
      </c>
      <c r="E126" t="s">
        <v>554</v>
      </c>
      <c r="F126">
        <v>15</v>
      </c>
      <c r="G126">
        <v>1773275396.599999</v>
      </c>
      <c r="H126">
        <f>(I126)/1000</f>
        <v>0</v>
      </c>
      <c r="I126">
        <f>1000*AY126*AG126*(AU126-AV126)/(100*AN126*(1000-AG126*AU126))</f>
        <v>0</v>
      </c>
      <c r="J126">
        <f>AY126*AG126*(AT126-AS126*(1000-AG126*AV126)/(1000-AG126*AU126))/(100*AN126)</f>
        <v>0</v>
      </c>
      <c r="K126">
        <f>AS126 - IF(AG126&gt;1, J126*AN126*100.0/(AI126), 0)</f>
        <v>0</v>
      </c>
      <c r="L126">
        <f>((R126-H126/2)*K126-J126)/(R126+H126/2)</f>
        <v>0</v>
      </c>
      <c r="M126">
        <f>L126*(AZ126+BA126)/1000.0</f>
        <v>0</v>
      </c>
      <c r="N126">
        <f>(AS126 - IF(AG126&gt;1, J126*AN126*100.0/(AI126), 0))*(AZ126+BA126)/1000.0</f>
        <v>0</v>
      </c>
      <c r="O126">
        <f>2.0/((1/Q126-1/P126)+SIGN(Q126)*SQRT((1/Q126-1/P126)*(1/Q126-1/P126) + 4*AO126/((AO126+1)*(AO126+1))*(2*1/Q126*1/P126-1/P126*1/P126)))</f>
        <v>0</v>
      </c>
      <c r="P126">
        <f>IF(LEFT(AP126,1)&lt;&gt;"0",IF(LEFT(AP126,1)="1",3.0,AQ126),$D$5+$E$5*(BG126*AZ126/($K$5*1000))+$F$5*(BG126*AZ126/($K$5*1000))*MAX(MIN(AN126,$J$5),$I$5)*MAX(MIN(AN126,$J$5),$I$5)+$G$5*MAX(MIN(AN126,$J$5),$I$5)*(BG126*AZ126/($K$5*1000))+$H$5*(BG126*AZ126/($K$5*1000))*(BG126*AZ126/($K$5*1000)))</f>
        <v>0</v>
      </c>
      <c r="Q126">
        <f>H126*(1000-(1000*0.61365*exp(17.502*U126/(240.97+U126))/(AZ126+BA126)+AU126)/2)/(1000*0.61365*exp(17.502*U126/(240.97+U126))/(AZ126+BA126)-AU126)</f>
        <v>0</v>
      </c>
      <c r="R126">
        <f>1/((AO126+1)/(O126/1.6)+1/(P126/1.37)) + AO126/((AO126+1)/(O126/1.6) + AO126/(P126/1.37))</f>
        <v>0</v>
      </c>
      <c r="S126">
        <f>(AJ126*AM126)</f>
        <v>0</v>
      </c>
      <c r="T126">
        <f>(BB126+(S126+2*0.95*5.67E-8*(((BB126+$B$7)+273)^4-(BB126+273)^4)-44100*H126)/(1.84*29.3*P126+8*0.95*5.67E-8*(BB126+273)^3))</f>
        <v>0</v>
      </c>
      <c r="U126">
        <f>($C$7*BC126+$D$7*BD126+$E$7*T126)</f>
        <v>0</v>
      </c>
      <c r="V126">
        <f>0.61365*exp(17.502*U126/(240.97+U126))</f>
        <v>0</v>
      </c>
      <c r="W126">
        <f>(X126/Y126*100)</f>
        <v>0</v>
      </c>
      <c r="X126">
        <f>AU126*(AZ126+BA126)/1000</f>
        <v>0</v>
      </c>
      <c r="Y126">
        <f>0.61365*exp(17.502*BB126/(240.97+BB126))</f>
        <v>0</v>
      </c>
      <c r="Z126">
        <f>(V126-AU126*(AZ126+BA126)/1000)</f>
        <v>0</v>
      </c>
      <c r="AA126">
        <f>(-H126*44100)</f>
        <v>0</v>
      </c>
      <c r="AB126">
        <f>2*29.3*P126*0.92*(BB126-U126)</f>
        <v>0</v>
      </c>
      <c r="AC126">
        <f>2*0.95*5.67E-8*(((BB126+$B$7)+273)^4-(U126+273)^4)</f>
        <v>0</v>
      </c>
      <c r="AD126">
        <f>S126+AC126+AA126+AB126</f>
        <v>0</v>
      </c>
      <c r="AE126">
        <v>0</v>
      </c>
      <c r="AF126">
        <v>0</v>
      </c>
      <c r="AG126">
        <f>IF(AE126*$H$13&gt;=AI126,1.0,(AI126/(AI126-AE126*$H$13)))</f>
        <v>0</v>
      </c>
      <c r="AH126">
        <f>(AG126-1)*100</f>
        <v>0</v>
      </c>
      <c r="AI126">
        <f>MAX(0,($B$13+$C$13*BG126)/(1+$D$13*BG126)*AZ126/(BB126+273)*$E$13)</f>
        <v>0</v>
      </c>
      <c r="AJ126">
        <f>$B$11*BH126+$C$11*BI126+$D$11*BT126</f>
        <v>0</v>
      </c>
      <c r="AK126">
        <f>AJ126*AL126</f>
        <v>0</v>
      </c>
      <c r="AL126">
        <f>($B$11*$D$9+$C$11*$D$9+$D$11*(BU126*$E$9+BV126*$G$9))/($B$11+$C$11+$D$11)</f>
        <v>0</v>
      </c>
      <c r="AM126">
        <f>($B$11*$K$9+$C$11*$K$9+$D$11*(BU126*$L$9+BV126*$N$9))/($B$11+$C$11+$D$11)</f>
        <v>0</v>
      </c>
      <c r="AN126">
        <v>3</v>
      </c>
      <c r="AO126">
        <v>0.5</v>
      </c>
      <c r="AP126" t="s">
        <v>331</v>
      </c>
      <c r="AQ126">
        <v>2</v>
      </c>
      <c r="AR126">
        <v>1773275396.599999</v>
      </c>
      <c r="AS126">
        <v>478.265064516129</v>
      </c>
      <c r="AT126">
        <v>476.4025161290323</v>
      </c>
      <c r="AU126">
        <v>13.18389677419355</v>
      </c>
      <c r="AV126">
        <v>12.30889677419355</v>
      </c>
      <c r="AW126">
        <v>471.7696451612903</v>
      </c>
      <c r="AX126">
        <v>13.12508064516129</v>
      </c>
      <c r="AY126">
        <v>499.9975161290323</v>
      </c>
      <c r="AZ126">
        <v>100.3199677419355</v>
      </c>
      <c r="BA126">
        <v>0.03741017419354838</v>
      </c>
      <c r="BB126">
        <v>24.99513870967742</v>
      </c>
      <c r="BC126">
        <v>25.35460322580646</v>
      </c>
      <c r="BD126">
        <v>999.9000000000003</v>
      </c>
      <c r="BE126">
        <v>0</v>
      </c>
      <c r="BF126">
        <v>0</v>
      </c>
      <c r="BG126">
        <v>4994.741935483871</v>
      </c>
      <c r="BH126">
        <v>2.164670645161291</v>
      </c>
      <c r="BI126">
        <v>1023.673548387097</v>
      </c>
      <c r="BJ126">
        <v>1.862532258064517</v>
      </c>
      <c r="BK126">
        <v>484.6548064516129</v>
      </c>
      <c r="BL126">
        <v>482.3395483870968</v>
      </c>
      <c r="BM126">
        <v>0.8749973870967742</v>
      </c>
      <c r="BN126">
        <v>476.4025161290323</v>
      </c>
      <c r="BO126">
        <v>12.30889677419355</v>
      </c>
      <c r="BP126">
        <v>1.322607096774193</v>
      </c>
      <c r="BQ126">
        <v>1.234828709677419</v>
      </c>
      <c r="BR126">
        <v>11.05824838709678</v>
      </c>
      <c r="BS126">
        <v>10.02820967741935</v>
      </c>
      <c r="BT126">
        <v>0</v>
      </c>
      <c r="BU126">
        <v>0</v>
      </c>
      <c r="BV126">
        <v>0</v>
      </c>
      <c r="BW126">
        <v>30</v>
      </c>
      <c r="BX126">
        <v>55.03439677419356</v>
      </c>
      <c r="BY126">
        <v>1773268786.6</v>
      </c>
      <c r="BZ126" t="s">
        <v>332</v>
      </c>
      <c r="CA126">
        <v>1773268786.6</v>
      </c>
      <c r="CB126">
        <v>1773268774.1</v>
      </c>
      <c r="CC126">
        <v>2</v>
      </c>
      <c r="CD126">
        <v>0.264</v>
      </c>
      <c r="CE126">
        <v>-0.024</v>
      </c>
      <c r="CF126">
        <v>6.495</v>
      </c>
      <c r="CG126">
        <v>0.059</v>
      </c>
      <c r="CH126">
        <v>488</v>
      </c>
      <c r="CI126">
        <v>25</v>
      </c>
      <c r="CJ126">
        <v>0.48</v>
      </c>
      <c r="CK126">
        <v>0.14</v>
      </c>
      <c r="CL126">
        <v>476.416</v>
      </c>
      <c r="CM126">
        <v>-0.9226785317018923</v>
      </c>
      <c r="CN126">
        <v>0.08035711957671265</v>
      </c>
      <c r="CO126">
        <v>-1</v>
      </c>
      <c r="CP126">
        <v>499.9946333333334</v>
      </c>
      <c r="CQ126">
        <v>0.08395995550575289</v>
      </c>
      <c r="CR126">
        <v>0.03924494305710955</v>
      </c>
      <c r="CS126">
        <v>-1</v>
      </c>
      <c r="CT126">
        <v>0</v>
      </c>
      <c r="CU126">
        <v>0</v>
      </c>
      <c r="CV126" t="s">
        <v>333</v>
      </c>
      <c r="CW126">
        <v>3.17067</v>
      </c>
      <c r="CX126">
        <v>2.6589</v>
      </c>
      <c r="CY126">
        <v>0.110722</v>
      </c>
      <c r="CZ126">
        <v>0.111592</v>
      </c>
      <c r="DA126">
        <v>0.0734036</v>
      </c>
      <c r="DB126">
        <v>0.0696577</v>
      </c>
      <c r="DC126">
        <v>21296.8</v>
      </c>
      <c r="DD126">
        <v>21821.7</v>
      </c>
      <c r="DE126">
        <v>23063.4</v>
      </c>
      <c r="DF126">
        <v>22470.4</v>
      </c>
      <c r="DG126">
        <v>32297.1</v>
      </c>
      <c r="DH126">
        <v>29475.4</v>
      </c>
      <c r="DI126">
        <v>40552.5</v>
      </c>
      <c r="DJ126">
        <v>37184.8</v>
      </c>
      <c r="DK126">
        <v>2.08074</v>
      </c>
      <c r="DL126">
        <v>1.66896</v>
      </c>
      <c r="DM126">
        <v>-0.123316</v>
      </c>
      <c r="DN126">
        <v>0</v>
      </c>
      <c r="DO126">
        <v>27.3771</v>
      </c>
      <c r="DP126">
        <v>999.9</v>
      </c>
      <c r="DQ126">
        <v>48.4</v>
      </c>
      <c r="DR126">
        <v>34.1</v>
      </c>
      <c r="DS126">
        <v>25.924</v>
      </c>
      <c r="DT126">
        <v>30.2664</v>
      </c>
      <c r="DU126">
        <v>12.3718</v>
      </c>
      <c r="DV126">
        <v>1</v>
      </c>
      <c r="DW126">
        <v>0.357368</v>
      </c>
      <c r="DX126">
        <v>3.15661</v>
      </c>
      <c r="DY126">
        <v>20.3305</v>
      </c>
      <c r="DZ126">
        <v>5.21082</v>
      </c>
      <c r="EA126">
        <v>11.8537</v>
      </c>
      <c r="EB126">
        <v>4.96768</v>
      </c>
      <c r="EC126">
        <v>3.29202</v>
      </c>
      <c r="ED126">
        <v>879.4</v>
      </c>
      <c r="EE126">
        <v>9999</v>
      </c>
      <c r="EF126">
        <v>9999</v>
      </c>
      <c r="EG126">
        <v>81.90000000000001</v>
      </c>
      <c r="EH126">
        <v>4.97159</v>
      </c>
      <c r="EI126">
        <v>1.87197</v>
      </c>
      <c r="EJ126">
        <v>1.86923</v>
      </c>
      <c r="EK126">
        <v>1.87164</v>
      </c>
      <c r="EL126">
        <v>1.86935</v>
      </c>
      <c r="EM126">
        <v>1.86829</v>
      </c>
      <c r="EN126">
        <v>1.8701</v>
      </c>
      <c r="EO126">
        <v>1.87186</v>
      </c>
      <c r="EP126">
        <v>0</v>
      </c>
      <c r="EQ126">
        <v>0</v>
      </c>
      <c r="ER126">
        <v>0</v>
      </c>
      <c r="ES126">
        <v>0</v>
      </c>
      <c r="ET126" t="s">
        <v>334</v>
      </c>
      <c r="EU126" t="s">
        <v>335</v>
      </c>
      <c r="EV126" t="s">
        <v>336</v>
      </c>
      <c r="EW126" t="s">
        <v>336</v>
      </c>
      <c r="EX126" t="s">
        <v>336</v>
      </c>
      <c r="EY126" t="s">
        <v>336</v>
      </c>
      <c r="EZ126">
        <v>0</v>
      </c>
      <c r="FA126">
        <v>100</v>
      </c>
      <c r="FB126">
        <v>100</v>
      </c>
      <c r="FC126">
        <v>6.495</v>
      </c>
      <c r="FD126">
        <v>0.0588</v>
      </c>
      <c r="FE126">
        <v>6.495476190476325</v>
      </c>
      <c r="FF126">
        <v>0</v>
      </c>
      <c r="FG126">
        <v>0</v>
      </c>
      <c r="FH126">
        <v>0</v>
      </c>
      <c r="FI126">
        <v>0.05881499999999917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110.3</v>
      </c>
      <c r="FR126">
        <v>110.5</v>
      </c>
      <c r="FS126">
        <v>0.144043</v>
      </c>
      <c r="FT126">
        <v>4.99756</v>
      </c>
      <c r="FU126">
        <v>1.5979</v>
      </c>
      <c r="FV126">
        <v>2.13867</v>
      </c>
      <c r="FW126">
        <v>1.54785</v>
      </c>
      <c r="FX126">
        <v>2.45361</v>
      </c>
      <c r="FY126">
        <v>40.2728</v>
      </c>
      <c r="FZ126">
        <v>15.7694</v>
      </c>
      <c r="GA126">
        <v>3</v>
      </c>
      <c r="GB126">
        <v>507.079</v>
      </c>
      <c r="GC126">
        <v>344.719</v>
      </c>
      <c r="GD126">
        <v>22.4533</v>
      </c>
      <c r="GE126">
        <v>31.6173</v>
      </c>
      <c r="GF126">
        <v>30.0004</v>
      </c>
      <c r="GG126">
        <v>31.4774</v>
      </c>
      <c r="GH126">
        <v>31.461</v>
      </c>
      <c r="GI126">
        <v>-1</v>
      </c>
      <c r="GJ126">
        <v>100</v>
      </c>
      <c r="GK126">
        <v>0</v>
      </c>
      <c r="GL126">
        <v>22.4577</v>
      </c>
      <c r="GM126">
        <v>1200</v>
      </c>
      <c r="GN126">
        <v>26.7455</v>
      </c>
      <c r="GO126">
        <v>102.059</v>
      </c>
      <c r="GP126">
        <v>97.0823</v>
      </c>
    </row>
    <row r="127" spans="1:198">
      <c r="A127">
        <v>111</v>
      </c>
      <c r="B127">
        <v>1773275464.6</v>
      </c>
      <c r="C127">
        <v>6601</v>
      </c>
      <c r="D127" t="s">
        <v>555</v>
      </c>
      <c r="E127" t="s">
        <v>556</v>
      </c>
      <c r="F127">
        <v>15</v>
      </c>
      <c r="G127">
        <v>1773275456.599999</v>
      </c>
      <c r="H127">
        <f>(I127)/1000</f>
        <v>0</v>
      </c>
      <c r="I127">
        <f>1000*AY127*AG127*(AU127-AV127)/(100*AN127*(1000-AG127*AU127))</f>
        <v>0</v>
      </c>
      <c r="J127">
        <f>AY127*AG127*(AT127-AS127*(1000-AG127*AV127)/(1000-AG127*AU127))/(100*AN127)</f>
        <v>0</v>
      </c>
      <c r="K127">
        <f>AS127 - IF(AG127&gt;1, J127*AN127*100.0/(AI127), 0)</f>
        <v>0</v>
      </c>
      <c r="L127">
        <f>((R127-H127/2)*K127-J127)/(R127+H127/2)</f>
        <v>0</v>
      </c>
      <c r="M127">
        <f>L127*(AZ127+BA127)/1000.0</f>
        <v>0</v>
      </c>
      <c r="N127">
        <f>(AS127 - IF(AG127&gt;1, J127*AN127*100.0/(AI127), 0))*(AZ127+BA127)/1000.0</f>
        <v>0</v>
      </c>
      <c r="O127">
        <f>2.0/((1/Q127-1/P127)+SIGN(Q127)*SQRT((1/Q127-1/P127)*(1/Q127-1/P127) + 4*AO127/((AO127+1)*(AO127+1))*(2*1/Q127*1/P127-1/P127*1/P127)))</f>
        <v>0</v>
      </c>
      <c r="P127">
        <f>IF(LEFT(AP127,1)&lt;&gt;"0",IF(LEFT(AP127,1)="1",3.0,AQ127),$D$5+$E$5*(BG127*AZ127/($K$5*1000))+$F$5*(BG127*AZ127/($K$5*1000))*MAX(MIN(AN127,$J$5),$I$5)*MAX(MIN(AN127,$J$5),$I$5)+$G$5*MAX(MIN(AN127,$J$5),$I$5)*(BG127*AZ127/($K$5*1000))+$H$5*(BG127*AZ127/($K$5*1000))*(BG127*AZ127/($K$5*1000)))</f>
        <v>0</v>
      </c>
      <c r="Q127">
        <f>H127*(1000-(1000*0.61365*exp(17.502*U127/(240.97+U127))/(AZ127+BA127)+AU127)/2)/(1000*0.61365*exp(17.502*U127/(240.97+U127))/(AZ127+BA127)-AU127)</f>
        <v>0</v>
      </c>
      <c r="R127">
        <f>1/((AO127+1)/(O127/1.6)+1/(P127/1.37)) + AO127/((AO127+1)/(O127/1.6) + AO127/(P127/1.37))</f>
        <v>0</v>
      </c>
      <c r="S127">
        <f>(AJ127*AM127)</f>
        <v>0</v>
      </c>
      <c r="T127">
        <f>(BB127+(S127+2*0.95*5.67E-8*(((BB127+$B$7)+273)^4-(BB127+273)^4)-44100*H127)/(1.84*29.3*P127+8*0.95*5.67E-8*(BB127+273)^3))</f>
        <v>0</v>
      </c>
      <c r="U127">
        <f>($C$7*BC127+$D$7*BD127+$E$7*T127)</f>
        <v>0</v>
      </c>
      <c r="V127">
        <f>0.61365*exp(17.502*U127/(240.97+U127))</f>
        <v>0</v>
      </c>
      <c r="W127">
        <f>(X127/Y127*100)</f>
        <v>0</v>
      </c>
      <c r="X127">
        <f>AU127*(AZ127+BA127)/1000</f>
        <v>0</v>
      </c>
      <c r="Y127">
        <f>0.61365*exp(17.502*BB127/(240.97+BB127))</f>
        <v>0</v>
      </c>
      <c r="Z127">
        <f>(V127-AU127*(AZ127+BA127)/1000)</f>
        <v>0</v>
      </c>
      <c r="AA127">
        <f>(-H127*44100)</f>
        <v>0</v>
      </c>
      <c r="AB127">
        <f>2*29.3*P127*0.92*(BB127-U127)</f>
        <v>0</v>
      </c>
      <c r="AC127">
        <f>2*0.95*5.67E-8*(((BB127+$B$7)+273)^4-(U127+273)^4)</f>
        <v>0</v>
      </c>
      <c r="AD127">
        <f>S127+AC127+AA127+AB127</f>
        <v>0</v>
      </c>
      <c r="AE127">
        <v>0</v>
      </c>
      <c r="AF127">
        <v>0</v>
      </c>
      <c r="AG127">
        <f>IF(AE127*$H$13&gt;=AI127,1.0,(AI127/(AI127-AE127*$H$13)))</f>
        <v>0</v>
      </c>
      <c r="AH127">
        <f>(AG127-1)*100</f>
        <v>0</v>
      </c>
      <c r="AI127">
        <f>MAX(0,($B$13+$C$13*BG127)/(1+$D$13*BG127)*AZ127/(BB127+273)*$E$13)</f>
        <v>0</v>
      </c>
      <c r="AJ127">
        <f>$B$11*BH127+$C$11*BI127+$D$11*BT127</f>
        <v>0</v>
      </c>
      <c r="AK127">
        <f>AJ127*AL127</f>
        <v>0</v>
      </c>
      <c r="AL127">
        <f>($B$11*$D$9+$C$11*$D$9+$D$11*(BU127*$E$9+BV127*$G$9))/($B$11+$C$11+$D$11)</f>
        <v>0</v>
      </c>
      <c r="AM127">
        <f>($B$11*$K$9+$C$11*$K$9+$D$11*(BU127*$L$9+BV127*$N$9))/($B$11+$C$11+$D$11)</f>
        <v>0</v>
      </c>
      <c r="AN127">
        <v>3</v>
      </c>
      <c r="AO127">
        <v>0.5</v>
      </c>
      <c r="AP127" t="s">
        <v>331</v>
      </c>
      <c r="AQ127">
        <v>2</v>
      </c>
      <c r="AR127">
        <v>1773275456.599999</v>
      </c>
      <c r="AS127">
        <v>475.0322580645162</v>
      </c>
      <c r="AT127">
        <v>473.1307096774194</v>
      </c>
      <c r="AU127">
        <v>13.29875483870968</v>
      </c>
      <c r="AV127">
        <v>12.42714193548387</v>
      </c>
      <c r="AW127">
        <v>468.536806451613</v>
      </c>
      <c r="AX127">
        <v>13.23993870967742</v>
      </c>
      <c r="AY127">
        <v>500.0015161290323</v>
      </c>
      <c r="AZ127">
        <v>100.3216129032258</v>
      </c>
      <c r="BA127">
        <v>0.03748367419354839</v>
      </c>
      <c r="BB127">
        <v>24.99961612903225</v>
      </c>
      <c r="BC127">
        <v>25.36528709677419</v>
      </c>
      <c r="BD127">
        <v>999.9000000000003</v>
      </c>
      <c r="BE127">
        <v>0</v>
      </c>
      <c r="BF127">
        <v>0</v>
      </c>
      <c r="BG127">
        <v>4997.903225806452</v>
      </c>
      <c r="BH127">
        <v>2.138623548387097</v>
      </c>
      <c r="BI127">
        <v>1027.666451612903</v>
      </c>
      <c r="BJ127">
        <v>1.901471290322581</v>
      </c>
      <c r="BK127">
        <v>481.4346774193549</v>
      </c>
      <c r="BL127">
        <v>479.0842903225807</v>
      </c>
      <c r="BM127">
        <v>0.8716174193548387</v>
      </c>
      <c r="BN127">
        <v>473.1307096774194</v>
      </c>
      <c r="BO127">
        <v>12.42714193548387</v>
      </c>
      <c r="BP127">
        <v>1.334152903225806</v>
      </c>
      <c r="BQ127">
        <v>1.246711935483871</v>
      </c>
      <c r="BR127">
        <v>11.18923225806451</v>
      </c>
      <c r="BS127">
        <v>10.17134193548387</v>
      </c>
      <c r="BT127">
        <v>0</v>
      </c>
      <c r="BU127">
        <v>0</v>
      </c>
      <c r="BV127">
        <v>0</v>
      </c>
      <c r="BW127">
        <v>30</v>
      </c>
      <c r="BX127">
        <v>55</v>
      </c>
      <c r="BY127">
        <v>1773268786.6</v>
      </c>
      <c r="BZ127" t="s">
        <v>332</v>
      </c>
      <c r="CA127">
        <v>1773268786.6</v>
      </c>
      <c r="CB127">
        <v>1773268774.1</v>
      </c>
      <c r="CC127">
        <v>2</v>
      </c>
      <c r="CD127">
        <v>0.264</v>
      </c>
      <c r="CE127">
        <v>-0.024</v>
      </c>
      <c r="CF127">
        <v>6.495</v>
      </c>
      <c r="CG127">
        <v>0.059</v>
      </c>
      <c r="CH127">
        <v>488</v>
      </c>
      <c r="CI127">
        <v>25</v>
      </c>
      <c r="CJ127">
        <v>0.48</v>
      </c>
      <c r="CK127">
        <v>0.14</v>
      </c>
      <c r="CL127">
        <v>473.1571290322581</v>
      </c>
      <c r="CM127">
        <v>-2.878790322582579</v>
      </c>
      <c r="CN127">
        <v>0.2626275102823905</v>
      </c>
      <c r="CO127">
        <v>-1</v>
      </c>
      <c r="CP127">
        <v>500.0005161290322</v>
      </c>
      <c r="CQ127">
        <v>0.1272096774179211</v>
      </c>
      <c r="CR127">
        <v>0.04420105893326857</v>
      </c>
      <c r="CS127">
        <v>-1</v>
      </c>
      <c r="CT127">
        <v>0</v>
      </c>
      <c r="CU127">
        <v>0</v>
      </c>
      <c r="CV127" t="s">
        <v>333</v>
      </c>
      <c r="CW127">
        <v>3.17074</v>
      </c>
      <c r="CX127">
        <v>2.65872</v>
      </c>
      <c r="CY127">
        <v>0.110123</v>
      </c>
      <c r="CZ127">
        <v>0.110887</v>
      </c>
      <c r="DA127">
        <v>0.07388599999999999</v>
      </c>
      <c r="DB127">
        <v>0.07015929999999999</v>
      </c>
      <c r="DC127">
        <v>21308.3</v>
      </c>
      <c r="DD127">
        <v>21837.2</v>
      </c>
      <c r="DE127">
        <v>23060.6</v>
      </c>
      <c r="DF127">
        <v>22468.7</v>
      </c>
      <c r="DG127">
        <v>32276.9</v>
      </c>
      <c r="DH127">
        <v>29456.8</v>
      </c>
      <c r="DI127">
        <v>40548.4</v>
      </c>
      <c r="DJ127">
        <v>37181.5</v>
      </c>
      <c r="DK127">
        <v>2.08036</v>
      </c>
      <c r="DL127">
        <v>1.66748</v>
      </c>
      <c r="DM127">
        <v>-0.122362</v>
      </c>
      <c r="DN127">
        <v>0</v>
      </c>
      <c r="DO127">
        <v>27.3687</v>
      </c>
      <c r="DP127">
        <v>999.9</v>
      </c>
      <c r="DQ127">
        <v>48.1</v>
      </c>
      <c r="DR127">
        <v>34.2</v>
      </c>
      <c r="DS127">
        <v>25.9068</v>
      </c>
      <c r="DT127">
        <v>30.2364</v>
      </c>
      <c r="DU127">
        <v>12.3798</v>
      </c>
      <c r="DV127">
        <v>1</v>
      </c>
      <c r="DW127">
        <v>0.361856</v>
      </c>
      <c r="DX127">
        <v>3.16299</v>
      </c>
      <c r="DY127">
        <v>20.3303</v>
      </c>
      <c r="DZ127">
        <v>5.2107</v>
      </c>
      <c r="EA127">
        <v>11.8536</v>
      </c>
      <c r="EB127">
        <v>4.96768</v>
      </c>
      <c r="EC127">
        <v>3.29202</v>
      </c>
      <c r="ED127">
        <v>879.4</v>
      </c>
      <c r="EE127">
        <v>9999</v>
      </c>
      <c r="EF127">
        <v>9999</v>
      </c>
      <c r="EG127">
        <v>81.90000000000001</v>
      </c>
      <c r="EH127">
        <v>4.97159</v>
      </c>
      <c r="EI127">
        <v>1.87196</v>
      </c>
      <c r="EJ127">
        <v>1.86921</v>
      </c>
      <c r="EK127">
        <v>1.87164</v>
      </c>
      <c r="EL127">
        <v>1.86935</v>
      </c>
      <c r="EM127">
        <v>1.86829</v>
      </c>
      <c r="EN127">
        <v>1.87011</v>
      </c>
      <c r="EO127">
        <v>1.87185</v>
      </c>
      <c r="EP127">
        <v>0</v>
      </c>
      <c r="EQ127">
        <v>0</v>
      </c>
      <c r="ER127">
        <v>0</v>
      </c>
      <c r="ES127">
        <v>0</v>
      </c>
      <c r="ET127" t="s">
        <v>334</v>
      </c>
      <c r="EU127" t="s">
        <v>335</v>
      </c>
      <c r="EV127" t="s">
        <v>336</v>
      </c>
      <c r="EW127" t="s">
        <v>336</v>
      </c>
      <c r="EX127" t="s">
        <v>336</v>
      </c>
      <c r="EY127" t="s">
        <v>336</v>
      </c>
      <c r="EZ127">
        <v>0</v>
      </c>
      <c r="FA127">
        <v>100</v>
      </c>
      <c r="FB127">
        <v>100</v>
      </c>
      <c r="FC127">
        <v>6.496</v>
      </c>
      <c r="FD127">
        <v>0.0588</v>
      </c>
      <c r="FE127">
        <v>6.495476190476325</v>
      </c>
      <c r="FF127">
        <v>0</v>
      </c>
      <c r="FG127">
        <v>0</v>
      </c>
      <c r="FH127">
        <v>0</v>
      </c>
      <c r="FI127">
        <v>0.05881499999999917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111.3</v>
      </c>
      <c r="FR127">
        <v>111.5</v>
      </c>
      <c r="FS127">
        <v>0.142822</v>
      </c>
      <c r="FT127">
        <v>4.99756</v>
      </c>
      <c r="FU127">
        <v>1.5979</v>
      </c>
      <c r="FV127">
        <v>2.13745</v>
      </c>
      <c r="FW127">
        <v>1.54785</v>
      </c>
      <c r="FX127">
        <v>2.44141</v>
      </c>
      <c r="FY127">
        <v>40.3491</v>
      </c>
      <c r="FZ127">
        <v>15.7519</v>
      </c>
      <c r="GA127">
        <v>3</v>
      </c>
      <c r="GB127">
        <v>507.25</v>
      </c>
      <c r="GC127">
        <v>344.247</v>
      </c>
      <c r="GD127">
        <v>22.4547</v>
      </c>
      <c r="GE127">
        <v>31.6629</v>
      </c>
      <c r="GF127">
        <v>30.0003</v>
      </c>
      <c r="GG127">
        <v>31.5293</v>
      </c>
      <c r="GH127">
        <v>31.5148</v>
      </c>
      <c r="GI127">
        <v>-1</v>
      </c>
      <c r="GJ127">
        <v>100</v>
      </c>
      <c r="GK127">
        <v>0</v>
      </c>
      <c r="GL127">
        <v>22.4582</v>
      </c>
      <c r="GM127">
        <v>1200</v>
      </c>
      <c r="GN127">
        <v>26.7455</v>
      </c>
      <c r="GO127">
        <v>102.048</v>
      </c>
      <c r="GP127">
        <v>97.07429999999999</v>
      </c>
    </row>
    <row r="128" spans="1:198">
      <c r="A128">
        <v>112</v>
      </c>
      <c r="B128">
        <v>1773275524.6</v>
      </c>
      <c r="C128">
        <v>6661</v>
      </c>
      <c r="D128" t="s">
        <v>557</v>
      </c>
      <c r="E128" t="s">
        <v>558</v>
      </c>
      <c r="F128">
        <v>15</v>
      </c>
      <c r="G128">
        <v>1773275516.599999</v>
      </c>
      <c r="H128">
        <f>(I128)/1000</f>
        <v>0</v>
      </c>
      <c r="I128">
        <f>1000*AY128*AG128*(AU128-AV128)/(100*AN128*(1000-AG128*AU128))</f>
        <v>0</v>
      </c>
      <c r="J128">
        <f>AY128*AG128*(AT128-AS128*(1000-AG128*AV128)/(1000-AG128*AU128))/(100*AN128)</f>
        <v>0</v>
      </c>
      <c r="K128">
        <f>AS128 - IF(AG128&gt;1, J128*AN128*100.0/(AI128), 0)</f>
        <v>0</v>
      </c>
      <c r="L128">
        <f>((R128-H128/2)*K128-J128)/(R128+H128/2)</f>
        <v>0</v>
      </c>
      <c r="M128">
        <f>L128*(AZ128+BA128)/1000.0</f>
        <v>0</v>
      </c>
      <c r="N128">
        <f>(AS128 - IF(AG128&gt;1, J128*AN128*100.0/(AI128), 0))*(AZ128+BA128)/1000.0</f>
        <v>0</v>
      </c>
      <c r="O128">
        <f>2.0/((1/Q128-1/P128)+SIGN(Q128)*SQRT((1/Q128-1/P128)*(1/Q128-1/P128) + 4*AO128/((AO128+1)*(AO128+1))*(2*1/Q128*1/P128-1/P128*1/P128)))</f>
        <v>0</v>
      </c>
      <c r="P128">
        <f>IF(LEFT(AP128,1)&lt;&gt;"0",IF(LEFT(AP128,1)="1",3.0,AQ128),$D$5+$E$5*(BG128*AZ128/($K$5*1000))+$F$5*(BG128*AZ128/($K$5*1000))*MAX(MIN(AN128,$J$5),$I$5)*MAX(MIN(AN128,$J$5),$I$5)+$G$5*MAX(MIN(AN128,$J$5),$I$5)*(BG128*AZ128/($K$5*1000))+$H$5*(BG128*AZ128/($K$5*1000))*(BG128*AZ128/($K$5*1000)))</f>
        <v>0</v>
      </c>
      <c r="Q128">
        <f>H128*(1000-(1000*0.61365*exp(17.502*U128/(240.97+U128))/(AZ128+BA128)+AU128)/2)/(1000*0.61365*exp(17.502*U128/(240.97+U128))/(AZ128+BA128)-AU128)</f>
        <v>0</v>
      </c>
      <c r="R128">
        <f>1/((AO128+1)/(O128/1.6)+1/(P128/1.37)) + AO128/((AO128+1)/(O128/1.6) + AO128/(P128/1.37))</f>
        <v>0</v>
      </c>
      <c r="S128">
        <f>(AJ128*AM128)</f>
        <v>0</v>
      </c>
      <c r="T128">
        <f>(BB128+(S128+2*0.95*5.67E-8*(((BB128+$B$7)+273)^4-(BB128+273)^4)-44100*H128)/(1.84*29.3*P128+8*0.95*5.67E-8*(BB128+273)^3))</f>
        <v>0</v>
      </c>
      <c r="U128">
        <f>($C$7*BC128+$D$7*BD128+$E$7*T128)</f>
        <v>0</v>
      </c>
      <c r="V128">
        <f>0.61365*exp(17.502*U128/(240.97+U128))</f>
        <v>0</v>
      </c>
      <c r="W128">
        <f>(X128/Y128*100)</f>
        <v>0</v>
      </c>
      <c r="X128">
        <f>AU128*(AZ128+BA128)/1000</f>
        <v>0</v>
      </c>
      <c r="Y128">
        <f>0.61365*exp(17.502*BB128/(240.97+BB128))</f>
        <v>0</v>
      </c>
      <c r="Z128">
        <f>(V128-AU128*(AZ128+BA128)/1000)</f>
        <v>0</v>
      </c>
      <c r="AA128">
        <f>(-H128*44100)</f>
        <v>0</v>
      </c>
      <c r="AB128">
        <f>2*29.3*P128*0.92*(BB128-U128)</f>
        <v>0</v>
      </c>
      <c r="AC128">
        <f>2*0.95*5.67E-8*(((BB128+$B$7)+273)^4-(U128+273)^4)</f>
        <v>0</v>
      </c>
      <c r="AD128">
        <f>S128+AC128+AA128+AB128</f>
        <v>0</v>
      </c>
      <c r="AE128">
        <v>0</v>
      </c>
      <c r="AF128">
        <v>0</v>
      </c>
      <c r="AG128">
        <f>IF(AE128*$H$13&gt;=AI128,1.0,(AI128/(AI128-AE128*$H$13)))</f>
        <v>0</v>
      </c>
      <c r="AH128">
        <f>(AG128-1)*100</f>
        <v>0</v>
      </c>
      <c r="AI128">
        <f>MAX(0,($B$13+$C$13*BG128)/(1+$D$13*BG128)*AZ128/(BB128+273)*$E$13)</f>
        <v>0</v>
      </c>
      <c r="AJ128">
        <f>$B$11*BH128+$C$11*BI128+$D$11*BT128</f>
        <v>0</v>
      </c>
      <c r="AK128">
        <f>AJ128*AL128</f>
        <v>0</v>
      </c>
      <c r="AL128">
        <f>($B$11*$D$9+$C$11*$D$9+$D$11*(BU128*$E$9+BV128*$G$9))/($B$11+$C$11+$D$11)</f>
        <v>0</v>
      </c>
      <c r="AM128">
        <f>($B$11*$K$9+$C$11*$K$9+$D$11*(BU128*$L$9+BV128*$N$9))/($B$11+$C$11+$D$11)</f>
        <v>0</v>
      </c>
      <c r="AN128">
        <v>3</v>
      </c>
      <c r="AO128">
        <v>0.5</v>
      </c>
      <c r="AP128" t="s">
        <v>331</v>
      </c>
      <c r="AQ128">
        <v>2</v>
      </c>
      <c r="AR128">
        <v>1773275516.599999</v>
      </c>
      <c r="AS128">
        <v>472.8992903225806</v>
      </c>
      <c r="AT128">
        <v>471.1360322580645</v>
      </c>
      <c r="AU128">
        <v>13.40186129032258</v>
      </c>
      <c r="AV128">
        <v>12.51962580645161</v>
      </c>
      <c r="AW128">
        <v>466.4039677419355</v>
      </c>
      <c r="AX128">
        <v>13.34305483870968</v>
      </c>
      <c r="AY128">
        <v>499.9903548387097</v>
      </c>
      <c r="AZ128">
        <v>100.3232580645161</v>
      </c>
      <c r="BA128">
        <v>0.0379282870967742</v>
      </c>
      <c r="BB128">
        <v>25.0093</v>
      </c>
      <c r="BC128">
        <v>25.36815161290323</v>
      </c>
      <c r="BD128">
        <v>999.9000000000003</v>
      </c>
      <c r="BE128">
        <v>0</v>
      </c>
      <c r="BF128">
        <v>0</v>
      </c>
      <c r="BG128">
        <v>4995.064516129032</v>
      </c>
      <c r="BH128">
        <v>2.190408387096775</v>
      </c>
      <c r="BI128">
        <v>1067.610322580645</v>
      </c>
      <c r="BJ128">
        <v>1.763254838709678</v>
      </c>
      <c r="BK128">
        <v>479.323129032258</v>
      </c>
      <c r="BL128">
        <v>477.1093870967742</v>
      </c>
      <c r="BM128">
        <v>0.8822425161290323</v>
      </c>
      <c r="BN128">
        <v>471.1360322580645</v>
      </c>
      <c r="BO128">
        <v>12.51962580645161</v>
      </c>
      <c r="BP128">
        <v>1.344520322580645</v>
      </c>
      <c r="BQ128">
        <v>1.256010322580645</v>
      </c>
      <c r="BR128">
        <v>11.30597096774193</v>
      </c>
      <c r="BS128">
        <v>10.28253225806452</v>
      </c>
      <c r="BT128">
        <v>0</v>
      </c>
      <c r="BU128">
        <v>0</v>
      </c>
      <c r="BV128">
        <v>0</v>
      </c>
      <c r="BW128">
        <v>30</v>
      </c>
      <c r="BX128">
        <v>56</v>
      </c>
      <c r="BY128">
        <v>1773268786.6</v>
      </c>
      <c r="BZ128" t="s">
        <v>332</v>
      </c>
      <c r="CA128">
        <v>1773268786.6</v>
      </c>
      <c r="CB128">
        <v>1773268774.1</v>
      </c>
      <c r="CC128">
        <v>2</v>
      </c>
      <c r="CD128">
        <v>0.264</v>
      </c>
      <c r="CE128">
        <v>-0.024</v>
      </c>
      <c r="CF128">
        <v>6.495</v>
      </c>
      <c r="CG128">
        <v>0.059</v>
      </c>
      <c r="CH128">
        <v>488</v>
      </c>
      <c r="CI128">
        <v>25</v>
      </c>
      <c r="CJ128">
        <v>0.48</v>
      </c>
      <c r="CK128">
        <v>0.14</v>
      </c>
      <c r="CL128">
        <v>471.1258</v>
      </c>
      <c r="CM128">
        <v>-4.202269187987375</v>
      </c>
      <c r="CN128">
        <v>0.3183730935029949</v>
      </c>
      <c r="CO128">
        <v>-1</v>
      </c>
      <c r="CP128">
        <v>499.9908666666667</v>
      </c>
      <c r="CQ128">
        <v>0.4947363737487163</v>
      </c>
      <c r="CR128">
        <v>0.05866499997632284</v>
      </c>
      <c r="CS128">
        <v>-1</v>
      </c>
      <c r="CT128">
        <v>0</v>
      </c>
      <c r="CU128">
        <v>0</v>
      </c>
      <c r="CV128" t="s">
        <v>333</v>
      </c>
      <c r="CW128">
        <v>3.17079</v>
      </c>
      <c r="CX128">
        <v>2.65887</v>
      </c>
      <c r="CY128">
        <v>0.109754</v>
      </c>
      <c r="CZ128">
        <v>0.110564</v>
      </c>
      <c r="DA128">
        <v>0.0742852</v>
      </c>
      <c r="DB128">
        <v>0.0705229</v>
      </c>
      <c r="DC128">
        <v>21315.3</v>
      </c>
      <c r="DD128">
        <v>21843.7</v>
      </c>
      <c r="DE128">
        <v>23058.7</v>
      </c>
      <c r="DF128">
        <v>22467.3</v>
      </c>
      <c r="DG128">
        <v>32260.3</v>
      </c>
      <c r="DH128">
        <v>29443.2</v>
      </c>
      <c r="DI128">
        <v>40545.1</v>
      </c>
      <c r="DJ128">
        <v>37179.1</v>
      </c>
      <c r="DK128">
        <v>2.08012</v>
      </c>
      <c r="DL128">
        <v>1.6664</v>
      </c>
      <c r="DM128">
        <v>-0.120956</v>
      </c>
      <c r="DN128">
        <v>0</v>
      </c>
      <c r="DO128">
        <v>27.3524</v>
      </c>
      <c r="DP128">
        <v>999.9</v>
      </c>
      <c r="DQ128">
        <v>47.7</v>
      </c>
      <c r="DR128">
        <v>34.3</v>
      </c>
      <c r="DS128">
        <v>25.8312</v>
      </c>
      <c r="DT128">
        <v>30.1764</v>
      </c>
      <c r="DU128">
        <v>12.4239</v>
      </c>
      <c r="DV128">
        <v>1</v>
      </c>
      <c r="DW128">
        <v>0.365543</v>
      </c>
      <c r="DX128">
        <v>3.2611</v>
      </c>
      <c r="DY128">
        <v>20.328</v>
      </c>
      <c r="DZ128">
        <v>5.2107</v>
      </c>
      <c r="EA128">
        <v>11.8541</v>
      </c>
      <c r="EB128">
        <v>4.96772</v>
      </c>
      <c r="EC128">
        <v>3.29214</v>
      </c>
      <c r="ED128">
        <v>879.4</v>
      </c>
      <c r="EE128">
        <v>9999</v>
      </c>
      <c r="EF128">
        <v>9999</v>
      </c>
      <c r="EG128">
        <v>82</v>
      </c>
      <c r="EH128">
        <v>4.97157</v>
      </c>
      <c r="EI128">
        <v>1.87195</v>
      </c>
      <c r="EJ128">
        <v>1.86921</v>
      </c>
      <c r="EK128">
        <v>1.87163</v>
      </c>
      <c r="EL128">
        <v>1.86935</v>
      </c>
      <c r="EM128">
        <v>1.86829</v>
      </c>
      <c r="EN128">
        <v>1.87008</v>
      </c>
      <c r="EO128">
        <v>1.87183</v>
      </c>
      <c r="EP128">
        <v>0</v>
      </c>
      <c r="EQ128">
        <v>0</v>
      </c>
      <c r="ER128">
        <v>0</v>
      </c>
      <c r="ES128">
        <v>0</v>
      </c>
      <c r="ET128" t="s">
        <v>334</v>
      </c>
      <c r="EU128" t="s">
        <v>335</v>
      </c>
      <c r="EV128" t="s">
        <v>336</v>
      </c>
      <c r="EW128" t="s">
        <v>336</v>
      </c>
      <c r="EX128" t="s">
        <v>336</v>
      </c>
      <c r="EY128" t="s">
        <v>336</v>
      </c>
      <c r="EZ128">
        <v>0</v>
      </c>
      <c r="FA128">
        <v>100</v>
      </c>
      <c r="FB128">
        <v>100</v>
      </c>
      <c r="FC128">
        <v>6.495</v>
      </c>
      <c r="FD128">
        <v>0.0588</v>
      </c>
      <c r="FE128">
        <v>6.495476190476325</v>
      </c>
      <c r="FF128">
        <v>0</v>
      </c>
      <c r="FG128">
        <v>0</v>
      </c>
      <c r="FH128">
        <v>0</v>
      </c>
      <c r="FI128">
        <v>0.05881499999999917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112.3</v>
      </c>
      <c r="FR128">
        <v>112.5</v>
      </c>
      <c r="FS128">
        <v>0.144043</v>
      </c>
      <c r="FT128">
        <v>4.99756</v>
      </c>
      <c r="FU128">
        <v>1.5979</v>
      </c>
      <c r="FV128">
        <v>2.13745</v>
      </c>
      <c r="FW128">
        <v>1.54785</v>
      </c>
      <c r="FX128">
        <v>2.44019</v>
      </c>
      <c r="FY128">
        <v>40.451</v>
      </c>
      <c r="FZ128">
        <v>15.7431</v>
      </c>
      <c r="GA128">
        <v>3</v>
      </c>
      <c r="GB128">
        <v>507.449</v>
      </c>
      <c r="GC128">
        <v>343.935</v>
      </c>
      <c r="GD128">
        <v>22.4323</v>
      </c>
      <c r="GE128">
        <v>31.7046</v>
      </c>
      <c r="GF128">
        <v>30.0005</v>
      </c>
      <c r="GG128">
        <v>31.574</v>
      </c>
      <c r="GH128">
        <v>31.5604</v>
      </c>
      <c r="GI128">
        <v>-1</v>
      </c>
      <c r="GJ128">
        <v>100</v>
      </c>
      <c r="GK128">
        <v>0</v>
      </c>
      <c r="GL128">
        <v>22.4161</v>
      </c>
      <c r="GM128">
        <v>1200</v>
      </c>
      <c r="GN128">
        <v>26.7455</v>
      </c>
      <c r="GO128">
        <v>102.04</v>
      </c>
      <c r="GP128">
        <v>97.0681</v>
      </c>
    </row>
    <row r="129" spans="1:198">
      <c r="A129">
        <v>113</v>
      </c>
      <c r="B129">
        <v>1773275584.6</v>
      </c>
      <c r="C129">
        <v>6721</v>
      </c>
      <c r="D129" t="s">
        <v>559</v>
      </c>
      <c r="E129" t="s">
        <v>560</v>
      </c>
      <c r="F129">
        <v>15</v>
      </c>
      <c r="G129">
        <v>1773275576.599999</v>
      </c>
      <c r="H129">
        <f>(I129)/1000</f>
        <v>0</v>
      </c>
      <c r="I129">
        <f>1000*AY129*AG129*(AU129-AV129)/(100*AN129*(1000-AG129*AU129))</f>
        <v>0</v>
      </c>
      <c r="J129">
        <f>AY129*AG129*(AT129-AS129*(1000-AG129*AV129)/(1000-AG129*AU129))/(100*AN129)</f>
        <v>0</v>
      </c>
      <c r="K129">
        <f>AS129 - IF(AG129&gt;1, J129*AN129*100.0/(AI129), 0)</f>
        <v>0</v>
      </c>
      <c r="L129">
        <f>((R129-H129/2)*K129-J129)/(R129+H129/2)</f>
        <v>0</v>
      </c>
      <c r="M129">
        <f>L129*(AZ129+BA129)/1000.0</f>
        <v>0</v>
      </c>
      <c r="N129">
        <f>(AS129 - IF(AG129&gt;1, J129*AN129*100.0/(AI129), 0))*(AZ129+BA129)/1000.0</f>
        <v>0</v>
      </c>
      <c r="O129">
        <f>2.0/((1/Q129-1/P129)+SIGN(Q129)*SQRT((1/Q129-1/P129)*(1/Q129-1/P129) + 4*AO129/((AO129+1)*(AO129+1))*(2*1/Q129*1/P129-1/P129*1/P129)))</f>
        <v>0</v>
      </c>
      <c r="P129">
        <f>IF(LEFT(AP129,1)&lt;&gt;"0",IF(LEFT(AP129,1)="1",3.0,AQ129),$D$5+$E$5*(BG129*AZ129/($K$5*1000))+$F$5*(BG129*AZ129/($K$5*1000))*MAX(MIN(AN129,$J$5),$I$5)*MAX(MIN(AN129,$J$5),$I$5)+$G$5*MAX(MIN(AN129,$J$5),$I$5)*(BG129*AZ129/($K$5*1000))+$H$5*(BG129*AZ129/($K$5*1000))*(BG129*AZ129/($K$5*1000)))</f>
        <v>0</v>
      </c>
      <c r="Q129">
        <f>H129*(1000-(1000*0.61365*exp(17.502*U129/(240.97+U129))/(AZ129+BA129)+AU129)/2)/(1000*0.61365*exp(17.502*U129/(240.97+U129))/(AZ129+BA129)-AU129)</f>
        <v>0</v>
      </c>
      <c r="R129">
        <f>1/((AO129+1)/(O129/1.6)+1/(P129/1.37)) + AO129/((AO129+1)/(O129/1.6) + AO129/(P129/1.37))</f>
        <v>0</v>
      </c>
      <c r="S129">
        <f>(AJ129*AM129)</f>
        <v>0</v>
      </c>
      <c r="T129">
        <f>(BB129+(S129+2*0.95*5.67E-8*(((BB129+$B$7)+273)^4-(BB129+273)^4)-44100*H129)/(1.84*29.3*P129+8*0.95*5.67E-8*(BB129+273)^3))</f>
        <v>0</v>
      </c>
      <c r="U129">
        <f>($C$7*BC129+$D$7*BD129+$E$7*T129)</f>
        <v>0</v>
      </c>
      <c r="V129">
        <f>0.61365*exp(17.502*U129/(240.97+U129))</f>
        <v>0</v>
      </c>
      <c r="W129">
        <f>(X129/Y129*100)</f>
        <v>0</v>
      </c>
      <c r="X129">
        <f>AU129*(AZ129+BA129)/1000</f>
        <v>0</v>
      </c>
      <c r="Y129">
        <f>0.61365*exp(17.502*BB129/(240.97+BB129))</f>
        <v>0</v>
      </c>
      <c r="Z129">
        <f>(V129-AU129*(AZ129+BA129)/1000)</f>
        <v>0</v>
      </c>
      <c r="AA129">
        <f>(-H129*44100)</f>
        <v>0</v>
      </c>
      <c r="AB129">
        <f>2*29.3*P129*0.92*(BB129-U129)</f>
        <v>0</v>
      </c>
      <c r="AC129">
        <f>2*0.95*5.67E-8*(((BB129+$B$7)+273)^4-(U129+273)^4)</f>
        <v>0</v>
      </c>
      <c r="AD129">
        <f>S129+AC129+AA129+AB129</f>
        <v>0</v>
      </c>
      <c r="AE129">
        <v>0</v>
      </c>
      <c r="AF129">
        <v>0</v>
      </c>
      <c r="AG129">
        <f>IF(AE129*$H$13&gt;=AI129,1.0,(AI129/(AI129-AE129*$H$13)))</f>
        <v>0</v>
      </c>
      <c r="AH129">
        <f>(AG129-1)*100</f>
        <v>0</v>
      </c>
      <c r="AI129">
        <f>MAX(0,($B$13+$C$13*BG129)/(1+$D$13*BG129)*AZ129/(BB129+273)*$E$13)</f>
        <v>0</v>
      </c>
      <c r="AJ129">
        <f>$B$11*BH129+$C$11*BI129+$D$11*BT129</f>
        <v>0</v>
      </c>
      <c r="AK129">
        <f>AJ129*AL129</f>
        <v>0</v>
      </c>
      <c r="AL129">
        <f>($B$11*$D$9+$C$11*$D$9+$D$11*(BU129*$E$9+BV129*$G$9))/($B$11+$C$11+$D$11)</f>
        <v>0</v>
      </c>
      <c r="AM129">
        <f>($B$11*$K$9+$C$11*$K$9+$D$11*(BU129*$L$9+BV129*$N$9))/($B$11+$C$11+$D$11)</f>
        <v>0</v>
      </c>
      <c r="AN129">
        <v>3</v>
      </c>
      <c r="AO129">
        <v>0.5</v>
      </c>
      <c r="AP129" t="s">
        <v>331</v>
      </c>
      <c r="AQ129">
        <v>2</v>
      </c>
      <c r="AR129">
        <v>1773275576.599999</v>
      </c>
      <c r="AS129">
        <v>472.2146129032258</v>
      </c>
      <c r="AT129">
        <v>470.9595806451613</v>
      </c>
      <c r="AU129">
        <v>13.47009032258064</v>
      </c>
      <c r="AV129">
        <v>12.58193870967742</v>
      </c>
      <c r="AW129">
        <v>465.7190967741935</v>
      </c>
      <c r="AX129">
        <v>13.41127096774194</v>
      </c>
      <c r="AY129">
        <v>500.0063870967742</v>
      </c>
      <c r="AZ129">
        <v>100.3249032258064</v>
      </c>
      <c r="BA129">
        <v>0.03738330322580646</v>
      </c>
      <c r="BB129">
        <v>24.99500645161291</v>
      </c>
      <c r="BC129">
        <v>25.32911290322581</v>
      </c>
      <c r="BD129">
        <v>999.9000000000003</v>
      </c>
      <c r="BE129">
        <v>0</v>
      </c>
      <c r="BF129">
        <v>0</v>
      </c>
      <c r="BG129">
        <v>5004.096774193548</v>
      </c>
      <c r="BH129">
        <v>2.161123548387097</v>
      </c>
      <c r="BI129">
        <v>1075.567741935484</v>
      </c>
      <c r="BJ129">
        <v>1.255023548387096</v>
      </c>
      <c r="BK129">
        <v>478.6621935483871</v>
      </c>
      <c r="BL129">
        <v>476.9607096774193</v>
      </c>
      <c r="BM129">
        <v>0.8881445483870968</v>
      </c>
      <c r="BN129">
        <v>470.9595806451613</v>
      </c>
      <c r="BO129">
        <v>12.58193870967742</v>
      </c>
      <c r="BP129">
        <v>1.351385806451613</v>
      </c>
      <c r="BQ129">
        <v>1.262283225806452</v>
      </c>
      <c r="BR129">
        <v>11.38285806451613</v>
      </c>
      <c r="BS129">
        <v>10.35713548387097</v>
      </c>
      <c r="BT129">
        <v>0</v>
      </c>
      <c r="BU129">
        <v>0</v>
      </c>
      <c r="BV129">
        <v>0</v>
      </c>
      <c r="BW129">
        <v>30</v>
      </c>
      <c r="BX129">
        <v>56</v>
      </c>
      <c r="BY129">
        <v>1773268786.6</v>
      </c>
      <c r="BZ129" t="s">
        <v>332</v>
      </c>
      <c r="CA129">
        <v>1773268786.6</v>
      </c>
      <c r="CB129">
        <v>1773268774.1</v>
      </c>
      <c r="CC129">
        <v>2</v>
      </c>
      <c r="CD129">
        <v>0.264</v>
      </c>
      <c r="CE129">
        <v>-0.024</v>
      </c>
      <c r="CF129">
        <v>6.495</v>
      </c>
      <c r="CG129">
        <v>0.059</v>
      </c>
      <c r="CH129">
        <v>488</v>
      </c>
      <c r="CI129">
        <v>25</v>
      </c>
      <c r="CJ129">
        <v>0.48</v>
      </c>
      <c r="CK129">
        <v>0.14</v>
      </c>
      <c r="CL129">
        <v>470.9439666666667</v>
      </c>
      <c r="CM129">
        <v>2.051052280311869</v>
      </c>
      <c r="CN129">
        <v>0.2272875540416221</v>
      </c>
      <c r="CO129">
        <v>-1</v>
      </c>
      <c r="CP129">
        <v>500.0082999999999</v>
      </c>
      <c r="CQ129">
        <v>0.03953726362732297</v>
      </c>
      <c r="CR129">
        <v>0.04543284421355828</v>
      </c>
      <c r="CS129">
        <v>-1</v>
      </c>
      <c r="CT129">
        <v>0</v>
      </c>
      <c r="CU129">
        <v>0</v>
      </c>
      <c r="CV129" t="s">
        <v>333</v>
      </c>
      <c r="CW129">
        <v>3.17067</v>
      </c>
      <c r="CX129">
        <v>2.65884</v>
      </c>
      <c r="CY129">
        <v>0.109719</v>
      </c>
      <c r="CZ129">
        <v>0.110634</v>
      </c>
      <c r="DA129">
        <v>0.0745719</v>
      </c>
      <c r="DB129">
        <v>0.0707845</v>
      </c>
      <c r="DC129">
        <v>21315.3</v>
      </c>
      <c r="DD129">
        <v>21841.1</v>
      </c>
      <c r="DE129">
        <v>23057.9</v>
      </c>
      <c r="DF129">
        <v>22466.4</v>
      </c>
      <c r="DG129">
        <v>32249.5</v>
      </c>
      <c r="DH129">
        <v>29433.8</v>
      </c>
      <c r="DI129">
        <v>40544.1</v>
      </c>
      <c r="DJ129">
        <v>37177.7</v>
      </c>
      <c r="DK129">
        <v>2.07974</v>
      </c>
      <c r="DL129">
        <v>1.6647</v>
      </c>
      <c r="DM129">
        <v>-0.12061</v>
      </c>
      <c r="DN129">
        <v>0</v>
      </c>
      <c r="DO129">
        <v>27.3023</v>
      </c>
      <c r="DP129">
        <v>999.9</v>
      </c>
      <c r="DQ129">
        <v>47.2</v>
      </c>
      <c r="DR129">
        <v>34.4</v>
      </c>
      <c r="DS129">
        <v>25.7021</v>
      </c>
      <c r="DT129">
        <v>30.1764</v>
      </c>
      <c r="DU129">
        <v>12.7804</v>
      </c>
      <c r="DV129">
        <v>1</v>
      </c>
      <c r="DW129">
        <v>0.366482</v>
      </c>
      <c r="DX129">
        <v>3.09751</v>
      </c>
      <c r="DY129">
        <v>20.3321</v>
      </c>
      <c r="DZ129">
        <v>5.20926</v>
      </c>
      <c r="EA129">
        <v>11.8537</v>
      </c>
      <c r="EB129">
        <v>4.9678</v>
      </c>
      <c r="EC129">
        <v>3.29206</v>
      </c>
      <c r="ED129">
        <v>879.4</v>
      </c>
      <c r="EE129">
        <v>9999</v>
      </c>
      <c r="EF129">
        <v>9999</v>
      </c>
      <c r="EG129">
        <v>82</v>
      </c>
      <c r="EH129">
        <v>4.97163</v>
      </c>
      <c r="EI129">
        <v>1.87195</v>
      </c>
      <c r="EJ129">
        <v>1.86922</v>
      </c>
      <c r="EK129">
        <v>1.87164</v>
      </c>
      <c r="EL129">
        <v>1.86935</v>
      </c>
      <c r="EM129">
        <v>1.86829</v>
      </c>
      <c r="EN129">
        <v>1.8701</v>
      </c>
      <c r="EO129">
        <v>1.87189</v>
      </c>
      <c r="EP129">
        <v>0</v>
      </c>
      <c r="EQ129">
        <v>0</v>
      </c>
      <c r="ER129">
        <v>0</v>
      </c>
      <c r="ES129">
        <v>0</v>
      </c>
      <c r="ET129" t="s">
        <v>334</v>
      </c>
      <c r="EU129" t="s">
        <v>335</v>
      </c>
      <c r="EV129" t="s">
        <v>336</v>
      </c>
      <c r="EW129" t="s">
        <v>336</v>
      </c>
      <c r="EX129" t="s">
        <v>336</v>
      </c>
      <c r="EY129" t="s">
        <v>336</v>
      </c>
      <c r="EZ129">
        <v>0</v>
      </c>
      <c r="FA129">
        <v>100</v>
      </c>
      <c r="FB129">
        <v>100</v>
      </c>
      <c r="FC129">
        <v>6.496</v>
      </c>
      <c r="FD129">
        <v>0.0588</v>
      </c>
      <c r="FE129">
        <v>6.495476190476325</v>
      </c>
      <c r="FF129">
        <v>0</v>
      </c>
      <c r="FG129">
        <v>0</v>
      </c>
      <c r="FH129">
        <v>0</v>
      </c>
      <c r="FI129">
        <v>0.05881499999999917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113.3</v>
      </c>
      <c r="FR129">
        <v>113.5</v>
      </c>
      <c r="FS129">
        <v>0.142822</v>
      </c>
      <c r="FT129">
        <v>4.99756</v>
      </c>
      <c r="FU129">
        <v>1.5979</v>
      </c>
      <c r="FV129">
        <v>2.13745</v>
      </c>
      <c r="FW129">
        <v>1.54785</v>
      </c>
      <c r="FX129">
        <v>2.40479</v>
      </c>
      <c r="FY129">
        <v>40.502</v>
      </c>
      <c r="FZ129">
        <v>15.7344</v>
      </c>
      <c r="GA129">
        <v>3</v>
      </c>
      <c r="GB129">
        <v>507.489</v>
      </c>
      <c r="GC129">
        <v>343.25</v>
      </c>
      <c r="GD129">
        <v>22.3949</v>
      </c>
      <c r="GE129">
        <v>31.7296</v>
      </c>
      <c r="GF129">
        <v>30</v>
      </c>
      <c r="GG129">
        <v>31.6089</v>
      </c>
      <c r="GH129">
        <v>31.5951</v>
      </c>
      <c r="GI129">
        <v>-1</v>
      </c>
      <c r="GJ129">
        <v>100</v>
      </c>
      <c r="GK129">
        <v>0</v>
      </c>
      <c r="GL129">
        <v>22.3926</v>
      </c>
      <c r="GM129">
        <v>1200</v>
      </c>
      <c r="GN129">
        <v>26.7455</v>
      </c>
      <c r="GO129">
        <v>102.037</v>
      </c>
      <c r="GP129">
        <v>97.06440000000001</v>
      </c>
    </row>
    <row r="130" spans="1:198">
      <c r="A130">
        <v>114</v>
      </c>
      <c r="B130">
        <v>1773275644.6</v>
      </c>
      <c r="C130">
        <v>6781</v>
      </c>
      <c r="D130" t="s">
        <v>561</v>
      </c>
      <c r="E130" t="s">
        <v>562</v>
      </c>
      <c r="F130">
        <v>15</v>
      </c>
      <c r="G130">
        <v>1773275636.599999</v>
      </c>
      <c r="H130">
        <f>(I130)/1000</f>
        <v>0</v>
      </c>
      <c r="I130">
        <f>1000*AY130*AG130*(AU130-AV130)/(100*AN130*(1000-AG130*AU130))</f>
        <v>0</v>
      </c>
      <c r="J130">
        <f>AY130*AG130*(AT130-AS130*(1000-AG130*AV130)/(1000-AG130*AU130))/(100*AN130)</f>
        <v>0</v>
      </c>
      <c r="K130">
        <f>AS130 - IF(AG130&gt;1, J130*AN130*100.0/(AI130), 0)</f>
        <v>0</v>
      </c>
      <c r="L130">
        <f>((R130-H130/2)*K130-J130)/(R130+H130/2)</f>
        <v>0</v>
      </c>
      <c r="M130">
        <f>L130*(AZ130+BA130)/1000.0</f>
        <v>0</v>
      </c>
      <c r="N130">
        <f>(AS130 - IF(AG130&gt;1, J130*AN130*100.0/(AI130), 0))*(AZ130+BA130)/1000.0</f>
        <v>0</v>
      </c>
      <c r="O130">
        <f>2.0/((1/Q130-1/P130)+SIGN(Q130)*SQRT((1/Q130-1/P130)*(1/Q130-1/P130) + 4*AO130/((AO130+1)*(AO130+1))*(2*1/Q130*1/P130-1/P130*1/P130)))</f>
        <v>0</v>
      </c>
      <c r="P130">
        <f>IF(LEFT(AP130,1)&lt;&gt;"0",IF(LEFT(AP130,1)="1",3.0,AQ130),$D$5+$E$5*(BG130*AZ130/($K$5*1000))+$F$5*(BG130*AZ130/($K$5*1000))*MAX(MIN(AN130,$J$5),$I$5)*MAX(MIN(AN130,$J$5),$I$5)+$G$5*MAX(MIN(AN130,$J$5),$I$5)*(BG130*AZ130/($K$5*1000))+$H$5*(BG130*AZ130/($K$5*1000))*(BG130*AZ130/($K$5*1000)))</f>
        <v>0</v>
      </c>
      <c r="Q130">
        <f>H130*(1000-(1000*0.61365*exp(17.502*U130/(240.97+U130))/(AZ130+BA130)+AU130)/2)/(1000*0.61365*exp(17.502*U130/(240.97+U130))/(AZ130+BA130)-AU130)</f>
        <v>0</v>
      </c>
      <c r="R130">
        <f>1/((AO130+1)/(O130/1.6)+1/(P130/1.37)) + AO130/((AO130+1)/(O130/1.6) + AO130/(P130/1.37))</f>
        <v>0</v>
      </c>
      <c r="S130">
        <f>(AJ130*AM130)</f>
        <v>0</v>
      </c>
      <c r="T130">
        <f>(BB130+(S130+2*0.95*5.67E-8*(((BB130+$B$7)+273)^4-(BB130+273)^4)-44100*H130)/(1.84*29.3*P130+8*0.95*5.67E-8*(BB130+273)^3))</f>
        <v>0</v>
      </c>
      <c r="U130">
        <f>($C$7*BC130+$D$7*BD130+$E$7*T130)</f>
        <v>0</v>
      </c>
      <c r="V130">
        <f>0.61365*exp(17.502*U130/(240.97+U130))</f>
        <v>0</v>
      </c>
      <c r="W130">
        <f>(X130/Y130*100)</f>
        <v>0</v>
      </c>
      <c r="X130">
        <f>AU130*(AZ130+BA130)/1000</f>
        <v>0</v>
      </c>
      <c r="Y130">
        <f>0.61365*exp(17.502*BB130/(240.97+BB130))</f>
        <v>0</v>
      </c>
      <c r="Z130">
        <f>(V130-AU130*(AZ130+BA130)/1000)</f>
        <v>0</v>
      </c>
      <c r="AA130">
        <f>(-H130*44100)</f>
        <v>0</v>
      </c>
      <c r="AB130">
        <f>2*29.3*P130*0.92*(BB130-U130)</f>
        <v>0</v>
      </c>
      <c r="AC130">
        <f>2*0.95*5.67E-8*(((BB130+$B$7)+273)^4-(U130+273)^4)</f>
        <v>0</v>
      </c>
      <c r="AD130">
        <f>S130+AC130+AA130+AB130</f>
        <v>0</v>
      </c>
      <c r="AE130">
        <v>0</v>
      </c>
      <c r="AF130">
        <v>0</v>
      </c>
      <c r="AG130">
        <f>IF(AE130*$H$13&gt;=AI130,1.0,(AI130/(AI130-AE130*$H$13)))</f>
        <v>0</v>
      </c>
      <c r="AH130">
        <f>(AG130-1)*100</f>
        <v>0</v>
      </c>
      <c r="AI130">
        <f>MAX(0,($B$13+$C$13*BG130)/(1+$D$13*BG130)*AZ130/(BB130+273)*$E$13)</f>
        <v>0</v>
      </c>
      <c r="AJ130">
        <f>$B$11*BH130+$C$11*BI130+$D$11*BT130</f>
        <v>0</v>
      </c>
      <c r="AK130">
        <f>AJ130*AL130</f>
        <v>0</v>
      </c>
      <c r="AL130">
        <f>($B$11*$D$9+$C$11*$D$9+$D$11*(BU130*$E$9+BV130*$G$9))/($B$11+$C$11+$D$11)</f>
        <v>0</v>
      </c>
      <c r="AM130">
        <f>($B$11*$K$9+$C$11*$K$9+$D$11*(BU130*$L$9+BV130*$N$9))/($B$11+$C$11+$D$11)</f>
        <v>0</v>
      </c>
      <c r="AN130">
        <v>3</v>
      </c>
      <c r="AO130">
        <v>0.5</v>
      </c>
      <c r="AP130" t="s">
        <v>331</v>
      </c>
      <c r="AQ130">
        <v>2</v>
      </c>
      <c r="AR130">
        <v>1773275636.599999</v>
      </c>
      <c r="AS130">
        <v>475.4812258064516</v>
      </c>
      <c r="AT130">
        <v>474.0696129032258</v>
      </c>
      <c r="AU130">
        <v>13.55365806451613</v>
      </c>
      <c r="AV130">
        <v>12.66224516129032</v>
      </c>
      <c r="AW130">
        <v>468.9857419354839</v>
      </c>
      <c r="AX130">
        <v>13.49483870967743</v>
      </c>
      <c r="AY130">
        <v>500.0006774193548</v>
      </c>
      <c r="AZ130">
        <v>100.3249677419355</v>
      </c>
      <c r="BA130">
        <v>0.03778116129032259</v>
      </c>
      <c r="BB130">
        <v>24.98813225806451</v>
      </c>
      <c r="BC130">
        <v>25.33755483870967</v>
      </c>
      <c r="BD130">
        <v>999.9000000000003</v>
      </c>
      <c r="BE130">
        <v>0</v>
      </c>
      <c r="BF130">
        <v>0</v>
      </c>
      <c r="BG130">
        <v>4998.435483870968</v>
      </c>
      <c r="BH130">
        <v>2.186091935483871</v>
      </c>
      <c r="BI130">
        <v>1095.043870967742</v>
      </c>
      <c r="BJ130">
        <v>1.411649354838709</v>
      </c>
      <c r="BK130">
        <v>482.0142580645162</v>
      </c>
      <c r="BL130">
        <v>480.1493548387097</v>
      </c>
      <c r="BM130">
        <v>0.8914083870967742</v>
      </c>
      <c r="BN130">
        <v>474.0696129032258</v>
      </c>
      <c r="BO130">
        <v>12.66224516129032</v>
      </c>
      <c r="BP130">
        <v>1.35976935483871</v>
      </c>
      <c r="BQ130">
        <v>1.270339677419355</v>
      </c>
      <c r="BR130">
        <v>11.47628709677419</v>
      </c>
      <c r="BS130">
        <v>10.45244193548387</v>
      </c>
      <c r="BT130">
        <v>0</v>
      </c>
      <c r="BU130">
        <v>0</v>
      </c>
      <c r="BV130">
        <v>0</v>
      </c>
      <c r="BW130">
        <v>30</v>
      </c>
      <c r="BX130">
        <v>56.20214193548388</v>
      </c>
      <c r="BY130">
        <v>1773268786.6</v>
      </c>
      <c r="BZ130" t="s">
        <v>332</v>
      </c>
      <c r="CA130">
        <v>1773268786.6</v>
      </c>
      <c r="CB130">
        <v>1773268774.1</v>
      </c>
      <c r="CC130">
        <v>2</v>
      </c>
      <c r="CD130">
        <v>0.264</v>
      </c>
      <c r="CE130">
        <v>-0.024</v>
      </c>
      <c r="CF130">
        <v>6.495</v>
      </c>
      <c r="CG130">
        <v>0.059</v>
      </c>
      <c r="CH130">
        <v>488</v>
      </c>
      <c r="CI130">
        <v>25</v>
      </c>
      <c r="CJ130">
        <v>0.48</v>
      </c>
      <c r="CK130">
        <v>0.14</v>
      </c>
      <c r="CL130">
        <v>474.0761333333332</v>
      </c>
      <c r="CM130">
        <v>0.8389588431601065</v>
      </c>
      <c r="CN130">
        <v>0.07303548604768956</v>
      </c>
      <c r="CO130">
        <v>-1</v>
      </c>
      <c r="CP130">
        <v>499.9990666666666</v>
      </c>
      <c r="CQ130">
        <v>0.164502780868418</v>
      </c>
      <c r="CR130">
        <v>0.03360052909636435</v>
      </c>
      <c r="CS130">
        <v>-1</v>
      </c>
      <c r="CT130">
        <v>0</v>
      </c>
      <c r="CU130">
        <v>0</v>
      </c>
      <c r="CV130" t="s">
        <v>333</v>
      </c>
      <c r="CW130">
        <v>3.17076</v>
      </c>
      <c r="CX130">
        <v>2.65907</v>
      </c>
      <c r="CY130">
        <v>0.110259</v>
      </c>
      <c r="CZ130">
        <v>0.111171</v>
      </c>
      <c r="DA130">
        <v>0.0749219</v>
      </c>
      <c r="DB130">
        <v>0.07113709999999999</v>
      </c>
      <c r="DC130">
        <v>21300.6</v>
      </c>
      <c r="DD130">
        <v>21826.6</v>
      </c>
      <c r="DE130">
        <v>23056.2</v>
      </c>
      <c r="DF130">
        <v>22465.2</v>
      </c>
      <c r="DG130">
        <v>32234.9</v>
      </c>
      <c r="DH130">
        <v>29420.9</v>
      </c>
      <c r="DI130">
        <v>40541.3</v>
      </c>
      <c r="DJ130">
        <v>37175.6</v>
      </c>
      <c r="DK130">
        <v>2.0794</v>
      </c>
      <c r="DL130">
        <v>1.66298</v>
      </c>
      <c r="DM130">
        <v>-0.119722</v>
      </c>
      <c r="DN130">
        <v>0</v>
      </c>
      <c r="DO130">
        <v>27.2991</v>
      </c>
      <c r="DP130">
        <v>999.9</v>
      </c>
      <c r="DQ130">
        <v>47</v>
      </c>
      <c r="DR130">
        <v>34.5</v>
      </c>
      <c r="DS130">
        <v>25.7371</v>
      </c>
      <c r="DT130">
        <v>29.9064</v>
      </c>
      <c r="DU130">
        <v>12.7244</v>
      </c>
      <c r="DV130">
        <v>1</v>
      </c>
      <c r="DW130">
        <v>0.370077</v>
      </c>
      <c r="DX130">
        <v>3.13025</v>
      </c>
      <c r="DY130">
        <v>20.3308</v>
      </c>
      <c r="DZ130">
        <v>5.21058</v>
      </c>
      <c r="EA130">
        <v>11.8536</v>
      </c>
      <c r="EB130">
        <v>4.96764</v>
      </c>
      <c r="EC130">
        <v>3.2921</v>
      </c>
      <c r="ED130">
        <v>879.4</v>
      </c>
      <c r="EE130">
        <v>9999</v>
      </c>
      <c r="EF130">
        <v>9999</v>
      </c>
      <c r="EG130">
        <v>82</v>
      </c>
      <c r="EH130">
        <v>4.97159</v>
      </c>
      <c r="EI130">
        <v>1.87195</v>
      </c>
      <c r="EJ130">
        <v>1.86921</v>
      </c>
      <c r="EK130">
        <v>1.87164</v>
      </c>
      <c r="EL130">
        <v>1.86935</v>
      </c>
      <c r="EM130">
        <v>1.86827</v>
      </c>
      <c r="EN130">
        <v>1.87011</v>
      </c>
      <c r="EO130">
        <v>1.87191</v>
      </c>
      <c r="EP130">
        <v>0</v>
      </c>
      <c r="EQ130">
        <v>0</v>
      </c>
      <c r="ER130">
        <v>0</v>
      </c>
      <c r="ES130">
        <v>0</v>
      </c>
      <c r="ET130" t="s">
        <v>334</v>
      </c>
      <c r="EU130" t="s">
        <v>335</v>
      </c>
      <c r="EV130" t="s">
        <v>336</v>
      </c>
      <c r="EW130" t="s">
        <v>336</v>
      </c>
      <c r="EX130" t="s">
        <v>336</v>
      </c>
      <c r="EY130" t="s">
        <v>336</v>
      </c>
      <c r="EZ130">
        <v>0</v>
      </c>
      <c r="FA130">
        <v>100</v>
      </c>
      <c r="FB130">
        <v>100</v>
      </c>
      <c r="FC130">
        <v>6.495</v>
      </c>
      <c r="FD130">
        <v>0.0588</v>
      </c>
      <c r="FE130">
        <v>6.495476190476325</v>
      </c>
      <c r="FF130">
        <v>0</v>
      </c>
      <c r="FG130">
        <v>0</v>
      </c>
      <c r="FH130">
        <v>0</v>
      </c>
      <c r="FI130">
        <v>0.05881499999999917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114.3</v>
      </c>
      <c r="FR130">
        <v>114.5</v>
      </c>
      <c r="FS130">
        <v>0.142822</v>
      </c>
      <c r="FT130">
        <v>4.99756</v>
      </c>
      <c r="FU130">
        <v>1.5979</v>
      </c>
      <c r="FV130">
        <v>2.13745</v>
      </c>
      <c r="FW130">
        <v>1.54785</v>
      </c>
      <c r="FX130">
        <v>2.3291</v>
      </c>
      <c r="FY130">
        <v>40.5531</v>
      </c>
      <c r="FZ130">
        <v>15.7256</v>
      </c>
      <c r="GA130">
        <v>3</v>
      </c>
      <c r="GB130">
        <v>507.594</v>
      </c>
      <c r="GC130">
        <v>342.604</v>
      </c>
      <c r="GD130">
        <v>22.4731</v>
      </c>
      <c r="GE130">
        <v>31.7671</v>
      </c>
      <c r="GF130">
        <v>30.0003</v>
      </c>
      <c r="GG130">
        <v>31.6494</v>
      </c>
      <c r="GH130">
        <v>31.6392</v>
      </c>
      <c r="GI130">
        <v>-1</v>
      </c>
      <c r="GJ130">
        <v>100</v>
      </c>
      <c r="GK130">
        <v>0</v>
      </c>
      <c r="GL130">
        <v>22.4805</v>
      </c>
      <c r="GM130">
        <v>1200</v>
      </c>
      <c r="GN130">
        <v>26.7455</v>
      </c>
      <c r="GO130">
        <v>102.03</v>
      </c>
      <c r="GP130">
        <v>97.0591</v>
      </c>
    </row>
    <row r="131" spans="1:198">
      <c r="A131">
        <v>115</v>
      </c>
      <c r="B131">
        <v>1773275704.6</v>
      </c>
      <c r="C131">
        <v>6841</v>
      </c>
      <c r="D131" t="s">
        <v>563</v>
      </c>
      <c r="E131" t="s">
        <v>564</v>
      </c>
      <c r="F131">
        <v>15</v>
      </c>
      <c r="G131">
        <v>1773275696.599999</v>
      </c>
      <c r="H131">
        <f>(I131)/1000</f>
        <v>0</v>
      </c>
      <c r="I131">
        <f>1000*AY131*AG131*(AU131-AV131)/(100*AN131*(1000-AG131*AU131))</f>
        <v>0</v>
      </c>
      <c r="J131">
        <f>AY131*AG131*(AT131-AS131*(1000-AG131*AV131)/(1000-AG131*AU131))/(100*AN131)</f>
        <v>0</v>
      </c>
      <c r="K131">
        <f>AS131 - IF(AG131&gt;1, J131*AN131*100.0/(AI131), 0)</f>
        <v>0</v>
      </c>
      <c r="L131">
        <f>((R131-H131/2)*K131-J131)/(R131+H131/2)</f>
        <v>0</v>
      </c>
      <c r="M131">
        <f>L131*(AZ131+BA131)/1000.0</f>
        <v>0</v>
      </c>
      <c r="N131">
        <f>(AS131 - IF(AG131&gt;1, J131*AN131*100.0/(AI131), 0))*(AZ131+BA131)/1000.0</f>
        <v>0</v>
      </c>
      <c r="O131">
        <f>2.0/((1/Q131-1/P131)+SIGN(Q131)*SQRT((1/Q131-1/P131)*(1/Q131-1/P131) + 4*AO131/((AO131+1)*(AO131+1))*(2*1/Q131*1/P131-1/P131*1/P131)))</f>
        <v>0</v>
      </c>
      <c r="P131">
        <f>IF(LEFT(AP131,1)&lt;&gt;"0",IF(LEFT(AP131,1)="1",3.0,AQ131),$D$5+$E$5*(BG131*AZ131/($K$5*1000))+$F$5*(BG131*AZ131/($K$5*1000))*MAX(MIN(AN131,$J$5),$I$5)*MAX(MIN(AN131,$J$5),$I$5)+$G$5*MAX(MIN(AN131,$J$5),$I$5)*(BG131*AZ131/($K$5*1000))+$H$5*(BG131*AZ131/($K$5*1000))*(BG131*AZ131/($K$5*1000)))</f>
        <v>0</v>
      </c>
      <c r="Q131">
        <f>H131*(1000-(1000*0.61365*exp(17.502*U131/(240.97+U131))/(AZ131+BA131)+AU131)/2)/(1000*0.61365*exp(17.502*U131/(240.97+U131))/(AZ131+BA131)-AU131)</f>
        <v>0</v>
      </c>
      <c r="R131">
        <f>1/((AO131+1)/(O131/1.6)+1/(P131/1.37)) + AO131/((AO131+1)/(O131/1.6) + AO131/(P131/1.37))</f>
        <v>0</v>
      </c>
      <c r="S131">
        <f>(AJ131*AM131)</f>
        <v>0</v>
      </c>
      <c r="T131">
        <f>(BB131+(S131+2*0.95*5.67E-8*(((BB131+$B$7)+273)^4-(BB131+273)^4)-44100*H131)/(1.84*29.3*P131+8*0.95*5.67E-8*(BB131+273)^3))</f>
        <v>0</v>
      </c>
      <c r="U131">
        <f>($C$7*BC131+$D$7*BD131+$E$7*T131)</f>
        <v>0</v>
      </c>
      <c r="V131">
        <f>0.61365*exp(17.502*U131/(240.97+U131))</f>
        <v>0</v>
      </c>
      <c r="W131">
        <f>(X131/Y131*100)</f>
        <v>0</v>
      </c>
      <c r="X131">
        <f>AU131*(AZ131+BA131)/1000</f>
        <v>0</v>
      </c>
      <c r="Y131">
        <f>0.61365*exp(17.502*BB131/(240.97+BB131))</f>
        <v>0</v>
      </c>
      <c r="Z131">
        <f>(V131-AU131*(AZ131+BA131)/1000)</f>
        <v>0</v>
      </c>
      <c r="AA131">
        <f>(-H131*44100)</f>
        <v>0</v>
      </c>
      <c r="AB131">
        <f>2*29.3*P131*0.92*(BB131-U131)</f>
        <v>0</v>
      </c>
      <c r="AC131">
        <f>2*0.95*5.67E-8*(((BB131+$B$7)+273)^4-(U131+273)^4)</f>
        <v>0</v>
      </c>
      <c r="AD131">
        <f>S131+AC131+AA131+AB131</f>
        <v>0</v>
      </c>
      <c r="AE131">
        <v>0</v>
      </c>
      <c r="AF131">
        <v>0</v>
      </c>
      <c r="AG131">
        <f>IF(AE131*$H$13&gt;=AI131,1.0,(AI131/(AI131-AE131*$H$13)))</f>
        <v>0</v>
      </c>
      <c r="AH131">
        <f>(AG131-1)*100</f>
        <v>0</v>
      </c>
      <c r="AI131">
        <f>MAX(0,($B$13+$C$13*BG131)/(1+$D$13*BG131)*AZ131/(BB131+273)*$E$13)</f>
        <v>0</v>
      </c>
      <c r="AJ131">
        <f>$B$11*BH131+$C$11*BI131+$D$11*BT131</f>
        <v>0</v>
      </c>
      <c r="AK131">
        <f>AJ131*AL131</f>
        <v>0</v>
      </c>
      <c r="AL131">
        <f>($B$11*$D$9+$C$11*$D$9+$D$11*(BU131*$E$9+BV131*$G$9))/($B$11+$C$11+$D$11)</f>
        <v>0</v>
      </c>
      <c r="AM131">
        <f>($B$11*$K$9+$C$11*$K$9+$D$11*(BU131*$L$9+BV131*$N$9))/($B$11+$C$11+$D$11)</f>
        <v>0</v>
      </c>
      <c r="AN131">
        <v>3</v>
      </c>
      <c r="AO131">
        <v>0.5</v>
      </c>
      <c r="AP131" t="s">
        <v>331</v>
      </c>
      <c r="AQ131">
        <v>2</v>
      </c>
      <c r="AR131">
        <v>1773275696.599999</v>
      </c>
      <c r="AS131">
        <v>472.455064516129</v>
      </c>
      <c r="AT131">
        <v>470.9096129032258</v>
      </c>
      <c r="AU131">
        <v>13.64436451612903</v>
      </c>
      <c r="AV131">
        <v>12.74903225806452</v>
      </c>
      <c r="AW131">
        <v>465.9596774193549</v>
      </c>
      <c r="AX131">
        <v>13.58554838709677</v>
      </c>
      <c r="AY131">
        <v>500.0082258064516</v>
      </c>
      <c r="AZ131">
        <v>100.3224516129032</v>
      </c>
      <c r="BA131">
        <v>0.03764068064516129</v>
      </c>
      <c r="BB131">
        <v>25.0056129032258</v>
      </c>
      <c r="BC131">
        <v>25.36140322580645</v>
      </c>
      <c r="BD131">
        <v>999.9000000000003</v>
      </c>
      <c r="BE131">
        <v>0</v>
      </c>
      <c r="BF131">
        <v>0</v>
      </c>
      <c r="BG131">
        <v>5000.096774193548</v>
      </c>
      <c r="BH131">
        <v>2.207052903225806</v>
      </c>
      <c r="BI131">
        <v>1108.181935483871</v>
      </c>
      <c r="BJ131">
        <v>1.545497419354839</v>
      </c>
      <c r="BK131">
        <v>478.9907096774193</v>
      </c>
      <c r="BL131">
        <v>476.9907419354839</v>
      </c>
      <c r="BM131">
        <v>0.8953398709677419</v>
      </c>
      <c r="BN131">
        <v>470.9096129032258</v>
      </c>
      <c r="BO131">
        <v>12.74903225806452</v>
      </c>
      <c r="BP131">
        <v>1.368837419354839</v>
      </c>
      <c r="BQ131">
        <v>1.279014193548387</v>
      </c>
      <c r="BR131">
        <v>11.57673548387097</v>
      </c>
      <c r="BS131">
        <v>10.55448709677419</v>
      </c>
      <c r="BT131">
        <v>0</v>
      </c>
      <c r="BU131">
        <v>0</v>
      </c>
      <c r="BV131">
        <v>0</v>
      </c>
      <c r="BW131">
        <v>30</v>
      </c>
      <c r="BX131">
        <v>56.97851612903226</v>
      </c>
      <c r="BY131">
        <v>1773268786.6</v>
      </c>
      <c r="BZ131" t="s">
        <v>332</v>
      </c>
      <c r="CA131">
        <v>1773268786.6</v>
      </c>
      <c r="CB131">
        <v>1773268774.1</v>
      </c>
      <c r="CC131">
        <v>2</v>
      </c>
      <c r="CD131">
        <v>0.264</v>
      </c>
      <c r="CE131">
        <v>-0.024</v>
      </c>
      <c r="CF131">
        <v>6.495</v>
      </c>
      <c r="CG131">
        <v>0.059</v>
      </c>
      <c r="CH131">
        <v>488</v>
      </c>
      <c r="CI131">
        <v>25</v>
      </c>
      <c r="CJ131">
        <v>0.48</v>
      </c>
      <c r="CK131">
        <v>0.14</v>
      </c>
      <c r="CL131">
        <v>470.8645666666666</v>
      </c>
      <c r="CM131">
        <v>3.111590656284808</v>
      </c>
      <c r="CN131">
        <v>0.2314714789246334</v>
      </c>
      <c r="CO131">
        <v>-1</v>
      </c>
      <c r="CP131">
        <v>500.0081999999999</v>
      </c>
      <c r="CQ131">
        <v>-0.1633281423810587</v>
      </c>
      <c r="CR131">
        <v>0.03909168709585097</v>
      </c>
      <c r="CS131">
        <v>-1</v>
      </c>
      <c r="CT131">
        <v>0</v>
      </c>
      <c r="CU131">
        <v>0</v>
      </c>
      <c r="CV131" t="s">
        <v>333</v>
      </c>
      <c r="CW131">
        <v>3.17073</v>
      </c>
      <c r="CX131">
        <v>2.65879</v>
      </c>
      <c r="CY131">
        <v>0.109716</v>
      </c>
      <c r="CZ131">
        <v>0.110685</v>
      </c>
      <c r="DA131">
        <v>0.0752848</v>
      </c>
      <c r="DB131">
        <v>0.0714886</v>
      </c>
      <c r="DC131">
        <v>21311.6</v>
      </c>
      <c r="DD131">
        <v>21836.7</v>
      </c>
      <c r="DE131">
        <v>23054.3</v>
      </c>
      <c r="DF131">
        <v>22463.5</v>
      </c>
      <c r="DG131">
        <v>32219.5</v>
      </c>
      <c r="DH131">
        <v>29407.3</v>
      </c>
      <c r="DI131">
        <v>40537.9</v>
      </c>
      <c r="DJ131">
        <v>37172.6</v>
      </c>
      <c r="DK131">
        <v>2.0789</v>
      </c>
      <c r="DL131">
        <v>1.66122</v>
      </c>
      <c r="DM131">
        <v>-0.121403</v>
      </c>
      <c r="DN131">
        <v>0</v>
      </c>
      <c r="DO131">
        <v>27.3464</v>
      </c>
      <c r="DP131">
        <v>999.9</v>
      </c>
      <c r="DQ131">
        <v>46.9</v>
      </c>
      <c r="DR131">
        <v>34.6</v>
      </c>
      <c r="DS131">
        <v>25.8272</v>
      </c>
      <c r="DT131">
        <v>30.3565</v>
      </c>
      <c r="DU131">
        <v>12.8766</v>
      </c>
      <c r="DV131">
        <v>1</v>
      </c>
      <c r="DW131">
        <v>0.375083</v>
      </c>
      <c r="DX131">
        <v>3.28967</v>
      </c>
      <c r="DY131">
        <v>20.3271</v>
      </c>
      <c r="DZ131">
        <v>5.20962</v>
      </c>
      <c r="EA131">
        <v>11.8541</v>
      </c>
      <c r="EB131">
        <v>4.96776</v>
      </c>
      <c r="EC131">
        <v>3.29214</v>
      </c>
      <c r="ED131">
        <v>879.4</v>
      </c>
      <c r="EE131">
        <v>9999</v>
      </c>
      <c r="EF131">
        <v>9999</v>
      </c>
      <c r="EG131">
        <v>82</v>
      </c>
      <c r="EH131">
        <v>4.97159</v>
      </c>
      <c r="EI131">
        <v>1.87197</v>
      </c>
      <c r="EJ131">
        <v>1.8692</v>
      </c>
      <c r="EK131">
        <v>1.87164</v>
      </c>
      <c r="EL131">
        <v>1.86935</v>
      </c>
      <c r="EM131">
        <v>1.86829</v>
      </c>
      <c r="EN131">
        <v>1.87011</v>
      </c>
      <c r="EO131">
        <v>1.87183</v>
      </c>
      <c r="EP131">
        <v>0</v>
      </c>
      <c r="EQ131">
        <v>0</v>
      </c>
      <c r="ER131">
        <v>0</v>
      </c>
      <c r="ES131">
        <v>0</v>
      </c>
      <c r="ET131" t="s">
        <v>334</v>
      </c>
      <c r="EU131" t="s">
        <v>335</v>
      </c>
      <c r="EV131" t="s">
        <v>336</v>
      </c>
      <c r="EW131" t="s">
        <v>336</v>
      </c>
      <c r="EX131" t="s">
        <v>336</v>
      </c>
      <c r="EY131" t="s">
        <v>336</v>
      </c>
      <c r="EZ131">
        <v>0</v>
      </c>
      <c r="FA131">
        <v>100</v>
      </c>
      <c r="FB131">
        <v>100</v>
      </c>
      <c r="FC131">
        <v>6.496</v>
      </c>
      <c r="FD131">
        <v>0.0588</v>
      </c>
      <c r="FE131">
        <v>6.495476190476325</v>
      </c>
      <c r="FF131">
        <v>0</v>
      </c>
      <c r="FG131">
        <v>0</v>
      </c>
      <c r="FH131">
        <v>0</v>
      </c>
      <c r="FI131">
        <v>0.05881499999999917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115.3</v>
      </c>
      <c r="FR131">
        <v>115.5</v>
      </c>
      <c r="FS131">
        <v>0.142822</v>
      </c>
      <c r="FT131">
        <v>4.99756</v>
      </c>
      <c r="FU131">
        <v>1.5979</v>
      </c>
      <c r="FV131">
        <v>2.13623</v>
      </c>
      <c r="FW131">
        <v>1.54785</v>
      </c>
      <c r="FX131">
        <v>2.42432</v>
      </c>
      <c r="FY131">
        <v>40.5787</v>
      </c>
      <c r="FZ131">
        <v>15.7169</v>
      </c>
      <c r="GA131">
        <v>3</v>
      </c>
      <c r="GB131">
        <v>507.665</v>
      </c>
      <c r="GC131">
        <v>341.962</v>
      </c>
      <c r="GD131">
        <v>22.4004</v>
      </c>
      <c r="GE131">
        <v>31.8174</v>
      </c>
      <c r="GF131">
        <v>30.0004</v>
      </c>
      <c r="GG131">
        <v>31.6979</v>
      </c>
      <c r="GH131">
        <v>31.6878</v>
      </c>
      <c r="GI131">
        <v>-1</v>
      </c>
      <c r="GJ131">
        <v>100</v>
      </c>
      <c r="GK131">
        <v>0</v>
      </c>
      <c r="GL131">
        <v>22.3987</v>
      </c>
      <c r="GM131">
        <v>1200</v>
      </c>
      <c r="GN131">
        <v>26.7455</v>
      </c>
      <c r="GO131">
        <v>102.021</v>
      </c>
      <c r="GP131">
        <v>97.0514</v>
      </c>
    </row>
    <row r="132" spans="1:198">
      <c r="A132">
        <v>116</v>
      </c>
      <c r="B132">
        <v>1773275764.6</v>
      </c>
      <c r="C132">
        <v>6901</v>
      </c>
      <c r="D132" t="s">
        <v>565</v>
      </c>
      <c r="E132" t="s">
        <v>566</v>
      </c>
      <c r="F132">
        <v>15</v>
      </c>
      <c r="G132">
        <v>1773275756.599999</v>
      </c>
      <c r="H132">
        <f>(I132)/1000</f>
        <v>0</v>
      </c>
      <c r="I132">
        <f>1000*AY132*AG132*(AU132-AV132)/(100*AN132*(1000-AG132*AU132))</f>
        <v>0</v>
      </c>
      <c r="J132">
        <f>AY132*AG132*(AT132-AS132*(1000-AG132*AV132)/(1000-AG132*AU132))/(100*AN132)</f>
        <v>0</v>
      </c>
      <c r="K132">
        <f>AS132 - IF(AG132&gt;1, J132*AN132*100.0/(AI132), 0)</f>
        <v>0</v>
      </c>
      <c r="L132">
        <f>((R132-H132/2)*K132-J132)/(R132+H132/2)</f>
        <v>0</v>
      </c>
      <c r="M132">
        <f>L132*(AZ132+BA132)/1000.0</f>
        <v>0</v>
      </c>
      <c r="N132">
        <f>(AS132 - IF(AG132&gt;1, J132*AN132*100.0/(AI132), 0))*(AZ132+BA132)/1000.0</f>
        <v>0</v>
      </c>
      <c r="O132">
        <f>2.0/((1/Q132-1/P132)+SIGN(Q132)*SQRT((1/Q132-1/P132)*(1/Q132-1/P132) + 4*AO132/((AO132+1)*(AO132+1))*(2*1/Q132*1/P132-1/P132*1/P132)))</f>
        <v>0</v>
      </c>
      <c r="P132">
        <f>IF(LEFT(AP132,1)&lt;&gt;"0",IF(LEFT(AP132,1)="1",3.0,AQ132),$D$5+$E$5*(BG132*AZ132/($K$5*1000))+$F$5*(BG132*AZ132/($K$5*1000))*MAX(MIN(AN132,$J$5),$I$5)*MAX(MIN(AN132,$J$5),$I$5)+$G$5*MAX(MIN(AN132,$J$5),$I$5)*(BG132*AZ132/($K$5*1000))+$H$5*(BG132*AZ132/($K$5*1000))*(BG132*AZ132/($K$5*1000)))</f>
        <v>0</v>
      </c>
      <c r="Q132">
        <f>H132*(1000-(1000*0.61365*exp(17.502*U132/(240.97+U132))/(AZ132+BA132)+AU132)/2)/(1000*0.61365*exp(17.502*U132/(240.97+U132))/(AZ132+BA132)-AU132)</f>
        <v>0</v>
      </c>
      <c r="R132">
        <f>1/((AO132+1)/(O132/1.6)+1/(P132/1.37)) + AO132/((AO132+1)/(O132/1.6) + AO132/(P132/1.37))</f>
        <v>0</v>
      </c>
      <c r="S132">
        <f>(AJ132*AM132)</f>
        <v>0</v>
      </c>
      <c r="T132">
        <f>(BB132+(S132+2*0.95*5.67E-8*(((BB132+$B$7)+273)^4-(BB132+273)^4)-44100*H132)/(1.84*29.3*P132+8*0.95*5.67E-8*(BB132+273)^3))</f>
        <v>0</v>
      </c>
      <c r="U132">
        <f>($C$7*BC132+$D$7*BD132+$E$7*T132)</f>
        <v>0</v>
      </c>
      <c r="V132">
        <f>0.61365*exp(17.502*U132/(240.97+U132))</f>
        <v>0</v>
      </c>
      <c r="W132">
        <f>(X132/Y132*100)</f>
        <v>0</v>
      </c>
      <c r="X132">
        <f>AU132*(AZ132+BA132)/1000</f>
        <v>0</v>
      </c>
      <c r="Y132">
        <f>0.61365*exp(17.502*BB132/(240.97+BB132))</f>
        <v>0</v>
      </c>
      <c r="Z132">
        <f>(V132-AU132*(AZ132+BA132)/1000)</f>
        <v>0</v>
      </c>
      <c r="AA132">
        <f>(-H132*44100)</f>
        <v>0</v>
      </c>
      <c r="AB132">
        <f>2*29.3*P132*0.92*(BB132-U132)</f>
        <v>0</v>
      </c>
      <c r="AC132">
        <f>2*0.95*5.67E-8*(((BB132+$B$7)+273)^4-(U132+273)^4)</f>
        <v>0</v>
      </c>
      <c r="AD132">
        <f>S132+AC132+AA132+AB132</f>
        <v>0</v>
      </c>
      <c r="AE132">
        <v>0</v>
      </c>
      <c r="AF132">
        <v>0</v>
      </c>
      <c r="AG132">
        <f>IF(AE132*$H$13&gt;=AI132,1.0,(AI132/(AI132-AE132*$H$13)))</f>
        <v>0</v>
      </c>
      <c r="AH132">
        <f>(AG132-1)*100</f>
        <v>0</v>
      </c>
      <c r="AI132">
        <f>MAX(0,($B$13+$C$13*BG132)/(1+$D$13*BG132)*AZ132/(BB132+273)*$E$13)</f>
        <v>0</v>
      </c>
      <c r="AJ132">
        <f>$B$11*BH132+$C$11*BI132+$D$11*BT132</f>
        <v>0</v>
      </c>
      <c r="AK132">
        <f>AJ132*AL132</f>
        <v>0</v>
      </c>
      <c r="AL132">
        <f>($B$11*$D$9+$C$11*$D$9+$D$11*(BU132*$E$9+BV132*$G$9))/($B$11+$C$11+$D$11)</f>
        <v>0</v>
      </c>
      <c r="AM132">
        <f>($B$11*$K$9+$C$11*$K$9+$D$11*(BU132*$L$9+BV132*$N$9))/($B$11+$C$11+$D$11)</f>
        <v>0</v>
      </c>
      <c r="AN132">
        <v>3</v>
      </c>
      <c r="AO132">
        <v>0.5</v>
      </c>
      <c r="AP132" t="s">
        <v>331</v>
      </c>
      <c r="AQ132">
        <v>2</v>
      </c>
      <c r="AR132">
        <v>1773275756.599999</v>
      </c>
      <c r="AS132">
        <v>472.1580967741937</v>
      </c>
      <c r="AT132">
        <v>470.4010322580645</v>
      </c>
      <c r="AU132">
        <v>13.72671612903226</v>
      </c>
      <c r="AV132">
        <v>12.82465161290323</v>
      </c>
      <c r="AW132">
        <v>465.6626774193548</v>
      </c>
      <c r="AX132">
        <v>13.66789677419355</v>
      </c>
      <c r="AY132">
        <v>500.0041612903225</v>
      </c>
      <c r="AZ132">
        <v>100.3194838709677</v>
      </c>
      <c r="BA132">
        <v>0.03759908387096773</v>
      </c>
      <c r="BB132">
        <v>25.01165806451613</v>
      </c>
      <c r="BC132">
        <v>25.37133870967742</v>
      </c>
      <c r="BD132">
        <v>999.9000000000003</v>
      </c>
      <c r="BE132">
        <v>0</v>
      </c>
      <c r="BF132">
        <v>0</v>
      </c>
      <c r="BG132">
        <v>4999.451612903225</v>
      </c>
      <c r="BH132">
        <v>2.181007096774194</v>
      </c>
      <c r="BI132">
        <v>1110.462258064516</v>
      </c>
      <c r="BJ132">
        <v>1.757047741935484</v>
      </c>
      <c r="BK132">
        <v>478.7295806451613</v>
      </c>
      <c r="BL132">
        <v>476.5122580645161</v>
      </c>
      <c r="BM132">
        <v>0.9020661612903226</v>
      </c>
      <c r="BN132">
        <v>470.4010322580645</v>
      </c>
      <c r="BO132">
        <v>12.82465161290323</v>
      </c>
      <c r="BP132">
        <v>1.377056129032258</v>
      </c>
      <c r="BQ132">
        <v>1.286561935483871</v>
      </c>
      <c r="BR132">
        <v>11.66731290322581</v>
      </c>
      <c r="BS132">
        <v>10.64277096774194</v>
      </c>
      <c r="BT132">
        <v>0</v>
      </c>
      <c r="BU132">
        <v>0</v>
      </c>
      <c r="BV132">
        <v>0</v>
      </c>
      <c r="BW132">
        <v>30</v>
      </c>
      <c r="BX132">
        <v>56.70108387096775</v>
      </c>
      <c r="BY132">
        <v>1773268786.6</v>
      </c>
      <c r="BZ132" t="s">
        <v>332</v>
      </c>
      <c r="CA132">
        <v>1773268786.6</v>
      </c>
      <c r="CB132">
        <v>1773268774.1</v>
      </c>
      <c r="CC132">
        <v>2</v>
      </c>
      <c r="CD132">
        <v>0.264</v>
      </c>
      <c r="CE132">
        <v>-0.024</v>
      </c>
      <c r="CF132">
        <v>6.495</v>
      </c>
      <c r="CG132">
        <v>0.059</v>
      </c>
      <c r="CH132">
        <v>488</v>
      </c>
      <c r="CI132">
        <v>25</v>
      </c>
      <c r="CJ132">
        <v>0.48</v>
      </c>
      <c r="CK132">
        <v>0.14</v>
      </c>
      <c r="CL132">
        <v>470.4198666666667</v>
      </c>
      <c r="CM132">
        <v>-1.470700778643876</v>
      </c>
      <c r="CN132">
        <v>0.1067129274684604</v>
      </c>
      <c r="CO132">
        <v>-1</v>
      </c>
      <c r="CP132">
        <v>500.0037999999998</v>
      </c>
      <c r="CQ132">
        <v>0.2340734149063788</v>
      </c>
      <c r="CR132">
        <v>0.03096492639530333</v>
      </c>
      <c r="CS132">
        <v>-1</v>
      </c>
      <c r="CT132">
        <v>0</v>
      </c>
      <c r="CU132">
        <v>0</v>
      </c>
      <c r="CV132" t="s">
        <v>333</v>
      </c>
      <c r="CW132">
        <v>3.17082</v>
      </c>
      <c r="CX132">
        <v>2.65894</v>
      </c>
      <c r="CY132">
        <v>0.10959</v>
      </c>
      <c r="CZ132">
        <v>0.110458</v>
      </c>
      <c r="DA132">
        <v>0.0756151</v>
      </c>
      <c r="DB132">
        <v>0.0717965</v>
      </c>
      <c r="DC132">
        <v>21312.1</v>
      </c>
      <c r="DD132">
        <v>21839.9</v>
      </c>
      <c r="DE132">
        <v>23051.7</v>
      </c>
      <c r="DF132">
        <v>22461.2</v>
      </c>
      <c r="DG132">
        <v>32205</v>
      </c>
      <c r="DH132">
        <v>29394.3</v>
      </c>
      <c r="DI132">
        <v>40534.3</v>
      </c>
      <c r="DJ132">
        <v>37168.7</v>
      </c>
      <c r="DK132">
        <v>2.07852</v>
      </c>
      <c r="DL132">
        <v>1.66134</v>
      </c>
      <c r="DM132">
        <v>-0.124192</v>
      </c>
      <c r="DN132">
        <v>0</v>
      </c>
      <c r="DO132">
        <v>27.4083</v>
      </c>
      <c r="DP132">
        <v>999.9</v>
      </c>
      <c r="DQ132">
        <v>46.6</v>
      </c>
      <c r="DR132">
        <v>34.7</v>
      </c>
      <c r="DS132">
        <v>25.8054</v>
      </c>
      <c r="DT132">
        <v>30.2364</v>
      </c>
      <c r="DU132">
        <v>12.4439</v>
      </c>
      <c r="DV132">
        <v>1</v>
      </c>
      <c r="DW132">
        <v>0.380772</v>
      </c>
      <c r="DX132">
        <v>3.45959</v>
      </c>
      <c r="DY132">
        <v>20.3232</v>
      </c>
      <c r="DZ132">
        <v>5.2095</v>
      </c>
      <c r="EA132">
        <v>11.8534</v>
      </c>
      <c r="EB132">
        <v>4.96776</v>
      </c>
      <c r="EC132">
        <v>3.2921</v>
      </c>
      <c r="ED132">
        <v>879.4</v>
      </c>
      <c r="EE132">
        <v>9999</v>
      </c>
      <c r="EF132">
        <v>9999</v>
      </c>
      <c r="EG132">
        <v>82</v>
      </c>
      <c r="EH132">
        <v>4.9716</v>
      </c>
      <c r="EI132">
        <v>1.87197</v>
      </c>
      <c r="EJ132">
        <v>1.86921</v>
      </c>
      <c r="EK132">
        <v>1.87164</v>
      </c>
      <c r="EL132">
        <v>1.86936</v>
      </c>
      <c r="EM132">
        <v>1.86829</v>
      </c>
      <c r="EN132">
        <v>1.87011</v>
      </c>
      <c r="EO132">
        <v>1.87186</v>
      </c>
      <c r="EP132">
        <v>0</v>
      </c>
      <c r="EQ132">
        <v>0</v>
      </c>
      <c r="ER132">
        <v>0</v>
      </c>
      <c r="ES132">
        <v>0</v>
      </c>
      <c r="ET132" t="s">
        <v>334</v>
      </c>
      <c r="EU132" t="s">
        <v>335</v>
      </c>
      <c r="EV132" t="s">
        <v>336</v>
      </c>
      <c r="EW132" t="s">
        <v>336</v>
      </c>
      <c r="EX132" t="s">
        <v>336</v>
      </c>
      <c r="EY132" t="s">
        <v>336</v>
      </c>
      <c r="EZ132">
        <v>0</v>
      </c>
      <c r="FA132">
        <v>100</v>
      </c>
      <c r="FB132">
        <v>100</v>
      </c>
      <c r="FC132">
        <v>6.496</v>
      </c>
      <c r="FD132">
        <v>0.0588</v>
      </c>
      <c r="FE132">
        <v>6.495476190476325</v>
      </c>
      <c r="FF132">
        <v>0</v>
      </c>
      <c r="FG132">
        <v>0</v>
      </c>
      <c r="FH132">
        <v>0</v>
      </c>
      <c r="FI132">
        <v>0.05881499999999917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116.3</v>
      </c>
      <c r="FR132">
        <v>116.5</v>
      </c>
      <c r="FS132">
        <v>0.142822</v>
      </c>
      <c r="FT132">
        <v>4.99756</v>
      </c>
      <c r="FU132">
        <v>1.5979</v>
      </c>
      <c r="FV132">
        <v>2.13623</v>
      </c>
      <c r="FW132">
        <v>1.54785</v>
      </c>
      <c r="FX132">
        <v>2.44141</v>
      </c>
      <c r="FY132">
        <v>40.6554</v>
      </c>
      <c r="FZ132">
        <v>15.7081</v>
      </c>
      <c r="GA132">
        <v>3</v>
      </c>
      <c r="GB132">
        <v>507.855</v>
      </c>
      <c r="GC132">
        <v>342.311</v>
      </c>
      <c r="GD132">
        <v>22.3058</v>
      </c>
      <c r="GE132">
        <v>31.8752</v>
      </c>
      <c r="GF132">
        <v>30.0006</v>
      </c>
      <c r="GG132">
        <v>31.7525</v>
      </c>
      <c r="GH132">
        <v>31.7432</v>
      </c>
      <c r="GI132">
        <v>-1</v>
      </c>
      <c r="GJ132">
        <v>100</v>
      </c>
      <c r="GK132">
        <v>0</v>
      </c>
      <c r="GL132">
        <v>22.2888</v>
      </c>
      <c r="GM132">
        <v>1200</v>
      </c>
      <c r="GN132">
        <v>26.7455</v>
      </c>
      <c r="GO132">
        <v>102.011</v>
      </c>
      <c r="GP132">
        <v>97.04130000000001</v>
      </c>
    </row>
    <row r="133" spans="1:198">
      <c r="A133">
        <v>117</v>
      </c>
      <c r="B133">
        <v>1773275824.6</v>
      </c>
      <c r="C133">
        <v>6961</v>
      </c>
      <c r="D133" t="s">
        <v>567</v>
      </c>
      <c r="E133" t="s">
        <v>568</v>
      </c>
      <c r="F133">
        <v>15</v>
      </c>
      <c r="G133">
        <v>1773275816.599999</v>
      </c>
      <c r="H133">
        <f>(I133)/1000</f>
        <v>0</v>
      </c>
      <c r="I133">
        <f>1000*AY133*AG133*(AU133-AV133)/(100*AN133*(1000-AG133*AU133))</f>
        <v>0</v>
      </c>
      <c r="J133">
        <f>AY133*AG133*(AT133-AS133*(1000-AG133*AV133)/(1000-AG133*AU133))/(100*AN133)</f>
        <v>0</v>
      </c>
      <c r="K133">
        <f>AS133 - IF(AG133&gt;1, J133*AN133*100.0/(AI133), 0)</f>
        <v>0</v>
      </c>
      <c r="L133">
        <f>((R133-H133/2)*K133-J133)/(R133+H133/2)</f>
        <v>0</v>
      </c>
      <c r="M133">
        <f>L133*(AZ133+BA133)/1000.0</f>
        <v>0</v>
      </c>
      <c r="N133">
        <f>(AS133 - IF(AG133&gt;1, J133*AN133*100.0/(AI133), 0))*(AZ133+BA133)/1000.0</f>
        <v>0</v>
      </c>
      <c r="O133">
        <f>2.0/((1/Q133-1/P133)+SIGN(Q133)*SQRT((1/Q133-1/P133)*(1/Q133-1/P133) + 4*AO133/((AO133+1)*(AO133+1))*(2*1/Q133*1/P133-1/P133*1/P133)))</f>
        <v>0</v>
      </c>
      <c r="P133">
        <f>IF(LEFT(AP133,1)&lt;&gt;"0",IF(LEFT(AP133,1)="1",3.0,AQ133),$D$5+$E$5*(BG133*AZ133/($K$5*1000))+$F$5*(BG133*AZ133/($K$5*1000))*MAX(MIN(AN133,$J$5),$I$5)*MAX(MIN(AN133,$J$5),$I$5)+$G$5*MAX(MIN(AN133,$J$5),$I$5)*(BG133*AZ133/($K$5*1000))+$H$5*(BG133*AZ133/($K$5*1000))*(BG133*AZ133/($K$5*1000)))</f>
        <v>0</v>
      </c>
      <c r="Q133">
        <f>H133*(1000-(1000*0.61365*exp(17.502*U133/(240.97+U133))/(AZ133+BA133)+AU133)/2)/(1000*0.61365*exp(17.502*U133/(240.97+U133))/(AZ133+BA133)-AU133)</f>
        <v>0</v>
      </c>
      <c r="R133">
        <f>1/((AO133+1)/(O133/1.6)+1/(P133/1.37)) + AO133/((AO133+1)/(O133/1.6) + AO133/(P133/1.37))</f>
        <v>0</v>
      </c>
      <c r="S133">
        <f>(AJ133*AM133)</f>
        <v>0</v>
      </c>
      <c r="T133">
        <f>(BB133+(S133+2*0.95*5.67E-8*(((BB133+$B$7)+273)^4-(BB133+273)^4)-44100*H133)/(1.84*29.3*P133+8*0.95*5.67E-8*(BB133+273)^3))</f>
        <v>0</v>
      </c>
      <c r="U133">
        <f>($C$7*BC133+$D$7*BD133+$E$7*T133)</f>
        <v>0</v>
      </c>
      <c r="V133">
        <f>0.61365*exp(17.502*U133/(240.97+U133))</f>
        <v>0</v>
      </c>
      <c r="W133">
        <f>(X133/Y133*100)</f>
        <v>0</v>
      </c>
      <c r="X133">
        <f>AU133*(AZ133+BA133)/1000</f>
        <v>0</v>
      </c>
      <c r="Y133">
        <f>0.61365*exp(17.502*BB133/(240.97+BB133))</f>
        <v>0</v>
      </c>
      <c r="Z133">
        <f>(V133-AU133*(AZ133+BA133)/1000)</f>
        <v>0</v>
      </c>
      <c r="AA133">
        <f>(-H133*44100)</f>
        <v>0</v>
      </c>
      <c r="AB133">
        <f>2*29.3*P133*0.92*(BB133-U133)</f>
        <v>0</v>
      </c>
      <c r="AC133">
        <f>2*0.95*5.67E-8*(((BB133+$B$7)+273)^4-(U133+273)^4)</f>
        <v>0</v>
      </c>
      <c r="AD133">
        <f>S133+AC133+AA133+AB133</f>
        <v>0</v>
      </c>
      <c r="AE133">
        <v>0</v>
      </c>
      <c r="AF133">
        <v>0</v>
      </c>
      <c r="AG133">
        <f>IF(AE133*$H$13&gt;=AI133,1.0,(AI133/(AI133-AE133*$H$13)))</f>
        <v>0</v>
      </c>
      <c r="AH133">
        <f>(AG133-1)*100</f>
        <v>0</v>
      </c>
      <c r="AI133">
        <f>MAX(0,($B$13+$C$13*BG133)/(1+$D$13*BG133)*AZ133/(BB133+273)*$E$13)</f>
        <v>0</v>
      </c>
      <c r="AJ133">
        <f>$B$11*BH133+$C$11*BI133+$D$11*BT133</f>
        <v>0</v>
      </c>
      <c r="AK133">
        <f>AJ133*AL133</f>
        <v>0</v>
      </c>
      <c r="AL133">
        <f>($B$11*$D$9+$C$11*$D$9+$D$11*(BU133*$E$9+BV133*$G$9))/($B$11+$C$11+$D$11)</f>
        <v>0</v>
      </c>
      <c r="AM133">
        <f>($B$11*$K$9+$C$11*$K$9+$D$11*(BU133*$L$9+BV133*$N$9))/($B$11+$C$11+$D$11)</f>
        <v>0</v>
      </c>
      <c r="AN133">
        <v>3</v>
      </c>
      <c r="AO133">
        <v>0.5</v>
      </c>
      <c r="AP133" t="s">
        <v>331</v>
      </c>
      <c r="AQ133">
        <v>2</v>
      </c>
      <c r="AR133">
        <v>1773275816.599999</v>
      </c>
      <c r="AS133">
        <v>464.6892903225806</v>
      </c>
      <c r="AT133">
        <v>461.4845161290322</v>
      </c>
      <c r="AU133">
        <v>13.81165483870968</v>
      </c>
      <c r="AV133">
        <v>12.9031935483871</v>
      </c>
      <c r="AW133">
        <v>458.1938064516129</v>
      </c>
      <c r="AX133">
        <v>13.75284516129032</v>
      </c>
      <c r="AY133">
        <v>499.9964193548387</v>
      </c>
      <c r="AZ133">
        <v>100.3153225806451</v>
      </c>
      <c r="BA133">
        <v>0.03847773225806452</v>
      </c>
      <c r="BB133">
        <v>25.01207096774194</v>
      </c>
      <c r="BC133">
        <v>25.36833548387097</v>
      </c>
      <c r="BD133">
        <v>999.9000000000003</v>
      </c>
      <c r="BE133">
        <v>0</v>
      </c>
      <c r="BF133">
        <v>0</v>
      </c>
      <c r="BG133">
        <v>5000.645161290323</v>
      </c>
      <c r="BH133">
        <v>2.198113870967742</v>
      </c>
      <c r="BI133">
        <v>1139.62935483871</v>
      </c>
      <c r="BJ133">
        <v>3.204805806451614</v>
      </c>
      <c r="BK133">
        <v>471.1973225806451</v>
      </c>
      <c r="BL133">
        <v>467.5169032258065</v>
      </c>
      <c r="BM133">
        <v>0.9084765806451613</v>
      </c>
      <c r="BN133">
        <v>461.4845161290322</v>
      </c>
      <c r="BO133">
        <v>12.9031935483871</v>
      </c>
      <c r="BP133">
        <v>1.385524516129033</v>
      </c>
      <c r="BQ133">
        <v>1.294389354838709</v>
      </c>
      <c r="BR133">
        <v>11.7601064516129</v>
      </c>
      <c r="BS133">
        <v>10.73385161290323</v>
      </c>
      <c r="BT133">
        <v>0</v>
      </c>
      <c r="BU133">
        <v>0</v>
      </c>
      <c r="BV133">
        <v>0</v>
      </c>
      <c r="BW133">
        <v>30</v>
      </c>
      <c r="BX133">
        <v>57</v>
      </c>
      <c r="BY133">
        <v>1773268786.6</v>
      </c>
      <c r="BZ133" t="s">
        <v>332</v>
      </c>
      <c r="CA133">
        <v>1773268786.6</v>
      </c>
      <c r="CB133">
        <v>1773268774.1</v>
      </c>
      <c r="CC133">
        <v>2</v>
      </c>
      <c r="CD133">
        <v>0.264</v>
      </c>
      <c r="CE133">
        <v>-0.024</v>
      </c>
      <c r="CF133">
        <v>6.495</v>
      </c>
      <c r="CG133">
        <v>0.059</v>
      </c>
      <c r="CH133">
        <v>488</v>
      </c>
      <c r="CI133">
        <v>25</v>
      </c>
      <c r="CJ133">
        <v>0.48</v>
      </c>
      <c r="CK133">
        <v>0.14</v>
      </c>
      <c r="CL133">
        <v>461.5182580645161</v>
      </c>
      <c r="CM133">
        <v>-1.797677419354341</v>
      </c>
      <c r="CN133">
        <v>0.2090661213112395</v>
      </c>
      <c r="CO133">
        <v>-1</v>
      </c>
      <c r="CP133">
        <v>499.997129032258</v>
      </c>
      <c r="CQ133">
        <v>-0.02970967741932044</v>
      </c>
      <c r="CR133">
        <v>0.03142809708143326</v>
      </c>
      <c r="CS133">
        <v>-1</v>
      </c>
      <c r="CT133">
        <v>0</v>
      </c>
      <c r="CU133">
        <v>0</v>
      </c>
      <c r="CV133" t="s">
        <v>333</v>
      </c>
      <c r="CW133">
        <v>3.17079</v>
      </c>
      <c r="CX133">
        <v>2.65986</v>
      </c>
      <c r="CY133">
        <v>0.10809</v>
      </c>
      <c r="CZ133">
        <v>0.108814</v>
      </c>
      <c r="DA133">
        <v>0.0759447</v>
      </c>
      <c r="DB133">
        <v>0.07210220000000001</v>
      </c>
      <c r="DC133">
        <v>21345.1</v>
      </c>
      <c r="DD133">
        <v>21878.5</v>
      </c>
      <c r="DE133">
        <v>23048.9</v>
      </c>
      <c r="DF133">
        <v>22459.5</v>
      </c>
      <c r="DG133">
        <v>32189.6</v>
      </c>
      <c r="DH133">
        <v>29382.2</v>
      </c>
      <c r="DI133">
        <v>40529.5</v>
      </c>
      <c r="DJ133">
        <v>37165.8</v>
      </c>
      <c r="DK133">
        <v>2.0777</v>
      </c>
      <c r="DL133">
        <v>1.66032</v>
      </c>
      <c r="DM133">
        <v>-0.126433</v>
      </c>
      <c r="DN133">
        <v>0</v>
      </c>
      <c r="DO133">
        <v>27.426</v>
      </c>
      <c r="DP133">
        <v>999.9</v>
      </c>
      <c r="DQ133">
        <v>45.8</v>
      </c>
      <c r="DR133">
        <v>34.8</v>
      </c>
      <c r="DS133">
        <v>25.506</v>
      </c>
      <c r="DT133">
        <v>29.9664</v>
      </c>
      <c r="DU133">
        <v>12.492</v>
      </c>
      <c r="DV133">
        <v>1</v>
      </c>
      <c r="DW133">
        <v>0.38612</v>
      </c>
      <c r="DX133">
        <v>3.56929</v>
      </c>
      <c r="DY133">
        <v>20.3205</v>
      </c>
      <c r="DZ133">
        <v>5.21046</v>
      </c>
      <c r="EA133">
        <v>11.8536</v>
      </c>
      <c r="EB133">
        <v>4.96772</v>
      </c>
      <c r="EC133">
        <v>3.29206</v>
      </c>
      <c r="ED133">
        <v>879.4</v>
      </c>
      <c r="EE133">
        <v>9999</v>
      </c>
      <c r="EF133">
        <v>9999</v>
      </c>
      <c r="EG133">
        <v>82</v>
      </c>
      <c r="EH133">
        <v>4.9716</v>
      </c>
      <c r="EI133">
        <v>1.87197</v>
      </c>
      <c r="EJ133">
        <v>1.86921</v>
      </c>
      <c r="EK133">
        <v>1.87164</v>
      </c>
      <c r="EL133">
        <v>1.86935</v>
      </c>
      <c r="EM133">
        <v>1.86829</v>
      </c>
      <c r="EN133">
        <v>1.87012</v>
      </c>
      <c r="EO133">
        <v>1.87184</v>
      </c>
      <c r="EP133">
        <v>0</v>
      </c>
      <c r="EQ133">
        <v>0</v>
      </c>
      <c r="ER133">
        <v>0</v>
      </c>
      <c r="ES133">
        <v>0</v>
      </c>
      <c r="ET133" t="s">
        <v>334</v>
      </c>
      <c r="EU133" t="s">
        <v>335</v>
      </c>
      <c r="EV133" t="s">
        <v>336</v>
      </c>
      <c r="EW133" t="s">
        <v>336</v>
      </c>
      <c r="EX133" t="s">
        <v>336</v>
      </c>
      <c r="EY133" t="s">
        <v>336</v>
      </c>
      <c r="EZ133">
        <v>0</v>
      </c>
      <c r="FA133">
        <v>100</v>
      </c>
      <c r="FB133">
        <v>100</v>
      </c>
      <c r="FC133">
        <v>6.496</v>
      </c>
      <c r="FD133">
        <v>0.0588</v>
      </c>
      <c r="FE133">
        <v>6.495476190476325</v>
      </c>
      <c r="FF133">
        <v>0</v>
      </c>
      <c r="FG133">
        <v>0</v>
      </c>
      <c r="FH133">
        <v>0</v>
      </c>
      <c r="FI133">
        <v>0.05881499999999917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117.3</v>
      </c>
      <c r="FR133">
        <v>117.5</v>
      </c>
      <c r="FS133">
        <v>0.142822</v>
      </c>
      <c r="FT133">
        <v>4.99756</v>
      </c>
      <c r="FU133">
        <v>1.5979</v>
      </c>
      <c r="FV133">
        <v>2.13501</v>
      </c>
      <c r="FW133">
        <v>1.54785</v>
      </c>
      <c r="FX133">
        <v>2.44507</v>
      </c>
      <c r="FY133">
        <v>40.7323</v>
      </c>
      <c r="FZ133">
        <v>15.6993</v>
      </c>
      <c r="GA133">
        <v>3</v>
      </c>
      <c r="GB133">
        <v>507.794</v>
      </c>
      <c r="GC133">
        <v>342.066</v>
      </c>
      <c r="GD133">
        <v>22.1575</v>
      </c>
      <c r="GE133">
        <v>31.9357</v>
      </c>
      <c r="GF133">
        <v>30.0003</v>
      </c>
      <c r="GG133">
        <v>31.8088</v>
      </c>
      <c r="GH133">
        <v>31.7959</v>
      </c>
      <c r="GI133">
        <v>-1</v>
      </c>
      <c r="GJ133">
        <v>100</v>
      </c>
      <c r="GK133">
        <v>0</v>
      </c>
      <c r="GL133">
        <v>22.1491</v>
      </c>
      <c r="GM133">
        <v>1200</v>
      </c>
      <c r="GN133">
        <v>26.7455</v>
      </c>
      <c r="GO133">
        <v>101.999</v>
      </c>
      <c r="GP133">
        <v>97.0338</v>
      </c>
    </row>
    <row r="134" spans="1:198">
      <c r="A134">
        <v>118</v>
      </c>
      <c r="B134">
        <v>1773275884.6</v>
      </c>
      <c r="C134">
        <v>7021</v>
      </c>
      <c r="D134" t="s">
        <v>569</v>
      </c>
      <c r="E134" t="s">
        <v>570</v>
      </c>
      <c r="F134">
        <v>15</v>
      </c>
      <c r="G134">
        <v>1773275876.599999</v>
      </c>
      <c r="H134">
        <f>(I134)/1000</f>
        <v>0</v>
      </c>
      <c r="I134">
        <f>1000*AY134*AG134*(AU134-AV134)/(100*AN134*(1000-AG134*AU134))</f>
        <v>0</v>
      </c>
      <c r="J134">
        <f>AY134*AG134*(AT134-AS134*(1000-AG134*AV134)/(1000-AG134*AU134))/(100*AN134)</f>
        <v>0</v>
      </c>
      <c r="K134">
        <f>AS134 - IF(AG134&gt;1, J134*AN134*100.0/(AI134), 0)</f>
        <v>0</v>
      </c>
      <c r="L134">
        <f>((R134-H134/2)*K134-J134)/(R134+H134/2)</f>
        <v>0</v>
      </c>
      <c r="M134">
        <f>L134*(AZ134+BA134)/1000.0</f>
        <v>0</v>
      </c>
      <c r="N134">
        <f>(AS134 - IF(AG134&gt;1, J134*AN134*100.0/(AI134), 0))*(AZ134+BA134)/1000.0</f>
        <v>0</v>
      </c>
      <c r="O134">
        <f>2.0/((1/Q134-1/P134)+SIGN(Q134)*SQRT((1/Q134-1/P134)*(1/Q134-1/P134) + 4*AO134/((AO134+1)*(AO134+1))*(2*1/Q134*1/P134-1/P134*1/P134)))</f>
        <v>0</v>
      </c>
      <c r="P134">
        <f>IF(LEFT(AP134,1)&lt;&gt;"0",IF(LEFT(AP134,1)="1",3.0,AQ134),$D$5+$E$5*(BG134*AZ134/($K$5*1000))+$F$5*(BG134*AZ134/($K$5*1000))*MAX(MIN(AN134,$J$5),$I$5)*MAX(MIN(AN134,$J$5),$I$5)+$G$5*MAX(MIN(AN134,$J$5),$I$5)*(BG134*AZ134/($K$5*1000))+$H$5*(BG134*AZ134/($K$5*1000))*(BG134*AZ134/($K$5*1000)))</f>
        <v>0</v>
      </c>
      <c r="Q134">
        <f>H134*(1000-(1000*0.61365*exp(17.502*U134/(240.97+U134))/(AZ134+BA134)+AU134)/2)/(1000*0.61365*exp(17.502*U134/(240.97+U134))/(AZ134+BA134)-AU134)</f>
        <v>0</v>
      </c>
      <c r="R134">
        <f>1/((AO134+1)/(O134/1.6)+1/(P134/1.37)) + AO134/((AO134+1)/(O134/1.6) + AO134/(P134/1.37))</f>
        <v>0</v>
      </c>
      <c r="S134">
        <f>(AJ134*AM134)</f>
        <v>0</v>
      </c>
      <c r="T134">
        <f>(BB134+(S134+2*0.95*5.67E-8*(((BB134+$B$7)+273)^4-(BB134+273)^4)-44100*H134)/(1.84*29.3*P134+8*0.95*5.67E-8*(BB134+273)^3))</f>
        <v>0</v>
      </c>
      <c r="U134">
        <f>($C$7*BC134+$D$7*BD134+$E$7*T134)</f>
        <v>0</v>
      </c>
      <c r="V134">
        <f>0.61365*exp(17.502*U134/(240.97+U134))</f>
        <v>0</v>
      </c>
      <c r="W134">
        <f>(X134/Y134*100)</f>
        <v>0</v>
      </c>
      <c r="X134">
        <f>AU134*(AZ134+BA134)/1000</f>
        <v>0</v>
      </c>
      <c r="Y134">
        <f>0.61365*exp(17.502*BB134/(240.97+BB134))</f>
        <v>0</v>
      </c>
      <c r="Z134">
        <f>(V134-AU134*(AZ134+BA134)/1000)</f>
        <v>0</v>
      </c>
      <c r="AA134">
        <f>(-H134*44100)</f>
        <v>0</v>
      </c>
      <c r="AB134">
        <f>2*29.3*P134*0.92*(BB134-U134)</f>
        <v>0</v>
      </c>
      <c r="AC134">
        <f>2*0.95*5.67E-8*(((BB134+$B$7)+273)^4-(U134+273)^4)</f>
        <v>0</v>
      </c>
      <c r="AD134">
        <f>S134+AC134+AA134+AB134</f>
        <v>0</v>
      </c>
      <c r="AE134">
        <v>0</v>
      </c>
      <c r="AF134">
        <v>0</v>
      </c>
      <c r="AG134">
        <f>IF(AE134*$H$13&gt;=AI134,1.0,(AI134/(AI134-AE134*$H$13)))</f>
        <v>0</v>
      </c>
      <c r="AH134">
        <f>(AG134-1)*100</f>
        <v>0</v>
      </c>
      <c r="AI134">
        <f>MAX(0,($B$13+$C$13*BG134)/(1+$D$13*BG134)*AZ134/(BB134+273)*$E$13)</f>
        <v>0</v>
      </c>
      <c r="AJ134">
        <f>$B$11*BH134+$C$11*BI134+$D$11*BT134</f>
        <v>0</v>
      </c>
      <c r="AK134">
        <f>AJ134*AL134</f>
        <v>0</v>
      </c>
      <c r="AL134">
        <f>($B$11*$D$9+$C$11*$D$9+$D$11*(BU134*$E$9+BV134*$G$9))/($B$11+$C$11+$D$11)</f>
        <v>0</v>
      </c>
      <c r="AM134">
        <f>($B$11*$K$9+$C$11*$K$9+$D$11*(BU134*$L$9+BV134*$N$9))/($B$11+$C$11+$D$11)</f>
        <v>0</v>
      </c>
      <c r="AN134">
        <v>3</v>
      </c>
      <c r="AO134">
        <v>0.5</v>
      </c>
      <c r="AP134" t="s">
        <v>331</v>
      </c>
      <c r="AQ134">
        <v>2</v>
      </c>
      <c r="AR134">
        <v>1773275876.599999</v>
      </c>
      <c r="AS134">
        <v>461.1602903225806</v>
      </c>
      <c r="AT134">
        <v>460.1586129032257</v>
      </c>
      <c r="AU134">
        <v>13.87184193548387</v>
      </c>
      <c r="AV134">
        <v>12.94445483870968</v>
      </c>
      <c r="AW134">
        <v>454.6648064516129</v>
      </c>
      <c r="AX134">
        <v>13.81302258064516</v>
      </c>
      <c r="AY134">
        <v>500.0029032258064</v>
      </c>
      <c r="AZ134">
        <v>100.3167096774194</v>
      </c>
      <c r="BA134">
        <v>0.03792431935483871</v>
      </c>
      <c r="BB134">
        <v>24.99190967741936</v>
      </c>
      <c r="BC134">
        <v>25.30874193548387</v>
      </c>
      <c r="BD134">
        <v>999.9000000000003</v>
      </c>
      <c r="BE134">
        <v>0</v>
      </c>
      <c r="BF134">
        <v>0</v>
      </c>
      <c r="BG134">
        <v>5004.83870967742</v>
      </c>
      <c r="BH134">
        <v>2.203508709677419</v>
      </c>
      <c r="BI134">
        <v>1157.418709677419</v>
      </c>
      <c r="BJ134">
        <v>1.001717916129032</v>
      </c>
      <c r="BK134">
        <v>467.6473548387097</v>
      </c>
      <c r="BL134">
        <v>466.1930967741936</v>
      </c>
      <c r="BM134">
        <v>0.9273849999999999</v>
      </c>
      <c r="BN134">
        <v>460.1586129032257</v>
      </c>
      <c r="BO134">
        <v>12.94445483870968</v>
      </c>
      <c r="BP134">
        <v>1.391578387096774</v>
      </c>
      <c r="BQ134">
        <v>1.298546129032258</v>
      </c>
      <c r="BR134">
        <v>11.82617096774193</v>
      </c>
      <c r="BS134">
        <v>10.78203548387097</v>
      </c>
      <c r="BT134">
        <v>0</v>
      </c>
      <c r="BU134">
        <v>0</v>
      </c>
      <c r="BV134">
        <v>0</v>
      </c>
      <c r="BW134">
        <v>30</v>
      </c>
      <c r="BX134">
        <v>57</v>
      </c>
      <c r="BY134">
        <v>1773268786.6</v>
      </c>
      <c r="BZ134" t="s">
        <v>332</v>
      </c>
      <c r="CA134">
        <v>1773268786.6</v>
      </c>
      <c r="CB134">
        <v>1773268774.1</v>
      </c>
      <c r="CC134">
        <v>2</v>
      </c>
      <c r="CD134">
        <v>0.264</v>
      </c>
      <c r="CE134">
        <v>-0.024</v>
      </c>
      <c r="CF134">
        <v>6.495</v>
      </c>
      <c r="CG134">
        <v>0.059</v>
      </c>
      <c r="CH134">
        <v>488</v>
      </c>
      <c r="CI134">
        <v>25</v>
      </c>
      <c r="CJ134">
        <v>0.48</v>
      </c>
      <c r="CK134">
        <v>0.14</v>
      </c>
      <c r="CL134">
        <v>460.169870967742</v>
      </c>
      <c r="CM134">
        <v>-3.339145161291447</v>
      </c>
      <c r="CN134">
        <v>0.3265319963510462</v>
      </c>
      <c r="CO134">
        <v>-1</v>
      </c>
      <c r="CP134">
        <v>500.003935483871</v>
      </c>
      <c r="CQ134">
        <v>0.3417096774196127</v>
      </c>
      <c r="CR134">
        <v>0.04474583093491063</v>
      </c>
      <c r="CS134">
        <v>-1</v>
      </c>
      <c r="CT134">
        <v>0</v>
      </c>
      <c r="CU134">
        <v>0</v>
      </c>
      <c r="CV134" t="s">
        <v>333</v>
      </c>
      <c r="CW134">
        <v>3.17081</v>
      </c>
      <c r="CX134">
        <v>2.65922</v>
      </c>
      <c r="CY134">
        <v>0.107715</v>
      </c>
      <c r="CZ134">
        <v>0.108594</v>
      </c>
      <c r="DA134">
        <v>0.07618469999999999</v>
      </c>
      <c r="DB134">
        <v>0.0722653</v>
      </c>
      <c r="DC134">
        <v>21353.3</v>
      </c>
      <c r="DD134">
        <v>21883.9</v>
      </c>
      <c r="DE134">
        <v>23048.1</v>
      </c>
      <c r="DF134">
        <v>22459.7</v>
      </c>
      <c r="DG134">
        <v>32180.1</v>
      </c>
      <c r="DH134">
        <v>29376.9</v>
      </c>
      <c r="DI134">
        <v>40528.1</v>
      </c>
      <c r="DJ134">
        <v>37165.7</v>
      </c>
      <c r="DK134">
        <v>2.07776</v>
      </c>
      <c r="DL134">
        <v>1.65858</v>
      </c>
      <c r="DM134">
        <v>-0.122654</v>
      </c>
      <c r="DN134">
        <v>0</v>
      </c>
      <c r="DO134">
        <v>27.3148</v>
      </c>
      <c r="DP134">
        <v>999.9</v>
      </c>
      <c r="DQ134">
        <v>45.3</v>
      </c>
      <c r="DR134">
        <v>34.9</v>
      </c>
      <c r="DS134">
        <v>25.3674</v>
      </c>
      <c r="DT134">
        <v>30.0865</v>
      </c>
      <c r="DU134">
        <v>12.488</v>
      </c>
      <c r="DV134">
        <v>1</v>
      </c>
      <c r="DW134">
        <v>0.385705</v>
      </c>
      <c r="DX134">
        <v>3.29011</v>
      </c>
      <c r="DY134">
        <v>20.3276</v>
      </c>
      <c r="DZ134">
        <v>5.20974</v>
      </c>
      <c r="EA134">
        <v>11.854</v>
      </c>
      <c r="EB134">
        <v>4.96772</v>
      </c>
      <c r="EC134">
        <v>3.29218</v>
      </c>
      <c r="ED134">
        <v>879.4</v>
      </c>
      <c r="EE134">
        <v>9999</v>
      </c>
      <c r="EF134">
        <v>9999</v>
      </c>
      <c r="EG134">
        <v>82.09999999999999</v>
      </c>
      <c r="EH134">
        <v>4.97157</v>
      </c>
      <c r="EI134">
        <v>1.87195</v>
      </c>
      <c r="EJ134">
        <v>1.8692</v>
      </c>
      <c r="EK134">
        <v>1.87164</v>
      </c>
      <c r="EL134">
        <v>1.86935</v>
      </c>
      <c r="EM134">
        <v>1.86827</v>
      </c>
      <c r="EN134">
        <v>1.87011</v>
      </c>
      <c r="EO134">
        <v>1.87184</v>
      </c>
      <c r="EP134">
        <v>0</v>
      </c>
      <c r="EQ134">
        <v>0</v>
      </c>
      <c r="ER134">
        <v>0</v>
      </c>
      <c r="ES134">
        <v>0</v>
      </c>
      <c r="ET134" t="s">
        <v>334</v>
      </c>
      <c r="EU134" t="s">
        <v>335</v>
      </c>
      <c r="EV134" t="s">
        <v>336</v>
      </c>
      <c r="EW134" t="s">
        <v>336</v>
      </c>
      <c r="EX134" t="s">
        <v>336</v>
      </c>
      <c r="EY134" t="s">
        <v>336</v>
      </c>
      <c r="EZ134">
        <v>0</v>
      </c>
      <c r="FA134">
        <v>100</v>
      </c>
      <c r="FB134">
        <v>100</v>
      </c>
      <c r="FC134">
        <v>6.495</v>
      </c>
      <c r="FD134">
        <v>0.0588</v>
      </c>
      <c r="FE134">
        <v>6.495476190476325</v>
      </c>
      <c r="FF134">
        <v>0</v>
      </c>
      <c r="FG134">
        <v>0</v>
      </c>
      <c r="FH134">
        <v>0</v>
      </c>
      <c r="FI134">
        <v>0.05881499999999917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118.3</v>
      </c>
      <c r="FR134">
        <v>118.5</v>
      </c>
      <c r="FS134">
        <v>0.142822</v>
      </c>
      <c r="FT134">
        <v>4.99756</v>
      </c>
      <c r="FU134">
        <v>1.5979</v>
      </c>
      <c r="FV134">
        <v>2.13501</v>
      </c>
      <c r="FW134">
        <v>1.54785</v>
      </c>
      <c r="FX134">
        <v>2.41455</v>
      </c>
      <c r="FY134">
        <v>40.7837</v>
      </c>
      <c r="FZ134">
        <v>15.6993</v>
      </c>
      <c r="GA134">
        <v>3</v>
      </c>
      <c r="GB134">
        <v>508.034</v>
      </c>
      <c r="GC134">
        <v>341.311</v>
      </c>
      <c r="GD134">
        <v>22.3071</v>
      </c>
      <c r="GE134">
        <v>31.9536</v>
      </c>
      <c r="GF134">
        <v>30.0003</v>
      </c>
      <c r="GG134">
        <v>31.8356</v>
      </c>
      <c r="GH134">
        <v>31.8209</v>
      </c>
      <c r="GI134">
        <v>-1</v>
      </c>
      <c r="GJ134">
        <v>100</v>
      </c>
      <c r="GK134">
        <v>0</v>
      </c>
      <c r="GL134">
        <v>22.3088</v>
      </c>
      <c r="GM134">
        <v>1200</v>
      </c>
      <c r="GN134">
        <v>26.7455</v>
      </c>
      <c r="GO134">
        <v>101.996</v>
      </c>
      <c r="GP134">
        <v>97.0338</v>
      </c>
    </row>
    <row r="135" spans="1:198">
      <c r="A135">
        <v>119</v>
      </c>
      <c r="B135">
        <v>1773275944.6</v>
      </c>
      <c r="C135">
        <v>7081</v>
      </c>
      <c r="D135" t="s">
        <v>571</v>
      </c>
      <c r="E135" t="s">
        <v>572</v>
      </c>
      <c r="F135">
        <v>15</v>
      </c>
      <c r="G135">
        <v>1773275936.599999</v>
      </c>
      <c r="H135">
        <f>(I135)/1000</f>
        <v>0</v>
      </c>
      <c r="I135">
        <f>1000*AY135*AG135*(AU135-AV135)/(100*AN135*(1000-AG135*AU135))</f>
        <v>0</v>
      </c>
      <c r="J135">
        <f>AY135*AG135*(AT135-AS135*(1000-AG135*AV135)/(1000-AG135*AU135))/(100*AN135)</f>
        <v>0</v>
      </c>
      <c r="K135">
        <f>AS135 - IF(AG135&gt;1, J135*AN135*100.0/(AI135), 0)</f>
        <v>0</v>
      </c>
      <c r="L135">
        <f>((R135-H135/2)*K135-J135)/(R135+H135/2)</f>
        <v>0</v>
      </c>
      <c r="M135">
        <f>L135*(AZ135+BA135)/1000.0</f>
        <v>0</v>
      </c>
      <c r="N135">
        <f>(AS135 - IF(AG135&gt;1, J135*AN135*100.0/(AI135), 0))*(AZ135+BA135)/1000.0</f>
        <v>0</v>
      </c>
      <c r="O135">
        <f>2.0/((1/Q135-1/P135)+SIGN(Q135)*SQRT((1/Q135-1/P135)*(1/Q135-1/P135) + 4*AO135/((AO135+1)*(AO135+1))*(2*1/Q135*1/P135-1/P135*1/P135)))</f>
        <v>0</v>
      </c>
      <c r="P135">
        <f>IF(LEFT(AP135,1)&lt;&gt;"0",IF(LEFT(AP135,1)="1",3.0,AQ135),$D$5+$E$5*(BG135*AZ135/($K$5*1000))+$F$5*(BG135*AZ135/($K$5*1000))*MAX(MIN(AN135,$J$5),$I$5)*MAX(MIN(AN135,$J$5),$I$5)+$G$5*MAX(MIN(AN135,$J$5),$I$5)*(BG135*AZ135/($K$5*1000))+$H$5*(BG135*AZ135/($K$5*1000))*(BG135*AZ135/($K$5*1000)))</f>
        <v>0</v>
      </c>
      <c r="Q135">
        <f>H135*(1000-(1000*0.61365*exp(17.502*U135/(240.97+U135))/(AZ135+BA135)+AU135)/2)/(1000*0.61365*exp(17.502*U135/(240.97+U135))/(AZ135+BA135)-AU135)</f>
        <v>0</v>
      </c>
      <c r="R135">
        <f>1/((AO135+1)/(O135/1.6)+1/(P135/1.37)) + AO135/((AO135+1)/(O135/1.6) + AO135/(P135/1.37))</f>
        <v>0</v>
      </c>
      <c r="S135">
        <f>(AJ135*AM135)</f>
        <v>0</v>
      </c>
      <c r="T135">
        <f>(BB135+(S135+2*0.95*5.67E-8*(((BB135+$B$7)+273)^4-(BB135+273)^4)-44100*H135)/(1.84*29.3*P135+8*0.95*5.67E-8*(BB135+273)^3))</f>
        <v>0</v>
      </c>
      <c r="U135">
        <f>($C$7*BC135+$D$7*BD135+$E$7*T135)</f>
        <v>0</v>
      </c>
      <c r="V135">
        <f>0.61365*exp(17.502*U135/(240.97+U135))</f>
        <v>0</v>
      </c>
      <c r="W135">
        <f>(X135/Y135*100)</f>
        <v>0</v>
      </c>
      <c r="X135">
        <f>AU135*(AZ135+BA135)/1000</f>
        <v>0</v>
      </c>
      <c r="Y135">
        <f>0.61365*exp(17.502*BB135/(240.97+BB135))</f>
        <v>0</v>
      </c>
      <c r="Z135">
        <f>(V135-AU135*(AZ135+BA135)/1000)</f>
        <v>0</v>
      </c>
      <c r="AA135">
        <f>(-H135*44100)</f>
        <v>0</v>
      </c>
      <c r="AB135">
        <f>2*29.3*P135*0.92*(BB135-U135)</f>
        <v>0</v>
      </c>
      <c r="AC135">
        <f>2*0.95*5.67E-8*(((BB135+$B$7)+273)^4-(U135+273)^4)</f>
        <v>0</v>
      </c>
      <c r="AD135">
        <f>S135+AC135+AA135+AB135</f>
        <v>0</v>
      </c>
      <c r="AE135">
        <v>0</v>
      </c>
      <c r="AF135">
        <v>0</v>
      </c>
      <c r="AG135">
        <f>IF(AE135*$H$13&gt;=AI135,1.0,(AI135/(AI135-AE135*$H$13)))</f>
        <v>0</v>
      </c>
      <c r="AH135">
        <f>(AG135-1)*100</f>
        <v>0</v>
      </c>
      <c r="AI135">
        <f>MAX(0,($B$13+$C$13*BG135)/(1+$D$13*BG135)*AZ135/(BB135+273)*$E$13)</f>
        <v>0</v>
      </c>
      <c r="AJ135">
        <f>$B$11*BH135+$C$11*BI135+$D$11*BT135</f>
        <v>0</v>
      </c>
      <c r="AK135">
        <f>AJ135*AL135</f>
        <v>0</v>
      </c>
      <c r="AL135">
        <f>($B$11*$D$9+$C$11*$D$9+$D$11*(BU135*$E$9+BV135*$G$9))/($B$11+$C$11+$D$11)</f>
        <v>0</v>
      </c>
      <c r="AM135">
        <f>($B$11*$K$9+$C$11*$K$9+$D$11*(BU135*$L$9+BV135*$N$9))/($B$11+$C$11+$D$11)</f>
        <v>0</v>
      </c>
      <c r="AN135">
        <v>3</v>
      </c>
      <c r="AO135">
        <v>0.5</v>
      </c>
      <c r="AP135" t="s">
        <v>331</v>
      </c>
      <c r="AQ135">
        <v>2</v>
      </c>
      <c r="AR135">
        <v>1773275936.599999</v>
      </c>
      <c r="AS135">
        <v>457.1306774193548</v>
      </c>
      <c r="AT135">
        <v>456.5211290322581</v>
      </c>
      <c r="AU135">
        <v>13.92539677419355</v>
      </c>
      <c r="AV135">
        <v>12.97990967741936</v>
      </c>
      <c r="AW135">
        <v>450.6352903225806</v>
      </c>
      <c r="AX135">
        <v>13.86659032258065</v>
      </c>
      <c r="AY135">
        <v>499.9999999999999</v>
      </c>
      <c r="AZ135">
        <v>100.3178064516129</v>
      </c>
      <c r="BA135">
        <v>0.03759813870967741</v>
      </c>
      <c r="BB135">
        <v>24.9939935483871</v>
      </c>
      <c r="BC135">
        <v>25.29019032258065</v>
      </c>
      <c r="BD135">
        <v>999.9000000000003</v>
      </c>
      <c r="BE135">
        <v>0</v>
      </c>
      <c r="BF135">
        <v>0</v>
      </c>
      <c r="BG135">
        <v>4998</v>
      </c>
      <c r="BH135">
        <v>2.210290322580645</v>
      </c>
      <c r="BI135">
        <v>1174.167419354838</v>
      </c>
      <c r="BJ135">
        <v>0.6095531612903226</v>
      </c>
      <c r="BK135">
        <v>463.5862580645161</v>
      </c>
      <c r="BL135">
        <v>462.5246451612903</v>
      </c>
      <c r="BM135">
        <v>0.9454889677419355</v>
      </c>
      <c r="BN135">
        <v>456.5211290322581</v>
      </c>
      <c r="BO135">
        <v>12.97990967741936</v>
      </c>
      <c r="BP135">
        <v>1.396965806451613</v>
      </c>
      <c r="BQ135">
        <v>1.302116774193548</v>
      </c>
      <c r="BR135">
        <v>11.88473548387097</v>
      </c>
      <c r="BS135">
        <v>10.82330967741935</v>
      </c>
      <c r="BT135">
        <v>0</v>
      </c>
      <c r="BU135">
        <v>0</v>
      </c>
      <c r="BV135">
        <v>0</v>
      </c>
      <c r="BW135">
        <v>29.03332580645162</v>
      </c>
      <c r="BX135">
        <v>57</v>
      </c>
      <c r="BY135">
        <v>1773268786.6</v>
      </c>
      <c r="BZ135" t="s">
        <v>332</v>
      </c>
      <c r="CA135">
        <v>1773268786.6</v>
      </c>
      <c r="CB135">
        <v>1773268774.1</v>
      </c>
      <c r="CC135">
        <v>2</v>
      </c>
      <c r="CD135">
        <v>0.264</v>
      </c>
      <c r="CE135">
        <v>-0.024</v>
      </c>
      <c r="CF135">
        <v>6.495</v>
      </c>
      <c r="CG135">
        <v>0.059</v>
      </c>
      <c r="CH135">
        <v>488</v>
      </c>
      <c r="CI135">
        <v>25</v>
      </c>
      <c r="CJ135">
        <v>0.48</v>
      </c>
      <c r="CK135">
        <v>0.14</v>
      </c>
      <c r="CL135">
        <v>456.4419</v>
      </c>
      <c r="CM135">
        <v>7.72124582870011</v>
      </c>
      <c r="CN135">
        <v>0.5735545513142867</v>
      </c>
      <c r="CO135">
        <v>-1</v>
      </c>
      <c r="CP135">
        <v>500.0016666666667</v>
      </c>
      <c r="CQ135">
        <v>0.1761423804242012</v>
      </c>
      <c r="CR135">
        <v>0.0437480158280179</v>
      </c>
      <c r="CS135">
        <v>-1</v>
      </c>
      <c r="CT135">
        <v>0</v>
      </c>
      <c r="CU135">
        <v>0</v>
      </c>
      <c r="CV135" t="s">
        <v>333</v>
      </c>
      <c r="CW135">
        <v>3.17075</v>
      </c>
      <c r="CX135">
        <v>2.65911</v>
      </c>
      <c r="CY135">
        <v>0.107115</v>
      </c>
      <c r="CZ135">
        <v>0.108136</v>
      </c>
      <c r="DA135">
        <v>0.0764036</v>
      </c>
      <c r="DB135">
        <v>0.07241889999999999</v>
      </c>
      <c r="DC135">
        <v>21367.5</v>
      </c>
      <c r="DD135">
        <v>21895.4</v>
      </c>
      <c r="DE135">
        <v>23047.9</v>
      </c>
      <c r="DF135">
        <v>22459.9</v>
      </c>
      <c r="DG135">
        <v>32172.3</v>
      </c>
      <c r="DH135">
        <v>29372.4</v>
      </c>
      <c r="DI135">
        <v>40528</v>
      </c>
      <c r="DJ135">
        <v>37166.1</v>
      </c>
      <c r="DK135">
        <v>2.07778</v>
      </c>
      <c r="DL135">
        <v>1.65852</v>
      </c>
      <c r="DM135">
        <v>-0.118202</v>
      </c>
      <c r="DN135">
        <v>0</v>
      </c>
      <c r="DO135">
        <v>27.2273</v>
      </c>
      <c r="DP135">
        <v>999.9</v>
      </c>
      <c r="DQ135">
        <v>44.9</v>
      </c>
      <c r="DR135">
        <v>35</v>
      </c>
      <c r="DS135">
        <v>25.2792</v>
      </c>
      <c r="DT135">
        <v>30.1465</v>
      </c>
      <c r="DU135">
        <v>12.8606</v>
      </c>
      <c r="DV135">
        <v>1</v>
      </c>
      <c r="DW135">
        <v>0.384945</v>
      </c>
      <c r="DX135">
        <v>3.19039</v>
      </c>
      <c r="DY135">
        <v>20.3299</v>
      </c>
      <c r="DZ135">
        <v>5.20866</v>
      </c>
      <c r="EA135">
        <v>11.854</v>
      </c>
      <c r="EB135">
        <v>4.96776</v>
      </c>
      <c r="EC135">
        <v>3.2922</v>
      </c>
      <c r="ED135">
        <v>879.4</v>
      </c>
      <c r="EE135">
        <v>9999</v>
      </c>
      <c r="EF135">
        <v>9999</v>
      </c>
      <c r="EG135">
        <v>82.09999999999999</v>
      </c>
      <c r="EH135">
        <v>4.97157</v>
      </c>
      <c r="EI135">
        <v>1.87196</v>
      </c>
      <c r="EJ135">
        <v>1.8692</v>
      </c>
      <c r="EK135">
        <v>1.87164</v>
      </c>
      <c r="EL135">
        <v>1.86935</v>
      </c>
      <c r="EM135">
        <v>1.86829</v>
      </c>
      <c r="EN135">
        <v>1.87011</v>
      </c>
      <c r="EO135">
        <v>1.87184</v>
      </c>
      <c r="EP135">
        <v>0</v>
      </c>
      <c r="EQ135">
        <v>0</v>
      </c>
      <c r="ER135">
        <v>0</v>
      </c>
      <c r="ES135">
        <v>0</v>
      </c>
      <c r="ET135" t="s">
        <v>334</v>
      </c>
      <c r="EU135" t="s">
        <v>335</v>
      </c>
      <c r="EV135" t="s">
        <v>336</v>
      </c>
      <c r="EW135" t="s">
        <v>336</v>
      </c>
      <c r="EX135" t="s">
        <v>336</v>
      </c>
      <c r="EY135" t="s">
        <v>336</v>
      </c>
      <c r="EZ135">
        <v>0</v>
      </c>
      <c r="FA135">
        <v>100</v>
      </c>
      <c r="FB135">
        <v>100</v>
      </c>
      <c r="FC135">
        <v>6.495</v>
      </c>
      <c r="FD135">
        <v>0.0588</v>
      </c>
      <c r="FE135">
        <v>6.495476190476325</v>
      </c>
      <c r="FF135">
        <v>0</v>
      </c>
      <c r="FG135">
        <v>0</v>
      </c>
      <c r="FH135">
        <v>0</v>
      </c>
      <c r="FI135">
        <v>0.05881499999999917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119.3</v>
      </c>
      <c r="FR135">
        <v>119.5</v>
      </c>
      <c r="FS135">
        <v>0.142822</v>
      </c>
      <c r="FT135">
        <v>4.99756</v>
      </c>
      <c r="FU135">
        <v>1.5979</v>
      </c>
      <c r="FV135">
        <v>2.13257</v>
      </c>
      <c r="FW135">
        <v>1.54785</v>
      </c>
      <c r="FX135">
        <v>2.38647</v>
      </c>
      <c r="FY135">
        <v>40.7837</v>
      </c>
      <c r="FZ135">
        <v>15.6818</v>
      </c>
      <c r="GA135">
        <v>3</v>
      </c>
      <c r="GB135">
        <v>508.123</v>
      </c>
      <c r="GC135">
        <v>341.352</v>
      </c>
      <c r="GD135">
        <v>22.3524</v>
      </c>
      <c r="GE135">
        <v>31.9456</v>
      </c>
      <c r="GF135">
        <v>30</v>
      </c>
      <c r="GG135">
        <v>31.8456</v>
      </c>
      <c r="GH135">
        <v>31.8348</v>
      </c>
      <c r="GI135">
        <v>-1</v>
      </c>
      <c r="GJ135">
        <v>100</v>
      </c>
      <c r="GK135">
        <v>0</v>
      </c>
      <c r="GL135">
        <v>22.3602</v>
      </c>
      <c r="GM135">
        <v>1200</v>
      </c>
      <c r="GN135">
        <v>26.7455</v>
      </c>
      <c r="GO135">
        <v>101.995</v>
      </c>
      <c r="GP135">
        <v>97.0348</v>
      </c>
    </row>
    <row r="136" spans="1:198">
      <c r="A136">
        <v>120</v>
      </c>
      <c r="B136">
        <v>1773276004.6</v>
      </c>
      <c r="C136">
        <v>7141</v>
      </c>
      <c r="D136" t="s">
        <v>573</v>
      </c>
      <c r="E136" t="s">
        <v>574</v>
      </c>
      <c r="F136">
        <v>15</v>
      </c>
      <c r="G136">
        <v>1773275996.599999</v>
      </c>
      <c r="H136">
        <f>(I136)/1000</f>
        <v>0</v>
      </c>
      <c r="I136">
        <f>1000*AY136*AG136*(AU136-AV136)/(100*AN136*(1000-AG136*AU136))</f>
        <v>0</v>
      </c>
      <c r="J136">
        <f>AY136*AG136*(AT136-AS136*(1000-AG136*AV136)/(1000-AG136*AU136))/(100*AN136)</f>
        <v>0</v>
      </c>
      <c r="K136">
        <f>AS136 - IF(AG136&gt;1, J136*AN136*100.0/(AI136), 0)</f>
        <v>0</v>
      </c>
      <c r="L136">
        <f>((R136-H136/2)*K136-J136)/(R136+H136/2)</f>
        <v>0</v>
      </c>
      <c r="M136">
        <f>L136*(AZ136+BA136)/1000.0</f>
        <v>0</v>
      </c>
      <c r="N136">
        <f>(AS136 - IF(AG136&gt;1, J136*AN136*100.0/(AI136), 0))*(AZ136+BA136)/1000.0</f>
        <v>0</v>
      </c>
      <c r="O136">
        <f>2.0/((1/Q136-1/P136)+SIGN(Q136)*SQRT((1/Q136-1/P136)*(1/Q136-1/P136) + 4*AO136/((AO136+1)*(AO136+1))*(2*1/Q136*1/P136-1/P136*1/P136)))</f>
        <v>0</v>
      </c>
      <c r="P136">
        <f>IF(LEFT(AP136,1)&lt;&gt;"0",IF(LEFT(AP136,1)="1",3.0,AQ136),$D$5+$E$5*(BG136*AZ136/($K$5*1000))+$F$5*(BG136*AZ136/($K$5*1000))*MAX(MIN(AN136,$J$5),$I$5)*MAX(MIN(AN136,$J$5),$I$5)+$G$5*MAX(MIN(AN136,$J$5),$I$5)*(BG136*AZ136/($K$5*1000))+$H$5*(BG136*AZ136/($K$5*1000))*(BG136*AZ136/($K$5*1000)))</f>
        <v>0</v>
      </c>
      <c r="Q136">
        <f>H136*(1000-(1000*0.61365*exp(17.502*U136/(240.97+U136))/(AZ136+BA136)+AU136)/2)/(1000*0.61365*exp(17.502*U136/(240.97+U136))/(AZ136+BA136)-AU136)</f>
        <v>0</v>
      </c>
      <c r="R136">
        <f>1/((AO136+1)/(O136/1.6)+1/(P136/1.37)) + AO136/((AO136+1)/(O136/1.6) + AO136/(P136/1.37))</f>
        <v>0</v>
      </c>
      <c r="S136">
        <f>(AJ136*AM136)</f>
        <v>0</v>
      </c>
      <c r="T136">
        <f>(BB136+(S136+2*0.95*5.67E-8*(((BB136+$B$7)+273)^4-(BB136+273)^4)-44100*H136)/(1.84*29.3*P136+8*0.95*5.67E-8*(BB136+273)^3))</f>
        <v>0</v>
      </c>
      <c r="U136">
        <f>($C$7*BC136+$D$7*BD136+$E$7*T136)</f>
        <v>0</v>
      </c>
      <c r="V136">
        <f>0.61365*exp(17.502*U136/(240.97+U136))</f>
        <v>0</v>
      </c>
      <c r="W136">
        <f>(X136/Y136*100)</f>
        <v>0</v>
      </c>
      <c r="X136">
        <f>AU136*(AZ136+BA136)/1000</f>
        <v>0</v>
      </c>
      <c r="Y136">
        <f>0.61365*exp(17.502*BB136/(240.97+BB136))</f>
        <v>0</v>
      </c>
      <c r="Z136">
        <f>(V136-AU136*(AZ136+BA136)/1000)</f>
        <v>0</v>
      </c>
      <c r="AA136">
        <f>(-H136*44100)</f>
        <v>0</v>
      </c>
      <c r="AB136">
        <f>2*29.3*P136*0.92*(BB136-U136)</f>
        <v>0</v>
      </c>
      <c r="AC136">
        <f>2*0.95*5.67E-8*(((BB136+$B$7)+273)^4-(U136+273)^4)</f>
        <v>0</v>
      </c>
      <c r="AD136">
        <f>S136+AC136+AA136+AB136</f>
        <v>0</v>
      </c>
      <c r="AE136">
        <v>0</v>
      </c>
      <c r="AF136">
        <v>0</v>
      </c>
      <c r="AG136">
        <f>IF(AE136*$H$13&gt;=AI136,1.0,(AI136/(AI136-AE136*$H$13)))</f>
        <v>0</v>
      </c>
      <c r="AH136">
        <f>(AG136-1)*100</f>
        <v>0</v>
      </c>
      <c r="AI136">
        <f>MAX(0,($B$13+$C$13*BG136)/(1+$D$13*BG136)*AZ136/(BB136+273)*$E$13)</f>
        <v>0</v>
      </c>
      <c r="AJ136">
        <f>$B$11*BH136+$C$11*BI136+$D$11*BT136</f>
        <v>0</v>
      </c>
      <c r="AK136">
        <f>AJ136*AL136</f>
        <v>0</v>
      </c>
      <c r="AL136">
        <f>($B$11*$D$9+$C$11*$D$9+$D$11*(BU136*$E$9+BV136*$G$9))/($B$11+$C$11+$D$11)</f>
        <v>0</v>
      </c>
      <c r="AM136">
        <f>($B$11*$K$9+$C$11*$K$9+$D$11*(BU136*$L$9+BV136*$N$9))/($B$11+$C$11+$D$11)</f>
        <v>0</v>
      </c>
      <c r="AN136">
        <v>3</v>
      </c>
      <c r="AO136">
        <v>0.5</v>
      </c>
      <c r="AP136" t="s">
        <v>331</v>
      </c>
      <c r="AQ136">
        <v>2</v>
      </c>
      <c r="AR136">
        <v>1773275996.599999</v>
      </c>
      <c r="AS136">
        <v>460.8416451612904</v>
      </c>
      <c r="AT136">
        <v>460.1838064516128</v>
      </c>
      <c r="AU136">
        <v>13.97776774193549</v>
      </c>
      <c r="AV136">
        <v>13.01764838709678</v>
      </c>
      <c r="AW136">
        <v>454.346064516129</v>
      </c>
      <c r="AX136">
        <v>13.91894516129032</v>
      </c>
      <c r="AY136">
        <v>500.0233870967742</v>
      </c>
      <c r="AZ136">
        <v>100.3195161290323</v>
      </c>
      <c r="BA136">
        <v>0.03815602258064516</v>
      </c>
      <c r="BB136">
        <v>25.0072064516129</v>
      </c>
      <c r="BC136">
        <v>25.29914838709677</v>
      </c>
      <c r="BD136">
        <v>999.9000000000003</v>
      </c>
      <c r="BE136">
        <v>0</v>
      </c>
      <c r="BF136">
        <v>0</v>
      </c>
      <c r="BG136">
        <v>5006</v>
      </c>
      <c r="BH136">
        <v>2.211216129032258</v>
      </c>
      <c r="BI136">
        <v>1189.327419354838</v>
      </c>
      <c r="BJ136">
        <v>0.6578273548387097</v>
      </c>
      <c r="BK136">
        <v>467.3744838709678</v>
      </c>
      <c r="BL136">
        <v>466.2533870967743</v>
      </c>
      <c r="BM136">
        <v>0.960127677419355</v>
      </c>
      <c r="BN136">
        <v>460.1838064516128</v>
      </c>
      <c r="BO136">
        <v>13.01764838709678</v>
      </c>
      <c r="BP136">
        <v>1.402243225806452</v>
      </c>
      <c r="BQ136">
        <v>1.305923870967742</v>
      </c>
      <c r="BR136">
        <v>11.94191612903226</v>
      </c>
      <c r="BS136">
        <v>10.8671935483871</v>
      </c>
      <c r="BT136">
        <v>0</v>
      </c>
      <c r="BU136">
        <v>0</v>
      </c>
      <c r="BV136">
        <v>0</v>
      </c>
      <c r="BW136">
        <v>29.0999870967742</v>
      </c>
      <c r="BX136">
        <v>57.21829032258065</v>
      </c>
      <c r="BY136">
        <v>1773268786.6</v>
      </c>
      <c r="BZ136" t="s">
        <v>332</v>
      </c>
      <c r="CA136">
        <v>1773268786.6</v>
      </c>
      <c r="CB136">
        <v>1773268774.1</v>
      </c>
      <c r="CC136">
        <v>2</v>
      </c>
      <c r="CD136">
        <v>0.264</v>
      </c>
      <c r="CE136">
        <v>-0.024</v>
      </c>
      <c r="CF136">
        <v>6.495</v>
      </c>
      <c r="CG136">
        <v>0.059</v>
      </c>
      <c r="CH136">
        <v>488</v>
      </c>
      <c r="CI136">
        <v>25</v>
      </c>
      <c r="CJ136">
        <v>0.48</v>
      </c>
      <c r="CK136">
        <v>0.14</v>
      </c>
      <c r="CL136">
        <v>460.1108333333332</v>
      </c>
      <c r="CM136">
        <v>8.078122358174829</v>
      </c>
      <c r="CN136">
        <v>0.6142376349770725</v>
      </c>
      <c r="CO136">
        <v>-1</v>
      </c>
      <c r="CP136">
        <v>500.0270666666666</v>
      </c>
      <c r="CQ136">
        <v>0.07581757508252143</v>
      </c>
      <c r="CR136">
        <v>0.0241811680629546</v>
      </c>
      <c r="CS136">
        <v>-1</v>
      </c>
      <c r="CT136">
        <v>0</v>
      </c>
      <c r="CU136">
        <v>0</v>
      </c>
      <c r="CV136" t="s">
        <v>333</v>
      </c>
      <c r="CW136">
        <v>3.17081</v>
      </c>
      <c r="CX136">
        <v>2.65943</v>
      </c>
      <c r="CY136">
        <v>0.107765</v>
      </c>
      <c r="CZ136">
        <v>0.108743</v>
      </c>
      <c r="DA136">
        <v>0.0766095</v>
      </c>
      <c r="DB136">
        <v>0.0725682</v>
      </c>
      <c r="DC136">
        <v>21351.5</v>
      </c>
      <c r="DD136">
        <v>21879.8</v>
      </c>
      <c r="DE136">
        <v>23047.4</v>
      </c>
      <c r="DF136">
        <v>22459.2</v>
      </c>
      <c r="DG136">
        <v>32164.6</v>
      </c>
      <c r="DH136">
        <v>29366.9</v>
      </c>
      <c r="DI136">
        <v>40527.3</v>
      </c>
      <c r="DJ136">
        <v>37165.2</v>
      </c>
      <c r="DK136">
        <v>2.07774</v>
      </c>
      <c r="DL136">
        <v>1.6577</v>
      </c>
      <c r="DM136">
        <v>-0.117266</v>
      </c>
      <c r="DN136">
        <v>0</v>
      </c>
      <c r="DO136">
        <v>27.2097</v>
      </c>
      <c r="DP136">
        <v>999.9</v>
      </c>
      <c r="DQ136">
        <v>44.8</v>
      </c>
      <c r="DR136">
        <v>35.1</v>
      </c>
      <c r="DS136">
        <v>25.3632</v>
      </c>
      <c r="DT136">
        <v>29.8465</v>
      </c>
      <c r="DU136">
        <v>12.8405</v>
      </c>
      <c r="DV136">
        <v>1</v>
      </c>
      <c r="DW136">
        <v>0.385528</v>
      </c>
      <c r="DX136">
        <v>3.29168</v>
      </c>
      <c r="DY136">
        <v>20.3275</v>
      </c>
      <c r="DZ136">
        <v>5.20998</v>
      </c>
      <c r="EA136">
        <v>11.8528</v>
      </c>
      <c r="EB136">
        <v>4.96768</v>
      </c>
      <c r="EC136">
        <v>3.29212</v>
      </c>
      <c r="ED136">
        <v>879.4</v>
      </c>
      <c r="EE136">
        <v>9999</v>
      </c>
      <c r="EF136">
        <v>9999</v>
      </c>
      <c r="EG136">
        <v>82.09999999999999</v>
      </c>
      <c r="EH136">
        <v>4.97157</v>
      </c>
      <c r="EI136">
        <v>1.87196</v>
      </c>
      <c r="EJ136">
        <v>1.86922</v>
      </c>
      <c r="EK136">
        <v>1.87164</v>
      </c>
      <c r="EL136">
        <v>1.86935</v>
      </c>
      <c r="EM136">
        <v>1.86829</v>
      </c>
      <c r="EN136">
        <v>1.87008</v>
      </c>
      <c r="EO136">
        <v>1.87183</v>
      </c>
      <c r="EP136">
        <v>0</v>
      </c>
      <c r="EQ136">
        <v>0</v>
      </c>
      <c r="ER136">
        <v>0</v>
      </c>
      <c r="ES136">
        <v>0</v>
      </c>
      <c r="ET136" t="s">
        <v>334</v>
      </c>
      <c r="EU136" t="s">
        <v>335</v>
      </c>
      <c r="EV136" t="s">
        <v>336</v>
      </c>
      <c r="EW136" t="s">
        <v>336</v>
      </c>
      <c r="EX136" t="s">
        <v>336</v>
      </c>
      <c r="EY136" t="s">
        <v>336</v>
      </c>
      <c r="EZ136">
        <v>0</v>
      </c>
      <c r="FA136">
        <v>100</v>
      </c>
      <c r="FB136">
        <v>100</v>
      </c>
      <c r="FC136">
        <v>6.496</v>
      </c>
      <c r="FD136">
        <v>0.0588</v>
      </c>
      <c r="FE136">
        <v>6.495476190476325</v>
      </c>
      <c r="FF136">
        <v>0</v>
      </c>
      <c r="FG136">
        <v>0</v>
      </c>
      <c r="FH136">
        <v>0</v>
      </c>
      <c r="FI136">
        <v>0.05881499999999917</v>
      </c>
      <c r="FJ136">
        <v>0</v>
      </c>
      <c r="FK136">
        <v>0</v>
      </c>
      <c r="FL136">
        <v>0</v>
      </c>
      <c r="FM136">
        <v>-1</v>
      </c>
      <c r="FN136">
        <v>-1</v>
      </c>
      <c r="FO136">
        <v>-1</v>
      </c>
      <c r="FP136">
        <v>-1</v>
      </c>
      <c r="FQ136">
        <v>120.3</v>
      </c>
      <c r="FR136">
        <v>120.5</v>
      </c>
      <c r="FS136">
        <v>0.142822</v>
      </c>
      <c r="FT136">
        <v>4.99756</v>
      </c>
      <c r="FU136">
        <v>1.5979</v>
      </c>
      <c r="FV136">
        <v>2.13379</v>
      </c>
      <c r="FW136">
        <v>1.54785</v>
      </c>
      <c r="FX136">
        <v>2.45361</v>
      </c>
      <c r="FY136">
        <v>40.7837</v>
      </c>
      <c r="FZ136">
        <v>15.6731</v>
      </c>
      <c r="GA136">
        <v>3</v>
      </c>
      <c r="GB136">
        <v>508.183</v>
      </c>
      <c r="GC136">
        <v>341.016</v>
      </c>
      <c r="GD136">
        <v>22.3074</v>
      </c>
      <c r="GE136">
        <v>31.9452</v>
      </c>
      <c r="GF136">
        <v>30</v>
      </c>
      <c r="GG136">
        <v>31.8567</v>
      </c>
      <c r="GH136">
        <v>31.8504</v>
      </c>
      <c r="GI136">
        <v>-1</v>
      </c>
      <c r="GJ136">
        <v>100</v>
      </c>
      <c r="GK136">
        <v>0</v>
      </c>
      <c r="GL136">
        <v>22.3033</v>
      </c>
      <c r="GM136">
        <v>1200</v>
      </c>
      <c r="GN136">
        <v>26.7455</v>
      </c>
      <c r="GO136">
        <v>101.993</v>
      </c>
      <c r="GP136">
        <v>97.0322</v>
      </c>
    </row>
    <row r="137" spans="1:198">
      <c r="A137">
        <v>121</v>
      </c>
      <c r="B137">
        <v>1773276064.6</v>
      </c>
      <c r="C137">
        <v>7201</v>
      </c>
      <c r="D137" t="s">
        <v>575</v>
      </c>
      <c r="E137" t="s">
        <v>576</v>
      </c>
      <c r="F137">
        <v>15</v>
      </c>
      <c r="G137">
        <v>1773276056.599999</v>
      </c>
      <c r="H137">
        <f>(I137)/1000</f>
        <v>0</v>
      </c>
      <c r="I137">
        <f>1000*AY137*AG137*(AU137-AV137)/(100*AN137*(1000-AG137*AU137))</f>
        <v>0</v>
      </c>
      <c r="J137">
        <f>AY137*AG137*(AT137-AS137*(1000-AG137*AV137)/(1000-AG137*AU137))/(100*AN137)</f>
        <v>0</v>
      </c>
      <c r="K137">
        <f>AS137 - IF(AG137&gt;1, J137*AN137*100.0/(AI137), 0)</f>
        <v>0</v>
      </c>
      <c r="L137">
        <f>((R137-H137/2)*K137-J137)/(R137+H137/2)</f>
        <v>0</v>
      </c>
      <c r="M137">
        <f>L137*(AZ137+BA137)/1000.0</f>
        <v>0</v>
      </c>
      <c r="N137">
        <f>(AS137 - IF(AG137&gt;1, J137*AN137*100.0/(AI137), 0))*(AZ137+BA137)/1000.0</f>
        <v>0</v>
      </c>
      <c r="O137">
        <f>2.0/((1/Q137-1/P137)+SIGN(Q137)*SQRT((1/Q137-1/P137)*(1/Q137-1/P137) + 4*AO137/((AO137+1)*(AO137+1))*(2*1/Q137*1/P137-1/P137*1/P137)))</f>
        <v>0</v>
      </c>
      <c r="P137">
        <f>IF(LEFT(AP137,1)&lt;&gt;"0",IF(LEFT(AP137,1)="1",3.0,AQ137),$D$5+$E$5*(BG137*AZ137/($K$5*1000))+$F$5*(BG137*AZ137/($K$5*1000))*MAX(MIN(AN137,$J$5),$I$5)*MAX(MIN(AN137,$J$5),$I$5)+$G$5*MAX(MIN(AN137,$J$5),$I$5)*(BG137*AZ137/($K$5*1000))+$H$5*(BG137*AZ137/($K$5*1000))*(BG137*AZ137/($K$5*1000)))</f>
        <v>0</v>
      </c>
      <c r="Q137">
        <f>H137*(1000-(1000*0.61365*exp(17.502*U137/(240.97+U137))/(AZ137+BA137)+AU137)/2)/(1000*0.61365*exp(17.502*U137/(240.97+U137))/(AZ137+BA137)-AU137)</f>
        <v>0</v>
      </c>
      <c r="R137">
        <f>1/((AO137+1)/(O137/1.6)+1/(P137/1.37)) + AO137/((AO137+1)/(O137/1.6) + AO137/(P137/1.37))</f>
        <v>0</v>
      </c>
      <c r="S137">
        <f>(AJ137*AM137)</f>
        <v>0</v>
      </c>
      <c r="T137">
        <f>(BB137+(S137+2*0.95*5.67E-8*(((BB137+$B$7)+273)^4-(BB137+273)^4)-44100*H137)/(1.84*29.3*P137+8*0.95*5.67E-8*(BB137+273)^3))</f>
        <v>0</v>
      </c>
      <c r="U137">
        <f>($C$7*BC137+$D$7*BD137+$E$7*T137)</f>
        <v>0</v>
      </c>
      <c r="V137">
        <f>0.61365*exp(17.502*U137/(240.97+U137))</f>
        <v>0</v>
      </c>
      <c r="W137">
        <f>(X137/Y137*100)</f>
        <v>0</v>
      </c>
      <c r="X137">
        <f>AU137*(AZ137+BA137)/1000</f>
        <v>0</v>
      </c>
      <c r="Y137">
        <f>0.61365*exp(17.502*BB137/(240.97+BB137))</f>
        <v>0</v>
      </c>
      <c r="Z137">
        <f>(V137-AU137*(AZ137+BA137)/1000)</f>
        <v>0</v>
      </c>
      <c r="AA137">
        <f>(-H137*44100)</f>
        <v>0</v>
      </c>
      <c r="AB137">
        <f>2*29.3*P137*0.92*(BB137-U137)</f>
        <v>0</v>
      </c>
      <c r="AC137">
        <f>2*0.95*5.67E-8*(((BB137+$B$7)+273)^4-(U137+273)^4)</f>
        <v>0</v>
      </c>
      <c r="AD137">
        <f>S137+AC137+AA137+AB137</f>
        <v>0</v>
      </c>
      <c r="AE137">
        <v>0</v>
      </c>
      <c r="AF137">
        <v>0</v>
      </c>
      <c r="AG137">
        <f>IF(AE137*$H$13&gt;=AI137,1.0,(AI137/(AI137-AE137*$H$13)))</f>
        <v>0</v>
      </c>
      <c r="AH137">
        <f>(AG137-1)*100</f>
        <v>0</v>
      </c>
      <c r="AI137">
        <f>MAX(0,($B$13+$C$13*BG137)/(1+$D$13*BG137)*AZ137/(BB137+273)*$E$13)</f>
        <v>0</v>
      </c>
      <c r="AJ137">
        <f>$B$11*BH137+$C$11*BI137+$D$11*BT137</f>
        <v>0</v>
      </c>
      <c r="AK137">
        <f>AJ137*AL137</f>
        <v>0</v>
      </c>
      <c r="AL137">
        <f>($B$11*$D$9+$C$11*$D$9+$D$11*(BU137*$E$9+BV137*$G$9))/($B$11+$C$11+$D$11)</f>
        <v>0</v>
      </c>
      <c r="AM137">
        <f>($B$11*$K$9+$C$11*$K$9+$D$11*(BU137*$L$9+BV137*$N$9))/($B$11+$C$11+$D$11)</f>
        <v>0</v>
      </c>
      <c r="AN137">
        <v>3</v>
      </c>
      <c r="AO137">
        <v>0.5</v>
      </c>
      <c r="AP137" t="s">
        <v>331</v>
      </c>
      <c r="AQ137">
        <v>2</v>
      </c>
      <c r="AR137">
        <v>1773276056.599999</v>
      </c>
      <c r="AS137">
        <v>462.844</v>
      </c>
      <c r="AT137">
        <v>461.8389677419354</v>
      </c>
      <c r="AU137">
        <v>14.01415161290323</v>
      </c>
      <c r="AV137">
        <v>13.03890322580645</v>
      </c>
      <c r="AW137">
        <v>456.3485806451612</v>
      </c>
      <c r="AX137">
        <v>13.95533870967742</v>
      </c>
      <c r="AY137">
        <v>500.0062903225806</v>
      </c>
      <c r="AZ137">
        <v>100.3209032258064</v>
      </c>
      <c r="BA137">
        <v>0.03844484838709677</v>
      </c>
      <c r="BB137">
        <v>25.00744516129032</v>
      </c>
      <c r="BC137">
        <v>25.26296451612904</v>
      </c>
      <c r="BD137">
        <v>999.9000000000003</v>
      </c>
      <c r="BE137">
        <v>0</v>
      </c>
      <c r="BF137">
        <v>0</v>
      </c>
      <c r="BG137">
        <v>4999.354838709677</v>
      </c>
      <c r="BH137">
        <v>2.216456774193548</v>
      </c>
      <c r="BI137">
        <v>1199.53870967742</v>
      </c>
      <c r="BJ137">
        <v>1.005190419354839</v>
      </c>
      <c r="BK137">
        <v>469.4225483870969</v>
      </c>
      <c r="BL137">
        <v>467.9402903225807</v>
      </c>
      <c r="BM137">
        <v>0.9752445161290321</v>
      </c>
      <c r="BN137">
        <v>461.8389677419354</v>
      </c>
      <c r="BO137">
        <v>13.03890322580645</v>
      </c>
      <c r="BP137">
        <v>1.405912903225806</v>
      </c>
      <c r="BQ137">
        <v>1.308074838709677</v>
      </c>
      <c r="BR137">
        <v>11.98155806451613</v>
      </c>
      <c r="BS137">
        <v>10.89197096774194</v>
      </c>
      <c r="BT137">
        <v>0</v>
      </c>
      <c r="BU137">
        <v>0</v>
      </c>
      <c r="BV137">
        <v>0</v>
      </c>
      <c r="BW137">
        <v>29</v>
      </c>
      <c r="BX137">
        <v>57.90215161290322</v>
      </c>
      <c r="BY137">
        <v>1773268786.6</v>
      </c>
      <c r="BZ137" t="s">
        <v>332</v>
      </c>
      <c r="CA137">
        <v>1773268786.6</v>
      </c>
      <c r="CB137">
        <v>1773268774.1</v>
      </c>
      <c r="CC137">
        <v>2</v>
      </c>
      <c r="CD137">
        <v>0.264</v>
      </c>
      <c r="CE137">
        <v>-0.024</v>
      </c>
      <c r="CF137">
        <v>6.495</v>
      </c>
      <c r="CG137">
        <v>0.059</v>
      </c>
      <c r="CH137">
        <v>488</v>
      </c>
      <c r="CI137">
        <v>25</v>
      </c>
      <c r="CJ137">
        <v>0.48</v>
      </c>
      <c r="CK137">
        <v>0.14</v>
      </c>
      <c r="CL137">
        <v>461.8546999999999</v>
      </c>
      <c r="CM137">
        <v>6.248889877642415</v>
      </c>
      <c r="CN137">
        <v>0.4588528558626767</v>
      </c>
      <c r="CO137">
        <v>-1</v>
      </c>
      <c r="CP137">
        <v>500.0061999999999</v>
      </c>
      <c r="CQ137">
        <v>-0.4966585094551434</v>
      </c>
      <c r="CR137">
        <v>0.04757758575912752</v>
      </c>
      <c r="CS137">
        <v>-1</v>
      </c>
      <c r="CT137">
        <v>0</v>
      </c>
      <c r="CU137">
        <v>0</v>
      </c>
      <c r="CV137" t="s">
        <v>333</v>
      </c>
      <c r="CW137">
        <v>3.17077</v>
      </c>
      <c r="CX137">
        <v>2.66012</v>
      </c>
      <c r="CY137">
        <v>0.108071</v>
      </c>
      <c r="CZ137">
        <v>0.109112</v>
      </c>
      <c r="DA137">
        <v>0.07675460000000001</v>
      </c>
      <c r="DB137">
        <v>0.0726503</v>
      </c>
      <c r="DC137">
        <v>21344.4</v>
      </c>
      <c r="DD137">
        <v>21871.3</v>
      </c>
      <c r="DE137">
        <v>23047.6</v>
      </c>
      <c r="DF137">
        <v>22459.7</v>
      </c>
      <c r="DG137">
        <v>32159.9</v>
      </c>
      <c r="DH137">
        <v>29365</v>
      </c>
      <c r="DI137">
        <v>40527.7</v>
      </c>
      <c r="DJ137">
        <v>37166.1</v>
      </c>
      <c r="DK137">
        <v>2.0778</v>
      </c>
      <c r="DL137">
        <v>1.65674</v>
      </c>
      <c r="DM137">
        <v>-0.115407</v>
      </c>
      <c r="DN137">
        <v>0</v>
      </c>
      <c r="DO137">
        <v>27.1475</v>
      </c>
      <c r="DP137">
        <v>999.9</v>
      </c>
      <c r="DQ137">
        <v>44.6</v>
      </c>
      <c r="DR137">
        <v>35.1</v>
      </c>
      <c r="DS137">
        <v>25.2497</v>
      </c>
      <c r="DT137">
        <v>30.4765</v>
      </c>
      <c r="DU137">
        <v>12.8285</v>
      </c>
      <c r="DV137">
        <v>1</v>
      </c>
      <c r="DW137">
        <v>0.385459</v>
      </c>
      <c r="DX137">
        <v>3.36692</v>
      </c>
      <c r="DY137">
        <v>20.3261</v>
      </c>
      <c r="DZ137">
        <v>5.21022</v>
      </c>
      <c r="EA137">
        <v>11.854</v>
      </c>
      <c r="EB137">
        <v>4.96776</v>
      </c>
      <c r="EC137">
        <v>3.29216</v>
      </c>
      <c r="ED137">
        <v>879.4</v>
      </c>
      <c r="EE137">
        <v>9999</v>
      </c>
      <c r="EF137">
        <v>9999</v>
      </c>
      <c r="EG137">
        <v>82.09999999999999</v>
      </c>
      <c r="EH137">
        <v>4.9716</v>
      </c>
      <c r="EI137">
        <v>1.87196</v>
      </c>
      <c r="EJ137">
        <v>1.8692</v>
      </c>
      <c r="EK137">
        <v>1.87164</v>
      </c>
      <c r="EL137">
        <v>1.86935</v>
      </c>
      <c r="EM137">
        <v>1.86829</v>
      </c>
      <c r="EN137">
        <v>1.87011</v>
      </c>
      <c r="EO137">
        <v>1.87184</v>
      </c>
      <c r="EP137">
        <v>0</v>
      </c>
      <c r="EQ137">
        <v>0</v>
      </c>
      <c r="ER137">
        <v>0</v>
      </c>
      <c r="ES137">
        <v>0</v>
      </c>
      <c r="ET137" t="s">
        <v>334</v>
      </c>
      <c r="EU137" t="s">
        <v>335</v>
      </c>
      <c r="EV137" t="s">
        <v>336</v>
      </c>
      <c r="EW137" t="s">
        <v>336</v>
      </c>
      <c r="EX137" t="s">
        <v>336</v>
      </c>
      <c r="EY137" t="s">
        <v>336</v>
      </c>
      <c r="EZ137">
        <v>0</v>
      </c>
      <c r="FA137">
        <v>100</v>
      </c>
      <c r="FB137">
        <v>100</v>
      </c>
      <c r="FC137">
        <v>6.495</v>
      </c>
      <c r="FD137">
        <v>0.0589</v>
      </c>
      <c r="FE137">
        <v>6.495476190476325</v>
      </c>
      <c r="FF137">
        <v>0</v>
      </c>
      <c r="FG137">
        <v>0</v>
      </c>
      <c r="FH137">
        <v>0</v>
      </c>
      <c r="FI137">
        <v>0.05881499999999917</v>
      </c>
      <c r="FJ137">
        <v>0</v>
      </c>
      <c r="FK137">
        <v>0</v>
      </c>
      <c r="FL137">
        <v>0</v>
      </c>
      <c r="FM137">
        <v>-1</v>
      </c>
      <c r="FN137">
        <v>-1</v>
      </c>
      <c r="FO137">
        <v>-1</v>
      </c>
      <c r="FP137">
        <v>-1</v>
      </c>
      <c r="FQ137">
        <v>121.3</v>
      </c>
      <c r="FR137">
        <v>121.5</v>
      </c>
      <c r="FS137">
        <v>0.142822</v>
      </c>
      <c r="FT137">
        <v>4.99756</v>
      </c>
      <c r="FU137">
        <v>1.5979</v>
      </c>
      <c r="FV137">
        <v>2.13257</v>
      </c>
      <c r="FW137">
        <v>1.54785</v>
      </c>
      <c r="FX137">
        <v>2.34009</v>
      </c>
      <c r="FY137">
        <v>40.7837</v>
      </c>
      <c r="FZ137">
        <v>15.6643</v>
      </c>
      <c r="GA137">
        <v>3</v>
      </c>
      <c r="GB137">
        <v>508.241</v>
      </c>
      <c r="GC137">
        <v>340.544</v>
      </c>
      <c r="GD137">
        <v>22.2257</v>
      </c>
      <c r="GE137">
        <v>31.9378</v>
      </c>
      <c r="GF137">
        <v>30</v>
      </c>
      <c r="GG137">
        <v>31.8595</v>
      </c>
      <c r="GH137">
        <v>31.8532</v>
      </c>
      <c r="GI137">
        <v>-1</v>
      </c>
      <c r="GJ137">
        <v>100</v>
      </c>
      <c r="GK137">
        <v>0</v>
      </c>
      <c r="GL137">
        <v>22.2196</v>
      </c>
      <c r="GM137">
        <v>1200</v>
      </c>
      <c r="GN137">
        <v>26.7455</v>
      </c>
      <c r="GO137">
        <v>101.994</v>
      </c>
      <c r="GP137">
        <v>97.03449999999999</v>
      </c>
    </row>
    <row r="138" spans="1:198">
      <c r="A138">
        <v>122</v>
      </c>
      <c r="B138">
        <v>1773276124.6</v>
      </c>
      <c r="C138">
        <v>7261</v>
      </c>
      <c r="D138" t="s">
        <v>577</v>
      </c>
      <c r="E138" t="s">
        <v>578</v>
      </c>
      <c r="F138">
        <v>15</v>
      </c>
      <c r="G138">
        <v>1773276116.599999</v>
      </c>
      <c r="H138">
        <f>(I138)/1000</f>
        <v>0</v>
      </c>
      <c r="I138">
        <f>1000*AY138*AG138*(AU138-AV138)/(100*AN138*(1000-AG138*AU138))</f>
        <v>0</v>
      </c>
      <c r="J138">
        <f>AY138*AG138*(AT138-AS138*(1000-AG138*AV138)/(1000-AG138*AU138))/(100*AN138)</f>
        <v>0</v>
      </c>
      <c r="K138">
        <f>AS138 - IF(AG138&gt;1, J138*AN138*100.0/(AI138), 0)</f>
        <v>0</v>
      </c>
      <c r="L138">
        <f>((R138-H138/2)*K138-J138)/(R138+H138/2)</f>
        <v>0</v>
      </c>
      <c r="M138">
        <f>L138*(AZ138+BA138)/1000.0</f>
        <v>0</v>
      </c>
      <c r="N138">
        <f>(AS138 - IF(AG138&gt;1, J138*AN138*100.0/(AI138), 0))*(AZ138+BA138)/1000.0</f>
        <v>0</v>
      </c>
      <c r="O138">
        <f>2.0/((1/Q138-1/P138)+SIGN(Q138)*SQRT((1/Q138-1/P138)*(1/Q138-1/P138) + 4*AO138/((AO138+1)*(AO138+1))*(2*1/Q138*1/P138-1/P138*1/P138)))</f>
        <v>0</v>
      </c>
      <c r="P138">
        <f>IF(LEFT(AP138,1)&lt;&gt;"0",IF(LEFT(AP138,1)="1",3.0,AQ138),$D$5+$E$5*(BG138*AZ138/($K$5*1000))+$F$5*(BG138*AZ138/($K$5*1000))*MAX(MIN(AN138,$J$5),$I$5)*MAX(MIN(AN138,$J$5),$I$5)+$G$5*MAX(MIN(AN138,$J$5),$I$5)*(BG138*AZ138/($K$5*1000))+$H$5*(BG138*AZ138/($K$5*1000))*(BG138*AZ138/($K$5*1000)))</f>
        <v>0</v>
      </c>
      <c r="Q138">
        <f>H138*(1000-(1000*0.61365*exp(17.502*U138/(240.97+U138))/(AZ138+BA138)+AU138)/2)/(1000*0.61365*exp(17.502*U138/(240.97+U138))/(AZ138+BA138)-AU138)</f>
        <v>0</v>
      </c>
      <c r="R138">
        <f>1/((AO138+1)/(O138/1.6)+1/(P138/1.37)) + AO138/((AO138+1)/(O138/1.6) + AO138/(P138/1.37))</f>
        <v>0</v>
      </c>
      <c r="S138">
        <f>(AJ138*AM138)</f>
        <v>0</v>
      </c>
      <c r="T138">
        <f>(BB138+(S138+2*0.95*5.67E-8*(((BB138+$B$7)+273)^4-(BB138+273)^4)-44100*H138)/(1.84*29.3*P138+8*0.95*5.67E-8*(BB138+273)^3))</f>
        <v>0</v>
      </c>
      <c r="U138">
        <f>($C$7*BC138+$D$7*BD138+$E$7*T138)</f>
        <v>0</v>
      </c>
      <c r="V138">
        <f>0.61365*exp(17.502*U138/(240.97+U138))</f>
        <v>0</v>
      </c>
      <c r="W138">
        <f>(X138/Y138*100)</f>
        <v>0</v>
      </c>
      <c r="X138">
        <f>AU138*(AZ138+BA138)/1000</f>
        <v>0</v>
      </c>
      <c r="Y138">
        <f>0.61365*exp(17.502*BB138/(240.97+BB138))</f>
        <v>0</v>
      </c>
      <c r="Z138">
        <f>(V138-AU138*(AZ138+BA138)/1000)</f>
        <v>0</v>
      </c>
      <c r="AA138">
        <f>(-H138*44100)</f>
        <v>0</v>
      </c>
      <c r="AB138">
        <f>2*29.3*P138*0.92*(BB138-U138)</f>
        <v>0</v>
      </c>
      <c r="AC138">
        <f>2*0.95*5.67E-8*(((BB138+$B$7)+273)^4-(U138+273)^4)</f>
        <v>0</v>
      </c>
      <c r="AD138">
        <f>S138+AC138+AA138+AB138</f>
        <v>0</v>
      </c>
      <c r="AE138">
        <v>0</v>
      </c>
      <c r="AF138">
        <v>0</v>
      </c>
      <c r="AG138">
        <f>IF(AE138*$H$13&gt;=AI138,1.0,(AI138/(AI138-AE138*$H$13)))</f>
        <v>0</v>
      </c>
      <c r="AH138">
        <f>(AG138-1)*100</f>
        <v>0</v>
      </c>
      <c r="AI138">
        <f>MAX(0,($B$13+$C$13*BG138)/(1+$D$13*BG138)*AZ138/(BB138+273)*$E$13)</f>
        <v>0</v>
      </c>
      <c r="AJ138">
        <f>$B$11*BH138+$C$11*BI138+$D$11*BT138</f>
        <v>0</v>
      </c>
      <c r="AK138">
        <f>AJ138*AL138</f>
        <v>0</v>
      </c>
      <c r="AL138">
        <f>($B$11*$D$9+$C$11*$D$9+$D$11*(BU138*$E$9+BV138*$G$9))/($B$11+$C$11+$D$11)</f>
        <v>0</v>
      </c>
      <c r="AM138">
        <f>($B$11*$K$9+$C$11*$K$9+$D$11*(BU138*$L$9+BV138*$N$9))/($B$11+$C$11+$D$11)</f>
        <v>0</v>
      </c>
      <c r="AN138">
        <v>3</v>
      </c>
      <c r="AO138">
        <v>0.5</v>
      </c>
      <c r="AP138" t="s">
        <v>331</v>
      </c>
      <c r="AQ138">
        <v>2</v>
      </c>
      <c r="AR138">
        <v>1773276116.599999</v>
      </c>
      <c r="AS138">
        <v>463.6395806451614</v>
      </c>
      <c r="AT138">
        <v>461.9207741935484</v>
      </c>
      <c r="AU138">
        <v>14.03453870967742</v>
      </c>
      <c r="AV138">
        <v>13.04599032258064</v>
      </c>
      <c r="AW138">
        <v>457.1440322580645</v>
      </c>
      <c r="AX138">
        <v>13.97572258064516</v>
      </c>
      <c r="AY138">
        <v>500.0187419354839</v>
      </c>
      <c r="AZ138">
        <v>100.3267096774194</v>
      </c>
      <c r="BA138">
        <v>0.03793137741935484</v>
      </c>
      <c r="BB138">
        <v>24.99747419354838</v>
      </c>
      <c r="BC138">
        <v>25.25693548387097</v>
      </c>
      <c r="BD138">
        <v>999.9000000000003</v>
      </c>
      <c r="BE138">
        <v>0</v>
      </c>
      <c r="BF138">
        <v>0</v>
      </c>
      <c r="BG138">
        <v>5006.677419354839</v>
      </c>
      <c r="BH138">
        <v>2.198421290322581</v>
      </c>
      <c r="BI138">
        <v>1208.876774193549</v>
      </c>
      <c r="BJ138">
        <v>1.71880935483871</v>
      </c>
      <c r="BK138">
        <v>470.2391935483872</v>
      </c>
      <c r="BL138">
        <v>468.0265806451612</v>
      </c>
      <c r="BM138">
        <v>0.9885385483870968</v>
      </c>
      <c r="BN138">
        <v>461.9207741935484</v>
      </c>
      <c r="BO138">
        <v>13.04599032258064</v>
      </c>
      <c r="BP138">
        <v>1.408037096774194</v>
      </c>
      <c r="BQ138">
        <v>1.308861290322581</v>
      </c>
      <c r="BR138">
        <v>12.00446451612903</v>
      </c>
      <c r="BS138">
        <v>10.901</v>
      </c>
      <c r="BT138">
        <v>0</v>
      </c>
      <c r="BU138">
        <v>0</v>
      </c>
      <c r="BV138">
        <v>0</v>
      </c>
      <c r="BW138">
        <v>29</v>
      </c>
      <c r="BX138">
        <v>57</v>
      </c>
      <c r="BY138">
        <v>1773268786.6</v>
      </c>
      <c r="BZ138" t="s">
        <v>332</v>
      </c>
      <c r="CA138">
        <v>1773268786.6</v>
      </c>
      <c r="CB138">
        <v>1773268774.1</v>
      </c>
      <c r="CC138">
        <v>2</v>
      </c>
      <c r="CD138">
        <v>0.264</v>
      </c>
      <c r="CE138">
        <v>-0.024</v>
      </c>
      <c r="CF138">
        <v>6.495</v>
      </c>
      <c r="CG138">
        <v>0.059</v>
      </c>
      <c r="CH138">
        <v>488</v>
      </c>
      <c r="CI138">
        <v>25</v>
      </c>
      <c r="CJ138">
        <v>0.48</v>
      </c>
      <c r="CK138">
        <v>0.14</v>
      </c>
      <c r="CL138">
        <v>461.9254</v>
      </c>
      <c r="CM138">
        <v>-0.8198976640700433</v>
      </c>
      <c r="CN138">
        <v>0.06972785191968071</v>
      </c>
      <c r="CO138">
        <v>-1</v>
      </c>
      <c r="CP138">
        <v>500.0161333333334</v>
      </c>
      <c r="CQ138">
        <v>0.07191991101208944</v>
      </c>
      <c r="CR138">
        <v>0.02983703887601876</v>
      </c>
      <c r="CS138">
        <v>-1</v>
      </c>
      <c r="CT138">
        <v>0</v>
      </c>
      <c r="CU138">
        <v>0</v>
      </c>
      <c r="CV138" t="s">
        <v>333</v>
      </c>
      <c r="CW138">
        <v>3.17083</v>
      </c>
      <c r="CX138">
        <v>2.65921</v>
      </c>
      <c r="CY138">
        <v>0.108093</v>
      </c>
      <c r="CZ138">
        <v>0.108995</v>
      </c>
      <c r="DA138">
        <v>0.07684729999999999</v>
      </c>
      <c r="DB138">
        <v>0.0726917</v>
      </c>
      <c r="DC138">
        <v>21344.6</v>
      </c>
      <c r="DD138">
        <v>21875</v>
      </c>
      <c r="DE138">
        <v>23048.3</v>
      </c>
      <c r="DF138">
        <v>22460.5</v>
      </c>
      <c r="DG138">
        <v>32157.7</v>
      </c>
      <c r="DH138">
        <v>29364.8</v>
      </c>
      <c r="DI138">
        <v>40529</v>
      </c>
      <c r="DJ138">
        <v>37167.4</v>
      </c>
      <c r="DK138">
        <v>2.07804</v>
      </c>
      <c r="DL138">
        <v>1.6564</v>
      </c>
      <c r="DM138">
        <v>-0.114006</v>
      </c>
      <c r="DN138">
        <v>0</v>
      </c>
      <c r="DO138">
        <v>27.1263</v>
      </c>
      <c r="DP138">
        <v>999.9</v>
      </c>
      <c r="DQ138">
        <v>44.6</v>
      </c>
      <c r="DR138">
        <v>35.2</v>
      </c>
      <c r="DS138">
        <v>25.3908</v>
      </c>
      <c r="DT138">
        <v>30.1465</v>
      </c>
      <c r="DU138">
        <v>12.5921</v>
      </c>
      <c r="DV138">
        <v>1</v>
      </c>
      <c r="DW138">
        <v>0.38365</v>
      </c>
      <c r="DX138">
        <v>3.29296</v>
      </c>
      <c r="DY138">
        <v>20.3279</v>
      </c>
      <c r="DZ138">
        <v>5.21046</v>
      </c>
      <c r="EA138">
        <v>11.8542</v>
      </c>
      <c r="EB138">
        <v>4.96784</v>
      </c>
      <c r="EC138">
        <v>3.29212</v>
      </c>
      <c r="ED138">
        <v>879.4</v>
      </c>
      <c r="EE138">
        <v>9999</v>
      </c>
      <c r="EF138">
        <v>9999</v>
      </c>
      <c r="EG138">
        <v>82.09999999999999</v>
      </c>
      <c r="EH138">
        <v>4.97159</v>
      </c>
      <c r="EI138">
        <v>1.87198</v>
      </c>
      <c r="EJ138">
        <v>1.86921</v>
      </c>
      <c r="EK138">
        <v>1.87163</v>
      </c>
      <c r="EL138">
        <v>1.86936</v>
      </c>
      <c r="EM138">
        <v>1.86828</v>
      </c>
      <c r="EN138">
        <v>1.8701</v>
      </c>
      <c r="EO138">
        <v>1.87185</v>
      </c>
      <c r="EP138">
        <v>0</v>
      </c>
      <c r="EQ138">
        <v>0</v>
      </c>
      <c r="ER138">
        <v>0</v>
      </c>
      <c r="ES138">
        <v>0</v>
      </c>
      <c r="ET138" t="s">
        <v>334</v>
      </c>
      <c r="EU138" t="s">
        <v>335</v>
      </c>
      <c r="EV138" t="s">
        <v>336</v>
      </c>
      <c r="EW138" t="s">
        <v>336</v>
      </c>
      <c r="EX138" t="s">
        <v>336</v>
      </c>
      <c r="EY138" t="s">
        <v>336</v>
      </c>
      <c r="EZ138">
        <v>0</v>
      </c>
      <c r="FA138">
        <v>100</v>
      </c>
      <c r="FB138">
        <v>100</v>
      </c>
      <c r="FC138">
        <v>6.495</v>
      </c>
      <c r="FD138">
        <v>0.0588</v>
      </c>
      <c r="FE138">
        <v>6.495476190476325</v>
      </c>
      <c r="FF138">
        <v>0</v>
      </c>
      <c r="FG138">
        <v>0</v>
      </c>
      <c r="FH138">
        <v>0</v>
      </c>
      <c r="FI138">
        <v>0.05881499999999917</v>
      </c>
      <c r="FJ138">
        <v>0</v>
      </c>
      <c r="FK138">
        <v>0</v>
      </c>
      <c r="FL138">
        <v>0</v>
      </c>
      <c r="FM138">
        <v>-1</v>
      </c>
      <c r="FN138">
        <v>-1</v>
      </c>
      <c r="FO138">
        <v>-1</v>
      </c>
      <c r="FP138">
        <v>-1</v>
      </c>
      <c r="FQ138">
        <v>122.3</v>
      </c>
      <c r="FR138">
        <v>122.5</v>
      </c>
      <c r="FS138">
        <v>0.142822</v>
      </c>
      <c r="FT138">
        <v>4.99756</v>
      </c>
      <c r="FU138">
        <v>1.5979</v>
      </c>
      <c r="FV138">
        <v>2.13257</v>
      </c>
      <c r="FW138">
        <v>1.54785</v>
      </c>
      <c r="FX138">
        <v>2.38159</v>
      </c>
      <c r="FY138">
        <v>40.7837</v>
      </c>
      <c r="FZ138">
        <v>15.6556</v>
      </c>
      <c r="GA138">
        <v>3</v>
      </c>
      <c r="GB138">
        <v>508.363</v>
      </c>
      <c r="GC138">
        <v>340.362</v>
      </c>
      <c r="GD138">
        <v>22.2677</v>
      </c>
      <c r="GE138">
        <v>31.9233</v>
      </c>
      <c r="GF138">
        <v>30</v>
      </c>
      <c r="GG138">
        <v>31.8567</v>
      </c>
      <c r="GH138">
        <v>31.8515</v>
      </c>
      <c r="GI138">
        <v>-1</v>
      </c>
      <c r="GJ138">
        <v>100</v>
      </c>
      <c r="GK138">
        <v>0</v>
      </c>
      <c r="GL138">
        <v>22.2718</v>
      </c>
      <c r="GM138">
        <v>1200</v>
      </c>
      <c r="GN138">
        <v>26.7455</v>
      </c>
      <c r="GO138">
        <v>101.997</v>
      </c>
      <c r="GP138">
        <v>97.038</v>
      </c>
    </row>
    <row r="139" spans="1:198">
      <c r="A139">
        <v>123</v>
      </c>
      <c r="B139">
        <v>1773276184.6</v>
      </c>
      <c r="C139">
        <v>7321</v>
      </c>
      <c r="D139" t="s">
        <v>579</v>
      </c>
      <c r="E139" t="s">
        <v>580</v>
      </c>
      <c r="F139">
        <v>15</v>
      </c>
      <c r="G139">
        <v>1773276176.599999</v>
      </c>
      <c r="H139">
        <f>(I139)/1000</f>
        <v>0</v>
      </c>
      <c r="I139">
        <f>1000*AY139*AG139*(AU139-AV139)/(100*AN139*(1000-AG139*AU139))</f>
        <v>0</v>
      </c>
      <c r="J139">
        <f>AY139*AG139*(AT139-AS139*(1000-AG139*AV139)/(1000-AG139*AU139))/(100*AN139)</f>
        <v>0</v>
      </c>
      <c r="K139">
        <f>AS139 - IF(AG139&gt;1, J139*AN139*100.0/(AI139), 0)</f>
        <v>0</v>
      </c>
      <c r="L139">
        <f>((R139-H139/2)*K139-J139)/(R139+H139/2)</f>
        <v>0</v>
      </c>
      <c r="M139">
        <f>L139*(AZ139+BA139)/1000.0</f>
        <v>0</v>
      </c>
      <c r="N139">
        <f>(AS139 - IF(AG139&gt;1, J139*AN139*100.0/(AI139), 0))*(AZ139+BA139)/1000.0</f>
        <v>0</v>
      </c>
      <c r="O139">
        <f>2.0/((1/Q139-1/P139)+SIGN(Q139)*SQRT((1/Q139-1/P139)*(1/Q139-1/P139) + 4*AO139/((AO139+1)*(AO139+1))*(2*1/Q139*1/P139-1/P139*1/P139)))</f>
        <v>0</v>
      </c>
      <c r="P139">
        <f>IF(LEFT(AP139,1)&lt;&gt;"0",IF(LEFT(AP139,1)="1",3.0,AQ139),$D$5+$E$5*(BG139*AZ139/($K$5*1000))+$F$5*(BG139*AZ139/($K$5*1000))*MAX(MIN(AN139,$J$5),$I$5)*MAX(MIN(AN139,$J$5),$I$5)+$G$5*MAX(MIN(AN139,$J$5),$I$5)*(BG139*AZ139/($K$5*1000))+$H$5*(BG139*AZ139/($K$5*1000))*(BG139*AZ139/($K$5*1000)))</f>
        <v>0</v>
      </c>
      <c r="Q139">
        <f>H139*(1000-(1000*0.61365*exp(17.502*U139/(240.97+U139))/(AZ139+BA139)+AU139)/2)/(1000*0.61365*exp(17.502*U139/(240.97+U139))/(AZ139+BA139)-AU139)</f>
        <v>0</v>
      </c>
      <c r="R139">
        <f>1/((AO139+1)/(O139/1.6)+1/(P139/1.37)) + AO139/((AO139+1)/(O139/1.6) + AO139/(P139/1.37))</f>
        <v>0</v>
      </c>
      <c r="S139">
        <f>(AJ139*AM139)</f>
        <v>0</v>
      </c>
      <c r="T139">
        <f>(BB139+(S139+2*0.95*5.67E-8*(((BB139+$B$7)+273)^4-(BB139+273)^4)-44100*H139)/(1.84*29.3*P139+8*0.95*5.67E-8*(BB139+273)^3))</f>
        <v>0</v>
      </c>
      <c r="U139">
        <f>($C$7*BC139+$D$7*BD139+$E$7*T139)</f>
        <v>0</v>
      </c>
      <c r="V139">
        <f>0.61365*exp(17.502*U139/(240.97+U139))</f>
        <v>0</v>
      </c>
      <c r="W139">
        <f>(X139/Y139*100)</f>
        <v>0</v>
      </c>
      <c r="X139">
        <f>AU139*(AZ139+BA139)/1000</f>
        <v>0</v>
      </c>
      <c r="Y139">
        <f>0.61365*exp(17.502*BB139/(240.97+BB139))</f>
        <v>0</v>
      </c>
      <c r="Z139">
        <f>(V139-AU139*(AZ139+BA139)/1000)</f>
        <v>0</v>
      </c>
      <c r="AA139">
        <f>(-H139*44100)</f>
        <v>0</v>
      </c>
      <c r="AB139">
        <f>2*29.3*P139*0.92*(BB139-U139)</f>
        <v>0</v>
      </c>
      <c r="AC139">
        <f>2*0.95*5.67E-8*(((BB139+$B$7)+273)^4-(U139+273)^4)</f>
        <v>0</v>
      </c>
      <c r="AD139">
        <f>S139+AC139+AA139+AB139</f>
        <v>0</v>
      </c>
      <c r="AE139">
        <v>0</v>
      </c>
      <c r="AF139">
        <v>0</v>
      </c>
      <c r="AG139">
        <f>IF(AE139*$H$13&gt;=AI139,1.0,(AI139/(AI139-AE139*$H$13)))</f>
        <v>0</v>
      </c>
      <c r="AH139">
        <f>(AG139-1)*100</f>
        <v>0</v>
      </c>
      <c r="AI139">
        <f>MAX(0,($B$13+$C$13*BG139)/(1+$D$13*BG139)*AZ139/(BB139+273)*$E$13)</f>
        <v>0</v>
      </c>
      <c r="AJ139">
        <f>$B$11*BH139+$C$11*BI139+$D$11*BT139</f>
        <v>0</v>
      </c>
      <c r="AK139">
        <f>AJ139*AL139</f>
        <v>0</v>
      </c>
      <c r="AL139">
        <f>($B$11*$D$9+$C$11*$D$9+$D$11*(BU139*$E$9+BV139*$G$9))/($B$11+$C$11+$D$11)</f>
        <v>0</v>
      </c>
      <c r="AM139">
        <f>($B$11*$K$9+$C$11*$K$9+$D$11*(BU139*$L$9+BV139*$N$9))/($B$11+$C$11+$D$11)</f>
        <v>0</v>
      </c>
      <c r="AN139">
        <v>3</v>
      </c>
      <c r="AO139">
        <v>0.5</v>
      </c>
      <c r="AP139" t="s">
        <v>331</v>
      </c>
      <c r="AQ139">
        <v>2</v>
      </c>
      <c r="AR139">
        <v>1773276176.599999</v>
      </c>
      <c r="AS139">
        <v>463.3092258064516</v>
      </c>
      <c r="AT139">
        <v>461.8289677419355</v>
      </c>
      <c r="AU139">
        <v>14.07339677419355</v>
      </c>
      <c r="AV139">
        <v>13.08478064516129</v>
      </c>
      <c r="AW139">
        <v>456.8138387096774</v>
      </c>
      <c r="AX139">
        <v>14.01458064516129</v>
      </c>
      <c r="AY139">
        <v>500.0116451612903</v>
      </c>
      <c r="AZ139">
        <v>100.3265806451613</v>
      </c>
      <c r="BA139">
        <v>0.03777692903225807</v>
      </c>
      <c r="BB139">
        <v>24.99319677419355</v>
      </c>
      <c r="BC139">
        <v>25.2819</v>
      </c>
      <c r="BD139">
        <v>999.9000000000003</v>
      </c>
      <c r="BE139">
        <v>0</v>
      </c>
      <c r="BF139">
        <v>0</v>
      </c>
      <c r="BG139">
        <v>4998.870967741936</v>
      </c>
      <c r="BH139">
        <v>2.178384838709677</v>
      </c>
      <c r="BI139">
        <v>1201.049032258065</v>
      </c>
      <c r="BJ139">
        <v>1.480239677419355</v>
      </c>
      <c r="BK139">
        <v>469.9226774193548</v>
      </c>
      <c r="BL139">
        <v>467.952129032258</v>
      </c>
      <c r="BM139">
        <v>0.9886194193548387</v>
      </c>
      <c r="BN139">
        <v>461.8289677419355</v>
      </c>
      <c r="BO139">
        <v>13.08478064516129</v>
      </c>
      <c r="BP139">
        <v>1.411938709677419</v>
      </c>
      <c r="BQ139">
        <v>1.312753225806452</v>
      </c>
      <c r="BR139">
        <v>12.04645483870968</v>
      </c>
      <c r="BS139">
        <v>10.94567096774194</v>
      </c>
      <c r="BT139">
        <v>0</v>
      </c>
      <c r="BU139">
        <v>0</v>
      </c>
      <c r="BV139">
        <v>0</v>
      </c>
      <c r="BW139">
        <v>29.96236774193548</v>
      </c>
      <c r="BX139">
        <v>56.14838709677419</v>
      </c>
      <c r="BY139">
        <v>1773268786.6</v>
      </c>
      <c r="BZ139" t="s">
        <v>332</v>
      </c>
      <c r="CA139">
        <v>1773268786.6</v>
      </c>
      <c r="CB139">
        <v>1773268774.1</v>
      </c>
      <c r="CC139">
        <v>2</v>
      </c>
      <c r="CD139">
        <v>0.264</v>
      </c>
      <c r="CE139">
        <v>-0.024</v>
      </c>
      <c r="CF139">
        <v>6.495</v>
      </c>
      <c r="CG139">
        <v>0.059</v>
      </c>
      <c r="CH139">
        <v>488</v>
      </c>
      <c r="CI139">
        <v>25</v>
      </c>
      <c r="CJ139">
        <v>0.48</v>
      </c>
      <c r="CK139">
        <v>0.14</v>
      </c>
      <c r="CL139">
        <v>461.817806451613</v>
      </c>
      <c r="CM139">
        <v>1.344338709676939</v>
      </c>
      <c r="CN139">
        <v>0.1005290583427455</v>
      </c>
      <c r="CO139">
        <v>-1</v>
      </c>
      <c r="CP139">
        <v>500.0118709677419</v>
      </c>
      <c r="CQ139">
        <v>-0.1488870967764913</v>
      </c>
      <c r="CR139">
        <v>0.03503799038231283</v>
      </c>
      <c r="CS139">
        <v>-1</v>
      </c>
      <c r="CT139">
        <v>0</v>
      </c>
      <c r="CU139">
        <v>0</v>
      </c>
      <c r="CV139" t="s">
        <v>333</v>
      </c>
      <c r="CW139">
        <v>3.17077</v>
      </c>
      <c r="CX139">
        <v>2.65934</v>
      </c>
      <c r="CY139">
        <v>0.108065</v>
      </c>
      <c r="CZ139">
        <v>0.109</v>
      </c>
      <c r="DA139">
        <v>0.0770101</v>
      </c>
      <c r="DB139">
        <v>0.0728611</v>
      </c>
      <c r="DC139">
        <v>21344.4</v>
      </c>
      <c r="DD139">
        <v>21874.2</v>
      </c>
      <c r="DE139">
        <v>23047.4</v>
      </c>
      <c r="DF139">
        <v>22459.8</v>
      </c>
      <c r="DG139">
        <v>32150.9</v>
      </c>
      <c r="DH139">
        <v>29358.3</v>
      </c>
      <c r="DI139">
        <v>40527.6</v>
      </c>
      <c r="DJ139">
        <v>37166.1</v>
      </c>
      <c r="DK139">
        <v>2.07792</v>
      </c>
      <c r="DL139">
        <v>1.6563</v>
      </c>
      <c r="DM139">
        <v>-0.116932</v>
      </c>
      <c r="DN139">
        <v>0</v>
      </c>
      <c r="DO139">
        <v>27.2056</v>
      </c>
      <c r="DP139">
        <v>999.9</v>
      </c>
      <c r="DQ139">
        <v>44.6</v>
      </c>
      <c r="DR139">
        <v>35.3</v>
      </c>
      <c r="DS139">
        <v>25.5301</v>
      </c>
      <c r="DT139">
        <v>29.9965</v>
      </c>
      <c r="DU139">
        <v>12.9367</v>
      </c>
      <c r="DV139">
        <v>1</v>
      </c>
      <c r="DW139">
        <v>0.384998</v>
      </c>
      <c r="DX139">
        <v>3.26155</v>
      </c>
      <c r="DY139">
        <v>20.3284</v>
      </c>
      <c r="DZ139">
        <v>5.21058</v>
      </c>
      <c r="EA139">
        <v>11.8541</v>
      </c>
      <c r="EB139">
        <v>4.96772</v>
      </c>
      <c r="EC139">
        <v>3.29222</v>
      </c>
      <c r="ED139">
        <v>879.4</v>
      </c>
      <c r="EE139">
        <v>9999</v>
      </c>
      <c r="EF139">
        <v>9999</v>
      </c>
      <c r="EG139">
        <v>82.09999999999999</v>
      </c>
      <c r="EH139">
        <v>4.97158</v>
      </c>
      <c r="EI139">
        <v>1.87195</v>
      </c>
      <c r="EJ139">
        <v>1.86921</v>
      </c>
      <c r="EK139">
        <v>1.87164</v>
      </c>
      <c r="EL139">
        <v>1.86935</v>
      </c>
      <c r="EM139">
        <v>1.86829</v>
      </c>
      <c r="EN139">
        <v>1.87011</v>
      </c>
      <c r="EO139">
        <v>1.87185</v>
      </c>
      <c r="EP139">
        <v>0</v>
      </c>
      <c r="EQ139">
        <v>0</v>
      </c>
      <c r="ER139">
        <v>0</v>
      </c>
      <c r="ES139">
        <v>0</v>
      </c>
      <c r="ET139" t="s">
        <v>334</v>
      </c>
      <c r="EU139" t="s">
        <v>335</v>
      </c>
      <c r="EV139" t="s">
        <v>336</v>
      </c>
      <c r="EW139" t="s">
        <v>336</v>
      </c>
      <c r="EX139" t="s">
        <v>336</v>
      </c>
      <c r="EY139" t="s">
        <v>336</v>
      </c>
      <c r="EZ139">
        <v>0</v>
      </c>
      <c r="FA139">
        <v>100</v>
      </c>
      <c r="FB139">
        <v>100</v>
      </c>
      <c r="FC139">
        <v>6.496</v>
      </c>
      <c r="FD139">
        <v>0.0588</v>
      </c>
      <c r="FE139">
        <v>6.495476190476325</v>
      </c>
      <c r="FF139">
        <v>0</v>
      </c>
      <c r="FG139">
        <v>0</v>
      </c>
      <c r="FH139">
        <v>0</v>
      </c>
      <c r="FI139">
        <v>0.05881499999999917</v>
      </c>
      <c r="FJ139">
        <v>0</v>
      </c>
      <c r="FK139">
        <v>0</v>
      </c>
      <c r="FL139">
        <v>0</v>
      </c>
      <c r="FM139">
        <v>-1</v>
      </c>
      <c r="FN139">
        <v>-1</v>
      </c>
      <c r="FO139">
        <v>-1</v>
      </c>
      <c r="FP139">
        <v>-1</v>
      </c>
      <c r="FQ139">
        <v>123.3</v>
      </c>
      <c r="FR139">
        <v>123.5</v>
      </c>
      <c r="FS139">
        <v>0.142822</v>
      </c>
      <c r="FT139">
        <v>4.99756</v>
      </c>
      <c r="FU139">
        <v>1.5979</v>
      </c>
      <c r="FV139">
        <v>2.13257</v>
      </c>
      <c r="FW139">
        <v>1.54785</v>
      </c>
      <c r="FX139">
        <v>2.41455</v>
      </c>
      <c r="FY139">
        <v>40.8093</v>
      </c>
      <c r="FZ139">
        <v>15.6381</v>
      </c>
      <c r="GA139">
        <v>3</v>
      </c>
      <c r="GB139">
        <v>508.398</v>
      </c>
      <c r="GC139">
        <v>340.415</v>
      </c>
      <c r="GD139">
        <v>22.3392</v>
      </c>
      <c r="GE139">
        <v>31.9363</v>
      </c>
      <c r="GF139">
        <v>30.0004</v>
      </c>
      <c r="GG139">
        <v>31.8709</v>
      </c>
      <c r="GH139">
        <v>31.8716</v>
      </c>
      <c r="GI139">
        <v>-1</v>
      </c>
      <c r="GJ139">
        <v>100</v>
      </c>
      <c r="GK139">
        <v>0</v>
      </c>
      <c r="GL139">
        <v>22.3425</v>
      </c>
      <c r="GM139">
        <v>1200</v>
      </c>
      <c r="GN139">
        <v>26.7455</v>
      </c>
      <c r="GO139">
        <v>101.994</v>
      </c>
      <c r="GP139">
        <v>97.0347</v>
      </c>
    </row>
    <row r="140" spans="1:198">
      <c r="A140">
        <v>124</v>
      </c>
      <c r="B140">
        <v>1773276244.6</v>
      </c>
      <c r="C140">
        <v>7381</v>
      </c>
      <c r="D140" t="s">
        <v>581</v>
      </c>
      <c r="E140" t="s">
        <v>582</v>
      </c>
      <c r="F140">
        <v>15</v>
      </c>
      <c r="G140">
        <v>1773276236.599999</v>
      </c>
      <c r="H140">
        <f>(I140)/1000</f>
        <v>0</v>
      </c>
      <c r="I140">
        <f>1000*AY140*AG140*(AU140-AV140)/(100*AN140*(1000-AG140*AU140))</f>
        <v>0</v>
      </c>
      <c r="J140">
        <f>AY140*AG140*(AT140-AS140*(1000-AG140*AV140)/(1000-AG140*AU140))/(100*AN140)</f>
        <v>0</v>
      </c>
      <c r="K140">
        <f>AS140 - IF(AG140&gt;1, J140*AN140*100.0/(AI140), 0)</f>
        <v>0</v>
      </c>
      <c r="L140">
        <f>((R140-H140/2)*K140-J140)/(R140+H140/2)</f>
        <v>0</v>
      </c>
      <c r="M140">
        <f>L140*(AZ140+BA140)/1000.0</f>
        <v>0</v>
      </c>
      <c r="N140">
        <f>(AS140 - IF(AG140&gt;1, J140*AN140*100.0/(AI140), 0))*(AZ140+BA140)/1000.0</f>
        <v>0</v>
      </c>
      <c r="O140">
        <f>2.0/((1/Q140-1/P140)+SIGN(Q140)*SQRT((1/Q140-1/P140)*(1/Q140-1/P140) + 4*AO140/((AO140+1)*(AO140+1))*(2*1/Q140*1/P140-1/P140*1/P140)))</f>
        <v>0</v>
      </c>
      <c r="P140">
        <f>IF(LEFT(AP140,1)&lt;&gt;"0",IF(LEFT(AP140,1)="1",3.0,AQ140),$D$5+$E$5*(BG140*AZ140/($K$5*1000))+$F$5*(BG140*AZ140/($K$5*1000))*MAX(MIN(AN140,$J$5),$I$5)*MAX(MIN(AN140,$J$5),$I$5)+$G$5*MAX(MIN(AN140,$J$5),$I$5)*(BG140*AZ140/($K$5*1000))+$H$5*(BG140*AZ140/($K$5*1000))*(BG140*AZ140/($K$5*1000)))</f>
        <v>0</v>
      </c>
      <c r="Q140">
        <f>H140*(1000-(1000*0.61365*exp(17.502*U140/(240.97+U140))/(AZ140+BA140)+AU140)/2)/(1000*0.61365*exp(17.502*U140/(240.97+U140))/(AZ140+BA140)-AU140)</f>
        <v>0</v>
      </c>
      <c r="R140">
        <f>1/((AO140+1)/(O140/1.6)+1/(P140/1.37)) + AO140/((AO140+1)/(O140/1.6) + AO140/(P140/1.37))</f>
        <v>0</v>
      </c>
      <c r="S140">
        <f>(AJ140*AM140)</f>
        <v>0</v>
      </c>
      <c r="T140">
        <f>(BB140+(S140+2*0.95*5.67E-8*(((BB140+$B$7)+273)^4-(BB140+273)^4)-44100*H140)/(1.84*29.3*P140+8*0.95*5.67E-8*(BB140+273)^3))</f>
        <v>0</v>
      </c>
      <c r="U140">
        <f>($C$7*BC140+$D$7*BD140+$E$7*T140)</f>
        <v>0</v>
      </c>
      <c r="V140">
        <f>0.61365*exp(17.502*U140/(240.97+U140))</f>
        <v>0</v>
      </c>
      <c r="W140">
        <f>(X140/Y140*100)</f>
        <v>0</v>
      </c>
      <c r="X140">
        <f>AU140*(AZ140+BA140)/1000</f>
        <v>0</v>
      </c>
      <c r="Y140">
        <f>0.61365*exp(17.502*BB140/(240.97+BB140))</f>
        <v>0</v>
      </c>
      <c r="Z140">
        <f>(V140-AU140*(AZ140+BA140)/1000)</f>
        <v>0</v>
      </c>
      <c r="AA140">
        <f>(-H140*44100)</f>
        <v>0</v>
      </c>
      <c r="AB140">
        <f>2*29.3*P140*0.92*(BB140-U140)</f>
        <v>0</v>
      </c>
      <c r="AC140">
        <f>2*0.95*5.67E-8*(((BB140+$B$7)+273)^4-(U140+273)^4)</f>
        <v>0</v>
      </c>
      <c r="AD140">
        <f>S140+AC140+AA140+AB140</f>
        <v>0</v>
      </c>
      <c r="AE140">
        <v>0</v>
      </c>
      <c r="AF140">
        <v>0</v>
      </c>
      <c r="AG140">
        <f>IF(AE140*$H$13&gt;=AI140,1.0,(AI140/(AI140-AE140*$H$13)))</f>
        <v>0</v>
      </c>
      <c r="AH140">
        <f>(AG140-1)*100</f>
        <v>0</v>
      </c>
      <c r="AI140">
        <f>MAX(0,($B$13+$C$13*BG140)/(1+$D$13*BG140)*AZ140/(BB140+273)*$E$13)</f>
        <v>0</v>
      </c>
      <c r="AJ140">
        <f>$B$11*BH140+$C$11*BI140+$D$11*BT140</f>
        <v>0</v>
      </c>
      <c r="AK140">
        <f>AJ140*AL140</f>
        <v>0</v>
      </c>
      <c r="AL140">
        <f>($B$11*$D$9+$C$11*$D$9+$D$11*(BU140*$E$9+BV140*$G$9))/($B$11+$C$11+$D$11)</f>
        <v>0</v>
      </c>
      <c r="AM140">
        <f>($B$11*$K$9+$C$11*$K$9+$D$11*(BU140*$L$9+BV140*$N$9))/($B$11+$C$11+$D$11)</f>
        <v>0</v>
      </c>
      <c r="AN140">
        <v>3</v>
      </c>
      <c r="AO140">
        <v>0.5</v>
      </c>
      <c r="AP140" t="s">
        <v>331</v>
      </c>
      <c r="AQ140">
        <v>2</v>
      </c>
      <c r="AR140">
        <v>1773276236.599999</v>
      </c>
      <c r="AS140">
        <v>463.3032258064516</v>
      </c>
      <c r="AT140">
        <v>461.557129032258</v>
      </c>
      <c r="AU140">
        <v>14.12257741935484</v>
      </c>
      <c r="AV140">
        <v>13.14867096774193</v>
      </c>
      <c r="AW140">
        <v>456.8077419354838</v>
      </c>
      <c r="AX140">
        <v>14.06375806451613</v>
      </c>
      <c r="AY140">
        <v>499.9729999999999</v>
      </c>
      <c r="AZ140">
        <v>100.3243870967742</v>
      </c>
      <c r="BA140">
        <v>0.03793002258064516</v>
      </c>
      <c r="BB140">
        <v>25.0180935483871</v>
      </c>
      <c r="BC140">
        <v>25.35474516129032</v>
      </c>
      <c r="BD140">
        <v>999.9000000000003</v>
      </c>
      <c r="BE140">
        <v>0</v>
      </c>
      <c r="BF140">
        <v>0</v>
      </c>
      <c r="BG140">
        <v>4993.403225806452</v>
      </c>
      <c r="BH140">
        <v>2.148791935483871</v>
      </c>
      <c r="BI140">
        <v>1210.302580645161</v>
      </c>
      <c r="BJ140">
        <v>1.746057096774194</v>
      </c>
      <c r="BK140">
        <v>469.9400322580645</v>
      </c>
      <c r="BL140">
        <v>467.7069032258063</v>
      </c>
      <c r="BM140">
        <v>0.973902935483871</v>
      </c>
      <c r="BN140">
        <v>461.557129032258</v>
      </c>
      <c r="BO140">
        <v>13.14867096774193</v>
      </c>
      <c r="BP140">
        <v>1.416838387096774</v>
      </c>
      <c r="BQ140">
        <v>1.319132903225806</v>
      </c>
      <c r="BR140">
        <v>12.09905806451613</v>
      </c>
      <c r="BS140">
        <v>11.01863225806452</v>
      </c>
      <c r="BT140">
        <v>0</v>
      </c>
      <c r="BU140">
        <v>0</v>
      </c>
      <c r="BV140">
        <v>0</v>
      </c>
      <c r="BW140">
        <v>30</v>
      </c>
      <c r="BX140">
        <v>56</v>
      </c>
      <c r="BY140">
        <v>1773268786.6</v>
      </c>
      <c r="BZ140" t="s">
        <v>332</v>
      </c>
      <c r="CA140">
        <v>1773268786.6</v>
      </c>
      <c r="CB140">
        <v>1773268774.1</v>
      </c>
      <c r="CC140">
        <v>2</v>
      </c>
      <c r="CD140">
        <v>0.264</v>
      </c>
      <c r="CE140">
        <v>-0.024</v>
      </c>
      <c r="CF140">
        <v>6.495</v>
      </c>
      <c r="CG140">
        <v>0.059</v>
      </c>
      <c r="CH140">
        <v>488</v>
      </c>
      <c r="CI140">
        <v>25</v>
      </c>
      <c r="CJ140">
        <v>0.48</v>
      </c>
      <c r="CK140">
        <v>0.14</v>
      </c>
      <c r="CL140">
        <v>461.5517666666665</v>
      </c>
      <c r="CM140">
        <v>-0.9711323692998608</v>
      </c>
      <c r="CN140">
        <v>0.1414337732729396</v>
      </c>
      <c r="CO140">
        <v>-1</v>
      </c>
      <c r="CP140">
        <v>499.9718333333332</v>
      </c>
      <c r="CQ140">
        <v>-0.1841779755266724</v>
      </c>
      <c r="CR140">
        <v>0.04689426641095817</v>
      </c>
      <c r="CS140">
        <v>-1</v>
      </c>
      <c r="CT140">
        <v>0</v>
      </c>
      <c r="CU140">
        <v>0</v>
      </c>
      <c r="CV140" t="s">
        <v>333</v>
      </c>
      <c r="CW140">
        <v>3.17085</v>
      </c>
      <c r="CX140">
        <v>2.65952</v>
      </c>
      <c r="CY140">
        <v>0.108004</v>
      </c>
      <c r="CZ140">
        <v>0.108983</v>
      </c>
      <c r="DA140">
        <v>0.0772289</v>
      </c>
      <c r="DB140">
        <v>0.0731546</v>
      </c>
      <c r="DC140">
        <v>21343.1</v>
      </c>
      <c r="DD140">
        <v>21872.1</v>
      </c>
      <c r="DE140">
        <v>23044.7</v>
      </c>
      <c r="DF140">
        <v>22457.5</v>
      </c>
      <c r="DG140">
        <v>32139.7</v>
      </c>
      <c r="DH140">
        <v>29345.9</v>
      </c>
      <c r="DI140">
        <v>40523.2</v>
      </c>
      <c r="DJ140">
        <v>37162.2</v>
      </c>
      <c r="DK140">
        <v>2.07776</v>
      </c>
      <c r="DL140">
        <v>1.6548</v>
      </c>
      <c r="DM140">
        <v>-0.123209</v>
      </c>
      <c r="DN140">
        <v>0</v>
      </c>
      <c r="DO140">
        <v>27.3845</v>
      </c>
      <c r="DP140">
        <v>999.9</v>
      </c>
      <c r="DQ140">
        <v>44.6</v>
      </c>
      <c r="DR140">
        <v>35.4</v>
      </c>
      <c r="DS140">
        <v>25.6727</v>
      </c>
      <c r="DT140">
        <v>29.7565</v>
      </c>
      <c r="DU140">
        <v>12.7604</v>
      </c>
      <c r="DV140">
        <v>1</v>
      </c>
      <c r="DW140">
        <v>0.391364</v>
      </c>
      <c r="DX140">
        <v>3.59764</v>
      </c>
      <c r="DY140">
        <v>20.3199</v>
      </c>
      <c r="DZ140">
        <v>5.20974</v>
      </c>
      <c r="EA140">
        <v>11.8541</v>
      </c>
      <c r="EB140">
        <v>4.9678</v>
      </c>
      <c r="EC140">
        <v>3.29212</v>
      </c>
      <c r="ED140">
        <v>879.4</v>
      </c>
      <c r="EE140">
        <v>9999</v>
      </c>
      <c r="EF140">
        <v>9999</v>
      </c>
      <c r="EG140">
        <v>82.2</v>
      </c>
      <c r="EH140">
        <v>4.97157</v>
      </c>
      <c r="EI140">
        <v>1.87197</v>
      </c>
      <c r="EJ140">
        <v>1.86922</v>
      </c>
      <c r="EK140">
        <v>1.87164</v>
      </c>
      <c r="EL140">
        <v>1.86935</v>
      </c>
      <c r="EM140">
        <v>1.86829</v>
      </c>
      <c r="EN140">
        <v>1.87012</v>
      </c>
      <c r="EO140">
        <v>1.87189</v>
      </c>
      <c r="EP140">
        <v>0</v>
      </c>
      <c r="EQ140">
        <v>0</v>
      </c>
      <c r="ER140">
        <v>0</v>
      </c>
      <c r="ES140">
        <v>0</v>
      </c>
      <c r="ET140" t="s">
        <v>334</v>
      </c>
      <c r="EU140" t="s">
        <v>335</v>
      </c>
      <c r="EV140" t="s">
        <v>336</v>
      </c>
      <c r="EW140" t="s">
        <v>336</v>
      </c>
      <c r="EX140" t="s">
        <v>336</v>
      </c>
      <c r="EY140" t="s">
        <v>336</v>
      </c>
      <c r="EZ140">
        <v>0</v>
      </c>
      <c r="FA140">
        <v>100</v>
      </c>
      <c r="FB140">
        <v>100</v>
      </c>
      <c r="FC140">
        <v>6.496</v>
      </c>
      <c r="FD140">
        <v>0.0588</v>
      </c>
      <c r="FE140">
        <v>6.495476190476325</v>
      </c>
      <c r="FF140">
        <v>0</v>
      </c>
      <c r="FG140">
        <v>0</v>
      </c>
      <c r="FH140">
        <v>0</v>
      </c>
      <c r="FI140">
        <v>0.05881499999999917</v>
      </c>
      <c r="FJ140">
        <v>0</v>
      </c>
      <c r="FK140">
        <v>0</v>
      </c>
      <c r="FL140">
        <v>0</v>
      </c>
      <c r="FM140">
        <v>-1</v>
      </c>
      <c r="FN140">
        <v>-1</v>
      </c>
      <c r="FO140">
        <v>-1</v>
      </c>
      <c r="FP140">
        <v>-1</v>
      </c>
      <c r="FQ140">
        <v>124.3</v>
      </c>
      <c r="FR140">
        <v>124.5</v>
      </c>
      <c r="FS140">
        <v>0.142822</v>
      </c>
      <c r="FT140">
        <v>4.99756</v>
      </c>
      <c r="FU140">
        <v>1.5979</v>
      </c>
      <c r="FV140">
        <v>2.13135</v>
      </c>
      <c r="FW140">
        <v>1.54785</v>
      </c>
      <c r="FX140">
        <v>2.31812</v>
      </c>
      <c r="FY140">
        <v>40.8865</v>
      </c>
      <c r="FZ140">
        <v>15.6293</v>
      </c>
      <c r="GA140">
        <v>3</v>
      </c>
      <c r="GB140">
        <v>508.631</v>
      </c>
      <c r="GC140">
        <v>339.884</v>
      </c>
      <c r="GD140">
        <v>22.2574</v>
      </c>
      <c r="GE140">
        <v>31.9938</v>
      </c>
      <c r="GF140">
        <v>30.0008</v>
      </c>
      <c r="GG140">
        <v>31.9141</v>
      </c>
      <c r="GH140">
        <v>31.9162</v>
      </c>
      <c r="GI140">
        <v>-1</v>
      </c>
      <c r="GJ140">
        <v>100</v>
      </c>
      <c r="GK140">
        <v>0</v>
      </c>
      <c r="GL140">
        <v>22.2265</v>
      </c>
      <c r="GM140">
        <v>1200</v>
      </c>
      <c r="GN140">
        <v>26.7455</v>
      </c>
      <c r="GO140">
        <v>101.982</v>
      </c>
      <c r="GP140">
        <v>97.02460000000001</v>
      </c>
    </row>
    <row r="141" spans="1:198">
      <c r="A141">
        <v>125</v>
      </c>
      <c r="B141">
        <v>1773276305</v>
      </c>
      <c r="C141">
        <v>7441.400000095367</v>
      </c>
      <c r="D141" t="s">
        <v>583</v>
      </c>
      <c r="E141" t="s">
        <v>584</v>
      </c>
      <c r="F141">
        <v>15</v>
      </c>
      <c r="G141">
        <v>1773276297.041936</v>
      </c>
      <c r="H141">
        <f>(I141)/1000</f>
        <v>0</v>
      </c>
      <c r="I141">
        <f>1000*AY141*AG141*(AU141-AV141)/(100*AN141*(1000-AG141*AU141))</f>
        <v>0</v>
      </c>
      <c r="J141">
        <f>AY141*AG141*(AT141-AS141*(1000-AG141*AV141)/(1000-AG141*AU141))/(100*AN141)</f>
        <v>0</v>
      </c>
      <c r="K141">
        <f>AS141 - IF(AG141&gt;1, J141*AN141*100.0/(AI141), 0)</f>
        <v>0</v>
      </c>
      <c r="L141">
        <f>((R141-H141/2)*K141-J141)/(R141+H141/2)</f>
        <v>0</v>
      </c>
      <c r="M141">
        <f>L141*(AZ141+BA141)/1000.0</f>
        <v>0</v>
      </c>
      <c r="N141">
        <f>(AS141 - IF(AG141&gt;1, J141*AN141*100.0/(AI141), 0))*(AZ141+BA141)/1000.0</f>
        <v>0</v>
      </c>
      <c r="O141">
        <f>2.0/((1/Q141-1/P141)+SIGN(Q141)*SQRT((1/Q141-1/P141)*(1/Q141-1/P141) + 4*AO141/((AO141+1)*(AO141+1))*(2*1/Q141*1/P141-1/P141*1/P141)))</f>
        <v>0</v>
      </c>
      <c r="P141">
        <f>IF(LEFT(AP141,1)&lt;&gt;"0",IF(LEFT(AP141,1)="1",3.0,AQ141),$D$5+$E$5*(BG141*AZ141/($K$5*1000))+$F$5*(BG141*AZ141/($K$5*1000))*MAX(MIN(AN141,$J$5),$I$5)*MAX(MIN(AN141,$J$5),$I$5)+$G$5*MAX(MIN(AN141,$J$5),$I$5)*(BG141*AZ141/($K$5*1000))+$H$5*(BG141*AZ141/($K$5*1000))*(BG141*AZ141/($K$5*1000)))</f>
        <v>0</v>
      </c>
      <c r="Q141">
        <f>H141*(1000-(1000*0.61365*exp(17.502*U141/(240.97+U141))/(AZ141+BA141)+AU141)/2)/(1000*0.61365*exp(17.502*U141/(240.97+U141))/(AZ141+BA141)-AU141)</f>
        <v>0</v>
      </c>
      <c r="R141">
        <f>1/((AO141+1)/(O141/1.6)+1/(P141/1.37)) + AO141/((AO141+1)/(O141/1.6) + AO141/(P141/1.37))</f>
        <v>0</v>
      </c>
      <c r="S141">
        <f>(AJ141*AM141)</f>
        <v>0</v>
      </c>
      <c r="T141">
        <f>(BB141+(S141+2*0.95*5.67E-8*(((BB141+$B$7)+273)^4-(BB141+273)^4)-44100*H141)/(1.84*29.3*P141+8*0.95*5.67E-8*(BB141+273)^3))</f>
        <v>0</v>
      </c>
      <c r="U141">
        <f>($C$7*BC141+$D$7*BD141+$E$7*T141)</f>
        <v>0</v>
      </c>
      <c r="V141">
        <f>0.61365*exp(17.502*U141/(240.97+U141))</f>
        <v>0</v>
      </c>
      <c r="W141">
        <f>(X141/Y141*100)</f>
        <v>0</v>
      </c>
      <c r="X141">
        <f>AU141*(AZ141+BA141)/1000</f>
        <v>0</v>
      </c>
      <c r="Y141">
        <f>0.61365*exp(17.502*BB141/(240.97+BB141))</f>
        <v>0</v>
      </c>
      <c r="Z141">
        <f>(V141-AU141*(AZ141+BA141)/1000)</f>
        <v>0</v>
      </c>
      <c r="AA141">
        <f>(-H141*44100)</f>
        <v>0</v>
      </c>
      <c r="AB141">
        <f>2*29.3*P141*0.92*(BB141-U141)</f>
        <v>0</v>
      </c>
      <c r="AC141">
        <f>2*0.95*5.67E-8*(((BB141+$B$7)+273)^4-(U141+273)^4)</f>
        <v>0</v>
      </c>
      <c r="AD141">
        <f>S141+AC141+AA141+AB141</f>
        <v>0</v>
      </c>
      <c r="AE141">
        <v>0</v>
      </c>
      <c r="AF141">
        <v>0</v>
      </c>
      <c r="AG141">
        <f>IF(AE141*$H$13&gt;=AI141,1.0,(AI141/(AI141-AE141*$H$13)))</f>
        <v>0</v>
      </c>
      <c r="AH141">
        <f>(AG141-1)*100</f>
        <v>0</v>
      </c>
      <c r="AI141">
        <f>MAX(0,($B$13+$C$13*BG141)/(1+$D$13*BG141)*AZ141/(BB141+273)*$E$13)</f>
        <v>0</v>
      </c>
      <c r="AJ141">
        <f>$B$11*BH141+$C$11*BI141+$D$11*BT141</f>
        <v>0</v>
      </c>
      <c r="AK141">
        <f>AJ141*AL141</f>
        <v>0</v>
      </c>
      <c r="AL141">
        <f>($B$11*$D$9+$C$11*$D$9+$D$11*(BU141*$E$9+BV141*$G$9))/($B$11+$C$11+$D$11)</f>
        <v>0</v>
      </c>
      <c r="AM141">
        <f>($B$11*$K$9+$C$11*$K$9+$D$11*(BU141*$L$9+BV141*$N$9))/($B$11+$C$11+$D$11)</f>
        <v>0</v>
      </c>
      <c r="AN141">
        <v>3</v>
      </c>
      <c r="AO141">
        <v>0.5</v>
      </c>
      <c r="AP141" t="s">
        <v>331</v>
      </c>
      <c r="AQ141">
        <v>2</v>
      </c>
      <c r="AR141">
        <v>1773276297.041936</v>
      </c>
      <c r="AS141">
        <v>461.3858387096774</v>
      </c>
      <c r="AT141">
        <v>459.8136774193549</v>
      </c>
      <c r="AU141">
        <v>14.17556774193548</v>
      </c>
      <c r="AV141">
        <v>13.20866451612903</v>
      </c>
      <c r="AW141">
        <v>454.8902903225806</v>
      </c>
      <c r="AX141">
        <v>14.11675483870968</v>
      </c>
      <c r="AY141">
        <v>500.0083870967741</v>
      </c>
      <c r="AZ141">
        <v>100.3238064516129</v>
      </c>
      <c r="BA141">
        <v>0.03783055161290322</v>
      </c>
      <c r="BB141">
        <v>25.01644193548387</v>
      </c>
      <c r="BC141">
        <v>25.37453870967742</v>
      </c>
      <c r="BD141">
        <v>999.9000000000003</v>
      </c>
      <c r="BE141">
        <v>0</v>
      </c>
      <c r="BF141">
        <v>0</v>
      </c>
      <c r="BG141">
        <v>4998.516129032259</v>
      </c>
      <c r="BH141">
        <v>2.157116774193549</v>
      </c>
      <c r="BI141">
        <v>1228.459032258064</v>
      </c>
      <c r="BJ141">
        <v>1.572105806451613</v>
      </c>
      <c r="BK141">
        <v>468.0202580645161</v>
      </c>
      <c r="BL141">
        <v>465.9685161290323</v>
      </c>
      <c r="BM141">
        <v>0.9669107741935483</v>
      </c>
      <c r="BN141">
        <v>459.8136774193549</v>
      </c>
      <c r="BO141">
        <v>13.20866451612903</v>
      </c>
      <c r="BP141">
        <v>1.422146451612903</v>
      </c>
      <c r="BQ141">
        <v>1.325142580645162</v>
      </c>
      <c r="BR141">
        <v>12.15584838709678</v>
      </c>
      <c r="BS141">
        <v>11.08708709677419</v>
      </c>
      <c r="BT141">
        <v>0</v>
      </c>
      <c r="BU141">
        <v>0</v>
      </c>
      <c r="BV141">
        <v>0</v>
      </c>
      <c r="BW141">
        <v>30</v>
      </c>
      <c r="BX141">
        <v>55</v>
      </c>
      <c r="BY141">
        <v>1773268786.6</v>
      </c>
      <c r="BZ141" t="s">
        <v>332</v>
      </c>
      <c r="CA141">
        <v>1773268786.6</v>
      </c>
      <c r="CB141">
        <v>1773268774.1</v>
      </c>
      <c r="CC141">
        <v>2</v>
      </c>
      <c r="CD141">
        <v>0.264</v>
      </c>
      <c r="CE141">
        <v>-0.024</v>
      </c>
      <c r="CF141">
        <v>6.495</v>
      </c>
      <c r="CG141">
        <v>0.059</v>
      </c>
      <c r="CH141">
        <v>488</v>
      </c>
      <c r="CI141">
        <v>25</v>
      </c>
      <c r="CJ141">
        <v>0.48</v>
      </c>
      <c r="CK141">
        <v>0.14</v>
      </c>
      <c r="CL141">
        <v>459.7709032258064</v>
      </c>
      <c r="CM141">
        <v>2.926200903392414</v>
      </c>
      <c r="CN141">
        <v>0.217351707672845</v>
      </c>
      <c r="CO141">
        <v>-1</v>
      </c>
      <c r="CP141">
        <v>500.0072580645161</v>
      </c>
      <c r="CQ141">
        <v>0.05033367855440434</v>
      </c>
      <c r="CR141">
        <v>0.04733134250526315</v>
      </c>
      <c r="CS141">
        <v>-1</v>
      </c>
      <c r="CT141">
        <v>0</v>
      </c>
      <c r="CU141">
        <v>0</v>
      </c>
      <c r="CV141" t="s">
        <v>333</v>
      </c>
      <c r="CW141">
        <v>3.17092</v>
      </c>
      <c r="CX141">
        <v>2.65923</v>
      </c>
      <c r="CY141">
        <v>0.1077</v>
      </c>
      <c r="CZ141">
        <v>0.108647</v>
      </c>
      <c r="DA141">
        <v>0.07740900000000001</v>
      </c>
      <c r="DB141">
        <v>0.0733864</v>
      </c>
      <c r="DC141">
        <v>21347.6</v>
      </c>
      <c r="DD141">
        <v>21877.6</v>
      </c>
      <c r="DE141">
        <v>23042.1</v>
      </c>
      <c r="DF141">
        <v>22454.9</v>
      </c>
      <c r="DG141">
        <v>32129.8</v>
      </c>
      <c r="DH141">
        <v>29334.8</v>
      </c>
      <c r="DI141">
        <v>40518.7</v>
      </c>
      <c r="DJ141">
        <v>37157.7</v>
      </c>
      <c r="DK141">
        <v>2.0768</v>
      </c>
      <c r="DL141">
        <v>1.65394</v>
      </c>
      <c r="DM141">
        <v>-0.127947</v>
      </c>
      <c r="DN141">
        <v>0</v>
      </c>
      <c r="DO141">
        <v>27.4701</v>
      </c>
      <c r="DP141">
        <v>999.9</v>
      </c>
      <c r="DQ141">
        <v>44.2</v>
      </c>
      <c r="DR141">
        <v>35.5</v>
      </c>
      <c r="DS141">
        <v>25.5845</v>
      </c>
      <c r="DT141">
        <v>30.1265</v>
      </c>
      <c r="DU141">
        <v>12.5561</v>
      </c>
      <c r="DV141">
        <v>1</v>
      </c>
      <c r="DW141">
        <v>0.400272</v>
      </c>
      <c r="DX141">
        <v>4.04542</v>
      </c>
      <c r="DY141">
        <v>20.3076</v>
      </c>
      <c r="DZ141">
        <v>5.20998</v>
      </c>
      <c r="EA141">
        <v>11.8542</v>
      </c>
      <c r="EB141">
        <v>4.96776</v>
      </c>
      <c r="EC141">
        <v>3.29206</v>
      </c>
      <c r="ED141">
        <v>879.4</v>
      </c>
      <c r="EE141">
        <v>9999</v>
      </c>
      <c r="EF141">
        <v>9999</v>
      </c>
      <c r="EG141">
        <v>82.2</v>
      </c>
      <c r="EH141">
        <v>4.97155</v>
      </c>
      <c r="EI141">
        <v>1.87197</v>
      </c>
      <c r="EJ141">
        <v>1.86923</v>
      </c>
      <c r="EK141">
        <v>1.87164</v>
      </c>
      <c r="EL141">
        <v>1.86935</v>
      </c>
      <c r="EM141">
        <v>1.86829</v>
      </c>
      <c r="EN141">
        <v>1.87012</v>
      </c>
      <c r="EO141">
        <v>1.87184</v>
      </c>
      <c r="EP141">
        <v>0</v>
      </c>
      <c r="EQ141">
        <v>0</v>
      </c>
      <c r="ER141">
        <v>0</v>
      </c>
      <c r="ES141">
        <v>0</v>
      </c>
      <c r="ET141" t="s">
        <v>334</v>
      </c>
      <c r="EU141" t="s">
        <v>335</v>
      </c>
      <c r="EV141" t="s">
        <v>336</v>
      </c>
      <c r="EW141" t="s">
        <v>336</v>
      </c>
      <c r="EX141" t="s">
        <v>336</v>
      </c>
      <c r="EY141" t="s">
        <v>336</v>
      </c>
      <c r="EZ141">
        <v>0</v>
      </c>
      <c r="FA141">
        <v>100</v>
      </c>
      <c r="FB141">
        <v>100</v>
      </c>
      <c r="FC141">
        <v>6.496</v>
      </c>
      <c r="FD141">
        <v>0.0588</v>
      </c>
      <c r="FE141">
        <v>6.495476190476325</v>
      </c>
      <c r="FF141">
        <v>0</v>
      </c>
      <c r="FG141">
        <v>0</v>
      </c>
      <c r="FH141">
        <v>0</v>
      </c>
      <c r="FI141">
        <v>0.05881499999999917</v>
      </c>
      <c r="FJ141">
        <v>0</v>
      </c>
      <c r="FK141">
        <v>0</v>
      </c>
      <c r="FL141">
        <v>0</v>
      </c>
      <c r="FM141">
        <v>-1</v>
      </c>
      <c r="FN141">
        <v>-1</v>
      </c>
      <c r="FO141">
        <v>-1</v>
      </c>
      <c r="FP141">
        <v>-1</v>
      </c>
      <c r="FQ141">
        <v>125.3</v>
      </c>
      <c r="FR141">
        <v>125.5</v>
      </c>
      <c r="FS141">
        <v>0.142822</v>
      </c>
      <c r="FT141">
        <v>4.99756</v>
      </c>
      <c r="FU141">
        <v>1.5979</v>
      </c>
      <c r="FV141">
        <v>2.13135</v>
      </c>
      <c r="FW141">
        <v>1.54785</v>
      </c>
      <c r="FX141">
        <v>2.37915</v>
      </c>
      <c r="FY141">
        <v>41.0154</v>
      </c>
      <c r="FZ141">
        <v>15.6205</v>
      </c>
      <c r="GA141">
        <v>3</v>
      </c>
      <c r="GB141">
        <v>508.536</v>
      </c>
      <c r="GC141">
        <v>339.755</v>
      </c>
      <c r="GD141">
        <v>21.8427</v>
      </c>
      <c r="GE141">
        <v>32.0755</v>
      </c>
      <c r="GF141">
        <v>30.0006</v>
      </c>
      <c r="GG141">
        <v>31.9771</v>
      </c>
      <c r="GH141">
        <v>31.976</v>
      </c>
      <c r="GI141">
        <v>-1</v>
      </c>
      <c r="GJ141">
        <v>100</v>
      </c>
      <c r="GK141">
        <v>0</v>
      </c>
      <c r="GL141">
        <v>21.8341</v>
      </c>
      <c r="GM141">
        <v>1200</v>
      </c>
      <c r="GN141">
        <v>26.7455</v>
      </c>
      <c r="GO141">
        <v>101.971</v>
      </c>
      <c r="GP141">
        <v>97.01309999999999</v>
      </c>
    </row>
    <row r="142" spans="1:198">
      <c r="A142">
        <v>126</v>
      </c>
      <c r="B142">
        <v>1773276365</v>
      </c>
      <c r="C142">
        <v>7501.400000095367</v>
      </c>
      <c r="D142" t="s">
        <v>585</v>
      </c>
      <c r="E142" t="s">
        <v>586</v>
      </c>
      <c r="F142">
        <v>15</v>
      </c>
      <c r="G142">
        <v>1773276357</v>
      </c>
      <c r="H142">
        <f>(I142)/1000</f>
        <v>0</v>
      </c>
      <c r="I142">
        <f>1000*AY142*AG142*(AU142-AV142)/(100*AN142*(1000-AG142*AU142))</f>
        <v>0</v>
      </c>
      <c r="J142">
        <f>AY142*AG142*(AT142-AS142*(1000-AG142*AV142)/(1000-AG142*AU142))/(100*AN142)</f>
        <v>0</v>
      </c>
      <c r="K142">
        <f>AS142 - IF(AG142&gt;1, J142*AN142*100.0/(AI142), 0)</f>
        <v>0</v>
      </c>
      <c r="L142">
        <f>((R142-H142/2)*K142-J142)/(R142+H142/2)</f>
        <v>0</v>
      </c>
      <c r="M142">
        <f>L142*(AZ142+BA142)/1000.0</f>
        <v>0</v>
      </c>
      <c r="N142">
        <f>(AS142 - IF(AG142&gt;1, J142*AN142*100.0/(AI142), 0))*(AZ142+BA142)/1000.0</f>
        <v>0</v>
      </c>
      <c r="O142">
        <f>2.0/((1/Q142-1/P142)+SIGN(Q142)*SQRT((1/Q142-1/P142)*(1/Q142-1/P142) + 4*AO142/((AO142+1)*(AO142+1))*(2*1/Q142*1/P142-1/P142*1/P142)))</f>
        <v>0</v>
      </c>
      <c r="P142">
        <f>IF(LEFT(AP142,1)&lt;&gt;"0",IF(LEFT(AP142,1)="1",3.0,AQ142),$D$5+$E$5*(BG142*AZ142/($K$5*1000))+$F$5*(BG142*AZ142/($K$5*1000))*MAX(MIN(AN142,$J$5),$I$5)*MAX(MIN(AN142,$J$5),$I$5)+$G$5*MAX(MIN(AN142,$J$5),$I$5)*(BG142*AZ142/($K$5*1000))+$H$5*(BG142*AZ142/($K$5*1000))*(BG142*AZ142/($K$5*1000)))</f>
        <v>0</v>
      </c>
      <c r="Q142">
        <f>H142*(1000-(1000*0.61365*exp(17.502*U142/(240.97+U142))/(AZ142+BA142)+AU142)/2)/(1000*0.61365*exp(17.502*U142/(240.97+U142))/(AZ142+BA142)-AU142)</f>
        <v>0</v>
      </c>
      <c r="R142">
        <f>1/((AO142+1)/(O142/1.6)+1/(P142/1.37)) + AO142/((AO142+1)/(O142/1.6) + AO142/(P142/1.37))</f>
        <v>0</v>
      </c>
      <c r="S142">
        <f>(AJ142*AM142)</f>
        <v>0</v>
      </c>
      <c r="T142">
        <f>(BB142+(S142+2*0.95*5.67E-8*(((BB142+$B$7)+273)^4-(BB142+273)^4)-44100*H142)/(1.84*29.3*P142+8*0.95*5.67E-8*(BB142+273)^3))</f>
        <v>0</v>
      </c>
      <c r="U142">
        <f>($C$7*BC142+$D$7*BD142+$E$7*T142)</f>
        <v>0</v>
      </c>
      <c r="V142">
        <f>0.61365*exp(17.502*U142/(240.97+U142))</f>
        <v>0</v>
      </c>
      <c r="W142">
        <f>(X142/Y142*100)</f>
        <v>0</v>
      </c>
      <c r="X142">
        <f>AU142*(AZ142+BA142)/1000</f>
        <v>0</v>
      </c>
      <c r="Y142">
        <f>0.61365*exp(17.502*BB142/(240.97+BB142))</f>
        <v>0</v>
      </c>
      <c r="Z142">
        <f>(V142-AU142*(AZ142+BA142)/1000)</f>
        <v>0</v>
      </c>
      <c r="AA142">
        <f>(-H142*44100)</f>
        <v>0</v>
      </c>
      <c r="AB142">
        <f>2*29.3*P142*0.92*(BB142-U142)</f>
        <v>0</v>
      </c>
      <c r="AC142">
        <f>2*0.95*5.67E-8*(((BB142+$B$7)+273)^4-(U142+273)^4)</f>
        <v>0</v>
      </c>
      <c r="AD142">
        <f>S142+AC142+AA142+AB142</f>
        <v>0</v>
      </c>
      <c r="AE142">
        <v>0</v>
      </c>
      <c r="AF142">
        <v>0</v>
      </c>
      <c r="AG142">
        <f>IF(AE142*$H$13&gt;=AI142,1.0,(AI142/(AI142-AE142*$H$13)))</f>
        <v>0</v>
      </c>
      <c r="AH142">
        <f>(AG142-1)*100</f>
        <v>0</v>
      </c>
      <c r="AI142">
        <f>MAX(0,($B$13+$C$13*BG142)/(1+$D$13*BG142)*AZ142/(BB142+273)*$E$13)</f>
        <v>0</v>
      </c>
      <c r="AJ142">
        <f>$B$11*BH142+$C$11*BI142+$D$11*BT142</f>
        <v>0</v>
      </c>
      <c r="AK142">
        <f>AJ142*AL142</f>
        <v>0</v>
      </c>
      <c r="AL142">
        <f>($B$11*$D$9+$C$11*$D$9+$D$11*(BU142*$E$9+BV142*$G$9))/($B$11+$C$11+$D$11)</f>
        <v>0</v>
      </c>
      <c r="AM142">
        <f>($B$11*$K$9+$C$11*$K$9+$D$11*(BU142*$L$9+BV142*$N$9))/($B$11+$C$11+$D$11)</f>
        <v>0</v>
      </c>
      <c r="AN142">
        <v>3</v>
      </c>
      <c r="AO142">
        <v>0.5</v>
      </c>
      <c r="AP142" t="s">
        <v>331</v>
      </c>
      <c r="AQ142">
        <v>2</v>
      </c>
      <c r="AR142">
        <v>1773276357</v>
      </c>
      <c r="AS142">
        <v>460.9995806451613</v>
      </c>
      <c r="AT142">
        <v>459.4964516129033</v>
      </c>
      <c r="AU142">
        <v>14.24050322580645</v>
      </c>
      <c r="AV142">
        <v>13.29411290322581</v>
      </c>
      <c r="AW142">
        <v>454.503935483871</v>
      </c>
      <c r="AX142">
        <v>14.18168709677419</v>
      </c>
      <c r="AY142">
        <v>499.9911290322581</v>
      </c>
      <c r="AZ142">
        <v>100.3176129032258</v>
      </c>
      <c r="BA142">
        <v>0.03897803548387097</v>
      </c>
      <c r="BB142">
        <v>25.02551935483871</v>
      </c>
      <c r="BC142">
        <v>25.38251290322581</v>
      </c>
      <c r="BD142">
        <v>999.9000000000003</v>
      </c>
      <c r="BE142">
        <v>0</v>
      </c>
      <c r="BF142">
        <v>0</v>
      </c>
      <c r="BG142">
        <v>4994.032258064516</v>
      </c>
      <c r="BH142">
        <v>2.123825806451612</v>
      </c>
      <c r="BI142">
        <v>1224.422258064516</v>
      </c>
      <c r="BJ142">
        <v>1.503104838709677</v>
      </c>
      <c r="BK142">
        <v>467.6592258064516</v>
      </c>
      <c r="BL142">
        <v>465.6872580645161</v>
      </c>
      <c r="BM142">
        <v>0.9463781290322583</v>
      </c>
      <c r="BN142">
        <v>459.4964516129033</v>
      </c>
      <c r="BO142">
        <v>13.29411290322581</v>
      </c>
      <c r="BP142">
        <v>1.428573870967742</v>
      </c>
      <c r="BQ142">
        <v>1.333634193548387</v>
      </c>
      <c r="BR142">
        <v>12.22437096774194</v>
      </c>
      <c r="BS142">
        <v>11.18335806451613</v>
      </c>
      <c r="BT142">
        <v>0</v>
      </c>
      <c r="BU142">
        <v>0</v>
      </c>
      <c r="BV142">
        <v>0</v>
      </c>
      <c r="BW142">
        <v>30</v>
      </c>
      <c r="BX142">
        <v>53.4569935483871</v>
      </c>
      <c r="BY142">
        <v>1773268786.6</v>
      </c>
      <c r="BZ142" t="s">
        <v>332</v>
      </c>
      <c r="CA142">
        <v>1773268786.6</v>
      </c>
      <c r="CB142">
        <v>1773268774.1</v>
      </c>
      <c r="CC142">
        <v>2</v>
      </c>
      <c r="CD142">
        <v>0.264</v>
      </c>
      <c r="CE142">
        <v>-0.024</v>
      </c>
      <c r="CF142">
        <v>6.495</v>
      </c>
      <c r="CG142">
        <v>0.059</v>
      </c>
      <c r="CH142">
        <v>488</v>
      </c>
      <c r="CI142">
        <v>25</v>
      </c>
      <c r="CJ142">
        <v>0.48</v>
      </c>
      <c r="CK142">
        <v>0.14</v>
      </c>
      <c r="CL142">
        <v>459.4964516129033</v>
      </c>
      <c r="CM142">
        <v>-2.900854838710189</v>
      </c>
      <c r="CN142">
        <v>0.2837632860279869</v>
      </c>
      <c r="CO142">
        <v>-1</v>
      </c>
      <c r="CP142">
        <v>499.9911290322581</v>
      </c>
      <c r="CQ142">
        <v>-0.1553225806475233</v>
      </c>
      <c r="CR142">
        <v>0.06242194709962765</v>
      </c>
      <c r="CS142">
        <v>-1</v>
      </c>
      <c r="CT142">
        <v>0</v>
      </c>
      <c r="CU142">
        <v>0</v>
      </c>
      <c r="CV142" t="s">
        <v>333</v>
      </c>
      <c r="CW142">
        <v>3.1709</v>
      </c>
      <c r="CX142">
        <v>2.66014</v>
      </c>
      <c r="CY142">
        <v>0.107589</v>
      </c>
      <c r="CZ142">
        <v>0.108373</v>
      </c>
      <c r="DA142">
        <v>0.0776618</v>
      </c>
      <c r="DB142">
        <v>0.0737155</v>
      </c>
      <c r="DC142">
        <v>21347</v>
      </c>
      <c r="DD142">
        <v>21881.3</v>
      </c>
      <c r="DE142">
        <v>23038.9</v>
      </c>
      <c r="DF142">
        <v>22452</v>
      </c>
      <c r="DG142">
        <v>32116.7</v>
      </c>
      <c r="DH142">
        <v>29320.4</v>
      </c>
      <c r="DI142">
        <v>40513.5</v>
      </c>
      <c r="DJ142">
        <v>37152.9</v>
      </c>
      <c r="DK142">
        <v>2.07608</v>
      </c>
      <c r="DL142">
        <v>1.6513</v>
      </c>
      <c r="DM142">
        <v>-0.129125</v>
      </c>
      <c r="DN142">
        <v>0</v>
      </c>
      <c r="DO142">
        <v>27.4904</v>
      </c>
      <c r="DP142">
        <v>999.9</v>
      </c>
      <c r="DQ142">
        <v>43.8</v>
      </c>
      <c r="DR142">
        <v>35.5</v>
      </c>
      <c r="DS142">
        <v>25.3541</v>
      </c>
      <c r="DT142">
        <v>30.3365</v>
      </c>
      <c r="DU142">
        <v>13.0128</v>
      </c>
      <c r="DV142">
        <v>1</v>
      </c>
      <c r="DW142">
        <v>0.406705</v>
      </c>
      <c r="DX142">
        <v>3.94357</v>
      </c>
      <c r="DY142">
        <v>20.3103</v>
      </c>
      <c r="DZ142">
        <v>5.21082</v>
      </c>
      <c r="EA142">
        <v>11.8542</v>
      </c>
      <c r="EB142">
        <v>4.96776</v>
      </c>
      <c r="EC142">
        <v>3.29216</v>
      </c>
      <c r="ED142">
        <v>879.4</v>
      </c>
      <c r="EE142">
        <v>9999</v>
      </c>
      <c r="EF142">
        <v>9999</v>
      </c>
      <c r="EG142">
        <v>82.2</v>
      </c>
      <c r="EH142">
        <v>4.97155</v>
      </c>
      <c r="EI142">
        <v>1.87197</v>
      </c>
      <c r="EJ142">
        <v>1.86925</v>
      </c>
      <c r="EK142">
        <v>1.87164</v>
      </c>
      <c r="EL142">
        <v>1.86935</v>
      </c>
      <c r="EM142">
        <v>1.86829</v>
      </c>
      <c r="EN142">
        <v>1.87012</v>
      </c>
      <c r="EO142">
        <v>1.87184</v>
      </c>
      <c r="EP142">
        <v>0</v>
      </c>
      <c r="EQ142">
        <v>0</v>
      </c>
      <c r="ER142">
        <v>0</v>
      </c>
      <c r="ES142">
        <v>0</v>
      </c>
      <c r="ET142" t="s">
        <v>334</v>
      </c>
      <c r="EU142" t="s">
        <v>335</v>
      </c>
      <c r="EV142" t="s">
        <v>336</v>
      </c>
      <c r="EW142" t="s">
        <v>336</v>
      </c>
      <c r="EX142" t="s">
        <v>336</v>
      </c>
      <c r="EY142" t="s">
        <v>336</v>
      </c>
      <c r="EZ142">
        <v>0</v>
      </c>
      <c r="FA142">
        <v>100</v>
      </c>
      <c r="FB142">
        <v>100</v>
      </c>
      <c r="FC142">
        <v>6.495</v>
      </c>
      <c r="FD142">
        <v>0.0588</v>
      </c>
      <c r="FE142">
        <v>6.495476190476325</v>
      </c>
      <c r="FF142">
        <v>0</v>
      </c>
      <c r="FG142">
        <v>0</v>
      </c>
      <c r="FH142">
        <v>0</v>
      </c>
      <c r="FI142">
        <v>0.05881499999999917</v>
      </c>
      <c r="FJ142">
        <v>0</v>
      </c>
      <c r="FK142">
        <v>0</v>
      </c>
      <c r="FL142">
        <v>0</v>
      </c>
      <c r="FM142">
        <v>-1</v>
      </c>
      <c r="FN142">
        <v>-1</v>
      </c>
      <c r="FO142">
        <v>-1</v>
      </c>
      <c r="FP142">
        <v>-1</v>
      </c>
      <c r="FQ142">
        <v>126.3</v>
      </c>
      <c r="FR142">
        <v>126.5</v>
      </c>
      <c r="FS142">
        <v>0.142822</v>
      </c>
      <c r="FT142">
        <v>4.99756</v>
      </c>
      <c r="FU142">
        <v>1.5979</v>
      </c>
      <c r="FV142">
        <v>2.13135</v>
      </c>
      <c r="FW142">
        <v>1.54785</v>
      </c>
      <c r="FX142">
        <v>2.44873</v>
      </c>
      <c r="FY142">
        <v>41.1446</v>
      </c>
      <c r="FZ142">
        <v>15.6118</v>
      </c>
      <c r="GA142">
        <v>3</v>
      </c>
      <c r="GB142">
        <v>508.628</v>
      </c>
      <c r="GC142">
        <v>338.737</v>
      </c>
      <c r="GD142">
        <v>21.964</v>
      </c>
      <c r="GE142">
        <v>32.1635</v>
      </c>
      <c r="GF142">
        <v>30.0006</v>
      </c>
      <c r="GG142">
        <v>32.0459</v>
      </c>
      <c r="GH142">
        <v>32.0382</v>
      </c>
      <c r="GI142">
        <v>-1</v>
      </c>
      <c r="GJ142">
        <v>100</v>
      </c>
      <c r="GK142">
        <v>0</v>
      </c>
      <c r="GL142">
        <v>21.9412</v>
      </c>
      <c r="GM142">
        <v>1200</v>
      </c>
      <c r="GN142">
        <v>26.7455</v>
      </c>
      <c r="GO142">
        <v>101.957</v>
      </c>
      <c r="GP142">
        <v>97.0005</v>
      </c>
    </row>
    <row r="143" spans="1:198">
      <c r="A143">
        <v>127</v>
      </c>
      <c r="B143">
        <v>1773276425</v>
      </c>
      <c r="C143">
        <v>7561.400000095367</v>
      </c>
      <c r="D143" t="s">
        <v>587</v>
      </c>
      <c r="E143" t="s">
        <v>588</v>
      </c>
      <c r="F143">
        <v>15</v>
      </c>
      <c r="G143">
        <v>1773276417</v>
      </c>
      <c r="H143">
        <f>(I143)/1000</f>
        <v>0</v>
      </c>
      <c r="I143">
        <f>1000*AY143*AG143*(AU143-AV143)/(100*AN143*(1000-AG143*AU143))</f>
        <v>0</v>
      </c>
      <c r="J143">
        <f>AY143*AG143*(AT143-AS143*(1000-AG143*AV143)/(1000-AG143*AU143))/(100*AN143)</f>
        <v>0</v>
      </c>
      <c r="K143">
        <f>AS143 - IF(AG143&gt;1, J143*AN143*100.0/(AI143), 0)</f>
        <v>0</v>
      </c>
      <c r="L143">
        <f>((R143-H143/2)*K143-J143)/(R143+H143/2)</f>
        <v>0</v>
      </c>
      <c r="M143">
        <f>L143*(AZ143+BA143)/1000.0</f>
        <v>0</v>
      </c>
      <c r="N143">
        <f>(AS143 - IF(AG143&gt;1, J143*AN143*100.0/(AI143), 0))*(AZ143+BA143)/1000.0</f>
        <v>0</v>
      </c>
      <c r="O143">
        <f>2.0/((1/Q143-1/P143)+SIGN(Q143)*SQRT((1/Q143-1/P143)*(1/Q143-1/P143) + 4*AO143/((AO143+1)*(AO143+1))*(2*1/Q143*1/P143-1/P143*1/P143)))</f>
        <v>0</v>
      </c>
      <c r="P143">
        <f>IF(LEFT(AP143,1)&lt;&gt;"0",IF(LEFT(AP143,1)="1",3.0,AQ143),$D$5+$E$5*(BG143*AZ143/($K$5*1000))+$F$5*(BG143*AZ143/($K$5*1000))*MAX(MIN(AN143,$J$5),$I$5)*MAX(MIN(AN143,$J$5),$I$5)+$G$5*MAX(MIN(AN143,$J$5),$I$5)*(BG143*AZ143/($K$5*1000))+$H$5*(BG143*AZ143/($K$5*1000))*(BG143*AZ143/($K$5*1000)))</f>
        <v>0</v>
      </c>
      <c r="Q143">
        <f>H143*(1000-(1000*0.61365*exp(17.502*U143/(240.97+U143))/(AZ143+BA143)+AU143)/2)/(1000*0.61365*exp(17.502*U143/(240.97+U143))/(AZ143+BA143)-AU143)</f>
        <v>0</v>
      </c>
      <c r="R143">
        <f>1/((AO143+1)/(O143/1.6)+1/(P143/1.37)) + AO143/((AO143+1)/(O143/1.6) + AO143/(P143/1.37))</f>
        <v>0</v>
      </c>
      <c r="S143">
        <f>(AJ143*AM143)</f>
        <v>0</v>
      </c>
      <c r="T143">
        <f>(BB143+(S143+2*0.95*5.67E-8*(((BB143+$B$7)+273)^4-(BB143+273)^4)-44100*H143)/(1.84*29.3*P143+8*0.95*5.67E-8*(BB143+273)^3))</f>
        <v>0</v>
      </c>
      <c r="U143">
        <f>($C$7*BC143+$D$7*BD143+$E$7*T143)</f>
        <v>0</v>
      </c>
      <c r="V143">
        <f>0.61365*exp(17.502*U143/(240.97+U143))</f>
        <v>0</v>
      </c>
      <c r="W143">
        <f>(X143/Y143*100)</f>
        <v>0</v>
      </c>
      <c r="X143">
        <f>AU143*(AZ143+BA143)/1000</f>
        <v>0</v>
      </c>
      <c r="Y143">
        <f>0.61365*exp(17.502*BB143/(240.97+BB143))</f>
        <v>0</v>
      </c>
      <c r="Z143">
        <f>(V143-AU143*(AZ143+BA143)/1000)</f>
        <v>0</v>
      </c>
      <c r="AA143">
        <f>(-H143*44100)</f>
        <v>0</v>
      </c>
      <c r="AB143">
        <f>2*29.3*P143*0.92*(BB143-U143)</f>
        <v>0</v>
      </c>
      <c r="AC143">
        <f>2*0.95*5.67E-8*(((BB143+$B$7)+273)^4-(U143+273)^4)</f>
        <v>0</v>
      </c>
      <c r="AD143">
        <f>S143+AC143+AA143+AB143</f>
        <v>0</v>
      </c>
      <c r="AE143">
        <v>0</v>
      </c>
      <c r="AF143">
        <v>0</v>
      </c>
      <c r="AG143">
        <f>IF(AE143*$H$13&gt;=AI143,1.0,(AI143/(AI143-AE143*$H$13)))</f>
        <v>0</v>
      </c>
      <c r="AH143">
        <f>(AG143-1)*100</f>
        <v>0</v>
      </c>
      <c r="AI143">
        <f>MAX(0,($B$13+$C$13*BG143)/(1+$D$13*BG143)*AZ143/(BB143+273)*$E$13)</f>
        <v>0</v>
      </c>
      <c r="AJ143">
        <f>$B$11*BH143+$C$11*BI143+$D$11*BT143</f>
        <v>0</v>
      </c>
      <c r="AK143">
        <f>AJ143*AL143</f>
        <v>0</v>
      </c>
      <c r="AL143">
        <f>($B$11*$D$9+$C$11*$D$9+$D$11*(BU143*$E$9+BV143*$G$9))/($B$11+$C$11+$D$11)</f>
        <v>0</v>
      </c>
      <c r="AM143">
        <f>($B$11*$K$9+$C$11*$K$9+$D$11*(BU143*$L$9+BV143*$N$9))/($B$11+$C$11+$D$11)</f>
        <v>0</v>
      </c>
      <c r="AN143">
        <v>3</v>
      </c>
      <c r="AO143">
        <v>0.5</v>
      </c>
      <c r="AP143" t="s">
        <v>331</v>
      </c>
      <c r="AQ143">
        <v>2</v>
      </c>
      <c r="AR143">
        <v>1773276417</v>
      </c>
      <c r="AS143">
        <v>462.1613548387097</v>
      </c>
      <c r="AT143">
        <v>460.6579032258065</v>
      </c>
      <c r="AU143">
        <v>14.27316774193548</v>
      </c>
      <c r="AV143">
        <v>13.3314</v>
      </c>
      <c r="AW143">
        <v>455.6656451612903</v>
      </c>
      <c r="AX143">
        <v>14.21435161290323</v>
      </c>
      <c r="AY143">
        <v>500.0024516129033</v>
      </c>
      <c r="AZ143">
        <v>100.3193548387097</v>
      </c>
      <c r="BA143">
        <v>0.03831701290322581</v>
      </c>
      <c r="BB143">
        <v>24.99105806451612</v>
      </c>
      <c r="BC143">
        <v>25.35022903225806</v>
      </c>
      <c r="BD143">
        <v>999.9000000000003</v>
      </c>
      <c r="BE143">
        <v>0</v>
      </c>
      <c r="BF143">
        <v>0</v>
      </c>
      <c r="BG143">
        <v>4997.145161290323</v>
      </c>
      <c r="BH143">
        <v>2.091152258064517</v>
      </c>
      <c r="BI143">
        <v>1241.842258064516</v>
      </c>
      <c r="BJ143">
        <v>1.50332935483871</v>
      </c>
      <c r="BK143">
        <v>468.8532580645161</v>
      </c>
      <c r="BL143">
        <v>466.8821935483871</v>
      </c>
      <c r="BM143">
        <v>0.9417746451612902</v>
      </c>
      <c r="BN143">
        <v>460.6579032258065</v>
      </c>
      <c r="BO143">
        <v>13.3314</v>
      </c>
      <c r="BP143">
        <v>1.431876129032258</v>
      </c>
      <c r="BQ143">
        <v>1.337398064516129</v>
      </c>
      <c r="BR143">
        <v>12.25948064516129</v>
      </c>
      <c r="BS143">
        <v>11.22583870967742</v>
      </c>
      <c r="BT143">
        <v>0</v>
      </c>
      <c r="BU143">
        <v>0</v>
      </c>
      <c r="BV143">
        <v>0</v>
      </c>
      <c r="BW143">
        <v>30</v>
      </c>
      <c r="BX143">
        <v>52</v>
      </c>
      <c r="BY143">
        <v>1773268786.6</v>
      </c>
      <c r="BZ143" t="s">
        <v>332</v>
      </c>
      <c r="CA143">
        <v>1773268786.6</v>
      </c>
      <c r="CB143">
        <v>1773268774.1</v>
      </c>
      <c r="CC143">
        <v>2</v>
      </c>
      <c r="CD143">
        <v>0.264</v>
      </c>
      <c r="CE143">
        <v>-0.024</v>
      </c>
      <c r="CF143">
        <v>6.495</v>
      </c>
      <c r="CG143">
        <v>0.059</v>
      </c>
      <c r="CH143">
        <v>488</v>
      </c>
      <c r="CI143">
        <v>25</v>
      </c>
      <c r="CJ143">
        <v>0.48</v>
      </c>
      <c r="CK143">
        <v>0.14</v>
      </c>
      <c r="CL143">
        <v>460.6579032258065</v>
      </c>
      <c r="CM143">
        <v>-0.2424193548404608</v>
      </c>
      <c r="CN143">
        <v>0.08168047693405328</v>
      </c>
      <c r="CO143">
        <v>-1</v>
      </c>
      <c r="CP143">
        <v>500.0024516129033</v>
      </c>
      <c r="CQ143">
        <v>0.1295806451583443</v>
      </c>
      <c r="CR143">
        <v>0.04638189212131448</v>
      </c>
      <c r="CS143">
        <v>-1</v>
      </c>
      <c r="CT143">
        <v>0</v>
      </c>
      <c r="CU143">
        <v>0</v>
      </c>
      <c r="CV143" t="s">
        <v>333</v>
      </c>
      <c r="CW143">
        <v>3.17084</v>
      </c>
      <c r="CX143">
        <v>2.65933</v>
      </c>
      <c r="CY143">
        <v>0.107795</v>
      </c>
      <c r="CZ143">
        <v>0.1087</v>
      </c>
      <c r="DA143">
        <v>0.07778069999999999</v>
      </c>
      <c r="DB143">
        <v>0.0738505</v>
      </c>
      <c r="DC143">
        <v>21340.3</v>
      </c>
      <c r="DD143">
        <v>21872.7</v>
      </c>
      <c r="DE143">
        <v>23037.2</v>
      </c>
      <c r="DF143">
        <v>22451.6</v>
      </c>
      <c r="DG143">
        <v>32110.3</v>
      </c>
      <c r="DH143">
        <v>29315.5</v>
      </c>
      <c r="DI143">
        <v>40510.8</v>
      </c>
      <c r="DJ143">
        <v>37152.1</v>
      </c>
      <c r="DK143">
        <v>2.0755</v>
      </c>
      <c r="DL143">
        <v>1.65</v>
      </c>
      <c r="DM143">
        <v>-0.127468</v>
      </c>
      <c r="DN143">
        <v>0</v>
      </c>
      <c r="DO143">
        <v>27.4393</v>
      </c>
      <c r="DP143">
        <v>999.9</v>
      </c>
      <c r="DQ143">
        <v>43.6</v>
      </c>
      <c r="DR143">
        <v>35.6</v>
      </c>
      <c r="DS143">
        <v>25.3772</v>
      </c>
      <c r="DT143">
        <v>30.2765</v>
      </c>
      <c r="DU143">
        <v>12.9968</v>
      </c>
      <c r="DV143">
        <v>1</v>
      </c>
      <c r="DW143">
        <v>0.408352</v>
      </c>
      <c r="DX143">
        <v>3.73078</v>
      </c>
      <c r="DY143">
        <v>20.3169</v>
      </c>
      <c r="DZ143">
        <v>5.2113</v>
      </c>
      <c r="EA143">
        <v>11.8541</v>
      </c>
      <c r="EB143">
        <v>4.96772</v>
      </c>
      <c r="EC143">
        <v>3.29222</v>
      </c>
      <c r="ED143">
        <v>879.4</v>
      </c>
      <c r="EE143">
        <v>9999</v>
      </c>
      <c r="EF143">
        <v>9999</v>
      </c>
      <c r="EG143">
        <v>82.2</v>
      </c>
      <c r="EH143">
        <v>4.97157</v>
      </c>
      <c r="EI143">
        <v>1.87196</v>
      </c>
      <c r="EJ143">
        <v>1.86927</v>
      </c>
      <c r="EK143">
        <v>1.87164</v>
      </c>
      <c r="EL143">
        <v>1.86936</v>
      </c>
      <c r="EM143">
        <v>1.86829</v>
      </c>
      <c r="EN143">
        <v>1.87012</v>
      </c>
      <c r="EO143">
        <v>1.87185</v>
      </c>
      <c r="EP143">
        <v>0</v>
      </c>
      <c r="EQ143">
        <v>0</v>
      </c>
      <c r="ER143">
        <v>0</v>
      </c>
      <c r="ES143">
        <v>0</v>
      </c>
      <c r="ET143" t="s">
        <v>334</v>
      </c>
      <c r="EU143" t="s">
        <v>335</v>
      </c>
      <c r="EV143" t="s">
        <v>336</v>
      </c>
      <c r="EW143" t="s">
        <v>336</v>
      </c>
      <c r="EX143" t="s">
        <v>336</v>
      </c>
      <c r="EY143" t="s">
        <v>336</v>
      </c>
      <c r="EZ143">
        <v>0</v>
      </c>
      <c r="FA143">
        <v>100</v>
      </c>
      <c r="FB143">
        <v>100</v>
      </c>
      <c r="FC143">
        <v>6.496</v>
      </c>
      <c r="FD143">
        <v>0.0588</v>
      </c>
      <c r="FE143">
        <v>6.495476190476325</v>
      </c>
      <c r="FF143">
        <v>0</v>
      </c>
      <c r="FG143">
        <v>0</v>
      </c>
      <c r="FH143">
        <v>0</v>
      </c>
      <c r="FI143">
        <v>0.05881499999999917</v>
      </c>
      <c r="FJ143">
        <v>0</v>
      </c>
      <c r="FK143">
        <v>0</v>
      </c>
      <c r="FL143">
        <v>0</v>
      </c>
      <c r="FM143">
        <v>-1</v>
      </c>
      <c r="FN143">
        <v>-1</v>
      </c>
      <c r="FO143">
        <v>-1</v>
      </c>
      <c r="FP143">
        <v>-1</v>
      </c>
      <c r="FQ143">
        <v>127.3</v>
      </c>
      <c r="FR143">
        <v>127.5</v>
      </c>
      <c r="FS143">
        <v>0.142822</v>
      </c>
      <c r="FT143">
        <v>4.99756</v>
      </c>
      <c r="FU143">
        <v>1.5979</v>
      </c>
      <c r="FV143">
        <v>2.13135</v>
      </c>
      <c r="FW143">
        <v>1.54785</v>
      </c>
      <c r="FX143">
        <v>2.45728</v>
      </c>
      <c r="FY143">
        <v>41.2223</v>
      </c>
      <c r="FZ143">
        <v>15.5943</v>
      </c>
      <c r="GA143">
        <v>3</v>
      </c>
      <c r="GB143">
        <v>508.612</v>
      </c>
      <c r="GC143">
        <v>338.285</v>
      </c>
      <c r="GD143">
        <v>22.004</v>
      </c>
      <c r="GE143">
        <v>32.2113</v>
      </c>
      <c r="GF143">
        <v>30.0008</v>
      </c>
      <c r="GG143">
        <v>32.0896</v>
      </c>
      <c r="GH143">
        <v>32.0784</v>
      </c>
      <c r="GI143">
        <v>-1</v>
      </c>
      <c r="GJ143">
        <v>100</v>
      </c>
      <c r="GK143">
        <v>0</v>
      </c>
      <c r="GL143">
        <v>21.9877</v>
      </c>
      <c r="GM143">
        <v>1200</v>
      </c>
      <c r="GN143">
        <v>26.7455</v>
      </c>
      <c r="GO143">
        <v>101.95</v>
      </c>
      <c r="GP143">
        <v>96.9986</v>
      </c>
    </row>
    <row r="144" spans="1:198">
      <c r="A144">
        <v>128</v>
      </c>
      <c r="B144">
        <v>1773276485</v>
      </c>
      <c r="C144">
        <v>7621.400000095367</v>
      </c>
      <c r="D144" t="s">
        <v>589</v>
      </c>
      <c r="E144" t="s">
        <v>590</v>
      </c>
      <c r="F144">
        <v>15</v>
      </c>
      <c r="G144">
        <v>1773276477</v>
      </c>
      <c r="H144">
        <f>(I144)/1000</f>
        <v>0</v>
      </c>
      <c r="I144">
        <f>1000*AY144*AG144*(AU144-AV144)/(100*AN144*(1000-AG144*AU144))</f>
        <v>0</v>
      </c>
      <c r="J144">
        <f>AY144*AG144*(AT144-AS144*(1000-AG144*AV144)/(1000-AG144*AU144))/(100*AN144)</f>
        <v>0</v>
      </c>
      <c r="K144">
        <f>AS144 - IF(AG144&gt;1, J144*AN144*100.0/(AI144), 0)</f>
        <v>0</v>
      </c>
      <c r="L144">
        <f>((R144-H144/2)*K144-J144)/(R144+H144/2)</f>
        <v>0</v>
      </c>
      <c r="M144">
        <f>L144*(AZ144+BA144)/1000.0</f>
        <v>0</v>
      </c>
      <c r="N144">
        <f>(AS144 - IF(AG144&gt;1, J144*AN144*100.0/(AI144), 0))*(AZ144+BA144)/1000.0</f>
        <v>0</v>
      </c>
      <c r="O144">
        <f>2.0/((1/Q144-1/P144)+SIGN(Q144)*SQRT((1/Q144-1/P144)*(1/Q144-1/P144) + 4*AO144/((AO144+1)*(AO144+1))*(2*1/Q144*1/P144-1/P144*1/P144)))</f>
        <v>0</v>
      </c>
      <c r="P144">
        <f>IF(LEFT(AP144,1)&lt;&gt;"0",IF(LEFT(AP144,1)="1",3.0,AQ144),$D$5+$E$5*(BG144*AZ144/($K$5*1000))+$F$5*(BG144*AZ144/($K$5*1000))*MAX(MIN(AN144,$J$5),$I$5)*MAX(MIN(AN144,$J$5),$I$5)+$G$5*MAX(MIN(AN144,$J$5),$I$5)*(BG144*AZ144/($K$5*1000))+$H$5*(BG144*AZ144/($K$5*1000))*(BG144*AZ144/($K$5*1000)))</f>
        <v>0</v>
      </c>
      <c r="Q144">
        <f>H144*(1000-(1000*0.61365*exp(17.502*U144/(240.97+U144))/(AZ144+BA144)+AU144)/2)/(1000*0.61365*exp(17.502*U144/(240.97+U144))/(AZ144+BA144)-AU144)</f>
        <v>0</v>
      </c>
      <c r="R144">
        <f>1/((AO144+1)/(O144/1.6)+1/(P144/1.37)) + AO144/((AO144+1)/(O144/1.6) + AO144/(P144/1.37))</f>
        <v>0</v>
      </c>
      <c r="S144">
        <f>(AJ144*AM144)</f>
        <v>0</v>
      </c>
      <c r="T144">
        <f>(BB144+(S144+2*0.95*5.67E-8*(((BB144+$B$7)+273)^4-(BB144+273)^4)-44100*H144)/(1.84*29.3*P144+8*0.95*5.67E-8*(BB144+273)^3))</f>
        <v>0</v>
      </c>
      <c r="U144">
        <f>($C$7*BC144+$D$7*BD144+$E$7*T144)</f>
        <v>0</v>
      </c>
      <c r="V144">
        <f>0.61365*exp(17.502*U144/(240.97+U144))</f>
        <v>0</v>
      </c>
      <c r="W144">
        <f>(X144/Y144*100)</f>
        <v>0</v>
      </c>
      <c r="X144">
        <f>AU144*(AZ144+BA144)/1000</f>
        <v>0</v>
      </c>
      <c r="Y144">
        <f>0.61365*exp(17.502*BB144/(240.97+BB144))</f>
        <v>0</v>
      </c>
      <c r="Z144">
        <f>(V144-AU144*(AZ144+BA144)/1000)</f>
        <v>0</v>
      </c>
      <c r="AA144">
        <f>(-H144*44100)</f>
        <v>0</v>
      </c>
      <c r="AB144">
        <f>2*29.3*P144*0.92*(BB144-U144)</f>
        <v>0</v>
      </c>
      <c r="AC144">
        <f>2*0.95*5.67E-8*(((BB144+$B$7)+273)^4-(U144+273)^4)</f>
        <v>0</v>
      </c>
      <c r="AD144">
        <f>S144+AC144+AA144+AB144</f>
        <v>0</v>
      </c>
      <c r="AE144">
        <v>0</v>
      </c>
      <c r="AF144">
        <v>0</v>
      </c>
      <c r="AG144">
        <f>IF(AE144*$H$13&gt;=AI144,1.0,(AI144/(AI144-AE144*$H$13)))</f>
        <v>0</v>
      </c>
      <c r="AH144">
        <f>(AG144-1)*100</f>
        <v>0</v>
      </c>
      <c r="AI144">
        <f>MAX(0,($B$13+$C$13*BG144)/(1+$D$13*BG144)*AZ144/(BB144+273)*$E$13)</f>
        <v>0</v>
      </c>
      <c r="AJ144">
        <f>$B$11*BH144+$C$11*BI144+$D$11*BT144</f>
        <v>0</v>
      </c>
      <c r="AK144">
        <f>AJ144*AL144</f>
        <v>0</v>
      </c>
      <c r="AL144">
        <f>($B$11*$D$9+$C$11*$D$9+$D$11*(BU144*$E$9+BV144*$G$9))/($B$11+$C$11+$D$11)</f>
        <v>0</v>
      </c>
      <c r="AM144">
        <f>($B$11*$K$9+$C$11*$K$9+$D$11*(BU144*$L$9+BV144*$N$9))/($B$11+$C$11+$D$11)</f>
        <v>0</v>
      </c>
      <c r="AN144">
        <v>3</v>
      </c>
      <c r="AO144">
        <v>0.5</v>
      </c>
      <c r="AP144" t="s">
        <v>331</v>
      </c>
      <c r="AQ144">
        <v>2</v>
      </c>
      <c r="AR144">
        <v>1773276477</v>
      </c>
      <c r="AS144">
        <v>457.9981935483871</v>
      </c>
      <c r="AT144">
        <v>455.8283548387096</v>
      </c>
      <c r="AU144">
        <v>14.29330322580645</v>
      </c>
      <c r="AV144">
        <v>13.35086129032258</v>
      </c>
      <c r="AW144">
        <v>451.5026451612904</v>
      </c>
      <c r="AX144">
        <v>14.23448387096774</v>
      </c>
      <c r="AY144">
        <v>500.0278387096774</v>
      </c>
      <c r="AZ144">
        <v>100.318870967742</v>
      </c>
      <c r="BA144">
        <v>0.03800655161290322</v>
      </c>
      <c r="BB144">
        <v>25.00477419354839</v>
      </c>
      <c r="BC144">
        <v>25.36723548387097</v>
      </c>
      <c r="BD144">
        <v>999.9000000000003</v>
      </c>
      <c r="BE144">
        <v>0</v>
      </c>
      <c r="BF144">
        <v>0</v>
      </c>
      <c r="BG144">
        <v>5002.032258064516</v>
      </c>
      <c r="BH144">
        <v>2.089610967741935</v>
      </c>
      <c r="BI144">
        <v>1274.507419354838</v>
      </c>
      <c r="BJ144">
        <v>2.169844838709677</v>
      </c>
      <c r="BK144">
        <v>464.6392903225806</v>
      </c>
      <c r="BL144">
        <v>461.9962903225806</v>
      </c>
      <c r="BM144">
        <v>0.9424323548387095</v>
      </c>
      <c r="BN144">
        <v>455.8283548387096</v>
      </c>
      <c r="BO144">
        <v>13.35086129032258</v>
      </c>
      <c r="BP144">
        <v>1.433889032258065</v>
      </c>
      <c r="BQ144">
        <v>1.339344838709677</v>
      </c>
      <c r="BR144">
        <v>12.28083548387097</v>
      </c>
      <c r="BS144">
        <v>11.2478</v>
      </c>
      <c r="BT144">
        <v>0</v>
      </c>
      <c r="BU144">
        <v>0</v>
      </c>
      <c r="BV144">
        <v>0</v>
      </c>
      <c r="BW144">
        <v>30</v>
      </c>
      <c r="BX144">
        <v>51.10429677419354</v>
      </c>
      <c r="BY144">
        <v>1773268786.6</v>
      </c>
      <c r="BZ144" t="s">
        <v>332</v>
      </c>
      <c r="CA144">
        <v>1773268786.6</v>
      </c>
      <c r="CB144">
        <v>1773268774.1</v>
      </c>
      <c r="CC144">
        <v>2</v>
      </c>
      <c r="CD144">
        <v>0.264</v>
      </c>
      <c r="CE144">
        <v>-0.024</v>
      </c>
      <c r="CF144">
        <v>6.495</v>
      </c>
      <c r="CG144">
        <v>0.059</v>
      </c>
      <c r="CH144">
        <v>488</v>
      </c>
      <c r="CI144">
        <v>25</v>
      </c>
      <c r="CJ144">
        <v>0.48</v>
      </c>
      <c r="CK144">
        <v>0.14</v>
      </c>
      <c r="CL144">
        <v>455.8566774193548</v>
      </c>
      <c r="CM144">
        <v>-1.839532258064272</v>
      </c>
      <c r="CN144">
        <v>0.1471188650644646</v>
      </c>
      <c r="CO144">
        <v>-1</v>
      </c>
      <c r="CP144">
        <v>500.0238064516128</v>
      </c>
      <c r="CQ144">
        <v>-0.04800000000060616</v>
      </c>
      <c r="CR144">
        <v>0.06347639609809612</v>
      </c>
      <c r="CS144">
        <v>-1</v>
      </c>
      <c r="CT144">
        <v>0</v>
      </c>
      <c r="CU144">
        <v>0</v>
      </c>
      <c r="CV144" t="s">
        <v>333</v>
      </c>
      <c r="CW144">
        <v>3.17105</v>
      </c>
      <c r="CX144">
        <v>2.65917</v>
      </c>
      <c r="CY144">
        <v>0.106967</v>
      </c>
      <c r="CZ144">
        <v>0.107813</v>
      </c>
      <c r="DA144">
        <v>0.0778442</v>
      </c>
      <c r="DB144">
        <v>0.0739189</v>
      </c>
      <c r="DC144">
        <v>21358.2</v>
      </c>
      <c r="DD144">
        <v>21893</v>
      </c>
      <c r="DE144">
        <v>23035.3</v>
      </c>
      <c r="DF144">
        <v>22450.2</v>
      </c>
      <c r="DG144">
        <v>32105.7</v>
      </c>
      <c r="DH144">
        <v>29311.1</v>
      </c>
      <c r="DI144">
        <v>40507.9</v>
      </c>
      <c r="DJ144">
        <v>37149.4</v>
      </c>
      <c r="DK144">
        <v>2.07532</v>
      </c>
      <c r="DL144">
        <v>1.64958</v>
      </c>
      <c r="DM144">
        <v>-0.126219</v>
      </c>
      <c r="DN144">
        <v>0</v>
      </c>
      <c r="DO144">
        <v>27.4379</v>
      </c>
      <c r="DP144">
        <v>999.9</v>
      </c>
      <c r="DQ144">
        <v>43.2</v>
      </c>
      <c r="DR144">
        <v>35.7</v>
      </c>
      <c r="DS144">
        <v>25.2833</v>
      </c>
      <c r="DT144">
        <v>30.3665</v>
      </c>
      <c r="DU144">
        <v>12.6162</v>
      </c>
      <c r="DV144">
        <v>1</v>
      </c>
      <c r="DW144">
        <v>0.41261</v>
      </c>
      <c r="DX144">
        <v>3.83746</v>
      </c>
      <c r="DY144">
        <v>20.3139</v>
      </c>
      <c r="DZ144">
        <v>5.2113</v>
      </c>
      <c r="EA144">
        <v>11.8542</v>
      </c>
      <c r="EB144">
        <v>4.9678</v>
      </c>
      <c r="EC144">
        <v>3.29228</v>
      </c>
      <c r="ED144">
        <v>879.4</v>
      </c>
      <c r="EE144">
        <v>9999</v>
      </c>
      <c r="EF144">
        <v>9999</v>
      </c>
      <c r="EG144">
        <v>82.2</v>
      </c>
      <c r="EH144">
        <v>4.97155</v>
      </c>
      <c r="EI144">
        <v>1.87198</v>
      </c>
      <c r="EJ144">
        <v>1.86924</v>
      </c>
      <c r="EK144">
        <v>1.87164</v>
      </c>
      <c r="EL144">
        <v>1.86936</v>
      </c>
      <c r="EM144">
        <v>1.86829</v>
      </c>
      <c r="EN144">
        <v>1.87012</v>
      </c>
      <c r="EO144">
        <v>1.87188</v>
      </c>
      <c r="EP144">
        <v>0</v>
      </c>
      <c r="EQ144">
        <v>0</v>
      </c>
      <c r="ER144">
        <v>0</v>
      </c>
      <c r="ES144">
        <v>0</v>
      </c>
      <c r="ET144" t="s">
        <v>334</v>
      </c>
      <c r="EU144" t="s">
        <v>335</v>
      </c>
      <c r="EV144" t="s">
        <v>336</v>
      </c>
      <c r="EW144" t="s">
        <v>336</v>
      </c>
      <c r="EX144" t="s">
        <v>336</v>
      </c>
      <c r="EY144" t="s">
        <v>336</v>
      </c>
      <c r="EZ144">
        <v>0</v>
      </c>
      <c r="FA144">
        <v>100</v>
      </c>
      <c r="FB144">
        <v>100</v>
      </c>
      <c r="FC144">
        <v>6.495</v>
      </c>
      <c r="FD144">
        <v>0.0588</v>
      </c>
      <c r="FE144">
        <v>6.495476190476325</v>
      </c>
      <c r="FF144">
        <v>0</v>
      </c>
      <c r="FG144">
        <v>0</v>
      </c>
      <c r="FH144">
        <v>0</v>
      </c>
      <c r="FI144">
        <v>0.05881499999999917</v>
      </c>
      <c r="FJ144">
        <v>0</v>
      </c>
      <c r="FK144">
        <v>0</v>
      </c>
      <c r="FL144">
        <v>0</v>
      </c>
      <c r="FM144">
        <v>-1</v>
      </c>
      <c r="FN144">
        <v>-1</v>
      </c>
      <c r="FO144">
        <v>-1</v>
      </c>
      <c r="FP144">
        <v>-1</v>
      </c>
      <c r="FQ144">
        <v>128.3</v>
      </c>
      <c r="FR144">
        <v>128.5</v>
      </c>
      <c r="FS144">
        <v>0.142822</v>
      </c>
      <c r="FT144">
        <v>4.99756</v>
      </c>
      <c r="FU144">
        <v>1.5979</v>
      </c>
      <c r="FV144">
        <v>2.13135</v>
      </c>
      <c r="FW144">
        <v>1.54785</v>
      </c>
      <c r="FX144">
        <v>2.41821</v>
      </c>
      <c r="FY144">
        <v>41.2741</v>
      </c>
      <c r="FZ144">
        <v>15.5943</v>
      </c>
      <c r="GA144">
        <v>3</v>
      </c>
      <c r="GB144">
        <v>508.812</v>
      </c>
      <c r="GC144">
        <v>338.276</v>
      </c>
      <c r="GD144">
        <v>21.9799</v>
      </c>
      <c r="GE144">
        <v>32.2519</v>
      </c>
      <c r="GF144">
        <v>30.0005</v>
      </c>
      <c r="GG144">
        <v>32.1301</v>
      </c>
      <c r="GH144">
        <v>32.1183</v>
      </c>
      <c r="GI144">
        <v>-1</v>
      </c>
      <c r="GJ144">
        <v>100</v>
      </c>
      <c r="GK144">
        <v>0</v>
      </c>
      <c r="GL144">
        <v>21.9738</v>
      </c>
      <c r="GM144">
        <v>1200</v>
      </c>
      <c r="GN144">
        <v>26.7455</v>
      </c>
      <c r="GO144">
        <v>101.943</v>
      </c>
      <c r="GP144">
        <v>96.9918</v>
      </c>
    </row>
    <row r="145" spans="1:198">
      <c r="A145">
        <v>129</v>
      </c>
      <c r="B145">
        <v>1773276545</v>
      </c>
      <c r="C145">
        <v>7681.400000095367</v>
      </c>
      <c r="D145" t="s">
        <v>591</v>
      </c>
      <c r="E145" t="s">
        <v>592</v>
      </c>
      <c r="F145">
        <v>15</v>
      </c>
      <c r="G145">
        <v>1773276537</v>
      </c>
      <c r="H145">
        <f>(I145)/1000</f>
        <v>0</v>
      </c>
      <c r="I145">
        <f>1000*AY145*AG145*(AU145-AV145)/(100*AN145*(1000-AG145*AU145))</f>
        <v>0</v>
      </c>
      <c r="J145">
        <f>AY145*AG145*(AT145-AS145*(1000-AG145*AV145)/(1000-AG145*AU145))/(100*AN145)</f>
        <v>0</v>
      </c>
      <c r="K145">
        <f>AS145 - IF(AG145&gt;1, J145*AN145*100.0/(AI145), 0)</f>
        <v>0</v>
      </c>
      <c r="L145">
        <f>((R145-H145/2)*K145-J145)/(R145+H145/2)</f>
        <v>0</v>
      </c>
      <c r="M145">
        <f>L145*(AZ145+BA145)/1000.0</f>
        <v>0</v>
      </c>
      <c r="N145">
        <f>(AS145 - IF(AG145&gt;1, J145*AN145*100.0/(AI145), 0))*(AZ145+BA145)/1000.0</f>
        <v>0</v>
      </c>
      <c r="O145">
        <f>2.0/((1/Q145-1/P145)+SIGN(Q145)*SQRT((1/Q145-1/P145)*(1/Q145-1/P145) + 4*AO145/((AO145+1)*(AO145+1))*(2*1/Q145*1/P145-1/P145*1/P145)))</f>
        <v>0</v>
      </c>
      <c r="P145">
        <f>IF(LEFT(AP145,1)&lt;&gt;"0",IF(LEFT(AP145,1)="1",3.0,AQ145),$D$5+$E$5*(BG145*AZ145/($K$5*1000))+$F$5*(BG145*AZ145/($K$5*1000))*MAX(MIN(AN145,$J$5),$I$5)*MAX(MIN(AN145,$J$5),$I$5)+$G$5*MAX(MIN(AN145,$J$5),$I$5)*(BG145*AZ145/($K$5*1000))+$H$5*(BG145*AZ145/($K$5*1000))*(BG145*AZ145/($K$5*1000)))</f>
        <v>0</v>
      </c>
      <c r="Q145">
        <f>H145*(1000-(1000*0.61365*exp(17.502*U145/(240.97+U145))/(AZ145+BA145)+AU145)/2)/(1000*0.61365*exp(17.502*U145/(240.97+U145))/(AZ145+BA145)-AU145)</f>
        <v>0</v>
      </c>
      <c r="R145">
        <f>1/((AO145+1)/(O145/1.6)+1/(P145/1.37)) + AO145/((AO145+1)/(O145/1.6) + AO145/(P145/1.37))</f>
        <v>0</v>
      </c>
      <c r="S145">
        <f>(AJ145*AM145)</f>
        <v>0</v>
      </c>
      <c r="T145">
        <f>(BB145+(S145+2*0.95*5.67E-8*(((BB145+$B$7)+273)^4-(BB145+273)^4)-44100*H145)/(1.84*29.3*P145+8*0.95*5.67E-8*(BB145+273)^3))</f>
        <v>0</v>
      </c>
      <c r="U145">
        <f>($C$7*BC145+$D$7*BD145+$E$7*T145)</f>
        <v>0</v>
      </c>
      <c r="V145">
        <f>0.61365*exp(17.502*U145/(240.97+U145))</f>
        <v>0</v>
      </c>
      <c r="W145">
        <f>(X145/Y145*100)</f>
        <v>0</v>
      </c>
      <c r="X145">
        <f>AU145*(AZ145+BA145)/1000</f>
        <v>0</v>
      </c>
      <c r="Y145">
        <f>0.61365*exp(17.502*BB145/(240.97+BB145))</f>
        <v>0</v>
      </c>
      <c r="Z145">
        <f>(V145-AU145*(AZ145+BA145)/1000)</f>
        <v>0</v>
      </c>
      <c r="AA145">
        <f>(-H145*44100)</f>
        <v>0</v>
      </c>
      <c r="AB145">
        <f>2*29.3*P145*0.92*(BB145-U145)</f>
        <v>0</v>
      </c>
      <c r="AC145">
        <f>2*0.95*5.67E-8*(((BB145+$B$7)+273)^4-(U145+273)^4)</f>
        <v>0</v>
      </c>
      <c r="AD145">
        <f>S145+AC145+AA145+AB145</f>
        <v>0</v>
      </c>
      <c r="AE145">
        <v>0</v>
      </c>
      <c r="AF145">
        <v>0</v>
      </c>
      <c r="AG145">
        <f>IF(AE145*$H$13&gt;=AI145,1.0,(AI145/(AI145-AE145*$H$13)))</f>
        <v>0</v>
      </c>
      <c r="AH145">
        <f>(AG145-1)*100</f>
        <v>0</v>
      </c>
      <c r="AI145">
        <f>MAX(0,($B$13+$C$13*BG145)/(1+$D$13*BG145)*AZ145/(BB145+273)*$E$13)</f>
        <v>0</v>
      </c>
      <c r="AJ145">
        <f>$B$11*BH145+$C$11*BI145+$D$11*BT145</f>
        <v>0</v>
      </c>
      <c r="AK145">
        <f>AJ145*AL145</f>
        <v>0</v>
      </c>
      <c r="AL145">
        <f>($B$11*$D$9+$C$11*$D$9+$D$11*(BU145*$E$9+BV145*$G$9))/($B$11+$C$11+$D$11)</f>
        <v>0</v>
      </c>
      <c r="AM145">
        <f>($B$11*$K$9+$C$11*$K$9+$D$11*(BU145*$L$9+BV145*$N$9))/($B$11+$C$11+$D$11)</f>
        <v>0</v>
      </c>
      <c r="AN145">
        <v>3</v>
      </c>
      <c r="AO145">
        <v>0.5</v>
      </c>
      <c r="AP145" t="s">
        <v>331</v>
      </c>
      <c r="AQ145">
        <v>2</v>
      </c>
      <c r="AR145">
        <v>1773276537</v>
      </c>
      <c r="AS145">
        <v>453.2760645161291</v>
      </c>
      <c r="AT145">
        <v>450.5735161290323</v>
      </c>
      <c r="AU145">
        <v>14.30750967741935</v>
      </c>
      <c r="AV145">
        <v>13.36807419354839</v>
      </c>
      <c r="AW145">
        <v>446.7806451612904</v>
      </c>
      <c r="AX145">
        <v>14.24869032258064</v>
      </c>
      <c r="AY145">
        <v>500.0027096774194</v>
      </c>
      <c r="AZ145">
        <v>100.320935483871</v>
      </c>
      <c r="BA145">
        <v>0.03813635483870968</v>
      </c>
      <c r="BB145">
        <v>25.01055806451612</v>
      </c>
      <c r="BC145">
        <v>25.35836774193548</v>
      </c>
      <c r="BD145">
        <v>999.9000000000003</v>
      </c>
      <c r="BE145">
        <v>0</v>
      </c>
      <c r="BF145">
        <v>0</v>
      </c>
      <c r="BG145">
        <v>4998</v>
      </c>
      <c r="BH145">
        <v>2.041830967741935</v>
      </c>
      <c r="BI145">
        <v>1258.82870967742</v>
      </c>
      <c r="BJ145">
        <v>2.702626129032259</v>
      </c>
      <c r="BK145">
        <v>459.8555483870968</v>
      </c>
      <c r="BL145">
        <v>456.6785161290322</v>
      </c>
      <c r="BM145">
        <v>0.9394484516129032</v>
      </c>
      <c r="BN145">
        <v>450.5735161290323</v>
      </c>
      <c r="BO145">
        <v>13.36807419354839</v>
      </c>
      <c r="BP145">
        <v>1.435341612903226</v>
      </c>
      <c r="BQ145">
        <v>1.341095483870968</v>
      </c>
      <c r="BR145">
        <v>12.29624838709678</v>
      </c>
      <c r="BS145">
        <v>11.26749032258065</v>
      </c>
      <c r="BT145">
        <v>0</v>
      </c>
      <c r="BU145">
        <v>0</v>
      </c>
      <c r="BV145">
        <v>0</v>
      </c>
      <c r="BW145">
        <v>30</v>
      </c>
      <c r="BX145">
        <v>49.00537419354838</v>
      </c>
      <c r="BY145">
        <v>1773268786.6</v>
      </c>
      <c r="BZ145" t="s">
        <v>332</v>
      </c>
      <c r="CA145">
        <v>1773268786.6</v>
      </c>
      <c r="CB145">
        <v>1773268774.1</v>
      </c>
      <c r="CC145">
        <v>2</v>
      </c>
      <c r="CD145">
        <v>0.264</v>
      </c>
      <c r="CE145">
        <v>-0.024</v>
      </c>
      <c r="CF145">
        <v>6.495</v>
      </c>
      <c r="CG145">
        <v>0.059</v>
      </c>
      <c r="CH145">
        <v>488</v>
      </c>
      <c r="CI145">
        <v>25</v>
      </c>
      <c r="CJ145">
        <v>0.48</v>
      </c>
      <c r="CK145">
        <v>0.14</v>
      </c>
      <c r="CL145">
        <v>450.5651666666667</v>
      </c>
      <c r="CM145">
        <v>0.9653659621802845</v>
      </c>
      <c r="CN145">
        <v>0.1071749607987849</v>
      </c>
      <c r="CO145">
        <v>-1</v>
      </c>
      <c r="CP145">
        <v>500.0027666666667</v>
      </c>
      <c r="CQ145">
        <v>-0.2398131256934789</v>
      </c>
      <c r="CR145">
        <v>0.06826647949193274</v>
      </c>
      <c r="CS145">
        <v>-1</v>
      </c>
      <c r="CT145">
        <v>0</v>
      </c>
      <c r="CU145">
        <v>0</v>
      </c>
      <c r="CV145" t="s">
        <v>333</v>
      </c>
      <c r="CW145">
        <v>3.17097</v>
      </c>
      <c r="CX145">
        <v>2.65922</v>
      </c>
      <c r="CY145">
        <v>0.106076</v>
      </c>
      <c r="CZ145">
        <v>0.106959</v>
      </c>
      <c r="DA145">
        <v>0.0778956</v>
      </c>
      <c r="DB145">
        <v>0.07398680000000001</v>
      </c>
      <c r="DC145">
        <v>21378.2</v>
      </c>
      <c r="DD145">
        <v>21912.9</v>
      </c>
      <c r="DE145">
        <v>23034</v>
      </c>
      <c r="DF145">
        <v>22449.2</v>
      </c>
      <c r="DG145">
        <v>32102.2</v>
      </c>
      <c r="DH145">
        <v>29307.5</v>
      </c>
      <c r="DI145">
        <v>40505.8</v>
      </c>
      <c r="DJ145">
        <v>37147.6</v>
      </c>
      <c r="DK145">
        <v>2.07492</v>
      </c>
      <c r="DL145">
        <v>1.64854</v>
      </c>
      <c r="DM145">
        <v>-0.127017</v>
      </c>
      <c r="DN145">
        <v>0</v>
      </c>
      <c r="DO145">
        <v>27.4246</v>
      </c>
      <c r="DP145">
        <v>999.9</v>
      </c>
      <c r="DQ145">
        <v>42.8</v>
      </c>
      <c r="DR145">
        <v>35.8</v>
      </c>
      <c r="DS145">
        <v>25.1866</v>
      </c>
      <c r="DT145">
        <v>30.2165</v>
      </c>
      <c r="DU145">
        <v>12.8886</v>
      </c>
      <c r="DV145">
        <v>1</v>
      </c>
      <c r="DW145">
        <v>0.41603</v>
      </c>
      <c r="DX145">
        <v>3.96182</v>
      </c>
      <c r="DY145">
        <v>20.3099</v>
      </c>
      <c r="DZ145">
        <v>5.21154</v>
      </c>
      <c r="EA145">
        <v>11.8542</v>
      </c>
      <c r="EB145">
        <v>4.96772</v>
      </c>
      <c r="EC145">
        <v>3.2923</v>
      </c>
      <c r="ED145">
        <v>879.4</v>
      </c>
      <c r="EE145">
        <v>9999</v>
      </c>
      <c r="EF145">
        <v>9999</v>
      </c>
      <c r="EG145">
        <v>82.2</v>
      </c>
      <c r="EH145">
        <v>4.97155</v>
      </c>
      <c r="EI145">
        <v>1.87203</v>
      </c>
      <c r="EJ145">
        <v>1.86931</v>
      </c>
      <c r="EK145">
        <v>1.87164</v>
      </c>
      <c r="EL145">
        <v>1.86935</v>
      </c>
      <c r="EM145">
        <v>1.86829</v>
      </c>
      <c r="EN145">
        <v>1.87012</v>
      </c>
      <c r="EO145">
        <v>1.87186</v>
      </c>
      <c r="EP145">
        <v>0</v>
      </c>
      <c r="EQ145">
        <v>0</v>
      </c>
      <c r="ER145">
        <v>0</v>
      </c>
      <c r="ES145">
        <v>0</v>
      </c>
      <c r="ET145" t="s">
        <v>334</v>
      </c>
      <c r="EU145" t="s">
        <v>335</v>
      </c>
      <c r="EV145" t="s">
        <v>336</v>
      </c>
      <c r="EW145" t="s">
        <v>336</v>
      </c>
      <c r="EX145" t="s">
        <v>336</v>
      </c>
      <c r="EY145" t="s">
        <v>336</v>
      </c>
      <c r="EZ145">
        <v>0</v>
      </c>
      <c r="FA145">
        <v>100</v>
      </c>
      <c r="FB145">
        <v>100</v>
      </c>
      <c r="FC145">
        <v>6.496</v>
      </c>
      <c r="FD145">
        <v>0.0588</v>
      </c>
      <c r="FE145">
        <v>6.495476190476325</v>
      </c>
      <c r="FF145">
        <v>0</v>
      </c>
      <c r="FG145">
        <v>0</v>
      </c>
      <c r="FH145">
        <v>0</v>
      </c>
      <c r="FI145">
        <v>0.05881499999999917</v>
      </c>
      <c r="FJ145">
        <v>0</v>
      </c>
      <c r="FK145">
        <v>0</v>
      </c>
      <c r="FL145">
        <v>0</v>
      </c>
      <c r="FM145">
        <v>-1</v>
      </c>
      <c r="FN145">
        <v>-1</v>
      </c>
      <c r="FO145">
        <v>-1</v>
      </c>
      <c r="FP145">
        <v>-1</v>
      </c>
      <c r="FQ145">
        <v>129.3</v>
      </c>
      <c r="FR145">
        <v>129.5</v>
      </c>
      <c r="FS145">
        <v>0.142822</v>
      </c>
      <c r="FT145">
        <v>4.99756</v>
      </c>
      <c r="FU145">
        <v>1.5979</v>
      </c>
      <c r="FV145">
        <v>2.13013</v>
      </c>
      <c r="FW145">
        <v>1.54785</v>
      </c>
      <c r="FX145">
        <v>2.4585</v>
      </c>
      <c r="FY145">
        <v>41.3001</v>
      </c>
      <c r="FZ145">
        <v>15.5855</v>
      </c>
      <c r="GA145">
        <v>3</v>
      </c>
      <c r="GB145">
        <v>508.841</v>
      </c>
      <c r="GC145">
        <v>337.928</v>
      </c>
      <c r="GD145">
        <v>21.8021</v>
      </c>
      <c r="GE145">
        <v>32.2827</v>
      </c>
      <c r="GF145">
        <v>30.0001</v>
      </c>
      <c r="GG145">
        <v>32.1655</v>
      </c>
      <c r="GH145">
        <v>32.1532</v>
      </c>
      <c r="GI145">
        <v>-1</v>
      </c>
      <c r="GJ145">
        <v>100</v>
      </c>
      <c r="GK145">
        <v>0</v>
      </c>
      <c r="GL145">
        <v>21.8024</v>
      </c>
      <c r="GM145">
        <v>1200</v>
      </c>
      <c r="GN145">
        <v>26.7455</v>
      </c>
      <c r="GO145">
        <v>101.937</v>
      </c>
      <c r="GP145">
        <v>96.9873</v>
      </c>
    </row>
    <row r="146" spans="1:198">
      <c r="A146">
        <v>130</v>
      </c>
      <c r="B146">
        <v>1773276605</v>
      </c>
      <c r="C146">
        <v>7741.400000095367</v>
      </c>
      <c r="D146" t="s">
        <v>593</v>
      </c>
      <c r="E146" t="s">
        <v>594</v>
      </c>
      <c r="F146">
        <v>15</v>
      </c>
      <c r="G146">
        <v>1773276597</v>
      </c>
      <c r="H146">
        <f>(I146)/1000</f>
        <v>0</v>
      </c>
      <c r="I146">
        <f>1000*AY146*AG146*(AU146-AV146)/(100*AN146*(1000-AG146*AU146))</f>
        <v>0</v>
      </c>
      <c r="J146">
        <f>AY146*AG146*(AT146-AS146*(1000-AG146*AV146)/(1000-AG146*AU146))/(100*AN146)</f>
        <v>0</v>
      </c>
      <c r="K146">
        <f>AS146 - IF(AG146&gt;1, J146*AN146*100.0/(AI146), 0)</f>
        <v>0</v>
      </c>
      <c r="L146">
        <f>((R146-H146/2)*K146-J146)/(R146+H146/2)</f>
        <v>0</v>
      </c>
      <c r="M146">
        <f>L146*(AZ146+BA146)/1000.0</f>
        <v>0</v>
      </c>
      <c r="N146">
        <f>(AS146 - IF(AG146&gt;1, J146*AN146*100.0/(AI146), 0))*(AZ146+BA146)/1000.0</f>
        <v>0</v>
      </c>
      <c r="O146">
        <f>2.0/((1/Q146-1/P146)+SIGN(Q146)*SQRT((1/Q146-1/P146)*(1/Q146-1/P146) + 4*AO146/((AO146+1)*(AO146+1))*(2*1/Q146*1/P146-1/P146*1/P146)))</f>
        <v>0</v>
      </c>
      <c r="P146">
        <f>IF(LEFT(AP146,1)&lt;&gt;"0",IF(LEFT(AP146,1)="1",3.0,AQ146),$D$5+$E$5*(BG146*AZ146/($K$5*1000))+$F$5*(BG146*AZ146/($K$5*1000))*MAX(MIN(AN146,$J$5),$I$5)*MAX(MIN(AN146,$J$5),$I$5)+$G$5*MAX(MIN(AN146,$J$5),$I$5)*(BG146*AZ146/($K$5*1000))+$H$5*(BG146*AZ146/($K$5*1000))*(BG146*AZ146/($K$5*1000)))</f>
        <v>0</v>
      </c>
      <c r="Q146">
        <f>H146*(1000-(1000*0.61365*exp(17.502*U146/(240.97+U146))/(AZ146+BA146)+AU146)/2)/(1000*0.61365*exp(17.502*U146/(240.97+U146))/(AZ146+BA146)-AU146)</f>
        <v>0</v>
      </c>
      <c r="R146">
        <f>1/((AO146+1)/(O146/1.6)+1/(P146/1.37)) + AO146/((AO146+1)/(O146/1.6) + AO146/(P146/1.37))</f>
        <v>0</v>
      </c>
      <c r="S146">
        <f>(AJ146*AM146)</f>
        <v>0</v>
      </c>
      <c r="T146">
        <f>(BB146+(S146+2*0.95*5.67E-8*(((BB146+$B$7)+273)^4-(BB146+273)^4)-44100*H146)/(1.84*29.3*P146+8*0.95*5.67E-8*(BB146+273)^3))</f>
        <v>0</v>
      </c>
      <c r="U146">
        <f>($C$7*BC146+$D$7*BD146+$E$7*T146)</f>
        <v>0</v>
      </c>
      <c r="V146">
        <f>0.61365*exp(17.502*U146/(240.97+U146))</f>
        <v>0</v>
      </c>
      <c r="W146">
        <f>(X146/Y146*100)</f>
        <v>0</v>
      </c>
      <c r="X146">
        <f>AU146*(AZ146+BA146)/1000</f>
        <v>0</v>
      </c>
      <c r="Y146">
        <f>0.61365*exp(17.502*BB146/(240.97+BB146))</f>
        <v>0</v>
      </c>
      <c r="Z146">
        <f>(V146-AU146*(AZ146+BA146)/1000)</f>
        <v>0</v>
      </c>
      <c r="AA146">
        <f>(-H146*44100)</f>
        <v>0</v>
      </c>
      <c r="AB146">
        <f>2*29.3*P146*0.92*(BB146-U146)</f>
        <v>0</v>
      </c>
      <c r="AC146">
        <f>2*0.95*5.67E-8*(((BB146+$B$7)+273)^4-(U146+273)^4)</f>
        <v>0</v>
      </c>
      <c r="AD146">
        <f>S146+AC146+AA146+AB146</f>
        <v>0</v>
      </c>
      <c r="AE146">
        <v>0</v>
      </c>
      <c r="AF146">
        <v>0</v>
      </c>
      <c r="AG146">
        <f>IF(AE146*$H$13&gt;=AI146,1.0,(AI146/(AI146-AE146*$H$13)))</f>
        <v>0</v>
      </c>
      <c r="AH146">
        <f>(AG146-1)*100</f>
        <v>0</v>
      </c>
      <c r="AI146">
        <f>MAX(0,($B$13+$C$13*BG146)/(1+$D$13*BG146)*AZ146/(BB146+273)*$E$13)</f>
        <v>0</v>
      </c>
      <c r="AJ146">
        <f>$B$11*BH146+$C$11*BI146+$D$11*BT146</f>
        <v>0</v>
      </c>
      <c r="AK146">
        <f>AJ146*AL146</f>
        <v>0</v>
      </c>
      <c r="AL146">
        <f>($B$11*$D$9+$C$11*$D$9+$D$11*(BU146*$E$9+BV146*$G$9))/($B$11+$C$11+$D$11)</f>
        <v>0</v>
      </c>
      <c r="AM146">
        <f>($B$11*$K$9+$C$11*$K$9+$D$11*(BU146*$L$9+BV146*$N$9))/($B$11+$C$11+$D$11)</f>
        <v>0</v>
      </c>
      <c r="AN146">
        <v>3</v>
      </c>
      <c r="AO146">
        <v>0.5</v>
      </c>
      <c r="AP146" t="s">
        <v>331</v>
      </c>
      <c r="AQ146">
        <v>2</v>
      </c>
      <c r="AR146">
        <v>1773276597</v>
      </c>
      <c r="AS146">
        <v>454.2922580645161</v>
      </c>
      <c r="AT146">
        <v>452.1848387096775</v>
      </c>
      <c r="AU146">
        <v>14.33231290322581</v>
      </c>
      <c r="AV146">
        <v>13.39290322580645</v>
      </c>
      <c r="AW146">
        <v>447.7966129032259</v>
      </c>
      <c r="AX146">
        <v>14.2735</v>
      </c>
      <c r="AY146">
        <v>500.0131935483871</v>
      </c>
      <c r="AZ146">
        <v>100.3182903225806</v>
      </c>
      <c r="BA146">
        <v>0.03831840322580645</v>
      </c>
      <c r="BB146">
        <v>24.99889677419355</v>
      </c>
      <c r="BC146">
        <v>25.34649677419355</v>
      </c>
      <c r="BD146">
        <v>999.9000000000003</v>
      </c>
      <c r="BE146">
        <v>0</v>
      </c>
      <c r="BF146">
        <v>0</v>
      </c>
      <c r="BG146">
        <v>5004.435483870968</v>
      </c>
      <c r="BH146">
        <v>2.008694838709677</v>
      </c>
      <c r="BI146">
        <v>1295.284516129032</v>
      </c>
      <c r="BJ146">
        <v>2.107390967741936</v>
      </c>
      <c r="BK146">
        <v>460.8979032258065</v>
      </c>
      <c r="BL146">
        <v>458.3230645161291</v>
      </c>
      <c r="BM146">
        <v>0.9394034193548387</v>
      </c>
      <c r="BN146">
        <v>452.1848387096775</v>
      </c>
      <c r="BO146">
        <v>13.39290322580645</v>
      </c>
      <c r="BP146">
        <v>1.437793548387097</v>
      </c>
      <c r="BQ146">
        <v>1.343553548387097</v>
      </c>
      <c r="BR146">
        <v>12.3222</v>
      </c>
      <c r="BS146">
        <v>11.29511935483871</v>
      </c>
      <c r="BT146">
        <v>0</v>
      </c>
      <c r="BU146">
        <v>0</v>
      </c>
      <c r="BV146">
        <v>0</v>
      </c>
      <c r="BW146">
        <v>30</v>
      </c>
      <c r="BX146">
        <v>48.92688387096774</v>
      </c>
      <c r="BY146">
        <v>1773268786.6</v>
      </c>
      <c r="BZ146" t="s">
        <v>332</v>
      </c>
      <c r="CA146">
        <v>1773268786.6</v>
      </c>
      <c r="CB146">
        <v>1773268774.1</v>
      </c>
      <c r="CC146">
        <v>2</v>
      </c>
      <c r="CD146">
        <v>0.264</v>
      </c>
      <c r="CE146">
        <v>-0.024</v>
      </c>
      <c r="CF146">
        <v>6.495</v>
      </c>
      <c r="CG146">
        <v>0.059</v>
      </c>
      <c r="CH146">
        <v>488</v>
      </c>
      <c r="CI146">
        <v>25</v>
      </c>
      <c r="CJ146">
        <v>0.48</v>
      </c>
      <c r="CK146">
        <v>0.14</v>
      </c>
      <c r="CL146">
        <v>452.2023666666667</v>
      </c>
      <c r="CM146">
        <v>-4.674714126807265</v>
      </c>
      <c r="CN146">
        <v>0.3465678849646788</v>
      </c>
      <c r="CO146">
        <v>-1</v>
      </c>
      <c r="CP146">
        <v>500.0108</v>
      </c>
      <c r="CQ146">
        <v>-0.4498865406008149</v>
      </c>
      <c r="CR146">
        <v>0.05836231660926286</v>
      </c>
      <c r="CS146">
        <v>-1</v>
      </c>
      <c r="CT146">
        <v>0</v>
      </c>
      <c r="CU146">
        <v>0</v>
      </c>
      <c r="CV146" t="s">
        <v>333</v>
      </c>
      <c r="CW146">
        <v>3.17094</v>
      </c>
      <c r="CX146">
        <v>2.66067</v>
      </c>
      <c r="CY146">
        <v>0.106283</v>
      </c>
      <c r="CZ146">
        <v>0.107082</v>
      </c>
      <c r="DA146">
        <v>0.0779934</v>
      </c>
      <c r="DB146">
        <v>0.0740818</v>
      </c>
      <c r="DC146">
        <v>21372.1</v>
      </c>
      <c r="DD146">
        <v>21909.1</v>
      </c>
      <c r="DE146">
        <v>23032.9</v>
      </c>
      <c r="DF146">
        <v>22448.4</v>
      </c>
      <c r="DG146">
        <v>32097.5</v>
      </c>
      <c r="DH146">
        <v>29303.3</v>
      </c>
      <c r="DI146">
        <v>40504.2</v>
      </c>
      <c r="DJ146">
        <v>37146.2</v>
      </c>
      <c r="DK146">
        <v>2.0746</v>
      </c>
      <c r="DL146">
        <v>1.64778</v>
      </c>
      <c r="DM146">
        <v>-0.125372</v>
      </c>
      <c r="DN146">
        <v>0</v>
      </c>
      <c r="DO146">
        <v>27.3873</v>
      </c>
      <c r="DP146">
        <v>999.9</v>
      </c>
      <c r="DQ146">
        <v>42.6</v>
      </c>
      <c r="DR146">
        <v>35.9</v>
      </c>
      <c r="DS146">
        <v>25.2097</v>
      </c>
      <c r="DT146">
        <v>30.0665</v>
      </c>
      <c r="DU146">
        <v>13.0008</v>
      </c>
      <c r="DV146">
        <v>1</v>
      </c>
      <c r="DW146">
        <v>0.416758</v>
      </c>
      <c r="DX146">
        <v>3.79633</v>
      </c>
      <c r="DY146">
        <v>20.3149</v>
      </c>
      <c r="DZ146">
        <v>5.21094</v>
      </c>
      <c r="EA146">
        <v>11.8542</v>
      </c>
      <c r="EB146">
        <v>4.96776</v>
      </c>
      <c r="EC146">
        <v>3.29226</v>
      </c>
      <c r="ED146">
        <v>879.4</v>
      </c>
      <c r="EE146">
        <v>9999</v>
      </c>
      <c r="EF146">
        <v>9999</v>
      </c>
      <c r="EG146">
        <v>82.3</v>
      </c>
      <c r="EH146">
        <v>4.97154</v>
      </c>
      <c r="EI146">
        <v>1.872</v>
      </c>
      <c r="EJ146">
        <v>1.86921</v>
      </c>
      <c r="EK146">
        <v>1.87164</v>
      </c>
      <c r="EL146">
        <v>1.86936</v>
      </c>
      <c r="EM146">
        <v>1.86829</v>
      </c>
      <c r="EN146">
        <v>1.87012</v>
      </c>
      <c r="EO146">
        <v>1.87188</v>
      </c>
      <c r="EP146">
        <v>0</v>
      </c>
      <c r="EQ146">
        <v>0</v>
      </c>
      <c r="ER146">
        <v>0</v>
      </c>
      <c r="ES146">
        <v>0</v>
      </c>
      <c r="ET146" t="s">
        <v>334</v>
      </c>
      <c r="EU146" t="s">
        <v>335</v>
      </c>
      <c r="EV146" t="s">
        <v>336</v>
      </c>
      <c r="EW146" t="s">
        <v>336</v>
      </c>
      <c r="EX146" t="s">
        <v>336</v>
      </c>
      <c r="EY146" t="s">
        <v>336</v>
      </c>
      <c r="EZ146">
        <v>0</v>
      </c>
      <c r="FA146">
        <v>100</v>
      </c>
      <c r="FB146">
        <v>100</v>
      </c>
      <c r="FC146">
        <v>6.495</v>
      </c>
      <c r="FD146">
        <v>0.0588</v>
      </c>
      <c r="FE146">
        <v>6.495476190476325</v>
      </c>
      <c r="FF146">
        <v>0</v>
      </c>
      <c r="FG146">
        <v>0</v>
      </c>
      <c r="FH146">
        <v>0</v>
      </c>
      <c r="FI146">
        <v>0.05881499999999917</v>
      </c>
      <c r="FJ146">
        <v>0</v>
      </c>
      <c r="FK146">
        <v>0</v>
      </c>
      <c r="FL146">
        <v>0</v>
      </c>
      <c r="FM146">
        <v>-1</v>
      </c>
      <c r="FN146">
        <v>-1</v>
      </c>
      <c r="FO146">
        <v>-1</v>
      </c>
      <c r="FP146">
        <v>-1</v>
      </c>
      <c r="FQ146">
        <v>130.3</v>
      </c>
      <c r="FR146">
        <v>130.5</v>
      </c>
      <c r="FS146">
        <v>0.142822</v>
      </c>
      <c r="FT146">
        <v>4.99756</v>
      </c>
      <c r="FU146">
        <v>1.5979</v>
      </c>
      <c r="FV146">
        <v>2.13013</v>
      </c>
      <c r="FW146">
        <v>1.54785</v>
      </c>
      <c r="FX146">
        <v>2.45361</v>
      </c>
      <c r="FY146">
        <v>41.3261</v>
      </c>
      <c r="FZ146">
        <v>15.5768</v>
      </c>
      <c r="GA146">
        <v>3</v>
      </c>
      <c r="GB146">
        <v>508.873</v>
      </c>
      <c r="GC146">
        <v>337.693</v>
      </c>
      <c r="GD146">
        <v>21.9368</v>
      </c>
      <c r="GE146">
        <v>32.3078</v>
      </c>
      <c r="GF146">
        <v>30.0003</v>
      </c>
      <c r="GG146">
        <v>32.195</v>
      </c>
      <c r="GH146">
        <v>32.1826</v>
      </c>
      <c r="GI146">
        <v>-1</v>
      </c>
      <c r="GJ146">
        <v>100</v>
      </c>
      <c r="GK146">
        <v>0</v>
      </c>
      <c r="GL146">
        <v>21.9141</v>
      </c>
      <c r="GM146">
        <v>1200</v>
      </c>
      <c r="GN146">
        <v>26.7455</v>
      </c>
      <c r="GO146">
        <v>101.933</v>
      </c>
      <c r="GP146">
        <v>96.9838</v>
      </c>
    </row>
    <row r="147" spans="1:198">
      <c r="A147">
        <v>131</v>
      </c>
      <c r="B147">
        <v>1773276665</v>
      </c>
      <c r="C147">
        <v>7801.400000095367</v>
      </c>
      <c r="D147" t="s">
        <v>595</v>
      </c>
      <c r="E147" t="s">
        <v>596</v>
      </c>
      <c r="F147">
        <v>15</v>
      </c>
      <c r="G147">
        <v>1773276657</v>
      </c>
      <c r="H147">
        <f>(I147)/1000</f>
        <v>0</v>
      </c>
      <c r="I147">
        <f>1000*AY147*AG147*(AU147-AV147)/(100*AN147*(1000-AG147*AU147))</f>
        <v>0</v>
      </c>
      <c r="J147">
        <f>AY147*AG147*(AT147-AS147*(1000-AG147*AV147)/(1000-AG147*AU147))/(100*AN147)</f>
        <v>0</v>
      </c>
      <c r="K147">
        <f>AS147 - IF(AG147&gt;1, J147*AN147*100.0/(AI147), 0)</f>
        <v>0</v>
      </c>
      <c r="L147">
        <f>((R147-H147/2)*K147-J147)/(R147+H147/2)</f>
        <v>0</v>
      </c>
      <c r="M147">
        <f>L147*(AZ147+BA147)/1000.0</f>
        <v>0</v>
      </c>
      <c r="N147">
        <f>(AS147 - IF(AG147&gt;1, J147*AN147*100.0/(AI147), 0))*(AZ147+BA147)/1000.0</f>
        <v>0</v>
      </c>
      <c r="O147">
        <f>2.0/((1/Q147-1/P147)+SIGN(Q147)*SQRT((1/Q147-1/P147)*(1/Q147-1/P147) + 4*AO147/((AO147+1)*(AO147+1))*(2*1/Q147*1/P147-1/P147*1/P147)))</f>
        <v>0</v>
      </c>
      <c r="P147">
        <f>IF(LEFT(AP147,1)&lt;&gt;"0",IF(LEFT(AP147,1)="1",3.0,AQ147),$D$5+$E$5*(BG147*AZ147/($K$5*1000))+$F$5*(BG147*AZ147/($K$5*1000))*MAX(MIN(AN147,$J$5),$I$5)*MAX(MIN(AN147,$J$5),$I$5)+$G$5*MAX(MIN(AN147,$J$5),$I$5)*(BG147*AZ147/($K$5*1000))+$H$5*(BG147*AZ147/($K$5*1000))*(BG147*AZ147/($K$5*1000)))</f>
        <v>0</v>
      </c>
      <c r="Q147">
        <f>H147*(1000-(1000*0.61365*exp(17.502*U147/(240.97+U147))/(AZ147+BA147)+AU147)/2)/(1000*0.61365*exp(17.502*U147/(240.97+U147))/(AZ147+BA147)-AU147)</f>
        <v>0</v>
      </c>
      <c r="R147">
        <f>1/((AO147+1)/(O147/1.6)+1/(P147/1.37)) + AO147/((AO147+1)/(O147/1.6) + AO147/(P147/1.37))</f>
        <v>0</v>
      </c>
      <c r="S147">
        <f>(AJ147*AM147)</f>
        <v>0</v>
      </c>
      <c r="T147">
        <f>(BB147+(S147+2*0.95*5.67E-8*(((BB147+$B$7)+273)^4-(BB147+273)^4)-44100*H147)/(1.84*29.3*P147+8*0.95*5.67E-8*(BB147+273)^3))</f>
        <v>0</v>
      </c>
      <c r="U147">
        <f>($C$7*BC147+$D$7*BD147+$E$7*T147)</f>
        <v>0</v>
      </c>
      <c r="V147">
        <f>0.61365*exp(17.502*U147/(240.97+U147))</f>
        <v>0</v>
      </c>
      <c r="W147">
        <f>(X147/Y147*100)</f>
        <v>0</v>
      </c>
      <c r="X147">
        <f>AU147*(AZ147+BA147)/1000</f>
        <v>0</v>
      </c>
      <c r="Y147">
        <f>0.61365*exp(17.502*BB147/(240.97+BB147))</f>
        <v>0</v>
      </c>
      <c r="Z147">
        <f>(V147-AU147*(AZ147+BA147)/1000)</f>
        <v>0</v>
      </c>
      <c r="AA147">
        <f>(-H147*44100)</f>
        <v>0</v>
      </c>
      <c r="AB147">
        <f>2*29.3*P147*0.92*(BB147-U147)</f>
        <v>0</v>
      </c>
      <c r="AC147">
        <f>2*0.95*5.67E-8*(((BB147+$B$7)+273)^4-(U147+273)^4)</f>
        <v>0</v>
      </c>
      <c r="AD147">
        <f>S147+AC147+AA147+AB147</f>
        <v>0</v>
      </c>
      <c r="AE147">
        <v>0</v>
      </c>
      <c r="AF147">
        <v>0</v>
      </c>
      <c r="AG147">
        <f>IF(AE147*$H$13&gt;=AI147,1.0,(AI147/(AI147-AE147*$H$13)))</f>
        <v>0</v>
      </c>
      <c r="AH147">
        <f>(AG147-1)*100</f>
        <v>0</v>
      </c>
      <c r="AI147">
        <f>MAX(0,($B$13+$C$13*BG147)/(1+$D$13*BG147)*AZ147/(BB147+273)*$E$13)</f>
        <v>0</v>
      </c>
      <c r="AJ147">
        <f>$B$11*BH147+$C$11*BI147+$D$11*BT147</f>
        <v>0</v>
      </c>
      <c r="AK147">
        <f>AJ147*AL147</f>
        <v>0</v>
      </c>
      <c r="AL147">
        <f>($B$11*$D$9+$C$11*$D$9+$D$11*(BU147*$E$9+BV147*$G$9))/($B$11+$C$11+$D$11)</f>
        <v>0</v>
      </c>
      <c r="AM147">
        <f>($B$11*$K$9+$C$11*$K$9+$D$11*(BU147*$L$9+BV147*$N$9))/($B$11+$C$11+$D$11)</f>
        <v>0</v>
      </c>
      <c r="AN147">
        <v>3</v>
      </c>
      <c r="AO147">
        <v>0.5</v>
      </c>
      <c r="AP147" t="s">
        <v>331</v>
      </c>
      <c r="AQ147">
        <v>2</v>
      </c>
      <c r="AR147">
        <v>1773276657</v>
      </c>
      <c r="AS147">
        <v>454.1954516129032</v>
      </c>
      <c r="AT147">
        <v>452.8312258064518</v>
      </c>
      <c r="AU147">
        <v>14.33535483870968</v>
      </c>
      <c r="AV147">
        <v>13.38727741935484</v>
      </c>
      <c r="AW147">
        <v>447.7000322580645</v>
      </c>
      <c r="AX147">
        <v>14.27653870967742</v>
      </c>
      <c r="AY147">
        <v>500.0084838709677</v>
      </c>
      <c r="AZ147">
        <v>100.3189677419355</v>
      </c>
      <c r="BA147">
        <v>0.0390400806451613</v>
      </c>
      <c r="BB147">
        <v>25.00277741935484</v>
      </c>
      <c r="BC147">
        <v>25.3161870967742</v>
      </c>
      <c r="BD147">
        <v>999.9000000000003</v>
      </c>
      <c r="BE147">
        <v>0</v>
      </c>
      <c r="BF147">
        <v>0</v>
      </c>
      <c r="BG147">
        <v>4999.193548387097</v>
      </c>
      <c r="BH147">
        <v>2.017632258064516</v>
      </c>
      <c r="BI147">
        <v>1302.346451612903</v>
      </c>
      <c r="BJ147">
        <v>1.364184193548387</v>
      </c>
      <c r="BK147">
        <v>460.8012258064517</v>
      </c>
      <c r="BL147">
        <v>458.9757741935484</v>
      </c>
      <c r="BM147">
        <v>0.9480866451612903</v>
      </c>
      <c r="BN147">
        <v>452.8312258064518</v>
      </c>
      <c r="BO147">
        <v>13.38727741935484</v>
      </c>
      <c r="BP147">
        <v>1.438108064516129</v>
      </c>
      <c r="BQ147">
        <v>1.342997419354839</v>
      </c>
      <c r="BR147">
        <v>12.32553548387097</v>
      </c>
      <c r="BS147">
        <v>11.28887419354838</v>
      </c>
      <c r="BT147">
        <v>0</v>
      </c>
      <c r="BU147">
        <v>0</v>
      </c>
      <c r="BV147">
        <v>0</v>
      </c>
      <c r="BW147">
        <v>30</v>
      </c>
      <c r="BX147">
        <v>48</v>
      </c>
      <c r="BY147">
        <v>1773268786.6</v>
      </c>
      <c r="BZ147" t="s">
        <v>332</v>
      </c>
      <c r="CA147">
        <v>1773268786.6</v>
      </c>
      <c r="CB147">
        <v>1773268774.1</v>
      </c>
      <c r="CC147">
        <v>2</v>
      </c>
      <c r="CD147">
        <v>0.264</v>
      </c>
      <c r="CE147">
        <v>-0.024</v>
      </c>
      <c r="CF147">
        <v>6.495</v>
      </c>
      <c r="CG147">
        <v>0.059</v>
      </c>
      <c r="CH147">
        <v>488</v>
      </c>
      <c r="CI147">
        <v>25</v>
      </c>
      <c r="CJ147">
        <v>0.48</v>
      </c>
      <c r="CK147">
        <v>0.14</v>
      </c>
      <c r="CL147">
        <v>452.8254193548387</v>
      </c>
      <c r="CM147">
        <v>1.759741935483437</v>
      </c>
      <c r="CN147">
        <v>0.2404070169918924</v>
      </c>
      <c r="CO147">
        <v>-1</v>
      </c>
      <c r="CP147">
        <v>500.0067741935484</v>
      </c>
      <c r="CQ147">
        <v>0.1658709677402783</v>
      </c>
      <c r="CR147">
        <v>0.0522874867392877</v>
      </c>
      <c r="CS147">
        <v>-1</v>
      </c>
      <c r="CT147">
        <v>0</v>
      </c>
      <c r="CU147">
        <v>0</v>
      </c>
      <c r="CV147" t="s">
        <v>333</v>
      </c>
      <c r="CW147">
        <v>3.17097</v>
      </c>
      <c r="CX147">
        <v>2.66077</v>
      </c>
      <c r="CY147">
        <v>0.106393</v>
      </c>
      <c r="CZ147">
        <v>0.107172</v>
      </c>
      <c r="DA147">
        <v>0.0779868</v>
      </c>
      <c r="DB147">
        <v>0.0740398</v>
      </c>
      <c r="DC147">
        <v>21369.5</v>
      </c>
      <c r="DD147">
        <v>21907</v>
      </c>
      <c r="DE147">
        <v>23033</v>
      </c>
      <c r="DF147">
        <v>22448.6</v>
      </c>
      <c r="DG147">
        <v>32097.8</v>
      </c>
      <c r="DH147">
        <v>29305.3</v>
      </c>
      <c r="DI147">
        <v>40504.3</v>
      </c>
      <c r="DJ147">
        <v>37146.9</v>
      </c>
      <c r="DK147">
        <v>2.07486</v>
      </c>
      <c r="DL147">
        <v>1.64708</v>
      </c>
      <c r="DM147">
        <v>-0.122148</v>
      </c>
      <c r="DN147">
        <v>0</v>
      </c>
      <c r="DO147">
        <v>27.313</v>
      </c>
      <c r="DP147">
        <v>999.9</v>
      </c>
      <c r="DQ147">
        <v>42.2</v>
      </c>
      <c r="DR147">
        <v>36</v>
      </c>
      <c r="DS147">
        <v>25.1062</v>
      </c>
      <c r="DT147">
        <v>30.0365</v>
      </c>
      <c r="DU147">
        <v>12.8566</v>
      </c>
      <c r="DV147">
        <v>1</v>
      </c>
      <c r="DW147">
        <v>0.417203</v>
      </c>
      <c r="DX147">
        <v>3.85081</v>
      </c>
      <c r="DY147">
        <v>20.3136</v>
      </c>
      <c r="DZ147">
        <v>5.21046</v>
      </c>
      <c r="EA147">
        <v>11.8542</v>
      </c>
      <c r="EB147">
        <v>4.96752</v>
      </c>
      <c r="EC147">
        <v>3.29224</v>
      </c>
      <c r="ED147">
        <v>879.4</v>
      </c>
      <c r="EE147">
        <v>9999</v>
      </c>
      <c r="EF147">
        <v>9999</v>
      </c>
      <c r="EG147">
        <v>82.3</v>
      </c>
      <c r="EH147">
        <v>4.97156</v>
      </c>
      <c r="EI147">
        <v>1.872</v>
      </c>
      <c r="EJ147">
        <v>1.86927</v>
      </c>
      <c r="EK147">
        <v>1.87163</v>
      </c>
      <c r="EL147">
        <v>1.86935</v>
      </c>
      <c r="EM147">
        <v>1.86829</v>
      </c>
      <c r="EN147">
        <v>1.87012</v>
      </c>
      <c r="EO147">
        <v>1.87187</v>
      </c>
      <c r="EP147">
        <v>0</v>
      </c>
      <c r="EQ147">
        <v>0</v>
      </c>
      <c r="ER147">
        <v>0</v>
      </c>
      <c r="ES147">
        <v>0</v>
      </c>
      <c r="ET147" t="s">
        <v>334</v>
      </c>
      <c r="EU147" t="s">
        <v>335</v>
      </c>
      <c r="EV147" t="s">
        <v>336</v>
      </c>
      <c r="EW147" t="s">
        <v>336</v>
      </c>
      <c r="EX147" t="s">
        <v>336</v>
      </c>
      <c r="EY147" t="s">
        <v>336</v>
      </c>
      <c r="EZ147">
        <v>0</v>
      </c>
      <c r="FA147">
        <v>100</v>
      </c>
      <c r="FB147">
        <v>100</v>
      </c>
      <c r="FC147">
        <v>6.495</v>
      </c>
      <c r="FD147">
        <v>0.0588</v>
      </c>
      <c r="FE147">
        <v>6.495476190476325</v>
      </c>
      <c r="FF147">
        <v>0</v>
      </c>
      <c r="FG147">
        <v>0</v>
      </c>
      <c r="FH147">
        <v>0</v>
      </c>
      <c r="FI147">
        <v>0.05881499999999917</v>
      </c>
      <c r="FJ147">
        <v>0</v>
      </c>
      <c r="FK147">
        <v>0</v>
      </c>
      <c r="FL147">
        <v>0</v>
      </c>
      <c r="FM147">
        <v>-1</v>
      </c>
      <c r="FN147">
        <v>-1</v>
      </c>
      <c r="FO147">
        <v>-1</v>
      </c>
      <c r="FP147">
        <v>-1</v>
      </c>
      <c r="FQ147">
        <v>131.3</v>
      </c>
      <c r="FR147">
        <v>131.5</v>
      </c>
      <c r="FS147">
        <v>0.142822</v>
      </c>
      <c r="FT147">
        <v>4.99756</v>
      </c>
      <c r="FU147">
        <v>1.5979</v>
      </c>
      <c r="FV147">
        <v>2.12891</v>
      </c>
      <c r="FW147">
        <v>1.54785</v>
      </c>
      <c r="FX147">
        <v>2.44751</v>
      </c>
      <c r="FY147">
        <v>41.3261</v>
      </c>
      <c r="FZ147">
        <v>15.5768</v>
      </c>
      <c r="GA147">
        <v>3</v>
      </c>
      <c r="GB147">
        <v>509.116</v>
      </c>
      <c r="GC147">
        <v>337.39</v>
      </c>
      <c r="GD147">
        <v>21.8257</v>
      </c>
      <c r="GE147">
        <v>32.308</v>
      </c>
      <c r="GF147">
        <v>30</v>
      </c>
      <c r="GG147">
        <v>32.2065</v>
      </c>
      <c r="GH147">
        <v>32.1925</v>
      </c>
      <c r="GI147">
        <v>-1</v>
      </c>
      <c r="GJ147">
        <v>100</v>
      </c>
      <c r="GK147">
        <v>0</v>
      </c>
      <c r="GL147">
        <v>21.8267</v>
      </c>
      <c r="GM147">
        <v>1200</v>
      </c>
      <c r="GN147">
        <v>26.7455</v>
      </c>
      <c r="GO147">
        <v>101.933</v>
      </c>
      <c r="GP147">
        <v>96.9853</v>
      </c>
    </row>
    <row r="148" spans="1:198">
      <c r="A148">
        <v>132</v>
      </c>
      <c r="B148">
        <v>1773276725</v>
      </c>
      <c r="C148">
        <v>7861.400000095367</v>
      </c>
      <c r="D148" t="s">
        <v>597</v>
      </c>
      <c r="E148" t="s">
        <v>598</v>
      </c>
      <c r="F148">
        <v>15</v>
      </c>
      <c r="G148">
        <v>1773276717</v>
      </c>
      <c r="H148">
        <f>(I148)/1000</f>
        <v>0</v>
      </c>
      <c r="I148">
        <f>1000*AY148*AG148*(AU148-AV148)/(100*AN148*(1000-AG148*AU148))</f>
        <v>0</v>
      </c>
      <c r="J148">
        <f>AY148*AG148*(AT148-AS148*(1000-AG148*AV148)/(1000-AG148*AU148))/(100*AN148)</f>
        <v>0</v>
      </c>
      <c r="K148">
        <f>AS148 - IF(AG148&gt;1, J148*AN148*100.0/(AI148), 0)</f>
        <v>0</v>
      </c>
      <c r="L148">
        <f>((R148-H148/2)*K148-J148)/(R148+H148/2)</f>
        <v>0</v>
      </c>
      <c r="M148">
        <f>L148*(AZ148+BA148)/1000.0</f>
        <v>0</v>
      </c>
      <c r="N148">
        <f>(AS148 - IF(AG148&gt;1, J148*AN148*100.0/(AI148), 0))*(AZ148+BA148)/1000.0</f>
        <v>0</v>
      </c>
      <c r="O148">
        <f>2.0/((1/Q148-1/P148)+SIGN(Q148)*SQRT((1/Q148-1/P148)*(1/Q148-1/P148) + 4*AO148/((AO148+1)*(AO148+1))*(2*1/Q148*1/P148-1/P148*1/P148)))</f>
        <v>0</v>
      </c>
      <c r="P148">
        <f>IF(LEFT(AP148,1)&lt;&gt;"0",IF(LEFT(AP148,1)="1",3.0,AQ148),$D$5+$E$5*(BG148*AZ148/($K$5*1000))+$F$5*(BG148*AZ148/($K$5*1000))*MAX(MIN(AN148,$J$5),$I$5)*MAX(MIN(AN148,$J$5),$I$5)+$G$5*MAX(MIN(AN148,$J$5),$I$5)*(BG148*AZ148/($K$5*1000))+$H$5*(BG148*AZ148/($K$5*1000))*(BG148*AZ148/($K$5*1000)))</f>
        <v>0</v>
      </c>
      <c r="Q148">
        <f>H148*(1000-(1000*0.61365*exp(17.502*U148/(240.97+U148))/(AZ148+BA148)+AU148)/2)/(1000*0.61365*exp(17.502*U148/(240.97+U148))/(AZ148+BA148)-AU148)</f>
        <v>0</v>
      </c>
      <c r="R148">
        <f>1/((AO148+1)/(O148/1.6)+1/(P148/1.37)) + AO148/((AO148+1)/(O148/1.6) + AO148/(P148/1.37))</f>
        <v>0</v>
      </c>
      <c r="S148">
        <f>(AJ148*AM148)</f>
        <v>0</v>
      </c>
      <c r="T148">
        <f>(BB148+(S148+2*0.95*5.67E-8*(((BB148+$B$7)+273)^4-(BB148+273)^4)-44100*H148)/(1.84*29.3*P148+8*0.95*5.67E-8*(BB148+273)^3))</f>
        <v>0</v>
      </c>
      <c r="U148">
        <f>($C$7*BC148+$D$7*BD148+$E$7*T148)</f>
        <v>0</v>
      </c>
      <c r="V148">
        <f>0.61365*exp(17.502*U148/(240.97+U148))</f>
        <v>0</v>
      </c>
      <c r="W148">
        <f>(X148/Y148*100)</f>
        <v>0</v>
      </c>
      <c r="X148">
        <f>AU148*(AZ148+BA148)/1000</f>
        <v>0</v>
      </c>
      <c r="Y148">
        <f>0.61365*exp(17.502*BB148/(240.97+BB148))</f>
        <v>0</v>
      </c>
      <c r="Z148">
        <f>(V148-AU148*(AZ148+BA148)/1000)</f>
        <v>0</v>
      </c>
      <c r="AA148">
        <f>(-H148*44100)</f>
        <v>0</v>
      </c>
      <c r="AB148">
        <f>2*29.3*P148*0.92*(BB148-U148)</f>
        <v>0</v>
      </c>
      <c r="AC148">
        <f>2*0.95*5.67E-8*(((BB148+$B$7)+273)^4-(U148+273)^4)</f>
        <v>0</v>
      </c>
      <c r="AD148">
        <f>S148+AC148+AA148+AB148</f>
        <v>0</v>
      </c>
      <c r="AE148">
        <v>0</v>
      </c>
      <c r="AF148">
        <v>0</v>
      </c>
      <c r="AG148">
        <f>IF(AE148*$H$13&gt;=AI148,1.0,(AI148/(AI148-AE148*$H$13)))</f>
        <v>0</v>
      </c>
      <c r="AH148">
        <f>(AG148-1)*100</f>
        <v>0</v>
      </c>
      <c r="AI148">
        <f>MAX(0,($B$13+$C$13*BG148)/(1+$D$13*BG148)*AZ148/(BB148+273)*$E$13)</f>
        <v>0</v>
      </c>
      <c r="AJ148">
        <f>$B$11*BH148+$C$11*BI148+$D$11*BT148</f>
        <v>0</v>
      </c>
      <c r="AK148">
        <f>AJ148*AL148</f>
        <v>0</v>
      </c>
      <c r="AL148">
        <f>($B$11*$D$9+$C$11*$D$9+$D$11*(BU148*$E$9+BV148*$G$9))/($B$11+$C$11+$D$11)</f>
        <v>0</v>
      </c>
      <c r="AM148">
        <f>($B$11*$K$9+$C$11*$K$9+$D$11*(BU148*$L$9+BV148*$N$9))/($B$11+$C$11+$D$11)</f>
        <v>0</v>
      </c>
      <c r="AN148">
        <v>3</v>
      </c>
      <c r="AO148">
        <v>0.5</v>
      </c>
      <c r="AP148" t="s">
        <v>331</v>
      </c>
      <c r="AQ148">
        <v>2</v>
      </c>
      <c r="AR148">
        <v>1773276717</v>
      </c>
      <c r="AS148">
        <v>455.1402580645161</v>
      </c>
      <c r="AT148">
        <v>453.7500967741936</v>
      </c>
      <c r="AU148">
        <v>14.32314838709678</v>
      </c>
      <c r="AV148">
        <v>13.37566129032258</v>
      </c>
      <c r="AW148">
        <v>448.6447741935483</v>
      </c>
      <c r="AX148">
        <v>14.26433548387097</v>
      </c>
      <c r="AY148">
        <v>500.0195806451614</v>
      </c>
      <c r="AZ148">
        <v>100.3206774193548</v>
      </c>
      <c r="BA148">
        <v>0.0382988806451613</v>
      </c>
      <c r="BB148">
        <v>24.98478064516129</v>
      </c>
      <c r="BC148">
        <v>25.29313548387097</v>
      </c>
      <c r="BD148">
        <v>999.9000000000003</v>
      </c>
      <c r="BE148">
        <v>0</v>
      </c>
      <c r="BF148">
        <v>0</v>
      </c>
      <c r="BG148">
        <v>5004.870967741936</v>
      </c>
      <c r="BH148">
        <v>2.00145064516129</v>
      </c>
      <c r="BI148">
        <v>1308.356774193548</v>
      </c>
      <c r="BJ148">
        <v>1.390123225806452</v>
      </c>
      <c r="BK148">
        <v>461.754064516129</v>
      </c>
      <c r="BL148">
        <v>459.9016129032258</v>
      </c>
      <c r="BM148">
        <v>0.9474880967741934</v>
      </c>
      <c r="BN148">
        <v>453.7500967741936</v>
      </c>
      <c r="BO148">
        <v>13.37566129032258</v>
      </c>
      <c r="BP148">
        <v>1.436908064516129</v>
      </c>
      <c r="BQ148">
        <v>1.341855483870968</v>
      </c>
      <c r="BR148">
        <v>12.31283548387097</v>
      </c>
      <c r="BS148">
        <v>11.27604838709677</v>
      </c>
      <c r="BT148">
        <v>0</v>
      </c>
      <c r="BU148">
        <v>0</v>
      </c>
      <c r="BV148">
        <v>0</v>
      </c>
      <c r="BW148">
        <v>30</v>
      </c>
      <c r="BX148">
        <v>47</v>
      </c>
      <c r="BY148">
        <v>1773268786.6</v>
      </c>
      <c r="BZ148" t="s">
        <v>332</v>
      </c>
      <c r="CA148">
        <v>1773268786.6</v>
      </c>
      <c r="CB148">
        <v>1773268774.1</v>
      </c>
      <c r="CC148">
        <v>2</v>
      </c>
      <c r="CD148">
        <v>0.264</v>
      </c>
      <c r="CE148">
        <v>-0.024</v>
      </c>
      <c r="CF148">
        <v>6.495</v>
      </c>
      <c r="CG148">
        <v>0.059</v>
      </c>
      <c r="CH148">
        <v>488</v>
      </c>
      <c r="CI148">
        <v>25</v>
      </c>
      <c r="CJ148">
        <v>0.48</v>
      </c>
      <c r="CK148">
        <v>0.14</v>
      </c>
      <c r="CL148">
        <v>453.697129032258</v>
      </c>
      <c r="CM148">
        <v>3.385306451612531</v>
      </c>
      <c r="CN148">
        <v>0.2563368174801299</v>
      </c>
      <c r="CO148">
        <v>-1</v>
      </c>
      <c r="CP148">
        <v>500.0186451612904</v>
      </c>
      <c r="CQ148">
        <v>0.05801612903217946</v>
      </c>
      <c r="CR148">
        <v>0.05378544495949017</v>
      </c>
      <c r="CS148">
        <v>-1</v>
      </c>
      <c r="CT148">
        <v>0</v>
      </c>
      <c r="CU148">
        <v>0</v>
      </c>
      <c r="CV148" t="s">
        <v>333</v>
      </c>
      <c r="CW148">
        <v>3.17092</v>
      </c>
      <c r="CX148">
        <v>2.65995</v>
      </c>
      <c r="CY148">
        <v>0.106574</v>
      </c>
      <c r="CZ148">
        <v>0.107529</v>
      </c>
      <c r="DA148">
        <v>0.07794760000000001</v>
      </c>
      <c r="DB148">
        <v>0.0739997</v>
      </c>
      <c r="DC148">
        <v>21365.4</v>
      </c>
      <c r="DD148">
        <v>21899.2</v>
      </c>
      <c r="DE148">
        <v>23033.1</v>
      </c>
      <c r="DF148">
        <v>22449.5</v>
      </c>
      <c r="DG148">
        <v>32099.2</v>
      </c>
      <c r="DH148">
        <v>29307.7</v>
      </c>
      <c r="DI148">
        <v>40504.3</v>
      </c>
      <c r="DJ148">
        <v>37148.5</v>
      </c>
      <c r="DK148">
        <v>2.07512</v>
      </c>
      <c r="DL148">
        <v>1.6468</v>
      </c>
      <c r="DM148">
        <v>-0.121155</v>
      </c>
      <c r="DN148">
        <v>0</v>
      </c>
      <c r="DO148">
        <v>27.2828</v>
      </c>
      <c r="DP148">
        <v>999.9</v>
      </c>
      <c r="DQ148">
        <v>42.1</v>
      </c>
      <c r="DR148">
        <v>36</v>
      </c>
      <c r="DS148">
        <v>25.0493</v>
      </c>
      <c r="DT148">
        <v>30.0665</v>
      </c>
      <c r="DU148">
        <v>12.9808</v>
      </c>
      <c r="DV148">
        <v>1</v>
      </c>
      <c r="DW148">
        <v>0.414866</v>
      </c>
      <c r="DX148">
        <v>3.6499</v>
      </c>
      <c r="DY148">
        <v>20.3194</v>
      </c>
      <c r="DZ148">
        <v>5.21118</v>
      </c>
      <c r="EA148">
        <v>11.8542</v>
      </c>
      <c r="EB148">
        <v>4.9678</v>
      </c>
      <c r="EC148">
        <v>3.2922</v>
      </c>
      <c r="ED148">
        <v>879.4</v>
      </c>
      <c r="EE148">
        <v>9999</v>
      </c>
      <c r="EF148">
        <v>9999</v>
      </c>
      <c r="EG148">
        <v>82.3</v>
      </c>
      <c r="EH148">
        <v>4.97157</v>
      </c>
      <c r="EI148">
        <v>1.87199</v>
      </c>
      <c r="EJ148">
        <v>1.86927</v>
      </c>
      <c r="EK148">
        <v>1.87164</v>
      </c>
      <c r="EL148">
        <v>1.86935</v>
      </c>
      <c r="EM148">
        <v>1.86829</v>
      </c>
      <c r="EN148">
        <v>1.87012</v>
      </c>
      <c r="EO148">
        <v>1.87186</v>
      </c>
      <c r="EP148">
        <v>0</v>
      </c>
      <c r="EQ148">
        <v>0</v>
      </c>
      <c r="ER148">
        <v>0</v>
      </c>
      <c r="ES148">
        <v>0</v>
      </c>
      <c r="ET148" t="s">
        <v>334</v>
      </c>
      <c r="EU148" t="s">
        <v>335</v>
      </c>
      <c r="EV148" t="s">
        <v>336</v>
      </c>
      <c r="EW148" t="s">
        <v>336</v>
      </c>
      <c r="EX148" t="s">
        <v>336</v>
      </c>
      <c r="EY148" t="s">
        <v>336</v>
      </c>
      <c r="EZ148">
        <v>0</v>
      </c>
      <c r="FA148">
        <v>100</v>
      </c>
      <c r="FB148">
        <v>100</v>
      </c>
      <c r="FC148">
        <v>6.496</v>
      </c>
      <c r="FD148">
        <v>0.0588</v>
      </c>
      <c r="FE148">
        <v>6.495476190476325</v>
      </c>
      <c r="FF148">
        <v>0</v>
      </c>
      <c r="FG148">
        <v>0</v>
      </c>
      <c r="FH148">
        <v>0</v>
      </c>
      <c r="FI148">
        <v>0.05881499999999917</v>
      </c>
      <c r="FJ148">
        <v>0</v>
      </c>
      <c r="FK148">
        <v>0</v>
      </c>
      <c r="FL148">
        <v>0</v>
      </c>
      <c r="FM148">
        <v>-1</v>
      </c>
      <c r="FN148">
        <v>-1</v>
      </c>
      <c r="FO148">
        <v>-1</v>
      </c>
      <c r="FP148">
        <v>-1</v>
      </c>
      <c r="FQ148">
        <v>132.3</v>
      </c>
      <c r="FR148">
        <v>132.5</v>
      </c>
      <c r="FS148">
        <v>0.142822</v>
      </c>
      <c r="FT148">
        <v>4.99756</v>
      </c>
      <c r="FU148">
        <v>1.5979</v>
      </c>
      <c r="FV148">
        <v>2.13013</v>
      </c>
      <c r="FW148">
        <v>1.54785</v>
      </c>
      <c r="FX148">
        <v>2.42188</v>
      </c>
      <c r="FY148">
        <v>41.3001</v>
      </c>
      <c r="FZ148">
        <v>15.5592</v>
      </c>
      <c r="GA148">
        <v>3</v>
      </c>
      <c r="GB148">
        <v>509.272</v>
      </c>
      <c r="GC148">
        <v>337.281</v>
      </c>
      <c r="GD148">
        <v>21.9655</v>
      </c>
      <c r="GE148">
        <v>32.2966</v>
      </c>
      <c r="GF148">
        <v>30.0001</v>
      </c>
      <c r="GG148">
        <v>32.2065</v>
      </c>
      <c r="GH148">
        <v>32.199</v>
      </c>
      <c r="GI148">
        <v>-1</v>
      </c>
      <c r="GJ148">
        <v>100</v>
      </c>
      <c r="GK148">
        <v>0</v>
      </c>
      <c r="GL148">
        <v>21.9738</v>
      </c>
      <c r="GM148">
        <v>1200</v>
      </c>
      <c r="GN148">
        <v>26.7455</v>
      </c>
      <c r="GO148">
        <v>101.933</v>
      </c>
      <c r="GP148">
        <v>96.9893</v>
      </c>
    </row>
    <row r="149" spans="1:198">
      <c r="A149">
        <v>133</v>
      </c>
      <c r="B149">
        <v>1773276785</v>
      </c>
      <c r="C149">
        <v>7921.400000095367</v>
      </c>
      <c r="D149" t="s">
        <v>599</v>
      </c>
      <c r="E149" t="s">
        <v>600</v>
      </c>
      <c r="F149">
        <v>15</v>
      </c>
      <c r="G149">
        <v>1773276777</v>
      </c>
      <c r="H149">
        <f>(I149)/1000</f>
        <v>0</v>
      </c>
      <c r="I149">
        <f>1000*AY149*AG149*(AU149-AV149)/(100*AN149*(1000-AG149*AU149))</f>
        <v>0</v>
      </c>
      <c r="J149">
        <f>AY149*AG149*(AT149-AS149*(1000-AG149*AV149)/(1000-AG149*AU149))/(100*AN149)</f>
        <v>0</v>
      </c>
      <c r="K149">
        <f>AS149 - IF(AG149&gt;1, J149*AN149*100.0/(AI149), 0)</f>
        <v>0</v>
      </c>
      <c r="L149">
        <f>((R149-H149/2)*K149-J149)/(R149+H149/2)</f>
        <v>0</v>
      </c>
      <c r="M149">
        <f>L149*(AZ149+BA149)/1000.0</f>
        <v>0</v>
      </c>
      <c r="N149">
        <f>(AS149 - IF(AG149&gt;1, J149*AN149*100.0/(AI149), 0))*(AZ149+BA149)/1000.0</f>
        <v>0</v>
      </c>
      <c r="O149">
        <f>2.0/((1/Q149-1/P149)+SIGN(Q149)*SQRT((1/Q149-1/P149)*(1/Q149-1/P149) + 4*AO149/((AO149+1)*(AO149+1))*(2*1/Q149*1/P149-1/P149*1/P149)))</f>
        <v>0</v>
      </c>
      <c r="P149">
        <f>IF(LEFT(AP149,1)&lt;&gt;"0",IF(LEFT(AP149,1)="1",3.0,AQ149),$D$5+$E$5*(BG149*AZ149/($K$5*1000))+$F$5*(BG149*AZ149/($K$5*1000))*MAX(MIN(AN149,$J$5),$I$5)*MAX(MIN(AN149,$J$5),$I$5)+$G$5*MAX(MIN(AN149,$J$5),$I$5)*(BG149*AZ149/($K$5*1000))+$H$5*(BG149*AZ149/($K$5*1000))*(BG149*AZ149/($K$5*1000)))</f>
        <v>0</v>
      </c>
      <c r="Q149">
        <f>H149*(1000-(1000*0.61365*exp(17.502*U149/(240.97+U149))/(AZ149+BA149)+AU149)/2)/(1000*0.61365*exp(17.502*U149/(240.97+U149))/(AZ149+BA149)-AU149)</f>
        <v>0</v>
      </c>
      <c r="R149">
        <f>1/((AO149+1)/(O149/1.6)+1/(P149/1.37)) + AO149/((AO149+1)/(O149/1.6) + AO149/(P149/1.37))</f>
        <v>0</v>
      </c>
      <c r="S149">
        <f>(AJ149*AM149)</f>
        <v>0</v>
      </c>
      <c r="T149">
        <f>(BB149+(S149+2*0.95*5.67E-8*(((BB149+$B$7)+273)^4-(BB149+273)^4)-44100*H149)/(1.84*29.3*P149+8*0.95*5.67E-8*(BB149+273)^3))</f>
        <v>0</v>
      </c>
      <c r="U149">
        <f>($C$7*BC149+$D$7*BD149+$E$7*T149)</f>
        <v>0</v>
      </c>
      <c r="V149">
        <f>0.61365*exp(17.502*U149/(240.97+U149))</f>
        <v>0</v>
      </c>
      <c r="W149">
        <f>(X149/Y149*100)</f>
        <v>0</v>
      </c>
      <c r="X149">
        <f>AU149*(AZ149+BA149)/1000</f>
        <v>0</v>
      </c>
      <c r="Y149">
        <f>0.61365*exp(17.502*BB149/(240.97+BB149))</f>
        <v>0</v>
      </c>
      <c r="Z149">
        <f>(V149-AU149*(AZ149+BA149)/1000)</f>
        <v>0</v>
      </c>
      <c r="AA149">
        <f>(-H149*44100)</f>
        <v>0</v>
      </c>
      <c r="AB149">
        <f>2*29.3*P149*0.92*(BB149-U149)</f>
        <v>0</v>
      </c>
      <c r="AC149">
        <f>2*0.95*5.67E-8*(((BB149+$B$7)+273)^4-(U149+273)^4)</f>
        <v>0</v>
      </c>
      <c r="AD149">
        <f>S149+AC149+AA149+AB149</f>
        <v>0</v>
      </c>
      <c r="AE149">
        <v>0</v>
      </c>
      <c r="AF149">
        <v>0</v>
      </c>
      <c r="AG149">
        <f>IF(AE149*$H$13&gt;=AI149,1.0,(AI149/(AI149-AE149*$H$13)))</f>
        <v>0</v>
      </c>
      <c r="AH149">
        <f>(AG149-1)*100</f>
        <v>0</v>
      </c>
      <c r="AI149">
        <f>MAX(0,($B$13+$C$13*BG149)/(1+$D$13*BG149)*AZ149/(BB149+273)*$E$13)</f>
        <v>0</v>
      </c>
      <c r="AJ149">
        <f>$B$11*BH149+$C$11*BI149+$D$11*BT149</f>
        <v>0</v>
      </c>
      <c r="AK149">
        <f>AJ149*AL149</f>
        <v>0</v>
      </c>
      <c r="AL149">
        <f>($B$11*$D$9+$C$11*$D$9+$D$11*(BU149*$E$9+BV149*$G$9))/($B$11+$C$11+$D$11)</f>
        <v>0</v>
      </c>
      <c r="AM149">
        <f>($B$11*$K$9+$C$11*$K$9+$D$11*(BU149*$L$9+BV149*$N$9))/($B$11+$C$11+$D$11)</f>
        <v>0</v>
      </c>
      <c r="AN149">
        <v>3</v>
      </c>
      <c r="AO149">
        <v>0.5</v>
      </c>
      <c r="AP149" t="s">
        <v>331</v>
      </c>
      <c r="AQ149">
        <v>2</v>
      </c>
      <c r="AR149">
        <v>1773276777</v>
      </c>
      <c r="AS149">
        <v>455.3794838709678</v>
      </c>
      <c r="AT149">
        <v>453.9770000000001</v>
      </c>
      <c r="AU149">
        <v>14.3361935483871</v>
      </c>
      <c r="AV149">
        <v>13.39189032258065</v>
      </c>
      <c r="AW149">
        <v>448.8840645161289</v>
      </c>
      <c r="AX149">
        <v>14.27736774193548</v>
      </c>
      <c r="AY149">
        <v>500.0238709677419</v>
      </c>
      <c r="AZ149">
        <v>100.3210322580645</v>
      </c>
      <c r="BA149">
        <v>0.03883550967741935</v>
      </c>
      <c r="BB149">
        <v>25.00415483870968</v>
      </c>
      <c r="BC149">
        <v>25.31605161290323</v>
      </c>
      <c r="BD149">
        <v>999.9000000000003</v>
      </c>
      <c r="BE149">
        <v>0</v>
      </c>
      <c r="BF149">
        <v>0</v>
      </c>
      <c r="BG149">
        <v>5010</v>
      </c>
      <c r="BH149">
        <v>2.019944516129032</v>
      </c>
      <c r="BI149">
        <v>1302.562258064516</v>
      </c>
      <c r="BJ149">
        <v>1.402442870967741</v>
      </c>
      <c r="BK149">
        <v>462.0029354838709</v>
      </c>
      <c r="BL149">
        <v>460.1392580645161</v>
      </c>
      <c r="BM149">
        <v>0.9443010967741936</v>
      </c>
      <c r="BN149">
        <v>453.9770000000001</v>
      </c>
      <c r="BO149">
        <v>13.39189032258065</v>
      </c>
      <c r="BP149">
        <v>1.438220967741935</v>
      </c>
      <c r="BQ149">
        <v>1.343485483870967</v>
      </c>
      <c r="BR149">
        <v>12.32671290322581</v>
      </c>
      <c r="BS149">
        <v>11.29437096774193</v>
      </c>
      <c r="BT149">
        <v>0</v>
      </c>
      <c r="BU149">
        <v>0</v>
      </c>
      <c r="BV149">
        <v>0</v>
      </c>
      <c r="BW149">
        <v>30</v>
      </c>
      <c r="BX149">
        <v>47</v>
      </c>
      <c r="BY149">
        <v>1773268786.6</v>
      </c>
      <c r="BZ149" t="s">
        <v>332</v>
      </c>
      <c r="CA149">
        <v>1773268786.6</v>
      </c>
      <c r="CB149">
        <v>1773268774.1</v>
      </c>
      <c r="CC149">
        <v>2</v>
      </c>
      <c r="CD149">
        <v>0.264</v>
      </c>
      <c r="CE149">
        <v>-0.024</v>
      </c>
      <c r="CF149">
        <v>6.495</v>
      </c>
      <c r="CG149">
        <v>0.059</v>
      </c>
      <c r="CH149">
        <v>488</v>
      </c>
      <c r="CI149">
        <v>25</v>
      </c>
      <c r="CJ149">
        <v>0.48</v>
      </c>
      <c r="CK149">
        <v>0.14</v>
      </c>
      <c r="CL149">
        <v>453.9770000000001</v>
      </c>
      <c r="CM149">
        <v>5.953306451612972</v>
      </c>
      <c r="CN149">
        <v>0.4831833285951201</v>
      </c>
      <c r="CO149">
        <v>-1</v>
      </c>
      <c r="CP149">
        <v>500.0238709677419</v>
      </c>
      <c r="CQ149">
        <v>-0.1466612903234404</v>
      </c>
      <c r="CR149">
        <v>0.05046029543307021</v>
      </c>
      <c r="CS149">
        <v>-1</v>
      </c>
      <c r="CT149">
        <v>0</v>
      </c>
      <c r="CU149">
        <v>0</v>
      </c>
      <c r="CV149" t="s">
        <v>333</v>
      </c>
      <c r="CW149">
        <v>3.1711</v>
      </c>
      <c r="CX149">
        <v>2.66027</v>
      </c>
      <c r="CY149">
        <v>0.106626</v>
      </c>
      <c r="CZ149">
        <v>0.107686</v>
      </c>
      <c r="DA149">
        <v>0.0780087</v>
      </c>
      <c r="DB149">
        <v>0.0740731</v>
      </c>
      <c r="DC149">
        <v>21363.4</v>
      </c>
      <c r="DD149">
        <v>21894.9</v>
      </c>
      <c r="DE149">
        <v>23032.4</v>
      </c>
      <c r="DF149">
        <v>22449.1</v>
      </c>
      <c r="DG149">
        <v>32096.3</v>
      </c>
      <c r="DH149">
        <v>29304.4</v>
      </c>
      <c r="DI149">
        <v>40503.3</v>
      </c>
      <c r="DJ149">
        <v>37147.2</v>
      </c>
      <c r="DK149">
        <v>2.07516</v>
      </c>
      <c r="DL149">
        <v>1.64564</v>
      </c>
      <c r="DM149">
        <v>-0.121295</v>
      </c>
      <c r="DN149">
        <v>0</v>
      </c>
      <c r="DO149">
        <v>27.2931</v>
      </c>
      <c r="DP149">
        <v>999.9</v>
      </c>
      <c r="DQ149">
        <v>42</v>
      </c>
      <c r="DR149">
        <v>36.1</v>
      </c>
      <c r="DS149">
        <v>25.1252</v>
      </c>
      <c r="DT149">
        <v>29.7965</v>
      </c>
      <c r="DU149">
        <v>12.7244</v>
      </c>
      <c r="DV149">
        <v>1</v>
      </c>
      <c r="DW149">
        <v>0.416829</v>
      </c>
      <c r="DX149">
        <v>3.82892</v>
      </c>
      <c r="DY149">
        <v>20.3136</v>
      </c>
      <c r="DZ149">
        <v>5.21046</v>
      </c>
      <c r="EA149">
        <v>11.8542</v>
      </c>
      <c r="EB149">
        <v>4.96776</v>
      </c>
      <c r="EC149">
        <v>3.2921</v>
      </c>
      <c r="ED149">
        <v>879.4</v>
      </c>
      <c r="EE149">
        <v>9999</v>
      </c>
      <c r="EF149">
        <v>9999</v>
      </c>
      <c r="EG149">
        <v>82.3</v>
      </c>
      <c r="EH149">
        <v>4.97155</v>
      </c>
      <c r="EI149">
        <v>1.87196</v>
      </c>
      <c r="EJ149">
        <v>1.86922</v>
      </c>
      <c r="EK149">
        <v>1.87164</v>
      </c>
      <c r="EL149">
        <v>1.86935</v>
      </c>
      <c r="EM149">
        <v>1.86829</v>
      </c>
      <c r="EN149">
        <v>1.87011</v>
      </c>
      <c r="EO149">
        <v>1.87186</v>
      </c>
      <c r="EP149">
        <v>0</v>
      </c>
      <c r="EQ149">
        <v>0</v>
      </c>
      <c r="ER149">
        <v>0</v>
      </c>
      <c r="ES149">
        <v>0</v>
      </c>
      <c r="ET149" t="s">
        <v>334</v>
      </c>
      <c r="EU149" t="s">
        <v>335</v>
      </c>
      <c r="EV149" t="s">
        <v>336</v>
      </c>
      <c r="EW149" t="s">
        <v>336</v>
      </c>
      <c r="EX149" t="s">
        <v>336</v>
      </c>
      <c r="EY149" t="s">
        <v>336</v>
      </c>
      <c r="EZ149">
        <v>0</v>
      </c>
      <c r="FA149">
        <v>100</v>
      </c>
      <c r="FB149">
        <v>100</v>
      </c>
      <c r="FC149">
        <v>6.495</v>
      </c>
      <c r="FD149">
        <v>0.0588</v>
      </c>
      <c r="FE149">
        <v>6.495476190476325</v>
      </c>
      <c r="FF149">
        <v>0</v>
      </c>
      <c r="FG149">
        <v>0</v>
      </c>
      <c r="FH149">
        <v>0</v>
      </c>
      <c r="FI149">
        <v>0.05881499999999917</v>
      </c>
      <c r="FJ149">
        <v>0</v>
      </c>
      <c r="FK149">
        <v>0</v>
      </c>
      <c r="FL149">
        <v>0</v>
      </c>
      <c r="FM149">
        <v>-1</v>
      </c>
      <c r="FN149">
        <v>-1</v>
      </c>
      <c r="FO149">
        <v>-1</v>
      </c>
      <c r="FP149">
        <v>-1</v>
      </c>
      <c r="FQ149">
        <v>133.3</v>
      </c>
      <c r="FR149">
        <v>133.5</v>
      </c>
      <c r="FS149">
        <v>0.142822</v>
      </c>
      <c r="FT149">
        <v>4.99756</v>
      </c>
      <c r="FU149">
        <v>1.5979</v>
      </c>
      <c r="FV149">
        <v>2.12891</v>
      </c>
      <c r="FW149">
        <v>1.54785</v>
      </c>
      <c r="FX149">
        <v>2.41577</v>
      </c>
      <c r="FY149">
        <v>41.3001</v>
      </c>
      <c r="FZ149">
        <v>15.5592</v>
      </c>
      <c r="GA149">
        <v>3</v>
      </c>
      <c r="GB149">
        <v>509.382</v>
      </c>
      <c r="GC149">
        <v>336.764</v>
      </c>
      <c r="GD149">
        <v>21.9273</v>
      </c>
      <c r="GE149">
        <v>32.2994</v>
      </c>
      <c r="GF149">
        <v>30.0002</v>
      </c>
      <c r="GG149">
        <v>32.2179</v>
      </c>
      <c r="GH149">
        <v>32.2123</v>
      </c>
      <c r="GI149">
        <v>-1</v>
      </c>
      <c r="GJ149">
        <v>100</v>
      </c>
      <c r="GK149">
        <v>0</v>
      </c>
      <c r="GL149">
        <v>21.9348</v>
      </c>
      <c r="GM149">
        <v>1200</v>
      </c>
      <c r="GN149">
        <v>26.7455</v>
      </c>
      <c r="GO149">
        <v>101.93</v>
      </c>
      <c r="GP149">
        <v>96.98650000000001</v>
      </c>
    </row>
    <row r="150" spans="1:198">
      <c r="A150">
        <v>134</v>
      </c>
      <c r="B150">
        <v>1773276845</v>
      </c>
      <c r="C150">
        <v>7981.400000095367</v>
      </c>
      <c r="D150" t="s">
        <v>601</v>
      </c>
      <c r="E150" t="s">
        <v>602</v>
      </c>
      <c r="F150">
        <v>15</v>
      </c>
      <c r="G150">
        <v>1773276837</v>
      </c>
      <c r="H150">
        <f>(I150)/1000</f>
        <v>0</v>
      </c>
      <c r="I150">
        <f>1000*AY150*AG150*(AU150-AV150)/(100*AN150*(1000-AG150*AU150))</f>
        <v>0</v>
      </c>
      <c r="J150">
        <f>AY150*AG150*(AT150-AS150*(1000-AG150*AV150)/(1000-AG150*AU150))/(100*AN150)</f>
        <v>0</v>
      </c>
      <c r="K150">
        <f>AS150 - IF(AG150&gt;1, J150*AN150*100.0/(AI150), 0)</f>
        <v>0</v>
      </c>
      <c r="L150">
        <f>((R150-H150/2)*K150-J150)/(R150+H150/2)</f>
        <v>0</v>
      </c>
      <c r="M150">
        <f>L150*(AZ150+BA150)/1000.0</f>
        <v>0</v>
      </c>
      <c r="N150">
        <f>(AS150 - IF(AG150&gt;1, J150*AN150*100.0/(AI150), 0))*(AZ150+BA150)/1000.0</f>
        <v>0</v>
      </c>
      <c r="O150">
        <f>2.0/((1/Q150-1/P150)+SIGN(Q150)*SQRT((1/Q150-1/P150)*(1/Q150-1/P150) + 4*AO150/((AO150+1)*(AO150+1))*(2*1/Q150*1/P150-1/P150*1/P150)))</f>
        <v>0</v>
      </c>
      <c r="P150">
        <f>IF(LEFT(AP150,1)&lt;&gt;"0",IF(LEFT(AP150,1)="1",3.0,AQ150),$D$5+$E$5*(BG150*AZ150/($K$5*1000))+$F$5*(BG150*AZ150/($K$5*1000))*MAX(MIN(AN150,$J$5),$I$5)*MAX(MIN(AN150,$J$5),$I$5)+$G$5*MAX(MIN(AN150,$J$5),$I$5)*(BG150*AZ150/($K$5*1000))+$H$5*(BG150*AZ150/($K$5*1000))*(BG150*AZ150/($K$5*1000)))</f>
        <v>0</v>
      </c>
      <c r="Q150">
        <f>H150*(1000-(1000*0.61365*exp(17.502*U150/(240.97+U150))/(AZ150+BA150)+AU150)/2)/(1000*0.61365*exp(17.502*U150/(240.97+U150))/(AZ150+BA150)-AU150)</f>
        <v>0</v>
      </c>
      <c r="R150">
        <f>1/((AO150+1)/(O150/1.6)+1/(P150/1.37)) + AO150/((AO150+1)/(O150/1.6) + AO150/(P150/1.37))</f>
        <v>0</v>
      </c>
      <c r="S150">
        <f>(AJ150*AM150)</f>
        <v>0</v>
      </c>
      <c r="T150">
        <f>(BB150+(S150+2*0.95*5.67E-8*(((BB150+$B$7)+273)^4-(BB150+273)^4)-44100*H150)/(1.84*29.3*P150+8*0.95*5.67E-8*(BB150+273)^3))</f>
        <v>0</v>
      </c>
      <c r="U150">
        <f>($C$7*BC150+$D$7*BD150+$E$7*T150)</f>
        <v>0</v>
      </c>
      <c r="V150">
        <f>0.61365*exp(17.502*U150/(240.97+U150))</f>
        <v>0</v>
      </c>
      <c r="W150">
        <f>(X150/Y150*100)</f>
        <v>0</v>
      </c>
      <c r="X150">
        <f>AU150*(AZ150+BA150)/1000</f>
        <v>0</v>
      </c>
      <c r="Y150">
        <f>0.61365*exp(17.502*BB150/(240.97+BB150))</f>
        <v>0</v>
      </c>
      <c r="Z150">
        <f>(V150-AU150*(AZ150+BA150)/1000)</f>
        <v>0</v>
      </c>
      <c r="AA150">
        <f>(-H150*44100)</f>
        <v>0</v>
      </c>
      <c r="AB150">
        <f>2*29.3*P150*0.92*(BB150-U150)</f>
        <v>0</v>
      </c>
      <c r="AC150">
        <f>2*0.95*5.67E-8*(((BB150+$B$7)+273)^4-(U150+273)^4)</f>
        <v>0</v>
      </c>
      <c r="AD150">
        <f>S150+AC150+AA150+AB150</f>
        <v>0</v>
      </c>
      <c r="AE150">
        <v>0</v>
      </c>
      <c r="AF150">
        <v>0</v>
      </c>
      <c r="AG150">
        <f>IF(AE150*$H$13&gt;=AI150,1.0,(AI150/(AI150-AE150*$H$13)))</f>
        <v>0</v>
      </c>
      <c r="AH150">
        <f>(AG150-1)*100</f>
        <v>0</v>
      </c>
      <c r="AI150">
        <f>MAX(0,($B$13+$C$13*BG150)/(1+$D$13*BG150)*AZ150/(BB150+273)*$E$13)</f>
        <v>0</v>
      </c>
      <c r="AJ150">
        <f>$B$11*BH150+$C$11*BI150+$D$11*BT150</f>
        <v>0</v>
      </c>
      <c r="AK150">
        <f>AJ150*AL150</f>
        <v>0</v>
      </c>
      <c r="AL150">
        <f>($B$11*$D$9+$C$11*$D$9+$D$11*(BU150*$E$9+BV150*$G$9))/($B$11+$C$11+$D$11)</f>
        <v>0</v>
      </c>
      <c r="AM150">
        <f>($B$11*$K$9+$C$11*$K$9+$D$11*(BU150*$L$9+BV150*$N$9))/($B$11+$C$11+$D$11)</f>
        <v>0</v>
      </c>
      <c r="AN150">
        <v>3</v>
      </c>
      <c r="AO150">
        <v>0.5</v>
      </c>
      <c r="AP150" t="s">
        <v>331</v>
      </c>
      <c r="AQ150">
        <v>2</v>
      </c>
      <c r="AR150">
        <v>1773276837</v>
      </c>
      <c r="AS150">
        <v>457.1882903225807</v>
      </c>
      <c r="AT150">
        <v>455.8364193548387</v>
      </c>
      <c r="AU150">
        <v>14.35933870967742</v>
      </c>
      <c r="AV150">
        <v>13.41752580645161</v>
      </c>
      <c r="AW150">
        <v>450.6928064516129</v>
      </c>
      <c r="AX150">
        <v>14.30052258064516</v>
      </c>
      <c r="AY150">
        <v>499.9817419354839</v>
      </c>
      <c r="AZ150">
        <v>100.3244193548387</v>
      </c>
      <c r="BA150">
        <v>0.03857428064516128</v>
      </c>
      <c r="BB150">
        <v>24.98737096774194</v>
      </c>
      <c r="BC150">
        <v>25.30614838709677</v>
      </c>
      <c r="BD150">
        <v>999.9000000000003</v>
      </c>
      <c r="BE150">
        <v>0</v>
      </c>
      <c r="BF150">
        <v>0</v>
      </c>
      <c r="BG150">
        <v>4992.225806451613</v>
      </c>
      <c r="BH150">
        <v>1.965845806451613</v>
      </c>
      <c r="BI150">
        <v>1301.716774193548</v>
      </c>
      <c r="BJ150">
        <v>1.35183064516129</v>
      </c>
      <c r="BK150">
        <v>463.8487741935484</v>
      </c>
      <c r="BL150">
        <v>462.0358387096774</v>
      </c>
      <c r="BM150">
        <v>0.9418129032258064</v>
      </c>
      <c r="BN150">
        <v>455.8364193548387</v>
      </c>
      <c r="BO150">
        <v>13.41752580645161</v>
      </c>
      <c r="BP150">
        <v>1.440591290322581</v>
      </c>
      <c r="BQ150">
        <v>1.346105806451613</v>
      </c>
      <c r="BR150">
        <v>12.35178064516129</v>
      </c>
      <c r="BS150">
        <v>11.32375483870968</v>
      </c>
      <c r="BT150">
        <v>0</v>
      </c>
      <c r="BU150">
        <v>0</v>
      </c>
      <c r="BV150">
        <v>0</v>
      </c>
      <c r="BW150">
        <v>30</v>
      </c>
      <c r="BX150">
        <v>46</v>
      </c>
      <c r="BY150">
        <v>1773268786.6</v>
      </c>
      <c r="BZ150" t="s">
        <v>332</v>
      </c>
      <c r="CA150">
        <v>1773268786.6</v>
      </c>
      <c r="CB150">
        <v>1773268774.1</v>
      </c>
      <c r="CC150">
        <v>2</v>
      </c>
      <c r="CD150">
        <v>0.264</v>
      </c>
      <c r="CE150">
        <v>-0.024</v>
      </c>
      <c r="CF150">
        <v>6.495</v>
      </c>
      <c r="CG150">
        <v>0.059</v>
      </c>
      <c r="CH150">
        <v>488</v>
      </c>
      <c r="CI150">
        <v>25</v>
      </c>
      <c r="CJ150">
        <v>0.48</v>
      </c>
      <c r="CK150">
        <v>0.14</v>
      </c>
      <c r="CL150">
        <v>455.8364193548387</v>
      </c>
      <c r="CM150">
        <v>1.57920967741886</v>
      </c>
      <c r="CN150">
        <v>0.139265996172461</v>
      </c>
      <c r="CO150">
        <v>-1</v>
      </c>
      <c r="CP150">
        <v>499.9817419354839</v>
      </c>
      <c r="CQ150">
        <v>-0.1471935483874281</v>
      </c>
      <c r="CR150">
        <v>0.04828475197899303</v>
      </c>
      <c r="CS150">
        <v>-1</v>
      </c>
      <c r="CT150">
        <v>0</v>
      </c>
      <c r="CU150">
        <v>0</v>
      </c>
      <c r="CV150" t="s">
        <v>333</v>
      </c>
      <c r="CW150">
        <v>3.171</v>
      </c>
      <c r="CX150">
        <v>2.65978</v>
      </c>
      <c r="CY150">
        <v>0.106921</v>
      </c>
      <c r="CZ150">
        <v>0.107827</v>
      </c>
      <c r="DA150">
        <v>0.07811369999999999</v>
      </c>
      <c r="DB150">
        <v>0.0741989</v>
      </c>
      <c r="DC150">
        <v>21356.6</v>
      </c>
      <c r="DD150">
        <v>21892</v>
      </c>
      <c r="DE150">
        <v>23032.6</v>
      </c>
      <c r="DF150">
        <v>22449.6</v>
      </c>
      <c r="DG150">
        <v>32092.9</v>
      </c>
      <c r="DH150">
        <v>29301.3</v>
      </c>
      <c r="DI150">
        <v>40503.7</v>
      </c>
      <c r="DJ150">
        <v>37148.3</v>
      </c>
      <c r="DK150">
        <v>2.07476</v>
      </c>
      <c r="DL150">
        <v>1.6456</v>
      </c>
      <c r="DM150">
        <v>-0.121754</v>
      </c>
      <c r="DN150">
        <v>0</v>
      </c>
      <c r="DO150">
        <v>27.2979</v>
      </c>
      <c r="DP150">
        <v>999.9</v>
      </c>
      <c r="DQ150">
        <v>41.9</v>
      </c>
      <c r="DR150">
        <v>36.1</v>
      </c>
      <c r="DS150">
        <v>25.0636</v>
      </c>
      <c r="DT150">
        <v>30.1565</v>
      </c>
      <c r="DU150">
        <v>12.9607</v>
      </c>
      <c r="DV150">
        <v>1</v>
      </c>
      <c r="DW150">
        <v>0.415146</v>
      </c>
      <c r="DX150">
        <v>3.66311</v>
      </c>
      <c r="DY150">
        <v>20.3187</v>
      </c>
      <c r="DZ150">
        <v>5.21094</v>
      </c>
      <c r="EA150">
        <v>11.8542</v>
      </c>
      <c r="EB150">
        <v>4.96768</v>
      </c>
      <c r="EC150">
        <v>3.2921</v>
      </c>
      <c r="ED150">
        <v>879.4</v>
      </c>
      <c r="EE150">
        <v>9999</v>
      </c>
      <c r="EF150">
        <v>9999</v>
      </c>
      <c r="EG150">
        <v>82.3</v>
      </c>
      <c r="EH150">
        <v>4.97156</v>
      </c>
      <c r="EI150">
        <v>1.87196</v>
      </c>
      <c r="EJ150">
        <v>1.86926</v>
      </c>
      <c r="EK150">
        <v>1.87164</v>
      </c>
      <c r="EL150">
        <v>1.86936</v>
      </c>
      <c r="EM150">
        <v>1.86829</v>
      </c>
      <c r="EN150">
        <v>1.87012</v>
      </c>
      <c r="EO150">
        <v>1.87185</v>
      </c>
      <c r="EP150">
        <v>0</v>
      </c>
      <c r="EQ150">
        <v>0</v>
      </c>
      <c r="ER150">
        <v>0</v>
      </c>
      <c r="ES150">
        <v>0</v>
      </c>
      <c r="ET150" t="s">
        <v>334</v>
      </c>
      <c r="EU150" t="s">
        <v>335</v>
      </c>
      <c r="EV150" t="s">
        <v>336</v>
      </c>
      <c r="EW150" t="s">
        <v>336</v>
      </c>
      <c r="EX150" t="s">
        <v>336</v>
      </c>
      <c r="EY150" t="s">
        <v>336</v>
      </c>
      <c r="EZ150">
        <v>0</v>
      </c>
      <c r="FA150">
        <v>100</v>
      </c>
      <c r="FB150">
        <v>100</v>
      </c>
      <c r="FC150">
        <v>6.495</v>
      </c>
      <c r="FD150">
        <v>0.0588</v>
      </c>
      <c r="FE150">
        <v>6.495476190476325</v>
      </c>
      <c r="FF150">
        <v>0</v>
      </c>
      <c r="FG150">
        <v>0</v>
      </c>
      <c r="FH150">
        <v>0</v>
      </c>
      <c r="FI150">
        <v>0.05881499999999917</v>
      </c>
      <c r="FJ150">
        <v>0</v>
      </c>
      <c r="FK150">
        <v>0</v>
      </c>
      <c r="FL150">
        <v>0</v>
      </c>
      <c r="FM150">
        <v>-1</v>
      </c>
      <c r="FN150">
        <v>-1</v>
      </c>
      <c r="FO150">
        <v>-1</v>
      </c>
      <c r="FP150">
        <v>-1</v>
      </c>
      <c r="FQ150">
        <v>134.3</v>
      </c>
      <c r="FR150">
        <v>134.5</v>
      </c>
      <c r="FS150">
        <v>0.142822</v>
      </c>
      <c r="FT150">
        <v>4.99756</v>
      </c>
      <c r="FU150">
        <v>1.5979</v>
      </c>
      <c r="FV150">
        <v>2.12891</v>
      </c>
      <c r="FW150">
        <v>1.54785</v>
      </c>
      <c r="FX150">
        <v>2.46338</v>
      </c>
      <c r="FY150">
        <v>41.3001</v>
      </c>
      <c r="FZ150">
        <v>15.5505</v>
      </c>
      <c r="GA150">
        <v>3</v>
      </c>
      <c r="GB150">
        <v>509.186</v>
      </c>
      <c r="GC150">
        <v>336.776</v>
      </c>
      <c r="GD150">
        <v>22.0101</v>
      </c>
      <c r="GE150">
        <v>32.3021</v>
      </c>
      <c r="GF150">
        <v>30.0002</v>
      </c>
      <c r="GG150">
        <v>32.2236</v>
      </c>
      <c r="GH150">
        <v>32.2188</v>
      </c>
      <c r="GI150">
        <v>-1</v>
      </c>
      <c r="GJ150">
        <v>100</v>
      </c>
      <c r="GK150">
        <v>0</v>
      </c>
      <c r="GL150">
        <v>22.0169</v>
      </c>
      <c r="GM150">
        <v>1200</v>
      </c>
      <c r="GN150">
        <v>26.7455</v>
      </c>
      <c r="GO150">
        <v>101.931</v>
      </c>
      <c r="GP150">
        <v>96.9892</v>
      </c>
    </row>
    <row r="151" spans="1:198">
      <c r="A151">
        <v>135</v>
      </c>
      <c r="B151">
        <v>1773276905</v>
      </c>
      <c r="C151">
        <v>8041.400000095367</v>
      </c>
      <c r="D151" t="s">
        <v>603</v>
      </c>
      <c r="E151" t="s">
        <v>604</v>
      </c>
      <c r="F151">
        <v>15</v>
      </c>
      <c r="G151">
        <v>1773276897</v>
      </c>
      <c r="H151">
        <f>(I151)/1000</f>
        <v>0</v>
      </c>
      <c r="I151">
        <f>1000*AY151*AG151*(AU151-AV151)/(100*AN151*(1000-AG151*AU151))</f>
        <v>0</v>
      </c>
      <c r="J151">
        <f>AY151*AG151*(AT151-AS151*(1000-AG151*AV151)/(1000-AG151*AU151))/(100*AN151)</f>
        <v>0</v>
      </c>
      <c r="K151">
        <f>AS151 - IF(AG151&gt;1, J151*AN151*100.0/(AI151), 0)</f>
        <v>0</v>
      </c>
      <c r="L151">
        <f>((R151-H151/2)*K151-J151)/(R151+H151/2)</f>
        <v>0</v>
      </c>
      <c r="M151">
        <f>L151*(AZ151+BA151)/1000.0</f>
        <v>0</v>
      </c>
      <c r="N151">
        <f>(AS151 - IF(AG151&gt;1, J151*AN151*100.0/(AI151), 0))*(AZ151+BA151)/1000.0</f>
        <v>0</v>
      </c>
      <c r="O151">
        <f>2.0/((1/Q151-1/P151)+SIGN(Q151)*SQRT((1/Q151-1/P151)*(1/Q151-1/P151) + 4*AO151/((AO151+1)*(AO151+1))*(2*1/Q151*1/P151-1/P151*1/P151)))</f>
        <v>0</v>
      </c>
      <c r="P151">
        <f>IF(LEFT(AP151,1)&lt;&gt;"0",IF(LEFT(AP151,1)="1",3.0,AQ151),$D$5+$E$5*(BG151*AZ151/($K$5*1000))+$F$5*(BG151*AZ151/($K$5*1000))*MAX(MIN(AN151,$J$5),$I$5)*MAX(MIN(AN151,$J$5),$I$5)+$G$5*MAX(MIN(AN151,$J$5),$I$5)*(BG151*AZ151/($K$5*1000))+$H$5*(BG151*AZ151/($K$5*1000))*(BG151*AZ151/($K$5*1000)))</f>
        <v>0</v>
      </c>
      <c r="Q151">
        <f>H151*(1000-(1000*0.61365*exp(17.502*U151/(240.97+U151))/(AZ151+BA151)+AU151)/2)/(1000*0.61365*exp(17.502*U151/(240.97+U151))/(AZ151+BA151)-AU151)</f>
        <v>0</v>
      </c>
      <c r="R151">
        <f>1/((AO151+1)/(O151/1.6)+1/(P151/1.37)) + AO151/((AO151+1)/(O151/1.6) + AO151/(P151/1.37))</f>
        <v>0</v>
      </c>
      <c r="S151">
        <f>(AJ151*AM151)</f>
        <v>0</v>
      </c>
      <c r="T151">
        <f>(BB151+(S151+2*0.95*5.67E-8*(((BB151+$B$7)+273)^4-(BB151+273)^4)-44100*H151)/(1.84*29.3*P151+8*0.95*5.67E-8*(BB151+273)^3))</f>
        <v>0</v>
      </c>
      <c r="U151">
        <f>($C$7*BC151+$D$7*BD151+$E$7*T151)</f>
        <v>0</v>
      </c>
      <c r="V151">
        <f>0.61365*exp(17.502*U151/(240.97+U151))</f>
        <v>0</v>
      </c>
      <c r="W151">
        <f>(X151/Y151*100)</f>
        <v>0</v>
      </c>
      <c r="X151">
        <f>AU151*(AZ151+BA151)/1000</f>
        <v>0</v>
      </c>
      <c r="Y151">
        <f>0.61365*exp(17.502*BB151/(240.97+BB151))</f>
        <v>0</v>
      </c>
      <c r="Z151">
        <f>(V151-AU151*(AZ151+BA151)/1000)</f>
        <v>0</v>
      </c>
      <c r="AA151">
        <f>(-H151*44100)</f>
        <v>0</v>
      </c>
      <c r="AB151">
        <f>2*29.3*P151*0.92*(BB151-U151)</f>
        <v>0</v>
      </c>
      <c r="AC151">
        <f>2*0.95*5.67E-8*(((BB151+$B$7)+273)^4-(U151+273)^4)</f>
        <v>0</v>
      </c>
      <c r="AD151">
        <f>S151+AC151+AA151+AB151</f>
        <v>0</v>
      </c>
      <c r="AE151">
        <v>0</v>
      </c>
      <c r="AF151">
        <v>0</v>
      </c>
      <c r="AG151">
        <f>IF(AE151*$H$13&gt;=AI151,1.0,(AI151/(AI151-AE151*$H$13)))</f>
        <v>0</v>
      </c>
      <c r="AH151">
        <f>(AG151-1)*100</f>
        <v>0</v>
      </c>
      <c r="AI151">
        <f>MAX(0,($B$13+$C$13*BG151)/(1+$D$13*BG151)*AZ151/(BB151+273)*$E$13)</f>
        <v>0</v>
      </c>
      <c r="AJ151">
        <f>$B$11*BH151+$C$11*BI151+$D$11*BT151</f>
        <v>0</v>
      </c>
      <c r="AK151">
        <f>AJ151*AL151</f>
        <v>0</v>
      </c>
      <c r="AL151">
        <f>($B$11*$D$9+$C$11*$D$9+$D$11*(BU151*$E$9+BV151*$G$9))/($B$11+$C$11+$D$11)</f>
        <v>0</v>
      </c>
      <c r="AM151">
        <f>($B$11*$K$9+$C$11*$K$9+$D$11*(BU151*$L$9+BV151*$N$9))/($B$11+$C$11+$D$11)</f>
        <v>0</v>
      </c>
      <c r="AN151">
        <v>3</v>
      </c>
      <c r="AO151">
        <v>0.5</v>
      </c>
      <c r="AP151" t="s">
        <v>331</v>
      </c>
      <c r="AQ151">
        <v>2</v>
      </c>
      <c r="AR151">
        <v>1773276897</v>
      </c>
      <c r="AS151">
        <v>456.3662258064517</v>
      </c>
      <c r="AT151">
        <v>454.4049677419355</v>
      </c>
      <c r="AU151">
        <v>14.40499677419355</v>
      </c>
      <c r="AV151">
        <v>13.46725806451613</v>
      </c>
      <c r="AW151">
        <v>449.8708709677419</v>
      </c>
      <c r="AX151">
        <v>14.34618064516129</v>
      </c>
      <c r="AY151">
        <v>499.9993870967742</v>
      </c>
      <c r="AZ151">
        <v>100.3243225806452</v>
      </c>
      <c r="BA151">
        <v>0.03933200645161291</v>
      </c>
      <c r="BB151">
        <v>25.01503225806452</v>
      </c>
      <c r="BC151">
        <v>25.32048387096775</v>
      </c>
      <c r="BD151">
        <v>999.9000000000003</v>
      </c>
      <c r="BE151">
        <v>0</v>
      </c>
      <c r="BF151">
        <v>0</v>
      </c>
      <c r="BG151">
        <v>4992.532258064516</v>
      </c>
      <c r="BH151">
        <v>1.933941290322581</v>
      </c>
      <c r="BI151">
        <v>1305.38064516129</v>
      </c>
      <c r="BJ151">
        <v>1.961346129032258</v>
      </c>
      <c r="BK151">
        <v>463.0364193548388</v>
      </c>
      <c r="BL151">
        <v>460.608064516129</v>
      </c>
      <c r="BM151">
        <v>0.9377448709677418</v>
      </c>
      <c r="BN151">
        <v>454.4049677419355</v>
      </c>
      <c r="BO151">
        <v>13.46725806451613</v>
      </c>
      <c r="BP151">
        <v>1.44517</v>
      </c>
      <c r="BQ151">
        <v>1.351091935483871</v>
      </c>
      <c r="BR151">
        <v>12.40008064516129</v>
      </c>
      <c r="BS151">
        <v>11.37957741935484</v>
      </c>
      <c r="BT151">
        <v>0</v>
      </c>
      <c r="BU151">
        <v>0</v>
      </c>
      <c r="BV151">
        <v>0</v>
      </c>
      <c r="BW151">
        <v>30</v>
      </c>
      <c r="BX151">
        <v>46</v>
      </c>
      <c r="BY151">
        <v>1773268786.6</v>
      </c>
      <c r="BZ151" t="s">
        <v>332</v>
      </c>
      <c r="CA151">
        <v>1773268786.6</v>
      </c>
      <c r="CB151">
        <v>1773268774.1</v>
      </c>
      <c r="CC151">
        <v>2</v>
      </c>
      <c r="CD151">
        <v>0.264</v>
      </c>
      <c r="CE151">
        <v>-0.024</v>
      </c>
      <c r="CF151">
        <v>6.495</v>
      </c>
      <c r="CG151">
        <v>0.059</v>
      </c>
      <c r="CH151">
        <v>488</v>
      </c>
      <c r="CI151">
        <v>25</v>
      </c>
      <c r="CJ151">
        <v>0.48</v>
      </c>
      <c r="CK151">
        <v>0.14</v>
      </c>
      <c r="CL151">
        <v>454.4350322580646</v>
      </c>
      <c r="CM151">
        <v>-1.039790322583418</v>
      </c>
      <c r="CN151">
        <v>0.08527128771048363</v>
      </c>
      <c r="CO151">
        <v>-1</v>
      </c>
      <c r="CP151">
        <v>500.0000967741935</v>
      </c>
      <c r="CQ151">
        <v>0.03585483870859255</v>
      </c>
      <c r="CR151">
        <v>0.04685623505775185</v>
      </c>
      <c r="CS151">
        <v>-1</v>
      </c>
      <c r="CT151">
        <v>0</v>
      </c>
      <c r="CU151">
        <v>0</v>
      </c>
      <c r="CV151" t="s">
        <v>333</v>
      </c>
      <c r="CW151">
        <v>3.17096</v>
      </c>
      <c r="CX151">
        <v>2.66011</v>
      </c>
      <c r="CY151">
        <v>0.106686</v>
      </c>
      <c r="CZ151">
        <v>0.107493</v>
      </c>
      <c r="DA151">
        <v>0.0783031</v>
      </c>
      <c r="DB151">
        <v>0.0743994</v>
      </c>
      <c r="DC151">
        <v>21361.5</v>
      </c>
      <c r="DD151">
        <v>21899.4</v>
      </c>
      <c r="DE151">
        <v>23031.9</v>
      </c>
      <c r="DF151">
        <v>22448.8</v>
      </c>
      <c r="DG151">
        <v>32085.3</v>
      </c>
      <c r="DH151">
        <v>29293.9</v>
      </c>
      <c r="DI151">
        <v>40502.5</v>
      </c>
      <c r="DJ151">
        <v>37147</v>
      </c>
      <c r="DK151">
        <v>2.0745</v>
      </c>
      <c r="DL151">
        <v>1.64428</v>
      </c>
      <c r="DM151">
        <v>-0.120339</v>
      </c>
      <c r="DN151">
        <v>0</v>
      </c>
      <c r="DO151">
        <v>27.2933</v>
      </c>
      <c r="DP151">
        <v>999.9</v>
      </c>
      <c r="DQ151">
        <v>41.9</v>
      </c>
      <c r="DR151">
        <v>36.2</v>
      </c>
      <c r="DS151">
        <v>25.2034</v>
      </c>
      <c r="DT151">
        <v>30.1565</v>
      </c>
      <c r="DU151">
        <v>13.0689</v>
      </c>
      <c r="DV151">
        <v>1</v>
      </c>
      <c r="DW151">
        <v>0.417317</v>
      </c>
      <c r="DX151">
        <v>3.83497</v>
      </c>
      <c r="DY151">
        <v>20.3137</v>
      </c>
      <c r="DZ151">
        <v>5.2101</v>
      </c>
      <c r="EA151">
        <v>11.8542</v>
      </c>
      <c r="EB151">
        <v>4.96772</v>
      </c>
      <c r="EC151">
        <v>3.2922</v>
      </c>
      <c r="ED151">
        <v>879.4</v>
      </c>
      <c r="EE151">
        <v>9999</v>
      </c>
      <c r="EF151">
        <v>9999</v>
      </c>
      <c r="EG151">
        <v>82.3</v>
      </c>
      <c r="EH151">
        <v>4.97155</v>
      </c>
      <c r="EI151">
        <v>1.87196</v>
      </c>
      <c r="EJ151">
        <v>1.86925</v>
      </c>
      <c r="EK151">
        <v>1.87164</v>
      </c>
      <c r="EL151">
        <v>1.86935</v>
      </c>
      <c r="EM151">
        <v>1.86829</v>
      </c>
      <c r="EN151">
        <v>1.8701</v>
      </c>
      <c r="EO151">
        <v>1.87187</v>
      </c>
      <c r="EP151">
        <v>0</v>
      </c>
      <c r="EQ151">
        <v>0</v>
      </c>
      <c r="ER151">
        <v>0</v>
      </c>
      <c r="ES151">
        <v>0</v>
      </c>
      <c r="ET151" t="s">
        <v>334</v>
      </c>
      <c r="EU151" t="s">
        <v>335</v>
      </c>
      <c r="EV151" t="s">
        <v>336</v>
      </c>
      <c r="EW151" t="s">
        <v>336</v>
      </c>
      <c r="EX151" t="s">
        <v>336</v>
      </c>
      <c r="EY151" t="s">
        <v>336</v>
      </c>
      <c r="EZ151">
        <v>0</v>
      </c>
      <c r="FA151">
        <v>100</v>
      </c>
      <c r="FB151">
        <v>100</v>
      </c>
      <c r="FC151">
        <v>6.496</v>
      </c>
      <c r="FD151">
        <v>0.0588</v>
      </c>
      <c r="FE151">
        <v>6.495476190476325</v>
      </c>
      <c r="FF151">
        <v>0</v>
      </c>
      <c r="FG151">
        <v>0</v>
      </c>
      <c r="FH151">
        <v>0</v>
      </c>
      <c r="FI151">
        <v>0.05881499999999917</v>
      </c>
      <c r="FJ151">
        <v>0</v>
      </c>
      <c r="FK151">
        <v>0</v>
      </c>
      <c r="FL151">
        <v>0</v>
      </c>
      <c r="FM151">
        <v>-1</v>
      </c>
      <c r="FN151">
        <v>-1</v>
      </c>
      <c r="FO151">
        <v>-1</v>
      </c>
      <c r="FP151">
        <v>-1</v>
      </c>
      <c r="FQ151">
        <v>135.3</v>
      </c>
      <c r="FR151">
        <v>135.5</v>
      </c>
      <c r="FS151">
        <v>0.142822</v>
      </c>
      <c r="FT151">
        <v>4.99756</v>
      </c>
      <c r="FU151">
        <v>1.5979</v>
      </c>
      <c r="FV151">
        <v>2.12891</v>
      </c>
      <c r="FW151">
        <v>1.54785</v>
      </c>
      <c r="FX151">
        <v>2.4353</v>
      </c>
      <c r="FY151">
        <v>41.3261</v>
      </c>
      <c r="FZ151">
        <v>15.5417</v>
      </c>
      <c r="GA151">
        <v>3</v>
      </c>
      <c r="GB151">
        <v>509.138</v>
      </c>
      <c r="GC151">
        <v>336.193</v>
      </c>
      <c r="GD151">
        <v>21.9465</v>
      </c>
      <c r="GE151">
        <v>32.3137</v>
      </c>
      <c r="GF151">
        <v>30.0002</v>
      </c>
      <c r="GG151">
        <v>32.2378</v>
      </c>
      <c r="GH151">
        <v>32.2349</v>
      </c>
      <c r="GI151">
        <v>-1</v>
      </c>
      <c r="GJ151">
        <v>100</v>
      </c>
      <c r="GK151">
        <v>0</v>
      </c>
      <c r="GL151">
        <v>21.9293</v>
      </c>
      <c r="GM151">
        <v>1200</v>
      </c>
      <c r="GN151">
        <v>26.7455</v>
      </c>
      <c r="GO151">
        <v>101.928</v>
      </c>
      <c r="GP151">
        <v>96.9859</v>
      </c>
    </row>
    <row r="152" spans="1:198">
      <c r="A152">
        <v>136</v>
      </c>
      <c r="B152">
        <v>1773276965</v>
      </c>
      <c r="C152">
        <v>8101.400000095367</v>
      </c>
      <c r="D152" t="s">
        <v>605</v>
      </c>
      <c r="E152" t="s">
        <v>606</v>
      </c>
      <c r="F152">
        <v>15</v>
      </c>
      <c r="G152">
        <v>1773276957</v>
      </c>
      <c r="H152">
        <f>(I152)/1000</f>
        <v>0</v>
      </c>
      <c r="I152">
        <f>1000*AY152*AG152*(AU152-AV152)/(100*AN152*(1000-AG152*AU152))</f>
        <v>0</v>
      </c>
      <c r="J152">
        <f>AY152*AG152*(AT152-AS152*(1000-AG152*AV152)/(1000-AG152*AU152))/(100*AN152)</f>
        <v>0</v>
      </c>
      <c r="K152">
        <f>AS152 - IF(AG152&gt;1, J152*AN152*100.0/(AI152), 0)</f>
        <v>0</v>
      </c>
      <c r="L152">
        <f>((R152-H152/2)*K152-J152)/(R152+H152/2)</f>
        <v>0</v>
      </c>
      <c r="M152">
        <f>L152*(AZ152+BA152)/1000.0</f>
        <v>0</v>
      </c>
      <c r="N152">
        <f>(AS152 - IF(AG152&gt;1, J152*AN152*100.0/(AI152), 0))*(AZ152+BA152)/1000.0</f>
        <v>0</v>
      </c>
      <c r="O152">
        <f>2.0/((1/Q152-1/P152)+SIGN(Q152)*SQRT((1/Q152-1/P152)*(1/Q152-1/P152) + 4*AO152/((AO152+1)*(AO152+1))*(2*1/Q152*1/P152-1/P152*1/P152)))</f>
        <v>0</v>
      </c>
      <c r="P152">
        <f>IF(LEFT(AP152,1)&lt;&gt;"0",IF(LEFT(AP152,1)="1",3.0,AQ152),$D$5+$E$5*(BG152*AZ152/($K$5*1000))+$F$5*(BG152*AZ152/($K$5*1000))*MAX(MIN(AN152,$J$5),$I$5)*MAX(MIN(AN152,$J$5),$I$5)+$G$5*MAX(MIN(AN152,$J$5),$I$5)*(BG152*AZ152/($K$5*1000))+$H$5*(BG152*AZ152/($K$5*1000))*(BG152*AZ152/($K$5*1000)))</f>
        <v>0</v>
      </c>
      <c r="Q152">
        <f>H152*(1000-(1000*0.61365*exp(17.502*U152/(240.97+U152))/(AZ152+BA152)+AU152)/2)/(1000*0.61365*exp(17.502*U152/(240.97+U152))/(AZ152+BA152)-AU152)</f>
        <v>0</v>
      </c>
      <c r="R152">
        <f>1/((AO152+1)/(O152/1.6)+1/(P152/1.37)) + AO152/((AO152+1)/(O152/1.6) + AO152/(P152/1.37))</f>
        <v>0</v>
      </c>
      <c r="S152">
        <f>(AJ152*AM152)</f>
        <v>0</v>
      </c>
      <c r="T152">
        <f>(BB152+(S152+2*0.95*5.67E-8*(((BB152+$B$7)+273)^4-(BB152+273)^4)-44100*H152)/(1.84*29.3*P152+8*0.95*5.67E-8*(BB152+273)^3))</f>
        <v>0</v>
      </c>
      <c r="U152">
        <f>($C$7*BC152+$D$7*BD152+$E$7*T152)</f>
        <v>0</v>
      </c>
      <c r="V152">
        <f>0.61365*exp(17.502*U152/(240.97+U152))</f>
        <v>0</v>
      </c>
      <c r="W152">
        <f>(X152/Y152*100)</f>
        <v>0</v>
      </c>
      <c r="X152">
        <f>AU152*(AZ152+BA152)/1000</f>
        <v>0</v>
      </c>
      <c r="Y152">
        <f>0.61365*exp(17.502*BB152/(240.97+BB152))</f>
        <v>0</v>
      </c>
      <c r="Z152">
        <f>(V152-AU152*(AZ152+BA152)/1000)</f>
        <v>0</v>
      </c>
      <c r="AA152">
        <f>(-H152*44100)</f>
        <v>0</v>
      </c>
      <c r="AB152">
        <f>2*29.3*P152*0.92*(BB152-U152)</f>
        <v>0</v>
      </c>
      <c r="AC152">
        <f>2*0.95*5.67E-8*(((BB152+$B$7)+273)^4-(U152+273)^4)</f>
        <v>0</v>
      </c>
      <c r="AD152">
        <f>S152+AC152+AA152+AB152</f>
        <v>0</v>
      </c>
      <c r="AE152">
        <v>0</v>
      </c>
      <c r="AF152">
        <v>0</v>
      </c>
      <c r="AG152">
        <f>IF(AE152*$H$13&gt;=AI152,1.0,(AI152/(AI152-AE152*$H$13)))</f>
        <v>0</v>
      </c>
      <c r="AH152">
        <f>(AG152-1)*100</f>
        <v>0</v>
      </c>
      <c r="AI152">
        <f>MAX(0,($B$13+$C$13*BG152)/(1+$D$13*BG152)*AZ152/(BB152+273)*$E$13)</f>
        <v>0</v>
      </c>
      <c r="AJ152">
        <f>$B$11*BH152+$C$11*BI152+$D$11*BT152</f>
        <v>0</v>
      </c>
      <c r="AK152">
        <f>AJ152*AL152</f>
        <v>0</v>
      </c>
      <c r="AL152">
        <f>($B$11*$D$9+$C$11*$D$9+$D$11*(BU152*$E$9+BV152*$G$9))/($B$11+$C$11+$D$11)</f>
        <v>0</v>
      </c>
      <c r="AM152">
        <f>($B$11*$K$9+$C$11*$K$9+$D$11*(BU152*$L$9+BV152*$N$9))/($B$11+$C$11+$D$11)</f>
        <v>0</v>
      </c>
      <c r="AN152">
        <v>3</v>
      </c>
      <c r="AO152">
        <v>0.5</v>
      </c>
      <c r="AP152" t="s">
        <v>331</v>
      </c>
      <c r="AQ152">
        <v>2</v>
      </c>
      <c r="AR152">
        <v>1773276957</v>
      </c>
      <c r="AS152">
        <v>454.7081935483872</v>
      </c>
      <c r="AT152">
        <v>452.4267419354839</v>
      </c>
      <c r="AU152">
        <v>14.42805806451613</v>
      </c>
      <c r="AV152">
        <v>13.4815064516129</v>
      </c>
      <c r="AW152">
        <v>448.2126129032258</v>
      </c>
      <c r="AX152">
        <v>14.36923225806452</v>
      </c>
      <c r="AY152">
        <v>500.0029354838709</v>
      </c>
      <c r="AZ152">
        <v>100.3261935483871</v>
      </c>
      <c r="BA152">
        <v>0.03951606774193548</v>
      </c>
      <c r="BB152">
        <v>25.00362580645161</v>
      </c>
      <c r="BC152">
        <v>25.27813870967741</v>
      </c>
      <c r="BD152">
        <v>999.9000000000003</v>
      </c>
      <c r="BE152">
        <v>0</v>
      </c>
      <c r="BF152">
        <v>0</v>
      </c>
      <c r="BG152">
        <v>4997.387096774193</v>
      </c>
      <c r="BH152">
        <v>1.916682580645161</v>
      </c>
      <c r="BI152">
        <v>1322.874838709678</v>
      </c>
      <c r="BJ152">
        <v>2.281342580645161</v>
      </c>
      <c r="BK152">
        <v>461.3647096774194</v>
      </c>
      <c r="BL152">
        <v>458.6095161290323</v>
      </c>
      <c r="BM152">
        <v>0.9465544838709676</v>
      </c>
      <c r="BN152">
        <v>452.4267419354839</v>
      </c>
      <c r="BO152">
        <v>13.4815064516129</v>
      </c>
      <c r="BP152">
        <v>1.447511612903226</v>
      </c>
      <c r="BQ152">
        <v>1.352548064516129</v>
      </c>
      <c r="BR152">
        <v>12.42470967741936</v>
      </c>
      <c r="BS152">
        <v>11.39582580645161</v>
      </c>
      <c r="BT152">
        <v>0</v>
      </c>
      <c r="BU152">
        <v>0</v>
      </c>
      <c r="BV152">
        <v>0</v>
      </c>
      <c r="BW152">
        <v>30</v>
      </c>
      <c r="BX152">
        <v>46</v>
      </c>
      <c r="BY152">
        <v>1773268786.6</v>
      </c>
      <c r="BZ152" t="s">
        <v>332</v>
      </c>
      <c r="CA152">
        <v>1773268786.6</v>
      </c>
      <c r="CB152">
        <v>1773268774.1</v>
      </c>
      <c r="CC152">
        <v>2</v>
      </c>
      <c r="CD152">
        <v>0.264</v>
      </c>
      <c r="CE152">
        <v>-0.024</v>
      </c>
      <c r="CF152">
        <v>6.495</v>
      </c>
      <c r="CG152">
        <v>0.059</v>
      </c>
      <c r="CH152">
        <v>488</v>
      </c>
      <c r="CI152">
        <v>25</v>
      </c>
      <c r="CJ152">
        <v>0.48</v>
      </c>
      <c r="CK152">
        <v>0.14</v>
      </c>
      <c r="CL152">
        <v>452.4267419354839</v>
      </c>
      <c r="CM152">
        <v>0.05632258064451932</v>
      </c>
      <c r="CN152">
        <v>0.1415036686500165</v>
      </c>
      <c r="CO152">
        <v>-1</v>
      </c>
      <c r="CP152">
        <v>500.0029354838709</v>
      </c>
      <c r="CQ152">
        <v>0.004451612903014998</v>
      </c>
      <c r="CR152">
        <v>0.05244962897489622</v>
      </c>
      <c r="CS152">
        <v>-1</v>
      </c>
      <c r="CT152">
        <v>0</v>
      </c>
      <c r="CU152">
        <v>0</v>
      </c>
      <c r="CV152" t="s">
        <v>333</v>
      </c>
      <c r="CW152">
        <v>3.17113</v>
      </c>
      <c r="CX152">
        <v>2.66019</v>
      </c>
      <c r="CY152">
        <v>0.10636</v>
      </c>
      <c r="CZ152">
        <v>0.107255</v>
      </c>
      <c r="DA152">
        <v>0.0783809</v>
      </c>
      <c r="DB152">
        <v>0.0744423</v>
      </c>
      <c r="DC152">
        <v>21369</v>
      </c>
      <c r="DD152">
        <v>21905.2</v>
      </c>
      <c r="DE152">
        <v>23031.5</v>
      </c>
      <c r="DF152">
        <v>22448.9</v>
      </c>
      <c r="DG152">
        <v>32082.1</v>
      </c>
      <c r="DH152">
        <v>29292.6</v>
      </c>
      <c r="DI152">
        <v>40501.8</v>
      </c>
      <c r="DJ152">
        <v>37147</v>
      </c>
      <c r="DK152">
        <v>2.07472</v>
      </c>
      <c r="DL152">
        <v>1.64434</v>
      </c>
      <c r="DM152">
        <v>-0.119552</v>
      </c>
      <c r="DN152">
        <v>0</v>
      </c>
      <c r="DO152">
        <v>27.2329</v>
      </c>
      <c r="DP152">
        <v>999.9</v>
      </c>
      <c r="DQ152">
        <v>41.5</v>
      </c>
      <c r="DR152">
        <v>36.3</v>
      </c>
      <c r="DS152">
        <v>25.1</v>
      </c>
      <c r="DT152">
        <v>30.3665</v>
      </c>
      <c r="DU152">
        <v>12.6843</v>
      </c>
      <c r="DV152">
        <v>1</v>
      </c>
      <c r="DW152">
        <v>0.417917</v>
      </c>
      <c r="DX152">
        <v>3.91757</v>
      </c>
      <c r="DY152">
        <v>20.3116</v>
      </c>
      <c r="DZ152">
        <v>5.21094</v>
      </c>
      <c r="EA152">
        <v>11.8542</v>
      </c>
      <c r="EB152">
        <v>4.9678</v>
      </c>
      <c r="EC152">
        <v>3.29224</v>
      </c>
      <c r="ED152">
        <v>879.4</v>
      </c>
      <c r="EE152">
        <v>9999</v>
      </c>
      <c r="EF152">
        <v>9999</v>
      </c>
      <c r="EG152">
        <v>82.40000000000001</v>
      </c>
      <c r="EH152">
        <v>4.97154</v>
      </c>
      <c r="EI152">
        <v>1.87195</v>
      </c>
      <c r="EJ152">
        <v>1.86922</v>
      </c>
      <c r="EK152">
        <v>1.87163</v>
      </c>
      <c r="EL152">
        <v>1.86935</v>
      </c>
      <c r="EM152">
        <v>1.86829</v>
      </c>
      <c r="EN152">
        <v>1.87009</v>
      </c>
      <c r="EO152">
        <v>1.87183</v>
      </c>
      <c r="EP152">
        <v>0</v>
      </c>
      <c r="EQ152">
        <v>0</v>
      </c>
      <c r="ER152">
        <v>0</v>
      </c>
      <c r="ES152">
        <v>0</v>
      </c>
      <c r="ET152" t="s">
        <v>334</v>
      </c>
      <c r="EU152" t="s">
        <v>335</v>
      </c>
      <c r="EV152" t="s">
        <v>336</v>
      </c>
      <c r="EW152" t="s">
        <v>336</v>
      </c>
      <c r="EX152" t="s">
        <v>336</v>
      </c>
      <c r="EY152" t="s">
        <v>336</v>
      </c>
      <c r="EZ152">
        <v>0</v>
      </c>
      <c r="FA152">
        <v>100</v>
      </c>
      <c r="FB152">
        <v>100</v>
      </c>
      <c r="FC152">
        <v>6.495</v>
      </c>
      <c r="FD152">
        <v>0.0588</v>
      </c>
      <c r="FE152">
        <v>6.495476190476325</v>
      </c>
      <c r="FF152">
        <v>0</v>
      </c>
      <c r="FG152">
        <v>0</v>
      </c>
      <c r="FH152">
        <v>0</v>
      </c>
      <c r="FI152">
        <v>0.05881499999999917</v>
      </c>
      <c r="FJ152">
        <v>0</v>
      </c>
      <c r="FK152">
        <v>0</v>
      </c>
      <c r="FL152">
        <v>0</v>
      </c>
      <c r="FM152">
        <v>-1</v>
      </c>
      <c r="FN152">
        <v>-1</v>
      </c>
      <c r="FO152">
        <v>-1</v>
      </c>
      <c r="FP152">
        <v>-1</v>
      </c>
      <c r="FQ152">
        <v>136.3</v>
      </c>
      <c r="FR152">
        <v>136.5</v>
      </c>
      <c r="FS152">
        <v>0.142822</v>
      </c>
      <c r="FT152">
        <v>4.99756</v>
      </c>
      <c r="FU152">
        <v>1.5979</v>
      </c>
      <c r="FV152">
        <v>2.12891</v>
      </c>
      <c r="FW152">
        <v>1.54785</v>
      </c>
      <c r="FX152">
        <v>2.37793</v>
      </c>
      <c r="FY152">
        <v>41.3261</v>
      </c>
      <c r="FZ152">
        <v>15.5242</v>
      </c>
      <c r="GA152">
        <v>3</v>
      </c>
      <c r="GB152">
        <v>509.291</v>
      </c>
      <c r="GC152">
        <v>336.237</v>
      </c>
      <c r="GD152">
        <v>21.7436</v>
      </c>
      <c r="GE152">
        <v>32.3109</v>
      </c>
      <c r="GF152">
        <v>30.0001</v>
      </c>
      <c r="GG152">
        <v>32.2406</v>
      </c>
      <c r="GH152">
        <v>32.2377</v>
      </c>
      <c r="GI152">
        <v>-1</v>
      </c>
      <c r="GJ152">
        <v>100</v>
      </c>
      <c r="GK152">
        <v>0</v>
      </c>
      <c r="GL152">
        <v>21.7463</v>
      </c>
      <c r="GM152">
        <v>1200</v>
      </c>
      <c r="GN152">
        <v>26.7455</v>
      </c>
      <c r="GO152">
        <v>101.927</v>
      </c>
      <c r="GP152">
        <v>96.9859</v>
      </c>
    </row>
    <row r="153" spans="1:198">
      <c r="A153">
        <v>137</v>
      </c>
      <c r="B153">
        <v>1773277025</v>
      </c>
      <c r="C153">
        <v>8161.400000095367</v>
      </c>
      <c r="D153" t="s">
        <v>607</v>
      </c>
      <c r="E153" t="s">
        <v>608</v>
      </c>
      <c r="F153">
        <v>15</v>
      </c>
      <c r="G153">
        <v>1773277017</v>
      </c>
      <c r="H153">
        <f>(I153)/1000</f>
        <v>0</v>
      </c>
      <c r="I153">
        <f>1000*AY153*AG153*(AU153-AV153)/(100*AN153*(1000-AG153*AU153))</f>
        <v>0</v>
      </c>
      <c r="J153">
        <f>AY153*AG153*(AT153-AS153*(1000-AG153*AV153)/(1000-AG153*AU153))/(100*AN153)</f>
        <v>0</v>
      </c>
      <c r="K153">
        <f>AS153 - IF(AG153&gt;1, J153*AN153*100.0/(AI153), 0)</f>
        <v>0</v>
      </c>
      <c r="L153">
        <f>((R153-H153/2)*K153-J153)/(R153+H153/2)</f>
        <v>0</v>
      </c>
      <c r="M153">
        <f>L153*(AZ153+BA153)/1000.0</f>
        <v>0</v>
      </c>
      <c r="N153">
        <f>(AS153 - IF(AG153&gt;1, J153*AN153*100.0/(AI153), 0))*(AZ153+BA153)/1000.0</f>
        <v>0</v>
      </c>
      <c r="O153">
        <f>2.0/((1/Q153-1/P153)+SIGN(Q153)*SQRT((1/Q153-1/P153)*(1/Q153-1/P153) + 4*AO153/((AO153+1)*(AO153+1))*(2*1/Q153*1/P153-1/P153*1/P153)))</f>
        <v>0</v>
      </c>
      <c r="P153">
        <f>IF(LEFT(AP153,1)&lt;&gt;"0",IF(LEFT(AP153,1)="1",3.0,AQ153),$D$5+$E$5*(BG153*AZ153/($K$5*1000))+$F$5*(BG153*AZ153/($K$5*1000))*MAX(MIN(AN153,$J$5),$I$5)*MAX(MIN(AN153,$J$5),$I$5)+$G$5*MAX(MIN(AN153,$J$5),$I$5)*(BG153*AZ153/($K$5*1000))+$H$5*(BG153*AZ153/($K$5*1000))*(BG153*AZ153/($K$5*1000)))</f>
        <v>0</v>
      </c>
      <c r="Q153">
        <f>H153*(1000-(1000*0.61365*exp(17.502*U153/(240.97+U153))/(AZ153+BA153)+AU153)/2)/(1000*0.61365*exp(17.502*U153/(240.97+U153))/(AZ153+BA153)-AU153)</f>
        <v>0</v>
      </c>
      <c r="R153">
        <f>1/((AO153+1)/(O153/1.6)+1/(P153/1.37)) + AO153/((AO153+1)/(O153/1.6) + AO153/(P153/1.37))</f>
        <v>0</v>
      </c>
      <c r="S153">
        <f>(AJ153*AM153)</f>
        <v>0</v>
      </c>
      <c r="T153">
        <f>(BB153+(S153+2*0.95*5.67E-8*(((BB153+$B$7)+273)^4-(BB153+273)^4)-44100*H153)/(1.84*29.3*P153+8*0.95*5.67E-8*(BB153+273)^3))</f>
        <v>0</v>
      </c>
      <c r="U153">
        <f>($C$7*BC153+$D$7*BD153+$E$7*T153)</f>
        <v>0</v>
      </c>
      <c r="V153">
        <f>0.61365*exp(17.502*U153/(240.97+U153))</f>
        <v>0</v>
      </c>
      <c r="W153">
        <f>(X153/Y153*100)</f>
        <v>0</v>
      </c>
      <c r="X153">
        <f>AU153*(AZ153+BA153)/1000</f>
        <v>0</v>
      </c>
      <c r="Y153">
        <f>0.61365*exp(17.502*BB153/(240.97+BB153))</f>
        <v>0</v>
      </c>
      <c r="Z153">
        <f>(V153-AU153*(AZ153+BA153)/1000)</f>
        <v>0</v>
      </c>
      <c r="AA153">
        <f>(-H153*44100)</f>
        <v>0</v>
      </c>
      <c r="AB153">
        <f>2*29.3*P153*0.92*(BB153-U153)</f>
        <v>0</v>
      </c>
      <c r="AC153">
        <f>2*0.95*5.67E-8*(((BB153+$B$7)+273)^4-(U153+273)^4)</f>
        <v>0</v>
      </c>
      <c r="AD153">
        <f>S153+AC153+AA153+AB153</f>
        <v>0</v>
      </c>
      <c r="AE153">
        <v>0</v>
      </c>
      <c r="AF153">
        <v>0</v>
      </c>
      <c r="AG153">
        <f>IF(AE153*$H$13&gt;=AI153,1.0,(AI153/(AI153-AE153*$H$13)))</f>
        <v>0</v>
      </c>
      <c r="AH153">
        <f>(AG153-1)*100</f>
        <v>0</v>
      </c>
      <c r="AI153">
        <f>MAX(0,($B$13+$C$13*BG153)/(1+$D$13*BG153)*AZ153/(BB153+273)*$E$13)</f>
        <v>0</v>
      </c>
      <c r="AJ153">
        <f>$B$11*BH153+$C$11*BI153+$D$11*BT153</f>
        <v>0</v>
      </c>
      <c r="AK153">
        <f>AJ153*AL153</f>
        <v>0</v>
      </c>
      <c r="AL153">
        <f>($B$11*$D$9+$C$11*$D$9+$D$11*(BU153*$E$9+BV153*$G$9))/($B$11+$C$11+$D$11)</f>
        <v>0</v>
      </c>
      <c r="AM153">
        <f>($B$11*$K$9+$C$11*$K$9+$D$11*(BU153*$L$9+BV153*$N$9))/($B$11+$C$11+$D$11)</f>
        <v>0</v>
      </c>
      <c r="AN153">
        <v>3</v>
      </c>
      <c r="AO153">
        <v>0.5</v>
      </c>
      <c r="AP153" t="s">
        <v>331</v>
      </c>
      <c r="AQ153">
        <v>2</v>
      </c>
      <c r="AR153">
        <v>1773277017</v>
      </c>
      <c r="AS153">
        <v>454.9315483870968</v>
      </c>
      <c r="AT153">
        <v>453.3738709677419</v>
      </c>
      <c r="AU153">
        <v>14.45596774193548</v>
      </c>
      <c r="AV153">
        <v>13.50727096774194</v>
      </c>
      <c r="AW153">
        <v>448.4359032258065</v>
      </c>
      <c r="AX153">
        <v>14.39714838709677</v>
      </c>
      <c r="AY153">
        <v>500.0022580645162</v>
      </c>
      <c r="AZ153">
        <v>100.3320967741935</v>
      </c>
      <c r="BA153">
        <v>0.03771371290322581</v>
      </c>
      <c r="BB153">
        <v>24.9822</v>
      </c>
      <c r="BC153">
        <v>25.2940870967742</v>
      </c>
      <c r="BD153">
        <v>999.9000000000003</v>
      </c>
      <c r="BE153">
        <v>0</v>
      </c>
      <c r="BF153">
        <v>0</v>
      </c>
      <c r="BG153">
        <v>4997.806451612903</v>
      </c>
      <c r="BH153">
        <v>1.950586451612903</v>
      </c>
      <c r="BI153">
        <v>1348.495483870968</v>
      </c>
      <c r="BJ153">
        <v>1.557627741935484</v>
      </c>
      <c r="BK153">
        <v>461.6043225806451</v>
      </c>
      <c r="BL153">
        <v>459.5815483870967</v>
      </c>
      <c r="BM153">
        <v>0.9486948387096776</v>
      </c>
      <c r="BN153">
        <v>453.3738709677419</v>
      </c>
      <c r="BO153">
        <v>13.50727096774194</v>
      </c>
      <c r="BP153">
        <v>1.450399677419355</v>
      </c>
      <c r="BQ153">
        <v>1.355215161290322</v>
      </c>
      <c r="BR153">
        <v>12.45505806451613</v>
      </c>
      <c r="BS153">
        <v>11.42559032258064</v>
      </c>
      <c r="BT153">
        <v>0</v>
      </c>
      <c r="BU153">
        <v>0</v>
      </c>
      <c r="BV153">
        <v>0</v>
      </c>
      <c r="BW153">
        <v>30</v>
      </c>
      <c r="BX153">
        <v>46.0172</v>
      </c>
      <c r="BY153">
        <v>1773268786.6</v>
      </c>
      <c r="BZ153" t="s">
        <v>332</v>
      </c>
      <c r="CA153">
        <v>1773268786.6</v>
      </c>
      <c r="CB153">
        <v>1773268774.1</v>
      </c>
      <c r="CC153">
        <v>2</v>
      </c>
      <c r="CD153">
        <v>0.264</v>
      </c>
      <c r="CE153">
        <v>-0.024</v>
      </c>
      <c r="CF153">
        <v>6.495</v>
      </c>
      <c r="CG153">
        <v>0.059</v>
      </c>
      <c r="CH153">
        <v>488</v>
      </c>
      <c r="CI153">
        <v>25</v>
      </c>
      <c r="CJ153">
        <v>0.48</v>
      </c>
      <c r="CK153">
        <v>0.14</v>
      </c>
      <c r="CL153">
        <v>453.3738709677419</v>
      </c>
      <c r="CM153">
        <v>0.5691774193531728</v>
      </c>
      <c r="CN153">
        <v>0.04479180651996226</v>
      </c>
      <c r="CO153">
        <v>-1</v>
      </c>
      <c r="CP153">
        <v>500.0022580645162</v>
      </c>
      <c r="CQ153">
        <v>-0.05579032258249587</v>
      </c>
      <c r="CR153">
        <v>0.04850604733961171</v>
      </c>
      <c r="CS153">
        <v>-1</v>
      </c>
      <c r="CT153">
        <v>0</v>
      </c>
      <c r="CU153">
        <v>0</v>
      </c>
      <c r="CV153" t="s">
        <v>333</v>
      </c>
      <c r="CW153">
        <v>3.1709</v>
      </c>
      <c r="CX153">
        <v>2.65914</v>
      </c>
      <c r="CY153">
        <v>0.106494</v>
      </c>
      <c r="CZ153">
        <v>0.107398</v>
      </c>
      <c r="DA153">
        <v>0.0785136</v>
      </c>
      <c r="DB153">
        <v>0.0745816</v>
      </c>
      <c r="DC153">
        <v>21365.1</v>
      </c>
      <c r="DD153">
        <v>21901.3</v>
      </c>
      <c r="DE153">
        <v>23030.8</v>
      </c>
      <c r="DF153">
        <v>22448.4</v>
      </c>
      <c r="DG153">
        <v>32076.8</v>
      </c>
      <c r="DH153">
        <v>29287.5</v>
      </c>
      <c r="DI153">
        <v>40501</v>
      </c>
      <c r="DJ153">
        <v>37146.2</v>
      </c>
      <c r="DK153">
        <v>2.07466</v>
      </c>
      <c r="DL153">
        <v>1.64464</v>
      </c>
      <c r="DM153">
        <v>-0.122139</v>
      </c>
      <c r="DN153">
        <v>0</v>
      </c>
      <c r="DO153">
        <v>27.2991</v>
      </c>
      <c r="DP153">
        <v>999.9</v>
      </c>
      <c r="DQ153">
        <v>41.6</v>
      </c>
      <c r="DR153">
        <v>36.3</v>
      </c>
      <c r="DS153">
        <v>25.1579</v>
      </c>
      <c r="DT153">
        <v>30.1865</v>
      </c>
      <c r="DU153">
        <v>13.105</v>
      </c>
      <c r="DV153">
        <v>1</v>
      </c>
      <c r="DW153">
        <v>0.417866</v>
      </c>
      <c r="DX153">
        <v>3.73356</v>
      </c>
      <c r="DY153">
        <v>20.317</v>
      </c>
      <c r="DZ153">
        <v>5.2107</v>
      </c>
      <c r="EA153">
        <v>11.8542</v>
      </c>
      <c r="EB153">
        <v>4.96776</v>
      </c>
      <c r="EC153">
        <v>3.29224</v>
      </c>
      <c r="ED153">
        <v>879.4</v>
      </c>
      <c r="EE153">
        <v>9999</v>
      </c>
      <c r="EF153">
        <v>9999</v>
      </c>
      <c r="EG153">
        <v>82.40000000000001</v>
      </c>
      <c r="EH153">
        <v>4.97155</v>
      </c>
      <c r="EI153">
        <v>1.87196</v>
      </c>
      <c r="EJ153">
        <v>1.86923</v>
      </c>
      <c r="EK153">
        <v>1.87164</v>
      </c>
      <c r="EL153">
        <v>1.86935</v>
      </c>
      <c r="EM153">
        <v>1.86829</v>
      </c>
      <c r="EN153">
        <v>1.8701</v>
      </c>
      <c r="EO153">
        <v>1.87183</v>
      </c>
      <c r="EP153">
        <v>0</v>
      </c>
      <c r="EQ153">
        <v>0</v>
      </c>
      <c r="ER153">
        <v>0</v>
      </c>
      <c r="ES153">
        <v>0</v>
      </c>
      <c r="ET153" t="s">
        <v>334</v>
      </c>
      <c r="EU153" t="s">
        <v>335</v>
      </c>
      <c r="EV153" t="s">
        <v>336</v>
      </c>
      <c r="EW153" t="s">
        <v>336</v>
      </c>
      <c r="EX153" t="s">
        <v>336</v>
      </c>
      <c r="EY153" t="s">
        <v>336</v>
      </c>
      <c r="EZ153">
        <v>0</v>
      </c>
      <c r="FA153">
        <v>100</v>
      </c>
      <c r="FB153">
        <v>100</v>
      </c>
      <c r="FC153">
        <v>6.495</v>
      </c>
      <c r="FD153">
        <v>0.0588</v>
      </c>
      <c r="FE153">
        <v>6.495476190476325</v>
      </c>
      <c r="FF153">
        <v>0</v>
      </c>
      <c r="FG153">
        <v>0</v>
      </c>
      <c r="FH153">
        <v>0</v>
      </c>
      <c r="FI153">
        <v>0.05881499999999917</v>
      </c>
      <c r="FJ153">
        <v>0</v>
      </c>
      <c r="FK153">
        <v>0</v>
      </c>
      <c r="FL153">
        <v>0</v>
      </c>
      <c r="FM153">
        <v>-1</v>
      </c>
      <c r="FN153">
        <v>-1</v>
      </c>
      <c r="FO153">
        <v>-1</v>
      </c>
      <c r="FP153">
        <v>-1</v>
      </c>
      <c r="FQ153">
        <v>137.3</v>
      </c>
      <c r="FR153">
        <v>137.5</v>
      </c>
      <c r="FS153">
        <v>0.142822</v>
      </c>
      <c r="FT153">
        <v>4.99756</v>
      </c>
      <c r="FU153">
        <v>1.5979</v>
      </c>
      <c r="FV153">
        <v>2.12769</v>
      </c>
      <c r="FW153">
        <v>1.54785</v>
      </c>
      <c r="FX153">
        <v>2.43408</v>
      </c>
      <c r="FY153">
        <v>41.3261</v>
      </c>
      <c r="FZ153">
        <v>15.5242</v>
      </c>
      <c r="GA153">
        <v>3</v>
      </c>
      <c r="GB153">
        <v>509.344</v>
      </c>
      <c r="GC153">
        <v>336.46</v>
      </c>
      <c r="GD153">
        <v>21.9431</v>
      </c>
      <c r="GE153">
        <v>32.3238</v>
      </c>
      <c r="GF153">
        <v>30.0001</v>
      </c>
      <c r="GG153">
        <v>32.2524</v>
      </c>
      <c r="GH153">
        <v>32.2519</v>
      </c>
      <c r="GI153">
        <v>-1</v>
      </c>
      <c r="GJ153">
        <v>100</v>
      </c>
      <c r="GK153">
        <v>0</v>
      </c>
      <c r="GL153">
        <v>21.956</v>
      </c>
      <c r="GM153">
        <v>1200</v>
      </c>
      <c r="GN153">
        <v>26.7455</v>
      </c>
      <c r="GO153">
        <v>101.924</v>
      </c>
      <c r="GP153">
        <v>96.98390000000001</v>
      </c>
    </row>
    <row r="154" spans="1:198">
      <c r="A154">
        <v>138</v>
      </c>
      <c r="B154">
        <v>1773277085</v>
      </c>
      <c r="C154">
        <v>8221.400000095367</v>
      </c>
      <c r="D154" t="s">
        <v>609</v>
      </c>
      <c r="E154" t="s">
        <v>610</v>
      </c>
      <c r="F154">
        <v>15</v>
      </c>
      <c r="G154">
        <v>1773277077</v>
      </c>
      <c r="H154">
        <f>(I154)/1000</f>
        <v>0</v>
      </c>
      <c r="I154">
        <f>1000*AY154*AG154*(AU154-AV154)/(100*AN154*(1000-AG154*AU154))</f>
        <v>0</v>
      </c>
      <c r="J154">
        <f>AY154*AG154*(AT154-AS154*(1000-AG154*AV154)/(1000-AG154*AU154))/(100*AN154)</f>
        <v>0</v>
      </c>
      <c r="K154">
        <f>AS154 - IF(AG154&gt;1, J154*AN154*100.0/(AI154), 0)</f>
        <v>0</v>
      </c>
      <c r="L154">
        <f>((R154-H154/2)*K154-J154)/(R154+H154/2)</f>
        <v>0</v>
      </c>
      <c r="M154">
        <f>L154*(AZ154+BA154)/1000.0</f>
        <v>0</v>
      </c>
      <c r="N154">
        <f>(AS154 - IF(AG154&gt;1, J154*AN154*100.0/(AI154), 0))*(AZ154+BA154)/1000.0</f>
        <v>0</v>
      </c>
      <c r="O154">
        <f>2.0/((1/Q154-1/P154)+SIGN(Q154)*SQRT((1/Q154-1/P154)*(1/Q154-1/P154) + 4*AO154/((AO154+1)*(AO154+1))*(2*1/Q154*1/P154-1/P154*1/P154)))</f>
        <v>0</v>
      </c>
      <c r="P154">
        <f>IF(LEFT(AP154,1)&lt;&gt;"0",IF(LEFT(AP154,1)="1",3.0,AQ154),$D$5+$E$5*(BG154*AZ154/($K$5*1000))+$F$5*(BG154*AZ154/($K$5*1000))*MAX(MIN(AN154,$J$5),$I$5)*MAX(MIN(AN154,$J$5),$I$5)+$G$5*MAX(MIN(AN154,$J$5),$I$5)*(BG154*AZ154/($K$5*1000))+$H$5*(BG154*AZ154/($K$5*1000))*(BG154*AZ154/($K$5*1000)))</f>
        <v>0</v>
      </c>
      <c r="Q154">
        <f>H154*(1000-(1000*0.61365*exp(17.502*U154/(240.97+U154))/(AZ154+BA154)+AU154)/2)/(1000*0.61365*exp(17.502*U154/(240.97+U154))/(AZ154+BA154)-AU154)</f>
        <v>0</v>
      </c>
      <c r="R154">
        <f>1/((AO154+1)/(O154/1.6)+1/(P154/1.37)) + AO154/((AO154+1)/(O154/1.6) + AO154/(P154/1.37))</f>
        <v>0</v>
      </c>
      <c r="S154">
        <f>(AJ154*AM154)</f>
        <v>0</v>
      </c>
      <c r="T154">
        <f>(BB154+(S154+2*0.95*5.67E-8*(((BB154+$B$7)+273)^4-(BB154+273)^4)-44100*H154)/(1.84*29.3*P154+8*0.95*5.67E-8*(BB154+273)^3))</f>
        <v>0</v>
      </c>
      <c r="U154">
        <f>($C$7*BC154+$D$7*BD154+$E$7*T154)</f>
        <v>0</v>
      </c>
      <c r="V154">
        <f>0.61365*exp(17.502*U154/(240.97+U154))</f>
        <v>0</v>
      </c>
      <c r="W154">
        <f>(X154/Y154*100)</f>
        <v>0</v>
      </c>
      <c r="X154">
        <f>AU154*(AZ154+BA154)/1000</f>
        <v>0</v>
      </c>
      <c r="Y154">
        <f>0.61365*exp(17.502*BB154/(240.97+BB154))</f>
        <v>0</v>
      </c>
      <c r="Z154">
        <f>(V154-AU154*(AZ154+BA154)/1000)</f>
        <v>0</v>
      </c>
      <c r="AA154">
        <f>(-H154*44100)</f>
        <v>0</v>
      </c>
      <c r="AB154">
        <f>2*29.3*P154*0.92*(BB154-U154)</f>
        <v>0</v>
      </c>
      <c r="AC154">
        <f>2*0.95*5.67E-8*(((BB154+$B$7)+273)^4-(U154+273)^4)</f>
        <v>0</v>
      </c>
      <c r="AD154">
        <f>S154+AC154+AA154+AB154</f>
        <v>0</v>
      </c>
      <c r="AE154">
        <v>0</v>
      </c>
      <c r="AF154">
        <v>0</v>
      </c>
      <c r="AG154">
        <f>IF(AE154*$H$13&gt;=AI154,1.0,(AI154/(AI154-AE154*$H$13)))</f>
        <v>0</v>
      </c>
      <c r="AH154">
        <f>(AG154-1)*100</f>
        <v>0</v>
      </c>
      <c r="AI154">
        <f>MAX(0,($B$13+$C$13*BG154)/(1+$D$13*BG154)*AZ154/(BB154+273)*$E$13)</f>
        <v>0</v>
      </c>
      <c r="AJ154">
        <f>$B$11*BH154+$C$11*BI154+$D$11*BT154</f>
        <v>0</v>
      </c>
      <c r="AK154">
        <f>AJ154*AL154</f>
        <v>0</v>
      </c>
      <c r="AL154">
        <f>($B$11*$D$9+$C$11*$D$9+$D$11*(BU154*$E$9+BV154*$G$9))/($B$11+$C$11+$D$11)</f>
        <v>0</v>
      </c>
      <c r="AM154">
        <f>($B$11*$K$9+$C$11*$K$9+$D$11*(BU154*$L$9+BV154*$N$9))/($B$11+$C$11+$D$11)</f>
        <v>0</v>
      </c>
      <c r="AN154">
        <v>3</v>
      </c>
      <c r="AO154">
        <v>0.5</v>
      </c>
      <c r="AP154" t="s">
        <v>331</v>
      </c>
      <c r="AQ154">
        <v>2</v>
      </c>
      <c r="AR154">
        <v>1773277077</v>
      </c>
      <c r="AS154">
        <v>454.9594193548386</v>
      </c>
      <c r="AT154">
        <v>453.115193548387</v>
      </c>
      <c r="AU154">
        <v>14.52078387096774</v>
      </c>
      <c r="AV154">
        <v>13.58206129032258</v>
      </c>
      <c r="AW154">
        <v>448.4638387096775</v>
      </c>
      <c r="AX154">
        <v>14.46197419354839</v>
      </c>
      <c r="AY154">
        <v>500.0115806451613</v>
      </c>
      <c r="AZ154">
        <v>100.3350967741935</v>
      </c>
      <c r="BA154">
        <v>0.03820840322580646</v>
      </c>
      <c r="BB154">
        <v>25.0076</v>
      </c>
      <c r="BC154">
        <v>25.3748129032258</v>
      </c>
      <c r="BD154">
        <v>999.9000000000003</v>
      </c>
      <c r="BE154">
        <v>0</v>
      </c>
      <c r="BF154">
        <v>0</v>
      </c>
      <c r="BG154">
        <v>4999.967741935484</v>
      </c>
      <c r="BH154">
        <v>1.926358387096774</v>
      </c>
      <c r="BI154">
        <v>1347.841612903225</v>
      </c>
      <c r="BJ154">
        <v>1.844122903225807</v>
      </c>
      <c r="BK154">
        <v>461.663193548387</v>
      </c>
      <c r="BL154">
        <v>459.3542258064517</v>
      </c>
      <c r="BM154">
        <v>0.9387424193548388</v>
      </c>
      <c r="BN154">
        <v>453.115193548387</v>
      </c>
      <c r="BO154">
        <v>13.58206129032258</v>
      </c>
      <c r="BP154">
        <v>1.456944838709678</v>
      </c>
      <c r="BQ154">
        <v>1.362756451612903</v>
      </c>
      <c r="BR154">
        <v>12.52365161290322</v>
      </c>
      <c r="BS154">
        <v>11.50942903225807</v>
      </c>
      <c r="BT154">
        <v>0</v>
      </c>
      <c r="BU154">
        <v>0</v>
      </c>
      <c r="BV154">
        <v>0</v>
      </c>
      <c r="BW154">
        <v>30</v>
      </c>
      <c r="BX154">
        <v>46</v>
      </c>
      <c r="BY154">
        <v>1773268786.6</v>
      </c>
      <c r="BZ154" t="s">
        <v>332</v>
      </c>
      <c r="CA154">
        <v>1773268786.6</v>
      </c>
      <c r="CB154">
        <v>1773268774.1</v>
      </c>
      <c r="CC154">
        <v>2</v>
      </c>
      <c r="CD154">
        <v>0.264</v>
      </c>
      <c r="CE154">
        <v>-0.024</v>
      </c>
      <c r="CF154">
        <v>6.495</v>
      </c>
      <c r="CG154">
        <v>0.059</v>
      </c>
      <c r="CH154">
        <v>488</v>
      </c>
      <c r="CI154">
        <v>25</v>
      </c>
      <c r="CJ154">
        <v>0.48</v>
      </c>
      <c r="CK154">
        <v>0.14</v>
      </c>
      <c r="CL154">
        <v>453.1406451612904</v>
      </c>
      <c r="CM154">
        <v>-0.7830000000006984</v>
      </c>
      <c r="CN154">
        <v>0.08454300237619031</v>
      </c>
      <c r="CO154">
        <v>-1</v>
      </c>
      <c r="CP154">
        <v>500.0112903225807</v>
      </c>
      <c r="CQ154">
        <v>-0.001741935484386282</v>
      </c>
      <c r="CR154">
        <v>0.05462080045029465</v>
      </c>
      <c r="CS154">
        <v>-1</v>
      </c>
      <c r="CT154">
        <v>0</v>
      </c>
      <c r="CU154">
        <v>0</v>
      </c>
      <c r="CV154" t="s">
        <v>333</v>
      </c>
      <c r="CW154">
        <v>3.17092</v>
      </c>
      <c r="CX154">
        <v>2.65966</v>
      </c>
      <c r="CY154">
        <v>0.10645</v>
      </c>
      <c r="CZ154">
        <v>0.107259</v>
      </c>
      <c r="DA154">
        <v>0.07879079999999999</v>
      </c>
      <c r="DB154">
        <v>0.0749119</v>
      </c>
      <c r="DC154">
        <v>21364.4</v>
      </c>
      <c r="DD154">
        <v>21903.1</v>
      </c>
      <c r="DE154">
        <v>23029.2</v>
      </c>
      <c r="DF154">
        <v>22447</v>
      </c>
      <c r="DG154">
        <v>32065</v>
      </c>
      <c r="DH154">
        <v>29275</v>
      </c>
      <c r="DI154">
        <v>40498.4</v>
      </c>
      <c r="DJ154">
        <v>37143.7</v>
      </c>
      <c r="DK154">
        <v>2.07414</v>
      </c>
      <c r="DL154">
        <v>1.6437</v>
      </c>
      <c r="DM154">
        <v>-0.128144</v>
      </c>
      <c r="DN154">
        <v>0</v>
      </c>
      <c r="DO154">
        <v>27.4725</v>
      </c>
      <c r="DP154">
        <v>999.9</v>
      </c>
      <c r="DQ154">
        <v>41.7</v>
      </c>
      <c r="DR154">
        <v>36.4</v>
      </c>
      <c r="DS154">
        <v>25.3588</v>
      </c>
      <c r="DT154">
        <v>30.1565</v>
      </c>
      <c r="DU154">
        <v>13.0649</v>
      </c>
      <c r="DV154">
        <v>1</v>
      </c>
      <c r="DW154">
        <v>0.423394</v>
      </c>
      <c r="DX154">
        <v>3.94091</v>
      </c>
      <c r="DY154">
        <v>20.3104</v>
      </c>
      <c r="DZ154">
        <v>5.21034</v>
      </c>
      <c r="EA154">
        <v>11.8542</v>
      </c>
      <c r="EB154">
        <v>4.96776</v>
      </c>
      <c r="EC154">
        <v>3.2923</v>
      </c>
      <c r="ED154">
        <v>879.4</v>
      </c>
      <c r="EE154">
        <v>9999</v>
      </c>
      <c r="EF154">
        <v>9999</v>
      </c>
      <c r="EG154">
        <v>82.40000000000001</v>
      </c>
      <c r="EH154">
        <v>4.97155</v>
      </c>
      <c r="EI154">
        <v>1.87196</v>
      </c>
      <c r="EJ154">
        <v>1.86927</v>
      </c>
      <c r="EK154">
        <v>1.87164</v>
      </c>
      <c r="EL154">
        <v>1.86935</v>
      </c>
      <c r="EM154">
        <v>1.86829</v>
      </c>
      <c r="EN154">
        <v>1.87012</v>
      </c>
      <c r="EO154">
        <v>1.87184</v>
      </c>
      <c r="EP154">
        <v>0</v>
      </c>
      <c r="EQ154">
        <v>0</v>
      </c>
      <c r="ER154">
        <v>0</v>
      </c>
      <c r="ES154">
        <v>0</v>
      </c>
      <c r="ET154" t="s">
        <v>334</v>
      </c>
      <c r="EU154" t="s">
        <v>335</v>
      </c>
      <c r="EV154" t="s">
        <v>336</v>
      </c>
      <c r="EW154" t="s">
        <v>336</v>
      </c>
      <c r="EX154" t="s">
        <v>336</v>
      </c>
      <c r="EY154" t="s">
        <v>336</v>
      </c>
      <c r="EZ154">
        <v>0</v>
      </c>
      <c r="FA154">
        <v>100</v>
      </c>
      <c r="FB154">
        <v>100</v>
      </c>
      <c r="FC154">
        <v>6.496</v>
      </c>
      <c r="FD154">
        <v>0.0588</v>
      </c>
      <c r="FE154">
        <v>6.495476190476325</v>
      </c>
      <c r="FF154">
        <v>0</v>
      </c>
      <c r="FG154">
        <v>0</v>
      </c>
      <c r="FH154">
        <v>0</v>
      </c>
      <c r="FI154">
        <v>0.05881499999999917</v>
      </c>
      <c r="FJ154">
        <v>0</v>
      </c>
      <c r="FK154">
        <v>0</v>
      </c>
      <c r="FL154">
        <v>0</v>
      </c>
      <c r="FM154">
        <v>-1</v>
      </c>
      <c r="FN154">
        <v>-1</v>
      </c>
      <c r="FO154">
        <v>-1</v>
      </c>
      <c r="FP154">
        <v>-1</v>
      </c>
      <c r="FQ154">
        <v>138.3</v>
      </c>
      <c r="FR154">
        <v>138.5</v>
      </c>
      <c r="FS154">
        <v>0.142822</v>
      </c>
      <c r="FT154">
        <v>4.99756</v>
      </c>
      <c r="FU154">
        <v>1.5979</v>
      </c>
      <c r="FV154">
        <v>2.12891</v>
      </c>
      <c r="FW154">
        <v>1.54785</v>
      </c>
      <c r="FX154">
        <v>2.46948</v>
      </c>
      <c r="FY154">
        <v>41.4041</v>
      </c>
      <c r="FZ154">
        <v>15.5067</v>
      </c>
      <c r="GA154">
        <v>3</v>
      </c>
      <c r="GB154">
        <v>509.331</v>
      </c>
      <c r="GC154">
        <v>336.19</v>
      </c>
      <c r="GD154">
        <v>21.9352</v>
      </c>
      <c r="GE154">
        <v>32.3762</v>
      </c>
      <c r="GF154">
        <v>30.0002</v>
      </c>
      <c r="GG154">
        <v>32.292</v>
      </c>
      <c r="GH154">
        <v>32.2924</v>
      </c>
      <c r="GI154">
        <v>-1</v>
      </c>
      <c r="GJ154">
        <v>100</v>
      </c>
      <c r="GK154">
        <v>0</v>
      </c>
      <c r="GL154">
        <v>21.9434</v>
      </c>
      <c r="GM154">
        <v>1200</v>
      </c>
      <c r="GN154">
        <v>26.7455</v>
      </c>
      <c r="GO154">
        <v>101.917</v>
      </c>
      <c r="GP154">
        <v>96.9774</v>
      </c>
    </row>
    <row r="155" spans="1:198">
      <c r="A155">
        <v>139</v>
      </c>
      <c r="B155">
        <v>1773277145</v>
      </c>
      <c r="C155">
        <v>8281.400000095367</v>
      </c>
      <c r="D155" t="s">
        <v>611</v>
      </c>
      <c r="E155" t="s">
        <v>612</v>
      </c>
      <c r="F155">
        <v>15</v>
      </c>
      <c r="G155">
        <v>1773277137</v>
      </c>
      <c r="H155">
        <f>(I155)/1000</f>
        <v>0</v>
      </c>
      <c r="I155">
        <f>1000*AY155*AG155*(AU155-AV155)/(100*AN155*(1000-AG155*AU155))</f>
        <v>0</v>
      </c>
      <c r="J155">
        <f>AY155*AG155*(AT155-AS155*(1000-AG155*AV155)/(1000-AG155*AU155))/(100*AN155)</f>
        <v>0</v>
      </c>
      <c r="K155">
        <f>AS155 - IF(AG155&gt;1, J155*AN155*100.0/(AI155), 0)</f>
        <v>0</v>
      </c>
      <c r="L155">
        <f>((R155-H155/2)*K155-J155)/(R155+H155/2)</f>
        <v>0</v>
      </c>
      <c r="M155">
        <f>L155*(AZ155+BA155)/1000.0</f>
        <v>0</v>
      </c>
      <c r="N155">
        <f>(AS155 - IF(AG155&gt;1, J155*AN155*100.0/(AI155), 0))*(AZ155+BA155)/1000.0</f>
        <v>0</v>
      </c>
      <c r="O155">
        <f>2.0/((1/Q155-1/P155)+SIGN(Q155)*SQRT((1/Q155-1/P155)*(1/Q155-1/P155) + 4*AO155/((AO155+1)*(AO155+1))*(2*1/Q155*1/P155-1/P155*1/P155)))</f>
        <v>0</v>
      </c>
      <c r="P155">
        <f>IF(LEFT(AP155,1)&lt;&gt;"0",IF(LEFT(AP155,1)="1",3.0,AQ155),$D$5+$E$5*(BG155*AZ155/($K$5*1000))+$F$5*(BG155*AZ155/($K$5*1000))*MAX(MIN(AN155,$J$5),$I$5)*MAX(MIN(AN155,$J$5),$I$5)+$G$5*MAX(MIN(AN155,$J$5),$I$5)*(BG155*AZ155/($K$5*1000))+$H$5*(BG155*AZ155/($K$5*1000))*(BG155*AZ155/($K$5*1000)))</f>
        <v>0</v>
      </c>
      <c r="Q155">
        <f>H155*(1000-(1000*0.61365*exp(17.502*U155/(240.97+U155))/(AZ155+BA155)+AU155)/2)/(1000*0.61365*exp(17.502*U155/(240.97+U155))/(AZ155+BA155)-AU155)</f>
        <v>0</v>
      </c>
      <c r="R155">
        <f>1/((AO155+1)/(O155/1.6)+1/(P155/1.37)) + AO155/((AO155+1)/(O155/1.6) + AO155/(P155/1.37))</f>
        <v>0</v>
      </c>
      <c r="S155">
        <f>(AJ155*AM155)</f>
        <v>0</v>
      </c>
      <c r="T155">
        <f>(BB155+(S155+2*0.95*5.67E-8*(((BB155+$B$7)+273)^4-(BB155+273)^4)-44100*H155)/(1.84*29.3*P155+8*0.95*5.67E-8*(BB155+273)^3))</f>
        <v>0</v>
      </c>
      <c r="U155">
        <f>($C$7*BC155+$D$7*BD155+$E$7*T155)</f>
        <v>0</v>
      </c>
      <c r="V155">
        <f>0.61365*exp(17.502*U155/(240.97+U155))</f>
        <v>0</v>
      </c>
      <c r="W155">
        <f>(X155/Y155*100)</f>
        <v>0</v>
      </c>
      <c r="X155">
        <f>AU155*(AZ155+BA155)/1000</f>
        <v>0</v>
      </c>
      <c r="Y155">
        <f>0.61365*exp(17.502*BB155/(240.97+BB155))</f>
        <v>0</v>
      </c>
      <c r="Z155">
        <f>(V155-AU155*(AZ155+BA155)/1000)</f>
        <v>0</v>
      </c>
      <c r="AA155">
        <f>(-H155*44100)</f>
        <v>0</v>
      </c>
      <c r="AB155">
        <f>2*29.3*P155*0.92*(BB155-U155)</f>
        <v>0</v>
      </c>
      <c r="AC155">
        <f>2*0.95*5.67E-8*(((BB155+$B$7)+273)^4-(U155+273)^4)</f>
        <v>0</v>
      </c>
      <c r="AD155">
        <f>S155+AC155+AA155+AB155</f>
        <v>0</v>
      </c>
      <c r="AE155">
        <v>0</v>
      </c>
      <c r="AF155">
        <v>0</v>
      </c>
      <c r="AG155">
        <f>IF(AE155*$H$13&gt;=AI155,1.0,(AI155/(AI155-AE155*$H$13)))</f>
        <v>0</v>
      </c>
      <c r="AH155">
        <f>(AG155-1)*100</f>
        <v>0</v>
      </c>
      <c r="AI155">
        <f>MAX(0,($B$13+$C$13*BG155)/(1+$D$13*BG155)*AZ155/(BB155+273)*$E$13)</f>
        <v>0</v>
      </c>
      <c r="AJ155">
        <f>$B$11*BH155+$C$11*BI155+$D$11*BT155</f>
        <v>0</v>
      </c>
      <c r="AK155">
        <f>AJ155*AL155</f>
        <v>0</v>
      </c>
      <c r="AL155">
        <f>($B$11*$D$9+$C$11*$D$9+$D$11*(BU155*$E$9+BV155*$G$9))/($B$11+$C$11+$D$11)</f>
        <v>0</v>
      </c>
      <c r="AM155">
        <f>($B$11*$K$9+$C$11*$K$9+$D$11*(BU155*$L$9+BV155*$N$9))/($B$11+$C$11+$D$11)</f>
        <v>0</v>
      </c>
      <c r="AN155">
        <v>3</v>
      </c>
      <c r="AO155">
        <v>0.5</v>
      </c>
      <c r="AP155" t="s">
        <v>331</v>
      </c>
      <c r="AQ155">
        <v>2</v>
      </c>
      <c r="AR155">
        <v>1773277137</v>
      </c>
      <c r="AS155">
        <v>454.353935483871</v>
      </c>
      <c r="AT155">
        <v>452.6044516129032</v>
      </c>
      <c r="AU155">
        <v>14.61141290322581</v>
      </c>
      <c r="AV155">
        <v>13.67560967741935</v>
      </c>
      <c r="AW155">
        <v>447.8583870967742</v>
      </c>
      <c r="AX155">
        <v>14.5525935483871</v>
      </c>
      <c r="AY155">
        <v>499.959129032258</v>
      </c>
      <c r="AZ155">
        <v>100.3379032258065</v>
      </c>
      <c r="BA155">
        <v>0.03857170000000001</v>
      </c>
      <c r="BB155">
        <v>25.01612258064516</v>
      </c>
      <c r="BC155">
        <v>25.39917419354839</v>
      </c>
      <c r="BD155">
        <v>999.9000000000003</v>
      </c>
      <c r="BE155">
        <v>0</v>
      </c>
      <c r="BF155">
        <v>0</v>
      </c>
      <c r="BG155">
        <v>4995.419354838709</v>
      </c>
      <c r="BH155">
        <v>1.883083548387097</v>
      </c>
      <c r="BI155">
        <v>1316.184516129032</v>
      </c>
      <c r="BJ155">
        <v>1.749420322580645</v>
      </c>
      <c r="BK155">
        <v>461.0910000000001</v>
      </c>
      <c r="BL155">
        <v>458.8798709677419</v>
      </c>
      <c r="BM155">
        <v>0.9358050967741934</v>
      </c>
      <c r="BN155">
        <v>452.6044516129032</v>
      </c>
      <c r="BO155">
        <v>13.67560967741935</v>
      </c>
      <c r="BP155">
        <v>1.466078387096774</v>
      </c>
      <c r="BQ155">
        <v>1.372181935483871</v>
      </c>
      <c r="BR155">
        <v>12.61890322580645</v>
      </c>
      <c r="BS155">
        <v>11.61365806451613</v>
      </c>
      <c r="BT155">
        <v>0</v>
      </c>
      <c r="BU155">
        <v>0</v>
      </c>
      <c r="BV155">
        <v>0</v>
      </c>
      <c r="BW155">
        <v>30.16989354838709</v>
      </c>
      <c r="BX155">
        <v>45</v>
      </c>
      <c r="BY155">
        <v>1773268786.6</v>
      </c>
      <c r="BZ155" t="s">
        <v>332</v>
      </c>
      <c r="CA155">
        <v>1773268786.6</v>
      </c>
      <c r="CB155">
        <v>1773268774.1</v>
      </c>
      <c r="CC155">
        <v>2</v>
      </c>
      <c r="CD155">
        <v>0.264</v>
      </c>
      <c r="CE155">
        <v>-0.024</v>
      </c>
      <c r="CF155">
        <v>6.495</v>
      </c>
      <c r="CG155">
        <v>0.059</v>
      </c>
      <c r="CH155">
        <v>488</v>
      </c>
      <c r="CI155">
        <v>25</v>
      </c>
      <c r="CJ155">
        <v>0.48</v>
      </c>
      <c r="CK155">
        <v>0.14</v>
      </c>
      <c r="CL155">
        <v>452.6044516129032</v>
      </c>
      <c r="CM155">
        <v>1.075935483870122</v>
      </c>
      <c r="CN155">
        <v>0.1103018844952551</v>
      </c>
      <c r="CO155">
        <v>-1</v>
      </c>
      <c r="CP155">
        <v>499.959129032258</v>
      </c>
      <c r="CQ155">
        <v>-0.393435483870658</v>
      </c>
      <c r="CR155">
        <v>0.0598173251068147</v>
      </c>
      <c r="CS155">
        <v>-1</v>
      </c>
      <c r="CT155">
        <v>0</v>
      </c>
      <c r="CU155">
        <v>0</v>
      </c>
      <c r="CV155" t="s">
        <v>333</v>
      </c>
      <c r="CW155">
        <v>3.17091</v>
      </c>
      <c r="CX155">
        <v>2.66067</v>
      </c>
      <c r="CY155">
        <v>0.106356</v>
      </c>
      <c r="CZ155">
        <v>0.107281</v>
      </c>
      <c r="DA155">
        <v>0.0791506</v>
      </c>
      <c r="DB155">
        <v>0.0752792</v>
      </c>
      <c r="DC155">
        <v>21362.9</v>
      </c>
      <c r="DD155">
        <v>21899.7</v>
      </c>
      <c r="DE155">
        <v>23025.5</v>
      </c>
      <c r="DF155">
        <v>22444.3</v>
      </c>
      <c r="DG155">
        <v>32047.8</v>
      </c>
      <c r="DH155">
        <v>29259.4</v>
      </c>
      <c r="DI155">
        <v>40492.6</v>
      </c>
      <c r="DJ155">
        <v>37138.9</v>
      </c>
      <c r="DK155">
        <v>2.07288</v>
      </c>
      <c r="DL155">
        <v>1.64196</v>
      </c>
      <c r="DM155">
        <v>-0.134283</v>
      </c>
      <c r="DN155">
        <v>0</v>
      </c>
      <c r="DO155">
        <v>27.602</v>
      </c>
      <c r="DP155">
        <v>999.9</v>
      </c>
      <c r="DQ155">
        <v>41.7</v>
      </c>
      <c r="DR155">
        <v>36.4</v>
      </c>
      <c r="DS155">
        <v>25.3566</v>
      </c>
      <c r="DT155">
        <v>30.2765</v>
      </c>
      <c r="DU155">
        <v>13.153</v>
      </c>
      <c r="DV155">
        <v>1</v>
      </c>
      <c r="DW155">
        <v>0.43188</v>
      </c>
      <c r="DX155">
        <v>4.19559</v>
      </c>
      <c r="DY155">
        <v>20.303</v>
      </c>
      <c r="DZ155">
        <v>5.21094</v>
      </c>
      <c r="EA155">
        <v>11.8542</v>
      </c>
      <c r="EB155">
        <v>4.9676</v>
      </c>
      <c r="EC155">
        <v>3.29224</v>
      </c>
      <c r="ED155">
        <v>879.4</v>
      </c>
      <c r="EE155">
        <v>9999</v>
      </c>
      <c r="EF155">
        <v>9999</v>
      </c>
      <c r="EG155">
        <v>82.40000000000001</v>
      </c>
      <c r="EH155">
        <v>4.97155</v>
      </c>
      <c r="EI155">
        <v>1.87197</v>
      </c>
      <c r="EJ155">
        <v>1.86927</v>
      </c>
      <c r="EK155">
        <v>1.87164</v>
      </c>
      <c r="EL155">
        <v>1.86935</v>
      </c>
      <c r="EM155">
        <v>1.86829</v>
      </c>
      <c r="EN155">
        <v>1.87012</v>
      </c>
      <c r="EO155">
        <v>1.87185</v>
      </c>
      <c r="EP155">
        <v>0</v>
      </c>
      <c r="EQ155">
        <v>0</v>
      </c>
      <c r="ER155">
        <v>0</v>
      </c>
      <c r="ES155">
        <v>0</v>
      </c>
      <c r="ET155" t="s">
        <v>334</v>
      </c>
      <c r="EU155" t="s">
        <v>335</v>
      </c>
      <c r="EV155" t="s">
        <v>336</v>
      </c>
      <c r="EW155" t="s">
        <v>336</v>
      </c>
      <c r="EX155" t="s">
        <v>336</v>
      </c>
      <c r="EY155" t="s">
        <v>336</v>
      </c>
      <c r="EZ155">
        <v>0</v>
      </c>
      <c r="FA155">
        <v>100</v>
      </c>
      <c r="FB155">
        <v>100</v>
      </c>
      <c r="FC155">
        <v>6.496</v>
      </c>
      <c r="FD155">
        <v>0.0588</v>
      </c>
      <c r="FE155">
        <v>6.495476190476325</v>
      </c>
      <c r="FF155">
        <v>0</v>
      </c>
      <c r="FG155">
        <v>0</v>
      </c>
      <c r="FH155">
        <v>0</v>
      </c>
      <c r="FI155">
        <v>0.05881499999999917</v>
      </c>
      <c r="FJ155">
        <v>0</v>
      </c>
      <c r="FK155">
        <v>0</v>
      </c>
      <c r="FL155">
        <v>0</v>
      </c>
      <c r="FM155">
        <v>-1</v>
      </c>
      <c r="FN155">
        <v>-1</v>
      </c>
      <c r="FO155">
        <v>-1</v>
      </c>
      <c r="FP155">
        <v>-1</v>
      </c>
      <c r="FQ155">
        <v>139.3</v>
      </c>
      <c r="FR155">
        <v>139.5</v>
      </c>
      <c r="FS155">
        <v>0.142822</v>
      </c>
      <c r="FT155">
        <v>4.99756</v>
      </c>
      <c r="FU155">
        <v>1.5979</v>
      </c>
      <c r="FV155">
        <v>2.12769</v>
      </c>
      <c r="FW155">
        <v>1.54785</v>
      </c>
      <c r="FX155">
        <v>2.44751</v>
      </c>
      <c r="FY155">
        <v>41.5083</v>
      </c>
      <c r="FZ155">
        <v>15.498</v>
      </c>
      <c r="GA155">
        <v>3</v>
      </c>
      <c r="GB155">
        <v>509.086</v>
      </c>
      <c r="GC155">
        <v>335.649</v>
      </c>
      <c r="GD155">
        <v>21.7839</v>
      </c>
      <c r="GE155">
        <v>32.4575</v>
      </c>
      <c r="GF155">
        <v>30.0008</v>
      </c>
      <c r="GG155">
        <v>32.3594</v>
      </c>
      <c r="GH155">
        <v>32.359</v>
      </c>
      <c r="GI155">
        <v>-1</v>
      </c>
      <c r="GJ155">
        <v>100</v>
      </c>
      <c r="GK155">
        <v>0</v>
      </c>
      <c r="GL155">
        <v>21.7675</v>
      </c>
      <c r="GM155">
        <v>1200</v>
      </c>
      <c r="GN155">
        <v>26.7455</v>
      </c>
      <c r="GO155">
        <v>101.902</v>
      </c>
      <c r="GP155">
        <v>96.9652</v>
      </c>
    </row>
    <row r="156" spans="1:198">
      <c r="A156">
        <v>140</v>
      </c>
      <c r="B156">
        <v>1773277205</v>
      </c>
      <c r="C156">
        <v>8341.400000095367</v>
      </c>
      <c r="D156" t="s">
        <v>613</v>
      </c>
      <c r="E156" t="s">
        <v>614</v>
      </c>
      <c r="F156">
        <v>15</v>
      </c>
      <c r="G156">
        <v>1773277197</v>
      </c>
      <c r="H156">
        <f>(I156)/1000</f>
        <v>0</v>
      </c>
      <c r="I156">
        <f>1000*AY156*AG156*(AU156-AV156)/(100*AN156*(1000-AG156*AU156))</f>
        <v>0</v>
      </c>
      <c r="J156">
        <f>AY156*AG156*(AT156-AS156*(1000-AG156*AV156)/(1000-AG156*AU156))/(100*AN156)</f>
        <v>0</v>
      </c>
      <c r="K156">
        <f>AS156 - IF(AG156&gt;1, J156*AN156*100.0/(AI156), 0)</f>
        <v>0</v>
      </c>
      <c r="L156">
        <f>((R156-H156/2)*K156-J156)/(R156+H156/2)</f>
        <v>0</v>
      </c>
      <c r="M156">
        <f>L156*(AZ156+BA156)/1000.0</f>
        <v>0</v>
      </c>
      <c r="N156">
        <f>(AS156 - IF(AG156&gt;1, J156*AN156*100.0/(AI156), 0))*(AZ156+BA156)/1000.0</f>
        <v>0</v>
      </c>
      <c r="O156">
        <f>2.0/((1/Q156-1/P156)+SIGN(Q156)*SQRT((1/Q156-1/P156)*(1/Q156-1/P156) + 4*AO156/((AO156+1)*(AO156+1))*(2*1/Q156*1/P156-1/P156*1/P156)))</f>
        <v>0</v>
      </c>
      <c r="P156">
        <f>IF(LEFT(AP156,1)&lt;&gt;"0",IF(LEFT(AP156,1)="1",3.0,AQ156),$D$5+$E$5*(BG156*AZ156/($K$5*1000))+$F$5*(BG156*AZ156/($K$5*1000))*MAX(MIN(AN156,$J$5),$I$5)*MAX(MIN(AN156,$J$5),$I$5)+$G$5*MAX(MIN(AN156,$J$5),$I$5)*(BG156*AZ156/($K$5*1000))+$H$5*(BG156*AZ156/($K$5*1000))*(BG156*AZ156/($K$5*1000)))</f>
        <v>0</v>
      </c>
      <c r="Q156">
        <f>H156*(1000-(1000*0.61365*exp(17.502*U156/(240.97+U156))/(AZ156+BA156)+AU156)/2)/(1000*0.61365*exp(17.502*U156/(240.97+U156))/(AZ156+BA156)-AU156)</f>
        <v>0</v>
      </c>
      <c r="R156">
        <f>1/((AO156+1)/(O156/1.6)+1/(P156/1.37)) + AO156/((AO156+1)/(O156/1.6) + AO156/(P156/1.37))</f>
        <v>0</v>
      </c>
      <c r="S156">
        <f>(AJ156*AM156)</f>
        <v>0</v>
      </c>
      <c r="T156">
        <f>(BB156+(S156+2*0.95*5.67E-8*(((BB156+$B$7)+273)^4-(BB156+273)^4)-44100*H156)/(1.84*29.3*P156+8*0.95*5.67E-8*(BB156+273)^3))</f>
        <v>0</v>
      </c>
      <c r="U156">
        <f>($C$7*BC156+$D$7*BD156+$E$7*T156)</f>
        <v>0</v>
      </c>
      <c r="V156">
        <f>0.61365*exp(17.502*U156/(240.97+U156))</f>
        <v>0</v>
      </c>
      <c r="W156">
        <f>(X156/Y156*100)</f>
        <v>0</v>
      </c>
      <c r="X156">
        <f>AU156*(AZ156+BA156)/1000</f>
        <v>0</v>
      </c>
      <c r="Y156">
        <f>0.61365*exp(17.502*BB156/(240.97+BB156))</f>
        <v>0</v>
      </c>
      <c r="Z156">
        <f>(V156-AU156*(AZ156+BA156)/1000)</f>
        <v>0</v>
      </c>
      <c r="AA156">
        <f>(-H156*44100)</f>
        <v>0</v>
      </c>
      <c r="AB156">
        <f>2*29.3*P156*0.92*(BB156-U156)</f>
        <v>0</v>
      </c>
      <c r="AC156">
        <f>2*0.95*5.67E-8*(((BB156+$B$7)+273)^4-(U156+273)^4)</f>
        <v>0</v>
      </c>
      <c r="AD156">
        <f>S156+AC156+AA156+AB156</f>
        <v>0</v>
      </c>
      <c r="AE156">
        <v>0</v>
      </c>
      <c r="AF156">
        <v>0</v>
      </c>
      <c r="AG156">
        <f>IF(AE156*$H$13&gt;=AI156,1.0,(AI156/(AI156-AE156*$H$13)))</f>
        <v>0</v>
      </c>
      <c r="AH156">
        <f>(AG156-1)*100</f>
        <v>0</v>
      </c>
      <c r="AI156">
        <f>MAX(0,($B$13+$C$13*BG156)/(1+$D$13*BG156)*AZ156/(BB156+273)*$E$13)</f>
        <v>0</v>
      </c>
      <c r="AJ156">
        <f>$B$11*BH156+$C$11*BI156+$D$11*BT156</f>
        <v>0</v>
      </c>
      <c r="AK156">
        <f>AJ156*AL156</f>
        <v>0</v>
      </c>
      <c r="AL156">
        <f>($B$11*$D$9+$C$11*$D$9+$D$11*(BU156*$E$9+BV156*$G$9))/($B$11+$C$11+$D$11)</f>
        <v>0</v>
      </c>
      <c r="AM156">
        <f>($B$11*$K$9+$C$11*$K$9+$D$11*(BU156*$L$9+BV156*$N$9))/($B$11+$C$11+$D$11)</f>
        <v>0</v>
      </c>
      <c r="AN156">
        <v>3</v>
      </c>
      <c r="AO156">
        <v>0.5</v>
      </c>
      <c r="AP156" t="s">
        <v>331</v>
      </c>
      <c r="AQ156">
        <v>2</v>
      </c>
      <c r="AR156">
        <v>1773277197</v>
      </c>
      <c r="AS156">
        <v>453.1044838709677</v>
      </c>
      <c r="AT156">
        <v>451.3329677419355</v>
      </c>
      <c r="AU156">
        <v>14.66532903225806</v>
      </c>
      <c r="AV156">
        <v>13.71454516129032</v>
      </c>
      <c r="AW156">
        <v>446.6088387096773</v>
      </c>
      <c r="AX156">
        <v>14.60651290322581</v>
      </c>
      <c r="AY156">
        <v>500.0192580645162</v>
      </c>
      <c r="AZ156">
        <v>100.3393548387097</v>
      </c>
      <c r="BA156">
        <v>0.03842577741935484</v>
      </c>
      <c r="BB156">
        <v>25.00985806451613</v>
      </c>
      <c r="BC156">
        <v>25.40112580645161</v>
      </c>
      <c r="BD156">
        <v>999.9000000000003</v>
      </c>
      <c r="BE156">
        <v>0</v>
      </c>
      <c r="BF156">
        <v>0</v>
      </c>
      <c r="BG156">
        <v>5005.967741935484</v>
      </c>
      <c r="BH156">
        <v>1.872972903225807</v>
      </c>
      <c r="BI156">
        <v>1343.451935483871</v>
      </c>
      <c r="BJ156">
        <v>1.771458709677419</v>
      </c>
      <c r="BK156">
        <v>459.8482903225807</v>
      </c>
      <c r="BL156">
        <v>457.6088064516129</v>
      </c>
      <c r="BM156">
        <v>0.9507844838709678</v>
      </c>
      <c r="BN156">
        <v>451.3329677419355</v>
      </c>
      <c r="BO156">
        <v>13.71454516129032</v>
      </c>
      <c r="BP156">
        <v>1.471508064516129</v>
      </c>
      <c r="BQ156">
        <v>1.376108064516129</v>
      </c>
      <c r="BR156">
        <v>12.67528387096774</v>
      </c>
      <c r="BS156">
        <v>11.65688064516129</v>
      </c>
      <c r="BT156">
        <v>0</v>
      </c>
      <c r="BU156">
        <v>0</v>
      </c>
      <c r="BV156">
        <v>0</v>
      </c>
      <c r="BW156">
        <v>31</v>
      </c>
      <c r="BX156">
        <v>45</v>
      </c>
      <c r="BY156">
        <v>1773268786.6</v>
      </c>
      <c r="BZ156" t="s">
        <v>332</v>
      </c>
      <c r="CA156">
        <v>1773268786.6</v>
      </c>
      <c r="CB156">
        <v>1773268774.1</v>
      </c>
      <c r="CC156">
        <v>2</v>
      </c>
      <c r="CD156">
        <v>0.264</v>
      </c>
      <c r="CE156">
        <v>-0.024</v>
      </c>
      <c r="CF156">
        <v>6.495</v>
      </c>
      <c r="CG156">
        <v>0.059</v>
      </c>
      <c r="CH156">
        <v>488</v>
      </c>
      <c r="CI156">
        <v>25</v>
      </c>
      <c r="CJ156">
        <v>0.48</v>
      </c>
      <c r="CK156">
        <v>0.14</v>
      </c>
      <c r="CL156">
        <v>451.3415161290323</v>
      </c>
      <c r="CM156">
        <v>0.7314677419340322</v>
      </c>
      <c r="CN156">
        <v>0.106524227432903</v>
      </c>
      <c r="CO156">
        <v>-1</v>
      </c>
      <c r="CP156">
        <v>500.018870967742</v>
      </c>
      <c r="CQ156">
        <v>-0.1224677419376358</v>
      </c>
      <c r="CR156">
        <v>0.04770388631999428</v>
      </c>
      <c r="CS156">
        <v>-1</v>
      </c>
      <c r="CT156">
        <v>0</v>
      </c>
      <c r="CU156">
        <v>0</v>
      </c>
      <c r="CV156" t="s">
        <v>333</v>
      </c>
      <c r="CW156">
        <v>3.17107</v>
      </c>
      <c r="CX156">
        <v>2.65991</v>
      </c>
      <c r="CY156">
        <v>0.10611</v>
      </c>
      <c r="CZ156">
        <v>0.106962</v>
      </c>
      <c r="DA156">
        <v>0.0793382</v>
      </c>
      <c r="DB156">
        <v>0.07542069999999999</v>
      </c>
      <c r="DC156">
        <v>21365.3</v>
      </c>
      <c r="DD156">
        <v>21904.4</v>
      </c>
      <c r="DE156">
        <v>23022.2</v>
      </c>
      <c r="DF156">
        <v>22441.3</v>
      </c>
      <c r="DG156">
        <v>32036.9</v>
      </c>
      <c r="DH156">
        <v>29250.8</v>
      </c>
      <c r="DI156">
        <v>40487.3</v>
      </c>
      <c r="DJ156">
        <v>37133.8</v>
      </c>
      <c r="DK156">
        <v>2.07236</v>
      </c>
      <c r="DL156">
        <v>1.64108</v>
      </c>
      <c r="DM156">
        <v>-0.137633</v>
      </c>
      <c r="DN156">
        <v>0</v>
      </c>
      <c r="DO156">
        <v>27.649</v>
      </c>
      <c r="DP156">
        <v>999.9</v>
      </c>
      <c r="DQ156">
        <v>41.5</v>
      </c>
      <c r="DR156">
        <v>36.5</v>
      </c>
      <c r="DS156">
        <v>25.3709</v>
      </c>
      <c r="DT156">
        <v>30.2765</v>
      </c>
      <c r="DU156">
        <v>12.9127</v>
      </c>
      <c r="DV156">
        <v>1</v>
      </c>
      <c r="DW156">
        <v>0.440878</v>
      </c>
      <c r="DX156">
        <v>4.49481</v>
      </c>
      <c r="DY156">
        <v>20.2938</v>
      </c>
      <c r="DZ156">
        <v>5.2107</v>
      </c>
      <c r="EA156">
        <v>11.8542</v>
      </c>
      <c r="EB156">
        <v>4.96768</v>
      </c>
      <c r="EC156">
        <v>3.29226</v>
      </c>
      <c r="ED156">
        <v>879.4</v>
      </c>
      <c r="EE156">
        <v>9999</v>
      </c>
      <c r="EF156">
        <v>9999</v>
      </c>
      <c r="EG156">
        <v>82.40000000000001</v>
      </c>
      <c r="EH156">
        <v>4.97156</v>
      </c>
      <c r="EI156">
        <v>1.87198</v>
      </c>
      <c r="EJ156">
        <v>1.86926</v>
      </c>
      <c r="EK156">
        <v>1.87163</v>
      </c>
      <c r="EL156">
        <v>1.86936</v>
      </c>
      <c r="EM156">
        <v>1.86829</v>
      </c>
      <c r="EN156">
        <v>1.8701</v>
      </c>
      <c r="EO156">
        <v>1.87182</v>
      </c>
      <c r="EP156">
        <v>0</v>
      </c>
      <c r="EQ156">
        <v>0</v>
      </c>
      <c r="ER156">
        <v>0</v>
      </c>
      <c r="ES156">
        <v>0</v>
      </c>
      <c r="ET156" t="s">
        <v>334</v>
      </c>
      <c r="EU156" t="s">
        <v>335</v>
      </c>
      <c r="EV156" t="s">
        <v>336</v>
      </c>
      <c r="EW156" t="s">
        <v>336</v>
      </c>
      <c r="EX156" t="s">
        <v>336</v>
      </c>
      <c r="EY156" t="s">
        <v>336</v>
      </c>
      <c r="EZ156">
        <v>0</v>
      </c>
      <c r="FA156">
        <v>100</v>
      </c>
      <c r="FB156">
        <v>100</v>
      </c>
      <c r="FC156">
        <v>6.495</v>
      </c>
      <c r="FD156">
        <v>0.0589</v>
      </c>
      <c r="FE156">
        <v>6.495476190476325</v>
      </c>
      <c r="FF156">
        <v>0</v>
      </c>
      <c r="FG156">
        <v>0</v>
      </c>
      <c r="FH156">
        <v>0</v>
      </c>
      <c r="FI156">
        <v>0.05881499999999917</v>
      </c>
      <c r="FJ156">
        <v>0</v>
      </c>
      <c r="FK156">
        <v>0</v>
      </c>
      <c r="FL156">
        <v>0</v>
      </c>
      <c r="FM156">
        <v>-1</v>
      </c>
      <c r="FN156">
        <v>-1</v>
      </c>
      <c r="FO156">
        <v>-1</v>
      </c>
      <c r="FP156">
        <v>-1</v>
      </c>
      <c r="FQ156">
        <v>140.3</v>
      </c>
      <c r="FR156">
        <v>140.5</v>
      </c>
      <c r="FS156">
        <v>0.142822</v>
      </c>
      <c r="FT156">
        <v>4.99756</v>
      </c>
      <c r="FU156">
        <v>1.5979</v>
      </c>
      <c r="FV156">
        <v>2.12769</v>
      </c>
      <c r="FW156">
        <v>1.54785</v>
      </c>
      <c r="FX156">
        <v>2.43896</v>
      </c>
      <c r="FY156">
        <v>41.6389</v>
      </c>
      <c r="FZ156">
        <v>15.4804</v>
      </c>
      <c r="GA156">
        <v>3</v>
      </c>
      <c r="GB156">
        <v>509.323</v>
      </c>
      <c r="GC156">
        <v>335.544</v>
      </c>
      <c r="GD156">
        <v>21.481</v>
      </c>
      <c r="GE156">
        <v>32.5519</v>
      </c>
      <c r="GF156">
        <v>30.0005</v>
      </c>
      <c r="GG156">
        <v>32.4322</v>
      </c>
      <c r="GH156">
        <v>32.4265</v>
      </c>
      <c r="GI156">
        <v>-1</v>
      </c>
      <c r="GJ156">
        <v>100</v>
      </c>
      <c r="GK156">
        <v>0</v>
      </c>
      <c r="GL156">
        <v>21.4816</v>
      </c>
      <c r="GM156">
        <v>1200</v>
      </c>
      <c r="GN156">
        <v>26.7455</v>
      </c>
      <c r="GO156">
        <v>101.888</v>
      </c>
      <c r="GP156">
        <v>96.9521</v>
      </c>
    </row>
    <row r="157" spans="1:198">
      <c r="A157">
        <v>141</v>
      </c>
      <c r="B157">
        <v>1773277265</v>
      </c>
      <c r="C157">
        <v>8401.400000095367</v>
      </c>
      <c r="D157" t="s">
        <v>615</v>
      </c>
      <c r="E157" t="s">
        <v>616</v>
      </c>
      <c r="F157">
        <v>15</v>
      </c>
      <c r="G157">
        <v>1773277257</v>
      </c>
      <c r="H157">
        <f>(I157)/1000</f>
        <v>0</v>
      </c>
      <c r="I157">
        <f>1000*AY157*AG157*(AU157-AV157)/(100*AN157*(1000-AG157*AU157))</f>
        <v>0</v>
      </c>
      <c r="J157">
        <f>AY157*AG157*(AT157-AS157*(1000-AG157*AV157)/(1000-AG157*AU157))/(100*AN157)</f>
        <v>0</v>
      </c>
      <c r="K157">
        <f>AS157 - IF(AG157&gt;1, J157*AN157*100.0/(AI157), 0)</f>
        <v>0</v>
      </c>
      <c r="L157">
        <f>((R157-H157/2)*K157-J157)/(R157+H157/2)</f>
        <v>0</v>
      </c>
      <c r="M157">
        <f>L157*(AZ157+BA157)/1000.0</f>
        <v>0</v>
      </c>
      <c r="N157">
        <f>(AS157 - IF(AG157&gt;1, J157*AN157*100.0/(AI157), 0))*(AZ157+BA157)/1000.0</f>
        <v>0</v>
      </c>
      <c r="O157">
        <f>2.0/((1/Q157-1/P157)+SIGN(Q157)*SQRT((1/Q157-1/P157)*(1/Q157-1/P157) + 4*AO157/((AO157+1)*(AO157+1))*(2*1/Q157*1/P157-1/P157*1/P157)))</f>
        <v>0</v>
      </c>
      <c r="P157">
        <f>IF(LEFT(AP157,1)&lt;&gt;"0",IF(LEFT(AP157,1)="1",3.0,AQ157),$D$5+$E$5*(BG157*AZ157/($K$5*1000))+$F$5*(BG157*AZ157/($K$5*1000))*MAX(MIN(AN157,$J$5),$I$5)*MAX(MIN(AN157,$J$5),$I$5)+$G$5*MAX(MIN(AN157,$J$5),$I$5)*(BG157*AZ157/($K$5*1000))+$H$5*(BG157*AZ157/($K$5*1000))*(BG157*AZ157/($K$5*1000)))</f>
        <v>0</v>
      </c>
      <c r="Q157">
        <f>H157*(1000-(1000*0.61365*exp(17.502*U157/(240.97+U157))/(AZ157+BA157)+AU157)/2)/(1000*0.61365*exp(17.502*U157/(240.97+U157))/(AZ157+BA157)-AU157)</f>
        <v>0</v>
      </c>
      <c r="R157">
        <f>1/((AO157+1)/(O157/1.6)+1/(P157/1.37)) + AO157/((AO157+1)/(O157/1.6) + AO157/(P157/1.37))</f>
        <v>0</v>
      </c>
      <c r="S157">
        <f>(AJ157*AM157)</f>
        <v>0</v>
      </c>
      <c r="T157">
        <f>(BB157+(S157+2*0.95*5.67E-8*(((BB157+$B$7)+273)^4-(BB157+273)^4)-44100*H157)/(1.84*29.3*P157+8*0.95*5.67E-8*(BB157+273)^3))</f>
        <v>0</v>
      </c>
      <c r="U157">
        <f>($C$7*BC157+$D$7*BD157+$E$7*T157)</f>
        <v>0</v>
      </c>
      <c r="V157">
        <f>0.61365*exp(17.502*U157/(240.97+U157))</f>
        <v>0</v>
      </c>
      <c r="W157">
        <f>(X157/Y157*100)</f>
        <v>0</v>
      </c>
      <c r="X157">
        <f>AU157*(AZ157+BA157)/1000</f>
        <v>0</v>
      </c>
      <c r="Y157">
        <f>0.61365*exp(17.502*BB157/(240.97+BB157))</f>
        <v>0</v>
      </c>
      <c r="Z157">
        <f>(V157-AU157*(AZ157+BA157)/1000)</f>
        <v>0</v>
      </c>
      <c r="AA157">
        <f>(-H157*44100)</f>
        <v>0</v>
      </c>
      <c r="AB157">
        <f>2*29.3*P157*0.92*(BB157-U157)</f>
        <v>0</v>
      </c>
      <c r="AC157">
        <f>2*0.95*5.67E-8*(((BB157+$B$7)+273)^4-(U157+273)^4)</f>
        <v>0</v>
      </c>
      <c r="AD157">
        <f>S157+AC157+AA157+AB157</f>
        <v>0</v>
      </c>
      <c r="AE157">
        <v>0</v>
      </c>
      <c r="AF157">
        <v>0</v>
      </c>
      <c r="AG157">
        <f>IF(AE157*$H$13&gt;=AI157,1.0,(AI157/(AI157-AE157*$H$13)))</f>
        <v>0</v>
      </c>
      <c r="AH157">
        <f>(AG157-1)*100</f>
        <v>0</v>
      </c>
      <c r="AI157">
        <f>MAX(0,($B$13+$C$13*BG157)/(1+$D$13*BG157)*AZ157/(BB157+273)*$E$13)</f>
        <v>0</v>
      </c>
      <c r="AJ157">
        <f>$B$11*BH157+$C$11*BI157+$D$11*BT157</f>
        <v>0</v>
      </c>
      <c r="AK157">
        <f>AJ157*AL157</f>
        <v>0</v>
      </c>
      <c r="AL157">
        <f>($B$11*$D$9+$C$11*$D$9+$D$11*(BU157*$E$9+BV157*$G$9))/($B$11+$C$11+$D$11)</f>
        <v>0</v>
      </c>
      <c r="AM157">
        <f>($B$11*$K$9+$C$11*$K$9+$D$11*(BU157*$L$9+BV157*$N$9))/($B$11+$C$11+$D$11)</f>
        <v>0</v>
      </c>
      <c r="AN157">
        <v>3</v>
      </c>
      <c r="AO157">
        <v>0.5</v>
      </c>
      <c r="AP157" t="s">
        <v>331</v>
      </c>
      <c r="AQ157">
        <v>2</v>
      </c>
      <c r="AR157">
        <v>1773277257</v>
      </c>
      <c r="AS157">
        <v>451.2723225806452</v>
      </c>
      <c r="AT157">
        <v>449.1672580645161</v>
      </c>
      <c r="AU157">
        <v>14.75031290322581</v>
      </c>
      <c r="AV157">
        <v>13.80835161290323</v>
      </c>
      <c r="AW157">
        <v>444.7767096774193</v>
      </c>
      <c r="AX157">
        <v>14.69149032258064</v>
      </c>
      <c r="AY157">
        <v>499.9996774193549</v>
      </c>
      <c r="AZ157">
        <v>100.3408387096774</v>
      </c>
      <c r="BA157">
        <v>0.03817046451612902</v>
      </c>
      <c r="BB157">
        <v>25.00165161290322</v>
      </c>
      <c r="BC157">
        <v>25.42144516129033</v>
      </c>
      <c r="BD157">
        <v>999.9000000000003</v>
      </c>
      <c r="BE157">
        <v>0</v>
      </c>
      <c r="BF157">
        <v>0</v>
      </c>
      <c r="BG157">
        <v>5000.516129032259</v>
      </c>
      <c r="BH157">
        <v>1.887181612903226</v>
      </c>
      <c r="BI157">
        <v>1317.394516129032</v>
      </c>
      <c r="BJ157">
        <v>2.105058387096775</v>
      </c>
      <c r="BK157">
        <v>458.0283225806452</v>
      </c>
      <c r="BL157">
        <v>455.4562580645161</v>
      </c>
      <c r="BM157">
        <v>0.9419625161290321</v>
      </c>
      <c r="BN157">
        <v>449.1672580645161</v>
      </c>
      <c r="BO157">
        <v>13.80835161290323</v>
      </c>
      <c r="BP157">
        <v>1.480059032258064</v>
      </c>
      <c r="BQ157">
        <v>1.385541290322581</v>
      </c>
      <c r="BR157">
        <v>12.76369677419355</v>
      </c>
      <c r="BS157">
        <v>11.76030322580645</v>
      </c>
      <c r="BT157">
        <v>0</v>
      </c>
      <c r="BU157">
        <v>0</v>
      </c>
      <c r="BV157">
        <v>0</v>
      </c>
      <c r="BW157">
        <v>31</v>
      </c>
      <c r="BX157">
        <v>44</v>
      </c>
      <c r="BY157">
        <v>1773268786.6</v>
      </c>
      <c r="BZ157" t="s">
        <v>332</v>
      </c>
      <c r="CA157">
        <v>1773268786.6</v>
      </c>
      <c r="CB157">
        <v>1773268774.1</v>
      </c>
      <c r="CC157">
        <v>2</v>
      </c>
      <c r="CD157">
        <v>0.264</v>
      </c>
      <c r="CE157">
        <v>-0.024</v>
      </c>
      <c r="CF157">
        <v>6.495</v>
      </c>
      <c r="CG157">
        <v>0.059</v>
      </c>
      <c r="CH157">
        <v>488</v>
      </c>
      <c r="CI157">
        <v>25</v>
      </c>
      <c r="CJ157">
        <v>0.48</v>
      </c>
      <c r="CK157">
        <v>0.14</v>
      </c>
      <c r="CL157">
        <v>449.2205806451614</v>
      </c>
      <c r="CM157">
        <v>-2.674258064516858</v>
      </c>
      <c r="CN157">
        <v>0.2047846664801661</v>
      </c>
      <c r="CO157">
        <v>-1</v>
      </c>
      <c r="CP157">
        <v>499.9995161290323</v>
      </c>
      <c r="CQ157">
        <v>-0.1149193548390962</v>
      </c>
      <c r="CR157">
        <v>0.0526815576273862</v>
      </c>
      <c r="CS157">
        <v>-1</v>
      </c>
      <c r="CT157">
        <v>0</v>
      </c>
      <c r="CU157">
        <v>0</v>
      </c>
      <c r="CV157" t="s">
        <v>333</v>
      </c>
      <c r="CW157">
        <v>3.17106</v>
      </c>
      <c r="CX157">
        <v>2.65945</v>
      </c>
      <c r="CY157">
        <v>0.10571</v>
      </c>
      <c r="CZ157">
        <v>0.106507</v>
      </c>
      <c r="DA157">
        <v>0.07969130000000001</v>
      </c>
      <c r="DB157">
        <v>0.0758172</v>
      </c>
      <c r="DC157">
        <v>21371</v>
      </c>
      <c r="DD157">
        <v>21912.1</v>
      </c>
      <c r="DE157">
        <v>23018.4</v>
      </c>
      <c r="DF157">
        <v>22438.1</v>
      </c>
      <c r="DG157">
        <v>32019.7</v>
      </c>
      <c r="DH157">
        <v>29233.4</v>
      </c>
      <c r="DI157">
        <v>40481.3</v>
      </c>
      <c r="DJ157">
        <v>37127.9</v>
      </c>
      <c r="DK157">
        <v>2.07144</v>
      </c>
      <c r="DL157">
        <v>1.63912</v>
      </c>
      <c r="DM157">
        <v>-0.140649</v>
      </c>
      <c r="DN157">
        <v>0</v>
      </c>
      <c r="DO157">
        <v>27.7294</v>
      </c>
      <c r="DP157">
        <v>999.9</v>
      </c>
      <c r="DQ157">
        <v>41.2</v>
      </c>
      <c r="DR157">
        <v>36.6</v>
      </c>
      <c r="DS157">
        <v>25.3261</v>
      </c>
      <c r="DT157">
        <v>30.5165</v>
      </c>
      <c r="DU157">
        <v>12.9607</v>
      </c>
      <c r="DV157">
        <v>1</v>
      </c>
      <c r="DW157">
        <v>0.44789</v>
      </c>
      <c r="DX157">
        <v>4.30946</v>
      </c>
      <c r="DY157">
        <v>20.2994</v>
      </c>
      <c r="DZ157">
        <v>5.20914</v>
      </c>
      <c r="EA157">
        <v>11.8542</v>
      </c>
      <c r="EB157">
        <v>4.96776</v>
      </c>
      <c r="EC157">
        <v>3.2924</v>
      </c>
      <c r="ED157">
        <v>879.4</v>
      </c>
      <c r="EE157">
        <v>9999</v>
      </c>
      <c r="EF157">
        <v>9999</v>
      </c>
      <c r="EG157">
        <v>82.40000000000001</v>
      </c>
      <c r="EH157">
        <v>4.97155</v>
      </c>
      <c r="EI157">
        <v>1.87197</v>
      </c>
      <c r="EJ157">
        <v>1.86923</v>
      </c>
      <c r="EK157">
        <v>1.87163</v>
      </c>
      <c r="EL157">
        <v>1.86936</v>
      </c>
      <c r="EM157">
        <v>1.86829</v>
      </c>
      <c r="EN157">
        <v>1.87012</v>
      </c>
      <c r="EO157">
        <v>1.87186</v>
      </c>
      <c r="EP157">
        <v>0</v>
      </c>
      <c r="EQ157">
        <v>0</v>
      </c>
      <c r="ER157">
        <v>0</v>
      </c>
      <c r="ES157">
        <v>0</v>
      </c>
      <c r="ET157" t="s">
        <v>334</v>
      </c>
      <c r="EU157" t="s">
        <v>335</v>
      </c>
      <c r="EV157" t="s">
        <v>336</v>
      </c>
      <c r="EW157" t="s">
        <v>336</v>
      </c>
      <c r="EX157" t="s">
        <v>336</v>
      </c>
      <c r="EY157" t="s">
        <v>336</v>
      </c>
      <c r="EZ157">
        <v>0</v>
      </c>
      <c r="FA157">
        <v>100</v>
      </c>
      <c r="FB157">
        <v>100</v>
      </c>
      <c r="FC157">
        <v>6.495</v>
      </c>
      <c r="FD157">
        <v>0.0588</v>
      </c>
      <c r="FE157">
        <v>6.495476190476325</v>
      </c>
      <c r="FF157">
        <v>0</v>
      </c>
      <c r="FG157">
        <v>0</v>
      </c>
      <c r="FH157">
        <v>0</v>
      </c>
      <c r="FI157">
        <v>0.05881499999999917</v>
      </c>
      <c r="FJ157">
        <v>0</v>
      </c>
      <c r="FK157">
        <v>0</v>
      </c>
      <c r="FL157">
        <v>0</v>
      </c>
      <c r="FM157">
        <v>-1</v>
      </c>
      <c r="FN157">
        <v>-1</v>
      </c>
      <c r="FO157">
        <v>-1</v>
      </c>
      <c r="FP157">
        <v>-1</v>
      </c>
      <c r="FQ157">
        <v>141.3</v>
      </c>
      <c r="FR157">
        <v>141.5</v>
      </c>
      <c r="FS157">
        <v>0.142822</v>
      </c>
      <c r="FT157">
        <v>4.99634</v>
      </c>
      <c r="FU157">
        <v>1.5979</v>
      </c>
      <c r="FV157">
        <v>2.12769</v>
      </c>
      <c r="FW157">
        <v>1.54785</v>
      </c>
      <c r="FX157">
        <v>2.44019</v>
      </c>
      <c r="FY157">
        <v>41.7961</v>
      </c>
      <c r="FZ157">
        <v>15.4629</v>
      </c>
      <c r="GA157">
        <v>3</v>
      </c>
      <c r="GB157">
        <v>509.411</v>
      </c>
      <c r="GC157">
        <v>334.966</v>
      </c>
      <c r="GD157">
        <v>21.7479</v>
      </c>
      <c r="GE157">
        <v>32.6554</v>
      </c>
      <c r="GF157">
        <v>30.001</v>
      </c>
      <c r="GG157">
        <v>32.517</v>
      </c>
      <c r="GH157">
        <v>32.508</v>
      </c>
      <c r="GI157">
        <v>-1</v>
      </c>
      <c r="GJ157">
        <v>100</v>
      </c>
      <c r="GK157">
        <v>0</v>
      </c>
      <c r="GL157">
        <v>21.7322</v>
      </c>
      <c r="GM157">
        <v>1200</v>
      </c>
      <c r="GN157">
        <v>26.7455</v>
      </c>
      <c r="GO157">
        <v>101.873</v>
      </c>
      <c r="GP157">
        <v>96.93729999999999</v>
      </c>
    </row>
    <row r="158" spans="1:198">
      <c r="A158">
        <v>142</v>
      </c>
      <c r="B158">
        <v>1773277325</v>
      </c>
      <c r="C158">
        <v>8461.400000095367</v>
      </c>
      <c r="D158" t="s">
        <v>617</v>
      </c>
      <c r="E158" t="s">
        <v>618</v>
      </c>
      <c r="F158">
        <v>15</v>
      </c>
      <c r="G158">
        <v>1773277317</v>
      </c>
      <c r="H158">
        <f>(I158)/1000</f>
        <v>0</v>
      </c>
      <c r="I158">
        <f>1000*AY158*AG158*(AU158-AV158)/(100*AN158*(1000-AG158*AU158))</f>
        <v>0</v>
      </c>
      <c r="J158">
        <f>AY158*AG158*(AT158-AS158*(1000-AG158*AV158)/(1000-AG158*AU158))/(100*AN158)</f>
        <v>0</v>
      </c>
      <c r="K158">
        <f>AS158 - IF(AG158&gt;1, J158*AN158*100.0/(AI158), 0)</f>
        <v>0</v>
      </c>
      <c r="L158">
        <f>((R158-H158/2)*K158-J158)/(R158+H158/2)</f>
        <v>0</v>
      </c>
      <c r="M158">
        <f>L158*(AZ158+BA158)/1000.0</f>
        <v>0</v>
      </c>
      <c r="N158">
        <f>(AS158 - IF(AG158&gt;1, J158*AN158*100.0/(AI158), 0))*(AZ158+BA158)/1000.0</f>
        <v>0</v>
      </c>
      <c r="O158">
        <f>2.0/((1/Q158-1/P158)+SIGN(Q158)*SQRT((1/Q158-1/P158)*(1/Q158-1/P158) + 4*AO158/((AO158+1)*(AO158+1))*(2*1/Q158*1/P158-1/P158*1/P158)))</f>
        <v>0</v>
      </c>
      <c r="P158">
        <f>IF(LEFT(AP158,1)&lt;&gt;"0",IF(LEFT(AP158,1)="1",3.0,AQ158),$D$5+$E$5*(BG158*AZ158/($K$5*1000))+$F$5*(BG158*AZ158/($K$5*1000))*MAX(MIN(AN158,$J$5),$I$5)*MAX(MIN(AN158,$J$5),$I$5)+$G$5*MAX(MIN(AN158,$J$5),$I$5)*(BG158*AZ158/($K$5*1000))+$H$5*(BG158*AZ158/($K$5*1000))*(BG158*AZ158/($K$5*1000)))</f>
        <v>0</v>
      </c>
      <c r="Q158">
        <f>H158*(1000-(1000*0.61365*exp(17.502*U158/(240.97+U158))/(AZ158+BA158)+AU158)/2)/(1000*0.61365*exp(17.502*U158/(240.97+U158))/(AZ158+BA158)-AU158)</f>
        <v>0</v>
      </c>
      <c r="R158">
        <f>1/((AO158+1)/(O158/1.6)+1/(P158/1.37)) + AO158/((AO158+1)/(O158/1.6) + AO158/(P158/1.37))</f>
        <v>0</v>
      </c>
      <c r="S158">
        <f>(AJ158*AM158)</f>
        <v>0</v>
      </c>
      <c r="T158">
        <f>(BB158+(S158+2*0.95*5.67E-8*(((BB158+$B$7)+273)^4-(BB158+273)^4)-44100*H158)/(1.84*29.3*P158+8*0.95*5.67E-8*(BB158+273)^3))</f>
        <v>0</v>
      </c>
      <c r="U158">
        <f>($C$7*BC158+$D$7*BD158+$E$7*T158)</f>
        <v>0</v>
      </c>
      <c r="V158">
        <f>0.61365*exp(17.502*U158/(240.97+U158))</f>
        <v>0</v>
      </c>
      <c r="W158">
        <f>(X158/Y158*100)</f>
        <v>0</v>
      </c>
      <c r="X158">
        <f>AU158*(AZ158+BA158)/1000</f>
        <v>0</v>
      </c>
      <c r="Y158">
        <f>0.61365*exp(17.502*BB158/(240.97+BB158))</f>
        <v>0</v>
      </c>
      <c r="Z158">
        <f>(V158-AU158*(AZ158+BA158)/1000)</f>
        <v>0</v>
      </c>
      <c r="AA158">
        <f>(-H158*44100)</f>
        <v>0</v>
      </c>
      <c r="AB158">
        <f>2*29.3*P158*0.92*(BB158-U158)</f>
        <v>0</v>
      </c>
      <c r="AC158">
        <f>2*0.95*5.67E-8*(((BB158+$B$7)+273)^4-(U158+273)^4)</f>
        <v>0</v>
      </c>
      <c r="AD158">
        <f>S158+AC158+AA158+AB158</f>
        <v>0</v>
      </c>
      <c r="AE158">
        <v>0</v>
      </c>
      <c r="AF158">
        <v>0</v>
      </c>
      <c r="AG158">
        <f>IF(AE158*$H$13&gt;=AI158,1.0,(AI158/(AI158-AE158*$H$13)))</f>
        <v>0</v>
      </c>
      <c r="AH158">
        <f>(AG158-1)*100</f>
        <v>0</v>
      </c>
      <c r="AI158">
        <f>MAX(0,($B$13+$C$13*BG158)/(1+$D$13*BG158)*AZ158/(BB158+273)*$E$13)</f>
        <v>0</v>
      </c>
      <c r="AJ158">
        <f>$B$11*BH158+$C$11*BI158+$D$11*BT158</f>
        <v>0</v>
      </c>
      <c r="AK158">
        <f>AJ158*AL158</f>
        <v>0</v>
      </c>
      <c r="AL158">
        <f>($B$11*$D$9+$C$11*$D$9+$D$11*(BU158*$E$9+BV158*$G$9))/($B$11+$C$11+$D$11)</f>
        <v>0</v>
      </c>
      <c r="AM158">
        <f>($B$11*$K$9+$C$11*$K$9+$D$11*(BU158*$L$9+BV158*$N$9))/($B$11+$C$11+$D$11)</f>
        <v>0</v>
      </c>
      <c r="AN158">
        <v>3</v>
      </c>
      <c r="AO158">
        <v>0.5</v>
      </c>
      <c r="AP158" t="s">
        <v>331</v>
      </c>
      <c r="AQ158">
        <v>2</v>
      </c>
      <c r="AR158">
        <v>1773277317</v>
      </c>
      <c r="AS158">
        <v>449.9164516129032</v>
      </c>
      <c r="AT158">
        <v>448.0061290322581</v>
      </c>
      <c r="AU158">
        <v>14.84702258064516</v>
      </c>
      <c r="AV158">
        <v>13.90051935483871</v>
      </c>
      <c r="AW158">
        <v>443.4210967741935</v>
      </c>
      <c r="AX158">
        <v>14.78820967741936</v>
      </c>
      <c r="AY158">
        <v>500.0327741935484</v>
      </c>
      <c r="AZ158">
        <v>100.3427419354839</v>
      </c>
      <c r="BA158">
        <v>0.03818472580645161</v>
      </c>
      <c r="BB158">
        <v>25.00929677419355</v>
      </c>
      <c r="BC158">
        <v>25.43641935483871</v>
      </c>
      <c r="BD158">
        <v>999.9000000000003</v>
      </c>
      <c r="BE158">
        <v>0</v>
      </c>
      <c r="BF158">
        <v>0</v>
      </c>
      <c r="BG158">
        <v>5007.612903225807</v>
      </c>
      <c r="BH158">
        <v>1.881048387096774</v>
      </c>
      <c r="BI158">
        <v>1350.031290322581</v>
      </c>
      <c r="BJ158">
        <v>1.910364193548387</v>
      </c>
      <c r="BK158">
        <v>456.6971935483871</v>
      </c>
      <c r="BL158">
        <v>454.3214838709678</v>
      </c>
      <c r="BM158">
        <v>0.9465068387096772</v>
      </c>
      <c r="BN158">
        <v>448.0061290322581</v>
      </c>
      <c r="BO158">
        <v>13.90051935483871</v>
      </c>
      <c r="BP158">
        <v>1.489790322580645</v>
      </c>
      <c r="BQ158">
        <v>1.394815483870967</v>
      </c>
      <c r="BR158">
        <v>12.8637870967742</v>
      </c>
      <c r="BS158">
        <v>11.86138064516129</v>
      </c>
      <c r="BT158">
        <v>0</v>
      </c>
      <c r="BU158">
        <v>0</v>
      </c>
      <c r="BV158">
        <v>0</v>
      </c>
      <c r="BW158">
        <v>31</v>
      </c>
      <c r="BX158">
        <v>44.02580322580646</v>
      </c>
      <c r="BY158">
        <v>1773268786.6</v>
      </c>
      <c r="BZ158" t="s">
        <v>332</v>
      </c>
      <c r="CA158">
        <v>1773268786.6</v>
      </c>
      <c r="CB158">
        <v>1773268774.1</v>
      </c>
      <c r="CC158">
        <v>2</v>
      </c>
      <c r="CD158">
        <v>0.264</v>
      </c>
      <c r="CE158">
        <v>-0.024</v>
      </c>
      <c r="CF158">
        <v>6.495</v>
      </c>
      <c r="CG158">
        <v>0.059</v>
      </c>
      <c r="CH158">
        <v>488</v>
      </c>
      <c r="CI158">
        <v>25</v>
      </c>
      <c r="CJ158">
        <v>0.48</v>
      </c>
      <c r="CK158">
        <v>0.14</v>
      </c>
      <c r="CL158">
        <v>448.0061290322581</v>
      </c>
      <c r="CM158">
        <v>-5.607822580645633</v>
      </c>
      <c r="CN158">
        <v>0.507196070882271</v>
      </c>
      <c r="CO158">
        <v>-1</v>
      </c>
      <c r="CP158">
        <v>500.0327741935484</v>
      </c>
      <c r="CQ158">
        <v>-0.2860645161306625</v>
      </c>
      <c r="CR158">
        <v>0.04895337457636243</v>
      </c>
      <c r="CS158">
        <v>-1</v>
      </c>
      <c r="CT158">
        <v>0</v>
      </c>
      <c r="CU158">
        <v>0</v>
      </c>
      <c r="CV158" t="s">
        <v>333</v>
      </c>
      <c r="CW158">
        <v>3.17101</v>
      </c>
      <c r="CX158">
        <v>2.65956</v>
      </c>
      <c r="CY158">
        <v>0.105458</v>
      </c>
      <c r="CZ158">
        <v>0.106185</v>
      </c>
      <c r="DA158">
        <v>0.08005900000000001</v>
      </c>
      <c r="DB158">
        <v>0.076169</v>
      </c>
      <c r="DC158">
        <v>21373.6</v>
      </c>
      <c r="DD158">
        <v>21916.8</v>
      </c>
      <c r="DE158">
        <v>23015.1</v>
      </c>
      <c r="DF158">
        <v>22435.1</v>
      </c>
      <c r="DG158">
        <v>32002.8</v>
      </c>
      <c r="DH158">
        <v>29218</v>
      </c>
      <c r="DI158">
        <v>40476.3</v>
      </c>
      <c r="DJ158">
        <v>37122.6</v>
      </c>
      <c r="DK158">
        <v>2.07048</v>
      </c>
      <c r="DL158">
        <v>1.63762</v>
      </c>
      <c r="DM158">
        <v>-0.141668</v>
      </c>
      <c r="DN158">
        <v>0</v>
      </c>
      <c r="DO158">
        <v>27.7584</v>
      </c>
      <c r="DP158">
        <v>999.9</v>
      </c>
      <c r="DQ158">
        <v>40.9</v>
      </c>
      <c r="DR158">
        <v>36.7</v>
      </c>
      <c r="DS158">
        <v>25.2799</v>
      </c>
      <c r="DT158">
        <v>29.8265</v>
      </c>
      <c r="DU158">
        <v>12.9848</v>
      </c>
      <c r="DV158">
        <v>1</v>
      </c>
      <c r="DW158">
        <v>0.455683</v>
      </c>
      <c r="DX158">
        <v>4.4017</v>
      </c>
      <c r="DY158">
        <v>20.2965</v>
      </c>
      <c r="DZ158">
        <v>5.20842</v>
      </c>
      <c r="EA158">
        <v>11.8542</v>
      </c>
      <c r="EB158">
        <v>4.96772</v>
      </c>
      <c r="EC158">
        <v>3.2924</v>
      </c>
      <c r="ED158">
        <v>879.4</v>
      </c>
      <c r="EE158">
        <v>9999</v>
      </c>
      <c r="EF158">
        <v>9999</v>
      </c>
      <c r="EG158">
        <v>82.5</v>
      </c>
      <c r="EH158">
        <v>4.97154</v>
      </c>
      <c r="EI158">
        <v>1.87198</v>
      </c>
      <c r="EJ158">
        <v>1.86927</v>
      </c>
      <c r="EK158">
        <v>1.87163</v>
      </c>
      <c r="EL158">
        <v>1.86938</v>
      </c>
      <c r="EM158">
        <v>1.86829</v>
      </c>
      <c r="EN158">
        <v>1.87012</v>
      </c>
      <c r="EO158">
        <v>1.87187</v>
      </c>
      <c r="EP158">
        <v>0</v>
      </c>
      <c r="EQ158">
        <v>0</v>
      </c>
      <c r="ER158">
        <v>0</v>
      </c>
      <c r="ES158">
        <v>0</v>
      </c>
      <c r="ET158" t="s">
        <v>334</v>
      </c>
      <c r="EU158" t="s">
        <v>335</v>
      </c>
      <c r="EV158" t="s">
        <v>336</v>
      </c>
      <c r="EW158" t="s">
        <v>336</v>
      </c>
      <c r="EX158" t="s">
        <v>336</v>
      </c>
      <c r="EY158" t="s">
        <v>336</v>
      </c>
      <c r="EZ158">
        <v>0</v>
      </c>
      <c r="FA158">
        <v>100</v>
      </c>
      <c r="FB158">
        <v>100</v>
      </c>
      <c r="FC158">
        <v>6.495</v>
      </c>
      <c r="FD158">
        <v>0.0589</v>
      </c>
      <c r="FE158">
        <v>6.495476190476325</v>
      </c>
      <c r="FF158">
        <v>0</v>
      </c>
      <c r="FG158">
        <v>0</v>
      </c>
      <c r="FH158">
        <v>0</v>
      </c>
      <c r="FI158">
        <v>0.05881499999999917</v>
      </c>
      <c r="FJ158">
        <v>0</v>
      </c>
      <c r="FK158">
        <v>0</v>
      </c>
      <c r="FL158">
        <v>0</v>
      </c>
      <c r="FM158">
        <v>-1</v>
      </c>
      <c r="FN158">
        <v>-1</v>
      </c>
      <c r="FO158">
        <v>-1</v>
      </c>
      <c r="FP158">
        <v>-1</v>
      </c>
      <c r="FQ158">
        <v>142.3</v>
      </c>
      <c r="FR158">
        <v>142.5</v>
      </c>
      <c r="FS158">
        <v>0.142822</v>
      </c>
      <c r="FT158">
        <v>4.99756</v>
      </c>
      <c r="FU158">
        <v>1.5979</v>
      </c>
      <c r="FV158">
        <v>2.12769</v>
      </c>
      <c r="FW158">
        <v>1.54785</v>
      </c>
      <c r="FX158">
        <v>2.4292</v>
      </c>
      <c r="FY158">
        <v>41.9538</v>
      </c>
      <c r="FZ158">
        <v>15.4629</v>
      </c>
      <c r="GA158">
        <v>3</v>
      </c>
      <c r="GB158">
        <v>509.442</v>
      </c>
      <c r="GC158">
        <v>334.598</v>
      </c>
      <c r="GD158">
        <v>21.64</v>
      </c>
      <c r="GE158">
        <v>32.7463</v>
      </c>
      <c r="GF158">
        <v>30.0007</v>
      </c>
      <c r="GG158">
        <v>32.5977</v>
      </c>
      <c r="GH158">
        <v>32.5854</v>
      </c>
      <c r="GI158">
        <v>-1</v>
      </c>
      <c r="GJ158">
        <v>100</v>
      </c>
      <c r="GK158">
        <v>0</v>
      </c>
      <c r="GL158">
        <v>21.63</v>
      </c>
      <c r="GM158">
        <v>1200</v>
      </c>
      <c r="GN158">
        <v>26.7455</v>
      </c>
      <c r="GO158">
        <v>101.859</v>
      </c>
      <c r="GP158">
        <v>96.9238</v>
      </c>
    </row>
    <row r="159" spans="1:198">
      <c r="A159">
        <v>143</v>
      </c>
      <c r="B159">
        <v>1773277385</v>
      </c>
      <c r="C159">
        <v>8521.400000095367</v>
      </c>
      <c r="D159" t="s">
        <v>619</v>
      </c>
      <c r="E159" t="s">
        <v>620</v>
      </c>
      <c r="F159">
        <v>15</v>
      </c>
      <c r="G159">
        <v>1773277377</v>
      </c>
      <c r="H159">
        <f>(I159)/1000</f>
        <v>0</v>
      </c>
      <c r="I159">
        <f>1000*AY159*AG159*(AU159-AV159)/(100*AN159*(1000-AG159*AU159))</f>
        <v>0</v>
      </c>
      <c r="J159">
        <f>AY159*AG159*(AT159-AS159*(1000-AG159*AV159)/(1000-AG159*AU159))/(100*AN159)</f>
        <v>0</v>
      </c>
      <c r="K159">
        <f>AS159 - IF(AG159&gt;1, J159*AN159*100.0/(AI159), 0)</f>
        <v>0</v>
      </c>
      <c r="L159">
        <f>((R159-H159/2)*K159-J159)/(R159+H159/2)</f>
        <v>0</v>
      </c>
      <c r="M159">
        <f>L159*(AZ159+BA159)/1000.0</f>
        <v>0</v>
      </c>
      <c r="N159">
        <f>(AS159 - IF(AG159&gt;1, J159*AN159*100.0/(AI159), 0))*(AZ159+BA159)/1000.0</f>
        <v>0</v>
      </c>
      <c r="O159">
        <f>2.0/((1/Q159-1/P159)+SIGN(Q159)*SQRT((1/Q159-1/P159)*(1/Q159-1/P159) + 4*AO159/((AO159+1)*(AO159+1))*(2*1/Q159*1/P159-1/P159*1/P159)))</f>
        <v>0</v>
      </c>
      <c r="P159">
        <f>IF(LEFT(AP159,1)&lt;&gt;"0",IF(LEFT(AP159,1)="1",3.0,AQ159),$D$5+$E$5*(BG159*AZ159/($K$5*1000))+$F$5*(BG159*AZ159/($K$5*1000))*MAX(MIN(AN159,$J$5),$I$5)*MAX(MIN(AN159,$J$5),$I$5)+$G$5*MAX(MIN(AN159,$J$5),$I$5)*(BG159*AZ159/($K$5*1000))+$H$5*(BG159*AZ159/($K$5*1000))*(BG159*AZ159/($K$5*1000)))</f>
        <v>0</v>
      </c>
      <c r="Q159">
        <f>H159*(1000-(1000*0.61365*exp(17.502*U159/(240.97+U159))/(AZ159+BA159)+AU159)/2)/(1000*0.61365*exp(17.502*U159/(240.97+U159))/(AZ159+BA159)-AU159)</f>
        <v>0</v>
      </c>
      <c r="R159">
        <f>1/((AO159+1)/(O159/1.6)+1/(P159/1.37)) + AO159/((AO159+1)/(O159/1.6) + AO159/(P159/1.37))</f>
        <v>0</v>
      </c>
      <c r="S159">
        <f>(AJ159*AM159)</f>
        <v>0</v>
      </c>
      <c r="T159">
        <f>(BB159+(S159+2*0.95*5.67E-8*(((BB159+$B$7)+273)^4-(BB159+273)^4)-44100*H159)/(1.84*29.3*P159+8*0.95*5.67E-8*(BB159+273)^3))</f>
        <v>0</v>
      </c>
      <c r="U159">
        <f>($C$7*BC159+$D$7*BD159+$E$7*T159)</f>
        <v>0</v>
      </c>
      <c r="V159">
        <f>0.61365*exp(17.502*U159/(240.97+U159))</f>
        <v>0</v>
      </c>
      <c r="W159">
        <f>(X159/Y159*100)</f>
        <v>0</v>
      </c>
      <c r="X159">
        <f>AU159*(AZ159+BA159)/1000</f>
        <v>0</v>
      </c>
      <c r="Y159">
        <f>0.61365*exp(17.502*BB159/(240.97+BB159))</f>
        <v>0</v>
      </c>
      <c r="Z159">
        <f>(V159-AU159*(AZ159+BA159)/1000)</f>
        <v>0</v>
      </c>
      <c r="AA159">
        <f>(-H159*44100)</f>
        <v>0</v>
      </c>
      <c r="AB159">
        <f>2*29.3*P159*0.92*(BB159-U159)</f>
        <v>0</v>
      </c>
      <c r="AC159">
        <f>2*0.95*5.67E-8*(((BB159+$B$7)+273)^4-(U159+273)^4)</f>
        <v>0</v>
      </c>
      <c r="AD159">
        <f>S159+AC159+AA159+AB159</f>
        <v>0</v>
      </c>
      <c r="AE159">
        <v>0</v>
      </c>
      <c r="AF159">
        <v>0</v>
      </c>
      <c r="AG159">
        <f>IF(AE159*$H$13&gt;=AI159,1.0,(AI159/(AI159-AE159*$H$13)))</f>
        <v>0</v>
      </c>
      <c r="AH159">
        <f>(AG159-1)*100</f>
        <v>0</v>
      </c>
      <c r="AI159">
        <f>MAX(0,($B$13+$C$13*BG159)/(1+$D$13*BG159)*AZ159/(BB159+273)*$E$13)</f>
        <v>0</v>
      </c>
      <c r="AJ159">
        <f>$B$11*BH159+$C$11*BI159+$D$11*BT159</f>
        <v>0</v>
      </c>
      <c r="AK159">
        <f>AJ159*AL159</f>
        <v>0</v>
      </c>
      <c r="AL159">
        <f>($B$11*$D$9+$C$11*$D$9+$D$11*(BU159*$E$9+BV159*$G$9))/($B$11+$C$11+$D$11)</f>
        <v>0</v>
      </c>
      <c r="AM159">
        <f>($B$11*$K$9+$C$11*$K$9+$D$11*(BU159*$L$9+BV159*$N$9))/($B$11+$C$11+$D$11)</f>
        <v>0</v>
      </c>
      <c r="AN159">
        <v>3</v>
      </c>
      <c r="AO159">
        <v>0.5</v>
      </c>
      <c r="AP159" t="s">
        <v>331</v>
      </c>
      <c r="AQ159">
        <v>2</v>
      </c>
      <c r="AR159">
        <v>1773277377</v>
      </c>
      <c r="AS159">
        <v>448.5494838709676</v>
      </c>
      <c r="AT159">
        <v>446.5503870967742</v>
      </c>
      <c r="AU159">
        <v>14.93011935483871</v>
      </c>
      <c r="AV159">
        <v>13.97575483870968</v>
      </c>
      <c r="AW159">
        <v>442.053935483871</v>
      </c>
      <c r="AX159">
        <v>14.8713064516129</v>
      </c>
      <c r="AY159">
        <v>500.0042258064516</v>
      </c>
      <c r="AZ159">
        <v>100.3447419354839</v>
      </c>
      <c r="BA159">
        <v>0.03835606129032258</v>
      </c>
      <c r="BB159">
        <v>25.01125806451613</v>
      </c>
      <c r="BC159">
        <v>25.43487741935484</v>
      </c>
      <c r="BD159">
        <v>999.9000000000003</v>
      </c>
      <c r="BE159">
        <v>0</v>
      </c>
      <c r="BF159">
        <v>0</v>
      </c>
      <c r="BG159">
        <v>5005.677419354839</v>
      </c>
      <c r="BH159">
        <v>1.81274</v>
      </c>
      <c r="BI159">
        <v>1344.600322580646</v>
      </c>
      <c r="BJ159">
        <v>1.999099032258064</v>
      </c>
      <c r="BK159">
        <v>455.347870967742</v>
      </c>
      <c r="BL159">
        <v>452.8796451612904</v>
      </c>
      <c r="BM159">
        <v>0.9543617741935483</v>
      </c>
      <c r="BN159">
        <v>446.5503870967742</v>
      </c>
      <c r="BO159">
        <v>13.97575483870968</v>
      </c>
      <c r="BP159">
        <v>1.498158709677419</v>
      </c>
      <c r="BQ159">
        <v>1.402393548387097</v>
      </c>
      <c r="BR159">
        <v>12.94938387096774</v>
      </c>
      <c r="BS159">
        <v>11.94353548387097</v>
      </c>
      <c r="BT159">
        <v>0</v>
      </c>
      <c r="BU159">
        <v>0</v>
      </c>
      <c r="BV159">
        <v>0</v>
      </c>
      <c r="BW159">
        <v>31.50430322580645</v>
      </c>
      <c r="BX159">
        <v>44</v>
      </c>
      <c r="BY159">
        <v>1773268786.6</v>
      </c>
      <c r="BZ159" t="s">
        <v>332</v>
      </c>
      <c r="CA159">
        <v>1773268786.6</v>
      </c>
      <c r="CB159">
        <v>1773268774.1</v>
      </c>
      <c r="CC159">
        <v>2</v>
      </c>
      <c r="CD159">
        <v>0.264</v>
      </c>
      <c r="CE159">
        <v>-0.024</v>
      </c>
      <c r="CF159">
        <v>6.495</v>
      </c>
      <c r="CG159">
        <v>0.059</v>
      </c>
      <c r="CH159">
        <v>488</v>
      </c>
      <c r="CI159">
        <v>25</v>
      </c>
      <c r="CJ159">
        <v>0.48</v>
      </c>
      <c r="CK159">
        <v>0.14</v>
      </c>
      <c r="CL159">
        <v>446.5503870967742</v>
      </c>
      <c r="CM159">
        <v>-2.115919354838761</v>
      </c>
      <c r="CN159">
        <v>0.1731826701863094</v>
      </c>
      <c r="CO159">
        <v>-1</v>
      </c>
      <c r="CP159">
        <v>500.0042258064516</v>
      </c>
      <c r="CQ159">
        <v>-0.204967741937941</v>
      </c>
      <c r="CR159">
        <v>0.05344319243736904</v>
      </c>
      <c r="CS159">
        <v>-1</v>
      </c>
      <c r="CT159">
        <v>0</v>
      </c>
      <c r="CU159">
        <v>0</v>
      </c>
      <c r="CV159" t="s">
        <v>333</v>
      </c>
      <c r="CW159">
        <v>3.17107</v>
      </c>
      <c r="CX159">
        <v>2.66014</v>
      </c>
      <c r="CY159">
        <v>0.105206</v>
      </c>
      <c r="CZ159">
        <v>0.106005</v>
      </c>
      <c r="DA159">
        <v>0.08038190000000001</v>
      </c>
      <c r="DB159">
        <v>0.076471</v>
      </c>
      <c r="DC159">
        <v>21376.1</v>
      </c>
      <c r="DD159">
        <v>21918.5</v>
      </c>
      <c r="DE159">
        <v>23011.7</v>
      </c>
      <c r="DF159">
        <v>22432.6</v>
      </c>
      <c r="DG159">
        <v>31987.1</v>
      </c>
      <c r="DH159">
        <v>29205</v>
      </c>
      <c r="DI159">
        <v>40470.8</v>
      </c>
      <c r="DJ159">
        <v>37118.4</v>
      </c>
      <c r="DK159">
        <v>2.0699</v>
      </c>
      <c r="DL159">
        <v>1.6358</v>
      </c>
      <c r="DM159">
        <v>-0.144953</v>
      </c>
      <c r="DN159">
        <v>0</v>
      </c>
      <c r="DO159">
        <v>27.8094</v>
      </c>
      <c r="DP159">
        <v>999.9</v>
      </c>
      <c r="DQ159">
        <v>40.7</v>
      </c>
      <c r="DR159">
        <v>36.8</v>
      </c>
      <c r="DS159">
        <v>25.2954</v>
      </c>
      <c r="DT159">
        <v>30.0065</v>
      </c>
      <c r="DU159">
        <v>13.0409</v>
      </c>
      <c r="DV159">
        <v>1</v>
      </c>
      <c r="DW159">
        <v>0.463986</v>
      </c>
      <c r="DX159">
        <v>4.65669</v>
      </c>
      <c r="DY159">
        <v>20.2879</v>
      </c>
      <c r="DZ159">
        <v>5.20711</v>
      </c>
      <c r="EA159">
        <v>11.8542</v>
      </c>
      <c r="EB159">
        <v>4.96772</v>
      </c>
      <c r="EC159">
        <v>3.29226</v>
      </c>
      <c r="ED159">
        <v>879.4</v>
      </c>
      <c r="EE159">
        <v>9999</v>
      </c>
      <c r="EF159">
        <v>9999</v>
      </c>
      <c r="EG159">
        <v>82.5</v>
      </c>
      <c r="EH159">
        <v>4.97156</v>
      </c>
      <c r="EI159">
        <v>1.87204</v>
      </c>
      <c r="EJ159">
        <v>1.86931</v>
      </c>
      <c r="EK159">
        <v>1.87164</v>
      </c>
      <c r="EL159">
        <v>1.86939</v>
      </c>
      <c r="EM159">
        <v>1.8683</v>
      </c>
      <c r="EN159">
        <v>1.87012</v>
      </c>
      <c r="EO159">
        <v>1.87191</v>
      </c>
      <c r="EP159">
        <v>0</v>
      </c>
      <c r="EQ159">
        <v>0</v>
      </c>
      <c r="ER159">
        <v>0</v>
      </c>
      <c r="ES159">
        <v>0</v>
      </c>
      <c r="ET159" t="s">
        <v>334</v>
      </c>
      <c r="EU159" t="s">
        <v>335</v>
      </c>
      <c r="EV159" t="s">
        <v>336</v>
      </c>
      <c r="EW159" t="s">
        <v>336</v>
      </c>
      <c r="EX159" t="s">
        <v>336</v>
      </c>
      <c r="EY159" t="s">
        <v>336</v>
      </c>
      <c r="EZ159">
        <v>0</v>
      </c>
      <c r="FA159">
        <v>100</v>
      </c>
      <c r="FB159">
        <v>100</v>
      </c>
      <c r="FC159">
        <v>6.496</v>
      </c>
      <c r="FD159">
        <v>0.0588</v>
      </c>
      <c r="FE159">
        <v>6.495476190476325</v>
      </c>
      <c r="FF159">
        <v>0</v>
      </c>
      <c r="FG159">
        <v>0</v>
      </c>
      <c r="FH159">
        <v>0</v>
      </c>
      <c r="FI159">
        <v>0.05881499999999917</v>
      </c>
      <c r="FJ159">
        <v>0</v>
      </c>
      <c r="FK159">
        <v>0</v>
      </c>
      <c r="FL159">
        <v>0</v>
      </c>
      <c r="FM159">
        <v>-1</v>
      </c>
      <c r="FN159">
        <v>-1</v>
      </c>
      <c r="FO159">
        <v>-1</v>
      </c>
      <c r="FP159">
        <v>-1</v>
      </c>
      <c r="FQ159">
        <v>143.3</v>
      </c>
      <c r="FR159">
        <v>143.5</v>
      </c>
      <c r="FS159">
        <v>0.142822</v>
      </c>
      <c r="FT159">
        <v>4.99756</v>
      </c>
      <c r="FU159">
        <v>1.5979</v>
      </c>
      <c r="FV159">
        <v>2.12769</v>
      </c>
      <c r="FW159">
        <v>1.54785</v>
      </c>
      <c r="FX159">
        <v>2.45972</v>
      </c>
      <c r="FY159">
        <v>42.1121</v>
      </c>
      <c r="FZ159">
        <v>15.4542</v>
      </c>
      <c r="GA159">
        <v>3</v>
      </c>
      <c r="GB159">
        <v>509.682</v>
      </c>
      <c r="GC159">
        <v>334.055</v>
      </c>
      <c r="GD159">
        <v>21.4089</v>
      </c>
      <c r="GE159">
        <v>32.8337</v>
      </c>
      <c r="GF159">
        <v>30.0006</v>
      </c>
      <c r="GG159">
        <v>32.6759</v>
      </c>
      <c r="GH159">
        <v>32.6602</v>
      </c>
      <c r="GI159">
        <v>-1</v>
      </c>
      <c r="GJ159">
        <v>100</v>
      </c>
      <c r="GK159">
        <v>0</v>
      </c>
      <c r="GL159">
        <v>21.4021</v>
      </c>
      <c r="GM159">
        <v>1200</v>
      </c>
      <c r="GN159">
        <v>26.7455</v>
      </c>
      <c r="GO159">
        <v>101.845</v>
      </c>
      <c r="GP159">
        <v>96.91289999999999</v>
      </c>
    </row>
    <row r="160" spans="1:198">
      <c r="A160">
        <v>144</v>
      </c>
      <c r="B160">
        <v>1773277445</v>
      </c>
      <c r="C160">
        <v>8581.400000095367</v>
      </c>
      <c r="D160" t="s">
        <v>621</v>
      </c>
      <c r="E160" t="s">
        <v>622</v>
      </c>
      <c r="F160">
        <v>15</v>
      </c>
      <c r="G160">
        <v>1773277437</v>
      </c>
      <c r="H160">
        <f>(I160)/1000</f>
        <v>0</v>
      </c>
      <c r="I160">
        <f>1000*AY160*AG160*(AU160-AV160)/(100*AN160*(1000-AG160*AU160))</f>
        <v>0</v>
      </c>
      <c r="J160">
        <f>AY160*AG160*(AT160-AS160*(1000-AG160*AV160)/(1000-AG160*AU160))/(100*AN160)</f>
        <v>0</v>
      </c>
      <c r="K160">
        <f>AS160 - IF(AG160&gt;1, J160*AN160*100.0/(AI160), 0)</f>
        <v>0</v>
      </c>
      <c r="L160">
        <f>((R160-H160/2)*K160-J160)/(R160+H160/2)</f>
        <v>0</v>
      </c>
      <c r="M160">
        <f>L160*(AZ160+BA160)/1000.0</f>
        <v>0</v>
      </c>
      <c r="N160">
        <f>(AS160 - IF(AG160&gt;1, J160*AN160*100.0/(AI160), 0))*(AZ160+BA160)/1000.0</f>
        <v>0</v>
      </c>
      <c r="O160">
        <f>2.0/((1/Q160-1/P160)+SIGN(Q160)*SQRT((1/Q160-1/P160)*(1/Q160-1/P160) + 4*AO160/((AO160+1)*(AO160+1))*(2*1/Q160*1/P160-1/P160*1/P160)))</f>
        <v>0</v>
      </c>
      <c r="P160">
        <f>IF(LEFT(AP160,1)&lt;&gt;"0",IF(LEFT(AP160,1)="1",3.0,AQ160),$D$5+$E$5*(BG160*AZ160/($K$5*1000))+$F$5*(BG160*AZ160/($K$5*1000))*MAX(MIN(AN160,$J$5),$I$5)*MAX(MIN(AN160,$J$5),$I$5)+$G$5*MAX(MIN(AN160,$J$5),$I$5)*(BG160*AZ160/($K$5*1000))+$H$5*(BG160*AZ160/($K$5*1000))*(BG160*AZ160/($K$5*1000)))</f>
        <v>0</v>
      </c>
      <c r="Q160">
        <f>H160*(1000-(1000*0.61365*exp(17.502*U160/(240.97+U160))/(AZ160+BA160)+AU160)/2)/(1000*0.61365*exp(17.502*U160/(240.97+U160))/(AZ160+BA160)-AU160)</f>
        <v>0</v>
      </c>
      <c r="R160">
        <f>1/((AO160+1)/(O160/1.6)+1/(P160/1.37)) + AO160/((AO160+1)/(O160/1.6) + AO160/(P160/1.37))</f>
        <v>0</v>
      </c>
      <c r="S160">
        <f>(AJ160*AM160)</f>
        <v>0</v>
      </c>
      <c r="T160">
        <f>(BB160+(S160+2*0.95*5.67E-8*(((BB160+$B$7)+273)^4-(BB160+273)^4)-44100*H160)/(1.84*29.3*P160+8*0.95*5.67E-8*(BB160+273)^3))</f>
        <v>0</v>
      </c>
      <c r="U160">
        <f>($C$7*BC160+$D$7*BD160+$E$7*T160)</f>
        <v>0</v>
      </c>
      <c r="V160">
        <f>0.61365*exp(17.502*U160/(240.97+U160))</f>
        <v>0</v>
      </c>
      <c r="W160">
        <f>(X160/Y160*100)</f>
        <v>0</v>
      </c>
      <c r="X160">
        <f>AU160*(AZ160+BA160)/1000</f>
        <v>0</v>
      </c>
      <c r="Y160">
        <f>0.61365*exp(17.502*BB160/(240.97+BB160))</f>
        <v>0</v>
      </c>
      <c r="Z160">
        <f>(V160-AU160*(AZ160+BA160)/1000)</f>
        <v>0</v>
      </c>
      <c r="AA160">
        <f>(-H160*44100)</f>
        <v>0</v>
      </c>
      <c r="AB160">
        <f>2*29.3*P160*0.92*(BB160-U160)</f>
        <v>0</v>
      </c>
      <c r="AC160">
        <f>2*0.95*5.67E-8*(((BB160+$B$7)+273)^4-(U160+273)^4)</f>
        <v>0</v>
      </c>
      <c r="AD160">
        <f>S160+AC160+AA160+AB160</f>
        <v>0</v>
      </c>
      <c r="AE160">
        <v>0</v>
      </c>
      <c r="AF160">
        <v>0</v>
      </c>
      <c r="AG160">
        <f>IF(AE160*$H$13&gt;=AI160,1.0,(AI160/(AI160-AE160*$H$13)))</f>
        <v>0</v>
      </c>
      <c r="AH160">
        <f>(AG160-1)*100</f>
        <v>0</v>
      </c>
      <c r="AI160">
        <f>MAX(0,($B$13+$C$13*BG160)/(1+$D$13*BG160)*AZ160/(BB160+273)*$E$13)</f>
        <v>0</v>
      </c>
      <c r="AJ160">
        <f>$B$11*BH160+$C$11*BI160+$D$11*BT160</f>
        <v>0</v>
      </c>
      <c r="AK160">
        <f>AJ160*AL160</f>
        <v>0</v>
      </c>
      <c r="AL160">
        <f>($B$11*$D$9+$C$11*$D$9+$D$11*(BU160*$E$9+BV160*$G$9))/($B$11+$C$11+$D$11)</f>
        <v>0</v>
      </c>
      <c r="AM160">
        <f>($B$11*$K$9+$C$11*$K$9+$D$11*(BU160*$L$9+BV160*$N$9))/($B$11+$C$11+$D$11)</f>
        <v>0</v>
      </c>
      <c r="AN160">
        <v>3</v>
      </c>
      <c r="AO160">
        <v>0.5</v>
      </c>
      <c r="AP160" t="s">
        <v>331</v>
      </c>
      <c r="AQ160">
        <v>2</v>
      </c>
      <c r="AR160">
        <v>1773277437</v>
      </c>
      <c r="AS160">
        <v>448.3758387096775</v>
      </c>
      <c r="AT160">
        <v>447.2709677419355</v>
      </c>
      <c r="AU160">
        <v>14.99133225806452</v>
      </c>
      <c r="AV160">
        <v>14.00038387096775</v>
      </c>
      <c r="AW160">
        <v>441.8803548387097</v>
      </c>
      <c r="AX160">
        <v>14.93251290322581</v>
      </c>
      <c r="AY160">
        <v>499.9824193548387</v>
      </c>
      <c r="AZ160">
        <v>100.3470000000001</v>
      </c>
      <c r="BA160">
        <v>0.0395674</v>
      </c>
      <c r="BB160">
        <v>25.02223225806452</v>
      </c>
      <c r="BC160">
        <v>25.43934193548387</v>
      </c>
      <c r="BD160">
        <v>999.9000000000003</v>
      </c>
      <c r="BE160">
        <v>0</v>
      </c>
      <c r="BF160">
        <v>0</v>
      </c>
      <c r="BG160">
        <v>4993.612903225807</v>
      </c>
      <c r="BH160">
        <v>1.860611612903226</v>
      </c>
      <c r="BI160">
        <v>1356.769032258064</v>
      </c>
      <c r="BJ160">
        <v>1.104907064516129</v>
      </c>
      <c r="BK160">
        <v>455.1999354838709</v>
      </c>
      <c r="BL160">
        <v>453.6218709677419</v>
      </c>
      <c r="BM160">
        <v>0.9909333225806451</v>
      </c>
      <c r="BN160">
        <v>447.2709677419355</v>
      </c>
      <c r="BO160">
        <v>14.00038387096775</v>
      </c>
      <c r="BP160">
        <v>1.504334838709677</v>
      </c>
      <c r="BQ160">
        <v>1.404898387096774</v>
      </c>
      <c r="BR160">
        <v>13.01229677419355</v>
      </c>
      <c r="BS160">
        <v>11.97060967741935</v>
      </c>
      <c r="BT160">
        <v>0</v>
      </c>
      <c r="BU160">
        <v>0</v>
      </c>
      <c r="BV160">
        <v>0</v>
      </c>
      <c r="BW160">
        <v>31.15913870967742</v>
      </c>
      <c r="BX160">
        <v>44</v>
      </c>
      <c r="BY160">
        <v>1773268786.6</v>
      </c>
      <c r="BZ160" t="s">
        <v>332</v>
      </c>
      <c r="CA160">
        <v>1773268786.6</v>
      </c>
      <c r="CB160">
        <v>1773268774.1</v>
      </c>
      <c r="CC160">
        <v>2</v>
      </c>
      <c r="CD160">
        <v>0.264</v>
      </c>
      <c r="CE160">
        <v>-0.024</v>
      </c>
      <c r="CF160">
        <v>6.495</v>
      </c>
      <c r="CG160">
        <v>0.059</v>
      </c>
      <c r="CH160">
        <v>488</v>
      </c>
      <c r="CI160">
        <v>25</v>
      </c>
      <c r="CJ160">
        <v>0.48</v>
      </c>
      <c r="CK160">
        <v>0.14</v>
      </c>
      <c r="CL160">
        <v>447.2709677419355</v>
      </c>
      <c r="CM160">
        <v>9.864629032257421</v>
      </c>
      <c r="CN160">
        <v>0.7488936564271572</v>
      </c>
      <c r="CO160">
        <v>-1</v>
      </c>
      <c r="CP160">
        <v>499.9824193548387</v>
      </c>
      <c r="CQ160">
        <v>-0.9190161290328807</v>
      </c>
      <c r="CR160">
        <v>0.08684014761786724</v>
      </c>
      <c r="CS160">
        <v>-1</v>
      </c>
      <c r="CT160">
        <v>0</v>
      </c>
      <c r="CU160">
        <v>0</v>
      </c>
      <c r="CV160" t="s">
        <v>333</v>
      </c>
      <c r="CW160">
        <v>3.17105</v>
      </c>
      <c r="CX160">
        <v>2.66194</v>
      </c>
      <c r="CY160">
        <v>0.105349</v>
      </c>
      <c r="CZ160">
        <v>0.106371</v>
      </c>
      <c r="DA160">
        <v>0.0805824</v>
      </c>
      <c r="DB160">
        <v>0.076501</v>
      </c>
      <c r="DC160">
        <v>21370.1</v>
      </c>
      <c r="DD160">
        <v>21907.4</v>
      </c>
      <c r="DE160">
        <v>23009.2</v>
      </c>
      <c r="DF160">
        <v>22430.6</v>
      </c>
      <c r="DG160">
        <v>31976.8</v>
      </c>
      <c r="DH160">
        <v>29201.1</v>
      </c>
      <c r="DI160">
        <v>40466.8</v>
      </c>
      <c r="DJ160">
        <v>37114.9</v>
      </c>
      <c r="DK160">
        <v>2.06914</v>
      </c>
      <c r="DL160">
        <v>1.63314</v>
      </c>
      <c r="DM160">
        <v>-0.14292</v>
      </c>
      <c r="DN160">
        <v>0</v>
      </c>
      <c r="DO160">
        <v>27.7767</v>
      </c>
      <c r="DP160">
        <v>999.9</v>
      </c>
      <c r="DQ160">
        <v>40.5</v>
      </c>
      <c r="DR160">
        <v>36.9</v>
      </c>
      <c r="DS160">
        <v>25.308</v>
      </c>
      <c r="DT160">
        <v>30.7565</v>
      </c>
      <c r="DU160">
        <v>13.2652</v>
      </c>
      <c r="DV160">
        <v>1</v>
      </c>
      <c r="DW160">
        <v>0.471734</v>
      </c>
      <c r="DX160">
        <v>4.90436</v>
      </c>
      <c r="DY160">
        <v>20.2797</v>
      </c>
      <c r="DZ160">
        <v>5.20914</v>
      </c>
      <c r="EA160">
        <v>11.8542</v>
      </c>
      <c r="EB160">
        <v>4.96768</v>
      </c>
      <c r="EC160">
        <v>3.2922</v>
      </c>
      <c r="ED160">
        <v>879.4</v>
      </c>
      <c r="EE160">
        <v>9999</v>
      </c>
      <c r="EF160">
        <v>9999</v>
      </c>
      <c r="EG160">
        <v>82.5</v>
      </c>
      <c r="EH160">
        <v>4.97155</v>
      </c>
      <c r="EI160">
        <v>1.872</v>
      </c>
      <c r="EJ160">
        <v>1.8693</v>
      </c>
      <c r="EK160">
        <v>1.87164</v>
      </c>
      <c r="EL160">
        <v>1.86939</v>
      </c>
      <c r="EM160">
        <v>1.86829</v>
      </c>
      <c r="EN160">
        <v>1.87012</v>
      </c>
      <c r="EO160">
        <v>1.87186</v>
      </c>
      <c r="EP160">
        <v>0</v>
      </c>
      <c r="EQ160">
        <v>0</v>
      </c>
      <c r="ER160">
        <v>0</v>
      </c>
      <c r="ES160">
        <v>0</v>
      </c>
      <c r="ET160" t="s">
        <v>334</v>
      </c>
      <c r="EU160" t="s">
        <v>335</v>
      </c>
      <c r="EV160" t="s">
        <v>336</v>
      </c>
      <c r="EW160" t="s">
        <v>336</v>
      </c>
      <c r="EX160" t="s">
        <v>336</v>
      </c>
      <c r="EY160" t="s">
        <v>336</v>
      </c>
      <c r="EZ160">
        <v>0</v>
      </c>
      <c r="FA160">
        <v>100</v>
      </c>
      <c r="FB160">
        <v>100</v>
      </c>
      <c r="FC160">
        <v>6.496</v>
      </c>
      <c r="FD160">
        <v>0.0589</v>
      </c>
      <c r="FE160">
        <v>6.495476190476325</v>
      </c>
      <c r="FF160">
        <v>0</v>
      </c>
      <c r="FG160">
        <v>0</v>
      </c>
      <c r="FH160">
        <v>0</v>
      </c>
      <c r="FI160">
        <v>0.05881499999999917</v>
      </c>
      <c r="FJ160">
        <v>0</v>
      </c>
      <c r="FK160">
        <v>0</v>
      </c>
      <c r="FL160">
        <v>0</v>
      </c>
      <c r="FM160">
        <v>-1</v>
      </c>
      <c r="FN160">
        <v>-1</v>
      </c>
      <c r="FO160">
        <v>-1</v>
      </c>
      <c r="FP160">
        <v>-1</v>
      </c>
      <c r="FQ160">
        <v>144.3</v>
      </c>
      <c r="FR160">
        <v>144.5</v>
      </c>
      <c r="FS160">
        <v>0.142822</v>
      </c>
      <c r="FT160">
        <v>4.99756</v>
      </c>
      <c r="FU160">
        <v>1.5979</v>
      </c>
      <c r="FV160">
        <v>2.12769</v>
      </c>
      <c r="FW160">
        <v>1.54785</v>
      </c>
      <c r="FX160">
        <v>2.46094</v>
      </c>
      <c r="FY160">
        <v>42.218</v>
      </c>
      <c r="FZ160">
        <v>15.4367</v>
      </c>
      <c r="GA160">
        <v>3</v>
      </c>
      <c r="GB160">
        <v>509.749</v>
      </c>
      <c r="GC160">
        <v>333.057</v>
      </c>
      <c r="GD160">
        <v>21.2392</v>
      </c>
      <c r="GE160">
        <v>32.9027</v>
      </c>
      <c r="GF160">
        <v>30.0007</v>
      </c>
      <c r="GG160">
        <v>32.7454</v>
      </c>
      <c r="GH160">
        <v>32.7282</v>
      </c>
      <c r="GI160">
        <v>-1</v>
      </c>
      <c r="GJ160">
        <v>100</v>
      </c>
      <c r="GK160">
        <v>0</v>
      </c>
      <c r="GL160">
        <v>21.2173</v>
      </c>
      <c r="GM160">
        <v>1200</v>
      </c>
      <c r="GN160">
        <v>26.7455</v>
      </c>
      <c r="GO160">
        <v>101.835</v>
      </c>
      <c r="GP160">
        <v>96.9038</v>
      </c>
    </row>
    <row r="161" spans="1:198">
      <c r="A161">
        <v>145</v>
      </c>
      <c r="B161">
        <v>1773277505</v>
      </c>
      <c r="C161">
        <v>8641.400000095367</v>
      </c>
      <c r="D161" t="s">
        <v>623</v>
      </c>
      <c r="E161" t="s">
        <v>624</v>
      </c>
      <c r="F161">
        <v>15</v>
      </c>
      <c r="G161">
        <v>1773277497</v>
      </c>
      <c r="H161">
        <f>(I161)/1000</f>
        <v>0</v>
      </c>
      <c r="I161">
        <f>1000*AY161*AG161*(AU161-AV161)/(100*AN161*(1000-AG161*AU161))</f>
        <v>0</v>
      </c>
      <c r="J161">
        <f>AY161*AG161*(AT161-AS161*(1000-AG161*AV161)/(1000-AG161*AU161))/(100*AN161)</f>
        <v>0</v>
      </c>
      <c r="K161">
        <f>AS161 - IF(AG161&gt;1, J161*AN161*100.0/(AI161), 0)</f>
        <v>0</v>
      </c>
      <c r="L161">
        <f>((R161-H161/2)*K161-J161)/(R161+H161/2)</f>
        <v>0</v>
      </c>
      <c r="M161">
        <f>L161*(AZ161+BA161)/1000.0</f>
        <v>0</v>
      </c>
      <c r="N161">
        <f>(AS161 - IF(AG161&gt;1, J161*AN161*100.0/(AI161), 0))*(AZ161+BA161)/1000.0</f>
        <v>0</v>
      </c>
      <c r="O161">
        <f>2.0/((1/Q161-1/P161)+SIGN(Q161)*SQRT((1/Q161-1/P161)*(1/Q161-1/P161) + 4*AO161/((AO161+1)*(AO161+1))*(2*1/Q161*1/P161-1/P161*1/P161)))</f>
        <v>0</v>
      </c>
      <c r="P161">
        <f>IF(LEFT(AP161,1)&lt;&gt;"0",IF(LEFT(AP161,1)="1",3.0,AQ161),$D$5+$E$5*(BG161*AZ161/($K$5*1000))+$F$5*(BG161*AZ161/($K$5*1000))*MAX(MIN(AN161,$J$5),$I$5)*MAX(MIN(AN161,$J$5),$I$5)+$G$5*MAX(MIN(AN161,$J$5),$I$5)*(BG161*AZ161/($K$5*1000))+$H$5*(BG161*AZ161/($K$5*1000))*(BG161*AZ161/($K$5*1000)))</f>
        <v>0</v>
      </c>
      <c r="Q161">
        <f>H161*(1000-(1000*0.61365*exp(17.502*U161/(240.97+U161))/(AZ161+BA161)+AU161)/2)/(1000*0.61365*exp(17.502*U161/(240.97+U161))/(AZ161+BA161)-AU161)</f>
        <v>0</v>
      </c>
      <c r="R161">
        <f>1/((AO161+1)/(O161/1.6)+1/(P161/1.37)) + AO161/((AO161+1)/(O161/1.6) + AO161/(P161/1.37))</f>
        <v>0</v>
      </c>
      <c r="S161">
        <f>(AJ161*AM161)</f>
        <v>0</v>
      </c>
      <c r="T161">
        <f>(BB161+(S161+2*0.95*5.67E-8*(((BB161+$B$7)+273)^4-(BB161+273)^4)-44100*H161)/(1.84*29.3*P161+8*0.95*5.67E-8*(BB161+273)^3))</f>
        <v>0</v>
      </c>
      <c r="U161">
        <f>($C$7*BC161+$D$7*BD161+$E$7*T161)</f>
        <v>0</v>
      </c>
      <c r="V161">
        <f>0.61365*exp(17.502*U161/(240.97+U161))</f>
        <v>0</v>
      </c>
      <c r="W161">
        <f>(X161/Y161*100)</f>
        <v>0</v>
      </c>
      <c r="X161">
        <f>AU161*(AZ161+BA161)/1000</f>
        <v>0</v>
      </c>
      <c r="Y161">
        <f>0.61365*exp(17.502*BB161/(240.97+BB161))</f>
        <v>0</v>
      </c>
      <c r="Z161">
        <f>(V161-AU161*(AZ161+BA161)/1000)</f>
        <v>0</v>
      </c>
      <c r="AA161">
        <f>(-H161*44100)</f>
        <v>0</v>
      </c>
      <c r="AB161">
        <f>2*29.3*P161*0.92*(BB161-U161)</f>
        <v>0</v>
      </c>
      <c r="AC161">
        <f>2*0.95*5.67E-8*(((BB161+$B$7)+273)^4-(U161+273)^4)</f>
        <v>0</v>
      </c>
      <c r="AD161">
        <f>S161+AC161+AA161+AB161</f>
        <v>0</v>
      </c>
      <c r="AE161">
        <v>0</v>
      </c>
      <c r="AF161">
        <v>0</v>
      </c>
      <c r="AG161">
        <f>IF(AE161*$H$13&gt;=AI161,1.0,(AI161/(AI161-AE161*$H$13)))</f>
        <v>0</v>
      </c>
      <c r="AH161">
        <f>(AG161-1)*100</f>
        <v>0</v>
      </c>
      <c r="AI161">
        <f>MAX(0,($B$13+$C$13*BG161)/(1+$D$13*BG161)*AZ161/(BB161+273)*$E$13)</f>
        <v>0</v>
      </c>
      <c r="AJ161">
        <f>$B$11*BH161+$C$11*BI161+$D$11*BT161</f>
        <v>0</v>
      </c>
      <c r="AK161">
        <f>AJ161*AL161</f>
        <v>0</v>
      </c>
      <c r="AL161">
        <f>($B$11*$D$9+$C$11*$D$9+$D$11*(BU161*$E$9+BV161*$G$9))/($B$11+$C$11+$D$11)</f>
        <v>0</v>
      </c>
      <c r="AM161">
        <f>($B$11*$K$9+$C$11*$K$9+$D$11*(BU161*$L$9+BV161*$N$9))/($B$11+$C$11+$D$11)</f>
        <v>0</v>
      </c>
      <c r="AN161">
        <v>3</v>
      </c>
      <c r="AO161">
        <v>0.5</v>
      </c>
      <c r="AP161" t="s">
        <v>331</v>
      </c>
      <c r="AQ161">
        <v>2</v>
      </c>
      <c r="AR161">
        <v>1773277497</v>
      </c>
      <c r="AS161">
        <v>447.656870967742</v>
      </c>
      <c r="AT161">
        <v>446.0339677419354</v>
      </c>
      <c r="AU161">
        <v>14.98619677419355</v>
      </c>
      <c r="AV161">
        <v>13.94020322580645</v>
      </c>
      <c r="AW161">
        <v>441.1612903225807</v>
      </c>
      <c r="AX161">
        <v>14.92737096774193</v>
      </c>
      <c r="AY161">
        <v>500.0389677419355</v>
      </c>
      <c r="AZ161">
        <v>100.3478387096774</v>
      </c>
      <c r="BA161">
        <v>0.03955015161290323</v>
      </c>
      <c r="BB161">
        <v>25.00452903225807</v>
      </c>
      <c r="BC161">
        <v>25.38412580645161</v>
      </c>
      <c r="BD161">
        <v>999.9000000000003</v>
      </c>
      <c r="BE161">
        <v>0</v>
      </c>
      <c r="BF161">
        <v>0</v>
      </c>
      <c r="BG161">
        <v>4999.387096774193</v>
      </c>
      <c r="BH161">
        <v>1.878428709677419</v>
      </c>
      <c r="BI161">
        <v>1389.275483870968</v>
      </c>
      <c r="BJ161">
        <v>1.622883548387097</v>
      </c>
      <c r="BK161">
        <v>454.4674838709677</v>
      </c>
      <c r="BL161">
        <v>452.3396774193549</v>
      </c>
      <c r="BM161">
        <v>1.046001612903226</v>
      </c>
      <c r="BN161">
        <v>446.0339677419354</v>
      </c>
      <c r="BO161">
        <v>13.94020322580645</v>
      </c>
      <c r="BP161">
        <v>1.503831612903226</v>
      </c>
      <c r="BQ161">
        <v>1.398868387096774</v>
      </c>
      <c r="BR161">
        <v>13.00717741935484</v>
      </c>
      <c r="BS161">
        <v>11.90536129032258</v>
      </c>
      <c r="BT161">
        <v>0</v>
      </c>
      <c r="BU161">
        <v>0</v>
      </c>
      <c r="BV161">
        <v>0</v>
      </c>
      <c r="BW161">
        <v>31</v>
      </c>
      <c r="BX161">
        <v>44.04622258064516</v>
      </c>
      <c r="BY161">
        <v>1773268786.6</v>
      </c>
      <c r="BZ161" t="s">
        <v>332</v>
      </c>
      <c r="CA161">
        <v>1773268786.6</v>
      </c>
      <c r="CB161">
        <v>1773268774.1</v>
      </c>
      <c r="CC161">
        <v>2</v>
      </c>
      <c r="CD161">
        <v>0.264</v>
      </c>
      <c r="CE161">
        <v>-0.024</v>
      </c>
      <c r="CF161">
        <v>6.495</v>
      </c>
      <c r="CG161">
        <v>0.059</v>
      </c>
      <c r="CH161">
        <v>488</v>
      </c>
      <c r="CI161">
        <v>25</v>
      </c>
      <c r="CJ161">
        <v>0.48</v>
      </c>
      <c r="CK161">
        <v>0.14</v>
      </c>
      <c r="CL161">
        <v>446.0339677419354</v>
      </c>
      <c r="CM161">
        <v>3.440612903223556</v>
      </c>
      <c r="CN161">
        <v>0.262295017830631</v>
      </c>
      <c r="CO161">
        <v>-1</v>
      </c>
      <c r="CP161">
        <v>500.0389677419355</v>
      </c>
      <c r="CQ161">
        <v>0.1530967741930695</v>
      </c>
      <c r="CR161">
        <v>0.06373710312099051</v>
      </c>
      <c r="CS161">
        <v>-1</v>
      </c>
      <c r="CT161">
        <v>0</v>
      </c>
      <c r="CU161">
        <v>0</v>
      </c>
      <c r="CV161" t="s">
        <v>333</v>
      </c>
      <c r="CW161">
        <v>3.17125</v>
      </c>
      <c r="CX161">
        <v>2.66043</v>
      </c>
      <c r="CY161">
        <v>0.105099</v>
      </c>
      <c r="CZ161">
        <v>0.106055</v>
      </c>
      <c r="DA161">
        <v>0.0805304</v>
      </c>
      <c r="DB161">
        <v>0.07622130000000001</v>
      </c>
      <c r="DC161">
        <v>21373.4</v>
      </c>
      <c r="DD161">
        <v>21912.8</v>
      </c>
      <c r="DE161">
        <v>23006.6</v>
      </c>
      <c r="DF161">
        <v>22428.4</v>
      </c>
      <c r="DG161">
        <v>31975.2</v>
      </c>
      <c r="DH161">
        <v>29206.9</v>
      </c>
      <c r="DI161">
        <v>40462.6</v>
      </c>
      <c r="DJ161">
        <v>37111</v>
      </c>
      <c r="DK161">
        <v>2.06864</v>
      </c>
      <c r="DL161">
        <v>1.6317</v>
      </c>
      <c r="DM161">
        <v>-0.144315</v>
      </c>
      <c r="DN161">
        <v>0</v>
      </c>
      <c r="DO161">
        <v>27.733</v>
      </c>
      <c r="DP161">
        <v>999.9</v>
      </c>
      <c r="DQ161">
        <v>40.1</v>
      </c>
      <c r="DR161">
        <v>37</v>
      </c>
      <c r="DS161">
        <v>25.1948</v>
      </c>
      <c r="DT161">
        <v>30.3965</v>
      </c>
      <c r="DU161">
        <v>12.8526</v>
      </c>
      <c r="DV161">
        <v>1</v>
      </c>
      <c r="DW161">
        <v>0.479325</v>
      </c>
      <c r="DX161">
        <v>4.67206</v>
      </c>
      <c r="DY161">
        <v>20.286</v>
      </c>
      <c r="DZ161">
        <v>5.2101</v>
      </c>
      <c r="EA161">
        <v>11.8542</v>
      </c>
      <c r="EB161">
        <v>4.96768</v>
      </c>
      <c r="EC161">
        <v>3.29208</v>
      </c>
      <c r="ED161">
        <v>879.4</v>
      </c>
      <c r="EE161">
        <v>9999</v>
      </c>
      <c r="EF161">
        <v>9999</v>
      </c>
      <c r="EG161">
        <v>82.5</v>
      </c>
      <c r="EH161">
        <v>4.97154</v>
      </c>
      <c r="EI161">
        <v>1.87198</v>
      </c>
      <c r="EJ161">
        <v>1.86927</v>
      </c>
      <c r="EK161">
        <v>1.87164</v>
      </c>
      <c r="EL161">
        <v>1.86937</v>
      </c>
      <c r="EM161">
        <v>1.86829</v>
      </c>
      <c r="EN161">
        <v>1.87012</v>
      </c>
      <c r="EO161">
        <v>1.87184</v>
      </c>
      <c r="EP161">
        <v>0</v>
      </c>
      <c r="EQ161">
        <v>0</v>
      </c>
      <c r="ER161">
        <v>0</v>
      </c>
      <c r="ES161">
        <v>0</v>
      </c>
      <c r="ET161" t="s">
        <v>334</v>
      </c>
      <c r="EU161" t="s">
        <v>335</v>
      </c>
      <c r="EV161" t="s">
        <v>336</v>
      </c>
      <c r="EW161" t="s">
        <v>336</v>
      </c>
      <c r="EX161" t="s">
        <v>336</v>
      </c>
      <c r="EY161" t="s">
        <v>336</v>
      </c>
      <c r="EZ161">
        <v>0</v>
      </c>
      <c r="FA161">
        <v>100</v>
      </c>
      <c r="FB161">
        <v>100</v>
      </c>
      <c r="FC161">
        <v>6.496</v>
      </c>
      <c r="FD161">
        <v>0.0588</v>
      </c>
      <c r="FE161">
        <v>6.495476190476325</v>
      </c>
      <c r="FF161">
        <v>0</v>
      </c>
      <c r="FG161">
        <v>0</v>
      </c>
      <c r="FH161">
        <v>0</v>
      </c>
      <c r="FI161">
        <v>0.05881499999999917</v>
      </c>
      <c r="FJ161">
        <v>0</v>
      </c>
      <c r="FK161">
        <v>0</v>
      </c>
      <c r="FL161">
        <v>0</v>
      </c>
      <c r="FM161">
        <v>-1</v>
      </c>
      <c r="FN161">
        <v>-1</v>
      </c>
      <c r="FO161">
        <v>-1</v>
      </c>
      <c r="FP161">
        <v>-1</v>
      </c>
      <c r="FQ161">
        <v>145.3</v>
      </c>
      <c r="FR161">
        <v>145.5</v>
      </c>
      <c r="FS161">
        <v>0.142822</v>
      </c>
      <c r="FT161">
        <v>4.99756</v>
      </c>
      <c r="FU161">
        <v>1.5979</v>
      </c>
      <c r="FV161">
        <v>2.12646</v>
      </c>
      <c r="FW161">
        <v>1.54785</v>
      </c>
      <c r="FX161">
        <v>2.38159</v>
      </c>
      <c r="FY161">
        <v>42.2975</v>
      </c>
      <c r="FZ161">
        <v>15.4542</v>
      </c>
      <c r="GA161">
        <v>3</v>
      </c>
      <c r="GB161">
        <v>509.93</v>
      </c>
      <c r="GC161">
        <v>332.637</v>
      </c>
      <c r="GD161">
        <v>20.9426</v>
      </c>
      <c r="GE161">
        <v>32.9672</v>
      </c>
      <c r="GF161">
        <v>30.0004</v>
      </c>
      <c r="GG161">
        <v>32.8095</v>
      </c>
      <c r="GH161">
        <v>32.7896</v>
      </c>
      <c r="GI161">
        <v>-1</v>
      </c>
      <c r="GJ161">
        <v>100</v>
      </c>
      <c r="GK161">
        <v>0</v>
      </c>
      <c r="GL161">
        <v>21.3409</v>
      </c>
      <c r="GM161">
        <v>1200</v>
      </c>
      <c r="GN161">
        <v>26.7455</v>
      </c>
      <c r="GO161">
        <v>101.824</v>
      </c>
      <c r="GP161">
        <v>96.8939</v>
      </c>
    </row>
    <row r="162" spans="1:198">
      <c r="A162">
        <v>146</v>
      </c>
      <c r="B162">
        <v>1773277565</v>
      </c>
      <c r="C162">
        <v>8701.400000095367</v>
      </c>
      <c r="D162" t="s">
        <v>625</v>
      </c>
      <c r="E162" t="s">
        <v>626</v>
      </c>
      <c r="F162">
        <v>15</v>
      </c>
      <c r="G162">
        <v>1773277557</v>
      </c>
      <c r="H162">
        <f>(I162)/1000</f>
        <v>0</v>
      </c>
      <c r="I162">
        <f>1000*AY162*AG162*(AU162-AV162)/(100*AN162*(1000-AG162*AU162))</f>
        <v>0</v>
      </c>
      <c r="J162">
        <f>AY162*AG162*(AT162-AS162*(1000-AG162*AV162)/(1000-AG162*AU162))/(100*AN162)</f>
        <v>0</v>
      </c>
      <c r="K162">
        <f>AS162 - IF(AG162&gt;1, J162*AN162*100.0/(AI162), 0)</f>
        <v>0</v>
      </c>
      <c r="L162">
        <f>((R162-H162/2)*K162-J162)/(R162+H162/2)</f>
        <v>0</v>
      </c>
      <c r="M162">
        <f>L162*(AZ162+BA162)/1000.0</f>
        <v>0</v>
      </c>
      <c r="N162">
        <f>(AS162 - IF(AG162&gt;1, J162*AN162*100.0/(AI162), 0))*(AZ162+BA162)/1000.0</f>
        <v>0</v>
      </c>
      <c r="O162">
        <f>2.0/((1/Q162-1/P162)+SIGN(Q162)*SQRT((1/Q162-1/P162)*(1/Q162-1/P162) + 4*AO162/((AO162+1)*(AO162+1))*(2*1/Q162*1/P162-1/P162*1/P162)))</f>
        <v>0</v>
      </c>
      <c r="P162">
        <f>IF(LEFT(AP162,1)&lt;&gt;"0",IF(LEFT(AP162,1)="1",3.0,AQ162),$D$5+$E$5*(BG162*AZ162/($K$5*1000))+$F$5*(BG162*AZ162/($K$5*1000))*MAX(MIN(AN162,$J$5),$I$5)*MAX(MIN(AN162,$J$5),$I$5)+$G$5*MAX(MIN(AN162,$J$5),$I$5)*(BG162*AZ162/($K$5*1000))+$H$5*(BG162*AZ162/($K$5*1000))*(BG162*AZ162/($K$5*1000)))</f>
        <v>0</v>
      </c>
      <c r="Q162">
        <f>H162*(1000-(1000*0.61365*exp(17.502*U162/(240.97+U162))/(AZ162+BA162)+AU162)/2)/(1000*0.61365*exp(17.502*U162/(240.97+U162))/(AZ162+BA162)-AU162)</f>
        <v>0</v>
      </c>
      <c r="R162">
        <f>1/((AO162+1)/(O162/1.6)+1/(P162/1.37)) + AO162/((AO162+1)/(O162/1.6) + AO162/(P162/1.37))</f>
        <v>0</v>
      </c>
      <c r="S162">
        <f>(AJ162*AM162)</f>
        <v>0</v>
      </c>
      <c r="T162">
        <f>(BB162+(S162+2*0.95*5.67E-8*(((BB162+$B$7)+273)^4-(BB162+273)^4)-44100*H162)/(1.84*29.3*P162+8*0.95*5.67E-8*(BB162+273)^3))</f>
        <v>0</v>
      </c>
      <c r="U162">
        <f>($C$7*BC162+$D$7*BD162+$E$7*T162)</f>
        <v>0</v>
      </c>
      <c r="V162">
        <f>0.61365*exp(17.502*U162/(240.97+U162))</f>
        <v>0</v>
      </c>
      <c r="W162">
        <f>(X162/Y162*100)</f>
        <v>0</v>
      </c>
      <c r="X162">
        <f>AU162*(AZ162+BA162)/1000</f>
        <v>0</v>
      </c>
      <c r="Y162">
        <f>0.61365*exp(17.502*BB162/(240.97+BB162))</f>
        <v>0</v>
      </c>
      <c r="Z162">
        <f>(V162-AU162*(AZ162+BA162)/1000)</f>
        <v>0</v>
      </c>
      <c r="AA162">
        <f>(-H162*44100)</f>
        <v>0</v>
      </c>
      <c r="AB162">
        <f>2*29.3*P162*0.92*(BB162-U162)</f>
        <v>0</v>
      </c>
      <c r="AC162">
        <f>2*0.95*5.67E-8*(((BB162+$B$7)+273)^4-(U162+273)^4)</f>
        <v>0</v>
      </c>
      <c r="AD162">
        <f>S162+AC162+AA162+AB162</f>
        <v>0</v>
      </c>
      <c r="AE162">
        <v>0</v>
      </c>
      <c r="AF162">
        <v>0</v>
      </c>
      <c r="AG162">
        <f>IF(AE162*$H$13&gt;=AI162,1.0,(AI162/(AI162-AE162*$H$13)))</f>
        <v>0</v>
      </c>
      <c r="AH162">
        <f>(AG162-1)*100</f>
        <v>0</v>
      </c>
      <c r="AI162">
        <f>MAX(0,($B$13+$C$13*BG162)/(1+$D$13*BG162)*AZ162/(BB162+273)*$E$13)</f>
        <v>0</v>
      </c>
      <c r="AJ162">
        <f>$B$11*BH162+$C$11*BI162+$D$11*BT162</f>
        <v>0</v>
      </c>
      <c r="AK162">
        <f>AJ162*AL162</f>
        <v>0</v>
      </c>
      <c r="AL162">
        <f>($B$11*$D$9+$C$11*$D$9+$D$11*(BU162*$E$9+BV162*$G$9))/($B$11+$C$11+$D$11)</f>
        <v>0</v>
      </c>
      <c r="AM162">
        <f>($B$11*$K$9+$C$11*$K$9+$D$11*(BU162*$L$9+BV162*$N$9))/($B$11+$C$11+$D$11)</f>
        <v>0</v>
      </c>
      <c r="AN162">
        <v>3</v>
      </c>
      <c r="AO162">
        <v>0.5</v>
      </c>
      <c r="AP162" t="s">
        <v>331</v>
      </c>
      <c r="AQ162">
        <v>2</v>
      </c>
      <c r="AR162">
        <v>1773277557</v>
      </c>
      <c r="AS162">
        <v>447.1760322580646</v>
      </c>
      <c r="AT162">
        <v>444.8003870967743</v>
      </c>
      <c r="AU162">
        <v>14.99460322580645</v>
      </c>
      <c r="AV162">
        <v>13.90262903225807</v>
      </c>
      <c r="AW162">
        <v>440.6806129032258</v>
      </c>
      <c r="AX162">
        <v>14.93578387096774</v>
      </c>
      <c r="AY162">
        <v>499.9942580645161</v>
      </c>
      <c r="AZ162">
        <v>100.3507096774193</v>
      </c>
      <c r="BA162">
        <v>0.03892300967741936</v>
      </c>
      <c r="BB162">
        <v>25.02275483870968</v>
      </c>
      <c r="BC162">
        <v>25.40233548387097</v>
      </c>
      <c r="BD162">
        <v>999.9000000000003</v>
      </c>
      <c r="BE162">
        <v>0</v>
      </c>
      <c r="BF162">
        <v>0</v>
      </c>
      <c r="BG162">
        <v>4996.516129032259</v>
      </c>
      <c r="BH162">
        <v>1.874265161290323</v>
      </c>
      <c r="BI162">
        <v>1387.40064516129</v>
      </c>
      <c r="BJ162">
        <v>2.375698064516129</v>
      </c>
      <c r="BK162">
        <v>453.9834193548388</v>
      </c>
      <c r="BL162">
        <v>451.0714516129032</v>
      </c>
      <c r="BM162">
        <v>1.091965483870968</v>
      </c>
      <c r="BN162">
        <v>444.8003870967743</v>
      </c>
      <c r="BO162">
        <v>13.90262903225807</v>
      </c>
      <c r="BP162">
        <v>1.50471935483871</v>
      </c>
      <c r="BQ162">
        <v>1.395140322580645</v>
      </c>
      <c r="BR162">
        <v>13.0162064516129</v>
      </c>
      <c r="BS162">
        <v>11.86491612903226</v>
      </c>
      <c r="BT162">
        <v>0</v>
      </c>
      <c r="BU162">
        <v>0</v>
      </c>
      <c r="BV162">
        <v>0</v>
      </c>
      <c r="BW162">
        <v>31</v>
      </c>
      <c r="BX162">
        <v>44</v>
      </c>
      <c r="BY162">
        <v>1773268786.6</v>
      </c>
      <c r="BZ162" t="s">
        <v>332</v>
      </c>
      <c r="CA162">
        <v>1773268786.6</v>
      </c>
      <c r="CB162">
        <v>1773268774.1</v>
      </c>
      <c r="CC162">
        <v>2</v>
      </c>
      <c r="CD162">
        <v>0.264</v>
      </c>
      <c r="CE162">
        <v>-0.024</v>
      </c>
      <c r="CF162">
        <v>6.495</v>
      </c>
      <c r="CG162">
        <v>0.059</v>
      </c>
      <c r="CH162">
        <v>488</v>
      </c>
      <c r="CI162">
        <v>25</v>
      </c>
      <c r="CJ162">
        <v>0.48</v>
      </c>
      <c r="CK162">
        <v>0.14</v>
      </c>
      <c r="CL162">
        <v>444.8470967741936</v>
      </c>
      <c r="CM162">
        <v>-2.613290322581577</v>
      </c>
      <c r="CN162">
        <v>0.2290418126130671</v>
      </c>
      <c r="CO162">
        <v>-1</v>
      </c>
      <c r="CP162">
        <v>499.9980967741935</v>
      </c>
      <c r="CQ162">
        <v>-0.3404032258068841</v>
      </c>
      <c r="CR162">
        <v>0.07679312588469674</v>
      </c>
      <c r="CS162">
        <v>-1</v>
      </c>
      <c r="CT162">
        <v>0</v>
      </c>
      <c r="CU162">
        <v>0</v>
      </c>
      <c r="CV162" t="s">
        <v>333</v>
      </c>
      <c r="CW162">
        <v>3.17095</v>
      </c>
      <c r="CX162">
        <v>2.66098</v>
      </c>
      <c r="CY162">
        <v>0.104871</v>
      </c>
      <c r="CZ162">
        <v>0.105701</v>
      </c>
      <c r="DA162">
        <v>0.0805816</v>
      </c>
      <c r="DB162">
        <v>0.0760903</v>
      </c>
      <c r="DC162">
        <v>21375.9</v>
      </c>
      <c r="DD162">
        <v>21919.5</v>
      </c>
      <c r="DE162">
        <v>23003.8</v>
      </c>
      <c r="DF162">
        <v>22426.5</v>
      </c>
      <c r="DG162">
        <v>31969.7</v>
      </c>
      <c r="DH162">
        <v>29208.3</v>
      </c>
      <c r="DI162">
        <v>40457.9</v>
      </c>
      <c r="DJ162">
        <v>37107.7</v>
      </c>
      <c r="DK162">
        <v>2.06826</v>
      </c>
      <c r="DL162">
        <v>1.63088</v>
      </c>
      <c r="DM162">
        <v>-0.142771</v>
      </c>
      <c r="DN162">
        <v>0</v>
      </c>
      <c r="DO162">
        <v>27.7376</v>
      </c>
      <c r="DP162">
        <v>999.9</v>
      </c>
      <c r="DQ162">
        <v>39.9</v>
      </c>
      <c r="DR162">
        <v>37.1</v>
      </c>
      <c r="DS162">
        <v>25.2049</v>
      </c>
      <c r="DT162">
        <v>30.6365</v>
      </c>
      <c r="DU162">
        <v>13.2452</v>
      </c>
      <c r="DV162">
        <v>1</v>
      </c>
      <c r="DW162">
        <v>0.483301</v>
      </c>
      <c r="DX162">
        <v>4.91702</v>
      </c>
      <c r="DY162">
        <v>20.2802</v>
      </c>
      <c r="DZ162">
        <v>5.20974</v>
      </c>
      <c r="EA162">
        <v>11.8542</v>
      </c>
      <c r="EB162">
        <v>4.96772</v>
      </c>
      <c r="EC162">
        <v>3.29218</v>
      </c>
      <c r="ED162">
        <v>879.4</v>
      </c>
      <c r="EE162">
        <v>9999</v>
      </c>
      <c r="EF162">
        <v>9999</v>
      </c>
      <c r="EG162">
        <v>82.5</v>
      </c>
      <c r="EH162">
        <v>4.97151</v>
      </c>
      <c r="EI162">
        <v>1.87201</v>
      </c>
      <c r="EJ162">
        <v>1.86931</v>
      </c>
      <c r="EK162">
        <v>1.87164</v>
      </c>
      <c r="EL162">
        <v>1.86943</v>
      </c>
      <c r="EM162">
        <v>1.86829</v>
      </c>
      <c r="EN162">
        <v>1.87012</v>
      </c>
      <c r="EO162">
        <v>1.87189</v>
      </c>
      <c r="EP162">
        <v>0</v>
      </c>
      <c r="EQ162">
        <v>0</v>
      </c>
      <c r="ER162">
        <v>0</v>
      </c>
      <c r="ES162">
        <v>0</v>
      </c>
      <c r="ET162" t="s">
        <v>334</v>
      </c>
      <c r="EU162" t="s">
        <v>335</v>
      </c>
      <c r="EV162" t="s">
        <v>336</v>
      </c>
      <c r="EW162" t="s">
        <v>336</v>
      </c>
      <c r="EX162" t="s">
        <v>336</v>
      </c>
      <c r="EY162" t="s">
        <v>336</v>
      </c>
      <c r="EZ162">
        <v>0</v>
      </c>
      <c r="FA162">
        <v>100</v>
      </c>
      <c r="FB162">
        <v>100</v>
      </c>
      <c r="FC162">
        <v>6.495</v>
      </c>
      <c r="FD162">
        <v>0.0588</v>
      </c>
      <c r="FE162">
        <v>6.495476190476325</v>
      </c>
      <c r="FF162">
        <v>0</v>
      </c>
      <c r="FG162">
        <v>0</v>
      </c>
      <c r="FH162">
        <v>0</v>
      </c>
      <c r="FI162">
        <v>0.05881499999999917</v>
      </c>
      <c r="FJ162">
        <v>0</v>
      </c>
      <c r="FK162">
        <v>0</v>
      </c>
      <c r="FL162">
        <v>0</v>
      </c>
      <c r="FM162">
        <v>-1</v>
      </c>
      <c r="FN162">
        <v>-1</v>
      </c>
      <c r="FO162">
        <v>-1</v>
      </c>
      <c r="FP162">
        <v>-1</v>
      </c>
      <c r="FQ162">
        <v>146.3</v>
      </c>
      <c r="FR162">
        <v>146.5</v>
      </c>
      <c r="FS162">
        <v>0.142822</v>
      </c>
      <c r="FT162">
        <v>4.99756</v>
      </c>
      <c r="FU162">
        <v>1.5979</v>
      </c>
      <c r="FV162">
        <v>2.12646</v>
      </c>
      <c r="FW162">
        <v>1.54785</v>
      </c>
      <c r="FX162">
        <v>2.46338</v>
      </c>
      <c r="FY162">
        <v>42.3241</v>
      </c>
      <c r="FZ162">
        <v>15.4192</v>
      </c>
      <c r="GA162">
        <v>3</v>
      </c>
      <c r="GB162">
        <v>510.133</v>
      </c>
      <c r="GC162">
        <v>332.508</v>
      </c>
      <c r="GD162">
        <v>21.2455</v>
      </c>
      <c r="GE162">
        <v>33.0249</v>
      </c>
      <c r="GF162">
        <v>30.0006</v>
      </c>
      <c r="GG162">
        <v>32.867</v>
      </c>
      <c r="GH162">
        <v>32.8468</v>
      </c>
      <c r="GI162">
        <v>-1</v>
      </c>
      <c r="GJ162">
        <v>100</v>
      </c>
      <c r="GK162">
        <v>0</v>
      </c>
      <c r="GL162">
        <v>21.2206</v>
      </c>
      <c r="GM162">
        <v>1200</v>
      </c>
      <c r="GN162">
        <v>26.7455</v>
      </c>
      <c r="GO162">
        <v>101.812</v>
      </c>
      <c r="GP162">
        <v>96.88549999999999</v>
      </c>
    </row>
    <row r="163" spans="1:198">
      <c r="A163">
        <v>147</v>
      </c>
      <c r="B163">
        <v>1773277625</v>
      </c>
      <c r="C163">
        <v>8761.400000095367</v>
      </c>
      <c r="D163" t="s">
        <v>627</v>
      </c>
      <c r="E163" t="s">
        <v>628</v>
      </c>
      <c r="F163">
        <v>15</v>
      </c>
      <c r="G163">
        <v>1773277617</v>
      </c>
      <c r="H163">
        <f>(I163)/1000</f>
        <v>0</v>
      </c>
      <c r="I163">
        <f>1000*AY163*AG163*(AU163-AV163)/(100*AN163*(1000-AG163*AU163))</f>
        <v>0</v>
      </c>
      <c r="J163">
        <f>AY163*AG163*(AT163-AS163*(1000-AG163*AV163)/(1000-AG163*AU163))/(100*AN163)</f>
        <v>0</v>
      </c>
      <c r="K163">
        <f>AS163 - IF(AG163&gt;1, J163*AN163*100.0/(AI163), 0)</f>
        <v>0</v>
      </c>
      <c r="L163">
        <f>((R163-H163/2)*K163-J163)/(R163+H163/2)</f>
        <v>0</v>
      </c>
      <c r="M163">
        <f>L163*(AZ163+BA163)/1000.0</f>
        <v>0</v>
      </c>
      <c r="N163">
        <f>(AS163 - IF(AG163&gt;1, J163*AN163*100.0/(AI163), 0))*(AZ163+BA163)/1000.0</f>
        <v>0</v>
      </c>
      <c r="O163">
        <f>2.0/((1/Q163-1/P163)+SIGN(Q163)*SQRT((1/Q163-1/P163)*(1/Q163-1/P163) + 4*AO163/((AO163+1)*(AO163+1))*(2*1/Q163*1/P163-1/P163*1/P163)))</f>
        <v>0</v>
      </c>
      <c r="P163">
        <f>IF(LEFT(AP163,1)&lt;&gt;"0",IF(LEFT(AP163,1)="1",3.0,AQ163),$D$5+$E$5*(BG163*AZ163/($K$5*1000))+$F$5*(BG163*AZ163/($K$5*1000))*MAX(MIN(AN163,$J$5),$I$5)*MAX(MIN(AN163,$J$5),$I$5)+$G$5*MAX(MIN(AN163,$J$5),$I$5)*(BG163*AZ163/($K$5*1000))+$H$5*(BG163*AZ163/($K$5*1000))*(BG163*AZ163/($K$5*1000)))</f>
        <v>0</v>
      </c>
      <c r="Q163">
        <f>H163*(1000-(1000*0.61365*exp(17.502*U163/(240.97+U163))/(AZ163+BA163)+AU163)/2)/(1000*0.61365*exp(17.502*U163/(240.97+U163))/(AZ163+BA163)-AU163)</f>
        <v>0</v>
      </c>
      <c r="R163">
        <f>1/((AO163+1)/(O163/1.6)+1/(P163/1.37)) + AO163/((AO163+1)/(O163/1.6) + AO163/(P163/1.37))</f>
        <v>0</v>
      </c>
      <c r="S163">
        <f>(AJ163*AM163)</f>
        <v>0</v>
      </c>
      <c r="T163">
        <f>(BB163+(S163+2*0.95*5.67E-8*(((BB163+$B$7)+273)^4-(BB163+273)^4)-44100*H163)/(1.84*29.3*P163+8*0.95*5.67E-8*(BB163+273)^3))</f>
        <v>0</v>
      </c>
      <c r="U163">
        <f>($C$7*BC163+$D$7*BD163+$E$7*T163)</f>
        <v>0</v>
      </c>
      <c r="V163">
        <f>0.61365*exp(17.502*U163/(240.97+U163))</f>
        <v>0</v>
      </c>
      <c r="W163">
        <f>(X163/Y163*100)</f>
        <v>0</v>
      </c>
      <c r="X163">
        <f>AU163*(AZ163+BA163)/1000</f>
        <v>0</v>
      </c>
      <c r="Y163">
        <f>0.61365*exp(17.502*BB163/(240.97+BB163))</f>
        <v>0</v>
      </c>
      <c r="Z163">
        <f>(V163-AU163*(AZ163+BA163)/1000)</f>
        <v>0</v>
      </c>
      <c r="AA163">
        <f>(-H163*44100)</f>
        <v>0</v>
      </c>
      <c r="AB163">
        <f>2*29.3*P163*0.92*(BB163-U163)</f>
        <v>0</v>
      </c>
      <c r="AC163">
        <f>2*0.95*5.67E-8*(((BB163+$B$7)+273)^4-(U163+273)^4)</f>
        <v>0</v>
      </c>
      <c r="AD163">
        <f>S163+AC163+AA163+AB163</f>
        <v>0</v>
      </c>
      <c r="AE163">
        <v>0</v>
      </c>
      <c r="AF163">
        <v>0</v>
      </c>
      <c r="AG163">
        <f>IF(AE163*$H$13&gt;=AI163,1.0,(AI163/(AI163-AE163*$H$13)))</f>
        <v>0</v>
      </c>
      <c r="AH163">
        <f>(AG163-1)*100</f>
        <v>0</v>
      </c>
      <c r="AI163">
        <f>MAX(0,($B$13+$C$13*BG163)/(1+$D$13*BG163)*AZ163/(BB163+273)*$E$13)</f>
        <v>0</v>
      </c>
      <c r="AJ163">
        <f>$B$11*BH163+$C$11*BI163+$D$11*BT163</f>
        <v>0</v>
      </c>
      <c r="AK163">
        <f>AJ163*AL163</f>
        <v>0</v>
      </c>
      <c r="AL163">
        <f>($B$11*$D$9+$C$11*$D$9+$D$11*(BU163*$E$9+BV163*$G$9))/($B$11+$C$11+$D$11)</f>
        <v>0</v>
      </c>
      <c r="AM163">
        <f>($B$11*$K$9+$C$11*$K$9+$D$11*(BU163*$L$9+BV163*$N$9))/($B$11+$C$11+$D$11)</f>
        <v>0</v>
      </c>
      <c r="AN163">
        <v>3</v>
      </c>
      <c r="AO163">
        <v>0.5</v>
      </c>
      <c r="AP163" t="s">
        <v>331</v>
      </c>
      <c r="AQ163">
        <v>2</v>
      </c>
      <c r="AR163">
        <v>1773277617</v>
      </c>
      <c r="AS163">
        <v>447.0883225806451</v>
      </c>
      <c r="AT163">
        <v>445.2064193548387</v>
      </c>
      <c r="AU163">
        <v>15.02480967741935</v>
      </c>
      <c r="AV163">
        <v>13.87541290322581</v>
      </c>
      <c r="AW163">
        <v>440.5927096774194</v>
      </c>
      <c r="AX163">
        <v>14.96599677419355</v>
      </c>
      <c r="AY163">
        <v>500.0472580645161</v>
      </c>
      <c r="AZ163">
        <v>100.3506774193548</v>
      </c>
      <c r="BA163">
        <v>0.03914448387096775</v>
      </c>
      <c r="BB163">
        <v>25.0332</v>
      </c>
      <c r="BC163">
        <v>25.38210322580645</v>
      </c>
      <c r="BD163">
        <v>999.9000000000003</v>
      </c>
      <c r="BE163">
        <v>0</v>
      </c>
      <c r="BF163">
        <v>0</v>
      </c>
      <c r="BG163">
        <v>5000.322580645161</v>
      </c>
      <c r="BH163">
        <v>1.795044193548387</v>
      </c>
      <c r="BI163">
        <v>1362.321612903226</v>
      </c>
      <c r="BJ163">
        <v>1.881912903225806</v>
      </c>
      <c r="BK163">
        <v>453.908193548387</v>
      </c>
      <c r="BL163">
        <v>451.4707741935485</v>
      </c>
      <c r="BM163">
        <v>1.149402580645161</v>
      </c>
      <c r="BN163">
        <v>445.2064193548387</v>
      </c>
      <c r="BO163">
        <v>13.87541290322581</v>
      </c>
      <c r="BP163">
        <v>1.507750322580645</v>
      </c>
      <c r="BQ163">
        <v>1.392405161290322</v>
      </c>
      <c r="BR163">
        <v>13.04698387096774</v>
      </c>
      <c r="BS163">
        <v>11.83518709677419</v>
      </c>
      <c r="BT163">
        <v>0</v>
      </c>
      <c r="BU163">
        <v>0</v>
      </c>
      <c r="BV163">
        <v>0</v>
      </c>
      <c r="BW163">
        <v>31</v>
      </c>
      <c r="BX163">
        <v>43.05913870967741</v>
      </c>
      <c r="BY163">
        <v>1773268786.6</v>
      </c>
      <c r="BZ163" t="s">
        <v>332</v>
      </c>
      <c r="CA163">
        <v>1773268786.6</v>
      </c>
      <c r="CB163">
        <v>1773268774.1</v>
      </c>
      <c r="CC163">
        <v>2</v>
      </c>
      <c r="CD163">
        <v>0.264</v>
      </c>
      <c r="CE163">
        <v>-0.024</v>
      </c>
      <c r="CF163">
        <v>6.495</v>
      </c>
      <c r="CG163">
        <v>0.059</v>
      </c>
      <c r="CH163">
        <v>488</v>
      </c>
      <c r="CI163">
        <v>25</v>
      </c>
      <c r="CJ163">
        <v>0.48</v>
      </c>
      <c r="CK163">
        <v>0.14</v>
      </c>
      <c r="CL163">
        <v>445.2064193548387</v>
      </c>
      <c r="CM163">
        <v>0.115983870966791</v>
      </c>
      <c r="CN163">
        <v>0.03069493411344539</v>
      </c>
      <c r="CO163">
        <v>-1</v>
      </c>
      <c r="CP163">
        <v>500.0472580645161</v>
      </c>
      <c r="CQ163">
        <v>-0.0411774193552037</v>
      </c>
      <c r="CR163">
        <v>0.07643971596558145</v>
      </c>
      <c r="CS163">
        <v>-1</v>
      </c>
      <c r="CT163">
        <v>0</v>
      </c>
      <c r="CU163">
        <v>0</v>
      </c>
      <c r="CV163" t="s">
        <v>333</v>
      </c>
      <c r="CW163">
        <v>3.17107</v>
      </c>
      <c r="CX163">
        <v>2.66056</v>
      </c>
      <c r="CY163">
        <v>0.104904</v>
      </c>
      <c r="CZ163">
        <v>0.105806</v>
      </c>
      <c r="DA163">
        <v>0.0806849</v>
      </c>
      <c r="DB163">
        <v>0.07595300000000001</v>
      </c>
      <c r="DC163">
        <v>21372.9</v>
      </c>
      <c r="DD163">
        <v>21915.3</v>
      </c>
      <c r="DE163">
        <v>23001.5</v>
      </c>
      <c r="DF163">
        <v>22425</v>
      </c>
      <c r="DG163">
        <v>31963.2</v>
      </c>
      <c r="DH163">
        <v>29210.5</v>
      </c>
      <c r="DI163">
        <v>40454.3</v>
      </c>
      <c r="DJ163">
        <v>37105.1</v>
      </c>
      <c r="DK163">
        <v>2.06772</v>
      </c>
      <c r="DL163">
        <v>1.63006</v>
      </c>
      <c r="DM163">
        <v>-0.146502</v>
      </c>
      <c r="DN163">
        <v>0</v>
      </c>
      <c r="DO163">
        <v>27.7459</v>
      </c>
      <c r="DP163">
        <v>999.9</v>
      </c>
      <c r="DQ163">
        <v>39.8</v>
      </c>
      <c r="DR163">
        <v>37.2</v>
      </c>
      <c r="DS163">
        <v>25.2796</v>
      </c>
      <c r="DT163">
        <v>30.7865</v>
      </c>
      <c r="DU163">
        <v>13.0449</v>
      </c>
      <c r="DV163">
        <v>1</v>
      </c>
      <c r="DW163">
        <v>0.492305</v>
      </c>
      <c r="DX163">
        <v>5.55519</v>
      </c>
      <c r="DY163">
        <v>20.2567</v>
      </c>
      <c r="DZ163">
        <v>5.20974</v>
      </c>
      <c r="EA163">
        <v>11.8542</v>
      </c>
      <c r="EB163">
        <v>4.9678</v>
      </c>
      <c r="EC163">
        <v>3.2922</v>
      </c>
      <c r="ED163">
        <v>879.4</v>
      </c>
      <c r="EE163">
        <v>9999</v>
      </c>
      <c r="EF163">
        <v>9999</v>
      </c>
      <c r="EG163">
        <v>82.5</v>
      </c>
      <c r="EH163">
        <v>4.9715</v>
      </c>
      <c r="EI163">
        <v>1.87197</v>
      </c>
      <c r="EJ163">
        <v>1.86928</v>
      </c>
      <c r="EK163">
        <v>1.87164</v>
      </c>
      <c r="EL163">
        <v>1.86937</v>
      </c>
      <c r="EM163">
        <v>1.86829</v>
      </c>
      <c r="EN163">
        <v>1.87011</v>
      </c>
      <c r="EO163">
        <v>1.87191</v>
      </c>
      <c r="EP163">
        <v>0</v>
      </c>
      <c r="EQ163">
        <v>0</v>
      </c>
      <c r="ER163">
        <v>0</v>
      </c>
      <c r="ES163">
        <v>0</v>
      </c>
      <c r="ET163" t="s">
        <v>334</v>
      </c>
      <c r="EU163" t="s">
        <v>335</v>
      </c>
      <c r="EV163" t="s">
        <v>336</v>
      </c>
      <c r="EW163" t="s">
        <v>336</v>
      </c>
      <c r="EX163" t="s">
        <v>336</v>
      </c>
      <c r="EY163" t="s">
        <v>336</v>
      </c>
      <c r="EZ163">
        <v>0</v>
      </c>
      <c r="FA163">
        <v>100</v>
      </c>
      <c r="FB163">
        <v>100</v>
      </c>
      <c r="FC163">
        <v>6.495</v>
      </c>
      <c r="FD163">
        <v>0.0588</v>
      </c>
      <c r="FE163">
        <v>6.495476190476325</v>
      </c>
      <c r="FF163">
        <v>0</v>
      </c>
      <c r="FG163">
        <v>0</v>
      </c>
      <c r="FH163">
        <v>0</v>
      </c>
      <c r="FI163">
        <v>0.05881499999999917</v>
      </c>
      <c r="FJ163">
        <v>0</v>
      </c>
      <c r="FK163">
        <v>0</v>
      </c>
      <c r="FL163">
        <v>0</v>
      </c>
      <c r="FM163">
        <v>-1</v>
      </c>
      <c r="FN163">
        <v>-1</v>
      </c>
      <c r="FO163">
        <v>-1</v>
      </c>
      <c r="FP163">
        <v>-1</v>
      </c>
      <c r="FQ163">
        <v>147.3</v>
      </c>
      <c r="FR163">
        <v>147.5</v>
      </c>
      <c r="FS163">
        <v>0.142822</v>
      </c>
      <c r="FT163">
        <v>4.99756</v>
      </c>
      <c r="FU163">
        <v>1.5979</v>
      </c>
      <c r="FV163">
        <v>2.12646</v>
      </c>
      <c r="FW163">
        <v>1.54785</v>
      </c>
      <c r="FX163">
        <v>2.43774</v>
      </c>
      <c r="FY163">
        <v>42.3506</v>
      </c>
      <c r="FZ163">
        <v>15.3929</v>
      </c>
      <c r="GA163">
        <v>3</v>
      </c>
      <c r="GB163">
        <v>510.198</v>
      </c>
      <c r="GC163">
        <v>332.35</v>
      </c>
      <c r="GD163">
        <v>20.7015</v>
      </c>
      <c r="GE163">
        <v>33.075</v>
      </c>
      <c r="GF163">
        <v>30.0002</v>
      </c>
      <c r="GG163">
        <v>32.9191</v>
      </c>
      <c r="GH163">
        <v>32.8981</v>
      </c>
      <c r="GI163">
        <v>-1</v>
      </c>
      <c r="GJ163">
        <v>100</v>
      </c>
      <c r="GK163">
        <v>0</v>
      </c>
      <c r="GL163">
        <v>20.6879</v>
      </c>
      <c r="GM163">
        <v>1200</v>
      </c>
      <c r="GN163">
        <v>26.7455</v>
      </c>
      <c r="GO163">
        <v>101.802</v>
      </c>
      <c r="GP163">
        <v>96.8788</v>
      </c>
    </row>
    <row r="164" spans="1:198">
      <c r="A164">
        <v>148</v>
      </c>
      <c r="B164">
        <v>1773277685</v>
      </c>
      <c r="C164">
        <v>8821.400000095367</v>
      </c>
      <c r="D164" t="s">
        <v>629</v>
      </c>
      <c r="E164" t="s">
        <v>630</v>
      </c>
      <c r="F164">
        <v>15</v>
      </c>
      <c r="G164">
        <v>1773277677</v>
      </c>
      <c r="H164">
        <f>(I164)/1000</f>
        <v>0</v>
      </c>
      <c r="I164">
        <f>1000*AY164*AG164*(AU164-AV164)/(100*AN164*(1000-AG164*AU164))</f>
        <v>0</v>
      </c>
      <c r="J164">
        <f>AY164*AG164*(AT164-AS164*(1000-AG164*AV164)/(1000-AG164*AU164))/(100*AN164)</f>
        <v>0</v>
      </c>
      <c r="K164">
        <f>AS164 - IF(AG164&gt;1, J164*AN164*100.0/(AI164), 0)</f>
        <v>0</v>
      </c>
      <c r="L164">
        <f>((R164-H164/2)*K164-J164)/(R164+H164/2)</f>
        <v>0</v>
      </c>
      <c r="M164">
        <f>L164*(AZ164+BA164)/1000.0</f>
        <v>0</v>
      </c>
      <c r="N164">
        <f>(AS164 - IF(AG164&gt;1, J164*AN164*100.0/(AI164), 0))*(AZ164+BA164)/1000.0</f>
        <v>0</v>
      </c>
      <c r="O164">
        <f>2.0/((1/Q164-1/P164)+SIGN(Q164)*SQRT((1/Q164-1/P164)*(1/Q164-1/P164) + 4*AO164/((AO164+1)*(AO164+1))*(2*1/Q164*1/P164-1/P164*1/P164)))</f>
        <v>0</v>
      </c>
      <c r="P164">
        <f>IF(LEFT(AP164,1)&lt;&gt;"0",IF(LEFT(AP164,1)="1",3.0,AQ164),$D$5+$E$5*(BG164*AZ164/($K$5*1000))+$F$5*(BG164*AZ164/($K$5*1000))*MAX(MIN(AN164,$J$5),$I$5)*MAX(MIN(AN164,$J$5),$I$5)+$G$5*MAX(MIN(AN164,$J$5),$I$5)*(BG164*AZ164/($K$5*1000))+$H$5*(BG164*AZ164/($K$5*1000))*(BG164*AZ164/($K$5*1000)))</f>
        <v>0</v>
      </c>
      <c r="Q164">
        <f>H164*(1000-(1000*0.61365*exp(17.502*U164/(240.97+U164))/(AZ164+BA164)+AU164)/2)/(1000*0.61365*exp(17.502*U164/(240.97+U164))/(AZ164+BA164)-AU164)</f>
        <v>0</v>
      </c>
      <c r="R164">
        <f>1/((AO164+1)/(O164/1.6)+1/(P164/1.37)) + AO164/((AO164+1)/(O164/1.6) + AO164/(P164/1.37))</f>
        <v>0</v>
      </c>
      <c r="S164">
        <f>(AJ164*AM164)</f>
        <v>0</v>
      </c>
      <c r="T164">
        <f>(BB164+(S164+2*0.95*5.67E-8*(((BB164+$B$7)+273)^4-(BB164+273)^4)-44100*H164)/(1.84*29.3*P164+8*0.95*5.67E-8*(BB164+273)^3))</f>
        <v>0</v>
      </c>
      <c r="U164">
        <f>($C$7*BC164+$D$7*BD164+$E$7*T164)</f>
        <v>0</v>
      </c>
      <c r="V164">
        <f>0.61365*exp(17.502*U164/(240.97+U164))</f>
        <v>0</v>
      </c>
      <c r="W164">
        <f>(X164/Y164*100)</f>
        <v>0</v>
      </c>
      <c r="X164">
        <f>AU164*(AZ164+BA164)/1000</f>
        <v>0</v>
      </c>
      <c r="Y164">
        <f>0.61365*exp(17.502*BB164/(240.97+BB164))</f>
        <v>0</v>
      </c>
      <c r="Z164">
        <f>(V164-AU164*(AZ164+BA164)/1000)</f>
        <v>0</v>
      </c>
      <c r="AA164">
        <f>(-H164*44100)</f>
        <v>0</v>
      </c>
      <c r="AB164">
        <f>2*29.3*P164*0.92*(BB164-U164)</f>
        <v>0</v>
      </c>
      <c r="AC164">
        <f>2*0.95*5.67E-8*(((BB164+$B$7)+273)^4-(U164+273)^4)</f>
        <v>0</v>
      </c>
      <c r="AD164">
        <f>S164+AC164+AA164+AB164</f>
        <v>0</v>
      </c>
      <c r="AE164">
        <v>0</v>
      </c>
      <c r="AF164">
        <v>0</v>
      </c>
      <c r="AG164">
        <f>IF(AE164*$H$13&gt;=AI164,1.0,(AI164/(AI164-AE164*$H$13)))</f>
        <v>0</v>
      </c>
      <c r="AH164">
        <f>(AG164-1)*100</f>
        <v>0</v>
      </c>
      <c r="AI164">
        <f>MAX(0,($B$13+$C$13*BG164)/(1+$D$13*BG164)*AZ164/(BB164+273)*$E$13)</f>
        <v>0</v>
      </c>
      <c r="AJ164">
        <f>$B$11*BH164+$C$11*BI164+$D$11*BT164</f>
        <v>0</v>
      </c>
      <c r="AK164">
        <f>AJ164*AL164</f>
        <v>0</v>
      </c>
      <c r="AL164">
        <f>($B$11*$D$9+$C$11*$D$9+$D$11*(BU164*$E$9+BV164*$G$9))/($B$11+$C$11+$D$11)</f>
        <v>0</v>
      </c>
      <c r="AM164">
        <f>($B$11*$K$9+$C$11*$K$9+$D$11*(BU164*$L$9+BV164*$N$9))/($B$11+$C$11+$D$11)</f>
        <v>0</v>
      </c>
      <c r="AN164">
        <v>3</v>
      </c>
      <c r="AO164">
        <v>0.5</v>
      </c>
      <c r="AP164" t="s">
        <v>331</v>
      </c>
      <c r="AQ164">
        <v>2</v>
      </c>
      <c r="AR164">
        <v>1773277677</v>
      </c>
      <c r="AS164">
        <v>446.8424193548387</v>
      </c>
      <c r="AT164">
        <v>445.1275483870967</v>
      </c>
      <c r="AU164">
        <v>15.06859032258065</v>
      </c>
      <c r="AV164">
        <v>13.86944193548387</v>
      </c>
      <c r="AW164">
        <v>440.3469032258066</v>
      </c>
      <c r="AX164">
        <v>15.00977741935484</v>
      </c>
      <c r="AY164">
        <v>500.0104193548389</v>
      </c>
      <c r="AZ164">
        <v>100.3526129032258</v>
      </c>
      <c r="BA164">
        <v>0.03923913225806452</v>
      </c>
      <c r="BB164">
        <v>24.98868064516129</v>
      </c>
      <c r="BC164">
        <v>25.34080322580645</v>
      </c>
      <c r="BD164">
        <v>999.9000000000003</v>
      </c>
      <c r="BE164">
        <v>0</v>
      </c>
      <c r="BF164">
        <v>0</v>
      </c>
      <c r="BG164">
        <v>4999.612903225807</v>
      </c>
      <c r="BH164">
        <v>1.803368387096774</v>
      </c>
      <c r="BI164">
        <v>1347.537419354839</v>
      </c>
      <c r="BJ164">
        <v>1.714848387096774</v>
      </c>
      <c r="BK164">
        <v>453.6787096774193</v>
      </c>
      <c r="BL164">
        <v>451.3880967741935</v>
      </c>
      <c r="BM164">
        <v>1.199140967741935</v>
      </c>
      <c r="BN164">
        <v>445.1275483870967</v>
      </c>
      <c r="BO164">
        <v>13.86944193548387</v>
      </c>
      <c r="BP164">
        <v>1.512173225806452</v>
      </c>
      <c r="BQ164">
        <v>1.391835161290323</v>
      </c>
      <c r="BR164">
        <v>13.09180322580645</v>
      </c>
      <c r="BS164">
        <v>11.82897096774194</v>
      </c>
      <c r="BT164">
        <v>0</v>
      </c>
      <c r="BU164">
        <v>0</v>
      </c>
      <c r="BV164">
        <v>0</v>
      </c>
      <c r="BW164">
        <v>31</v>
      </c>
      <c r="BX164">
        <v>43</v>
      </c>
      <c r="BY164">
        <v>1773268786.6</v>
      </c>
      <c r="BZ164" t="s">
        <v>332</v>
      </c>
      <c r="CA164">
        <v>1773268786.6</v>
      </c>
      <c r="CB164">
        <v>1773268774.1</v>
      </c>
      <c r="CC164">
        <v>2</v>
      </c>
      <c r="CD164">
        <v>0.264</v>
      </c>
      <c r="CE164">
        <v>-0.024</v>
      </c>
      <c r="CF164">
        <v>6.495</v>
      </c>
      <c r="CG164">
        <v>0.059</v>
      </c>
      <c r="CH164">
        <v>488</v>
      </c>
      <c r="CI164">
        <v>25</v>
      </c>
      <c r="CJ164">
        <v>0.48</v>
      </c>
      <c r="CK164">
        <v>0.14</v>
      </c>
      <c r="CL164">
        <v>445.1077096774193</v>
      </c>
      <c r="CM164">
        <v>2.330709677419125</v>
      </c>
      <c r="CN164">
        <v>0.1870220262253732</v>
      </c>
      <c r="CO164">
        <v>-1</v>
      </c>
      <c r="CP164">
        <v>500.018677419355</v>
      </c>
      <c r="CQ164">
        <v>-0.3581129032271755</v>
      </c>
      <c r="CR164">
        <v>0.05616817322703745</v>
      </c>
      <c r="CS164">
        <v>-1</v>
      </c>
      <c r="CT164">
        <v>0</v>
      </c>
      <c r="CU164">
        <v>0</v>
      </c>
      <c r="CV164" t="s">
        <v>333</v>
      </c>
      <c r="CW164">
        <v>3.17115</v>
      </c>
      <c r="CX164">
        <v>2.66032</v>
      </c>
      <c r="CY164">
        <v>0.104881</v>
      </c>
      <c r="CZ164">
        <v>0.105765</v>
      </c>
      <c r="DA164">
        <v>0.08086989999999999</v>
      </c>
      <c r="DB164">
        <v>0.07595440000000001</v>
      </c>
      <c r="DC164">
        <v>21371.4</v>
      </c>
      <c r="DD164">
        <v>21915.1</v>
      </c>
      <c r="DE164">
        <v>22999.6</v>
      </c>
      <c r="DF164">
        <v>22423.9</v>
      </c>
      <c r="DG164">
        <v>31954.4</v>
      </c>
      <c r="DH164">
        <v>29208.7</v>
      </c>
      <c r="DI164">
        <v>40451.4</v>
      </c>
      <c r="DJ164">
        <v>37103</v>
      </c>
      <c r="DK164">
        <v>2.06742</v>
      </c>
      <c r="DL164">
        <v>1.62864</v>
      </c>
      <c r="DM164">
        <v>-0.14804</v>
      </c>
      <c r="DN164">
        <v>0</v>
      </c>
      <c r="DO164">
        <v>27.7662</v>
      </c>
      <c r="DP164">
        <v>999.9</v>
      </c>
      <c r="DQ164">
        <v>39.7</v>
      </c>
      <c r="DR164">
        <v>37.3</v>
      </c>
      <c r="DS164">
        <v>25.3559</v>
      </c>
      <c r="DT164">
        <v>30.5165</v>
      </c>
      <c r="DU164">
        <v>12.9888</v>
      </c>
      <c r="DV164">
        <v>1</v>
      </c>
      <c r="DW164">
        <v>0.492285</v>
      </c>
      <c r="DX164">
        <v>4.9318</v>
      </c>
      <c r="DY164">
        <v>20.2805</v>
      </c>
      <c r="DZ164">
        <v>5.20974</v>
      </c>
      <c r="EA164">
        <v>11.8542</v>
      </c>
      <c r="EB164">
        <v>4.9678</v>
      </c>
      <c r="EC164">
        <v>3.29226</v>
      </c>
      <c r="ED164">
        <v>879.4</v>
      </c>
      <c r="EE164">
        <v>9999</v>
      </c>
      <c r="EF164">
        <v>9999</v>
      </c>
      <c r="EG164">
        <v>82.59999999999999</v>
      </c>
      <c r="EH164">
        <v>4.97155</v>
      </c>
      <c r="EI164">
        <v>1.87197</v>
      </c>
      <c r="EJ164">
        <v>1.86928</v>
      </c>
      <c r="EK164">
        <v>1.87164</v>
      </c>
      <c r="EL164">
        <v>1.86936</v>
      </c>
      <c r="EM164">
        <v>1.86829</v>
      </c>
      <c r="EN164">
        <v>1.87012</v>
      </c>
      <c r="EO164">
        <v>1.87183</v>
      </c>
      <c r="EP164">
        <v>0</v>
      </c>
      <c r="EQ164">
        <v>0</v>
      </c>
      <c r="ER164">
        <v>0</v>
      </c>
      <c r="ES164">
        <v>0</v>
      </c>
      <c r="ET164" t="s">
        <v>334</v>
      </c>
      <c r="EU164" t="s">
        <v>335</v>
      </c>
      <c r="EV164" t="s">
        <v>336</v>
      </c>
      <c r="EW164" t="s">
        <v>336</v>
      </c>
      <c r="EX164" t="s">
        <v>336</v>
      </c>
      <c r="EY164" t="s">
        <v>336</v>
      </c>
      <c r="EZ164">
        <v>0</v>
      </c>
      <c r="FA164">
        <v>100</v>
      </c>
      <c r="FB164">
        <v>100</v>
      </c>
      <c r="FC164">
        <v>6.495</v>
      </c>
      <c r="FD164">
        <v>0.0589</v>
      </c>
      <c r="FE164">
        <v>6.495476190476325</v>
      </c>
      <c r="FF164">
        <v>0</v>
      </c>
      <c r="FG164">
        <v>0</v>
      </c>
      <c r="FH164">
        <v>0</v>
      </c>
      <c r="FI164">
        <v>0.05881499999999917</v>
      </c>
      <c r="FJ164">
        <v>0</v>
      </c>
      <c r="FK164">
        <v>0</v>
      </c>
      <c r="FL164">
        <v>0</v>
      </c>
      <c r="FM164">
        <v>-1</v>
      </c>
      <c r="FN164">
        <v>-1</v>
      </c>
      <c r="FO164">
        <v>-1</v>
      </c>
      <c r="FP164">
        <v>-1</v>
      </c>
      <c r="FQ164">
        <v>148.3</v>
      </c>
      <c r="FR164">
        <v>148.5</v>
      </c>
      <c r="FS164">
        <v>0.142822</v>
      </c>
      <c r="FT164">
        <v>4.99756</v>
      </c>
      <c r="FU164">
        <v>1.5979</v>
      </c>
      <c r="FV164">
        <v>2.12524</v>
      </c>
      <c r="FW164">
        <v>1.54785</v>
      </c>
      <c r="FX164">
        <v>2.46582</v>
      </c>
      <c r="FY164">
        <v>42.4038</v>
      </c>
      <c r="FZ164">
        <v>15.4016</v>
      </c>
      <c r="GA164">
        <v>3</v>
      </c>
      <c r="GB164">
        <v>510.402</v>
      </c>
      <c r="GC164">
        <v>331.89</v>
      </c>
      <c r="GD164">
        <v>21.0862</v>
      </c>
      <c r="GE164">
        <v>33.1276</v>
      </c>
      <c r="GF164">
        <v>30.0003</v>
      </c>
      <c r="GG164">
        <v>32.9703</v>
      </c>
      <c r="GH164">
        <v>32.9494</v>
      </c>
      <c r="GI164">
        <v>-1</v>
      </c>
      <c r="GJ164">
        <v>100</v>
      </c>
      <c r="GK164">
        <v>0</v>
      </c>
      <c r="GL164">
        <v>21.1014</v>
      </c>
      <c r="GM164">
        <v>1200</v>
      </c>
      <c r="GN164">
        <v>26.7455</v>
      </c>
      <c r="GO164">
        <v>101.795</v>
      </c>
      <c r="GP164">
        <v>96.8737</v>
      </c>
    </row>
    <row r="165" spans="1:198">
      <c r="A165">
        <v>149</v>
      </c>
      <c r="B165">
        <v>1773277745</v>
      </c>
      <c r="C165">
        <v>8881.400000095367</v>
      </c>
      <c r="D165" t="s">
        <v>631</v>
      </c>
      <c r="E165" t="s">
        <v>632</v>
      </c>
      <c r="F165">
        <v>15</v>
      </c>
      <c r="G165">
        <v>1773277737</v>
      </c>
      <c r="H165">
        <f>(I165)/1000</f>
        <v>0</v>
      </c>
      <c r="I165">
        <f>1000*AY165*AG165*(AU165-AV165)/(100*AN165*(1000-AG165*AU165))</f>
        <v>0</v>
      </c>
      <c r="J165">
        <f>AY165*AG165*(AT165-AS165*(1000-AG165*AV165)/(1000-AG165*AU165))/(100*AN165)</f>
        <v>0</v>
      </c>
      <c r="K165">
        <f>AS165 - IF(AG165&gt;1, J165*AN165*100.0/(AI165), 0)</f>
        <v>0</v>
      </c>
      <c r="L165">
        <f>((R165-H165/2)*K165-J165)/(R165+H165/2)</f>
        <v>0</v>
      </c>
      <c r="M165">
        <f>L165*(AZ165+BA165)/1000.0</f>
        <v>0</v>
      </c>
      <c r="N165">
        <f>(AS165 - IF(AG165&gt;1, J165*AN165*100.0/(AI165), 0))*(AZ165+BA165)/1000.0</f>
        <v>0</v>
      </c>
      <c r="O165">
        <f>2.0/((1/Q165-1/P165)+SIGN(Q165)*SQRT((1/Q165-1/P165)*(1/Q165-1/P165) + 4*AO165/((AO165+1)*(AO165+1))*(2*1/Q165*1/P165-1/P165*1/P165)))</f>
        <v>0</v>
      </c>
      <c r="P165">
        <f>IF(LEFT(AP165,1)&lt;&gt;"0",IF(LEFT(AP165,1)="1",3.0,AQ165),$D$5+$E$5*(BG165*AZ165/($K$5*1000))+$F$5*(BG165*AZ165/($K$5*1000))*MAX(MIN(AN165,$J$5),$I$5)*MAX(MIN(AN165,$J$5),$I$5)+$G$5*MAX(MIN(AN165,$J$5),$I$5)*(BG165*AZ165/($K$5*1000))+$H$5*(BG165*AZ165/($K$5*1000))*(BG165*AZ165/($K$5*1000)))</f>
        <v>0</v>
      </c>
      <c r="Q165">
        <f>H165*(1000-(1000*0.61365*exp(17.502*U165/(240.97+U165))/(AZ165+BA165)+AU165)/2)/(1000*0.61365*exp(17.502*U165/(240.97+U165))/(AZ165+BA165)-AU165)</f>
        <v>0</v>
      </c>
      <c r="R165">
        <f>1/((AO165+1)/(O165/1.6)+1/(P165/1.37)) + AO165/((AO165+1)/(O165/1.6) + AO165/(P165/1.37))</f>
        <v>0</v>
      </c>
      <c r="S165">
        <f>(AJ165*AM165)</f>
        <v>0</v>
      </c>
      <c r="T165">
        <f>(BB165+(S165+2*0.95*5.67E-8*(((BB165+$B$7)+273)^4-(BB165+273)^4)-44100*H165)/(1.84*29.3*P165+8*0.95*5.67E-8*(BB165+273)^3))</f>
        <v>0</v>
      </c>
      <c r="U165">
        <f>($C$7*BC165+$D$7*BD165+$E$7*T165)</f>
        <v>0</v>
      </c>
      <c r="V165">
        <f>0.61365*exp(17.502*U165/(240.97+U165))</f>
        <v>0</v>
      </c>
      <c r="W165">
        <f>(X165/Y165*100)</f>
        <v>0</v>
      </c>
      <c r="X165">
        <f>AU165*(AZ165+BA165)/1000</f>
        <v>0</v>
      </c>
      <c r="Y165">
        <f>0.61365*exp(17.502*BB165/(240.97+BB165))</f>
        <v>0</v>
      </c>
      <c r="Z165">
        <f>(V165-AU165*(AZ165+BA165)/1000)</f>
        <v>0</v>
      </c>
      <c r="AA165">
        <f>(-H165*44100)</f>
        <v>0</v>
      </c>
      <c r="AB165">
        <f>2*29.3*P165*0.92*(BB165-U165)</f>
        <v>0</v>
      </c>
      <c r="AC165">
        <f>2*0.95*5.67E-8*(((BB165+$B$7)+273)^4-(U165+273)^4)</f>
        <v>0</v>
      </c>
      <c r="AD165">
        <f>S165+AC165+AA165+AB165</f>
        <v>0</v>
      </c>
      <c r="AE165">
        <v>0</v>
      </c>
      <c r="AF165">
        <v>0</v>
      </c>
      <c r="AG165">
        <f>IF(AE165*$H$13&gt;=AI165,1.0,(AI165/(AI165-AE165*$H$13)))</f>
        <v>0</v>
      </c>
      <c r="AH165">
        <f>(AG165-1)*100</f>
        <v>0</v>
      </c>
      <c r="AI165">
        <f>MAX(0,($B$13+$C$13*BG165)/(1+$D$13*BG165)*AZ165/(BB165+273)*$E$13)</f>
        <v>0</v>
      </c>
      <c r="AJ165">
        <f>$B$11*BH165+$C$11*BI165+$D$11*BT165</f>
        <v>0</v>
      </c>
      <c r="AK165">
        <f>AJ165*AL165</f>
        <v>0</v>
      </c>
      <c r="AL165">
        <f>($B$11*$D$9+$C$11*$D$9+$D$11*(BU165*$E$9+BV165*$G$9))/($B$11+$C$11+$D$11)</f>
        <v>0</v>
      </c>
      <c r="AM165">
        <f>($B$11*$K$9+$C$11*$K$9+$D$11*(BU165*$L$9+BV165*$N$9))/($B$11+$C$11+$D$11)</f>
        <v>0</v>
      </c>
      <c r="AN165">
        <v>3</v>
      </c>
      <c r="AO165">
        <v>0.5</v>
      </c>
      <c r="AP165" t="s">
        <v>331</v>
      </c>
      <c r="AQ165">
        <v>2</v>
      </c>
      <c r="AR165">
        <v>1773277737</v>
      </c>
      <c r="AS165">
        <v>440.6163548387098</v>
      </c>
      <c r="AT165">
        <v>435.819129032258</v>
      </c>
      <c r="AU165">
        <v>15.1422064516129</v>
      </c>
      <c r="AV165">
        <v>13.95172903225806</v>
      </c>
      <c r="AW165">
        <v>434.1208709677419</v>
      </c>
      <c r="AX165">
        <v>15.0833935483871</v>
      </c>
      <c r="AY165">
        <v>499.9910322580645</v>
      </c>
      <c r="AZ165">
        <v>100.3505483870968</v>
      </c>
      <c r="BA165">
        <v>0.03938011935483871</v>
      </c>
      <c r="BB165">
        <v>24.98521935483871</v>
      </c>
      <c r="BC165">
        <v>25.34525806451613</v>
      </c>
      <c r="BD165">
        <v>999.9000000000003</v>
      </c>
      <c r="BE165">
        <v>0</v>
      </c>
      <c r="BF165">
        <v>0</v>
      </c>
      <c r="BG165">
        <v>5000.032258064516</v>
      </c>
      <c r="BH165">
        <v>1.842546774193548</v>
      </c>
      <c r="BI165">
        <v>1439.017741935484</v>
      </c>
      <c r="BJ165">
        <v>4.797194193548387</v>
      </c>
      <c r="BK165">
        <v>447.3909032258065</v>
      </c>
      <c r="BL165">
        <v>441.9856129032258</v>
      </c>
      <c r="BM165">
        <v>1.190476774193549</v>
      </c>
      <c r="BN165">
        <v>435.819129032258</v>
      </c>
      <c r="BO165">
        <v>13.95172903225806</v>
      </c>
      <c r="BP165">
        <v>1.519530322580645</v>
      </c>
      <c r="BQ165">
        <v>1.400065806451613</v>
      </c>
      <c r="BR165">
        <v>13.16611290322581</v>
      </c>
      <c r="BS165">
        <v>11.91833548387097</v>
      </c>
      <c r="BT165">
        <v>0</v>
      </c>
      <c r="BU165">
        <v>0</v>
      </c>
      <c r="BV165">
        <v>0</v>
      </c>
      <c r="BW165">
        <v>31</v>
      </c>
      <c r="BX165">
        <v>44</v>
      </c>
      <c r="BY165">
        <v>1773268786.6</v>
      </c>
      <c r="BZ165" t="s">
        <v>332</v>
      </c>
      <c r="CA165">
        <v>1773268786.6</v>
      </c>
      <c r="CB165">
        <v>1773268774.1</v>
      </c>
      <c r="CC165">
        <v>2</v>
      </c>
      <c r="CD165">
        <v>0.264</v>
      </c>
      <c r="CE165">
        <v>-0.024</v>
      </c>
      <c r="CF165">
        <v>6.495</v>
      </c>
      <c r="CG165">
        <v>0.059</v>
      </c>
      <c r="CH165">
        <v>488</v>
      </c>
      <c r="CI165">
        <v>25</v>
      </c>
      <c r="CJ165">
        <v>0.48</v>
      </c>
      <c r="CK165">
        <v>0.14</v>
      </c>
      <c r="CL165">
        <v>436.0410322580646</v>
      </c>
      <c r="CM165">
        <v>-16.12983870967807</v>
      </c>
      <c r="CN165">
        <v>1.583924881810207</v>
      </c>
      <c r="CO165">
        <v>-1</v>
      </c>
      <c r="CP165">
        <v>499.9937741935483</v>
      </c>
      <c r="CQ165">
        <v>-0.07379032258005747</v>
      </c>
      <c r="CR165">
        <v>0.04810922363271888</v>
      </c>
      <c r="CS165">
        <v>-1</v>
      </c>
      <c r="CT165">
        <v>0</v>
      </c>
      <c r="CU165">
        <v>0</v>
      </c>
      <c r="CV165" t="s">
        <v>333</v>
      </c>
      <c r="CW165">
        <v>3.17116</v>
      </c>
      <c r="CX165">
        <v>2.66197</v>
      </c>
      <c r="CY165">
        <v>0.103299</v>
      </c>
      <c r="CZ165">
        <v>0.104048</v>
      </c>
      <c r="DA165">
        <v>0.0811742</v>
      </c>
      <c r="DB165">
        <v>0.0763107</v>
      </c>
      <c r="DC165">
        <v>21407.5</v>
      </c>
      <c r="DD165">
        <v>21955.3</v>
      </c>
      <c r="DE165">
        <v>22998</v>
      </c>
      <c r="DF165">
        <v>22422.1</v>
      </c>
      <c r="DG165">
        <v>31941.7</v>
      </c>
      <c r="DH165">
        <v>29195</v>
      </c>
      <c r="DI165">
        <v>40448.8</v>
      </c>
      <c r="DJ165">
        <v>37100</v>
      </c>
      <c r="DK165">
        <v>2.06676</v>
      </c>
      <c r="DL165">
        <v>1.62672</v>
      </c>
      <c r="DM165">
        <v>-0.148386</v>
      </c>
      <c r="DN165">
        <v>0</v>
      </c>
      <c r="DO165">
        <v>27.7839</v>
      </c>
      <c r="DP165">
        <v>999.9</v>
      </c>
      <c r="DQ165">
        <v>39.5</v>
      </c>
      <c r="DR165">
        <v>37.4</v>
      </c>
      <c r="DS165">
        <v>25.3645</v>
      </c>
      <c r="DT165">
        <v>30.3365</v>
      </c>
      <c r="DU165">
        <v>13.0329</v>
      </c>
      <c r="DV165">
        <v>1</v>
      </c>
      <c r="DW165">
        <v>0.493945</v>
      </c>
      <c r="DX165">
        <v>4.63097</v>
      </c>
      <c r="DY165">
        <v>20.2905</v>
      </c>
      <c r="DZ165">
        <v>5.20986</v>
      </c>
      <c r="EA165">
        <v>11.8542</v>
      </c>
      <c r="EB165">
        <v>4.96784</v>
      </c>
      <c r="EC165">
        <v>3.29224</v>
      </c>
      <c r="ED165">
        <v>879.4</v>
      </c>
      <c r="EE165">
        <v>9999</v>
      </c>
      <c r="EF165">
        <v>9999</v>
      </c>
      <c r="EG165">
        <v>82.59999999999999</v>
      </c>
      <c r="EH165">
        <v>4.97154</v>
      </c>
      <c r="EI165">
        <v>1.87197</v>
      </c>
      <c r="EJ165">
        <v>1.86934</v>
      </c>
      <c r="EK165">
        <v>1.87164</v>
      </c>
      <c r="EL165">
        <v>1.86935</v>
      </c>
      <c r="EM165">
        <v>1.86829</v>
      </c>
      <c r="EN165">
        <v>1.87012</v>
      </c>
      <c r="EO165">
        <v>1.87191</v>
      </c>
      <c r="EP165">
        <v>0</v>
      </c>
      <c r="EQ165">
        <v>0</v>
      </c>
      <c r="ER165">
        <v>0</v>
      </c>
      <c r="ES165">
        <v>0</v>
      </c>
      <c r="ET165" t="s">
        <v>334</v>
      </c>
      <c r="EU165" t="s">
        <v>335</v>
      </c>
      <c r="EV165" t="s">
        <v>336</v>
      </c>
      <c r="EW165" t="s">
        <v>336</v>
      </c>
      <c r="EX165" t="s">
        <v>336</v>
      </c>
      <c r="EY165" t="s">
        <v>336</v>
      </c>
      <c r="EZ165">
        <v>0</v>
      </c>
      <c r="FA165">
        <v>100</v>
      </c>
      <c r="FB165">
        <v>100</v>
      </c>
      <c r="FC165">
        <v>6.495</v>
      </c>
      <c r="FD165">
        <v>0.0588</v>
      </c>
      <c r="FE165">
        <v>6.495476190476325</v>
      </c>
      <c r="FF165">
        <v>0</v>
      </c>
      <c r="FG165">
        <v>0</v>
      </c>
      <c r="FH165">
        <v>0</v>
      </c>
      <c r="FI165">
        <v>0.05881499999999917</v>
      </c>
      <c r="FJ165">
        <v>0</v>
      </c>
      <c r="FK165">
        <v>0</v>
      </c>
      <c r="FL165">
        <v>0</v>
      </c>
      <c r="FM165">
        <v>-1</v>
      </c>
      <c r="FN165">
        <v>-1</v>
      </c>
      <c r="FO165">
        <v>-1</v>
      </c>
      <c r="FP165">
        <v>-1</v>
      </c>
      <c r="FQ165">
        <v>149.3</v>
      </c>
      <c r="FR165">
        <v>149.5</v>
      </c>
      <c r="FS165">
        <v>0.142822</v>
      </c>
      <c r="FT165">
        <v>4.99756</v>
      </c>
      <c r="FU165">
        <v>1.5979</v>
      </c>
      <c r="FV165">
        <v>2.12646</v>
      </c>
      <c r="FW165">
        <v>1.54785</v>
      </c>
      <c r="FX165">
        <v>2.44873</v>
      </c>
      <c r="FY165">
        <v>42.4571</v>
      </c>
      <c r="FZ165">
        <v>15.3929</v>
      </c>
      <c r="GA165">
        <v>3</v>
      </c>
      <c r="GB165">
        <v>510.4</v>
      </c>
      <c r="GC165">
        <v>331.192</v>
      </c>
      <c r="GD165">
        <v>21.3411</v>
      </c>
      <c r="GE165">
        <v>33.1779</v>
      </c>
      <c r="GF165">
        <v>30.0004</v>
      </c>
      <c r="GG165">
        <v>33.0232</v>
      </c>
      <c r="GH165">
        <v>33.0031</v>
      </c>
      <c r="GI165">
        <v>-1</v>
      </c>
      <c r="GJ165">
        <v>100</v>
      </c>
      <c r="GK165">
        <v>0</v>
      </c>
      <c r="GL165">
        <v>21.3423</v>
      </c>
      <c r="GM165">
        <v>1200</v>
      </c>
      <c r="GN165">
        <v>26.7455</v>
      </c>
      <c r="GO165">
        <v>101.788</v>
      </c>
      <c r="GP165">
        <v>96.8659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2026-03-15T01:25:23Z</dcterms:created>
  <dcterms:modified xsi:type="dcterms:W3CDTF">2026-03-15T01:25:23Z</dcterms:modified>
</cp:coreProperties>
</file>