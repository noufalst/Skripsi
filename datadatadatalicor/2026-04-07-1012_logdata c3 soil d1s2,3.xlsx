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gukuran 2025\Data LiCOR\Penelitian GreenRoof (soil) 2026\"/>
    </mc:Choice>
  </mc:AlternateContent>
  <xr:revisionPtr revIDLastSave="0" documentId="13_ncr:1_{E3C320A2-F636-4B02-A338-B377AA5DC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55" i="1" l="1"/>
  <c r="S255" i="1" s="1"/>
  <c r="AL255" i="1"/>
  <c r="AJ255" i="1"/>
  <c r="AK255" i="1" s="1"/>
  <c r="AI255" i="1"/>
  <c r="AG255" i="1" s="1"/>
  <c r="Y255" i="1"/>
  <c r="X255" i="1"/>
  <c r="P255" i="1"/>
  <c r="AM254" i="1"/>
  <c r="AL254" i="1"/>
  <c r="AJ254" i="1"/>
  <c r="AK254" i="1" s="1"/>
  <c r="AI254" i="1"/>
  <c r="AG254" i="1"/>
  <c r="Y254" i="1"/>
  <c r="X254" i="1"/>
  <c r="P254" i="1"/>
  <c r="AM253" i="1"/>
  <c r="AL253" i="1"/>
  <c r="AJ253" i="1"/>
  <c r="AK253" i="1" s="1"/>
  <c r="AI253" i="1"/>
  <c r="AG253" i="1"/>
  <c r="Y253" i="1"/>
  <c r="X253" i="1"/>
  <c r="P253" i="1"/>
  <c r="AM252" i="1"/>
  <c r="AL252" i="1"/>
  <c r="AJ252" i="1"/>
  <c r="AK252" i="1" s="1"/>
  <c r="AI252" i="1"/>
  <c r="AG252" i="1" s="1"/>
  <c r="Y252" i="1"/>
  <c r="X252" i="1"/>
  <c r="P252" i="1"/>
  <c r="AM251" i="1"/>
  <c r="AL251" i="1"/>
  <c r="AJ251" i="1"/>
  <c r="AI251" i="1"/>
  <c r="AG251" i="1" s="1"/>
  <c r="Y251" i="1"/>
  <c r="X251" i="1"/>
  <c r="P251" i="1"/>
  <c r="AM250" i="1"/>
  <c r="AL250" i="1"/>
  <c r="AJ250" i="1"/>
  <c r="AI250" i="1"/>
  <c r="AG250" i="1" s="1"/>
  <c r="Y250" i="1"/>
  <c r="X250" i="1"/>
  <c r="P250" i="1"/>
  <c r="AM249" i="1"/>
  <c r="AL249" i="1"/>
  <c r="AJ249" i="1"/>
  <c r="AI249" i="1"/>
  <c r="AG249" i="1" s="1"/>
  <c r="J249" i="1" s="1"/>
  <c r="Y249" i="1"/>
  <c r="X249" i="1"/>
  <c r="W249" i="1" s="1"/>
  <c r="P249" i="1"/>
  <c r="AM248" i="1"/>
  <c r="AL248" i="1"/>
  <c r="AK248" i="1" s="1"/>
  <c r="AJ248" i="1"/>
  <c r="AI248" i="1"/>
  <c r="AG248" i="1" s="1"/>
  <c r="I248" i="1" s="1"/>
  <c r="H248" i="1" s="1"/>
  <c r="AA248" i="1"/>
  <c r="Y248" i="1"/>
  <c r="X248" i="1"/>
  <c r="W248" i="1" s="1"/>
  <c r="P248" i="1"/>
  <c r="J248" i="1"/>
  <c r="AM247" i="1"/>
  <c r="AL247" i="1"/>
  <c r="AJ247" i="1"/>
  <c r="AI247" i="1"/>
  <c r="AG247" i="1" s="1"/>
  <c r="N247" i="1" s="1"/>
  <c r="Y247" i="1"/>
  <c r="X247" i="1"/>
  <c r="W247" i="1" s="1"/>
  <c r="P247" i="1"/>
  <c r="K247" i="1"/>
  <c r="AM246" i="1"/>
  <c r="AL246" i="1"/>
  <c r="AJ246" i="1"/>
  <c r="AI246" i="1"/>
  <c r="AG246" i="1" s="1"/>
  <c r="Y246" i="1"/>
  <c r="X246" i="1"/>
  <c r="P246" i="1"/>
  <c r="AM245" i="1"/>
  <c r="AL245" i="1"/>
  <c r="AJ245" i="1"/>
  <c r="AI245" i="1"/>
  <c r="AG245" i="1"/>
  <c r="J245" i="1" s="1"/>
  <c r="Y245" i="1"/>
  <c r="X245" i="1"/>
  <c r="W245" i="1" s="1"/>
  <c r="P245" i="1"/>
  <c r="AM244" i="1"/>
  <c r="AL244" i="1"/>
  <c r="AJ244" i="1"/>
  <c r="S244" i="1" s="1"/>
  <c r="AI244" i="1"/>
  <c r="AG244" i="1" s="1"/>
  <c r="AH244" i="1"/>
  <c r="Y244" i="1"/>
  <c r="X244" i="1"/>
  <c r="P244" i="1"/>
  <c r="AM243" i="1"/>
  <c r="AL243" i="1"/>
  <c r="AJ243" i="1"/>
  <c r="AI243" i="1"/>
  <c r="AG243" i="1" s="1"/>
  <c r="Y243" i="1"/>
  <c r="X243" i="1"/>
  <c r="P243" i="1"/>
  <c r="I243" i="1"/>
  <c r="H243" i="1" s="1"/>
  <c r="AA243" i="1" s="1"/>
  <c r="AM242" i="1"/>
  <c r="AL242" i="1"/>
  <c r="AJ242" i="1"/>
  <c r="AI242" i="1"/>
  <c r="AG242" i="1" s="1"/>
  <c r="Y242" i="1"/>
  <c r="W242" i="1" s="1"/>
  <c r="X242" i="1"/>
  <c r="P242" i="1"/>
  <c r="AM241" i="1"/>
  <c r="AL241" i="1"/>
  <c r="AJ241" i="1"/>
  <c r="AI241" i="1"/>
  <c r="AG241" i="1" s="1"/>
  <c r="J241" i="1" s="1"/>
  <c r="Y241" i="1"/>
  <c r="X241" i="1"/>
  <c r="W241" i="1" s="1"/>
  <c r="P241" i="1"/>
  <c r="AM240" i="1"/>
  <c r="AL240" i="1"/>
  <c r="AK240" i="1" s="1"/>
  <c r="AJ240" i="1"/>
  <c r="S240" i="1" s="1"/>
  <c r="AI240" i="1"/>
  <c r="AG240" i="1" s="1"/>
  <c r="Y240" i="1"/>
  <c r="X240" i="1"/>
  <c r="W240" i="1" s="1"/>
  <c r="P240" i="1"/>
  <c r="AM239" i="1"/>
  <c r="AL239" i="1"/>
  <c r="AJ239" i="1"/>
  <c r="AI239" i="1"/>
  <c r="AG239" i="1" s="1"/>
  <c r="I239" i="1" s="1"/>
  <c r="H239" i="1" s="1"/>
  <c r="Y239" i="1"/>
  <c r="X239" i="1"/>
  <c r="W239" i="1" s="1"/>
  <c r="P239" i="1"/>
  <c r="K239" i="1"/>
  <c r="J239" i="1"/>
  <c r="AM238" i="1"/>
  <c r="AL238" i="1"/>
  <c r="AJ238" i="1"/>
  <c r="AI238" i="1"/>
  <c r="AG238" i="1" s="1"/>
  <c r="I238" i="1" s="1"/>
  <c r="H238" i="1" s="1"/>
  <c r="AA238" i="1" s="1"/>
  <c r="Y238" i="1"/>
  <c r="X238" i="1"/>
  <c r="P238" i="1"/>
  <c r="AM237" i="1"/>
  <c r="AL237" i="1"/>
  <c r="AJ237" i="1"/>
  <c r="AI237" i="1"/>
  <c r="AG237" i="1" s="1"/>
  <c r="N237" i="1" s="1"/>
  <c r="Y237" i="1"/>
  <c r="X237" i="1"/>
  <c r="W237" i="1" s="1"/>
  <c r="P237" i="1"/>
  <c r="AM236" i="1"/>
  <c r="S236" i="1" s="1"/>
  <c r="AL236" i="1"/>
  <c r="AJ236" i="1"/>
  <c r="AI236" i="1"/>
  <c r="AG236" i="1" s="1"/>
  <c r="I236" i="1" s="1"/>
  <c r="H236" i="1" s="1"/>
  <c r="Y236" i="1"/>
  <c r="X236" i="1"/>
  <c r="W236" i="1" s="1"/>
  <c r="P236" i="1"/>
  <c r="K236" i="1"/>
  <c r="AM235" i="1"/>
  <c r="AL235" i="1"/>
  <c r="AJ235" i="1"/>
  <c r="AI235" i="1"/>
  <c r="AG235" i="1" s="1"/>
  <c r="N235" i="1" s="1"/>
  <c r="Y235" i="1"/>
  <c r="X235" i="1"/>
  <c r="W235" i="1" s="1"/>
  <c r="P235" i="1"/>
  <c r="AM234" i="1"/>
  <c r="AL234" i="1"/>
  <c r="AJ234" i="1"/>
  <c r="AI234" i="1"/>
  <c r="AG234" i="1"/>
  <c r="Y234" i="1"/>
  <c r="W234" i="1" s="1"/>
  <c r="X234" i="1"/>
  <c r="P234" i="1"/>
  <c r="AM233" i="1"/>
  <c r="AL233" i="1"/>
  <c r="AJ233" i="1"/>
  <c r="AI233" i="1"/>
  <c r="AG233" i="1" s="1"/>
  <c r="N233" i="1" s="1"/>
  <c r="Y233" i="1"/>
  <c r="X233" i="1"/>
  <c r="W233" i="1" s="1"/>
  <c r="P233" i="1"/>
  <c r="AM232" i="1"/>
  <c r="AL232" i="1"/>
  <c r="AJ232" i="1"/>
  <c r="AI232" i="1"/>
  <c r="AG232" i="1" s="1"/>
  <c r="Y232" i="1"/>
  <c r="X232" i="1"/>
  <c r="P232" i="1"/>
  <c r="AM231" i="1"/>
  <c r="AL231" i="1"/>
  <c r="AJ231" i="1"/>
  <c r="AI231" i="1"/>
  <c r="AG231" i="1" s="1"/>
  <c r="K231" i="1" s="1"/>
  <c r="Y231" i="1"/>
  <c r="X231" i="1"/>
  <c r="P231" i="1"/>
  <c r="AM230" i="1"/>
  <c r="AL230" i="1"/>
  <c r="AJ230" i="1"/>
  <c r="AI230" i="1"/>
  <c r="AG230" i="1"/>
  <c r="I230" i="1" s="1"/>
  <c r="H230" i="1" s="1"/>
  <c r="AA230" i="1" s="1"/>
  <c r="Y230" i="1"/>
  <c r="X230" i="1"/>
  <c r="P230" i="1"/>
  <c r="AM229" i="1"/>
  <c r="AL229" i="1"/>
  <c r="AJ229" i="1"/>
  <c r="AI229" i="1"/>
  <c r="AG229" i="1"/>
  <c r="N229" i="1" s="1"/>
  <c r="Y229" i="1"/>
  <c r="X229" i="1"/>
  <c r="W229" i="1" s="1"/>
  <c r="P229" i="1"/>
  <c r="AM228" i="1"/>
  <c r="AL228" i="1"/>
  <c r="AJ228" i="1"/>
  <c r="AI228" i="1"/>
  <c r="AG228" i="1" s="1"/>
  <c r="AH228" i="1"/>
  <c r="Y228" i="1"/>
  <c r="X228" i="1"/>
  <c r="W228" i="1" s="1"/>
  <c r="P228" i="1"/>
  <c r="N228" i="1"/>
  <c r="J228" i="1"/>
  <c r="AM227" i="1"/>
  <c r="AL227" i="1"/>
  <c r="AJ227" i="1"/>
  <c r="AI227" i="1"/>
  <c r="AG227" i="1" s="1"/>
  <c r="Y227" i="1"/>
  <c r="X227" i="1"/>
  <c r="P227" i="1"/>
  <c r="AM226" i="1"/>
  <c r="AL226" i="1"/>
  <c r="AJ226" i="1"/>
  <c r="AI226" i="1"/>
  <c r="AG226" i="1" s="1"/>
  <c r="Y226" i="1"/>
  <c r="X226" i="1"/>
  <c r="P226" i="1"/>
  <c r="AM225" i="1"/>
  <c r="AL225" i="1"/>
  <c r="AJ225" i="1"/>
  <c r="AI225" i="1"/>
  <c r="AG225" i="1" s="1"/>
  <c r="Y225" i="1"/>
  <c r="W225" i="1" s="1"/>
  <c r="X225" i="1"/>
  <c r="P225" i="1"/>
  <c r="AM224" i="1"/>
  <c r="AL224" i="1"/>
  <c r="AJ224" i="1"/>
  <c r="AI224" i="1"/>
  <c r="AG224" i="1" s="1"/>
  <c r="N224" i="1" s="1"/>
  <c r="Y224" i="1"/>
  <c r="X224" i="1"/>
  <c r="S224" i="1"/>
  <c r="P224" i="1"/>
  <c r="I224" i="1"/>
  <c r="H224" i="1" s="1"/>
  <c r="AA224" i="1" s="1"/>
  <c r="AM223" i="1"/>
  <c r="AL223" i="1"/>
  <c r="AK223" i="1" s="1"/>
  <c r="AJ223" i="1"/>
  <c r="AI223" i="1"/>
  <c r="AG223" i="1"/>
  <c r="I223" i="1" s="1"/>
  <c r="H223" i="1" s="1"/>
  <c r="Y223" i="1"/>
  <c r="X223" i="1"/>
  <c r="W223" i="1" s="1"/>
  <c r="P223" i="1"/>
  <c r="J223" i="1"/>
  <c r="AM222" i="1"/>
  <c r="AL222" i="1"/>
  <c r="AJ222" i="1"/>
  <c r="AI222" i="1"/>
  <c r="AG222" i="1" s="1"/>
  <c r="AH222" i="1" s="1"/>
  <c r="Y222" i="1"/>
  <c r="X222" i="1"/>
  <c r="W222" i="1" s="1"/>
  <c r="P222" i="1"/>
  <c r="AM221" i="1"/>
  <c r="AL221" i="1"/>
  <c r="AJ221" i="1"/>
  <c r="AI221" i="1"/>
  <c r="AG221" i="1" s="1"/>
  <c r="Y221" i="1"/>
  <c r="X221" i="1"/>
  <c r="W221" i="1" s="1"/>
  <c r="P221" i="1"/>
  <c r="AM220" i="1"/>
  <c r="AL220" i="1"/>
  <c r="AJ220" i="1"/>
  <c r="AI220" i="1"/>
  <c r="AG220" i="1" s="1"/>
  <c r="Y220" i="1"/>
  <c r="X220" i="1"/>
  <c r="P220" i="1"/>
  <c r="AM219" i="1"/>
  <c r="AL219" i="1"/>
  <c r="AJ219" i="1"/>
  <c r="AK219" i="1" s="1"/>
  <c r="AI219" i="1"/>
  <c r="AG219" i="1" s="1"/>
  <c r="Y219" i="1"/>
  <c r="X219" i="1"/>
  <c r="P219" i="1"/>
  <c r="AM218" i="1"/>
  <c r="AL218" i="1"/>
  <c r="AJ218" i="1"/>
  <c r="AI218" i="1"/>
  <c r="AG218" i="1" s="1"/>
  <c r="Y218" i="1"/>
  <c r="X218" i="1"/>
  <c r="P218" i="1"/>
  <c r="AM217" i="1"/>
  <c r="AL217" i="1"/>
  <c r="AJ217" i="1"/>
  <c r="AI217" i="1"/>
  <c r="AG217" i="1" s="1"/>
  <c r="Y217" i="1"/>
  <c r="X217" i="1"/>
  <c r="W217" i="1"/>
  <c r="P217" i="1"/>
  <c r="AM216" i="1"/>
  <c r="AL216" i="1"/>
  <c r="AK216" i="1" s="1"/>
  <c r="AJ216" i="1"/>
  <c r="S216" i="1" s="1"/>
  <c r="AI216" i="1"/>
  <c r="AG216" i="1"/>
  <c r="I216" i="1" s="1"/>
  <c r="Y216" i="1"/>
  <c r="X216" i="1"/>
  <c r="W216" i="1" s="1"/>
  <c r="P216" i="1"/>
  <c r="N216" i="1"/>
  <c r="H216" i="1"/>
  <c r="AM215" i="1"/>
  <c r="AL215" i="1"/>
  <c r="AJ215" i="1"/>
  <c r="S215" i="1" s="1"/>
  <c r="AI215" i="1"/>
  <c r="AG215" i="1" s="1"/>
  <c r="J215" i="1" s="1"/>
  <c r="Y215" i="1"/>
  <c r="X215" i="1"/>
  <c r="P215" i="1"/>
  <c r="AM214" i="1"/>
  <c r="AL214" i="1"/>
  <c r="AJ214" i="1"/>
  <c r="AI214" i="1"/>
  <c r="AG214" i="1" s="1"/>
  <c r="Y214" i="1"/>
  <c r="W214" i="1" s="1"/>
  <c r="X214" i="1"/>
  <c r="P214" i="1"/>
  <c r="AM213" i="1"/>
  <c r="AL213" i="1"/>
  <c r="AJ213" i="1"/>
  <c r="AI213" i="1"/>
  <c r="AG213" i="1"/>
  <c r="Y213" i="1"/>
  <c r="X213" i="1"/>
  <c r="P213" i="1"/>
  <c r="AM212" i="1"/>
  <c r="AL212" i="1"/>
  <c r="AJ212" i="1"/>
  <c r="AI212" i="1"/>
  <c r="AG212" i="1" s="1"/>
  <c r="I212" i="1" s="1"/>
  <c r="H212" i="1" s="1"/>
  <c r="AH212" i="1"/>
  <c r="Y212" i="1"/>
  <c r="X212" i="1"/>
  <c r="P212" i="1"/>
  <c r="K212" i="1"/>
  <c r="AM211" i="1"/>
  <c r="AL211" i="1"/>
  <c r="AJ211" i="1"/>
  <c r="AK211" i="1" s="1"/>
  <c r="AI211" i="1"/>
  <c r="AG211" i="1" s="1"/>
  <c r="Y211" i="1"/>
  <c r="X211" i="1"/>
  <c r="P211" i="1"/>
  <c r="AM210" i="1"/>
  <c r="AL210" i="1"/>
  <c r="AJ210" i="1"/>
  <c r="AK210" i="1" s="1"/>
  <c r="AI210" i="1"/>
  <c r="AG210" i="1" s="1"/>
  <c r="Y210" i="1"/>
  <c r="X210" i="1"/>
  <c r="P210" i="1"/>
  <c r="AM209" i="1"/>
  <c r="AL209" i="1"/>
  <c r="AJ209" i="1"/>
  <c r="AI209" i="1"/>
  <c r="AG209" i="1"/>
  <c r="J209" i="1" s="1"/>
  <c r="Y209" i="1"/>
  <c r="W209" i="1" s="1"/>
  <c r="X209" i="1"/>
  <c r="P209" i="1"/>
  <c r="AM208" i="1"/>
  <c r="AL208" i="1"/>
  <c r="AJ208" i="1"/>
  <c r="AI208" i="1"/>
  <c r="AG208" i="1" s="1"/>
  <c r="J208" i="1" s="1"/>
  <c r="Y208" i="1"/>
  <c r="X208" i="1"/>
  <c r="P208" i="1"/>
  <c r="AM207" i="1"/>
  <c r="AL207" i="1"/>
  <c r="AJ207" i="1"/>
  <c r="AI207" i="1"/>
  <c r="AG207" i="1" s="1"/>
  <c r="AH207" i="1" s="1"/>
  <c r="Y207" i="1"/>
  <c r="X207" i="1"/>
  <c r="P207" i="1"/>
  <c r="N207" i="1"/>
  <c r="I207" i="1"/>
  <c r="H207" i="1" s="1"/>
  <c r="AM206" i="1"/>
  <c r="AL206" i="1"/>
  <c r="AJ206" i="1"/>
  <c r="AI206" i="1"/>
  <c r="AG206" i="1"/>
  <c r="Y206" i="1"/>
  <c r="X206" i="1"/>
  <c r="P206" i="1"/>
  <c r="AM205" i="1"/>
  <c r="AL205" i="1"/>
  <c r="AJ205" i="1"/>
  <c r="AI205" i="1"/>
  <c r="AG205" i="1" s="1"/>
  <c r="N205" i="1" s="1"/>
  <c r="Y205" i="1"/>
  <c r="X205" i="1"/>
  <c r="P205" i="1"/>
  <c r="AM204" i="1"/>
  <c r="S204" i="1" s="1"/>
  <c r="AL204" i="1"/>
  <c r="AK204" i="1" s="1"/>
  <c r="AJ204" i="1"/>
  <c r="AI204" i="1"/>
  <c r="AG204" i="1" s="1"/>
  <c r="J204" i="1" s="1"/>
  <c r="Y204" i="1"/>
  <c r="X204" i="1"/>
  <c r="P204" i="1"/>
  <c r="AM203" i="1"/>
  <c r="AL203" i="1"/>
  <c r="AJ203" i="1"/>
  <c r="AI203" i="1"/>
  <c r="AG203" i="1" s="1"/>
  <c r="K203" i="1" s="1"/>
  <c r="Y203" i="1"/>
  <c r="X203" i="1"/>
  <c r="P203" i="1"/>
  <c r="AM202" i="1"/>
  <c r="S202" i="1" s="1"/>
  <c r="AL202" i="1"/>
  <c r="AK202" i="1" s="1"/>
  <c r="AJ202" i="1"/>
  <c r="AI202" i="1"/>
  <c r="AG202" i="1" s="1"/>
  <c r="Y202" i="1"/>
  <c r="X202" i="1"/>
  <c r="W202" i="1" s="1"/>
  <c r="P202" i="1"/>
  <c r="AM201" i="1"/>
  <c r="AL201" i="1"/>
  <c r="AJ201" i="1"/>
  <c r="AI201" i="1"/>
  <c r="AG201" i="1" s="1"/>
  <c r="Y201" i="1"/>
  <c r="X201" i="1"/>
  <c r="P201" i="1"/>
  <c r="AM200" i="1"/>
  <c r="AL200" i="1"/>
  <c r="AJ200" i="1"/>
  <c r="AI200" i="1"/>
  <c r="AG200" i="1" s="1"/>
  <c r="Y200" i="1"/>
  <c r="W200" i="1" s="1"/>
  <c r="X200" i="1"/>
  <c r="P200" i="1"/>
  <c r="AM199" i="1"/>
  <c r="AL199" i="1"/>
  <c r="AJ199" i="1"/>
  <c r="AI199" i="1"/>
  <c r="AG199" i="1" s="1"/>
  <c r="K199" i="1" s="1"/>
  <c r="Y199" i="1"/>
  <c r="X199" i="1"/>
  <c r="P199" i="1"/>
  <c r="AM198" i="1"/>
  <c r="AL198" i="1"/>
  <c r="AJ198" i="1"/>
  <c r="AK198" i="1" s="1"/>
  <c r="AI198" i="1"/>
  <c r="AG198" i="1"/>
  <c r="J198" i="1" s="1"/>
  <c r="Y198" i="1"/>
  <c r="X198" i="1"/>
  <c r="W198" i="1" s="1"/>
  <c r="S198" i="1"/>
  <c r="P198" i="1"/>
  <c r="AM197" i="1"/>
  <c r="AL197" i="1"/>
  <c r="AJ197" i="1"/>
  <c r="AI197" i="1"/>
  <c r="AG197" i="1" s="1"/>
  <c r="I197" i="1" s="1"/>
  <c r="H197" i="1" s="1"/>
  <c r="Y197" i="1"/>
  <c r="X197" i="1"/>
  <c r="S197" i="1"/>
  <c r="P197" i="1"/>
  <c r="AM196" i="1"/>
  <c r="AL196" i="1"/>
  <c r="AJ196" i="1"/>
  <c r="AK196" i="1" s="1"/>
  <c r="AI196" i="1"/>
  <c r="AG196" i="1"/>
  <c r="Y196" i="1"/>
  <c r="X196" i="1"/>
  <c r="P196" i="1"/>
  <c r="AM195" i="1"/>
  <c r="AL195" i="1"/>
  <c r="AJ195" i="1"/>
  <c r="AK195" i="1" s="1"/>
  <c r="AI195" i="1"/>
  <c r="AG195" i="1" s="1"/>
  <c r="K195" i="1" s="1"/>
  <c r="AH195" i="1"/>
  <c r="Y195" i="1"/>
  <c r="X195" i="1"/>
  <c r="P195" i="1"/>
  <c r="AM194" i="1"/>
  <c r="AL194" i="1"/>
  <c r="AJ194" i="1"/>
  <c r="S194" i="1" s="1"/>
  <c r="AI194" i="1"/>
  <c r="AG194" i="1" s="1"/>
  <c r="Y194" i="1"/>
  <c r="X194" i="1"/>
  <c r="W194" i="1" s="1"/>
  <c r="P194" i="1"/>
  <c r="AM193" i="1"/>
  <c r="AL193" i="1"/>
  <c r="AJ193" i="1"/>
  <c r="S193" i="1" s="1"/>
  <c r="AI193" i="1"/>
  <c r="AG193" i="1" s="1"/>
  <c r="Y193" i="1"/>
  <c r="X193" i="1"/>
  <c r="P193" i="1"/>
  <c r="AM192" i="1"/>
  <c r="AL192" i="1"/>
  <c r="AJ192" i="1"/>
  <c r="AI192" i="1"/>
  <c r="AG192" i="1" s="1"/>
  <c r="J192" i="1" s="1"/>
  <c r="Y192" i="1"/>
  <c r="X192" i="1"/>
  <c r="W192" i="1"/>
  <c r="P192" i="1"/>
  <c r="AM191" i="1"/>
  <c r="AL191" i="1"/>
  <c r="AJ191" i="1"/>
  <c r="AI191" i="1"/>
  <c r="AG191" i="1" s="1"/>
  <c r="Y191" i="1"/>
  <c r="X191" i="1"/>
  <c r="W191" i="1" s="1"/>
  <c r="P191" i="1"/>
  <c r="AM190" i="1"/>
  <c r="AL190" i="1"/>
  <c r="AJ190" i="1"/>
  <c r="AI190" i="1"/>
  <c r="AG190" i="1"/>
  <c r="I190" i="1" s="1"/>
  <c r="H190" i="1" s="1"/>
  <c r="AA190" i="1" s="1"/>
  <c r="Y190" i="1"/>
  <c r="X190" i="1"/>
  <c r="P190" i="1"/>
  <c r="AM189" i="1"/>
  <c r="AL189" i="1"/>
  <c r="AJ189" i="1"/>
  <c r="AI189" i="1"/>
  <c r="AG189" i="1" s="1"/>
  <c r="I189" i="1" s="1"/>
  <c r="H189" i="1" s="1"/>
  <c r="AA189" i="1" s="1"/>
  <c r="Y189" i="1"/>
  <c r="X189" i="1"/>
  <c r="P189" i="1"/>
  <c r="AM188" i="1"/>
  <c r="AL188" i="1"/>
  <c r="AJ188" i="1"/>
  <c r="AI188" i="1"/>
  <c r="AG188" i="1" s="1"/>
  <c r="J188" i="1" s="1"/>
  <c r="Y188" i="1"/>
  <c r="X188" i="1"/>
  <c r="P188" i="1"/>
  <c r="AM187" i="1"/>
  <c r="AL187" i="1"/>
  <c r="AJ187" i="1"/>
  <c r="AI187" i="1"/>
  <c r="AG187" i="1" s="1"/>
  <c r="Y187" i="1"/>
  <c r="X187" i="1"/>
  <c r="W187" i="1" s="1"/>
  <c r="P187" i="1"/>
  <c r="AM186" i="1"/>
  <c r="AL186" i="1"/>
  <c r="AJ186" i="1"/>
  <c r="S186" i="1" s="1"/>
  <c r="AI186" i="1"/>
  <c r="AG186" i="1"/>
  <c r="Y186" i="1"/>
  <c r="X186" i="1"/>
  <c r="P186" i="1"/>
  <c r="AM185" i="1"/>
  <c r="AL185" i="1"/>
  <c r="AJ185" i="1"/>
  <c r="S185" i="1" s="1"/>
  <c r="AI185" i="1"/>
  <c r="AG185" i="1" s="1"/>
  <c r="K185" i="1" s="1"/>
  <c r="Y185" i="1"/>
  <c r="X185" i="1"/>
  <c r="P185" i="1"/>
  <c r="AM184" i="1"/>
  <c r="AL184" i="1"/>
  <c r="AJ184" i="1"/>
  <c r="AI184" i="1"/>
  <c r="AG184" i="1" s="1"/>
  <c r="I184" i="1" s="1"/>
  <c r="H184" i="1" s="1"/>
  <c r="Y184" i="1"/>
  <c r="X184" i="1"/>
  <c r="W184" i="1" s="1"/>
  <c r="P184" i="1"/>
  <c r="J184" i="1"/>
  <c r="AM183" i="1"/>
  <c r="AL183" i="1"/>
  <c r="AJ183" i="1"/>
  <c r="AI183" i="1"/>
  <c r="AG183" i="1" s="1"/>
  <c r="Y183" i="1"/>
  <c r="X183" i="1"/>
  <c r="W183" i="1" s="1"/>
  <c r="P183" i="1"/>
  <c r="AM182" i="1"/>
  <c r="AL182" i="1"/>
  <c r="AJ182" i="1"/>
  <c r="AI182" i="1"/>
  <c r="AG182" i="1" s="1"/>
  <c r="N182" i="1" s="1"/>
  <c r="Y182" i="1"/>
  <c r="X182" i="1"/>
  <c r="P182" i="1"/>
  <c r="I182" i="1"/>
  <c r="H182" i="1" s="1"/>
  <c r="AA182" i="1" s="1"/>
  <c r="AM181" i="1"/>
  <c r="AL181" i="1"/>
  <c r="AJ181" i="1"/>
  <c r="AI181" i="1"/>
  <c r="AG181" i="1" s="1"/>
  <c r="AH181" i="1" s="1"/>
  <c r="Y181" i="1"/>
  <c r="X181" i="1"/>
  <c r="W181" i="1" s="1"/>
  <c r="P181" i="1"/>
  <c r="AM180" i="1"/>
  <c r="AL180" i="1"/>
  <c r="AJ180" i="1"/>
  <c r="AI180" i="1"/>
  <c r="AG180" i="1" s="1"/>
  <c r="Y180" i="1"/>
  <c r="X180" i="1"/>
  <c r="P180" i="1"/>
  <c r="AM179" i="1"/>
  <c r="S179" i="1" s="1"/>
  <c r="AL179" i="1"/>
  <c r="AJ179" i="1"/>
  <c r="AI179" i="1"/>
  <c r="AG179" i="1" s="1"/>
  <c r="Y179" i="1"/>
  <c r="X179" i="1"/>
  <c r="W179" i="1" s="1"/>
  <c r="P179" i="1"/>
  <c r="AM178" i="1"/>
  <c r="AL178" i="1"/>
  <c r="AJ178" i="1"/>
  <c r="AI178" i="1"/>
  <c r="AG178" i="1" s="1"/>
  <c r="Y178" i="1"/>
  <c r="X178" i="1"/>
  <c r="P178" i="1"/>
  <c r="AM177" i="1"/>
  <c r="AL177" i="1"/>
  <c r="AJ177" i="1"/>
  <c r="AI177" i="1"/>
  <c r="AG177" i="1" s="1"/>
  <c r="AH177" i="1" s="1"/>
  <c r="Y177" i="1"/>
  <c r="X177" i="1"/>
  <c r="P177" i="1"/>
  <c r="AM176" i="1"/>
  <c r="AL176" i="1"/>
  <c r="AJ176" i="1"/>
  <c r="AI176" i="1"/>
  <c r="AG176" i="1" s="1"/>
  <c r="N176" i="1" s="1"/>
  <c r="Y176" i="1"/>
  <c r="X176" i="1"/>
  <c r="P176" i="1"/>
  <c r="AM175" i="1"/>
  <c r="AL175" i="1"/>
  <c r="AJ175" i="1"/>
  <c r="AI175" i="1"/>
  <c r="AG175" i="1" s="1"/>
  <c r="K175" i="1" s="1"/>
  <c r="Y175" i="1"/>
  <c r="X175" i="1"/>
  <c r="P175" i="1"/>
  <c r="AM174" i="1"/>
  <c r="AL174" i="1"/>
  <c r="AJ174" i="1"/>
  <c r="AI174" i="1"/>
  <c r="AG174" i="1" s="1"/>
  <c r="N174" i="1" s="1"/>
  <c r="Y174" i="1"/>
  <c r="W174" i="1" s="1"/>
  <c r="X174" i="1"/>
  <c r="P174" i="1"/>
  <c r="AM173" i="1"/>
  <c r="AL173" i="1"/>
  <c r="AJ173" i="1"/>
  <c r="AI173" i="1"/>
  <c r="AG173" i="1"/>
  <c r="Y173" i="1"/>
  <c r="X173" i="1"/>
  <c r="W173" i="1" s="1"/>
  <c r="P173" i="1"/>
  <c r="J173" i="1"/>
  <c r="AM172" i="1"/>
  <c r="AL172" i="1"/>
  <c r="AJ172" i="1"/>
  <c r="AI172" i="1"/>
  <c r="AG172" i="1" s="1"/>
  <c r="N172" i="1" s="1"/>
  <c r="Y172" i="1"/>
  <c r="X172" i="1"/>
  <c r="P172" i="1"/>
  <c r="AM171" i="1"/>
  <c r="AL171" i="1"/>
  <c r="AJ171" i="1"/>
  <c r="AI171" i="1"/>
  <c r="AG171" i="1" s="1"/>
  <c r="AH171" i="1" s="1"/>
  <c r="Y171" i="1"/>
  <c r="X171" i="1"/>
  <c r="P171" i="1"/>
  <c r="AM170" i="1"/>
  <c r="AL170" i="1"/>
  <c r="AJ170" i="1"/>
  <c r="AI170" i="1"/>
  <c r="AG170" i="1" s="1"/>
  <c r="Y170" i="1"/>
  <c r="X170" i="1"/>
  <c r="P170" i="1"/>
  <c r="AM169" i="1"/>
  <c r="AL169" i="1"/>
  <c r="AJ169" i="1"/>
  <c r="AI169" i="1"/>
  <c r="AG169" i="1" s="1"/>
  <c r="Y169" i="1"/>
  <c r="X169" i="1"/>
  <c r="P169" i="1"/>
  <c r="AM168" i="1"/>
  <c r="AL168" i="1"/>
  <c r="AJ168" i="1"/>
  <c r="AK168" i="1" s="1"/>
  <c r="AI168" i="1"/>
  <c r="AG168" i="1" s="1"/>
  <c r="I168" i="1" s="1"/>
  <c r="H168" i="1" s="1"/>
  <c r="AA168" i="1" s="1"/>
  <c r="Y168" i="1"/>
  <c r="X168" i="1"/>
  <c r="P168" i="1"/>
  <c r="AM167" i="1"/>
  <c r="AL167" i="1"/>
  <c r="AJ167" i="1"/>
  <c r="AI167" i="1"/>
  <c r="AG167" i="1" s="1"/>
  <c r="K167" i="1" s="1"/>
  <c r="Y167" i="1"/>
  <c r="X167" i="1"/>
  <c r="P167" i="1"/>
  <c r="AM166" i="1"/>
  <c r="AL166" i="1"/>
  <c r="AJ166" i="1"/>
  <c r="AI166" i="1"/>
  <c r="AG166" i="1" s="1"/>
  <c r="Y166" i="1"/>
  <c r="X166" i="1"/>
  <c r="P166" i="1"/>
  <c r="AM165" i="1"/>
  <c r="AL165" i="1"/>
  <c r="AJ165" i="1"/>
  <c r="AI165" i="1"/>
  <c r="AG165" i="1" s="1"/>
  <c r="Y165" i="1"/>
  <c r="X165" i="1"/>
  <c r="W165" i="1" s="1"/>
  <c r="P165" i="1"/>
  <c r="AM164" i="1"/>
  <c r="AL164" i="1"/>
  <c r="AJ164" i="1"/>
  <c r="AI164" i="1"/>
  <c r="AG164" i="1" s="1"/>
  <c r="I164" i="1" s="1"/>
  <c r="H164" i="1" s="1"/>
  <c r="AA164" i="1" s="1"/>
  <c r="AH164" i="1"/>
  <c r="Y164" i="1"/>
  <c r="X164" i="1"/>
  <c r="P164" i="1"/>
  <c r="AM163" i="1"/>
  <c r="AL163" i="1"/>
  <c r="AJ163" i="1"/>
  <c r="AI163" i="1"/>
  <c r="AG163" i="1" s="1"/>
  <c r="I163" i="1" s="1"/>
  <c r="H163" i="1" s="1"/>
  <c r="Y163" i="1"/>
  <c r="X163" i="1"/>
  <c r="W163" i="1" s="1"/>
  <c r="P163" i="1"/>
  <c r="AM162" i="1"/>
  <c r="AL162" i="1"/>
  <c r="AJ162" i="1"/>
  <c r="AI162" i="1"/>
  <c r="AG162" i="1" s="1"/>
  <c r="Y162" i="1"/>
  <c r="X162" i="1"/>
  <c r="W162" i="1" s="1"/>
  <c r="P162" i="1"/>
  <c r="AM161" i="1"/>
  <c r="AL161" i="1"/>
  <c r="AJ161" i="1"/>
  <c r="AI161" i="1"/>
  <c r="AG161" i="1" s="1"/>
  <c r="Y161" i="1"/>
  <c r="X161" i="1"/>
  <c r="P161" i="1"/>
  <c r="AM160" i="1"/>
  <c r="AL160" i="1"/>
  <c r="AJ160" i="1"/>
  <c r="AI160" i="1"/>
  <c r="AG160" i="1" s="1"/>
  <c r="AH160" i="1" s="1"/>
  <c r="Y160" i="1"/>
  <c r="X160" i="1"/>
  <c r="P160" i="1"/>
  <c r="AM159" i="1"/>
  <c r="AL159" i="1"/>
  <c r="AJ159" i="1"/>
  <c r="AI159" i="1"/>
  <c r="AG159" i="1" s="1"/>
  <c r="I159" i="1" s="1"/>
  <c r="H159" i="1" s="1"/>
  <c r="Y159" i="1"/>
  <c r="X159" i="1"/>
  <c r="W159" i="1" s="1"/>
  <c r="P159" i="1"/>
  <c r="AM158" i="1"/>
  <c r="AL158" i="1"/>
  <c r="AJ158" i="1"/>
  <c r="AI158" i="1"/>
  <c r="AG158" i="1" s="1"/>
  <c r="N158" i="1" s="1"/>
  <c r="Y158" i="1"/>
  <c r="X158" i="1"/>
  <c r="W158" i="1"/>
  <c r="P158" i="1"/>
  <c r="AM157" i="1"/>
  <c r="AL157" i="1"/>
  <c r="AK157" i="1" s="1"/>
  <c r="AJ157" i="1"/>
  <c r="AI157" i="1"/>
  <c r="AG157" i="1" s="1"/>
  <c r="Y157" i="1"/>
  <c r="X157" i="1"/>
  <c r="P157" i="1"/>
  <c r="AM156" i="1"/>
  <c r="AL156" i="1"/>
  <c r="AJ156" i="1"/>
  <c r="AK156" i="1" s="1"/>
  <c r="AI156" i="1"/>
  <c r="AG156" i="1" s="1"/>
  <c r="AH156" i="1" s="1"/>
  <c r="Y156" i="1"/>
  <c r="X156" i="1"/>
  <c r="P156" i="1"/>
  <c r="AM155" i="1"/>
  <c r="AL155" i="1"/>
  <c r="AJ155" i="1"/>
  <c r="AI155" i="1"/>
  <c r="AG155" i="1" s="1"/>
  <c r="Y155" i="1"/>
  <c r="X155" i="1"/>
  <c r="P155" i="1"/>
  <c r="AM154" i="1"/>
  <c r="AL154" i="1"/>
  <c r="AJ154" i="1"/>
  <c r="AI154" i="1"/>
  <c r="AG154" i="1" s="1"/>
  <c r="N154" i="1" s="1"/>
  <c r="Y154" i="1"/>
  <c r="X154" i="1"/>
  <c r="P154" i="1"/>
  <c r="AM153" i="1"/>
  <c r="AL153" i="1"/>
  <c r="AJ153" i="1"/>
  <c r="S153" i="1" s="1"/>
  <c r="AI153" i="1"/>
  <c r="AG153" i="1" s="1"/>
  <c r="AH153" i="1" s="1"/>
  <c r="Y153" i="1"/>
  <c r="X153" i="1"/>
  <c r="W153" i="1" s="1"/>
  <c r="P153" i="1"/>
  <c r="AM152" i="1"/>
  <c r="S152" i="1" s="1"/>
  <c r="AL152" i="1"/>
  <c r="AJ152" i="1"/>
  <c r="AI152" i="1"/>
  <c r="AG152" i="1" s="1"/>
  <c r="AH152" i="1" s="1"/>
  <c r="Y152" i="1"/>
  <c r="X152" i="1"/>
  <c r="P152" i="1"/>
  <c r="AM151" i="1"/>
  <c r="AL151" i="1"/>
  <c r="AJ151" i="1"/>
  <c r="AI151" i="1"/>
  <c r="AG151" i="1" s="1"/>
  <c r="I151" i="1" s="1"/>
  <c r="H151" i="1" s="1"/>
  <c r="Y151" i="1"/>
  <c r="X151" i="1"/>
  <c r="P151" i="1"/>
  <c r="AM150" i="1"/>
  <c r="AL150" i="1"/>
  <c r="AJ150" i="1"/>
  <c r="AI150" i="1"/>
  <c r="AG150" i="1" s="1"/>
  <c r="N150" i="1" s="1"/>
  <c r="Y150" i="1"/>
  <c r="X150" i="1"/>
  <c r="W150" i="1"/>
  <c r="P150" i="1"/>
  <c r="AM149" i="1"/>
  <c r="AL149" i="1"/>
  <c r="AK149" i="1" s="1"/>
  <c r="AJ149" i="1"/>
  <c r="AI149" i="1"/>
  <c r="AG149" i="1" s="1"/>
  <c r="Y149" i="1"/>
  <c r="X149" i="1"/>
  <c r="P149" i="1"/>
  <c r="AM148" i="1"/>
  <c r="AL148" i="1"/>
  <c r="AK148" i="1"/>
  <c r="AJ148" i="1"/>
  <c r="AI148" i="1"/>
  <c r="AG148" i="1" s="1"/>
  <c r="AH148" i="1" s="1"/>
  <c r="Y148" i="1"/>
  <c r="X148" i="1"/>
  <c r="P148" i="1"/>
  <c r="K148" i="1"/>
  <c r="J148" i="1"/>
  <c r="I148" i="1"/>
  <c r="H148" i="1" s="1"/>
  <c r="AA148" i="1" s="1"/>
  <c r="AM147" i="1"/>
  <c r="AL147" i="1"/>
  <c r="AJ147" i="1"/>
  <c r="AK147" i="1" s="1"/>
  <c r="AI147" i="1"/>
  <c r="AG147" i="1" s="1"/>
  <c r="I147" i="1" s="1"/>
  <c r="H147" i="1" s="1"/>
  <c r="Y147" i="1"/>
  <c r="X147" i="1"/>
  <c r="P147" i="1"/>
  <c r="AM146" i="1"/>
  <c r="AL146" i="1"/>
  <c r="AJ146" i="1"/>
  <c r="AI146" i="1"/>
  <c r="AG146" i="1" s="1"/>
  <c r="N146" i="1" s="1"/>
  <c r="Y146" i="1"/>
  <c r="X146" i="1"/>
  <c r="P146" i="1"/>
  <c r="AM145" i="1"/>
  <c r="S145" i="1" s="1"/>
  <c r="AL145" i="1"/>
  <c r="AJ145" i="1"/>
  <c r="AI145" i="1"/>
  <c r="AG145" i="1" s="1"/>
  <c r="J145" i="1" s="1"/>
  <c r="Y145" i="1"/>
  <c r="X145" i="1"/>
  <c r="P145" i="1"/>
  <c r="AM144" i="1"/>
  <c r="AL144" i="1"/>
  <c r="AJ144" i="1"/>
  <c r="AI144" i="1"/>
  <c r="AG144" i="1" s="1"/>
  <c r="Y144" i="1"/>
  <c r="X144" i="1"/>
  <c r="P144" i="1"/>
  <c r="AM143" i="1"/>
  <c r="AL143" i="1"/>
  <c r="AJ143" i="1"/>
  <c r="AI143" i="1"/>
  <c r="AG143" i="1" s="1"/>
  <c r="Y143" i="1"/>
  <c r="X143" i="1"/>
  <c r="P143" i="1"/>
  <c r="AM142" i="1"/>
  <c r="AL142" i="1"/>
  <c r="AJ142" i="1"/>
  <c r="S142" i="1" s="1"/>
  <c r="AI142" i="1"/>
  <c r="AG142" i="1" s="1"/>
  <c r="Y142" i="1"/>
  <c r="X142" i="1"/>
  <c r="P142" i="1"/>
  <c r="AM141" i="1"/>
  <c r="AL141" i="1"/>
  <c r="AJ141" i="1"/>
  <c r="S141" i="1" s="1"/>
  <c r="AI141" i="1"/>
  <c r="AG141" i="1" s="1"/>
  <c r="AH141" i="1" s="1"/>
  <c r="Y141" i="1"/>
  <c r="X141" i="1"/>
  <c r="P141" i="1"/>
  <c r="AM140" i="1"/>
  <c r="AL140" i="1"/>
  <c r="AJ140" i="1"/>
  <c r="AK140" i="1" s="1"/>
  <c r="AI140" i="1"/>
  <c r="AG140" i="1" s="1"/>
  <c r="Y140" i="1"/>
  <c r="X140" i="1"/>
  <c r="W140" i="1" s="1"/>
  <c r="P140" i="1"/>
  <c r="AM139" i="1"/>
  <c r="AL139" i="1"/>
  <c r="AJ139" i="1"/>
  <c r="AK139" i="1" s="1"/>
  <c r="AI139" i="1"/>
  <c r="AG139" i="1" s="1"/>
  <c r="J139" i="1" s="1"/>
  <c r="Y139" i="1"/>
  <c r="X139" i="1"/>
  <c r="P139" i="1"/>
  <c r="AM138" i="1"/>
  <c r="AL138" i="1"/>
  <c r="AJ138" i="1"/>
  <c r="AI138" i="1"/>
  <c r="AG138" i="1" s="1"/>
  <c r="Y138" i="1"/>
  <c r="X138" i="1"/>
  <c r="P138" i="1"/>
  <c r="AM137" i="1"/>
  <c r="AL137" i="1"/>
  <c r="AJ137" i="1"/>
  <c r="AI137" i="1"/>
  <c r="AG137" i="1" s="1"/>
  <c r="Y137" i="1"/>
  <c r="X137" i="1"/>
  <c r="P137" i="1"/>
  <c r="AM136" i="1"/>
  <c r="AL136" i="1"/>
  <c r="AJ136" i="1"/>
  <c r="AI136" i="1"/>
  <c r="AG136" i="1" s="1"/>
  <c r="Y136" i="1"/>
  <c r="X136" i="1"/>
  <c r="P136" i="1"/>
  <c r="AM135" i="1"/>
  <c r="AL135" i="1"/>
  <c r="AJ135" i="1"/>
  <c r="AI135" i="1"/>
  <c r="AG135" i="1" s="1"/>
  <c r="J135" i="1" s="1"/>
  <c r="Y135" i="1"/>
  <c r="X135" i="1"/>
  <c r="W135" i="1" s="1"/>
  <c r="P135" i="1"/>
  <c r="AM134" i="1"/>
  <c r="AL134" i="1"/>
  <c r="AK134" i="1"/>
  <c r="AJ134" i="1"/>
  <c r="S134" i="1" s="1"/>
  <c r="AI134" i="1"/>
  <c r="AG134" i="1"/>
  <c r="I134" i="1" s="1"/>
  <c r="H134" i="1" s="1"/>
  <c r="AA134" i="1" s="1"/>
  <c r="Y134" i="1"/>
  <c r="X134" i="1"/>
  <c r="W134" i="1" s="1"/>
  <c r="P134" i="1"/>
  <c r="AM133" i="1"/>
  <c r="AL133" i="1"/>
  <c r="AK133" i="1" s="1"/>
  <c r="AJ133" i="1"/>
  <c r="S133" i="1" s="1"/>
  <c r="AI133" i="1"/>
  <c r="AG133" i="1" s="1"/>
  <c r="I133" i="1" s="1"/>
  <c r="H133" i="1" s="1"/>
  <c r="Y133" i="1"/>
  <c r="X133" i="1"/>
  <c r="P133" i="1"/>
  <c r="AM132" i="1"/>
  <c r="AL132" i="1"/>
  <c r="AJ132" i="1"/>
  <c r="AI132" i="1"/>
  <c r="AG132" i="1" s="1"/>
  <c r="Y132" i="1"/>
  <c r="X132" i="1"/>
  <c r="W132" i="1" s="1"/>
  <c r="P132" i="1"/>
  <c r="AM131" i="1"/>
  <c r="AL131" i="1"/>
  <c r="AJ131" i="1"/>
  <c r="AI131" i="1"/>
  <c r="AG131" i="1" s="1"/>
  <c r="Y131" i="1"/>
  <c r="X131" i="1"/>
  <c r="P131" i="1"/>
  <c r="AM130" i="1"/>
  <c r="AL130" i="1"/>
  <c r="AJ130" i="1"/>
  <c r="AK130" i="1" s="1"/>
  <c r="AI130" i="1"/>
  <c r="AG130" i="1" s="1"/>
  <c r="I130" i="1" s="1"/>
  <c r="H130" i="1" s="1"/>
  <c r="Y130" i="1"/>
  <c r="X130" i="1"/>
  <c r="P130" i="1"/>
  <c r="AM129" i="1"/>
  <c r="AL129" i="1"/>
  <c r="AJ129" i="1"/>
  <c r="AI129" i="1"/>
  <c r="AG129" i="1" s="1"/>
  <c r="AH129" i="1" s="1"/>
  <c r="Y129" i="1"/>
  <c r="X129" i="1"/>
  <c r="P129" i="1"/>
  <c r="AM128" i="1"/>
  <c r="AL128" i="1"/>
  <c r="AJ128" i="1"/>
  <c r="AI128" i="1"/>
  <c r="AG128" i="1" s="1"/>
  <c r="Y128" i="1"/>
  <c r="X128" i="1"/>
  <c r="P128" i="1"/>
  <c r="AM127" i="1"/>
  <c r="AL127" i="1"/>
  <c r="AJ127" i="1"/>
  <c r="AI127" i="1"/>
  <c r="AG127" i="1" s="1"/>
  <c r="Y127" i="1"/>
  <c r="X127" i="1"/>
  <c r="P127" i="1"/>
  <c r="AM126" i="1"/>
  <c r="AL126" i="1"/>
  <c r="AJ126" i="1"/>
  <c r="AI126" i="1"/>
  <c r="AG126" i="1" s="1"/>
  <c r="N126" i="1" s="1"/>
  <c r="Y126" i="1"/>
  <c r="X126" i="1"/>
  <c r="P126" i="1"/>
  <c r="AM125" i="1"/>
  <c r="AL125" i="1"/>
  <c r="AJ125" i="1"/>
  <c r="AK125" i="1" s="1"/>
  <c r="AI125" i="1"/>
  <c r="AG125" i="1" s="1"/>
  <c r="I125" i="1" s="1"/>
  <c r="H125" i="1" s="1"/>
  <c r="Y125" i="1"/>
  <c r="X125" i="1"/>
  <c r="P125" i="1"/>
  <c r="AM124" i="1"/>
  <c r="AL124" i="1"/>
  <c r="AJ124" i="1"/>
  <c r="AI124" i="1"/>
  <c r="AG124" i="1" s="1"/>
  <c r="Y124" i="1"/>
  <c r="X124" i="1"/>
  <c r="P124" i="1"/>
  <c r="AM123" i="1"/>
  <c r="AL123" i="1"/>
  <c r="AJ123" i="1"/>
  <c r="AI123" i="1"/>
  <c r="AG123" i="1" s="1"/>
  <c r="N123" i="1" s="1"/>
  <c r="Y123" i="1"/>
  <c r="X123" i="1"/>
  <c r="P123" i="1"/>
  <c r="AM122" i="1"/>
  <c r="AL122" i="1"/>
  <c r="AJ122" i="1"/>
  <c r="AK122" i="1" s="1"/>
  <c r="AI122" i="1"/>
  <c r="AG122" i="1"/>
  <c r="I122" i="1" s="1"/>
  <c r="H122" i="1" s="1"/>
  <c r="AA122" i="1" s="1"/>
  <c r="Y122" i="1"/>
  <c r="X122" i="1"/>
  <c r="P122" i="1"/>
  <c r="AM121" i="1"/>
  <c r="AL121" i="1"/>
  <c r="AJ121" i="1"/>
  <c r="AI121" i="1"/>
  <c r="AG121" i="1" s="1"/>
  <c r="I121" i="1" s="1"/>
  <c r="H121" i="1" s="1"/>
  <c r="AH121" i="1"/>
  <c r="Y121" i="1"/>
  <c r="X121" i="1"/>
  <c r="P121" i="1"/>
  <c r="AM120" i="1"/>
  <c r="AL120" i="1"/>
  <c r="AJ120" i="1"/>
  <c r="AI120" i="1"/>
  <c r="AG120" i="1"/>
  <c r="Y120" i="1"/>
  <c r="X120" i="1"/>
  <c r="P120" i="1"/>
  <c r="AM119" i="1"/>
  <c r="AL119" i="1"/>
  <c r="AJ119" i="1"/>
  <c r="AI119" i="1"/>
  <c r="AG119" i="1" s="1"/>
  <c r="Y119" i="1"/>
  <c r="X119" i="1"/>
  <c r="P119" i="1"/>
  <c r="N119" i="1"/>
  <c r="J119" i="1"/>
  <c r="AM118" i="1"/>
  <c r="AL118" i="1"/>
  <c r="AJ118" i="1"/>
  <c r="AI118" i="1"/>
  <c r="AG118" i="1" s="1"/>
  <c r="Y118" i="1"/>
  <c r="X118" i="1"/>
  <c r="P118" i="1"/>
  <c r="AM117" i="1"/>
  <c r="AL117" i="1"/>
  <c r="AJ117" i="1"/>
  <c r="AI117" i="1"/>
  <c r="AG117" i="1" s="1"/>
  <c r="AH117" i="1" s="1"/>
  <c r="Y117" i="1"/>
  <c r="X117" i="1"/>
  <c r="P117" i="1"/>
  <c r="N117" i="1"/>
  <c r="I117" i="1"/>
  <c r="H117" i="1" s="1"/>
  <c r="AM116" i="1"/>
  <c r="AL116" i="1"/>
  <c r="AJ116" i="1"/>
  <c r="AI116" i="1"/>
  <c r="AG116" i="1" s="1"/>
  <c r="Y116" i="1"/>
  <c r="W116" i="1" s="1"/>
  <c r="X116" i="1"/>
  <c r="P116" i="1"/>
  <c r="AM115" i="1"/>
  <c r="AL115" i="1"/>
  <c r="AJ115" i="1"/>
  <c r="AI115" i="1"/>
  <c r="AG115" i="1"/>
  <c r="Y115" i="1"/>
  <c r="X115" i="1"/>
  <c r="W115" i="1" s="1"/>
  <c r="P115" i="1"/>
  <c r="AM114" i="1"/>
  <c r="AL114" i="1"/>
  <c r="AJ114" i="1"/>
  <c r="AK114" i="1" s="1"/>
  <c r="AI114" i="1"/>
  <c r="AG114" i="1" s="1"/>
  <c r="Y114" i="1"/>
  <c r="X114" i="1"/>
  <c r="P114" i="1"/>
  <c r="N114" i="1"/>
  <c r="K114" i="1"/>
  <c r="AM113" i="1"/>
  <c r="AL113" i="1"/>
  <c r="AJ113" i="1"/>
  <c r="AI113" i="1"/>
  <c r="AG113" i="1" s="1"/>
  <c r="Y113" i="1"/>
  <c r="X113" i="1"/>
  <c r="P113" i="1"/>
  <c r="AM112" i="1"/>
  <c r="AL112" i="1"/>
  <c r="AJ112" i="1"/>
  <c r="AI112" i="1"/>
  <c r="AG112" i="1"/>
  <c r="N112" i="1" s="1"/>
  <c r="Y112" i="1"/>
  <c r="X112" i="1"/>
  <c r="W112" i="1"/>
  <c r="P112" i="1"/>
  <c r="AM111" i="1"/>
  <c r="AL111" i="1"/>
  <c r="AJ111" i="1"/>
  <c r="AI111" i="1"/>
  <c r="AG111" i="1" s="1"/>
  <c r="AH111" i="1" s="1"/>
  <c r="Y111" i="1"/>
  <c r="X111" i="1"/>
  <c r="P111" i="1"/>
  <c r="AM110" i="1"/>
  <c r="AL110" i="1"/>
  <c r="AJ110" i="1"/>
  <c r="AI110" i="1"/>
  <c r="AG110" i="1"/>
  <c r="Y110" i="1"/>
  <c r="X110" i="1"/>
  <c r="P110" i="1"/>
  <c r="AM109" i="1"/>
  <c r="AL109" i="1"/>
  <c r="AJ109" i="1"/>
  <c r="AI109" i="1"/>
  <c r="AG109" i="1" s="1"/>
  <c r="AH109" i="1" s="1"/>
  <c r="Y109" i="1"/>
  <c r="X109" i="1"/>
  <c r="P109" i="1"/>
  <c r="AM108" i="1"/>
  <c r="AL108" i="1"/>
  <c r="AJ108" i="1"/>
  <c r="AI108" i="1"/>
  <c r="AG108" i="1" s="1"/>
  <c r="N108" i="1" s="1"/>
  <c r="Y108" i="1"/>
  <c r="X108" i="1"/>
  <c r="W108" i="1" s="1"/>
  <c r="P108" i="1"/>
  <c r="AM107" i="1"/>
  <c r="AL107" i="1"/>
  <c r="AJ107" i="1"/>
  <c r="AI107" i="1"/>
  <c r="AG107" i="1" s="1"/>
  <c r="N107" i="1" s="1"/>
  <c r="AH107" i="1"/>
  <c r="Y107" i="1"/>
  <c r="X107" i="1"/>
  <c r="P107" i="1"/>
  <c r="AM106" i="1"/>
  <c r="AL106" i="1"/>
  <c r="AJ106" i="1"/>
  <c r="S106" i="1" s="1"/>
  <c r="AI106" i="1"/>
  <c r="AG106" i="1" s="1"/>
  <c r="AH106" i="1"/>
  <c r="Y106" i="1"/>
  <c r="X106" i="1"/>
  <c r="W106" i="1" s="1"/>
  <c r="P106" i="1"/>
  <c r="N106" i="1"/>
  <c r="K106" i="1"/>
  <c r="AM105" i="1"/>
  <c r="AL105" i="1"/>
  <c r="AJ105" i="1"/>
  <c r="AI105" i="1"/>
  <c r="AG105" i="1" s="1"/>
  <c r="Y105" i="1"/>
  <c r="X105" i="1"/>
  <c r="P105" i="1"/>
  <c r="AM104" i="1"/>
  <c r="AL104" i="1"/>
  <c r="AJ104" i="1"/>
  <c r="AI104" i="1"/>
  <c r="AG104" i="1" s="1"/>
  <c r="N104" i="1" s="1"/>
  <c r="Y104" i="1"/>
  <c r="X104" i="1"/>
  <c r="P104" i="1"/>
  <c r="AM103" i="1"/>
  <c r="AL103" i="1"/>
  <c r="AJ103" i="1"/>
  <c r="AI103" i="1"/>
  <c r="AG103" i="1" s="1"/>
  <c r="N103" i="1" s="1"/>
  <c r="Y103" i="1"/>
  <c r="X103" i="1"/>
  <c r="P103" i="1"/>
  <c r="J103" i="1"/>
  <c r="AM102" i="1"/>
  <c r="S102" i="1" s="1"/>
  <c r="AL102" i="1"/>
  <c r="AK102" i="1" s="1"/>
  <c r="AJ102" i="1"/>
  <c r="AI102" i="1"/>
  <c r="AG102" i="1"/>
  <c r="I102" i="1" s="1"/>
  <c r="H102" i="1" s="1"/>
  <c r="Y102" i="1"/>
  <c r="X102" i="1"/>
  <c r="P102" i="1"/>
  <c r="AM101" i="1"/>
  <c r="AL101" i="1"/>
  <c r="AJ101" i="1"/>
  <c r="AI101" i="1"/>
  <c r="AG101" i="1" s="1"/>
  <c r="Y101" i="1"/>
  <c r="X101" i="1"/>
  <c r="P101" i="1"/>
  <c r="AM100" i="1"/>
  <c r="AL100" i="1"/>
  <c r="AJ100" i="1"/>
  <c r="AI100" i="1"/>
  <c r="AG100" i="1" s="1"/>
  <c r="J100" i="1" s="1"/>
  <c r="Y100" i="1"/>
  <c r="X100" i="1"/>
  <c r="P100" i="1"/>
  <c r="AM99" i="1"/>
  <c r="AL99" i="1"/>
  <c r="AJ99" i="1"/>
  <c r="AI99" i="1"/>
  <c r="AG99" i="1" s="1"/>
  <c r="J99" i="1" s="1"/>
  <c r="Y99" i="1"/>
  <c r="X99" i="1"/>
  <c r="P99" i="1"/>
  <c r="AM98" i="1"/>
  <c r="S98" i="1" s="1"/>
  <c r="AL98" i="1"/>
  <c r="AK98" i="1" s="1"/>
  <c r="AJ98" i="1"/>
  <c r="AI98" i="1"/>
  <c r="AG98" i="1" s="1"/>
  <c r="AH98" i="1" s="1"/>
  <c r="Y98" i="1"/>
  <c r="X98" i="1"/>
  <c r="P98" i="1"/>
  <c r="AM97" i="1"/>
  <c r="AL97" i="1"/>
  <c r="AJ97" i="1"/>
  <c r="AI97" i="1"/>
  <c r="AG97" i="1" s="1"/>
  <c r="Y97" i="1"/>
  <c r="X97" i="1"/>
  <c r="W97" i="1" s="1"/>
  <c r="P97" i="1"/>
  <c r="AM96" i="1"/>
  <c r="AL96" i="1"/>
  <c r="AJ96" i="1"/>
  <c r="AI96" i="1"/>
  <c r="AG96" i="1" s="1"/>
  <c r="Y96" i="1"/>
  <c r="X96" i="1"/>
  <c r="W96" i="1" s="1"/>
  <c r="P96" i="1"/>
  <c r="AM95" i="1"/>
  <c r="AL95" i="1"/>
  <c r="AJ95" i="1"/>
  <c r="AI95" i="1"/>
  <c r="AG95" i="1" s="1"/>
  <c r="Y95" i="1"/>
  <c r="X95" i="1"/>
  <c r="P95" i="1"/>
  <c r="AM94" i="1"/>
  <c r="AL94" i="1"/>
  <c r="AJ94" i="1"/>
  <c r="AI94" i="1"/>
  <c r="AG94" i="1" s="1"/>
  <c r="AH94" i="1" s="1"/>
  <c r="Y94" i="1"/>
  <c r="X94" i="1"/>
  <c r="P94" i="1"/>
  <c r="N94" i="1"/>
  <c r="AM93" i="1"/>
  <c r="AL93" i="1"/>
  <c r="AJ93" i="1"/>
  <c r="AI93" i="1"/>
  <c r="AG93" i="1" s="1"/>
  <c r="N93" i="1" s="1"/>
  <c r="Y93" i="1"/>
  <c r="W93" i="1" s="1"/>
  <c r="X93" i="1"/>
  <c r="P93" i="1"/>
  <c r="AM92" i="1"/>
  <c r="AL92" i="1"/>
  <c r="AJ92" i="1"/>
  <c r="AI92" i="1"/>
  <c r="AG92" i="1"/>
  <c r="K92" i="1" s="1"/>
  <c r="Y92" i="1"/>
  <c r="X92" i="1"/>
  <c r="W92" i="1" s="1"/>
  <c r="P92" i="1"/>
  <c r="AM91" i="1"/>
  <c r="AL91" i="1"/>
  <c r="AJ91" i="1"/>
  <c r="AI91" i="1"/>
  <c r="AG91" i="1" s="1"/>
  <c r="I91" i="1" s="1"/>
  <c r="H91" i="1" s="1"/>
  <c r="AA91" i="1" s="1"/>
  <c r="AH91" i="1"/>
  <c r="Y91" i="1"/>
  <c r="X91" i="1"/>
  <c r="W91" i="1" s="1"/>
  <c r="P91" i="1"/>
  <c r="J91" i="1"/>
  <c r="AM90" i="1"/>
  <c r="AL90" i="1"/>
  <c r="AK90" i="1" s="1"/>
  <c r="AJ90" i="1"/>
  <c r="AI90" i="1"/>
  <c r="AG90" i="1" s="1"/>
  <c r="AH90" i="1" s="1"/>
  <c r="Y90" i="1"/>
  <c r="X90" i="1"/>
  <c r="S90" i="1"/>
  <c r="P90" i="1"/>
  <c r="AM89" i="1"/>
  <c r="AL89" i="1"/>
  <c r="AJ89" i="1"/>
  <c r="AI89" i="1"/>
  <c r="AG89" i="1"/>
  <c r="Y89" i="1"/>
  <c r="X89" i="1"/>
  <c r="W89" i="1" s="1"/>
  <c r="P89" i="1"/>
  <c r="AM88" i="1"/>
  <c r="AL88" i="1"/>
  <c r="AJ88" i="1"/>
  <c r="AI88" i="1"/>
  <c r="AG88" i="1"/>
  <c r="K88" i="1" s="1"/>
  <c r="Y88" i="1"/>
  <c r="X88" i="1"/>
  <c r="W88" i="1" s="1"/>
  <c r="P88" i="1"/>
  <c r="AM87" i="1"/>
  <c r="AL87" i="1"/>
  <c r="AJ87" i="1"/>
  <c r="AK87" i="1" s="1"/>
  <c r="AI87" i="1"/>
  <c r="AG87" i="1" s="1"/>
  <c r="I87" i="1" s="1"/>
  <c r="H87" i="1" s="1"/>
  <c r="Y87" i="1"/>
  <c r="X87" i="1"/>
  <c r="W87" i="1" s="1"/>
  <c r="P87" i="1"/>
  <c r="AM86" i="1"/>
  <c r="AL86" i="1"/>
  <c r="AJ86" i="1"/>
  <c r="S86" i="1" s="1"/>
  <c r="AI86" i="1"/>
  <c r="AG86" i="1" s="1"/>
  <c r="J86" i="1" s="1"/>
  <c r="Y86" i="1"/>
  <c r="X86" i="1"/>
  <c r="P86" i="1"/>
  <c r="AM85" i="1"/>
  <c r="AL85" i="1"/>
  <c r="AJ85" i="1"/>
  <c r="AI85" i="1"/>
  <c r="AG85" i="1" s="1"/>
  <c r="Y85" i="1"/>
  <c r="X85" i="1"/>
  <c r="W85" i="1"/>
  <c r="P85" i="1"/>
  <c r="AM84" i="1"/>
  <c r="AL84" i="1"/>
  <c r="AJ84" i="1"/>
  <c r="AI84" i="1"/>
  <c r="AG84" i="1" s="1"/>
  <c r="Y84" i="1"/>
  <c r="X84" i="1"/>
  <c r="W84" i="1" s="1"/>
  <c r="P84" i="1"/>
  <c r="AM83" i="1"/>
  <c r="AL83" i="1"/>
  <c r="AJ83" i="1"/>
  <c r="AI83" i="1"/>
  <c r="AG83" i="1" s="1"/>
  <c r="AH83" i="1" s="1"/>
  <c r="Y83" i="1"/>
  <c r="X83" i="1"/>
  <c r="W83" i="1" s="1"/>
  <c r="P83" i="1"/>
  <c r="K83" i="1"/>
  <c r="AM82" i="1"/>
  <c r="AL82" i="1"/>
  <c r="AJ82" i="1"/>
  <c r="AI82" i="1"/>
  <c r="AG82" i="1" s="1"/>
  <c r="Y82" i="1"/>
  <c r="X82" i="1"/>
  <c r="W82" i="1" s="1"/>
  <c r="S82" i="1"/>
  <c r="P82" i="1"/>
  <c r="AM81" i="1"/>
  <c r="AL81" i="1"/>
  <c r="AJ81" i="1"/>
  <c r="AI81" i="1"/>
  <c r="AG81" i="1"/>
  <c r="Y81" i="1"/>
  <c r="X81" i="1"/>
  <c r="P81" i="1"/>
  <c r="AM80" i="1"/>
  <c r="AL80" i="1"/>
  <c r="AJ80" i="1"/>
  <c r="S80" i="1" s="1"/>
  <c r="AI80" i="1"/>
  <c r="AG80" i="1" s="1"/>
  <c r="Y80" i="1"/>
  <c r="X80" i="1"/>
  <c r="P80" i="1"/>
  <c r="AM79" i="1"/>
  <c r="AL79" i="1"/>
  <c r="AJ79" i="1"/>
  <c r="AI79" i="1"/>
  <c r="AG79" i="1" s="1"/>
  <c r="AH79" i="1" s="1"/>
  <c r="Y79" i="1"/>
  <c r="X79" i="1"/>
  <c r="P79" i="1"/>
  <c r="AM78" i="1"/>
  <c r="AL78" i="1"/>
  <c r="AJ78" i="1"/>
  <c r="AI78" i="1"/>
  <c r="AG78" i="1" s="1"/>
  <c r="Y78" i="1"/>
  <c r="X78" i="1"/>
  <c r="P78" i="1"/>
  <c r="AM77" i="1"/>
  <c r="AL77" i="1"/>
  <c r="AJ77" i="1"/>
  <c r="AI77" i="1"/>
  <c r="AG77" i="1" s="1"/>
  <c r="Y77" i="1"/>
  <c r="X77" i="1"/>
  <c r="W77" i="1" s="1"/>
  <c r="P77" i="1"/>
  <c r="AM76" i="1"/>
  <c r="AL76" i="1"/>
  <c r="AJ76" i="1"/>
  <c r="AI76" i="1"/>
  <c r="AG76" i="1" s="1"/>
  <c r="Y76" i="1"/>
  <c r="X76" i="1"/>
  <c r="W76" i="1" s="1"/>
  <c r="P76" i="1"/>
  <c r="AM75" i="1"/>
  <c r="AL75" i="1"/>
  <c r="AJ75" i="1"/>
  <c r="AI75" i="1"/>
  <c r="AG75" i="1" s="1"/>
  <c r="AH75" i="1" s="1"/>
  <c r="Y75" i="1"/>
  <c r="X75" i="1"/>
  <c r="P75" i="1"/>
  <c r="N75" i="1"/>
  <c r="AM74" i="1"/>
  <c r="AL74" i="1"/>
  <c r="AJ74" i="1"/>
  <c r="S74" i="1" s="1"/>
  <c r="AI74" i="1"/>
  <c r="AG74" i="1" s="1"/>
  <c r="Y74" i="1"/>
  <c r="X74" i="1"/>
  <c r="P74" i="1"/>
  <c r="AM73" i="1"/>
  <c r="AL73" i="1"/>
  <c r="AJ73" i="1"/>
  <c r="AI73" i="1"/>
  <c r="AG73" i="1" s="1"/>
  <c r="I73" i="1" s="1"/>
  <c r="H73" i="1" s="1"/>
  <c r="Y73" i="1"/>
  <c r="X73" i="1"/>
  <c r="W73" i="1" s="1"/>
  <c r="P73" i="1"/>
  <c r="AM72" i="1"/>
  <c r="AL72" i="1"/>
  <c r="AJ72" i="1"/>
  <c r="S72" i="1" s="1"/>
  <c r="AI72" i="1"/>
  <c r="AG72" i="1" s="1"/>
  <c r="Y72" i="1"/>
  <c r="X72" i="1"/>
  <c r="P72" i="1"/>
  <c r="AM71" i="1"/>
  <c r="AL71" i="1"/>
  <c r="AJ71" i="1"/>
  <c r="AK71" i="1" s="1"/>
  <c r="AI71" i="1"/>
  <c r="AG71" i="1" s="1"/>
  <c r="N71" i="1" s="1"/>
  <c r="AH71" i="1"/>
  <c r="Y71" i="1"/>
  <c r="X71" i="1"/>
  <c r="P71" i="1"/>
  <c r="AM70" i="1"/>
  <c r="S70" i="1" s="1"/>
  <c r="AL70" i="1"/>
  <c r="AJ70" i="1"/>
  <c r="AI70" i="1"/>
  <c r="AG70" i="1" s="1"/>
  <c r="I70" i="1" s="1"/>
  <c r="H70" i="1" s="1"/>
  <c r="AA70" i="1" s="1"/>
  <c r="Y70" i="1"/>
  <c r="X70" i="1"/>
  <c r="P70" i="1"/>
  <c r="AM69" i="1"/>
  <c r="AL69" i="1"/>
  <c r="AJ69" i="1"/>
  <c r="AI69" i="1"/>
  <c r="AG69" i="1" s="1"/>
  <c r="Y69" i="1"/>
  <c r="X69" i="1"/>
  <c r="P69" i="1"/>
  <c r="J69" i="1"/>
  <c r="AM68" i="1"/>
  <c r="AL68" i="1"/>
  <c r="AJ68" i="1"/>
  <c r="AI68" i="1"/>
  <c r="AG68" i="1" s="1"/>
  <c r="K68" i="1" s="1"/>
  <c r="Y68" i="1"/>
  <c r="X68" i="1"/>
  <c r="P68" i="1"/>
  <c r="AM67" i="1"/>
  <c r="AL67" i="1"/>
  <c r="AJ67" i="1"/>
  <c r="AI67" i="1"/>
  <c r="AG67" i="1" s="1"/>
  <c r="I67" i="1" s="1"/>
  <c r="H67" i="1" s="1"/>
  <c r="AA67" i="1" s="1"/>
  <c r="Y67" i="1"/>
  <c r="X67" i="1"/>
  <c r="P67" i="1"/>
  <c r="AM66" i="1"/>
  <c r="AL66" i="1"/>
  <c r="AJ66" i="1"/>
  <c r="S66" i="1" s="1"/>
  <c r="AI66" i="1"/>
  <c r="AG66" i="1" s="1"/>
  <c r="Y66" i="1"/>
  <c r="X66" i="1"/>
  <c r="P66" i="1"/>
  <c r="AM65" i="1"/>
  <c r="AL65" i="1"/>
  <c r="AJ65" i="1"/>
  <c r="AI65" i="1"/>
  <c r="AG65" i="1"/>
  <c r="I65" i="1" s="1"/>
  <c r="H65" i="1" s="1"/>
  <c r="AA65" i="1" s="1"/>
  <c r="Y65" i="1"/>
  <c r="X65" i="1"/>
  <c r="P65" i="1"/>
  <c r="AM64" i="1"/>
  <c r="AL64" i="1"/>
  <c r="AJ64" i="1"/>
  <c r="AI64" i="1"/>
  <c r="AG64" i="1"/>
  <c r="N64" i="1" s="1"/>
  <c r="Y64" i="1"/>
  <c r="X64" i="1"/>
  <c r="W64" i="1" s="1"/>
  <c r="P64" i="1"/>
  <c r="AM63" i="1"/>
  <c r="AL63" i="1"/>
  <c r="AJ63" i="1"/>
  <c r="AI63" i="1"/>
  <c r="AG63" i="1" s="1"/>
  <c r="AH63" i="1" s="1"/>
  <c r="Y63" i="1"/>
  <c r="X63" i="1"/>
  <c r="P63" i="1"/>
  <c r="N63" i="1"/>
  <c r="K63" i="1"/>
  <c r="AM62" i="1"/>
  <c r="S62" i="1" s="1"/>
  <c r="AL62" i="1"/>
  <c r="AJ62" i="1"/>
  <c r="AI62" i="1"/>
  <c r="AG62" i="1" s="1"/>
  <c r="K62" i="1" s="1"/>
  <c r="Y62" i="1"/>
  <c r="X62" i="1"/>
  <c r="P62" i="1"/>
  <c r="AM61" i="1"/>
  <c r="AL61" i="1"/>
  <c r="AJ61" i="1"/>
  <c r="AI61" i="1"/>
  <c r="AG61" i="1" s="1"/>
  <c r="Y61" i="1"/>
  <c r="X61" i="1"/>
  <c r="P61" i="1"/>
  <c r="AM60" i="1"/>
  <c r="S60" i="1" s="1"/>
  <c r="AL60" i="1"/>
  <c r="AJ60" i="1"/>
  <c r="AK60" i="1" s="1"/>
  <c r="AI60" i="1"/>
  <c r="AG60" i="1" s="1"/>
  <c r="Y60" i="1"/>
  <c r="X60" i="1"/>
  <c r="P60" i="1"/>
  <c r="AM59" i="1"/>
  <c r="AL59" i="1"/>
  <c r="AJ59" i="1"/>
  <c r="AI59" i="1"/>
  <c r="AG59" i="1" s="1"/>
  <c r="Y59" i="1"/>
  <c r="X59" i="1"/>
  <c r="P59" i="1"/>
  <c r="N59" i="1"/>
  <c r="I59" i="1"/>
  <c r="H59" i="1" s="1"/>
  <c r="AA59" i="1" s="1"/>
  <c r="AM58" i="1"/>
  <c r="S58" i="1" s="1"/>
  <c r="AL58" i="1"/>
  <c r="AJ58" i="1"/>
  <c r="AI58" i="1"/>
  <c r="AG58" i="1"/>
  <c r="Y58" i="1"/>
  <c r="X58" i="1"/>
  <c r="W58" i="1" s="1"/>
  <c r="P58" i="1"/>
  <c r="AM57" i="1"/>
  <c r="AL57" i="1"/>
  <c r="AJ57" i="1"/>
  <c r="AI57" i="1"/>
  <c r="AG57" i="1" s="1"/>
  <c r="J57" i="1" s="1"/>
  <c r="Y57" i="1"/>
  <c r="X57" i="1"/>
  <c r="P57" i="1"/>
  <c r="AM56" i="1"/>
  <c r="AL56" i="1"/>
  <c r="AJ56" i="1"/>
  <c r="AI56" i="1"/>
  <c r="AG56" i="1"/>
  <c r="AH56" i="1" s="1"/>
  <c r="Y56" i="1"/>
  <c r="X56" i="1"/>
  <c r="W56" i="1" s="1"/>
  <c r="P56" i="1"/>
  <c r="AM55" i="1"/>
  <c r="AL55" i="1"/>
  <c r="AJ55" i="1"/>
  <c r="AK55" i="1" s="1"/>
  <c r="AI55" i="1"/>
  <c r="AG55" i="1" s="1"/>
  <c r="N55" i="1" s="1"/>
  <c r="Y55" i="1"/>
  <c r="X55" i="1"/>
  <c r="P55" i="1"/>
  <c r="I55" i="1"/>
  <c r="H55" i="1" s="1"/>
  <c r="AA55" i="1" s="1"/>
  <c r="AM54" i="1"/>
  <c r="AL54" i="1"/>
  <c r="AJ54" i="1"/>
  <c r="AI54" i="1"/>
  <c r="AG54" i="1" s="1"/>
  <c r="K54" i="1" s="1"/>
  <c r="Y54" i="1"/>
  <c r="W54" i="1" s="1"/>
  <c r="X54" i="1"/>
  <c r="P54" i="1"/>
  <c r="AM53" i="1"/>
  <c r="AL53" i="1"/>
  <c r="AJ53" i="1"/>
  <c r="AI53" i="1"/>
  <c r="AG53" i="1" s="1"/>
  <c r="I53" i="1" s="1"/>
  <c r="H53" i="1" s="1"/>
  <c r="AA53" i="1" s="1"/>
  <c r="Y53" i="1"/>
  <c r="X53" i="1"/>
  <c r="P53" i="1"/>
  <c r="J53" i="1"/>
  <c r="AM52" i="1"/>
  <c r="AL52" i="1"/>
  <c r="AJ52" i="1"/>
  <c r="AI52" i="1"/>
  <c r="AG52" i="1" s="1"/>
  <c r="K52" i="1" s="1"/>
  <c r="Y52" i="1"/>
  <c r="X52" i="1"/>
  <c r="P52" i="1"/>
  <c r="AM51" i="1"/>
  <c r="AL51" i="1"/>
  <c r="AJ51" i="1"/>
  <c r="AI51" i="1"/>
  <c r="AG51" i="1" s="1"/>
  <c r="N51" i="1" s="1"/>
  <c r="Y51" i="1"/>
  <c r="X51" i="1"/>
  <c r="P51" i="1"/>
  <c r="AM50" i="1"/>
  <c r="AL50" i="1"/>
  <c r="AJ50" i="1"/>
  <c r="S50" i="1" s="1"/>
  <c r="AI50" i="1"/>
  <c r="AG50" i="1" s="1"/>
  <c r="K50" i="1" s="1"/>
  <c r="Y50" i="1"/>
  <c r="X50" i="1"/>
  <c r="W50" i="1" s="1"/>
  <c r="P50" i="1"/>
  <c r="AM49" i="1"/>
  <c r="AL49" i="1"/>
  <c r="AJ49" i="1"/>
  <c r="AI49" i="1"/>
  <c r="AG49" i="1" s="1"/>
  <c r="J49" i="1" s="1"/>
  <c r="Y49" i="1"/>
  <c r="X49" i="1"/>
  <c r="W49" i="1" s="1"/>
  <c r="P49" i="1"/>
  <c r="I49" i="1"/>
  <c r="H49" i="1" s="1"/>
  <c r="AA49" i="1" s="1"/>
  <c r="AM48" i="1"/>
  <c r="AL48" i="1"/>
  <c r="AJ48" i="1"/>
  <c r="S48" i="1" s="1"/>
  <c r="AI48" i="1"/>
  <c r="AG48" i="1"/>
  <c r="AH48" i="1" s="1"/>
  <c r="Y48" i="1"/>
  <c r="X48" i="1"/>
  <c r="W48" i="1" s="1"/>
  <c r="P48" i="1"/>
  <c r="AM47" i="1"/>
  <c r="AL47" i="1"/>
  <c r="AJ47" i="1"/>
  <c r="AK47" i="1" s="1"/>
  <c r="AI47" i="1"/>
  <c r="AG47" i="1" s="1"/>
  <c r="N47" i="1" s="1"/>
  <c r="Y47" i="1"/>
  <c r="X47" i="1"/>
  <c r="P47" i="1"/>
  <c r="AM46" i="1"/>
  <c r="AL46" i="1"/>
  <c r="AJ46" i="1"/>
  <c r="S46" i="1" s="1"/>
  <c r="AI46" i="1"/>
  <c r="AG46" i="1" s="1"/>
  <c r="Y46" i="1"/>
  <c r="X46" i="1"/>
  <c r="W46" i="1"/>
  <c r="P46" i="1"/>
  <c r="AM45" i="1"/>
  <c r="AL45" i="1"/>
  <c r="AJ45" i="1"/>
  <c r="AI45" i="1"/>
  <c r="AG45" i="1" s="1"/>
  <c r="Y45" i="1"/>
  <c r="X45" i="1"/>
  <c r="W45" i="1" s="1"/>
  <c r="P45" i="1"/>
  <c r="AM44" i="1"/>
  <c r="AL44" i="1"/>
  <c r="AJ44" i="1"/>
  <c r="AI44" i="1"/>
  <c r="AG44" i="1" s="1"/>
  <c r="Y44" i="1"/>
  <c r="X44" i="1"/>
  <c r="P44" i="1"/>
  <c r="AM43" i="1"/>
  <c r="AL43" i="1"/>
  <c r="AJ43" i="1"/>
  <c r="AI43" i="1"/>
  <c r="AG43" i="1" s="1"/>
  <c r="N43" i="1" s="1"/>
  <c r="AH43" i="1"/>
  <c r="Y43" i="1"/>
  <c r="X43" i="1"/>
  <c r="P43" i="1"/>
  <c r="AM42" i="1"/>
  <c r="AL42" i="1"/>
  <c r="AJ42" i="1"/>
  <c r="AI42" i="1"/>
  <c r="AG42" i="1" s="1"/>
  <c r="N42" i="1" s="1"/>
  <c r="Y42" i="1"/>
  <c r="W42" i="1" s="1"/>
  <c r="X42" i="1"/>
  <c r="P42" i="1"/>
  <c r="AM41" i="1"/>
  <c r="AL41" i="1"/>
  <c r="AJ41" i="1"/>
  <c r="AI41" i="1"/>
  <c r="AG41" i="1" s="1"/>
  <c r="AH41" i="1" s="1"/>
  <c r="Y41" i="1"/>
  <c r="X41" i="1"/>
  <c r="W41" i="1" s="1"/>
  <c r="P41" i="1"/>
  <c r="AM40" i="1"/>
  <c r="AL40" i="1"/>
  <c r="AK40" i="1"/>
  <c r="AJ40" i="1"/>
  <c r="S40" i="1" s="1"/>
  <c r="AI40" i="1"/>
  <c r="AG40" i="1" s="1"/>
  <c r="Y40" i="1"/>
  <c r="X40" i="1"/>
  <c r="W40" i="1" s="1"/>
  <c r="P40" i="1"/>
  <c r="AM39" i="1"/>
  <c r="AL39" i="1"/>
  <c r="AJ39" i="1"/>
  <c r="AI39" i="1"/>
  <c r="AG39" i="1" s="1"/>
  <c r="AH39" i="1" s="1"/>
  <c r="Y39" i="1"/>
  <c r="X39" i="1"/>
  <c r="P39" i="1"/>
  <c r="AM38" i="1"/>
  <c r="AL38" i="1"/>
  <c r="AJ38" i="1"/>
  <c r="AK38" i="1" s="1"/>
  <c r="AI38" i="1"/>
  <c r="AG38" i="1"/>
  <c r="J38" i="1" s="1"/>
  <c r="Y38" i="1"/>
  <c r="X38" i="1"/>
  <c r="W38" i="1" s="1"/>
  <c r="P38" i="1"/>
  <c r="K38" i="1"/>
  <c r="AM37" i="1"/>
  <c r="AL37" i="1"/>
  <c r="AJ37" i="1"/>
  <c r="AI37" i="1"/>
  <c r="AG37" i="1" s="1"/>
  <c r="J37" i="1" s="1"/>
  <c r="Y37" i="1"/>
  <c r="X37" i="1"/>
  <c r="P37" i="1"/>
  <c r="AM36" i="1"/>
  <c r="AL36" i="1"/>
  <c r="AJ36" i="1"/>
  <c r="AK36" i="1" s="1"/>
  <c r="AI36" i="1"/>
  <c r="AG36" i="1" s="1"/>
  <c r="Y36" i="1"/>
  <c r="X36" i="1"/>
  <c r="W36" i="1" s="1"/>
  <c r="P36" i="1"/>
  <c r="AM35" i="1"/>
  <c r="AL35" i="1"/>
  <c r="AJ35" i="1"/>
  <c r="AI35" i="1"/>
  <c r="AG35" i="1" s="1"/>
  <c r="AH35" i="1" s="1"/>
  <c r="Y35" i="1"/>
  <c r="X35" i="1"/>
  <c r="W35" i="1" s="1"/>
  <c r="P35" i="1"/>
  <c r="AM34" i="1"/>
  <c r="AL34" i="1"/>
  <c r="AJ34" i="1"/>
  <c r="S34" i="1" s="1"/>
  <c r="AI34" i="1"/>
  <c r="AG34" i="1" s="1"/>
  <c r="K34" i="1" s="1"/>
  <c r="Y34" i="1"/>
  <c r="X34" i="1"/>
  <c r="P34" i="1"/>
  <c r="AM33" i="1"/>
  <c r="AL33" i="1"/>
  <c r="AJ33" i="1"/>
  <c r="AI33" i="1"/>
  <c r="AG33" i="1" s="1"/>
  <c r="K33" i="1" s="1"/>
  <c r="Y33" i="1"/>
  <c r="X33" i="1"/>
  <c r="P33" i="1"/>
  <c r="AM32" i="1"/>
  <c r="AL32" i="1"/>
  <c r="AJ32" i="1"/>
  <c r="AI32" i="1"/>
  <c r="AG32" i="1" s="1"/>
  <c r="Y32" i="1"/>
  <c r="X32" i="1"/>
  <c r="P32" i="1"/>
  <c r="AM31" i="1"/>
  <c r="AL31" i="1"/>
  <c r="AJ31" i="1"/>
  <c r="AI31" i="1"/>
  <c r="AG31" i="1" s="1"/>
  <c r="K31" i="1" s="1"/>
  <c r="Y31" i="1"/>
  <c r="X31" i="1"/>
  <c r="W31" i="1" s="1"/>
  <c r="P31" i="1"/>
  <c r="AM30" i="1"/>
  <c r="AL30" i="1"/>
  <c r="AJ30" i="1"/>
  <c r="AI30" i="1"/>
  <c r="AG30" i="1"/>
  <c r="I30" i="1" s="1"/>
  <c r="H30" i="1" s="1"/>
  <c r="Y30" i="1"/>
  <c r="X30" i="1"/>
  <c r="W30" i="1" s="1"/>
  <c r="P30" i="1"/>
  <c r="AM29" i="1"/>
  <c r="AL29" i="1"/>
  <c r="AJ29" i="1"/>
  <c r="S29" i="1" s="1"/>
  <c r="AI29" i="1"/>
  <c r="AG29" i="1" s="1"/>
  <c r="AH29" i="1" s="1"/>
  <c r="Y29" i="1"/>
  <c r="X29" i="1"/>
  <c r="W29" i="1" s="1"/>
  <c r="P29" i="1"/>
  <c r="AM28" i="1"/>
  <c r="AL28" i="1"/>
  <c r="AJ28" i="1"/>
  <c r="AK28" i="1" s="1"/>
  <c r="AI28" i="1"/>
  <c r="AG28" i="1" s="1"/>
  <c r="Y28" i="1"/>
  <c r="X28" i="1"/>
  <c r="W28" i="1" s="1"/>
  <c r="P28" i="1"/>
  <c r="AM27" i="1"/>
  <c r="AL27" i="1"/>
  <c r="AJ27" i="1"/>
  <c r="AI27" i="1"/>
  <c r="AG27" i="1" s="1"/>
  <c r="Y27" i="1"/>
  <c r="W27" i="1" s="1"/>
  <c r="X27" i="1"/>
  <c r="P27" i="1"/>
  <c r="AM26" i="1"/>
  <c r="S26" i="1" s="1"/>
  <c r="AL26" i="1"/>
  <c r="AJ26" i="1"/>
  <c r="AI26" i="1"/>
  <c r="AG26" i="1"/>
  <c r="K26" i="1" s="1"/>
  <c r="Y26" i="1"/>
  <c r="X26" i="1"/>
  <c r="W26" i="1"/>
  <c r="P26" i="1"/>
  <c r="AM25" i="1"/>
  <c r="AL25" i="1"/>
  <c r="AJ25" i="1"/>
  <c r="AK25" i="1" s="1"/>
  <c r="AI25" i="1"/>
  <c r="AG25" i="1" s="1"/>
  <c r="Y25" i="1"/>
  <c r="X25" i="1"/>
  <c r="P25" i="1"/>
  <c r="AM24" i="1"/>
  <c r="AL24" i="1"/>
  <c r="AJ24" i="1"/>
  <c r="AK24" i="1" s="1"/>
  <c r="AI24" i="1"/>
  <c r="AG24" i="1" s="1"/>
  <c r="Y24" i="1"/>
  <c r="X24" i="1"/>
  <c r="P24" i="1"/>
  <c r="AM23" i="1"/>
  <c r="AL23" i="1"/>
  <c r="AJ23" i="1"/>
  <c r="AK23" i="1" s="1"/>
  <c r="AI23" i="1"/>
  <c r="AG23" i="1"/>
  <c r="I23" i="1" s="1"/>
  <c r="H23" i="1" s="1"/>
  <c r="Y23" i="1"/>
  <c r="X23" i="1"/>
  <c r="W23" i="1" s="1"/>
  <c r="P23" i="1"/>
  <c r="AM22" i="1"/>
  <c r="AL22" i="1"/>
  <c r="AJ22" i="1"/>
  <c r="AI22" i="1"/>
  <c r="AG22" i="1"/>
  <c r="J22" i="1" s="1"/>
  <c r="Y22" i="1"/>
  <c r="X22" i="1"/>
  <c r="W22" i="1" s="1"/>
  <c r="P22" i="1"/>
  <c r="AM21" i="1"/>
  <c r="AL21" i="1"/>
  <c r="AJ21" i="1"/>
  <c r="AK21" i="1" s="1"/>
  <c r="AI21" i="1"/>
  <c r="AG21" i="1" s="1"/>
  <c r="Y21" i="1"/>
  <c r="X21" i="1"/>
  <c r="P21" i="1"/>
  <c r="AM20" i="1"/>
  <c r="AL20" i="1"/>
  <c r="AJ20" i="1"/>
  <c r="AI20" i="1"/>
  <c r="AG20" i="1" s="1"/>
  <c r="Y20" i="1"/>
  <c r="X20" i="1"/>
  <c r="P20" i="1"/>
  <c r="AM19" i="1"/>
  <c r="AL19" i="1"/>
  <c r="AJ19" i="1"/>
  <c r="AK19" i="1" s="1"/>
  <c r="AI19" i="1"/>
  <c r="AG19" i="1" s="1"/>
  <c r="Y19" i="1"/>
  <c r="X19" i="1"/>
  <c r="W19" i="1"/>
  <c r="P19" i="1"/>
  <c r="AM18" i="1"/>
  <c r="AL18" i="1"/>
  <c r="AJ18" i="1"/>
  <c r="AI18" i="1"/>
  <c r="AG18" i="1"/>
  <c r="J18" i="1" s="1"/>
  <c r="Y18" i="1"/>
  <c r="X18" i="1"/>
  <c r="W18" i="1" s="1"/>
  <c r="P18" i="1"/>
  <c r="AM17" i="1"/>
  <c r="AL17" i="1"/>
  <c r="AJ17" i="1"/>
  <c r="AI17" i="1"/>
  <c r="AG17" i="1" s="1"/>
  <c r="Y17" i="1"/>
  <c r="X17" i="1"/>
  <c r="P17" i="1"/>
  <c r="N225" i="1" l="1"/>
  <c r="K225" i="1"/>
  <c r="I138" i="1"/>
  <c r="H138" i="1" s="1"/>
  <c r="AA138" i="1" s="1"/>
  <c r="J138" i="1"/>
  <c r="K191" i="1"/>
  <c r="N191" i="1"/>
  <c r="S28" i="1"/>
  <c r="K126" i="1"/>
  <c r="K18" i="1"/>
  <c r="AH37" i="1"/>
  <c r="AK51" i="1"/>
  <c r="AK58" i="1"/>
  <c r="AK59" i="1"/>
  <c r="AK67" i="1"/>
  <c r="AK70" i="1"/>
  <c r="AK78" i="1"/>
  <c r="J83" i="1"/>
  <c r="N90" i="1"/>
  <c r="N102" i="1"/>
  <c r="AH125" i="1"/>
  <c r="W126" i="1"/>
  <c r="S144" i="1"/>
  <c r="AK145" i="1"/>
  <c r="S171" i="1"/>
  <c r="AK179" i="1"/>
  <c r="W186" i="1"/>
  <c r="N198" i="1"/>
  <c r="AK199" i="1"/>
  <c r="AK200" i="1"/>
  <c r="W210" i="1"/>
  <c r="W211" i="1"/>
  <c r="K215" i="1"/>
  <c r="AK218" i="1"/>
  <c r="AK220" i="1"/>
  <c r="I235" i="1"/>
  <c r="H235" i="1" s="1"/>
  <c r="AK247" i="1"/>
  <c r="W164" i="1"/>
  <c r="AH175" i="1"/>
  <c r="W188" i="1"/>
  <c r="W190" i="1"/>
  <c r="W195" i="1"/>
  <c r="W196" i="1"/>
  <c r="W213" i="1"/>
  <c r="N215" i="1"/>
  <c r="AK228" i="1"/>
  <c r="I247" i="1"/>
  <c r="H247" i="1" s="1"/>
  <c r="AA247" i="1" s="1"/>
  <c r="S248" i="1"/>
  <c r="AK50" i="1"/>
  <c r="S42" i="1"/>
  <c r="J71" i="1"/>
  <c r="AK72" i="1"/>
  <c r="S122" i="1"/>
  <c r="AK138" i="1"/>
  <c r="S157" i="1"/>
  <c r="J207" i="1"/>
  <c r="AK207" i="1"/>
  <c r="S208" i="1"/>
  <c r="S223" i="1"/>
  <c r="T223" i="1" s="1"/>
  <c r="U223" i="1" s="1"/>
  <c r="S228" i="1"/>
  <c r="W252" i="1"/>
  <c r="I71" i="1"/>
  <c r="H71" i="1" s="1"/>
  <c r="S30" i="1"/>
  <c r="T30" i="1" s="1"/>
  <c r="U30" i="1" s="1"/>
  <c r="AB30" i="1" s="1"/>
  <c r="AK17" i="1"/>
  <c r="S20" i="1"/>
  <c r="AK26" i="1"/>
  <c r="W60" i="1"/>
  <c r="W68" i="1"/>
  <c r="W70" i="1"/>
  <c r="K71" i="1"/>
  <c r="AK100" i="1"/>
  <c r="W114" i="1"/>
  <c r="W118" i="1"/>
  <c r="J123" i="1"/>
  <c r="S129" i="1"/>
  <c r="S138" i="1"/>
  <c r="W146" i="1"/>
  <c r="S148" i="1"/>
  <c r="AK152" i="1"/>
  <c r="J156" i="1"/>
  <c r="W172" i="1"/>
  <c r="I174" i="1"/>
  <c r="H174" i="1" s="1"/>
  <c r="AA174" i="1" s="1"/>
  <c r="W180" i="1"/>
  <c r="AK187" i="1"/>
  <c r="W199" i="1"/>
  <c r="K207" i="1"/>
  <c r="S207" i="1"/>
  <c r="T207" i="1" s="1"/>
  <c r="U207" i="1" s="1"/>
  <c r="AK214" i="1"/>
  <c r="W219" i="1"/>
  <c r="W220" i="1"/>
  <c r="AH224" i="1"/>
  <c r="I231" i="1"/>
  <c r="H231" i="1" s="1"/>
  <c r="AH235" i="1"/>
  <c r="AH237" i="1"/>
  <c r="S247" i="1"/>
  <c r="T247" i="1" s="1"/>
  <c r="U247" i="1" s="1"/>
  <c r="J174" i="1"/>
  <c r="J231" i="1"/>
  <c r="N35" i="1"/>
  <c r="N130" i="1"/>
  <c r="I141" i="1"/>
  <c r="H141" i="1" s="1"/>
  <c r="AA141" i="1" s="1"/>
  <c r="I31" i="1"/>
  <c r="H31" i="1" s="1"/>
  <c r="W34" i="1"/>
  <c r="S36" i="1"/>
  <c r="N38" i="1"/>
  <c r="S71" i="1"/>
  <c r="AK86" i="1"/>
  <c r="AK95" i="1"/>
  <c r="AK96" i="1"/>
  <c r="J102" i="1"/>
  <c r="AH102" i="1"/>
  <c r="AK113" i="1"/>
  <c r="W119" i="1"/>
  <c r="W124" i="1"/>
  <c r="W125" i="1"/>
  <c r="W128" i="1"/>
  <c r="W136" i="1"/>
  <c r="W137" i="1"/>
  <c r="W138" i="1"/>
  <c r="W143" i="1"/>
  <c r="W149" i="1"/>
  <c r="N152" i="1"/>
  <c r="S156" i="1"/>
  <c r="W157" i="1"/>
  <c r="S161" i="1"/>
  <c r="AK164" i="1"/>
  <c r="W169" i="1"/>
  <c r="AH172" i="1"/>
  <c r="W177" i="1"/>
  <c r="AK191" i="1"/>
  <c r="AK197" i="1"/>
  <c r="AH199" i="1"/>
  <c r="J212" i="1"/>
  <c r="W218" i="1"/>
  <c r="J224" i="1"/>
  <c r="AK224" i="1"/>
  <c r="AK236" i="1"/>
  <c r="AK66" i="1"/>
  <c r="K152" i="1"/>
  <c r="AK18" i="1"/>
  <c r="S18" i="1"/>
  <c r="S24" i="1"/>
  <c r="J31" i="1"/>
  <c r="W44" i="1"/>
  <c r="S52" i="1"/>
  <c r="S54" i="1"/>
  <c r="S56" i="1"/>
  <c r="S78" i="1"/>
  <c r="S91" i="1"/>
  <c r="S94" i="1"/>
  <c r="K99" i="1"/>
  <c r="K102" i="1"/>
  <c r="S110" i="1"/>
  <c r="S164" i="1"/>
  <c r="J190" i="1"/>
  <c r="S201" i="1"/>
  <c r="S211" i="1"/>
  <c r="I215" i="1"/>
  <c r="H215" i="1" s="1"/>
  <c r="S219" i="1"/>
  <c r="K224" i="1"/>
  <c r="S227" i="1"/>
  <c r="T122" i="1"/>
  <c r="U122" i="1" s="1"/>
  <c r="Q122" i="1" s="1"/>
  <c r="O122" i="1" s="1"/>
  <c r="R122" i="1" s="1"/>
  <c r="W154" i="1"/>
  <c r="W155" i="1"/>
  <c r="W166" i="1"/>
  <c r="K60" i="1"/>
  <c r="AH60" i="1"/>
  <c r="K19" i="1"/>
  <c r="N19" i="1"/>
  <c r="J80" i="1"/>
  <c r="AH80" i="1"/>
  <c r="K80" i="1"/>
  <c r="K127" i="1"/>
  <c r="N127" i="1"/>
  <c r="J127" i="1"/>
  <c r="AH127" i="1"/>
  <c r="K131" i="1"/>
  <c r="J131" i="1"/>
  <c r="AH131" i="1"/>
  <c r="J66" i="1"/>
  <c r="K66" i="1"/>
  <c r="AH66" i="1"/>
  <c r="I66" i="1"/>
  <c r="H66" i="1" s="1"/>
  <c r="T66" i="1" s="1"/>
  <c r="U66" i="1" s="1"/>
  <c r="AB66" i="1" s="1"/>
  <c r="AH76" i="1"/>
  <c r="K76" i="1"/>
  <c r="J76" i="1"/>
  <c r="I36" i="1"/>
  <c r="H36" i="1" s="1"/>
  <c r="AA36" i="1" s="1"/>
  <c r="AH36" i="1"/>
  <c r="N36" i="1"/>
  <c r="J36" i="1"/>
  <c r="K44" i="1"/>
  <c r="J44" i="1"/>
  <c r="J72" i="1"/>
  <c r="K72" i="1"/>
  <c r="K27" i="1"/>
  <c r="N27" i="1"/>
  <c r="I32" i="1"/>
  <c r="H32" i="1" s="1"/>
  <c r="K32" i="1"/>
  <c r="J32" i="1"/>
  <c r="I40" i="1"/>
  <c r="H40" i="1" s="1"/>
  <c r="T40" i="1" s="1"/>
  <c r="U40" i="1" s="1"/>
  <c r="Q40" i="1" s="1"/>
  <c r="O40" i="1" s="1"/>
  <c r="R40" i="1" s="1"/>
  <c r="L40" i="1" s="1"/>
  <c r="M40" i="1" s="1"/>
  <c r="N40" i="1"/>
  <c r="AH40" i="1"/>
  <c r="J40" i="1"/>
  <c r="S126" i="1"/>
  <c r="N162" i="1"/>
  <c r="J162" i="1"/>
  <c r="K206" i="1"/>
  <c r="N206" i="1"/>
  <c r="I206" i="1"/>
  <c r="H206" i="1" s="1"/>
  <c r="AA206" i="1" s="1"/>
  <c r="K226" i="1"/>
  <c r="J226" i="1"/>
  <c r="I226" i="1"/>
  <c r="H226" i="1" s="1"/>
  <c r="N227" i="1"/>
  <c r="I227" i="1"/>
  <c r="H227" i="1" s="1"/>
  <c r="T227" i="1" s="1"/>
  <c r="U227" i="1" s="1"/>
  <c r="W17" i="1"/>
  <c r="AK20" i="1"/>
  <c r="W24" i="1"/>
  <c r="W25" i="1"/>
  <c r="AK32" i="1"/>
  <c r="W37" i="1"/>
  <c r="AK46" i="1"/>
  <c r="AK54" i="1"/>
  <c r="W62" i="1"/>
  <c r="AH67" i="1"/>
  <c r="W81" i="1"/>
  <c r="I86" i="1"/>
  <c r="H86" i="1" s="1"/>
  <c r="AK94" i="1"/>
  <c r="W104" i="1"/>
  <c r="AK106" i="1"/>
  <c r="W111" i="1"/>
  <c r="W147" i="1"/>
  <c r="AH161" i="1"/>
  <c r="K161" i="1"/>
  <c r="AH166" i="1"/>
  <c r="J166" i="1"/>
  <c r="S190" i="1"/>
  <c r="W230" i="1"/>
  <c r="W238" i="1"/>
  <c r="W253" i="1"/>
  <c r="W254" i="1"/>
  <c r="I110" i="1"/>
  <c r="H110" i="1" s="1"/>
  <c r="T110" i="1" s="1"/>
  <c r="U110" i="1" s="1"/>
  <c r="AB110" i="1" s="1"/>
  <c r="N110" i="1"/>
  <c r="I142" i="1"/>
  <c r="H142" i="1" s="1"/>
  <c r="AH142" i="1"/>
  <c r="S212" i="1"/>
  <c r="AK212" i="1"/>
  <c r="K22" i="1"/>
  <c r="AK56" i="1"/>
  <c r="J67" i="1"/>
  <c r="AH88" i="1"/>
  <c r="AH92" i="1"/>
  <c r="W255" i="1"/>
  <c r="S22" i="1"/>
  <c r="J29" i="1"/>
  <c r="AK29" i="1"/>
  <c r="S32" i="1"/>
  <c r="T32" i="1" s="1"/>
  <c r="U32" i="1" s="1"/>
  <c r="J41" i="1"/>
  <c r="AK42" i="1"/>
  <c r="I47" i="1"/>
  <c r="H47" i="1" s="1"/>
  <c r="AA47" i="1" s="1"/>
  <c r="I51" i="1"/>
  <c r="H51" i="1" s="1"/>
  <c r="AA51" i="1" s="1"/>
  <c r="AK52" i="1"/>
  <c r="AK62" i="1"/>
  <c r="K67" i="1"/>
  <c r="W69" i="1"/>
  <c r="AK74" i="1"/>
  <c r="K79" i="1"/>
  <c r="N91" i="1"/>
  <c r="S95" i="1"/>
  <c r="W101" i="1"/>
  <c r="AH104" i="1"/>
  <c r="J108" i="1"/>
  <c r="K115" i="1"/>
  <c r="N115" i="1"/>
  <c r="J115" i="1"/>
  <c r="I115" i="1"/>
  <c r="H115" i="1" s="1"/>
  <c r="AH115" i="1"/>
  <c r="W120" i="1"/>
  <c r="W121" i="1"/>
  <c r="K122" i="1"/>
  <c r="AH122" i="1"/>
  <c r="AH130" i="1"/>
  <c r="N134" i="1"/>
  <c r="AK142" i="1"/>
  <c r="W151" i="1"/>
  <c r="AK153" i="1"/>
  <c r="W171" i="1"/>
  <c r="I186" i="1"/>
  <c r="H186" i="1" s="1"/>
  <c r="AA186" i="1" s="1"/>
  <c r="N186" i="1"/>
  <c r="K186" i="1"/>
  <c r="J186" i="1"/>
  <c r="AH186" i="1"/>
  <c r="AK194" i="1"/>
  <c r="J205" i="1"/>
  <c r="I208" i="1"/>
  <c r="H208" i="1" s="1"/>
  <c r="N208" i="1"/>
  <c r="K208" i="1"/>
  <c r="N212" i="1"/>
  <c r="K252" i="1"/>
  <c r="J252" i="1"/>
  <c r="J134" i="1"/>
  <c r="S175" i="1"/>
  <c r="AK175" i="1"/>
  <c r="N86" i="1"/>
  <c r="AH110" i="1"/>
  <c r="J122" i="1"/>
  <c r="AH134" i="1"/>
  <c r="W20" i="1"/>
  <c r="W21" i="1"/>
  <c r="N23" i="1"/>
  <c r="K29" i="1"/>
  <c r="W32" i="1"/>
  <c r="I33" i="1"/>
  <c r="H33" i="1" s="1"/>
  <c r="AA33" i="1" s="1"/>
  <c r="J34" i="1"/>
  <c r="AK35" i="1"/>
  <c r="AK43" i="1"/>
  <c r="K48" i="1"/>
  <c r="N67" i="1"/>
  <c r="W72" i="1"/>
  <c r="S75" i="1"/>
  <c r="AK80" i="1"/>
  <c r="W95" i="1"/>
  <c r="W107" i="1"/>
  <c r="J110" i="1"/>
  <c r="I114" i="1"/>
  <c r="H114" i="1" s="1"/>
  <c r="AH114" i="1"/>
  <c r="I118" i="1"/>
  <c r="H118" i="1" s="1"/>
  <c r="AA118" i="1" s="1"/>
  <c r="N118" i="1"/>
  <c r="K118" i="1"/>
  <c r="J118" i="1"/>
  <c r="AH118" i="1"/>
  <c r="N122" i="1"/>
  <c r="J124" i="1"/>
  <c r="N124" i="1"/>
  <c r="K135" i="1"/>
  <c r="AH135" i="1"/>
  <c r="J142" i="1"/>
  <c r="J146" i="1"/>
  <c r="AK146" i="1"/>
  <c r="S146" i="1"/>
  <c r="W204" i="1"/>
  <c r="AH208" i="1"/>
  <c r="AK215" i="1"/>
  <c r="I232" i="1"/>
  <c r="H232" i="1" s="1"/>
  <c r="K232" i="1"/>
  <c r="N243" i="1"/>
  <c r="K243" i="1"/>
  <c r="I244" i="1"/>
  <c r="H244" i="1" s="1"/>
  <c r="AA244" i="1" s="1"/>
  <c r="J244" i="1"/>
  <c r="N251" i="1"/>
  <c r="K251" i="1"/>
  <c r="I251" i="1"/>
  <c r="H251" i="1" s="1"/>
  <c r="I194" i="1"/>
  <c r="H194" i="1" s="1"/>
  <c r="AA194" i="1" s="1"/>
  <c r="N194" i="1"/>
  <c r="K194" i="1"/>
  <c r="J194" i="1"/>
  <c r="AK22" i="1"/>
  <c r="I29" i="1"/>
  <c r="H29" i="1" s="1"/>
  <c r="N39" i="1"/>
  <c r="I41" i="1"/>
  <c r="H41" i="1" s="1"/>
  <c r="W66" i="1"/>
  <c r="AK91" i="1"/>
  <c r="K134" i="1"/>
  <c r="W246" i="1"/>
  <c r="S44" i="1"/>
  <c r="AK48" i="1"/>
  <c r="I57" i="1"/>
  <c r="H57" i="1" s="1"/>
  <c r="AA57" i="1" s="1"/>
  <c r="S63" i="1"/>
  <c r="S67" i="1"/>
  <c r="T67" i="1" s="1"/>
  <c r="U67" i="1" s="1"/>
  <c r="AB67" i="1" s="1"/>
  <c r="S68" i="1"/>
  <c r="AK75" i="1"/>
  <c r="W78" i="1"/>
  <c r="W79" i="1"/>
  <c r="AK82" i="1"/>
  <c r="W86" i="1"/>
  <c r="N87" i="1"/>
  <c r="J88" i="1"/>
  <c r="J92" i="1"/>
  <c r="K96" i="1"/>
  <c r="J96" i="1"/>
  <c r="AH96" i="1"/>
  <c r="AH101" i="1"/>
  <c r="N101" i="1"/>
  <c r="K110" i="1"/>
  <c r="N120" i="1"/>
  <c r="J120" i="1"/>
  <c r="K123" i="1"/>
  <c r="AH123" i="1"/>
  <c r="J130" i="1"/>
  <c r="N132" i="1"/>
  <c r="J132" i="1"/>
  <c r="S137" i="1"/>
  <c r="N142" i="1"/>
  <c r="K146" i="1"/>
  <c r="AH149" i="1"/>
  <c r="K149" i="1"/>
  <c r="K153" i="1"/>
  <c r="W170" i="1"/>
  <c r="W176" i="1"/>
  <c r="I220" i="1"/>
  <c r="H220" i="1" s="1"/>
  <c r="AA220" i="1" s="1"/>
  <c r="N220" i="1"/>
  <c r="K220" i="1"/>
  <c r="J220" i="1"/>
  <c r="AH220" i="1"/>
  <c r="AH231" i="1"/>
  <c r="N231" i="1"/>
  <c r="J237" i="1"/>
  <c r="AH239" i="1"/>
  <c r="N239" i="1"/>
  <c r="I240" i="1"/>
  <c r="H240" i="1" s="1"/>
  <c r="N240" i="1"/>
  <c r="K240" i="1"/>
  <c r="AH240" i="1"/>
  <c r="J240" i="1"/>
  <c r="AK243" i="1"/>
  <c r="S243" i="1"/>
  <c r="T243" i="1" s="1"/>
  <c r="U243" i="1" s="1"/>
  <c r="AB243" i="1" s="1"/>
  <c r="AK251" i="1"/>
  <c r="S251" i="1"/>
  <c r="K86" i="1"/>
  <c r="AK160" i="1"/>
  <c r="S160" i="1"/>
  <c r="AK27" i="1"/>
  <c r="W33" i="1"/>
  <c r="I35" i="1"/>
  <c r="H35" i="1" s="1"/>
  <c r="AA35" i="1" s="1"/>
  <c r="I43" i="1"/>
  <c r="H43" i="1" s="1"/>
  <c r="AA43" i="1" s="1"/>
  <c r="AK44" i="1"/>
  <c r="W47" i="1"/>
  <c r="W51" i="1"/>
  <c r="W52" i="1"/>
  <c r="J63" i="1"/>
  <c r="AK63" i="1"/>
  <c r="W65" i="1"/>
  <c r="AK68" i="1"/>
  <c r="K75" i="1"/>
  <c r="W80" i="1"/>
  <c r="K100" i="1"/>
  <c r="AH100" i="1"/>
  <c r="W102" i="1"/>
  <c r="J104" i="1"/>
  <c r="I106" i="1"/>
  <c r="H106" i="1" s="1"/>
  <c r="AA106" i="1" s="1"/>
  <c r="J106" i="1"/>
  <c r="J114" i="1"/>
  <c r="AK117" i="1"/>
  <c r="K119" i="1"/>
  <c r="AH119" i="1"/>
  <c r="I126" i="1"/>
  <c r="H126" i="1" s="1"/>
  <c r="AA126" i="1" s="1"/>
  <c r="AH126" i="1"/>
  <c r="J126" i="1"/>
  <c r="K130" i="1"/>
  <c r="AK136" i="1"/>
  <c r="AK137" i="1"/>
  <c r="K139" i="1"/>
  <c r="AH139" i="1"/>
  <c r="W141" i="1"/>
  <c r="W144" i="1"/>
  <c r="AH151" i="1"/>
  <c r="AH168" i="1"/>
  <c r="S184" i="1"/>
  <c r="AK189" i="1"/>
  <c r="J202" i="1"/>
  <c r="N202" i="1"/>
  <c r="K202" i="1"/>
  <c r="I204" i="1"/>
  <c r="H204" i="1" s="1"/>
  <c r="N204" i="1"/>
  <c r="AH204" i="1"/>
  <c r="K204" i="1"/>
  <c r="W227" i="1"/>
  <c r="K229" i="1"/>
  <c r="AK231" i="1"/>
  <c r="AK239" i="1"/>
  <c r="S149" i="1"/>
  <c r="AK161" i="1"/>
  <c r="W178" i="1"/>
  <c r="AK193" i="1"/>
  <c r="AK229" i="1"/>
  <c r="W99" i="1"/>
  <c r="W100" i="1"/>
  <c r="S101" i="1"/>
  <c r="W103" i="1"/>
  <c r="W109" i="1"/>
  <c r="W123" i="1"/>
  <c r="AK131" i="1"/>
  <c r="K138" i="1"/>
  <c r="AH138" i="1"/>
  <c r="W139" i="1"/>
  <c r="W142" i="1"/>
  <c r="AK144" i="1"/>
  <c r="W148" i="1"/>
  <c r="W152" i="1"/>
  <c r="W156" i="1"/>
  <c r="AK171" i="1"/>
  <c r="K190" i="1"/>
  <c r="AK201" i="1"/>
  <c r="W205" i="1"/>
  <c r="K223" i="1"/>
  <c r="AH223" i="1"/>
  <c r="AK227" i="1"/>
  <c r="S229" i="1"/>
  <c r="S232" i="1"/>
  <c r="AH233" i="1"/>
  <c r="J235" i="1"/>
  <c r="AK235" i="1"/>
  <c r="AK244" i="1"/>
  <c r="S252" i="1"/>
  <c r="AK110" i="1"/>
  <c r="W117" i="1"/>
  <c r="W130" i="1"/>
  <c r="N138" i="1"/>
  <c r="J154" i="1"/>
  <c r="W167" i="1"/>
  <c r="W168" i="1"/>
  <c r="S168" i="1"/>
  <c r="T168" i="1" s="1"/>
  <c r="U168" i="1" s="1"/>
  <c r="W182" i="1"/>
  <c r="N190" i="1"/>
  <c r="AK208" i="1"/>
  <c r="W212" i="1"/>
  <c r="J216" i="1"/>
  <c r="AH216" i="1"/>
  <c r="N223" i="1"/>
  <c r="W231" i="1"/>
  <c r="J233" i="1"/>
  <c r="K235" i="1"/>
  <c r="AH103" i="1"/>
  <c r="J107" i="1"/>
  <c r="W122" i="1"/>
  <c r="N141" i="1"/>
  <c r="AK141" i="1"/>
  <c r="AK173" i="1"/>
  <c r="W175" i="1"/>
  <c r="J176" i="1"/>
  <c r="W185" i="1"/>
  <c r="AK190" i="1"/>
  <c r="AH191" i="1"/>
  <c r="AH215" i="1"/>
  <c r="K216" i="1"/>
  <c r="W226" i="1"/>
  <c r="W243" i="1"/>
  <c r="AH248" i="1"/>
  <c r="W250" i="1"/>
  <c r="S254" i="1"/>
  <c r="AK97" i="1"/>
  <c r="S99" i="1"/>
  <c r="W110" i="1"/>
  <c r="J112" i="1"/>
  <c r="W127" i="1"/>
  <c r="AK129" i="1"/>
  <c r="W131" i="1"/>
  <c r="AK135" i="1"/>
  <c r="I156" i="1"/>
  <c r="H156" i="1" s="1"/>
  <c r="W160" i="1"/>
  <c r="W161" i="1"/>
  <c r="AK181" i="1"/>
  <c r="W193" i="1"/>
  <c r="K198" i="1"/>
  <c r="S203" i="1"/>
  <c r="W208" i="1"/>
  <c r="S220" i="1"/>
  <c r="AK225" i="1"/>
  <c r="W232" i="1"/>
  <c r="W244" i="1"/>
  <c r="W251" i="1"/>
  <c r="N28" i="1"/>
  <c r="AH28" i="1"/>
  <c r="K28" i="1"/>
  <c r="I28" i="1"/>
  <c r="H28" i="1" s="1"/>
  <c r="J28" i="1"/>
  <c r="N20" i="1"/>
  <c r="K20" i="1"/>
  <c r="AH20" i="1"/>
  <c r="I20" i="1"/>
  <c r="H20" i="1" s="1"/>
  <c r="J20" i="1"/>
  <c r="AA32" i="1"/>
  <c r="AA31" i="1"/>
  <c r="I21" i="1"/>
  <c r="H21" i="1" s="1"/>
  <c r="AH21" i="1"/>
  <c r="K21" i="1"/>
  <c r="J21" i="1"/>
  <c r="N21" i="1"/>
  <c r="AA23" i="1"/>
  <c r="I17" i="1"/>
  <c r="H17" i="1" s="1"/>
  <c r="AH17" i="1"/>
  <c r="K17" i="1"/>
  <c r="J17" i="1"/>
  <c r="N17" i="1"/>
  <c r="N24" i="1"/>
  <c r="AH24" i="1"/>
  <c r="K24" i="1"/>
  <c r="J24" i="1"/>
  <c r="I24" i="1"/>
  <c r="H24" i="1" s="1"/>
  <c r="T24" i="1" s="1"/>
  <c r="U24" i="1" s="1"/>
  <c r="I25" i="1"/>
  <c r="H25" i="1" s="1"/>
  <c r="AH25" i="1"/>
  <c r="N25" i="1"/>
  <c r="K25" i="1"/>
  <c r="J25" i="1"/>
  <c r="AA29" i="1"/>
  <c r="AA30" i="1"/>
  <c r="AA41" i="1"/>
  <c r="S21" i="1"/>
  <c r="AH45" i="1"/>
  <c r="N45" i="1"/>
  <c r="K45" i="1"/>
  <c r="J58" i="1"/>
  <c r="I58" i="1"/>
  <c r="H58" i="1" s="1"/>
  <c r="AH58" i="1"/>
  <c r="N58" i="1"/>
  <c r="AH61" i="1"/>
  <c r="N61" i="1"/>
  <c r="K61" i="1"/>
  <c r="K81" i="1"/>
  <c r="AH81" i="1"/>
  <c r="J81" i="1"/>
  <c r="I81" i="1"/>
  <c r="H81" i="1" s="1"/>
  <c r="N81" i="1"/>
  <c r="K85" i="1"/>
  <c r="AH85" i="1"/>
  <c r="N85" i="1"/>
  <c r="J85" i="1"/>
  <c r="I85" i="1"/>
  <c r="H85" i="1" s="1"/>
  <c r="T91" i="1"/>
  <c r="U91" i="1" s="1"/>
  <c r="K97" i="1"/>
  <c r="J97" i="1"/>
  <c r="I97" i="1"/>
  <c r="H97" i="1" s="1"/>
  <c r="AH97" i="1"/>
  <c r="N18" i="1"/>
  <c r="AH19" i="1"/>
  <c r="N22" i="1"/>
  <c r="AH23" i="1"/>
  <c r="N26" i="1"/>
  <c r="AH27" i="1"/>
  <c r="T29" i="1"/>
  <c r="U29" i="1" s="1"/>
  <c r="AB29" i="1" s="1"/>
  <c r="AH31" i="1"/>
  <c r="AH32" i="1"/>
  <c r="J33" i="1"/>
  <c r="AH33" i="1"/>
  <c r="I37" i="1"/>
  <c r="H37" i="1" s="1"/>
  <c r="AK37" i="1"/>
  <c r="S37" i="1"/>
  <c r="K40" i="1"/>
  <c r="J42" i="1"/>
  <c r="AK45" i="1"/>
  <c r="S45" i="1"/>
  <c r="N48" i="1"/>
  <c r="J48" i="1"/>
  <c r="I48" i="1"/>
  <c r="H48" i="1" s="1"/>
  <c r="T48" i="1" s="1"/>
  <c r="U48" i="1" s="1"/>
  <c r="AB48" i="1" s="1"/>
  <c r="AH52" i="1"/>
  <c r="J54" i="1"/>
  <c r="I54" i="1"/>
  <c r="H54" i="1" s="1"/>
  <c r="T54" i="1" s="1"/>
  <c r="U54" i="1" s="1"/>
  <c r="AH54" i="1"/>
  <c r="N54" i="1"/>
  <c r="AH57" i="1"/>
  <c r="N57" i="1"/>
  <c r="K57" i="1"/>
  <c r="K59" i="1"/>
  <c r="J59" i="1"/>
  <c r="AH59" i="1"/>
  <c r="AK61" i="1"/>
  <c r="S61" i="1"/>
  <c r="J70" i="1"/>
  <c r="N70" i="1"/>
  <c r="AH70" i="1"/>
  <c r="K70" i="1"/>
  <c r="S76" i="1"/>
  <c r="AK76" i="1"/>
  <c r="K77" i="1"/>
  <c r="AH77" i="1"/>
  <c r="J77" i="1"/>
  <c r="I77" i="1"/>
  <c r="H77" i="1" s="1"/>
  <c r="K89" i="1"/>
  <c r="I89" i="1"/>
  <c r="H89" i="1" s="1"/>
  <c r="AH89" i="1"/>
  <c r="N89" i="1"/>
  <c r="J89" i="1"/>
  <c r="AA114" i="1"/>
  <c r="N56" i="1"/>
  <c r="J56" i="1"/>
  <c r="I56" i="1"/>
  <c r="H56" i="1" s="1"/>
  <c r="S25" i="1"/>
  <c r="AH30" i="1"/>
  <c r="I34" i="1"/>
  <c r="H34" i="1" s="1"/>
  <c r="AH34" i="1"/>
  <c r="I19" i="1"/>
  <c r="H19" i="1" s="1"/>
  <c r="N34" i="1"/>
  <c r="I45" i="1"/>
  <c r="H45" i="1" s="1"/>
  <c r="J46" i="1"/>
  <c r="I46" i="1"/>
  <c r="H46" i="1" s="1"/>
  <c r="AH46" i="1"/>
  <c r="J50" i="1"/>
  <c r="I50" i="1"/>
  <c r="H50" i="1" s="1"/>
  <c r="T50" i="1" s="1"/>
  <c r="U50" i="1" s="1"/>
  <c r="AH50" i="1"/>
  <c r="N50" i="1"/>
  <c r="AH53" i="1"/>
  <c r="N53" i="1"/>
  <c r="K53" i="1"/>
  <c r="K55" i="1"/>
  <c r="J55" i="1"/>
  <c r="AH55" i="1"/>
  <c r="AK57" i="1"/>
  <c r="S57" i="1"/>
  <c r="J78" i="1"/>
  <c r="AH78" i="1"/>
  <c r="K78" i="1"/>
  <c r="I78" i="1"/>
  <c r="H78" i="1" s="1"/>
  <c r="T78" i="1" s="1"/>
  <c r="U78" i="1" s="1"/>
  <c r="I95" i="1"/>
  <c r="H95" i="1" s="1"/>
  <c r="AH95" i="1"/>
  <c r="N95" i="1"/>
  <c r="K95" i="1"/>
  <c r="J95" i="1"/>
  <c r="J74" i="1"/>
  <c r="N74" i="1"/>
  <c r="AH74" i="1"/>
  <c r="K74" i="1"/>
  <c r="I74" i="1"/>
  <c r="H74" i="1" s="1"/>
  <c r="T74" i="1" s="1"/>
  <c r="U74" i="1" s="1"/>
  <c r="I27" i="1"/>
  <c r="H27" i="1" s="1"/>
  <c r="J19" i="1"/>
  <c r="J23" i="1"/>
  <c r="AH26" i="1"/>
  <c r="J27" i="1"/>
  <c r="N29" i="1"/>
  <c r="J30" i="1"/>
  <c r="AK30" i="1"/>
  <c r="AK31" i="1"/>
  <c r="S31" i="1"/>
  <c r="S38" i="1"/>
  <c r="N44" i="1"/>
  <c r="I44" i="1"/>
  <c r="H44" i="1" s="1"/>
  <c r="T44" i="1" s="1"/>
  <c r="U44" i="1" s="1"/>
  <c r="AB44" i="1" s="1"/>
  <c r="J45" i="1"/>
  <c r="AH49" i="1"/>
  <c r="N49" i="1"/>
  <c r="K49" i="1"/>
  <c r="AK53" i="1"/>
  <c r="S53" i="1"/>
  <c r="I68" i="1"/>
  <c r="H68" i="1" s="1"/>
  <c r="N68" i="1"/>
  <c r="AH68" i="1"/>
  <c r="J68" i="1"/>
  <c r="T71" i="1"/>
  <c r="U71" i="1" s="1"/>
  <c r="AB71" i="1" s="1"/>
  <c r="J82" i="1"/>
  <c r="AH82" i="1"/>
  <c r="K82" i="1"/>
  <c r="I82" i="1"/>
  <c r="H82" i="1" s="1"/>
  <c r="N82" i="1"/>
  <c r="N97" i="1"/>
  <c r="AA121" i="1"/>
  <c r="AA125" i="1"/>
  <c r="AA133" i="1"/>
  <c r="T133" i="1"/>
  <c r="U133" i="1" s="1"/>
  <c r="Q133" i="1" s="1"/>
  <c r="O133" i="1" s="1"/>
  <c r="R133" i="1" s="1"/>
  <c r="S17" i="1"/>
  <c r="N37" i="1"/>
  <c r="K37" i="1"/>
  <c r="N32" i="1"/>
  <c r="K42" i="1"/>
  <c r="AH18" i="1"/>
  <c r="T20" i="1"/>
  <c r="U20" i="1" s="1"/>
  <c r="AH22" i="1"/>
  <c r="T28" i="1"/>
  <c r="U28" i="1" s="1"/>
  <c r="N31" i="1"/>
  <c r="AK33" i="1"/>
  <c r="S33" i="1"/>
  <c r="AK34" i="1"/>
  <c r="K39" i="1"/>
  <c r="J39" i="1"/>
  <c r="K43" i="1"/>
  <c r="J43" i="1"/>
  <c r="K51" i="1"/>
  <c r="J51" i="1"/>
  <c r="AH51" i="1"/>
  <c r="I18" i="1"/>
  <c r="H18" i="1" s="1"/>
  <c r="T18" i="1" s="1"/>
  <c r="U18" i="1" s="1"/>
  <c r="S19" i="1"/>
  <c r="I22" i="1"/>
  <c r="H22" i="1" s="1"/>
  <c r="T22" i="1" s="1"/>
  <c r="U22" i="1" s="1"/>
  <c r="K23" i="1"/>
  <c r="S23" i="1"/>
  <c r="I26" i="1"/>
  <c r="H26" i="1" s="1"/>
  <c r="S27" i="1"/>
  <c r="K30" i="1"/>
  <c r="N33" i="1"/>
  <c r="K36" i="1"/>
  <c r="I39" i="1"/>
  <c r="H39" i="1" s="1"/>
  <c r="AK39" i="1"/>
  <c r="AA40" i="1"/>
  <c r="AH44" i="1"/>
  <c r="K46" i="1"/>
  <c r="K47" i="1"/>
  <c r="J47" i="1"/>
  <c r="AH47" i="1"/>
  <c r="AK49" i="1"/>
  <c r="S49" i="1"/>
  <c r="W61" i="1"/>
  <c r="AA73" i="1"/>
  <c r="K73" i="1"/>
  <c r="AH73" i="1"/>
  <c r="N73" i="1"/>
  <c r="J73" i="1"/>
  <c r="W74" i="1"/>
  <c r="N77" i="1"/>
  <c r="S79" i="1"/>
  <c r="AK79" i="1"/>
  <c r="T86" i="1"/>
  <c r="U86" i="1" s="1"/>
  <c r="Q86" i="1" s="1"/>
  <c r="O86" i="1" s="1"/>
  <c r="R86" i="1" s="1"/>
  <c r="L86" i="1" s="1"/>
  <c r="M86" i="1" s="1"/>
  <c r="AA86" i="1"/>
  <c r="N30" i="1"/>
  <c r="AK64" i="1"/>
  <c r="S64" i="1"/>
  <c r="I42" i="1"/>
  <c r="H42" i="1" s="1"/>
  <c r="T42" i="1" s="1"/>
  <c r="U42" i="1" s="1"/>
  <c r="AH42" i="1"/>
  <c r="N52" i="1"/>
  <c r="J52" i="1"/>
  <c r="I52" i="1"/>
  <c r="H52" i="1" s="1"/>
  <c r="T52" i="1" s="1"/>
  <c r="U52" i="1" s="1"/>
  <c r="AB52" i="1" s="1"/>
  <c r="J26" i="1"/>
  <c r="I38" i="1"/>
  <c r="H38" i="1" s="1"/>
  <c r="AH38" i="1"/>
  <c r="W39" i="1"/>
  <c r="N41" i="1"/>
  <c r="K41" i="1"/>
  <c r="W57" i="1"/>
  <c r="K58" i="1"/>
  <c r="W59" i="1"/>
  <c r="I61" i="1"/>
  <c r="H61" i="1" s="1"/>
  <c r="I64" i="1"/>
  <c r="H64" i="1" s="1"/>
  <c r="K64" i="1"/>
  <c r="J64" i="1"/>
  <c r="AH64" i="1"/>
  <c r="K65" i="1"/>
  <c r="AH65" i="1"/>
  <c r="N65" i="1"/>
  <c r="J65" i="1"/>
  <c r="T70" i="1"/>
  <c r="U70" i="1" s="1"/>
  <c r="AB70" i="1" s="1"/>
  <c r="AK73" i="1"/>
  <c r="S73" i="1"/>
  <c r="N78" i="1"/>
  <c r="S83" i="1"/>
  <c r="AK83" i="1"/>
  <c r="AA117" i="1"/>
  <c r="AA130" i="1"/>
  <c r="K56" i="1"/>
  <c r="K35" i="1"/>
  <c r="J35" i="1"/>
  <c r="AK41" i="1"/>
  <c r="S41" i="1"/>
  <c r="W43" i="1"/>
  <c r="N46" i="1"/>
  <c r="W53" i="1"/>
  <c r="W55" i="1"/>
  <c r="N60" i="1"/>
  <c r="J60" i="1"/>
  <c r="I60" i="1"/>
  <c r="H60" i="1" s="1"/>
  <c r="J61" i="1"/>
  <c r="J62" i="1"/>
  <c r="I62" i="1"/>
  <c r="H62" i="1" s="1"/>
  <c r="T62" i="1" s="1"/>
  <c r="U62" i="1" s="1"/>
  <c r="AH62" i="1"/>
  <c r="N62" i="1"/>
  <c r="K69" i="1"/>
  <c r="AH69" i="1"/>
  <c r="N69" i="1"/>
  <c r="I69" i="1"/>
  <c r="H69" i="1" s="1"/>
  <c r="AA71" i="1"/>
  <c r="Q71" i="1"/>
  <c r="O71" i="1" s="1"/>
  <c r="R71" i="1" s="1"/>
  <c r="L71" i="1" s="1"/>
  <c r="M71" i="1" s="1"/>
  <c r="I63" i="1"/>
  <c r="H63" i="1" s="1"/>
  <c r="AK77" i="1"/>
  <c r="S77" i="1"/>
  <c r="N79" i="1"/>
  <c r="AH87" i="1"/>
  <c r="K91" i="1"/>
  <c r="I94" i="1"/>
  <c r="H94" i="1" s="1"/>
  <c r="W94" i="1"/>
  <c r="K128" i="1"/>
  <c r="I128" i="1"/>
  <c r="H128" i="1" s="1"/>
  <c r="AH128" i="1"/>
  <c r="N128" i="1"/>
  <c r="J128" i="1"/>
  <c r="AK81" i="1"/>
  <c r="S81" i="1"/>
  <c r="N83" i="1"/>
  <c r="S87" i="1"/>
  <c r="AK89" i="1"/>
  <c r="S89" i="1"/>
  <c r="AK92" i="1"/>
  <c r="S92" i="1"/>
  <c r="W98" i="1"/>
  <c r="I99" i="1"/>
  <c r="H99" i="1" s="1"/>
  <c r="AH99" i="1"/>
  <c r="N99" i="1"/>
  <c r="AK103" i="1"/>
  <c r="S103" i="1"/>
  <c r="AK123" i="1"/>
  <c r="AA159" i="1"/>
  <c r="K84" i="1"/>
  <c r="I84" i="1"/>
  <c r="H84" i="1" s="1"/>
  <c r="N84" i="1"/>
  <c r="AK85" i="1"/>
  <c r="S85" i="1"/>
  <c r="K90" i="1"/>
  <c r="J90" i="1"/>
  <c r="K93" i="1"/>
  <c r="I93" i="1"/>
  <c r="H93" i="1" s="1"/>
  <c r="AH93" i="1"/>
  <c r="K105" i="1"/>
  <c r="AH105" i="1"/>
  <c r="N105" i="1"/>
  <c r="J105" i="1"/>
  <c r="N136" i="1"/>
  <c r="K136" i="1"/>
  <c r="J136" i="1"/>
  <c r="I136" i="1"/>
  <c r="H136" i="1" s="1"/>
  <c r="AH136" i="1"/>
  <c r="AH144" i="1"/>
  <c r="I144" i="1"/>
  <c r="H144" i="1" s="1"/>
  <c r="N144" i="1"/>
  <c r="K144" i="1"/>
  <c r="J144" i="1"/>
  <c r="AA151" i="1"/>
  <c r="I72" i="1"/>
  <c r="H72" i="1" s="1"/>
  <c r="N72" i="1"/>
  <c r="I75" i="1"/>
  <c r="H75" i="1" s="1"/>
  <c r="T75" i="1" s="1"/>
  <c r="U75" i="1" s="1"/>
  <c r="AH84" i="1"/>
  <c r="J87" i="1"/>
  <c r="AK99" i="1"/>
  <c r="T102" i="1"/>
  <c r="U102" i="1" s="1"/>
  <c r="AB102" i="1" s="1"/>
  <c r="AA102" i="1"/>
  <c r="AK105" i="1"/>
  <c r="S105" i="1"/>
  <c r="AK112" i="1"/>
  <c r="S112" i="1"/>
  <c r="K113" i="1"/>
  <c r="J113" i="1"/>
  <c r="AH113" i="1"/>
  <c r="N113" i="1"/>
  <c r="I113" i="1"/>
  <c r="H113" i="1" s="1"/>
  <c r="T126" i="1"/>
  <c r="U126" i="1" s="1"/>
  <c r="AB126" i="1" s="1"/>
  <c r="N129" i="1"/>
  <c r="K129" i="1"/>
  <c r="J129" i="1"/>
  <c r="I129" i="1"/>
  <c r="H129" i="1" s="1"/>
  <c r="S35" i="1"/>
  <c r="S39" i="1"/>
  <c r="S43" i="1"/>
  <c r="S47" i="1"/>
  <c r="S51" i="1"/>
  <c r="S55" i="1"/>
  <c r="S59" i="1"/>
  <c r="N66" i="1"/>
  <c r="W67" i="1"/>
  <c r="AH72" i="1"/>
  <c r="J75" i="1"/>
  <c r="I76" i="1"/>
  <c r="H76" i="1" s="1"/>
  <c r="N76" i="1"/>
  <c r="I79" i="1"/>
  <c r="H79" i="1" s="1"/>
  <c r="J84" i="1"/>
  <c r="AH86" i="1"/>
  <c r="K87" i="1"/>
  <c r="J93" i="1"/>
  <c r="AK93" i="1"/>
  <c r="S93" i="1"/>
  <c r="N98" i="1"/>
  <c r="K98" i="1"/>
  <c r="J98" i="1"/>
  <c r="I105" i="1"/>
  <c r="H105" i="1" s="1"/>
  <c r="AK124" i="1"/>
  <c r="S124" i="1"/>
  <c r="AK126" i="1"/>
  <c r="AA142" i="1"/>
  <c r="W63" i="1"/>
  <c r="AK65" i="1"/>
  <c r="S65" i="1"/>
  <c r="W71" i="1"/>
  <c r="J79" i="1"/>
  <c r="I80" i="1"/>
  <c r="H80" i="1" s="1"/>
  <c r="T80" i="1" s="1"/>
  <c r="U80" i="1" s="1"/>
  <c r="N80" i="1"/>
  <c r="I83" i="1"/>
  <c r="H83" i="1" s="1"/>
  <c r="AK84" i="1"/>
  <c r="S84" i="1"/>
  <c r="I90" i="1"/>
  <c r="H90" i="1" s="1"/>
  <c r="W90" i="1"/>
  <c r="K94" i="1"/>
  <c r="J94" i="1"/>
  <c r="I98" i="1"/>
  <c r="H98" i="1" s="1"/>
  <c r="AA115" i="1"/>
  <c r="N140" i="1"/>
  <c r="K140" i="1"/>
  <c r="J140" i="1"/>
  <c r="I140" i="1"/>
  <c r="H140" i="1" s="1"/>
  <c r="AH140" i="1"/>
  <c r="AA147" i="1"/>
  <c r="N155" i="1"/>
  <c r="K155" i="1"/>
  <c r="J155" i="1"/>
  <c r="I155" i="1"/>
  <c r="H155" i="1" s="1"/>
  <c r="AH155" i="1"/>
  <c r="AK69" i="1"/>
  <c r="S69" i="1"/>
  <c r="W75" i="1"/>
  <c r="AA87" i="1"/>
  <c r="AK88" i="1"/>
  <c r="S88" i="1"/>
  <c r="Q91" i="1"/>
  <c r="O91" i="1" s="1"/>
  <c r="R91" i="1" s="1"/>
  <c r="K101" i="1"/>
  <c r="J101" i="1"/>
  <c r="I101" i="1"/>
  <c r="H101" i="1" s="1"/>
  <c r="T101" i="1" s="1"/>
  <c r="U101" i="1" s="1"/>
  <c r="S118" i="1"/>
  <c r="AK118" i="1"/>
  <c r="W133" i="1"/>
  <c r="N88" i="1"/>
  <c r="N92" i="1"/>
  <c r="N96" i="1"/>
  <c r="N100" i="1"/>
  <c r="AK101" i="1"/>
  <c r="K104" i="1"/>
  <c r="I104" i="1"/>
  <c r="H104" i="1" s="1"/>
  <c r="W105" i="1"/>
  <c r="K107" i="1"/>
  <c r="I107" i="1"/>
  <c r="H107" i="1" s="1"/>
  <c r="I109" i="1"/>
  <c r="H109" i="1" s="1"/>
  <c r="S114" i="1"/>
  <c r="AK115" i="1"/>
  <c r="S115" i="1"/>
  <c r="N121" i="1"/>
  <c r="K121" i="1"/>
  <c r="J121" i="1"/>
  <c r="S130" i="1"/>
  <c r="AK107" i="1"/>
  <c r="S107" i="1"/>
  <c r="W113" i="1"/>
  <c r="K116" i="1"/>
  <c r="I116" i="1"/>
  <c r="H116" i="1" s="1"/>
  <c r="AH116" i="1"/>
  <c r="K120" i="1"/>
  <c r="I120" i="1"/>
  <c r="H120" i="1" s="1"/>
  <c r="AH120" i="1"/>
  <c r="AK121" i="1"/>
  <c r="AK127" i="1"/>
  <c r="AK128" i="1"/>
  <c r="S128" i="1"/>
  <c r="AH133" i="1"/>
  <c r="N133" i="1"/>
  <c r="K133" i="1"/>
  <c r="J133" i="1"/>
  <c r="T134" i="1"/>
  <c r="U134" i="1" s="1"/>
  <c r="AB134" i="1" s="1"/>
  <c r="AH137" i="1"/>
  <c r="N137" i="1"/>
  <c r="K137" i="1"/>
  <c r="J137" i="1"/>
  <c r="T138" i="1"/>
  <c r="U138" i="1" s="1"/>
  <c r="AB138" i="1" s="1"/>
  <c r="AA163" i="1"/>
  <c r="AK174" i="1"/>
  <c r="S174" i="1"/>
  <c r="T184" i="1"/>
  <c r="U184" i="1" s="1"/>
  <c r="Q184" i="1" s="1"/>
  <c r="O184" i="1" s="1"/>
  <c r="R184" i="1" s="1"/>
  <c r="K108" i="1"/>
  <c r="I108" i="1"/>
  <c r="H108" i="1" s="1"/>
  <c r="AH108" i="1"/>
  <c r="N109" i="1"/>
  <c r="K111" i="1"/>
  <c r="I111" i="1"/>
  <c r="H111" i="1" s="1"/>
  <c r="N111" i="1"/>
  <c r="K132" i="1"/>
  <c r="I132" i="1"/>
  <c r="H132" i="1" s="1"/>
  <c r="AH132" i="1"/>
  <c r="I88" i="1"/>
  <c r="H88" i="1" s="1"/>
  <c r="I92" i="1"/>
  <c r="H92" i="1" s="1"/>
  <c r="I96" i="1"/>
  <c r="H96" i="1" s="1"/>
  <c r="S97" i="1"/>
  <c r="I100" i="1"/>
  <c r="H100" i="1" s="1"/>
  <c r="AK104" i="1"/>
  <c r="S104" i="1"/>
  <c r="AK111" i="1"/>
  <c r="S111" i="1"/>
  <c r="J116" i="1"/>
  <c r="AK116" i="1"/>
  <c r="S116" i="1"/>
  <c r="K117" i="1"/>
  <c r="J117" i="1"/>
  <c r="AK119" i="1"/>
  <c r="AK120" i="1"/>
  <c r="S120" i="1"/>
  <c r="N125" i="1"/>
  <c r="K125" i="1"/>
  <c r="J125" i="1"/>
  <c r="W129" i="1"/>
  <c r="I137" i="1"/>
  <c r="H137" i="1" s="1"/>
  <c r="T141" i="1"/>
  <c r="U141" i="1" s="1"/>
  <c r="Q141" i="1" s="1"/>
  <c r="O141" i="1" s="1"/>
  <c r="R141" i="1" s="1"/>
  <c r="N147" i="1"/>
  <c r="K147" i="1"/>
  <c r="J147" i="1"/>
  <c r="AH147" i="1"/>
  <c r="J157" i="1"/>
  <c r="I157" i="1"/>
  <c r="H157" i="1" s="1"/>
  <c r="N157" i="1"/>
  <c r="AH157" i="1"/>
  <c r="K157" i="1"/>
  <c r="AH170" i="1"/>
  <c r="K170" i="1"/>
  <c r="N170" i="1"/>
  <c r="I170" i="1"/>
  <c r="H170" i="1" s="1"/>
  <c r="J170" i="1"/>
  <c r="AK108" i="1"/>
  <c r="S108" i="1"/>
  <c r="K109" i="1"/>
  <c r="J109" i="1"/>
  <c r="K112" i="1"/>
  <c r="I112" i="1"/>
  <c r="H112" i="1" s="1"/>
  <c r="AH112" i="1"/>
  <c r="K124" i="1"/>
  <c r="I124" i="1"/>
  <c r="H124" i="1" s="1"/>
  <c r="AH124" i="1"/>
  <c r="AK132" i="1"/>
  <c r="S132" i="1"/>
  <c r="K143" i="1"/>
  <c r="I143" i="1"/>
  <c r="H143" i="1" s="1"/>
  <c r="N143" i="1"/>
  <c r="AH143" i="1"/>
  <c r="T164" i="1"/>
  <c r="U164" i="1" s="1"/>
  <c r="Q164" i="1" s="1"/>
  <c r="O164" i="1" s="1"/>
  <c r="R164" i="1" s="1"/>
  <c r="S96" i="1"/>
  <c r="S100" i="1"/>
  <c r="K103" i="1"/>
  <c r="I103" i="1"/>
  <c r="H103" i="1" s="1"/>
  <c r="AK109" i="1"/>
  <c r="J111" i="1"/>
  <c r="N116" i="1"/>
  <c r="J143" i="1"/>
  <c r="N131" i="1"/>
  <c r="N135" i="1"/>
  <c r="N139" i="1"/>
  <c r="J141" i="1"/>
  <c r="I145" i="1"/>
  <c r="H145" i="1" s="1"/>
  <c r="T145" i="1" s="1"/>
  <c r="U145" i="1" s="1"/>
  <c r="I146" i="1"/>
  <c r="H146" i="1" s="1"/>
  <c r="AH146" i="1"/>
  <c r="J150" i="1"/>
  <c r="AK150" i="1"/>
  <c r="S150" i="1"/>
  <c r="K154" i="1"/>
  <c r="I154" i="1"/>
  <c r="H154" i="1" s="1"/>
  <c r="AH154" i="1"/>
  <c r="K156" i="1"/>
  <c r="I160" i="1"/>
  <c r="H160" i="1" s="1"/>
  <c r="T160" i="1" s="1"/>
  <c r="U160" i="1" s="1"/>
  <c r="AH178" i="1"/>
  <c r="K178" i="1"/>
  <c r="J178" i="1"/>
  <c r="I178" i="1"/>
  <c r="H178" i="1" s="1"/>
  <c r="J179" i="1"/>
  <c r="I179" i="1"/>
  <c r="H179" i="1" s="1"/>
  <c r="T179" i="1" s="1"/>
  <c r="U179" i="1" s="1"/>
  <c r="AB179" i="1" s="1"/>
  <c r="N179" i="1"/>
  <c r="AH179" i="1"/>
  <c r="K179" i="1"/>
  <c r="AK182" i="1"/>
  <c r="S182" i="1"/>
  <c r="S109" i="1"/>
  <c r="S113" i="1"/>
  <c r="S117" i="1"/>
  <c r="S121" i="1"/>
  <c r="S125" i="1"/>
  <c r="K141" i="1"/>
  <c r="K145" i="1"/>
  <c r="AH145" i="1"/>
  <c r="T148" i="1"/>
  <c r="U148" i="1" s="1"/>
  <c r="AK151" i="1"/>
  <c r="N156" i="1"/>
  <c r="J160" i="1"/>
  <c r="J161" i="1"/>
  <c r="I161" i="1"/>
  <c r="H161" i="1" s="1"/>
  <c r="N161" i="1"/>
  <c r="K169" i="1"/>
  <c r="I169" i="1"/>
  <c r="H169" i="1" s="1"/>
  <c r="N169" i="1"/>
  <c r="AH169" i="1"/>
  <c r="J169" i="1"/>
  <c r="K213" i="1"/>
  <c r="I213" i="1"/>
  <c r="H213" i="1" s="1"/>
  <c r="AH213" i="1"/>
  <c r="N213" i="1"/>
  <c r="J213" i="1"/>
  <c r="AK154" i="1"/>
  <c r="S154" i="1"/>
  <c r="AA156" i="1"/>
  <c r="K158" i="1"/>
  <c r="I158" i="1"/>
  <c r="H158" i="1" s="1"/>
  <c r="AH158" i="1"/>
  <c r="N159" i="1"/>
  <c r="K159" i="1"/>
  <c r="J159" i="1"/>
  <c r="K160" i="1"/>
  <c r="N167" i="1"/>
  <c r="AH167" i="1"/>
  <c r="J167" i="1"/>
  <c r="I167" i="1"/>
  <c r="H167" i="1" s="1"/>
  <c r="K180" i="1"/>
  <c r="I180" i="1"/>
  <c r="H180" i="1" s="1"/>
  <c r="AH180" i="1"/>
  <c r="N180" i="1"/>
  <c r="J180" i="1"/>
  <c r="AA184" i="1"/>
  <c r="I119" i="1"/>
  <c r="H119" i="1" s="1"/>
  <c r="I123" i="1"/>
  <c r="H123" i="1" s="1"/>
  <c r="I127" i="1"/>
  <c r="H127" i="1" s="1"/>
  <c r="I131" i="1"/>
  <c r="H131" i="1" s="1"/>
  <c r="I135" i="1"/>
  <c r="H135" i="1" s="1"/>
  <c r="S136" i="1"/>
  <c r="I139" i="1"/>
  <c r="H139" i="1" s="1"/>
  <c r="S140" i="1"/>
  <c r="K142" i="1"/>
  <c r="T142" i="1"/>
  <c r="U142" i="1" s="1"/>
  <c r="Q142" i="1" s="1"/>
  <c r="O142" i="1" s="1"/>
  <c r="R142" i="1" s="1"/>
  <c r="AK143" i="1"/>
  <c r="S143" i="1"/>
  <c r="W145" i="1"/>
  <c r="J149" i="1"/>
  <c r="I149" i="1"/>
  <c r="H149" i="1" s="1"/>
  <c r="N149" i="1"/>
  <c r="AK155" i="1"/>
  <c r="AH159" i="1"/>
  <c r="N160" i="1"/>
  <c r="K166" i="1"/>
  <c r="N166" i="1"/>
  <c r="I166" i="1"/>
  <c r="H166" i="1" s="1"/>
  <c r="AK167" i="1"/>
  <c r="AK169" i="1"/>
  <c r="S169" i="1"/>
  <c r="N178" i="1"/>
  <c r="N145" i="1"/>
  <c r="I152" i="1"/>
  <c r="H152" i="1" s="1"/>
  <c r="T152" i="1" s="1"/>
  <c r="U152" i="1" s="1"/>
  <c r="J158" i="1"/>
  <c r="AK158" i="1"/>
  <c r="S158" i="1"/>
  <c r="K162" i="1"/>
  <c r="I162" i="1"/>
  <c r="H162" i="1" s="1"/>
  <c r="AH162" i="1"/>
  <c r="K165" i="1"/>
  <c r="I165" i="1"/>
  <c r="H165" i="1" s="1"/>
  <c r="N165" i="1"/>
  <c r="AH165" i="1"/>
  <c r="J165" i="1"/>
  <c r="I171" i="1"/>
  <c r="H171" i="1" s="1"/>
  <c r="T171" i="1" s="1"/>
  <c r="U171" i="1" s="1"/>
  <c r="AB171" i="1" s="1"/>
  <c r="AK176" i="1"/>
  <c r="S176" i="1"/>
  <c r="S119" i="1"/>
  <c r="S123" i="1"/>
  <c r="S127" i="1"/>
  <c r="S131" i="1"/>
  <c r="S135" i="1"/>
  <c r="S139" i="1"/>
  <c r="N148" i="1"/>
  <c r="J152" i="1"/>
  <c r="J153" i="1"/>
  <c r="I153" i="1"/>
  <c r="H153" i="1" s="1"/>
  <c r="T153" i="1" s="1"/>
  <c r="U153" i="1" s="1"/>
  <c r="N153" i="1"/>
  <c r="T156" i="1"/>
  <c r="U156" i="1" s="1"/>
  <c r="Q156" i="1" s="1"/>
  <c r="O156" i="1" s="1"/>
  <c r="R156" i="1" s="1"/>
  <c r="AK159" i="1"/>
  <c r="N163" i="1"/>
  <c r="AH163" i="1"/>
  <c r="K163" i="1"/>
  <c r="J163" i="1"/>
  <c r="N171" i="1"/>
  <c r="N177" i="1"/>
  <c r="K177" i="1"/>
  <c r="J177" i="1"/>
  <c r="I177" i="1"/>
  <c r="H177" i="1" s="1"/>
  <c r="AH193" i="1"/>
  <c r="N193" i="1"/>
  <c r="K193" i="1"/>
  <c r="J193" i="1"/>
  <c r="I193" i="1"/>
  <c r="H193" i="1" s="1"/>
  <c r="K150" i="1"/>
  <c r="I150" i="1"/>
  <c r="H150" i="1" s="1"/>
  <c r="AH150" i="1"/>
  <c r="N151" i="1"/>
  <c r="K151" i="1"/>
  <c r="J151" i="1"/>
  <c r="AK162" i="1"/>
  <c r="S162" i="1"/>
  <c r="AK163" i="1"/>
  <c r="AK165" i="1"/>
  <c r="S165" i="1"/>
  <c r="J171" i="1"/>
  <c r="K171" i="1"/>
  <c r="AK172" i="1"/>
  <c r="S172" i="1"/>
  <c r="S163" i="1"/>
  <c r="J164" i="1"/>
  <c r="S167" i="1"/>
  <c r="J168" i="1"/>
  <c r="N173" i="1"/>
  <c r="K173" i="1"/>
  <c r="I173" i="1"/>
  <c r="H173" i="1" s="1"/>
  <c r="J175" i="1"/>
  <c r="I175" i="1"/>
  <c r="H175" i="1" s="1"/>
  <c r="N175" i="1"/>
  <c r="AK178" i="1"/>
  <c r="S178" i="1"/>
  <c r="AK180" i="1"/>
  <c r="S180" i="1"/>
  <c r="N185" i="1"/>
  <c r="AH185" i="1"/>
  <c r="J185" i="1"/>
  <c r="I185" i="1"/>
  <c r="H185" i="1" s="1"/>
  <c r="T185" i="1" s="1"/>
  <c r="U185" i="1" s="1"/>
  <c r="AB185" i="1" s="1"/>
  <c r="S147" i="1"/>
  <c r="S151" i="1"/>
  <c r="S155" i="1"/>
  <c r="S159" i="1"/>
  <c r="K164" i="1"/>
  <c r="K168" i="1"/>
  <c r="K172" i="1"/>
  <c r="I172" i="1"/>
  <c r="H172" i="1" s="1"/>
  <c r="AH173" i="1"/>
  <c r="AH174" i="1"/>
  <c r="K174" i="1"/>
  <c r="K176" i="1"/>
  <c r="I176" i="1"/>
  <c r="H176" i="1" s="1"/>
  <c r="AH176" i="1"/>
  <c r="AK177" i="1"/>
  <c r="AK185" i="1"/>
  <c r="W197" i="1"/>
  <c r="T204" i="1"/>
  <c r="U204" i="1" s="1"/>
  <c r="Q204" i="1" s="1"/>
  <c r="O204" i="1" s="1"/>
  <c r="R204" i="1" s="1"/>
  <c r="L204" i="1" s="1"/>
  <c r="M204" i="1" s="1"/>
  <c r="AK170" i="1"/>
  <c r="S170" i="1"/>
  <c r="J182" i="1"/>
  <c r="AH184" i="1"/>
  <c r="N184" i="1"/>
  <c r="K184" i="1"/>
  <c r="AK186" i="1"/>
  <c r="AA215" i="1"/>
  <c r="AC227" i="1"/>
  <c r="V227" i="1"/>
  <c r="Z227" i="1" s="1"/>
  <c r="N164" i="1"/>
  <c r="AK166" i="1"/>
  <c r="S166" i="1"/>
  <c r="N168" i="1"/>
  <c r="J172" i="1"/>
  <c r="N181" i="1"/>
  <c r="K181" i="1"/>
  <c r="J181" i="1"/>
  <c r="I181" i="1"/>
  <c r="H181" i="1" s="1"/>
  <c r="K183" i="1"/>
  <c r="J183" i="1"/>
  <c r="I183" i="1"/>
  <c r="H183" i="1" s="1"/>
  <c r="AH183" i="1"/>
  <c r="N183" i="1"/>
  <c r="AK184" i="1"/>
  <c r="N200" i="1"/>
  <c r="K200" i="1"/>
  <c r="J200" i="1"/>
  <c r="I200" i="1"/>
  <c r="H200" i="1" s="1"/>
  <c r="AH200" i="1"/>
  <c r="T208" i="1"/>
  <c r="U208" i="1" s="1"/>
  <c r="AA208" i="1"/>
  <c r="AC223" i="1"/>
  <c r="AD223" i="1" s="1"/>
  <c r="V223" i="1"/>
  <c r="Z223" i="1" s="1"/>
  <c r="AB223" i="1"/>
  <c r="AH182" i="1"/>
  <c r="K182" i="1"/>
  <c r="AH201" i="1"/>
  <c r="N201" i="1"/>
  <c r="K201" i="1"/>
  <c r="J201" i="1"/>
  <c r="I201" i="1"/>
  <c r="H201" i="1" s="1"/>
  <c r="AA204" i="1"/>
  <c r="N188" i="1"/>
  <c r="K188" i="1"/>
  <c r="I188" i="1"/>
  <c r="H188" i="1" s="1"/>
  <c r="AH188" i="1"/>
  <c r="N192" i="1"/>
  <c r="K192" i="1"/>
  <c r="I192" i="1"/>
  <c r="H192" i="1" s="1"/>
  <c r="AH192" i="1"/>
  <c r="AH197" i="1"/>
  <c r="N197" i="1"/>
  <c r="K197" i="1"/>
  <c r="J197" i="1"/>
  <c r="T216" i="1"/>
  <c r="U216" i="1" s="1"/>
  <c r="K218" i="1"/>
  <c r="J218" i="1"/>
  <c r="AH218" i="1"/>
  <c r="N218" i="1"/>
  <c r="I218" i="1"/>
  <c r="H218" i="1" s="1"/>
  <c r="AA232" i="1"/>
  <c r="K187" i="1"/>
  <c r="J187" i="1"/>
  <c r="I187" i="1"/>
  <c r="H187" i="1" s="1"/>
  <c r="AA207" i="1"/>
  <c r="J219" i="1"/>
  <c r="AH219" i="1"/>
  <c r="N219" i="1"/>
  <c r="K219" i="1"/>
  <c r="I219" i="1"/>
  <c r="H219" i="1" s="1"/>
  <c r="K221" i="1"/>
  <c r="I221" i="1"/>
  <c r="H221" i="1" s="1"/>
  <c r="AH221" i="1"/>
  <c r="N221" i="1"/>
  <c r="J221" i="1"/>
  <c r="K234" i="1"/>
  <c r="N234" i="1"/>
  <c r="AH234" i="1"/>
  <c r="J234" i="1"/>
  <c r="I234" i="1"/>
  <c r="H234" i="1" s="1"/>
  <c r="S173" i="1"/>
  <c r="S177" i="1"/>
  <c r="S181" i="1"/>
  <c r="AK183" i="1"/>
  <c r="S183" i="1"/>
  <c r="AH187" i="1"/>
  <c r="AK188" i="1"/>
  <c r="S188" i="1"/>
  <c r="W189" i="1"/>
  <c r="AK192" i="1"/>
  <c r="S192" i="1"/>
  <c r="T197" i="1"/>
  <c r="U197" i="1" s="1"/>
  <c r="AA197" i="1"/>
  <c r="AK205" i="1"/>
  <c r="S205" i="1"/>
  <c r="W206" i="1"/>
  <c r="K214" i="1"/>
  <c r="J214" i="1"/>
  <c r="AH214" i="1"/>
  <c r="N214" i="1"/>
  <c r="I214" i="1"/>
  <c r="H214" i="1" s="1"/>
  <c r="AA223" i="1"/>
  <c r="Q223" i="1"/>
  <c r="O223" i="1" s="1"/>
  <c r="R223" i="1" s="1"/>
  <c r="AA212" i="1"/>
  <c r="AA226" i="1"/>
  <c r="W201" i="1"/>
  <c r="K210" i="1"/>
  <c r="J210" i="1"/>
  <c r="AH210" i="1"/>
  <c r="N210" i="1"/>
  <c r="I210" i="1"/>
  <c r="H210" i="1" s="1"/>
  <c r="N187" i="1"/>
  <c r="AH189" i="1"/>
  <c r="N189" i="1"/>
  <c r="K189" i="1"/>
  <c r="J189" i="1"/>
  <c r="T190" i="1"/>
  <c r="U190" i="1" s="1"/>
  <c r="Q190" i="1" s="1"/>
  <c r="O190" i="1" s="1"/>
  <c r="R190" i="1" s="1"/>
  <c r="L190" i="1" s="1"/>
  <c r="M190" i="1" s="1"/>
  <c r="N196" i="1"/>
  <c r="K196" i="1"/>
  <c r="J196" i="1"/>
  <c r="I196" i="1"/>
  <c r="H196" i="1" s="1"/>
  <c r="AH196" i="1"/>
  <c r="J211" i="1"/>
  <c r="AH211" i="1"/>
  <c r="N211" i="1"/>
  <c r="K211" i="1"/>
  <c r="I211" i="1"/>
  <c r="H211" i="1" s="1"/>
  <c r="N195" i="1"/>
  <c r="N199" i="1"/>
  <c r="N203" i="1"/>
  <c r="AH203" i="1"/>
  <c r="T219" i="1"/>
  <c r="U219" i="1" s="1"/>
  <c r="AB219" i="1" s="1"/>
  <c r="K222" i="1"/>
  <c r="J222" i="1"/>
  <c r="AA231" i="1"/>
  <c r="AA251" i="1"/>
  <c r="S189" i="1"/>
  <c r="W203" i="1"/>
  <c r="AK213" i="1"/>
  <c r="S213" i="1"/>
  <c r="AK221" i="1"/>
  <c r="S221" i="1"/>
  <c r="AA227" i="1"/>
  <c r="K254" i="1"/>
  <c r="J254" i="1"/>
  <c r="AH254" i="1"/>
  <c r="N254" i="1"/>
  <c r="I254" i="1"/>
  <c r="H254" i="1" s="1"/>
  <c r="T254" i="1" s="1"/>
  <c r="U254" i="1" s="1"/>
  <c r="K209" i="1"/>
  <c r="I209" i="1"/>
  <c r="H209" i="1" s="1"/>
  <c r="AH209" i="1"/>
  <c r="I225" i="1"/>
  <c r="H225" i="1" s="1"/>
  <c r="J225" i="1"/>
  <c r="AH225" i="1"/>
  <c r="T232" i="1"/>
  <c r="U232" i="1" s="1"/>
  <c r="AA236" i="1"/>
  <c r="I191" i="1"/>
  <c r="H191" i="1" s="1"/>
  <c r="I195" i="1"/>
  <c r="H195" i="1" s="1"/>
  <c r="S196" i="1"/>
  <c r="I199" i="1"/>
  <c r="H199" i="1" s="1"/>
  <c r="S200" i="1"/>
  <c r="I203" i="1"/>
  <c r="H203" i="1" s="1"/>
  <c r="T203" i="1" s="1"/>
  <c r="U203" i="1" s="1"/>
  <c r="AK203" i="1"/>
  <c r="T212" i="1"/>
  <c r="U212" i="1" s="1"/>
  <c r="K217" i="1"/>
  <c r="I217" i="1"/>
  <c r="H217" i="1" s="1"/>
  <c r="AH217" i="1"/>
  <c r="N217" i="1"/>
  <c r="AK222" i="1"/>
  <c r="S222" i="1"/>
  <c r="T224" i="1"/>
  <c r="U224" i="1" s="1"/>
  <c r="K227" i="1"/>
  <c r="J227" i="1"/>
  <c r="AH227" i="1"/>
  <c r="AH190" i="1"/>
  <c r="J191" i="1"/>
  <c r="AH194" i="1"/>
  <c r="J195" i="1"/>
  <c r="AH198" i="1"/>
  <c r="J199" i="1"/>
  <c r="AH202" i="1"/>
  <c r="J203" i="1"/>
  <c r="K205" i="1"/>
  <c r="I205" i="1"/>
  <c r="H205" i="1" s="1"/>
  <c r="J206" i="1"/>
  <c r="AH206" i="1"/>
  <c r="N209" i="1"/>
  <c r="AK209" i="1"/>
  <c r="S209" i="1"/>
  <c r="T215" i="1"/>
  <c r="U215" i="1" s="1"/>
  <c r="Q215" i="1" s="1"/>
  <c r="O215" i="1" s="1"/>
  <c r="R215" i="1" s="1"/>
  <c r="L215" i="1" s="1"/>
  <c r="M215" i="1" s="1"/>
  <c r="AA216" i="1"/>
  <c r="I222" i="1"/>
  <c r="H222" i="1" s="1"/>
  <c r="AB227" i="1"/>
  <c r="AA235" i="1"/>
  <c r="S187" i="1"/>
  <c r="S191" i="1"/>
  <c r="S195" i="1"/>
  <c r="I198" i="1"/>
  <c r="H198" i="1" s="1"/>
  <c r="S199" i="1"/>
  <c r="I202" i="1"/>
  <c r="H202" i="1" s="1"/>
  <c r="T202" i="1" s="1"/>
  <c r="U202" i="1" s="1"/>
  <c r="AH205" i="1"/>
  <c r="W207" i="1"/>
  <c r="AB216" i="1"/>
  <c r="J217" i="1"/>
  <c r="AK217" i="1"/>
  <c r="S217" i="1"/>
  <c r="Q227" i="1"/>
  <c r="O227" i="1" s="1"/>
  <c r="R227" i="1" s="1"/>
  <c r="T236" i="1"/>
  <c r="U236" i="1" s="1"/>
  <c r="AK206" i="1"/>
  <c r="S206" i="1"/>
  <c r="W215" i="1"/>
  <c r="N222" i="1"/>
  <c r="AA239" i="1"/>
  <c r="AA240" i="1"/>
  <c r="K246" i="1"/>
  <c r="N246" i="1"/>
  <c r="AH246" i="1"/>
  <c r="J246" i="1"/>
  <c r="I246" i="1"/>
  <c r="H246" i="1" s="1"/>
  <c r="K230" i="1"/>
  <c r="N230" i="1"/>
  <c r="AH230" i="1"/>
  <c r="J230" i="1"/>
  <c r="S210" i="1"/>
  <c r="S214" i="1"/>
  <c r="S218" i="1"/>
  <c r="S225" i="1"/>
  <c r="N226" i="1"/>
  <c r="AH226" i="1"/>
  <c r="K228" i="1"/>
  <c r="I228" i="1"/>
  <c r="H228" i="1" s="1"/>
  <c r="I229" i="1"/>
  <c r="H229" i="1" s="1"/>
  <c r="J229" i="1"/>
  <c r="AH229" i="1"/>
  <c r="K238" i="1"/>
  <c r="N238" i="1"/>
  <c r="AH238" i="1"/>
  <c r="J238" i="1"/>
  <c r="K250" i="1"/>
  <c r="N250" i="1"/>
  <c r="AH250" i="1"/>
  <c r="J250" i="1"/>
  <c r="I250" i="1"/>
  <c r="H250" i="1" s="1"/>
  <c r="T251" i="1"/>
  <c r="U251" i="1" s="1"/>
  <c r="AB251" i="1" s="1"/>
  <c r="W224" i="1"/>
  <c r="AK226" i="1"/>
  <c r="S226" i="1"/>
  <c r="AK232" i="1"/>
  <c r="T240" i="1"/>
  <c r="U240" i="1" s="1"/>
  <c r="Q240" i="1" s="1"/>
  <c r="O240" i="1" s="1"/>
  <c r="R240" i="1" s="1"/>
  <c r="L240" i="1" s="1"/>
  <c r="M240" i="1" s="1"/>
  <c r="K242" i="1"/>
  <c r="N242" i="1"/>
  <c r="AH242" i="1"/>
  <c r="J242" i="1"/>
  <c r="I242" i="1"/>
  <c r="H242" i="1" s="1"/>
  <c r="T248" i="1"/>
  <c r="U248" i="1" s="1"/>
  <c r="Q248" i="1" s="1"/>
  <c r="O248" i="1" s="1"/>
  <c r="R248" i="1" s="1"/>
  <c r="L248" i="1" s="1"/>
  <c r="M248" i="1" s="1"/>
  <c r="I253" i="1"/>
  <c r="H253" i="1" s="1"/>
  <c r="AH253" i="1"/>
  <c r="K253" i="1"/>
  <c r="J253" i="1"/>
  <c r="N253" i="1"/>
  <c r="S231" i="1"/>
  <c r="J232" i="1"/>
  <c r="S235" i="1"/>
  <c r="J236" i="1"/>
  <c r="S239" i="1"/>
  <c r="AH232" i="1"/>
  <c r="I233" i="1"/>
  <c r="H233" i="1" s="1"/>
  <c r="K233" i="1"/>
  <c r="AH236" i="1"/>
  <c r="I237" i="1"/>
  <c r="H237" i="1" s="1"/>
  <c r="K237" i="1"/>
  <c r="J243" i="1"/>
  <c r="AH243" i="1"/>
  <c r="K244" i="1"/>
  <c r="J247" i="1"/>
  <c r="AH247" i="1"/>
  <c r="K248" i="1"/>
  <c r="J251" i="1"/>
  <c r="AH251" i="1"/>
  <c r="I241" i="1"/>
  <c r="H241" i="1" s="1"/>
  <c r="K241" i="1"/>
  <c r="I245" i="1"/>
  <c r="H245" i="1" s="1"/>
  <c r="K245" i="1"/>
  <c r="I249" i="1"/>
  <c r="H249" i="1" s="1"/>
  <c r="K249" i="1"/>
  <c r="I252" i="1"/>
  <c r="H252" i="1" s="1"/>
  <c r="AH252" i="1"/>
  <c r="K255" i="1"/>
  <c r="J255" i="1"/>
  <c r="AH255" i="1"/>
  <c r="N255" i="1"/>
  <c r="AK230" i="1"/>
  <c r="S230" i="1"/>
  <c r="N232" i="1"/>
  <c r="AK234" i="1"/>
  <c r="S234" i="1"/>
  <c r="N236" i="1"/>
  <c r="AK238" i="1"/>
  <c r="S238" i="1"/>
  <c r="AH241" i="1"/>
  <c r="AH245" i="1"/>
  <c r="AH249" i="1"/>
  <c r="AK233" i="1"/>
  <c r="S233" i="1"/>
  <c r="AK237" i="1"/>
  <c r="S237" i="1"/>
  <c r="N241" i="1"/>
  <c r="AK242" i="1"/>
  <c r="S242" i="1"/>
  <c r="N244" i="1"/>
  <c r="N245" i="1"/>
  <c r="AK246" i="1"/>
  <c r="S246" i="1"/>
  <c r="N248" i="1"/>
  <c r="N249" i="1"/>
  <c r="AK250" i="1"/>
  <c r="S250" i="1"/>
  <c r="N252" i="1"/>
  <c r="I255" i="1"/>
  <c r="H255" i="1" s="1"/>
  <c r="T255" i="1" s="1"/>
  <c r="U255" i="1" s="1"/>
  <c r="AK241" i="1"/>
  <c r="S241" i="1"/>
  <c r="AK245" i="1"/>
  <c r="S245" i="1"/>
  <c r="AK249" i="1"/>
  <c r="S249" i="1"/>
  <c r="S253" i="1"/>
  <c r="AB207" i="1" l="1"/>
  <c r="AC207" i="1"/>
  <c r="V207" i="1"/>
  <c r="Z207" i="1" s="1"/>
  <c r="Q207" i="1"/>
  <c r="O207" i="1" s="1"/>
  <c r="R207" i="1" s="1"/>
  <c r="L207" i="1" s="1"/>
  <c r="M207" i="1" s="1"/>
  <c r="T229" i="1"/>
  <c r="U229" i="1" s="1"/>
  <c r="Q29" i="1"/>
  <c r="O29" i="1" s="1"/>
  <c r="R29" i="1" s="1"/>
  <c r="L29" i="1" s="1"/>
  <c r="M29" i="1" s="1"/>
  <c r="T194" i="1"/>
  <c r="U194" i="1" s="1"/>
  <c r="Q138" i="1"/>
  <c r="O138" i="1" s="1"/>
  <c r="R138" i="1" s="1"/>
  <c r="L138" i="1" s="1"/>
  <c r="M138" i="1" s="1"/>
  <c r="L164" i="1"/>
  <c r="M164" i="1" s="1"/>
  <c r="AA66" i="1"/>
  <c r="L142" i="1"/>
  <c r="M142" i="1" s="1"/>
  <c r="L91" i="1"/>
  <c r="M91" i="1" s="1"/>
  <c r="V122" i="1"/>
  <c r="Z122" i="1" s="1"/>
  <c r="Q66" i="1"/>
  <c r="O66" i="1" s="1"/>
  <c r="R66" i="1" s="1"/>
  <c r="L66" i="1" s="1"/>
  <c r="M66" i="1" s="1"/>
  <c r="T186" i="1"/>
  <c r="U186" i="1" s="1"/>
  <c r="Q186" i="1" s="1"/>
  <c r="O186" i="1" s="1"/>
  <c r="R186" i="1" s="1"/>
  <c r="L186" i="1" s="1"/>
  <c r="M186" i="1" s="1"/>
  <c r="L184" i="1"/>
  <c r="M184" i="1" s="1"/>
  <c r="T146" i="1"/>
  <c r="U146" i="1" s="1"/>
  <c r="AB146" i="1" s="1"/>
  <c r="Q70" i="1"/>
  <c r="O70" i="1" s="1"/>
  <c r="R70" i="1" s="1"/>
  <c r="L70" i="1" s="1"/>
  <c r="M70" i="1" s="1"/>
  <c r="AB122" i="1"/>
  <c r="AC122" i="1"/>
  <c r="AD122" i="1" s="1"/>
  <c r="T149" i="1"/>
  <c r="U149" i="1" s="1"/>
  <c r="AB149" i="1" s="1"/>
  <c r="Q168" i="1"/>
  <c r="O168" i="1" s="1"/>
  <c r="R168" i="1" s="1"/>
  <c r="L168" i="1" s="1"/>
  <c r="M168" i="1" s="1"/>
  <c r="AB168" i="1"/>
  <c r="AB40" i="1"/>
  <c r="T244" i="1"/>
  <c r="U244" i="1" s="1"/>
  <c r="AB244" i="1" s="1"/>
  <c r="T220" i="1"/>
  <c r="U220" i="1" s="1"/>
  <c r="AB220" i="1" s="1"/>
  <c r="L156" i="1"/>
  <c r="M156" i="1" s="1"/>
  <c r="AA110" i="1"/>
  <c r="L223" i="1"/>
  <c r="M223" i="1" s="1"/>
  <c r="AB86" i="1"/>
  <c r="L227" i="1"/>
  <c r="M227" i="1" s="1"/>
  <c r="Q126" i="1"/>
  <c r="O126" i="1" s="1"/>
  <c r="R126" i="1" s="1"/>
  <c r="L126" i="1" s="1"/>
  <c r="M126" i="1" s="1"/>
  <c r="T106" i="1"/>
  <c r="U106" i="1" s="1"/>
  <c r="Q106" i="1" s="1"/>
  <c r="O106" i="1" s="1"/>
  <c r="R106" i="1" s="1"/>
  <c r="L106" i="1" s="1"/>
  <c r="M106" i="1" s="1"/>
  <c r="AC66" i="1"/>
  <c r="V66" i="1"/>
  <c r="Z66" i="1" s="1"/>
  <c r="L122" i="1"/>
  <c r="M122" i="1" s="1"/>
  <c r="T36" i="1"/>
  <c r="U36" i="1" s="1"/>
  <c r="Q36" i="1" s="1"/>
  <c r="O36" i="1" s="1"/>
  <c r="R36" i="1" s="1"/>
  <c r="L36" i="1" s="1"/>
  <c r="M36" i="1" s="1"/>
  <c r="AC74" i="1"/>
  <c r="V74" i="1"/>
  <c r="Z74" i="1" s="1"/>
  <c r="AB74" i="1"/>
  <c r="AC203" i="1"/>
  <c r="V203" i="1"/>
  <c r="Z203" i="1" s="1"/>
  <c r="AB203" i="1"/>
  <c r="AC255" i="1"/>
  <c r="V255" i="1"/>
  <c r="Z255" i="1" s="1"/>
  <c r="AB255" i="1"/>
  <c r="V202" i="1"/>
  <c r="Z202" i="1" s="1"/>
  <c r="AC202" i="1"/>
  <c r="AB202" i="1"/>
  <c r="AB18" i="1"/>
  <c r="AC18" i="1"/>
  <c r="V18" i="1"/>
  <c r="Z18" i="1" s="1"/>
  <c r="AC101" i="1"/>
  <c r="AB101" i="1"/>
  <c r="V101" i="1"/>
  <c r="Z101" i="1" s="1"/>
  <c r="AC62" i="1"/>
  <c r="V62" i="1"/>
  <c r="Z62" i="1" s="1"/>
  <c r="AB62" i="1"/>
  <c r="V24" i="1"/>
  <c r="Z24" i="1" s="1"/>
  <c r="AC24" i="1"/>
  <c r="AB24" i="1"/>
  <c r="AB145" i="1"/>
  <c r="V145" i="1"/>
  <c r="Z145" i="1" s="1"/>
  <c r="AC145" i="1"/>
  <c r="V80" i="1"/>
  <c r="Z80" i="1" s="1"/>
  <c r="AC80" i="1"/>
  <c r="AB80" i="1"/>
  <c r="AC78" i="1"/>
  <c r="V78" i="1"/>
  <c r="Z78" i="1" s="1"/>
  <c r="AB78" i="1"/>
  <c r="V208" i="1"/>
  <c r="Z208" i="1" s="1"/>
  <c r="AC208" i="1"/>
  <c r="AA104" i="1"/>
  <c r="AA77" i="1"/>
  <c r="AA81" i="1"/>
  <c r="AA253" i="1"/>
  <c r="AC194" i="1"/>
  <c r="AB194" i="1"/>
  <c r="V194" i="1"/>
  <c r="Z194" i="1" s="1"/>
  <c r="T119" i="1"/>
  <c r="U119" i="1" s="1"/>
  <c r="T140" i="1"/>
  <c r="U140" i="1" s="1"/>
  <c r="AA132" i="1"/>
  <c r="AA155" i="1"/>
  <c r="T103" i="1"/>
  <c r="U103" i="1" s="1"/>
  <c r="AC91" i="1"/>
  <c r="V91" i="1"/>
  <c r="Z91" i="1" s="1"/>
  <c r="T21" i="1"/>
  <c r="U21" i="1" s="1"/>
  <c r="AA17" i="1"/>
  <c r="V44" i="1"/>
  <c r="Z44" i="1" s="1"/>
  <c r="AC44" i="1"/>
  <c r="T217" i="1"/>
  <c r="U217" i="1" s="1"/>
  <c r="T199" i="1"/>
  <c r="U199" i="1" s="1"/>
  <c r="Q199" i="1" s="1"/>
  <c r="O199" i="1" s="1"/>
  <c r="R199" i="1" s="1"/>
  <c r="L199" i="1" s="1"/>
  <c r="M199" i="1" s="1"/>
  <c r="AA222" i="1"/>
  <c r="AA205" i="1"/>
  <c r="AC224" i="1"/>
  <c r="V224" i="1"/>
  <c r="Z224" i="1" s="1"/>
  <c r="Q224" i="1"/>
  <c r="O224" i="1" s="1"/>
  <c r="R224" i="1" s="1"/>
  <c r="L224" i="1" s="1"/>
  <c r="M224" i="1" s="1"/>
  <c r="AA195" i="1"/>
  <c r="T189" i="1"/>
  <c r="U189" i="1" s="1"/>
  <c r="Q194" i="1"/>
  <c r="O194" i="1" s="1"/>
  <c r="R194" i="1" s="1"/>
  <c r="L194" i="1" s="1"/>
  <c r="M194" i="1" s="1"/>
  <c r="AA210" i="1"/>
  <c r="AA234" i="1"/>
  <c r="AA221" i="1"/>
  <c r="V216" i="1"/>
  <c r="Z216" i="1" s="1"/>
  <c r="AC216" i="1"/>
  <c r="AD216" i="1" s="1"/>
  <c r="AA183" i="1"/>
  <c r="V204" i="1"/>
  <c r="Z204" i="1" s="1"/>
  <c r="AC204" i="1"/>
  <c r="AB204" i="1"/>
  <c r="T159" i="1"/>
  <c r="U159" i="1" s="1"/>
  <c r="AA175" i="1"/>
  <c r="T175" i="1"/>
  <c r="U175" i="1" s="1"/>
  <c r="Q175" i="1" s="1"/>
  <c r="O175" i="1" s="1"/>
  <c r="R175" i="1" s="1"/>
  <c r="L175" i="1" s="1"/>
  <c r="M175" i="1" s="1"/>
  <c r="T163" i="1"/>
  <c r="U163" i="1" s="1"/>
  <c r="T165" i="1"/>
  <c r="U165" i="1" s="1"/>
  <c r="Q165" i="1" s="1"/>
  <c r="O165" i="1" s="1"/>
  <c r="R165" i="1" s="1"/>
  <c r="L165" i="1" s="1"/>
  <c r="M165" i="1" s="1"/>
  <c r="AA193" i="1"/>
  <c r="T193" i="1"/>
  <c r="U193" i="1" s="1"/>
  <c r="AA177" i="1"/>
  <c r="Q152" i="1"/>
  <c r="O152" i="1" s="1"/>
  <c r="R152" i="1" s="1"/>
  <c r="L152" i="1" s="1"/>
  <c r="M152" i="1" s="1"/>
  <c r="AA152" i="1"/>
  <c r="AA166" i="1"/>
  <c r="AA149" i="1"/>
  <c r="AA139" i="1"/>
  <c r="AA161" i="1"/>
  <c r="T161" i="1"/>
  <c r="U161" i="1" s="1"/>
  <c r="Q161" i="1" s="1"/>
  <c r="O161" i="1" s="1"/>
  <c r="R161" i="1" s="1"/>
  <c r="L161" i="1" s="1"/>
  <c r="M161" i="1" s="1"/>
  <c r="T150" i="1"/>
  <c r="U150" i="1" s="1"/>
  <c r="Q150" i="1" s="1"/>
  <c r="O150" i="1" s="1"/>
  <c r="R150" i="1" s="1"/>
  <c r="L150" i="1" s="1"/>
  <c r="M150" i="1" s="1"/>
  <c r="T96" i="1"/>
  <c r="U96" i="1" s="1"/>
  <c r="Q96" i="1" s="1"/>
  <c r="O96" i="1" s="1"/>
  <c r="R96" i="1" s="1"/>
  <c r="L96" i="1" s="1"/>
  <c r="M96" i="1" s="1"/>
  <c r="V141" i="1"/>
  <c r="Z141" i="1" s="1"/>
  <c r="AC141" i="1"/>
  <c r="AB141" i="1"/>
  <c r="T120" i="1"/>
  <c r="U120" i="1" s="1"/>
  <c r="AA92" i="1"/>
  <c r="T107" i="1"/>
  <c r="U107" i="1" s="1"/>
  <c r="T118" i="1"/>
  <c r="U118" i="1" s="1"/>
  <c r="T88" i="1"/>
  <c r="U88" i="1" s="1"/>
  <c r="Q88" i="1" s="1"/>
  <c r="O88" i="1" s="1"/>
  <c r="R88" i="1" s="1"/>
  <c r="L88" i="1" s="1"/>
  <c r="M88" i="1" s="1"/>
  <c r="T59" i="1"/>
  <c r="U59" i="1" s="1"/>
  <c r="AA113" i="1"/>
  <c r="T105" i="1"/>
  <c r="U105" i="1" s="1"/>
  <c r="AA63" i="1"/>
  <c r="T63" i="1"/>
  <c r="U63" i="1" s="1"/>
  <c r="Q63" i="1" s="1"/>
  <c r="O63" i="1" s="1"/>
  <c r="R63" i="1" s="1"/>
  <c r="L63" i="1" s="1"/>
  <c r="M63" i="1" s="1"/>
  <c r="AA61" i="1"/>
  <c r="V28" i="1"/>
  <c r="Z28" i="1" s="1"/>
  <c r="AC28" i="1"/>
  <c r="T38" i="1"/>
  <c r="U38" i="1" s="1"/>
  <c r="Q38" i="1" s="1"/>
  <c r="O38" i="1" s="1"/>
  <c r="R38" i="1" s="1"/>
  <c r="L38" i="1" s="1"/>
  <c r="M38" i="1" s="1"/>
  <c r="V67" i="1"/>
  <c r="Z67" i="1" s="1"/>
  <c r="AC67" i="1"/>
  <c r="AD67" i="1" s="1"/>
  <c r="Q67" i="1"/>
  <c r="O67" i="1" s="1"/>
  <c r="R67" i="1" s="1"/>
  <c r="L67" i="1" s="1"/>
  <c r="M67" i="1" s="1"/>
  <c r="AA56" i="1"/>
  <c r="AA85" i="1"/>
  <c r="AA20" i="1"/>
  <c r="Q20" i="1"/>
  <c r="O20" i="1" s="1"/>
  <c r="R20" i="1" s="1"/>
  <c r="L20" i="1" s="1"/>
  <c r="M20" i="1" s="1"/>
  <c r="V30" i="1"/>
  <c r="Z30" i="1" s="1"/>
  <c r="AC30" i="1"/>
  <c r="AD30" i="1" s="1"/>
  <c r="T239" i="1"/>
  <c r="U239" i="1" s="1"/>
  <c r="T218" i="1"/>
  <c r="U218" i="1" s="1"/>
  <c r="Q218" i="1" s="1"/>
  <c r="O218" i="1" s="1"/>
  <c r="R218" i="1" s="1"/>
  <c r="L218" i="1" s="1"/>
  <c r="M218" i="1" s="1"/>
  <c r="AA199" i="1"/>
  <c r="T167" i="1"/>
  <c r="U167" i="1" s="1"/>
  <c r="Q167" i="1" s="1"/>
  <c r="O167" i="1" s="1"/>
  <c r="R167" i="1" s="1"/>
  <c r="L167" i="1" s="1"/>
  <c r="M167" i="1" s="1"/>
  <c r="T123" i="1"/>
  <c r="U123" i="1" s="1"/>
  <c r="Q123" i="1" s="1"/>
  <c r="O123" i="1" s="1"/>
  <c r="R123" i="1" s="1"/>
  <c r="L123" i="1" s="1"/>
  <c r="M123" i="1" s="1"/>
  <c r="AA180" i="1"/>
  <c r="T154" i="1"/>
  <c r="U154" i="1" s="1"/>
  <c r="T182" i="1"/>
  <c r="U182" i="1" s="1"/>
  <c r="V75" i="1"/>
  <c r="Z75" i="1" s="1"/>
  <c r="AC75" i="1"/>
  <c r="AA45" i="1"/>
  <c r="Q45" i="1"/>
  <c r="O45" i="1" s="1"/>
  <c r="R45" i="1" s="1"/>
  <c r="L45" i="1" s="1"/>
  <c r="M45" i="1" s="1"/>
  <c r="AB75" i="1"/>
  <c r="Q42" i="1"/>
  <c r="O42" i="1" s="1"/>
  <c r="R42" i="1" s="1"/>
  <c r="L42" i="1" s="1"/>
  <c r="M42" i="1" s="1"/>
  <c r="AA42" i="1"/>
  <c r="AA95" i="1"/>
  <c r="T45" i="1"/>
  <c r="U45" i="1" s="1"/>
  <c r="T235" i="1"/>
  <c r="U235" i="1" s="1"/>
  <c r="Q229" i="1"/>
  <c r="O229" i="1" s="1"/>
  <c r="R229" i="1" s="1"/>
  <c r="L229" i="1" s="1"/>
  <c r="M229" i="1" s="1"/>
  <c r="AA229" i="1"/>
  <c r="T210" i="1"/>
  <c r="U210" i="1" s="1"/>
  <c r="Q210" i="1" s="1"/>
  <c r="O210" i="1" s="1"/>
  <c r="R210" i="1" s="1"/>
  <c r="L210" i="1" s="1"/>
  <c r="M210" i="1" s="1"/>
  <c r="T245" i="1"/>
  <c r="U245" i="1" s="1"/>
  <c r="T238" i="1"/>
  <c r="U238" i="1" s="1"/>
  <c r="AA249" i="1"/>
  <c r="V248" i="1"/>
  <c r="Z248" i="1" s="1"/>
  <c r="AC248" i="1"/>
  <c r="AC251" i="1"/>
  <c r="AD251" i="1" s="1"/>
  <c r="V251" i="1"/>
  <c r="Z251" i="1" s="1"/>
  <c r="AA228" i="1"/>
  <c r="AB248" i="1"/>
  <c r="T206" i="1"/>
  <c r="U206" i="1" s="1"/>
  <c r="AA198" i="1"/>
  <c r="V212" i="1"/>
  <c r="Z212" i="1" s="1"/>
  <c r="AC212" i="1"/>
  <c r="AA191" i="1"/>
  <c r="AA254" i="1"/>
  <c r="Q254" i="1"/>
  <c r="O254" i="1" s="1"/>
  <c r="R254" i="1" s="1"/>
  <c r="L254" i="1" s="1"/>
  <c r="M254" i="1" s="1"/>
  <c r="Q251" i="1"/>
  <c r="O251" i="1" s="1"/>
  <c r="R251" i="1" s="1"/>
  <c r="L251" i="1" s="1"/>
  <c r="M251" i="1" s="1"/>
  <c r="AA211" i="1"/>
  <c r="AA214" i="1"/>
  <c r="T201" i="1"/>
  <c r="U201" i="1" s="1"/>
  <c r="Q201" i="1" s="1"/>
  <c r="O201" i="1" s="1"/>
  <c r="R201" i="1" s="1"/>
  <c r="L201" i="1" s="1"/>
  <c r="M201" i="1" s="1"/>
  <c r="AA201" i="1"/>
  <c r="AB224" i="1"/>
  <c r="AA200" i="1"/>
  <c r="T166" i="1"/>
  <c r="U166" i="1" s="1"/>
  <c r="T155" i="1"/>
  <c r="U155" i="1" s="1"/>
  <c r="Q155" i="1" s="1"/>
  <c r="O155" i="1" s="1"/>
  <c r="R155" i="1" s="1"/>
  <c r="L155" i="1" s="1"/>
  <c r="M155" i="1" s="1"/>
  <c r="T176" i="1"/>
  <c r="U176" i="1" s="1"/>
  <c r="Q176" i="1" s="1"/>
  <c r="O176" i="1" s="1"/>
  <c r="R176" i="1" s="1"/>
  <c r="L176" i="1" s="1"/>
  <c r="M176" i="1" s="1"/>
  <c r="T136" i="1"/>
  <c r="U136" i="1" s="1"/>
  <c r="Q136" i="1" s="1"/>
  <c r="O136" i="1" s="1"/>
  <c r="R136" i="1" s="1"/>
  <c r="L136" i="1" s="1"/>
  <c r="M136" i="1" s="1"/>
  <c r="AA167" i="1"/>
  <c r="Q220" i="1"/>
  <c r="O220" i="1" s="1"/>
  <c r="R220" i="1" s="1"/>
  <c r="L220" i="1" s="1"/>
  <c r="M220" i="1" s="1"/>
  <c r="T125" i="1"/>
  <c r="U125" i="1" s="1"/>
  <c r="Q134" i="1"/>
  <c r="O134" i="1" s="1"/>
  <c r="R134" i="1" s="1"/>
  <c r="L134" i="1" s="1"/>
  <c r="M134" i="1" s="1"/>
  <c r="AC164" i="1"/>
  <c r="V164" i="1"/>
  <c r="Z164" i="1" s="1"/>
  <c r="AC168" i="1"/>
  <c r="AD168" i="1" s="1"/>
  <c r="V168" i="1"/>
  <c r="Z168" i="1" s="1"/>
  <c r="L141" i="1"/>
  <c r="M141" i="1" s="1"/>
  <c r="T111" i="1"/>
  <c r="U111" i="1" s="1"/>
  <c r="Q111" i="1" s="1"/>
  <c r="O111" i="1" s="1"/>
  <c r="R111" i="1" s="1"/>
  <c r="L111" i="1" s="1"/>
  <c r="M111" i="1" s="1"/>
  <c r="AA88" i="1"/>
  <c r="V138" i="1"/>
  <c r="Z138" i="1" s="1"/>
  <c r="AC138" i="1"/>
  <c r="AD138" i="1" s="1"/>
  <c r="T114" i="1"/>
  <c r="U114" i="1" s="1"/>
  <c r="Q80" i="1"/>
  <c r="O80" i="1" s="1"/>
  <c r="R80" i="1" s="1"/>
  <c r="L80" i="1" s="1"/>
  <c r="M80" i="1" s="1"/>
  <c r="AA80" i="1"/>
  <c r="AA79" i="1"/>
  <c r="T55" i="1"/>
  <c r="U55" i="1" s="1"/>
  <c r="T85" i="1"/>
  <c r="U85" i="1" s="1"/>
  <c r="Q85" i="1" s="1"/>
  <c r="O85" i="1" s="1"/>
  <c r="R85" i="1" s="1"/>
  <c r="L85" i="1" s="1"/>
  <c r="M85" i="1" s="1"/>
  <c r="T89" i="1"/>
  <c r="U89" i="1" s="1"/>
  <c r="AA94" i="1"/>
  <c r="T94" i="1"/>
  <c r="U94" i="1" s="1"/>
  <c r="Q94" i="1" s="1"/>
  <c r="O94" i="1" s="1"/>
  <c r="R94" i="1" s="1"/>
  <c r="L94" i="1" s="1"/>
  <c r="M94" i="1" s="1"/>
  <c r="T41" i="1"/>
  <c r="U41" i="1" s="1"/>
  <c r="T73" i="1"/>
  <c r="U73" i="1" s="1"/>
  <c r="AA38" i="1"/>
  <c r="T95" i="1"/>
  <c r="U95" i="1" s="1"/>
  <c r="Q95" i="1" s="1"/>
  <c r="O95" i="1" s="1"/>
  <c r="R95" i="1" s="1"/>
  <c r="L95" i="1" s="1"/>
  <c r="M95" i="1" s="1"/>
  <c r="AC86" i="1"/>
  <c r="AD86" i="1" s="1"/>
  <c r="V86" i="1"/>
  <c r="Z86" i="1" s="1"/>
  <c r="AA39" i="1"/>
  <c r="AA22" i="1"/>
  <c r="Q22" i="1"/>
  <c r="O22" i="1" s="1"/>
  <c r="R22" i="1" s="1"/>
  <c r="L22" i="1" s="1"/>
  <c r="M22" i="1" s="1"/>
  <c r="T17" i="1"/>
  <c r="U17" i="1" s="1"/>
  <c r="Q17" i="1" s="1"/>
  <c r="O17" i="1" s="1"/>
  <c r="V71" i="1"/>
  <c r="Z71" i="1" s="1"/>
  <c r="AC71" i="1"/>
  <c r="AD71" i="1" s="1"/>
  <c r="V54" i="1"/>
  <c r="Z54" i="1" s="1"/>
  <c r="AC54" i="1"/>
  <c r="AB54" i="1"/>
  <c r="T31" i="1"/>
  <c r="U31" i="1" s="1"/>
  <c r="Q78" i="1"/>
  <c r="O78" i="1" s="1"/>
  <c r="R78" i="1" s="1"/>
  <c r="L78" i="1" s="1"/>
  <c r="M78" i="1" s="1"/>
  <c r="AA78" i="1"/>
  <c r="Q50" i="1"/>
  <c r="O50" i="1" s="1"/>
  <c r="R50" i="1" s="1"/>
  <c r="L50" i="1" s="1"/>
  <c r="M50" i="1" s="1"/>
  <c r="AA50" i="1"/>
  <c r="Q54" i="1"/>
  <c r="O54" i="1" s="1"/>
  <c r="R54" i="1" s="1"/>
  <c r="L54" i="1" s="1"/>
  <c r="M54" i="1" s="1"/>
  <c r="AA54" i="1"/>
  <c r="AB28" i="1"/>
  <c r="AC152" i="1"/>
  <c r="AB152" i="1"/>
  <c r="V152" i="1"/>
  <c r="Z152" i="1" s="1"/>
  <c r="T35" i="1"/>
  <c r="U35" i="1" s="1"/>
  <c r="AA64" i="1"/>
  <c r="AA26" i="1"/>
  <c r="AA68" i="1"/>
  <c r="T25" i="1"/>
  <c r="U25" i="1" s="1"/>
  <c r="Q25" i="1" s="1"/>
  <c r="O25" i="1" s="1"/>
  <c r="R25" i="1" s="1"/>
  <c r="L25" i="1" s="1"/>
  <c r="M25" i="1" s="1"/>
  <c r="AA252" i="1"/>
  <c r="V232" i="1"/>
  <c r="Z232" i="1" s="1"/>
  <c r="AC232" i="1"/>
  <c r="AB232" i="1"/>
  <c r="T173" i="1"/>
  <c r="U173" i="1" s="1"/>
  <c r="Q173" i="1" s="1"/>
  <c r="O173" i="1" s="1"/>
  <c r="R173" i="1" s="1"/>
  <c r="L173" i="1" s="1"/>
  <c r="M173" i="1" s="1"/>
  <c r="V153" i="1"/>
  <c r="Z153" i="1" s="1"/>
  <c r="AC153" i="1"/>
  <c r="AB153" i="1"/>
  <c r="T132" i="1"/>
  <c r="U132" i="1" s="1"/>
  <c r="AA108" i="1"/>
  <c r="AA62" i="1"/>
  <c r="Q62" i="1"/>
  <c r="O62" i="1" s="1"/>
  <c r="R62" i="1" s="1"/>
  <c r="L62" i="1" s="1"/>
  <c r="M62" i="1" s="1"/>
  <c r="T23" i="1"/>
  <c r="U23" i="1" s="1"/>
  <c r="T237" i="1"/>
  <c r="U237" i="1" s="1"/>
  <c r="T231" i="1"/>
  <c r="U231" i="1" s="1"/>
  <c r="AC247" i="1"/>
  <c r="V247" i="1"/>
  <c r="Z247" i="1" s="1"/>
  <c r="Q247" i="1"/>
  <c r="O247" i="1" s="1"/>
  <c r="R247" i="1" s="1"/>
  <c r="L247" i="1" s="1"/>
  <c r="M247" i="1" s="1"/>
  <c r="T195" i="1"/>
  <c r="U195" i="1" s="1"/>
  <c r="Q195" i="1" s="1"/>
  <c r="O195" i="1" s="1"/>
  <c r="R195" i="1" s="1"/>
  <c r="L195" i="1" s="1"/>
  <c r="M195" i="1" s="1"/>
  <c r="T213" i="1"/>
  <c r="U213" i="1" s="1"/>
  <c r="T151" i="1"/>
  <c r="U151" i="1" s="1"/>
  <c r="T180" i="1"/>
  <c r="U180" i="1" s="1"/>
  <c r="Q180" i="1" s="1"/>
  <c r="O180" i="1" s="1"/>
  <c r="R180" i="1" s="1"/>
  <c r="L180" i="1" s="1"/>
  <c r="M180" i="1" s="1"/>
  <c r="T172" i="1"/>
  <c r="U172" i="1" s="1"/>
  <c r="Q172" i="1" s="1"/>
  <c r="O172" i="1" s="1"/>
  <c r="R172" i="1" s="1"/>
  <c r="L172" i="1" s="1"/>
  <c r="M172" i="1" s="1"/>
  <c r="Q160" i="1"/>
  <c r="O160" i="1" s="1"/>
  <c r="R160" i="1" s="1"/>
  <c r="L160" i="1" s="1"/>
  <c r="M160" i="1" s="1"/>
  <c r="AA160" i="1"/>
  <c r="AA124" i="1"/>
  <c r="T108" i="1"/>
  <c r="U108" i="1" s="1"/>
  <c r="Q108" i="1" s="1"/>
  <c r="O108" i="1" s="1"/>
  <c r="R108" i="1" s="1"/>
  <c r="L108" i="1" s="1"/>
  <c r="M108" i="1" s="1"/>
  <c r="T137" i="1"/>
  <c r="U137" i="1" s="1"/>
  <c r="Q137" i="1" s="1"/>
  <c r="O137" i="1" s="1"/>
  <c r="R137" i="1" s="1"/>
  <c r="L137" i="1" s="1"/>
  <c r="M137" i="1" s="1"/>
  <c r="AA137" i="1"/>
  <c r="AA120" i="1"/>
  <c r="Q120" i="1"/>
  <c r="O120" i="1" s="1"/>
  <c r="R120" i="1" s="1"/>
  <c r="L120" i="1" s="1"/>
  <c r="M120" i="1" s="1"/>
  <c r="AC171" i="1"/>
  <c r="V171" i="1"/>
  <c r="Z171" i="1" s="1"/>
  <c r="T130" i="1"/>
  <c r="U130" i="1" s="1"/>
  <c r="AA109" i="1"/>
  <c r="T93" i="1"/>
  <c r="U93" i="1" s="1"/>
  <c r="Q93" i="1" s="1"/>
  <c r="O93" i="1" s="1"/>
  <c r="R93" i="1" s="1"/>
  <c r="L93" i="1" s="1"/>
  <c r="M93" i="1" s="1"/>
  <c r="T51" i="1"/>
  <c r="U51" i="1" s="1"/>
  <c r="AA75" i="1"/>
  <c r="Q75" i="1"/>
  <c r="O75" i="1" s="1"/>
  <c r="R75" i="1" s="1"/>
  <c r="L75" i="1" s="1"/>
  <c r="M75" i="1" s="1"/>
  <c r="AA144" i="1"/>
  <c r="AA60" i="1"/>
  <c r="T64" i="1"/>
  <c r="U64" i="1" s="1"/>
  <c r="Q64" i="1" s="1"/>
  <c r="O64" i="1" s="1"/>
  <c r="R64" i="1" s="1"/>
  <c r="L64" i="1" s="1"/>
  <c r="M64" i="1" s="1"/>
  <c r="V50" i="1"/>
  <c r="Z50" i="1" s="1"/>
  <c r="AC50" i="1"/>
  <c r="AB50" i="1"/>
  <c r="T19" i="1"/>
  <c r="U19" i="1" s="1"/>
  <c r="Q19" i="1" s="1"/>
  <c r="O19" i="1" s="1"/>
  <c r="R19" i="1" s="1"/>
  <c r="L19" i="1" s="1"/>
  <c r="M19" i="1" s="1"/>
  <c r="V20" i="1"/>
  <c r="Z20" i="1" s="1"/>
  <c r="AC20" i="1"/>
  <c r="L133" i="1"/>
  <c r="M133" i="1" s="1"/>
  <c r="T53" i="1"/>
  <c r="U53" i="1" s="1"/>
  <c r="T57" i="1"/>
  <c r="U57" i="1" s="1"/>
  <c r="AA19" i="1"/>
  <c r="AA89" i="1"/>
  <c r="T61" i="1"/>
  <c r="U61" i="1" s="1"/>
  <c r="AA58" i="1"/>
  <c r="T58" i="1"/>
  <c r="U58" i="1" s="1"/>
  <c r="Q58" i="1" s="1"/>
  <c r="O58" i="1" s="1"/>
  <c r="R58" i="1" s="1"/>
  <c r="L58" i="1" s="1"/>
  <c r="M58" i="1" s="1"/>
  <c r="AB20" i="1"/>
  <c r="AC32" i="1"/>
  <c r="AB32" i="1"/>
  <c r="V32" i="1"/>
  <c r="Z32" i="1" s="1"/>
  <c r="AB22" i="1"/>
  <c r="V22" i="1"/>
  <c r="Z22" i="1" s="1"/>
  <c r="AC22" i="1"/>
  <c r="V179" i="1"/>
  <c r="Z179" i="1" s="1"/>
  <c r="AC179" i="1"/>
  <c r="AA154" i="1"/>
  <c r="Q154" i="1"/>
  <c r="O154" i="1" s="1"/>
  <c r="R154" i="1" s="1"/>
  <c r="L154" i="1" s="1"/>
  <c r="M154" i="1" s="1"/>
  <c r="AC42" i="1"/>
  <c r="AB42" i="1"/>
  <c r="V42" i="1"/>
  <c r="Z42" i="1" s="1"/>
  <c r="T250" i="1"/>
  <c r="U250" i="1" s="1"/>
  <c r="Q250" i="1" s="1"/>
  <c r="O250" i="1" s="1"/>
  <c r="R250" i="1" s="1"/>
  <c r="L250" i="1" s="1"/>
  <c r="M250" i="1" s="1"/>
  <c r="T230" i="1"/>
  <c r="U230" i="1" s="1"/>
  <c r="T214" i="1"/>
  <c r="U214" i="1" s="1"/>
  <c r="Q214" i="1" s="1"/>
  <c r="O214" i="1" s="1"/>
  <c r="R214" i="1" s="1"/>
  <c r="L214" i="1" s="1"/>
  <c r="M214" i="1" s="1"/>
  <c r="T196" i="1"/>
  <c r="U196" i="1" s="1"/>
  <c r="Q196" i="1" s="1"/>
  <c r="O196" i="1" s="1"/>
  <c r="R196" i="1" s="1"/>
  <c r="L196" i="1" s="1"/>
  <c r="M196" i="1" s="1"/>
  <c r="T205" i="1"/>
  <c r="U205" i="1" s="1"/>
  <c r="Q205" i="1" s="1"/>
  <c r="O205" i="1" s="1"/>
  <c r="R205" i="1" s="1"/>
  <c r="L205" i="1" s="1"/>
  <c r="M205" i="1" s="1"/>
  <c r="AA192" i="1"/>
  <c r="Q208" i="1"/>
  <c r="O208" i="1" s="1"/>
  <c r="R208" i="1" s="1"/>
  <c r="L208" i="1" s="1"/>
  <c r="M208" i="1" s="1"/>
  <c r="AC185" i="1"/>
  <c r="V185" i="1"/>
  <c r="Z185" i="1" s="1"/>
  <c r="AA157" i="1"/>
  <c r="T157" i="1"/>
  <c r="U157" i="1" s="1"/>
  <c r="Q157" i="1" s="1"/>
  <c r="O157" i="1" s="1"/>
  <c r="R157" i="1" s="1"/>
  <c r="L157" i="1" s="1"/>
  <c r="M157" i="1" s="1"/>
  <c r="AA96" i="1"/>
  <c r="AA233" i="1"/>
  <c r="AA250" i="1"/>
  <c r="AC219" i="1"/>
  <c r="V219" i="1"/>
  <c r="Z219" i="1" s="1"/>
  <c r="V197" i="1"/>
  <c r="Z197" i="1" s="1"/>
  <c r="AC197" i="1"/>
  <c r="AB197" i="1"/>
  <c r="Q197" i="1"/>
  <c r="O197" i="1" s="1"/>
  <c r="R197" i="1" s="1"/>
  <c r="L197" i="1" s="1"/>
  <c r="M197" i="1" s="1"/>
  <c r="AA219" i="1"/>
  <c r="Q219" i="1"/>
  <c r="O219" i="1" s="1"/>
  <c r="R219" i="1" s="1"/>
  <c r="L219" i="1" s="1"/>
  <c r="M219" i="1" s="1"/>
  <c r="Q232" i="1"/>
  <c r="O232" i="1" s="1"/>
  <c r="R232" i="1" s="1"/>
  <c r="L232" i="1" s="1"/>
  <c r="M232" i="1" s="1"/>
  <c r="AA173" i="1"/>
  <c r="T139" i="1"/>
  <c r="U139" i="1" s="1"/>
  <c r="AA162" i="1"/>
  <c r="AA135" i="1"/>
  <c r="T121" i="1"/>
  <c r="U121" i="1" s="1"/>
  <c r="Q245" i="1"/>
  <c r="O245" i="1" s="1"/>
  <c r="R245" i="1" s="1"/>
  <c r="L245" i="1" s="1"/>
  <c r="M245" i="1" s="1"/>
  <c r="AA245" i="1"/>
  <c r="AA246" i="1"/>
  <c r="T252" i="1"/>
  <c r="U252" i="1" s="1"/>
  <c r="T191" i="1"/>
  <c r="U191" i="1" s="1"/>
  <c r="Q191" i="1" s="1"/>
  <c r="O191" i="1" s="1"/>
  <c r="R191" i="1" s="1"/>
  <c r="L191" i="1" s="1"/>
  <c r="M191" i="1" s="1"/>
  <c r="T209" i="1"/>
  <c r="U209" i="1" s="1"/>
  <c r="T228" i="1"/>
  <c r="U228" i="1" s="1"/>
  <c r="Q228" i="1" s="1"/>
  <c r="O228" i="1" s="1"/>
  <c r="R228" i="1" s="1"/>
  <c r="L228" i="1" s="1"/>
  <c r="M228" i="1" s="1"/>
  <c r="T222" i="1"/>
  <c r="U222" i="1" s="1"/>
  <c r="AA225" i="1"/>
  <c r="AB247" i="1"/>
  <c r="Q216" i="1"/>
  <c r="O216" i="1" s="1"/>
  <c r="R216" i="1" s="1"/>
  <c r="L216" i="1" s="1"/>
  <c r="M216" i="1" s="1"/>
  <c r="AA196" i="1"/>
  <c r="T192" i="1"/>
  <c r="U192" i="1" s="1"/>
  <c r="Q192" i="1" s="1"/>
  <c r="O192" i="1" s="1"/>
  <c r="R192" i="1" s="1"/>
  <c r="L192" i="1" s="1"/>
  <c r="M192" i="1" s="1"/>
  <c r="T183" i="1"/>
  <c r="U183" i="1" s="1"/>
  <c r="AA218" i="1"/>
  <c r="AA181" i="1"/>
  <c r="T198" i="1"/>
  <c r="U198" i="1" s="1"/>
  <c r="T147" i="1"/>
  <c r="U147" i="1" s="1"/>
  <c r="T162" i="1"/>
  <c r="U162" i="1" s="1"/>
  <c r="AA150" i="1"/>
  <c r="AC156" i="1"/>
  <c r="AB156" i="1"/>
  <c r="V156" i="1"/>
  <c r="Z156" i="1" s="1"/>
  <c r="T135" i="1"/>
  <c r="U135" i="1" s="1"/>
  <c r="Q135" i="1" s="1"/>
  <c r="O135" i="1" s="1"/>
  <c r="R135" i="1" s="1"/>
  <c r="L135" i="1" s="1"/>
  <c r="M135" i="1" s="1"/>
  <c r="Q171" i="1"/>
  <c r="O171" i="1" s="1"/>
  <c r="R171" i="1" s="1"/>
  <c r="L171" i="1" s="1"/>
  <c r="M171" i="1" s="1"/>
  <c r="AA171" i="1"/>
  <c r="T143" i="1"/>
  <c r="U143" i="1" s="1"/>
  <c r="Q143" i="1" s="1"/>
  <c r="O143" i="1" s="1"/>
  <c r="R143" i="1" s="1"/>
  <c r="L143" i="1" s="1"/>
  <c r="M143" i="1" s="1"/>
  <c r="AA131" i="1"/>
  <c r="AA158" i="1"/>
  <c r="T117" i="1"/>
  <c r="U117" i="1" s="1"/>
  <c r="Q179" i="1"/>
  <c r="O179" i="1" s="1"/>
  <c r="R179" i="1" s="1"/>
  <c r="L179" i="1" s="1"/>
  <c r="M179" i="1" s="1"/>
  <c r="AA179" i="1"/>
  <c r="AB164" i="1"/>
  <c r="T104" i="1"/>
  <c r="U104" i="1" s="1"/>
  <c r="AA111" i="1"/>
  <c r="AC184" i="1"/>
  <c r="V184" i="1"/>
  <c r="Z184" i="1" s="1"/>
  <c r="AB184" i="1"/>
  <c r="AA107" i="1"/>
  <c r="Q107" i="1"/>
  <c r="O107" i="1" s="1"/>
  <c r="R107" i="1" s="1"/>
  <c r="L107" i="1" s="1"/>
  <c r="M107" i="1" s="1"/>
  <c r="AA101" i="1"/>
  <c r="Q101" i="1"/>
  <c r="O101" i="1" s="1"/>
  <c r="R101" i="1" s="1"/>
  <c r="L101" i="1" s="1"/>
  <c r="M101" i="1" s="1"/>
  <c r="T124" i="1"/>
  <c r="U124" i="1" s="1"/>
  <c r="AA76" i="1"/>
  <c r="T47" i="1"/>
  <c r="U47" i="1" s="1"/>
  <c r="AC102" i="1"/>
  <c r="AD102" i="1" s="1"/>
  <c r="V102" i="1"/>
  <c r="Z102" i="1" s="1"/>
  <c r="AA93" i="1"/>
  <c r="T87" i="1"/>
  <c r="U87" i="1" s="1"/>
  <c r="AC40" i="1"/>
  <c r="AD40" i="1" s="1"/>
  <c r="V40" i="1"/>
  <c r="Z40" i="1" s="1"/>
  <c r="AC70" i="1"/>
  <c r="AD70" i="1" s="1"/>
  <c r="V70" i="1"/>
  <c r="Z70" i="1" s="1"/>
  <c r="Q52" i="1"/>
  <c r="O52" i="1" s="1"/>
  <c r="R52" i="1" s="1"/>
  <c r="L52" i="1" s="1"/>
  <c r="M52" i="1" s="1"/>
  <c r="AA52" i="1"/>
  <c r="T79" i="1"/>
  <c r="U79" i="1" s="1"/>
  <c r="Q79" i="1" s="1"/>
  <c r="O79" i="1" s="1"/>
  <c r="R79" i="1" s="1"/>
  <c r="L79" i="1" s="1"/>
  <c r="M79" i="1" s="1"/>
  <c r="T49" i="1"/>
  <c r="U49" i="1" s="1"/>
  <c r="AA18" i="1"/>
  <c r="Q18" i="1"/>
  <c r="O18" i="1" s="1"/>
  <c r="R18" i="1" s="1"/>
  <c r="L18" i="1" s="1"/>
  <c r="M18" i="1" s="1"/>
  <c r="V133" i="1"/>
  <c r="Z133" i="1" s="1"/>
  <c r="AC133" i="1"/>
  <c r="AB133" i="1"/>
  <c r="AA27" i="1"/>
  <c r="T76" i="1"/>
  <c r="U76" i="1" s="1"/>
  <c r="T37" i="1"/>
  <c r="U37" i="1" s="1"/>
  <c r="V29" i="1"/>
  <c r="Z29" i="1" s="1"/>
  <c r="AC29" i="1"/>
  <c r="AD29" i="1" s="1"/>
  <c r="AA97" i="1"/>
  <c r="AA28" i="1"/>
  <c r="Q28" i="1"/>
  <c r="O28" i="1" s="1"/>
  <c r="R28" i="1" s="1"/>
  <c r="L28" i="1" s="1"/>
  <c r="M28" i="1" s="1"/>
  <c r="AA209" i="1"/>
  <c r="AA119" i="1"/>
  <c r="T116" i="1"/>
  <c r="U116" i="1" s="1"/>
  <c r="AA140" i="1"/>
  <c r="Q140" i="1"/>
  <c r="O140" i="1" s="1"/>
  <c r="R140" i="1" s="1"/>
  <c r="L140" i="1" s="1"/>
  <c r="M140" i="1" s="1"/>
  <c r="V48" i="1"/>
  <c r="Z48" i="1" s="1"/>
  <c r="AC48" i="1"/>
  <c r="AA217" i="1"/>
  <c r="Q217" i="1"/>
  <c r="O217" i="1" s="1"/>
  <c r="R217" i="1" s="1"/>
  <c r="L217" i="1" s="1"/>
  <c r="M217" i="1" s="1"/>
  <c r="T221" i="1"/>
  <c r="U221" i="1" s="1"/>
  <c r="T188" i="1"/>
  <c r="U188" i="1" s="1"/>
  <c r="Q188" i="1" s="1"/>
  <c r="O188" i="1" s="1"/>
  <c r="R188" i="1" s="1"/>
  <c r="L188" i="1" s="1"/>
  <c r="M188" i="1" s="1"/>
  <c r="AB208" i="1"/>
  <c r="V229" i="1"/>
  <c r="Z229" i="1" s="1"/>
  <c r="AC229" i="1"/>
  <c r="AB229" i="1"/>
  <c r="AA165" i="1"/>
  <c r="T100" i="1"/>
  <c r="U100" i="1" s="1"/>
  <c r="V134" i="1"/>
  <c r="Z134" i="1" s="1"/>
  <c r="AC134" i="1"/>
  <c r="AD134" i="1" s="1"/>
  <c r="T115" i="1"/>
  <c r="U115" i="1" s="1"/>
  <c r="T98" i="1"/>
  <c r="U98" i="1" s="1"/>
  <c r="Q98" i="1" s="1"/>
  <c r="O98" i="1" s="1"/>
  <c r="R98" i="1" s="1"/>
  <c r="L98" i="1" s="1"/>
  <c r="M98" i="1" s="1"/>
  <c r="AA98" i="1"/>
  <c r="AA129" i="1"/>
  <c r="T129" i="1"/>
  <c r="U129" i="1" s="1"/>
  <c r="Q129" i="1" s="1"/>
  <c r="O129" i="1" s="1"/>
  <c r="R129" i="1" s="1"/>
  <c r="L129" i="1" s="1"/>
  <c r="M129" i="1" s="1"/>
  <c r="T92" i="1"/>
  <c r="U92" i="1" s="1"/>
  <c r="T83" i="1"/>
  <c r="U83" i="1" s="1"/>
  <c r="Q83" i="1" s="1"/>
  <c r="O83" i="1" s="1"/>
  <c r="R83" i="1" s="1"/>
  <c r="L83" i="1" s="1"/>
  <c r="M83" i="1" s="1"/>
  <c r="V240" i="1"/>
  <c r="Z240" i="1" s="1"/>
  <c r="AC240" i="1"/>
  <c r="AB240" i="1"/>
  <c r="AC215" i="1"/>
  <c r="V215" i="1"/>
  <c r="Z215" i="1" s="1"/>
  <c r="AC190" i="1"/>
  <c r="AB190" i="1"/>
  <c r="V190" i="1"/>
  <c r="Z190" i="1" s="1"/>
  <c r="T241" i="1"/>
  <c r="U241" i="1" s="1"/>
  <c r="Q241" i="1" s="1"/>
  <c r="O241" i="1" s="1"/>
  <c r="R241" i="1" s="1"/>
  <c r="L241" i="1" s="1"/>
  <c r="M241" i="1" s="1"/>
  <c r="T246" i="1"/>
  <c r="U246" i="1" s="1"/>
  <c r="Q246" i="1" s="1"/>
  <c r="O246" i="1" s="1"/>
  <c r="R246" i="1" s="1"/>
  <c r="L246" i="1" s="1"/>
  <c r="M246" i="1" s="1"/>
  <c r="V244" i="1"/>
  <c r="Z244" i="1" s="1"/>
  <c r="AC244" i="1"/>
  <c r="AD244" i="1" s="1"/>
  <c r="T253" i="1"/>
  <c r="U253" i="1" s="1"/>
  <c r="T233" i="1"/>
  <c r="U233" i="1" s="1"/>
  <c r="T234" i="1"/>
  <c r="U234" i="1" s="1"/>
  <c r="Q234" i="1" s="1"/>
  <c r="O234" i="1" s="1"/>
  <c r="R234" i="1" s="1"/>
  <c r="L234" i="1" s="1"/>
  <c r="M234" i="1" s="1"/>
  <c r="AC243" i="1"/>
  <c r="AD243" i="1" s="1"/>
  <c r="V243" i="1"/>
  <c r="Z243" i="1" s="1"/>
  <c r="Q243" i="1"/>
  <c r="O243" i="1" s="1"/>
  <c r="R243" i="1" s="1"/>
  <c r="L243" i="1" s="1"/>
  <c r="M243" i="1" s="1"/>
  <c r="T187" i="1"/>
  <c r="U187" i="1" s="1"/>
  <c r="Q187" i="1" s="1"/>
  <c r="O187" i="1" s="1"/>
  <c r="R187" i="1" s="1"/>
  <c r="L187" i="1" s="1"/>
  <c r="M187" i="1" s="1"/>
  <c r="AA203" i="1"/>
  <c r="Q203" i="1"/>
  <c r="O203" i="1" s="1"/>
  <c r="R203" i="1" s="1"/>
  <c r="L203" i="1" s="1"/>
  <c r="M203" i="1" s="1"/>
  <c r="AB215" i="1"/>
  <c r="AB212" i="1"/>
  <c r="T211" i="1"/>
  <c r="U211" i="1" s="1"/>
  <c r="Q212" i="1"/>
  <c r="O212" i="1" s="1"/>
  <c r="R212" i="1" s="1"/>
  <c r="L212" i="1" s="1"/>
  <c r="M212" i="1" s="1"/>
  <c r="AA188" i="1"/>
  <c r="AA172" i="1"/>
  <c r="T178" i="1"/>
  <c r="U178" i="1" s="1"/>
  <c r="Q178" i="1" s="1"/>
  <c r="O178" i="1" s="1"/>
  <c r="R178" i="1" s="1"/>
  <c r="L178" i="1" s="1"/>
  <c r="M178" i="1" s="1"/>
  <c r="T131" i="1"/>
  <c r="U131" i="1" s="1"/>
  <c r="Q131" i="1" s="1"/>
  <c r="O131" i="1" s="1"/>
  <c r="R131" i="1" s="1"/>
  <c r="L131" i="1" s="1"/>
  <c r="M131" i="1" s="1"/>
  <c r="T158" i="1"/>
  <c r="U158" i="1" s="1"/>
  <c r="Q158" i="1" s="1"/>
  <c r="O158" i="1" s="1"/>
  <c r="R158" i="1" s="1"/>
  <c r="L158" i="1" s="1"/>
  <c r="M158" i="1" s="1"/>
  <c r="AA127" i="1"/>
  <c r="AA169" i="1"/>
  <c r="T113" i="1"/>
  <c r="U113" i="1" s="1"/>
  <c r="Q146" i="1"/>
  <c r="O146" i="1" s="1"/>
  <c r="R146" i="1" s="1"/>
  <c r="L146" i="1" s="1"/>
  <c r="M146" i="1" s="1"/>
  <c r="AA146" i="1"/>
  <c r="T144" i="1"/>
  <c r="U144" i="1" s="1"/>
  <c r="T69" i="1"/>
  <c r="U69" i="1" s="1"/>
  <c r="Q69" i="1" s="1"/>
  <c r="O69" i="1" s="1"/>
  <c r="R69" i="1" s="1"/>
  <c r="L69" i="1" s="1"/>
  <c r="M69" i="1" s="1"/>
  <c r="AA90" i="1"/>
  <c r="T90" i="1"/>
  <c r="U90" i="1" s="1"/>
  <c r="Q90" i="1" s="1"/>
  <c r="O90" i="1" s="1"/>
  <c r="R90" i="1" s="1"/>
  <c r="L90" i="1" s="1"/>
  <c r="M90" i="1" s="1"/>
  <c r="T65" i="1"/>
  <c r="U65" i="1" s="1"/>
  <c r="T43" i="1"/>
  <c r="U43" i="1" s="1"/>
  <c r="AC126" i="1"/>
  <c r="AD126" i="1" s="1"/>
  <c r="V126" i="1"/>
  <c r="Z126" i="1" s="1"/>
  <c r="Q102" i="1"/>
  <c r="O102" i="1" s="1"/>
  <c r="R102" i="1" s="1"/>
  <c r="L102" i="1" s="1"/>
  <c r="M102" i="1" s="1"/>
  <c r="AA72" i="1"/>
  <c r="AB106" i="1"/>
  <c r="AA84" i="1"/>
  <c r="AA69" i="1"/>
  <c r="T68" i="1"/>
  <c r="U68" i="1" s="1"/>
  <c r="Q68" i="1" s="1"/>
  <c r="O68" i="1" s="1"/>
  <c r="R68" i="1" s="1"/>
  <c r="L68" i="1" s="1"/>
  <c r="M68" i="1" s="1"/>
  <c r="T82" i="1"/>
  <c r="U82" i="1" s="1"/>
  <c r="Q82" i="1" s="1"/>
  <c r="O82" i="1" s="1"/>
  <c r="R82" i="1" s="1"/>
  <c r="L82" i="1" s="1"/>
  <c r="M82" i="1" s="1"/>
  <c r="AA82" i="1"/>
  <c r="T56" i="1"/>
  <c r="U56" i="1" s="1"/>
  <c r="AA46" i="1"/>
  <c r="T46" i="1"/>
  <c r="U46" i="1" s="1"/>
  <c r="Q46" i="1" s="1"/>
  <c r="O46" i="1" s="1"/>
  <c r="R46" i="1" s="1"/>
  <c r="L46" i="1" s="1"/>
  <c r="M46" i="1" s="1"/>
  <c r="AA34" i="1"/>
  <c r="T72" i="1"/>
  <c r="U72" i="1" s="1"/>
  <c r="Q72" i="1" s="1"/>
  <c r="O72" i="1" s="1"/>
  <c r="R72" i="1" s="1"/>
  <c r="L72" i="1" s="1"/>
  <c r="M72" i="1" s="1"/>
  <c r="T60" i="1"/>
  <c r="U60" i="1" s="1"/>
  <c r="Q48" i="1"/>
  <c r="O48" i="1" s="1"/>
  <c r="R48" i="1" s="1"/>
  <c r="L48" i="1" s="1"/>
  <c r="M48" i="1" s="1"/>
  <c r="AA48" i="1"/>
  <c r="Q30" i="1"/>
  <c r="O30" i="1" s="1"/>
  <c r="R30" i="1" s="1"/>
  <c r="L30" i="1" s="1"/>
  <c r="M30" i="1" s="1"/>
  <c r="AA25" i="1"/>
  <c r="Q32" i="1"/>
  <c r="O32" i="1" s="1"/>
  <c r="R32" i="1" s="1"/>
  <c r="L32" i="1" s="1"/>
  <c r="M32" i="1" s="1"/>
  <c r="T34" i="1"/>
  <c r="U34" i="1" s="1"/>
  <c r="Q34" i="1" s="1"/>
  <c r="O34" i="1" s="1"/>
  <c r="R34" i="1" s="1"/>
  <c r="L34" i="1" s="1"/>
  <c r="M34" i="1" s="1"/>
  <c r="T177" i="1"/>
  <c r="U177" i="1" s="1"/>
  <c r="AA176" i="1"/>
  <c r="AC160" i="1"/>
  <c r="AB160" i="1"/>
  <c r="V160" i="1"/>
  <c r="Z160" i="1" s="1"/>
  <c r="T97" i="1"/>
  <c r="U97" i="1" s="1"/>
  <c r="T249" i="1"/>
  <c r="U249" i="1" s="1"/>
  <c r="Q249" i="1" s="1"/>
  <c r="O249" i="1" s="1"/>
  <c r="R249" i="1" s="1"/>
  <c r="L249" i="1" s="1"/>
  <c r="M249" i="1" s="1"/>
  <c r="T242" i="1"/>
  <c r="U242" i="1" s="1"/>
  <c r="Q242" i="1" s="1"/>
  <c r="O242" i="1" s="1"/>
  <c r="R242" i="1" s="1"/>
  <c r="L242" i="1" s="1"/>
  <c r="M242" i="1" s="1"/>
  <c r="Q237" i="1"/>
  <c r="O237" i="1" s="1"/>
  <c r="R237" i="1" s="1"/>
  <c r="L237" i="1" s="1"/>
  <c r="M237" i="1" s="1"/>
  <c r="AA237" i="1"/>
  <c r="Q202" i="1"/>
  <c r="O202" i="1" s="1"/>
  <c r="R202" i="1" s="1"/>
  <c r="L202" i="1" s="1"/>
  <c r="M202" i="1" s="1"/>
  <c r="AA202" i="1"/>
  <c r="AA83" i="1"/>
  <c r="AA255" i="1"/>
  <c r="Q255" i="1"/>
  <c r="O255" i="1" s="1"/>
  <c r="R255" i="1" s="1"/>
  <c r="L255" i="1" s="1"/>
  <c r="M255" i="1" s="1"/>
  <c r="AC254" i="1"/>
  <c r="V254" i="1"/>
  <c r="Z254" i="1" s="1"/>
  <c r="AA241" i="1"/>
  <c r="AB254" i="1"/>
  <c r="AA242" i="1"/>
  <c r="T226" i="1"/>
  <c r="U226" i="1" s="1"/>
  <c r="T225" i="1"/>
  <c r="U225" i="1" s="1"/>
  <c r="Q225" i="1" s="1"/>
  <c r="O225" i="1" s="1"/>
  <c r="R225" i="1" s="1"/>
  <c r="L225" i="1" s="1"/>
  <c r="M225" i="1" s="1"/>
  <c r="V236" i="1"/>
  <c r="Z236" i="1" s="1"/>
  <c r="AC236" i="1"/>
  <c r="AB236" i="1"/>
  <c r="T200" i="1"/>
  <c r="U200" i="1" s="1"/>
  <c r="Q200" i="1" s="1"/>
  <c r="O200" i="1" s="1"/>
  <c r="R200" i="1" s="1"/>
  <c r="L200" i="1" s="1"/>
  <c r="M200" i="1" s="1"/>
  <c r="Q236" i="1"/>
  <c r="O236" i="1" s="1"/>
  <c r="R236" i="1" s="1"/>
  <c r="L236" i="1" s="1"/>
  <c r="M236" i="1" s="1"/>
  <c r="T181" i="1"/>
  <c r="U181" i="1" s="1"/>
  <c r="AA187" i="1"/>
  <c r="AD227" i="1"/>
  <c r="T170" i="1"/>
  <c r="U170" i="1" s="1"/>
  <c r="AC186" i="1"/>
  <c r="AB186" i="1"/>
  <c r="V186" i="1"/>
  <c r="Z186" i="1" s="1"/>
  <c r="Q185" i="1"/>
  <c r="O185" i="1" s="1"/>
  <c r="R185" i="1" s="1"/>
  <c r="L185" i="1" s="1"/>
  <c r="M185" i="1" s="1"/>
  <c r="AA185" i="1"/>
  <c r="AC146" i="1"/>
  <c r="V146" i="1"/>
  <c r="Z146" i="1" s="1"/>
  <c r="Q153" i="1"/>
  <c r="O153" i="1" s="1"/>
  <c r="R153" i="1" s="1"/>
  <c r="L153" i="1" s="1"/>
  <c r="M153" i="1" s="1"/>
  <c r="AA153" i="1"/>
  <c r="T127" i="1"/>
  <c r="U127" i="1" s="1"/>
  <c r="Q127" i="1" s="1"/>
  <c r="O127" i="1" s="1"/>
  <c r="R127" i="1" s="1"/>
  <c r="L127" i="1" s="1"/>
  <c r="M127" i="1" s="1"/>
  <c r="T169" i="1"/>
  <c r="U169" i="1" s="1"/>
  <c r="Q169" i="1" s="1"/>
  <c r="O169" i="1" s="1"/>
  <c r="R169" i="1" s="1"/>
  <c r="L169" i="1" s="1"/>
  <c r="M169" i="1" s="1"/>
  <c r="V142" i="1"/>
  <c r="Z142" i="1" s="1"/>
  <c r="AC142" i="1"/>
  <c r="AB142" i="1"/>
  <c r="AA123" i="1"/>
  <c r="AA213" i="1"/>
  <c r="Q213" i="1"/>
  <c r="O213" i="1" s="1"/>
  <c r="R213" i="1" s="1"/>
  <c r="L213" i="1" s="1"/>
  <c r="M213" i="1" s="1"/>
  <c r="AC148" i="1"/>
  <c r="AB148" i="1"/>
  <c r="V148" i="1"/>
  <c r="Z148" i="1" s="1"/>
  <c r="Q148" i="1"/>
  <c r="O148" i="1" s="1"/>
  <c r="R148" i="1" s="1"/>
  <c r="L148" i="1" s="1"/>
  <c r="M148" i="1" s="1"/>
  <c r="T109" i="1"/>
  <c r="U109" i="1" s="1"/>
  <c r="Q109" i="1" s="1"/>
  <c r="O109" i="1" s="1"/>
  <c r="R109" i="1" s="1"/>
  <c r="L109" i="1" s="1"/>
  <c r="M109" i="1" s="1"/>
  <c r="AA178" i="1"/>
  <c r="Q145" i="1"/>
  <c r="O145" i="1" s="1"/>
  <c r="R145" i="1" s="1"/>
  <c r="L145" i="1" s="1"/>
  <c r="M145" i="1" s="1"/>
  <c r="AA145" i="1"/>
  <c r="AA103" i="1"/>
  <c r="Q103" i="1"/>
  <c r="O103" i="1" s="1"/>
  <c r="R103" i="1" s="1"/>
  <c r="L103" i="1" s="1"/>
  <c r="M103" i="1" s="1"/>
  <c r="AA143" i="1"/>
  <c r="AA112" i="1"/>
  <c r="AA170" i="1"/>
  <c r="AA100" i="1"/>
  <c r="T174" i="1"/>
  <c r="U174" i="1" s="1"/>
  <c r="T128" i="1"/>
  <c r="U128" i="1" s="1"/>
  <c r="AA116" i="1"/>
  <c r="V149" i="1"/>
  <c r="Z149" i="1" s="1"/>
  <c r="AC149" i="1"/>
  <c r="AD149" i="1" s="1"/>
  <c r="AC110" i="1"/>
  <c r="AD110" i="1" s="1"/>
  <c r="V110" i="1"/>
  <c r="Z110" i="1" s="1"/>
  <c r="T84" i="1"/>
  <c r="U84" i="1" s="1"/>
  <c r="AA105" i="1"/>
  <c r="Q105" i="1"/>
  <c r="O105" i="1" s="1"/>
  <c r="R105" i="1" s="1"/>
  <c r="L105" i="1" s="1"/>
  <c r="M105" i="1" s="1"/>
  <c r="T39" i="1"/>
  <c r="U39" i="1" s="1"/>
  <c r="Q39" i="1" s="1"/>
  <c r="O39" i="1" s="1"/>
  <c r="R39" i="1" s="1"/>
  <c r="L39" i="1" s="1"/>
  <c r="M39" i="1" s="1"/>
  <c r="T112" i="1"/>
  <c r="U112" i="1" s="1"/>
  <c r="Q112" i="1" s="1"/>
  <c r="O112" i="1" s="1"/>
  <c r="R112" i="1" s="1"/>
  <c r="L112" i="1" s="1"/>
  <c r="M112" i="1" s="1"/>
  <c r="AA136" i="1"/>
  <c r="AB91" i="1"/>
  <c r="Q110" i="1"/>
  <c r="O110" i="1" s="1"/>
  <c r="R110" i="1" s="1"/>
  <c r="L110" i="1" s="1"/>
  <c r="M110" i="1" s="1"/>
  <c r="AA99" i="1"/>
  <c r="T81" i="1"/>
  <c r="U81" i="1" s="1"/>
  <c r="AA128" i="1"/>
  <c r="Q128" i="1"/>
  <c r="O128" i="1" s="1"/>
  <c r="R128" i="1" s="1"/>
  <c r="L128" i="1" s="1"/>
  <c r="M128" i="1" s="1"/>
  <c r="T77" i="1"/>
  <c r="U77" i="1" s="1"/>
  <c r="Q77" i="1" s="1"/>
  <c r="O77" i="1" s="1"/>
  <c r="R77" i="1" s="1"/>
  <c r="L77" i="1" s="1"/>
  <c r="M77" i="1" s="1"/>
  <c r="T99" i="1"/>
  <c r="U99" i="1" s="1"/>
  <c r="T27" i="1"/>
  <c r="U27" i="1" s="1"/>
  <c r="Q27" i="1" s="1"/>
  <c r="O27" i="1" s="1"/>
  <c r="R27" i="1" s="1"/>
  <c r="L27" i="1" s="1"/>
  <c r="M27" i="1" s="1"/>
  <c r="T33" i="1"/>
  <c r="U33" i="1" s="1"/>
  <c r="V52" i="1"/>
  <c r="Z52" i="1" s="1"/>
  <c r="AC52" i="1"/>
  <c r="Q44" i="1"/>
  <c r="O44" i="1" s="1"/>
  <c r="R44" i="1" s="1"/>
  <c r="L44" i="1" s="1"/>
  <c r="M44" i="1" s="1"/>
  <c r="AA44" i="1"/>
  <c r="Q74" i="1"/>
  <c r="O74" i="1" s="1"/>
  <c r="R74" i="1" s="1"/>
  <c r="L74" i="1" s="1"/>
  <c r="M74" i="1" s="1"/>
  <c r="AA74" i="1"/>
  <c r="AA37" i="1"/>
  <c r="Q37" i="1"/>
  <c r="O37" i="1" s="1"/>
  <c r="R37" i="1" s="1"/>
  <c r="L37" i="1" s="1"/>
  <c r="M37" i="1" s="1"/>
  <c r="Q24" i="1"/>
  <c r="O24" i="1" s="1"/>
  <c r="R24" i="1" s="1"/>
  <c r="L24" i="1" s="1"/>
  <c r="M24" i="1" s="1"/>
  <c r="AA24" i="1"/>
  <c r="Q21" i="1"/>
  <c r="O21" i="1" s="1"/>
  <c r="R21" i="1" s="1"/>
  <c r="L21" i="1" s="1"/>
  <c r="M21" i="1" s="1"/>
  <c r="AA21" i="1"/>
  <c r="T26" i="1"/>
  <c r="U26" i="1" s="1"/>
  <c r="Q26" i="1" s="1"/>
  <c r="O26" i="1" s="1"/>
  <c r="R26" i="1" s="1"/>
  <c r="L26" i="1" s="1"/>
  <c r="M26" i="1" s="1"/>
  <c r="AC36" i="1" l="1"/>
  <c r="AD236" i="1"/>
  <c r="AD207" i="1"/>
  <c r="AD66" i="1"/>
  <c r="Q149" i="1"/>
  <c r="O149" i="1" s="1"/>
  <c r="R149" i="1" s="1"/>
  <c r="L149" i="1" s="1"/>
  <c r="M149" i="1" s="1"/>
  <c r="R17" i="1"/>
  <c r="L17" i="1" s="1"/>
  <c r="M17" i="1" s="1"/>
  <c r="AD186" i="1"/>
  <c r="AD32" i="1"/>
  <c r="AD219" i="1"/>
  <c r="AD179" i="1"/>
  <c r="V106" i="1"/>
  <c r="Z106" i="1" s="1"/>
  <c r="AC220" i="1"/>
  <c r="AD220" i="1" s="1"/>
  <c r="AD240" i="1"/>
  <c r="AD101" i="1"/>
  <c r="AD52" i="1"/>
  <c r="V36" i="1"/>
  <c r="Z36" i="1" s="1"/>
  <c r="AC106" i="1"/>
  <c r="V220" i="1"/>
  <c r="Z220" i="1" s="1"/>
  <c r="AD44" i="1"/>
  <c r="AD148" i="1"/>
  <c r="AB36" i="1"/>
  <c r="AD171" i="1"/>
  <c r="AD224" i="1"/>
  <c r="Q244" i="1"/>
  <c r="O244" i="1" s="1"/>
  <c r="R244" i="1" s="1"/>
  <c r="L244" i="1" s="1"/>
  <c r="M244" i="1" s="1"/>
  <c r="AC144" i="1"/>
  <c r="V144" i="1"/>
  <c r="Z144" i="1" s="1"/>
  <c r="AB144" i="1"/>
  <c r="V55" i="1"/>
  <c r="Z55" i="1" s="1"/>
  <c r="AC55" i="1"/>
  <c r="AB55" i="1"/>
  <c r="Q55" i="1"/>
  <c r="O55" i="1" s="1"/>
  <c r="R55" i="1" s="1"/>
  <c r="L55" i="1" s="1"/>
  <c r="M55" i="1" s="1"/>
  <c r="AC206" i="1"/>
  <c r="V206" i="1"/>
  <c r="Z206" i="1" s="1"/>
  <c r="AB206" i="1"/>
  <c r="Q206" i="1"/>
  <c r="O206" i="1" s="1"/>
  <c r="R206" i="1" s="1"/>
  <c r="L206" i="1" s="1"/>
  <c r="M206" i="1" s="1"/>
  <c r="V193" i="1"/>
  <c r="Z193" i="1" s="1"/>
  <c r="AC193" i="1"/>
  <c r="AB193" i="1"/>
  <c r="V103" i="1"/>
  <c r="Z103" i="1" s="1"/>
  <c r="AC103" i="1"/>
  <c r="AB103" i="1"/>
  <c r="V119" i="1"/>
  <c r="Z119" i="1" s="1"/>
  <c r="AC119" i="1"/>
  <c r="AB119" i="1"/>
  <c r="AC128" i="1"/>
  <c r="AB128" i="1"/>
  <c r="V128" i="1"/>
  <c r="Z128" i="1" s="1"/>
  <c r="V127" i="1"/>
  <c r="Z127" i="1" s="1"/>
  <c r="AC127" i="1"/>
  <c r="AB127" i="1"/>
  <c r="V181" i="1"/>
  <c r="Z181" i="1" s="1"/>
  <c r="AC181" i="1"/>
  <c r="AB181" i="1"/>
  <c r="V60" i="1"/>
  <c r="Z60" i="1" s="1"/>
  <c r="AC60" i="1"/>
  <c r="AB60" i="1"/>
  <c r="AC65" i="1"/>
  <c r="AB65" i="1"/>
  <c r="V65" i="1"/>
  <c r="Z65" i="1" s="1"/>
  <c r="Q65" i="1"/>
  <c r="O65" i="1" s="1"/>
  <c r="R65" i="1" s="1"/>
  <c r="L65" i="1" s="1"/>
  <c r="M65" i="1" s="1"/>
  <c r="V187" i="1"/>
  <c r="Z187" i="1" s="1"/>
  <c r="AC187" i="1"/>
  <c r="AB187" i="1"/>
  <c r="V233" i="1"/>
  <c r="Z233" i="1" s="1"/>
  <c r="AC233" i="1"/>
  <c r="AB233" i="1"/>
  <c r="V135" i="1"/>
  <c r="Z135" i="1" s="1"/>
  <c r="AC135" i="1"/>
  <c r="AB135" i="1"/>
  <c r="V147" i="1"/>
  <c r="Z147" i="1" s="1"/>
  <c r="AC147" i="1"/>
  <c r="AB147" i="1"/>
  <c r="Q147" i="1"/>
  <c r="O147" i="1" s="1"/>
  <c r="R147" i="1" s="1"/>
  <c r="L147" i="1" s="1"/>
  <c r="M147" i="1" s="1"/>
  <c r="AC183" i="1"/>
  <c r="AB183" i="1"/>
  <c r="V183" i="1"/>
  <c r="Z183" i="1" s="1"/>
  <c r="V252" i="1"/>
  <c r="Z252" i="1" s="1"/>
  <c r="AB252" i="1"/>
  <c r="AC252" i="1"/>
  <c r="V196" i="1"/>
  <c r="Z196" i="1" s="1"/>
  <c r="AC196" i="1"/>
  <c r="AB196" i="1"/>
  <c r="V58" i="1"/>
  <c r="Z58" i="1" s="1"/>
  <c r="AC58" i="1"/>
  <c r="AB58" i="1"/>
  <c r="AC19" i="1"/>
  <c r="AB19" i="1"/>
  <c r="V19" i="1"/>
  <c r="Z19" i="1" s="1"/>
  <c r="Q60" i="1"/>
  <c r="O60" i="1" s="1"/>
  <c r="R60" i="1" s="1"/>
  <c r="L60" i="1" s="1"/>
  <c r="M60" i="1" s="1"/>
  <c r="AC93" i="1"/>
  <c r="V93" i="1"/>
  <c r="Z93" i="1" s="1"/>
  <c r="AB93" i="1"/>
  <c r="V213" i="1"/>
  <c r="Z213" i="1" s="1"/>
  <c r="AC213" i="1"/>
  <c r="AB213" i="1"/>
  <c r="V17" i="1"/>
  <c r="Z17" i="1" s="1"/>
  <c r="AC17" i="1"/>
  <c r="AB17" i="1"/>
  <c r="AC95" i="1"/>
  <c r="V95" i="1"/>
  <c r="Z95" i="1" s="1"/>
  <c r="AB95" i="1"/>
  <c r="AC94" i="1"/>
  <c r="AB94" i="1"/>
  <c r="V94" i="1"/>
  <c r="Z94" i="1" s="1"/>
  <c r="AC166" i="1"/>
  <c r="V166" i="1"/>
  <c r="Z166" i="1" s="1"/>
  <c r="AB166" i="1"/>
  <c r="V63" i="1"/>
  <c r="Z63" i="1" s="1"/>
  <c r="AC63" i="1"/>
  <c r="AB63" i="1"/>
  <c r="V88" i="1"/>
  <c r="Z88" i="1" s="1"/>
  <c r="AC88" i="1"/>
  <c r="AB88" i="1"/>
  <c r="AC150" i="1"/>
  <c r="V150" i="1"/>
  <c r="Z150" i="1" s="1"/>
  <c r="AB150" i="1"/>
  <c r="Q166" i="1"/>
  <c r="O166" i="1" s="1"/>
  <c r="R166" i="1" s="1"/>
  <c r="L166" i="1" s="1"/>
  <c r="M166" i="1" s="1"/>
  <c r="V159" i="1"/>
  <c r="Z159" i="1" s="1"/>
  <c r="AC159" i="1"/>
  <c r="AB159" i="1"/>
  <c r="Q159" i="1"/>
  <c r="O159" i="1" s="1"/>
  <c r="R159" i="1" s="1"/>
  <c r="L159" i="1" s="1"/>
  <c r="M159" i="1" s="1"/>
  <c r="V189" i="1"/>
  <c r="Z189" i="1" s="1"/>
  <c r="AC189" i="1"/>
  <c r="AB189" i="1"/>
  <c r="Q189" i="1"/>
  <c r="O189" i="1" s="1"/>
  <c r="R189" i="1" s="1"/>
  <c r="L189" i="1" s="1"/>
  <c r="M189" i="1" s="1"/>
  <c r="AD78" i="1"/>
  <c r="AD24" i="1"/>
  <c r="AD255" i="1"/>
  <c r="V177" i="1"/>
  <c r="Z177" i="1" s="1"/>
  <c r="AC177" i="1"/>
  <c r="AB177" i="1"/>
  <c r="V162" i="1"/>
  <c r="Z162" i="1" s="1"/>
  <c r="AC162" i="1"/>
  <c r="AB162" i="1"/>
  <c r="AC250" i="1"/>
  <c r="V250" i="1"/>
  <c r="Z250" i="1" s="1"/>
  <c r="AB250" i="1"/>
  <c r="AC182" i="1"/>
  <c r="AB182" i="1"/>
  <c r="V182" i="1"/>
  <c r="Z182" i="1" s="1"/>
  <c r="Q182" i="1"/>
  <c r="O182" i="1" s="1"/>
  <c r="R182" i="1" s="1"/>
  <c r="L182" i="1" s="1"/>
  <c r="M182" i="1" s="1"/>
  <c r="AC167" i="1"/>
  <c r="V167" i="1"/>
  <c r="Z167" i="1" s="1"/>
  <c r="AB167" i="1"/>
  <c r="V59" i="1"/>
  <c r="Z59" i="1" s="1"/>
  <c r="AC59" i="1"/>
  <c r="Q59" i="1"/>
  <c r="O59" i="1" s="1"/>
  <c r="R59" i="1" s="1"/>
  <c r="L59" i="1" s="1"/>
  <c r="M59" i="1" s="1"/>
  <c r="AB59" i="1"/>
  <c r="AB33" i="1"/>
  <c r="V33" i="1"/>
  <c r="Z33" i="1" s="1"/>
  <c r="AC33" i="1"/>
  <c r="Q33" i="1"/>
  <c r="O33" i="1" s="1"/>
  <c r="R33" i="1" s="1"/>
  <c r="L33" i="1" s="1"/>
  <c r="M33" i="1" s="1"/>
  <c r="AC81" i="1"/>
  <c r="AB81" i="1"/>
  <c r="V81" i="1"/>
  <c r="Z81" i="1" s="1"/>
  <c r="AC225" i="1"/>
  <c r="V225" i="1"/>
  <c r="Z225" i="1" s="1"/>
  <c r="AB225" i="1"/>
  <c r="AC97" i="1"/>
  <c r="AB97" i="1"/>
  <c r="V97" i="1"/>
  <c r="Z97" i="1" s="1"/>
  <c r="AC34" i="1"/>
  <c r="AB34" i="1"/>
  <c r="V34" i="1"/>
  <c r="Z34" i="1" s="1"/>
  <c r="V72" i="1"/>
  <c r="Z72" i="1" s="1"/>
  <c r="AC72" i="1"/>
  <c r="AB72" i="1"/>
  <c r="V158" i="1"/>
  <c r="Z158" i="1" s="1"/>
  <c r="AC158" i="1"/>
  <c r="AB158" i="1"/>
  <c r="AC253" i="1"/>
  <c r="AB253" i="1"/>
  <c r="V253" i="1"/>
  <c r="Z253" i="1" s="1"/>
  <c r="V221" i="1"/>
  <c r="Z221" i="1" s="1"/>
  <c r="AC221" i="1"/>
  <c r="AB221" i="1"/>
  <c r="Q97" i="1"/>
  <c r="O97" i="1" s="1"/>
  <c r="R97" i="1" s="1"/>
  <c r="L97" i="1" s="1"/>
  <c r="M97" i="1" s="1"/>
  <c r="V49" i="1"/>
  <c r="Z49" i="1" s="1"/>
  <c r="AB49" i="1"/>
  <c r="AC49" i="1"/>
  <c r="AD49" i="1" s="1"/>
  <c r="Q49" i="1"/>
  <c r="O49" i="1" s="1"/>
  <c r="R49" i="1" s="1"/>
  <c r="L49" i="1" s="1"/>
  <c r="M49" i="1" s="1"/>
  <c r="AC104" i="1"/>
  <c r="V104" i="1"/>
  <c r="Z104" i="1" s="1"/>
  <c r="AB104" i="1"/>
  <c r="V192" i="1"/>
  <c r="Z192" i="1" s="1"/>
  <c r="AC192" i="1"/>
  <c r="AB192" i="1"/>
  <c r="V222" i="1"/>
  <c r="Z222" i="1" s="1"/>
  <c r="AC222" i="1"/>
  <c r="AB222" i="1"/>
  <c r="Q162" i="1"/>
  <c r="O162" i="1" s="1"/>
  <c r="R162" i="1" s="1"/>
  <c r="L162" i="1" s="1"/>
  <c r="M162" i="1" s="1"/>
  <c r="AD36" i="1"/>
  <c r="AD22" i="1"/>
  <c r="V57" i="1"/>
  <c r="Z57" i="1" s="1"/>
  <c r="AB57" i="1"/>
  <c r="Q57" i="1"/>
  <c r="O57" i="1" s="1"/>
  <c r="R57" i="1" s="1"/>
  <c r="L57" i="1" s="1"/>
  <c r="M57" i="1" s="1"/>
  <c r="AC57" i="1"/>
  <c r="Q144" i="1"/>
  <c r="O144" i="1" s="1"/>
  <c r="R144" i="1" s="1"/>
  <c r="L144" i="1" s="1"/>
  <c r="M144" i="1" s="1"/>
  <c r="AD232" i="1"/>
  <c r="AD152" i="1"/>
  <c r="AD106" i="1"/>
  <c r="V136" i="1"/>
  <c r="Z136" i="1" s="1"/>
  <c r="AC136" i="1"/>
  <c r="AB136" i="1"/>
  <c r="AC238" i="1"/>
  <c r="V238" i="1"/>
  <c r="Z238" i="1" s="1"/>
  <c r="AB238" i="1"/>
  <c r="Q238" i="1"/>
  <c r="O238" i="1" s="1"/>
  <c r="R238" i="1" s="1"/>
  <c r="L238" i="1" s="1"/>
  <c r="M238" i="1" s="1"/>
  <c r="AC235" i="1"/>
  <c r="V235" i="1"/>
  <c r="Z235" i="1" s="1"/>
  <c r="AB235" i="1"/>
  <c r="Q235" i="1"/>
  <c r="O235" i="1" s="1"/>
  <c r="R235" i="1" s="1"/>
  <c r="L235" i="1" s="1"/>
  <c r="M235" i="1" s="1"/>
  <c r="AC154" i="1"/>
  <c r="V154" i="1"/>
  <c r="Z154" i="1" s="1"/>
  <c r="AB154" i="1"/>
  <c r="AC38" i="1"/>
  <c r="V38" i="1"/>
  <c r="Z38" i="1" s="1"/>
  <c r="AB38" i="1"/>
  <c r="AC120" i="1"/>
  <c r="AB120" i="1"/>
  <c r="V120" i="1"/>
  <c r="Z120" i="1" s="1"/>
  <c r="V161" i="1"/>
  <c r="Z161" i="1" s="1"/>
  <c r="AC161" i="1"/>
  <c r="AB161" i="1"/>
  <c r="AC165" i="1"/>
  <c r="V165" i="1"/>
  <c r="Z165" i="1" s="1"/>
  <c r="AB165" i="1"/>
  <c r="Q221" i="1"/>
  <c r="O221" i="1" s="1"/>
  <c r="R221" i="1" s="1"/>
  <c r="L221" i="1" s="1"/>
  <c r="M221" i="1" s="1"/>
  <c r="Q222" i="1"/>
  <c r="O222" i="1" s="1"/>
  <c r="R222" i="1" s="1"/>
  <c r="L222" i="1" s="1"/>
  <c r="M222" i="1" s="1"/>
  <c r="AD18" i="1"/>
  <c r="AC231" i="1"/>
  <c r="V231" i="1"/>
  <c r="Z231" i="1" s="1"/>
  <c r="AB231" i="1"/>
  <c r="Q231" i="1"/>
  <c r="O231" i="1" s="1"/>
  <c r="R231" i="1" s="1"/>
  <c r="L231" i="1" s="1"/>
  <c r="M231" i="1" s="1"/>
  <c r="AC82" i="1"/>
  <c r="V82" i="1"/>
  <c r="Z82" i="1" s="1"/>
  <c r="AB82" i="1"/>
  <c r="AC113" i="1"/>
  <c r="V113" i="1"/>
  <c r="Z113" i="1" s="1"/>
  <c r="AB113" i="1"/>
  <c r="AC47" i="1"/>
  <c r="V47" i="1"/>
  <c r="Z47" i="1" s="1"/>
  <c r="Q47" i="1"/>
  <c r="O47" i="1" s="1"/>
  <c r="R47" i="1" s="1"/>
  <c r="L47" i="1" s="1"/>
  <c r="M47" i="1" s="1"/>
  <c r="AB47" i="1"/>
  <c r="V198" i="1"/>
  <c r="Z198" i="1" s="1"/>
  <c r="AC198" i="1"/>
  <c r="AB198" i="1"/>
  <c r="AD185" i="1"/>
  <c r="V237" i="1"/>
  <c r="Z237" i="1" s="1"/>
  <c r="AC237" i="1"/>
  <c r="AB237" i="1"/>
  <c r="AC132" i="1"/>
  <c r="AB132" i="1"/>
  <c r="V132" i="1"/>
  <c r="Z132" i="1" s="1"/>
  <c r="AB31" i="1"/>
  <c r="AC31" i="1"/>
  <c r="AD31" i="1" s="1"/>
  <c r="V31" i="1"/>
  <c r="Z31" i="1" s="1"/>
  <c r="Q31" i="1"/>
  <c r="O31" i="1" s="1"/>
  <c r="R31" i="1" s="1"/>
  <c r="L31" i="1" s="1"/>
  <c r="M31" i="1" s="1"/>
  <c r="AC89" i="1"/>
  <c r="AB89" i="1"/>
  <c r="V89" i="1"/>
  <c r="Z89" i="1" s="1"/>
  <c r="AD164" i="1"/>
  <c r="AD212" i="1"/>
  <c r="AC105" i="1"/>
  <c r="V105" i="1"/>
  <c r="Z105" i="1" s="1"/>
  <c r="AB105" i="1"/>
  <c r="Q104" i="1"/>
  <c r="O104" i="1" s="1"/>
  <c r="R104" i="1" s="1"/>
  <c r="L104" i="1" s="1"/>
  <c r="M104" i="1" s="1"/>
  <c r="AD80" i="1"/>
  <c r="V241" i="1"/>
  <c r="Z241" i="1" s="1"/>
  <c r="AC241" i="1"/>
  <c r="AB241" i="1"/>
  <c r="V188" i="1"/>
  <c r="Z188" i="1" s="1"/>
  <c r="AC188" i="1"/>
  <c r="AB188" i="1"/>
  <c r="V76" i="1"/>
  <c r="Z76" i="1" s="1"/>
  <c r="AC76" i="1"/>
  <c r="AB76" i="1"/>
  <c r="V83" i="1"/>
  <c r="Z83" i="1" s="1"/>
  <c r="AC83" i="1"/>
  <c r="AB83" i="1"/>
  <c r="AB26" i="1"/>
  <c r="AC26" i="1"/>
  <c r="V26" i="1"/>
  <c r="Z26" i="1" s="1"/>
  <c r="V68" i="1"/>
  <c r="Z68" i="1" s="1"/>
  <c r="AC68" i="1"/>
  <c r="AB68" i="1"/>
  <c r="AC90" i="1"/>
  <c r="V90" i="1"/>
  <c r="Z90" i="1" s="1"/>
  <c r="AB90" i="1"/>
  <c r="AC211" i="1"/>
  <c r="V211" i="1"/>
  <c r="Z211" i="1" s="1"/>
  <c r="AB211" i="1"/>
  <c r="AD190" i="1"/>
  <c r="V92" i="1"/>
  <c r="Z92" i="1" s="1"/>
  <c r="AC92" i="1"/>
  <c r="AB92" i="1"/>
  <c r="V115" i="1"/>
  <c r="Z115" i="1" s="1"/>
  <c r="AC115" i="1"/>
  <c r="AB115" i="1"/>
  <c r="Q115" i="1"/>
  <c r="O115" i="1" s="1"/>
  <c r="R115" i="1" s="1"/>
  <c r="L115" i="1" s="1"/>
  <c r="M115" i="1" s="1"/>
  <c r="Q119" i="1"/>
  <c r="O119" i="1" s="1"/>
  <c r="R119" i="1" s="1"/>
  <c r="L119" i="1" s="1"/>
  <c r="M119" i="1" s="1"/>
  <c r="AB143" i="1"/>
  <c r="V143" i="1"/>
  <c r="Z143" i="1" s="1"/>
  <c r="AC143" i="1"/>
  <c r="AD156" i="1"/>
  <c r="Q181" i="1"/>
  <c r="O181" i="1" s="1"/>
  <c r="R181" i="1" s="1"/>
  <c r="L181" i="1" s="1"/>
  <c r="M181" i="1" s="1"/>
  <c r="AC228" i="1"/>
  <c r="V228" i="1"/>
  <c r="Z228" i="1" s="1"/>
  <c r="AB228" i="1"/>
  <c r="Q233" i="1"/>
  <c r="O233" i="1" s="1"/>
  <c r="R233" i="1" s="1"/>
  <c r="L233" i="1" s="1"/>
  <c r="M233" i="1" s="1"/>
  <c r="AC214" i="1"/>
  <c r="V214" i="1"/>
  <c r="Z214" i="1" s="1"/>
  <c r="AB214" i="1"/>
  <c r="V61" i="1"/>
  <c r="Z61" i="1" s="1"/>
  <c r="AB61" i="1"/>
  <c r="AC61" i="1"/>
  <c r="AD61" i="1" s="1"/>
  <c r="V53" i="1"/>
  <c r="Z53" i="1" s="1"/>
  <c r="AB53" i="1"/>
  <c r="AC53" i="1"/>
  <c r="Q53" i="1"/>
  <c r="O53" i="1" s="1"/>
  <c r="R53" i="1" s="1"/>
  <c r="L53" i="1" s="1"/>
  <c r="M53" i="1" s="1"/>
  <c r="AD50" i="1"/>
  <c r="V137" i="1"/>
  <c r="Z137" i="1" s="1"/>
  <c r="AC137" i="1"/>
  <c r="AB137" i="1"/>
  <c r="V172" i="1"/>
  <c r="Z172" i="1" s="1"/>
  <c r="AC172" i="1"/>
  <c r="AB172" i="1"/>
  <c r="V195" i="1"/>
  <c r="Z195" i="1" s="1"/>
  <c r="AC195" i="1"/>
  <c r="AB195" i="1"/>
  <c r="V73" i="1"/>
  <c r="Z73" i="1" s="1"/>
  <c r="AC73" i="1"/>
  <c r="AB73" i="1"/>
  <c r="Q73" i="1"/>
  <c r="O73" i="1" s="1"/>
  <c r="R73" i="1" s="1"/>
  <c r="L73" i="1" s="1"/>
  <c r="M73" i="1" s="1"/>
  <c r="Q211" i="1"/>
  <c r="O211" i="1" s="1"/>
  <c r="R211" i="1" s="1"/>
  <c r="L211" i="1" s="1"/>
  <c r="M211" i="1" s="1"/>
  <c r="V245" i="1"/>
  <c r="Z245" i="1" s="1"/>
  <c r="AC245" i="1"/>
  <c r="AB245" i="1"/>
  <c r="V45" i="1"/>
  <c r="Z45" i="1" s="1"/>
  <c r="AB45" i="1"/>
  <c r="AC45" i="1"/>
  <c r="AC218" i="1"/>
  <c r="AB218" i="1"/>
  <c r="V218" i="1"/>
  <c r="Z218" i="1" s="1"/>
  <c r="AD28" i="1"/>
  <c r="AC118" i="1"/>
  <c r="V118" i="1"/>
  <c r="Z118" i="1" s="1"/>
  <c r="AB118" i="1"/>
  <c r="Q118" i="1"/>
  <c r="O118" i="1" s="1"/>
  <c r="R118" i="1" s="1"/>
  <c r="L118" i="1" s="1"/>
  <c r="M118" i="1" s="1"/>
  <c r="AD141" i="1"/>
  <c r="AD204" i="1"/>
  <c r="AC21" i="1"/>
  <c r="V21" i="1"/>
  <c r="Z21" i="1" s="1"/>
  <c r="AB21" i="1"/>
  <c r="Q132" i="1"/>
  <c r="O132" i="1" s="1"/>
  <c r="R132" i="1" s="1"/>
  <c r="L132" i="1" s="1"/>
  <c r="M132" i="1" s="1"/>
  <c r="AD194" i="1"/>
  <c r="AD203" i="1"/>
  <c r="V43" i="1"/>
  <c r="Z43" i="1" s="1"/>
  <c r="AC43" i="1"/>
  <c r="AB43" i="1"/>
  <c r="Q43" i="1"/>
  <c r="O43" i="1" s="1"/>
  <c r="R43" i="1" s="1"/>
  <c r="L43" i="1" s="1"/>
  <c r="M43" i="1" s="1"/>
  <c r="V100" i="1"/>
  <c r="Z100" i="1" s="1"/>
  <c r="AB100" i="1"/>
  <c r="AC100" i="1"/>
  <c r="AD100" i="1" s="1"/>
  <c r="V191" i="1"/>
  <c r="Z191" i="1" s="1"/>
  <c r="AC191" i="1"/>
  <c r="AB191" i="1"/>
  <c r="AC174" i="1"/>
  <c r="AB174" i="1"/>
  <c r="V174" i="1"/>
  <c r="Z174" i="1" s="1"/>
  <c r="Q174" i="1"/>
  <c r="O174" i="1" s="1"/>
  <c r="R174" i="1" s="1"/>
  <c r="L174" i="1" s="1"/>
  <c r="M174" i="1" s="1"/>
  <c r="AC116" i="1"/>
  <c r="V116" i="1"/>
  <c r="Z116" i="1" s="1"/>
  <c r="AB116" i="1"/>
  <c r="AC27" i="1"/>
  <c r="AB27" i="1"/>
  <c r="V27" i="1"/>
  <c r="Z27" i="1" s="1"/>
  <c r="V200" i="1"/>
  <c r="Z200" i="1" s="1"/>
  <c r="AC200" i="1"/>
  <c r="AB200" i="1"/>
  <c r="V99" i="1"/>
  <c r="Z99" i="1" s="1"/>
  <c r="AC99" i="1"/>
  <c r="AB99" i="1"/>
  <c r="Q99" i="1"/>
  <c r="O99" i="1" s="1"/>
  <c r="R99" i="1" s="1"/>
  <c r="L99" i="1" s="1"/>
  <c r="M99" i="1" s="1"/>
  <c r="AD142" i="1"/>
  <c r="AC170" i="1"/>
  <c r="AB170" i="1"/>
  <c r="V170" i="1"/>
  <c r="Z170" i="1" s="1"/>
  <c r="AD160" i="1"/>
  <c r="AC46" i="1"/>
  <c r="V46" i="1"/>
  <c r="Z46" i="1" s="1"/>
  <c r="AB46" i="1"/>
  <c r="AD229" i="1"/>
  <c r="V79" i="1"/>
  <c r="Z79" i="1" s="1"/>
  <c r="AC79" i="1"/>
  <c r="AB79" i="1"/>
  <c r="AC87" i="1"/>
  <c r="V87" i="1"/>
  <c r="Z87" i="1" s="1"/>
  <c r="AB87" i="1"/>
  <c r="Q87" i="1"/>
  <c r="O87" i="1" s="1"/>
  <c r="R87" i="1" s="1"/>
  <c r="L87" i="1" s="1"/>
  <c r="M87" i="1" s="1"/>
  <c r="Q76" i="1"/>
  <c r="O76" i="1" s="1"/>
  <c r="R76" i="1" s="1"/>
  <c r="L76" i="1" s="1"/>
  <c r="M76" i="1" s="1"/>
  <c r="V209" i="1"/>
  <c r="Z209" i="1" s="1"/>
  <c r="AC209" i="1"/>
  <c r="AB209" i="1"/>
  <c r="V139" i="1"/>
  <c r="Z139" i="1" s="1"/>
  <c r="AC139" i="1"/>
  <c r="AB139" i="1"/>
  <c r="AD197" i="1"/>
  <c r="AC230" i="1"/>
  <c r="V230" i="1"/>
  <c r="Z230" i="1" s="1"/>
  <c r="AB230" i="1"/>
  <c r="Q230" i="1"/>
  <c r="O230" i="1" s="1"/>
  <c r="R230" i="1" s="1"/>
  <c r="L230" i="1" s="1"/>
  <c r="M230" i="1" s="1"/>
  <c r="AD42" i="1"/>
  <c r="AC130" i="1"/>
  <c r="V130" i="1"/>
  <c r="Z130" i="1" s="1"/>
  <c r="Q130" i="1"/>
  <c r="O130" i="1" s="1"/>
  <c r="R130" i="1" s="1"/>
  <c r="L130" i="1" s="1"/>
  <c r="M130" i="1" s="1"/>
  <c r="AB130" i="1"/>
  <c r="AC23" i="1"/>
  <c r="AB23" i="1"/>
  <c r="V23" i="1"/>
  <c r="Z23" i="1" s="1"/>
  <c r="Q23" i="1"/>
  <c r="O23" i="1" s="1"/>
  <c r="R23" i="1" s="1"/>
  <c r="L23" i="1" s="1"/>
  <c r="M23" i="1" s="1"/>
  <c r="AD153" i="1"/>
  <c r="Q252" i="1"/>
  <c r="O252" i="1" s="1"/>
  <c r="R252" i="1" s="1"/>
  <c r="L252" i="1" s="1"/>
  <c r="M252" i="1" s="1"/>
  <c r="AD54" i="1"/>
  <c r="V111" i="1"/>
  <c r="Z111" i="1" s="1"/>
  <c r="AC111" i="1"/>
  <c r="AB111" i="1"/>
  <c r="V125" i="1"/>
  <c r="Z125" i="1" s="1"/>
  <c r="AC125" i="1"/>
  <c r="Q125" i="1"/>
  <c r="O125" i="1" s="1"/>
  <c r="R125" i="1" s="1"/>
  <c r="L125" i="1" s="1"/>
  <c r="M125" i="1" s="1"/>
  <c r="AB125" i="1"/>
  <c r="V176" i="1"/>
  <c r="Z176" i="1" s="1"/>
  <c r="AC176" i="1"/>
  <c r="AB176" i="1"/>
  <c r="AD75" i="1"/>
  <c r="V123" i="1"/>
  <c r="Z123" i="1" s="1"/>
  <c r="AC123" i="1"/>
  <c r="AB123" i="1"/>
  <c r="AC239" i="1"/>
  <c r="V239" i="1"/>
  <c r="Z239" i="1" s="1"/>
  <c r="AB239" i="1"/>
  <c r="Q239" i="1"/>
  <c r="O239" i="1" s="1"/>
  <c r="R239" i="1" s="1"/>
  <c r="L239" i="1" s="1"/>
  <c r="M239" i="1" s="1"/>
  <c r="Q113" i="1"/>
  <c r="O113" i="1" s="1"/>
  <c r="R113" i="1" s="1"/>
  <c r="L113" i="1" s="1"/>
  <c r="M113" i="1" s="1"/>
  <c r="V107" i="1"/>
  <c r="Z107" i="1" s="1"/>
  <c r="AC107" i="1"/>
  <c r="AB107" i="1"/>
  <c r="Q139" i="1"/>
  <c r="O139" i="1" s="1"/>
  <c r="R139" i="1" s="1"/>
  <c r="L139" i="1" s="1"/>
  <c r="M139" i="1" s="1"/>
  <c r="Q177" i="1"/>
  <c r="O177" i="1" s="1"/>
  <c r="R177" i="1" s="1"/>
  <c r="L177" i="1" s="1"/>
  <c r="M177" i="1" s="1"/>
  <c r="AC163" i="1"/>
  <c r="V163" i="1"/>
  <c r="Z163" i="1" s="1"/>
  <c r="AB163" i="1"/>
  <c r="Q163" i="1"/>
  <c r="O163" i="1" s="1"/>
  <c r="R163" i="1" s="1"/>
  <c r="L163" i="1" s="1"/>
  <c r="M163" i="1" s="1"/>
  <c r="V199" i="1"/>
  <c r="Z199" i="1" s="1"/>
  <c r="AC199" i="1"/>
  <c r="AB199" i="1"/>
  <c r="AD208" i="1"/>
  <c r="AD145" i="1"/>
  <c r="AD62" i="1"/>
  <c r="AD202" i="1"/>
  <c r="V84" i="1"/>
  <c r="Z84" i="1" s="1"/>
  <c r="AC84" i="1"/>
  <c r="AB84" i="1"/>
  <c r="V56" i="1"/>
  <c r="Z56" i="1" s="1"/>
  <c r="AC56" i="1"/>
  <c r="AD56" i="1" s="1"/>
  <c r="AB56" i="1"/>
  <c r="AC112" i="1"/>
  <c r="V112" i="1"/>
  <c r="Z112" i="1" s="1"/>
  <c r="AB112" i="1"/>
  <c r="AC109" i="1"/>
  <c r="AB109" i="1"/>
  <c r="V109" i="1"/>
  <c r="Z109" i="1" s="1"/>
  <c r="AD254" i="1"/>
  <c r="V131" i="1"/>
  <c r="Z131" i="1" s="1"/>
  <c r="AC131" i="1"/>
  <c r="AB131" i="1"/>
  <c r="V98" i="1"/>
  <c r="Z98" i="1" s="1"/>
  <c r="AC98" i="1"/>
  <c r="AB98" i="1"/>
  <c r="Q100" i="1"/>
  <c r="O100" i="1" s="1"/>
  <c r="R100" i="1" s="1"/>
  <c r="L100" i="1" s="1"/>
  <c r="M100" i="1" s="1"/>
  <c r="V226" i="1"/>
  <c r="Z226" i="1" s="1"/>
  <c r="AC226" i="1"/>
  <c r="AB226" i="1"/>
  <c r="Q226" i="1"/>
  <c r="O226" i="1" s="1"/>
  <c r="R226" i="1" s="1"/>
  <c r="L226" i="1" s="1"/>
  <c r="M226" i="1" s="1"/>
  <c r="AB39" i="1"/>
  <c r="V39" i="1"/>
  <c r="Z39" i="1" s="1"/>
  <c r="AC39" i="1"/>
  <c r="V77" i="1"/>
  <c r="Z77" i="1" s="1"/>
  <c r="AC77" i="1"/>
  <c r="AB77" i="1"/>
  <c r="Q116" i="1"/>
  <c r="O116" i="1" s="1"/>
  <c r="R116" i="1" s="1"/>
  <c r="L116" i="1" s="1"/>
  <c r="M116" i="1" s="1"/>
  <c r="Q170" i="1"/>
  <c r="O170" i="1" s="1"/>
  <c r="R170" i="1" s="1"/>
  <c r="L170" i="1" s="1"/>
  <c r="M170" i="1" s="1"/>
  <c r="AD146" i="1"/>
  <c r="AC242" i="1"/>
  <c r="V242" i="1"/>
  <c r="Z242" i="1" s="1"/>
  <c r="AB242" i="1"/>
  <c r="V69" i="1"/>
  <c r="Z69" i="1" s="1"/>
  <c r="AB69" i="1"/>
  <c r="AC69" i="1"/>
  <c r="AC178" i="1"/>
  <c r="AB178" i="1"/>
  <c r="V178" i="1"/>
  <c r="Z178" i="1" s="1"/>
  <c r="AC234" i="1"/>
  <c r="V234" i="1"/>
  <c r="Z234" i="1" s="1"/>
  <c r="AB234" i="1"/>
  <c r="AD215" i="1"/>
  <c r="AD48" i="1"/>
  <c r="Q209" i="1"/>
  <c r="O209" i="1" s="1"/>
  <c r="R209" i="1" s="1"/>
  <c r="L209" i="1" s="1"/>
  <c r="M209" i="1" s="1"/>
  <c r="V37" i="1"/>
  <c r="Z37" i="1" s="1"/>
  <c r="AC37" i="1"/>
  <c r="AB37" i="1"/>
  <c r="AD133" i="1"/>
  <c r="AD184" i="1"/>
  <c r="V121" i="1"/>
  <c r="Z121" i="1" s="1"/>
  <c r="AC121" i="1"/>
  <c r="AB121" i="1"/>
  <c r="Q121" i="1"/>
  <c r="O121" i="1" s="1"/>
  <c r="R121" i="1" s="1"/>
  <c r="L121" i="1" s="1"/>
  <c r="M121" i="1" s="1"/>
  <c r="Q89" i="1"/>
  <c r="O89" i="1" s="1"/>
  <c r="R89" i="1" s="1"/>
  <c r="L89" i="1" s="1"/>
  <c r="M89" i="1" s="1"/>
  <c r="AC108" i="1"/>
  <c r="V108" i="1"/>
  <c r="Z108" i="1" s="1"/>
  <c r="AB108" i="1"/>
  <c r="AC180" i="1"/>
  <c r="V180" i="1"/>
  <c r="Z180" i="1" s="1"/>
  <c r="AB180" i="1"/>
  <c r="AC25" i="1"/>
  <c r="V25" i="1"/>
  <c r="Z25" i="1" s="1"/>
  <c r="AB25" i="1"/>
  <c r="V41" i="1"/>
  <c r="Z41" i="1" s="1"/>
  <c r="AC41" i="1"/>
  <c r="AD41" i="1" s="1"/>
  <c r="AB41" i="1"/>
  <c r="Q41" i="1"/>
  <c r="O41" i="1" s="1"/>
  <c r="R41" i="1" s="1"/>
  <c r="L41" i="1" s="1"/>
  <c r="M41" i="1" s="1"/>
  <c r="AC85" i="1"/>
  <c r="AB85" i="1"/>
  <c r="V85" i="1"/>
  <c r="Z85" i="1" s="1"/>
  <c r="AC114" i="1"/>
  <c r="V114" i="1"/>
  <c r="Z114" i="1" s="1"/>
  <c r="AB114" i="1"/>
  <c r="Q114" i="1"/>
  <c r="O114" i="1" s="1"/>
  <c r="R114" i="1" s="1"/>
  <c r="L114" i="1" s="1"/>
  <c r="M114" i="1" s="1"/>
  <c r="V155" i="1"/>
  <c r="Z155" i="1" s="1"/>
  <c r="AC155" i="1"/>
  <c r="AB155" i="1"/>
  <c r="Q198" i="1"/>
  <c r="O198" i="1" s="1"/>
  <c r="R198" i="1" s="1"/>
  <c r="L198" i="1" s="1"/>
  <c r="M198" i="1" s="1"/>
  <c r="AD248" i="1"/>
  <c r="Q56" i="1"/>
  <c r="O56" i="1" s="1"/>
  <c r="R56" i="1" s="1"/>
  <c r="L56" i="1" s="1"/>
  <c r="M56" i="1" s="1"/>
  <c r="Q61" i="1"/>
  <c r="O61" i="1" s="1"/>
  <c r="R61" i="1" s="1"/>
  <c r="L61" i="1" s="1"/>
  <c r="M61" i="1" s="1"/>
  <c r="V96" i="1"/>
  <c r="Z96" i="1" s="1"/>
  <c r="AC96" i="1"/>
  <c r="AB96" i="1"/>
  <c r="V175" i="1"/>
  <c r="Z175" i="1" s="1"/>
  <c r="AC175" i="1"/>
  <c r="AB175" i="1"/>
  <c r="Q183" i="1"/>
  <c r="O183" i="1" s="1"/>
  <c r="R183" i="1" s="1"/>
  <c r="L183" i="1" s="1"/>
  <c r="M183" i="1" s="1"/>
  <c r="V217" i="1"/>
  <c r="Z217" i="1" s="1"/>
  <c r="AC217" i="1"/>
  <c r="AB217" i="1"/>
  <c r="V140" i="1"/>
  <c r="Z140" i="1" s="1"/>
  <c r="AC140" i="1"/>
  <c r="AB140" i="1"/>
  <c r="Q253" i="1"/>
  <c r="O253" i="1" s="1"/>
  <c r="R253" i="1" s="1"/>
  <c r="L253" i="1" s="1"/>
  <c r="M253" i="1" s="1"/>
  <c r="AC169" i="1"/>
  <c r="V169" i="1"/>
  <c r="Z169" i="1" s="1"/>
  <c r="AB169" i="1"/>
  <c r="V249" i="1"/>
  <c r="Z249" i="1" s="1"/>
  <c r="AC249" i="1"/>
  <c r="AB249" i="1"/>
  <c r="Q84" i="1"/>
  <c r="O84" i="1" s="1"/>
  <c r="R84" i="1" s="1"/>
  <c r="L84" i="1" s="1"/>
  <c r="M84" i="1" s="1"/>
  <c r="AC246" i="1"/>
  <c r="V246" i="1"/>
  <c r="Z246" i="1" s="1"/>
  <c r="AB246" i="1"/>
  <c r="V129" i="1"/>
  <c r="Z129" i="1" s="1"/>
  <c r="AC129" i="1"/>
  <c r="AB129" i="1"/>
  <c r="AC124" i="1"/>
  <c r="AB124" i="1"/>
  <c r="V124" i="1"/>
  <c r="Z124" i="1" s="1"/>
  <c r="AC117" i="1"/>
  <c r="V117" i="1"/>
  <c r="Z117" i="1" s="1"/>
  <c r="Q117" i="1"/>
  <c r="O117" i="1" s="1"/>
  <c r="R117" i="1" s="1"/>
  <c r="L117" i="1" s="1"/>
  <c r="M117" i="1" s="1"/>
  <c r="AB117" i="1"/>
  <c r="V157" i="1"/>
  <c r="Z157" i="1" s="1"/>
  <c r="AC157" i="1"/>
  <c r="AB157" i="1"/>
  <c r="V205" i="1"/>
  <c r="Z205" i="1" s="1"/>
  <c r="AC205" i="1"/>
  <c r="AB205" i="1"/>
  <c r="AD20" i="1"/>
  <c r="AC64" i="1"/>
  <c r="V64" i="1"/>
  <c r="Z64" i="1" s="1"/>
  <c r="AB64" i="1"/>
  <c r="V51" i="1"/>
  <c r="Z51" i="1" s="1"/>
  <c r="AC51" i="1"/>
  <c r="AB51" i="1"/>
  <c r="Q51" i="1"/>
  <c r="O51" i="1" s="1"/>
  <c r="R51" i="1" s="1"/>
  <c r="L51" i="1" s="1"/>
  <c r="M51" i="1" s="1"/>
  <c r="Q124" i="1"/>
  <c r="O124" i="1" s="1"/>
  <c r="R124" i="1" s="1"/>
  <c r="L124" i="1" s="1"/>
  <c r="M124" i="1" s="1"/>
  <c r="V151" i="1"/>
  <c r="Z151" i="1" s="1"/>
  <c r="AC151" i="1"/>
  <c r="Q151" i="1"/>
  <c r="O151" i="1" s="1"/>
  <c r="R151" i="1" s="1"/>
  <c r="L151" i="1" s="1"/>
  <c r="M151" i="1" s="1"/>
  <c r="AB151" i="1"/>
  <c r="AD247" i="1"/>
  <c r="V173" i="1"/>
  <c r="Z173" i="1" s="1"/>
  <c r="AC173" i="1"/>
  <c r="AB173" i="1"/>
  <c r="V35" i="1"/>
  <c r="Z35" i="1" s="1"/>
  <c r="AC35" i="1"/>
  <c r="AB35" i="1"/>
  <c r="Q35" i="1"/>
  <c r="O35" i="1" s="1"/>
  <c r="R35" i="1" s="1"/>
  <c r="L35" i="1" s="1"/>
  <c r="M35" i="1" s="1"/>
  <c r="V201" i="1"/>
  <c r="Z201" i="1" s="1"/>
  <c r="AC201" i="1"/>
  <c r="AB201" i="1"/>
  <c r="AC210" i="1"/>
  <c r="AB210" i="1"/>
  <c r="V210" i="1"/>
  <c r="Z210" i="1" s="1"/>
  <c r="Q92" i="1"/>
  <c r="O92" i="1" s="1"/>
  <c r="R92" i="1" s="1"/>
  <c r="L92" i="1" s="1"/>
  <c r="M92" i="1" s="1"/>
  <c r="Q193" i="1"/>
  <c r="O193" i="1" s="1"/>
  <c r="R193" i="1" s="1"/>
  <c r="L193" i="1" s="1"/>
  <c r="M193" i="1" s="1"/>
  <c r="AD91" i="1"/>
  <c r="Q81" i="1"/>
  <c r="O81" i="1" s="1"/>
  <c r="R81" i="1" s="1"/>
  <c r="L81" i="1" s="1"/>
  <c r="M81" i="1" s="1"/>
  <c r="AD74" i="1"/>
  <c r="AD33" i="1" l="1"/>
  <c r="AD225" i="1"/>
  <c r="AD25" i="1"/>
  <c r="AD140" i="1"/>
  <c r="AD73" i="1"/>
  <c r="AD76" i="1"/>
  <c r="AD135" i="1"/>
  <c r="AD116" i="1"/>
  <c r="AD132" i="1"/>
  <c r="AD58" i="1"/>
  <c r="AD181" i="1"/>
  <c r="AD124" i="1"/>
  <c r="AD157" i="1"/>
  <c r="AD77" i="1"/>
  <c r="AD174" i="1"/>
  <c r="AD143" i="1"/>
  <c r="AD88" i="1"/>
  <c r="AD103" i="1"/>
  <c r="AD210" i="1"/>
  <c r="AD217" i="1"/>
  <c r="AD180" i="1"/>
  <c r="AD226" i="1"/>
  <c r="AD163" i="1"/>
  <c r="AD176" i="1"/>
  <c r="AD230" i="1"/>
  <c r="AD245" i="1"/>
  <c r="AD195" i="1"/>
  <c r="AD188" i="1"/>
  <c r="AD47" i="1"/>
  <c r="AD165" i="1"/>
  <c r="AD235" i="1"/>
  <c r="AD158" i="1"/>
  <c r="AD81" i="1"/>
  <c r="AD166" i="1"/>
  <c r="AD17" i="1"/>
  <c r="AD196" i="1"/>
  <c r="AD233" i="1"/>
  <c r="AD65" i="1"/>
  <c r="AD127" i="1"/>
  <c r="AD144" i="1"/>
  <c r="AD105" i="1"/>
  <c r="AD38" i="1"/>
  <c r="AD206" i="1"/>
  <c r="AD21" i="1"/>
  <c r="AD117" i="1"/>
  <c r="AD53" i="1"/>
  <c r="AD214" i="1"/>
  <c r="AD90" i="1"/>
  <c r="AD231" i="1"/>
  <c r="AD250" i="1"/>
  <c r="AD252" i="1"/>
  <c r="AD173" i="1"/>
  <c r="O257" i="1"/>
  <c r="AD175" i="1"/>
  <c r="AD37" i="1"/>
  <c r="AD98" i="1"/>
  <c r="AD109" i="1"/>
  <c r="AD84" i="1"/>
  <c r="AD107" i="1"/>
  <c r="AD123" i="1"/>
  <c r="AD68" i="1"/>
  <c r="AD57" i="1"/>
  <c r="AD222" i="1"/>
  <c r="AD162" i="1"/>
  <c r="AD128" i="1"/>
  <c r="AD193" i="1"/>
  <c r="AD55" i="1"/>
  <c r="AD201" i="1"/>
  <c r="AD169" i="1"/>
  <c r="AD92" i="1"/>
  <c r="AD83" i="1"/>
  <c r="AD221" i="1"/>
  <c r="AD97" i="1"/>
  <c r="AD159" i="1"/>
  <c r="AD147" i="1"/>
  <c r="AD60" i="1"/>
  <c r="AD51" i="1"/>
  <c r="AD246" i="1"/>
  <c r="AD114" i="1"/>
  <c r="AD108" i="1"/>
  <c r="AD234" i="1"/>
  <c r="AD39" i="1"/>
  <c r="AD199" i="1"/>
  <c r="AD130" i="1"/>
  <c r="AD139" i="1"/>
  <c r="AD46" i="1"/>
  <c r="AD99" i="1"/>
  <c r="AD191" i="1"/>
  <c r="AD218" i="1"/>
  <c r="AD172" i="1"/>
  <c r="AD241" i="1"/>
  <c r="AD198" i="1"/>
  <c r="AD113" i="1"/>
  <c r="AD104" i="1"/>
  <c r="AD72" i="1"/>
  <c r="AD167" i="1"/>
  <c r="AD94" i="1"/>
  <c r="AD213" i="1"/>
  <c r="AD19" i="1"/>
  <c r="AD187" i="1"/>
  <c r="AD239" i="1"/>
  <c r="AD27" i="1"/>
  <c r="AD242" i="1"/>
  <c r="AD125" i="1"/>
  <c r="AD87" i="1"/>
  <c r="AD45" i="1"/>
  <c r="AD154" i="1"/>
  <c r="AD238" i="1"/>
  <c r="AD63" i="1"/>
  <c r="AD43" i="1"/>
  <c r="AD151" i="1"/>
  <c r="AD249" i="1"/>
  <c r="AD155" i="1"/>
  <c r="AD85" i="1"/>
  <c r="AD178" i="1"/>
  <c r="AD209" i="1"/>
  <c r="AD79" i="1"/>
  <c r="AD200" i="1"/>
  <c r="AD137" i="1"/>
  <c r="AD228" i="1"/>
  <c r="AD89" i="1"/>
  <c r="AD82" i="1"/>
  <c r="AD120" i="1"/>
  <c r="AD136" i="1"/>
  <c r="AD253" i="1"/>
  <c r="AD189" i="1"/>
  <c r="AD95" i="1"/>
  <c r="AD119" i="1"/>
  <c r="AD205" i="1"/>
  <c r="AD161" i="1"/>
  <c r="AD35" i="1"/>
  <c r="AD64" i="1"/>
  <c r="AD129" i="1"/>
  <c r="AD96" i="1"/>
  <c r="AD121" i="1"/>
  <c r="AD69" i="1"/>
  <c r="AD131" i="1"/>
  <c r="AD112" i="1"/>
  <c r="AD111" i="1"/>
  <c r="AD23" i="1"/>
  <c r="AD170" i="1"/>
  <c r="AD118" i="1"/>
  <c r="AD115" i="1"/>
  <c r="AD211" i="1"/>
  <c r="AD26" i="1"/>
  <c r="AD237" i="1"/>
  <c r="AD192" i="1"/>
  <c r="AD34" i="1"/>
  <c r="AD59" i="1"/>
  <c r="AD182" i="1"/>
  <c r="AD177" i="1"/>
  <c r="AD150" i="1"/>
  <c r="AD93" i="1"/>
  <c r="AD183" i="1"/>
</calcChain>
</file>

<file path=xl/sharedStrings.xml><?xml version="1.0" encoding="utf-8"?>
<sst xmlns="http://schemas.openxmlformats.org/spreadsheetml/2006/main" count="3256" uniqueCount="1037">
  <si>
    <t>File opened</t>
  </si>
  <si>
    <t>2026-04-07 10:13:01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</si>
  <si>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</si>
  <si>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</si>
  <si>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</si>
  <si>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</si>
  <si>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</si>
  <si>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</si>
  <si>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</si>
  <si>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</si>
  <si>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</si>
  <si>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</si>
  <si>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</si>
  <si>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"1.06539", "co2aspan1": "1.00014", "co2aspan2": "-0.028185", "co2aspan2a": "0.309472", "co2aspan2b": "0.306816", "co2aspanconc1": "2492", "co2aspanconc2": "285.6", "co2bzero": "1.01236", "co2bspan1": "0.999964", "co2bspan2": "-0.0275681", "co2bspan2a": "0.309881", "co2bspan2b": "0.307222", "co2bspanconc1": "2492", "co2bspanconc2": "285.6", "h2oazero": "1.36093", "h2oaspan1": "0.999718", "h2oaspan2": "0", "h2oaspan2a": "0.067854", "h2oaspan2b": "0.0678349", "h2oaspanconc1": "12.33", "h2oaspanconc2": "0", "h2obzero": "1.38818", "h2obspan1": "1.00595", "h2obspan2": "0", "h2obspan2a": "0.0676005", "h2obspan2b": "0.0680027", "h2obspanconc1": "12.33", "h2obspanconc2": "0", "tazero": "0.374474", "tbzero": "0.565647",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</si>
  <si>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</si>
  <si>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</si>
  <si>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</si>
  <si>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Mon Apr  6 09:12</t>
  </si>
  <si>
    <t>H2O rangematch</t>
  </si>
  <si>
    <t>Tue Mar 31 10:54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</si>
  <si>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</si>
  <si>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</si>
  <si>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</si>
  <si>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</si>
  <si>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</si>
  <si>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</si>
  <si>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</si>
  <si>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</si>
  <si>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10:13:01</t>
  </si>
  <si>
    <t>Stability Definition:	Flow (Meas): Per=30	CO2_r (Meas): Per=30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</si>
  <si>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</si>
  <si>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</si>
  <si>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</si>
  <si>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</si>
  <si>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</si>
  <si>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</si>
  <si>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</si>
  <si>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</si>
  <si>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</si>
  <si>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</si>
  <si>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</si>
  <si>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</si>
  <si>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</si>
  <si>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</si>
  <si>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</si>
  <si>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</si>
  <si>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</si>
  <si>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</si>
  <si>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</si>
  <si>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</si>
  <si>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</si>
  <si>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</si>
  <si>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</si>
  <si>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</si>
  <si>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</si>
  <si>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</si>
  <si>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</si>
  <si>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</si>
  <si>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</si>
  <si>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</si>
  <si>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</si>
  <si>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</si>
  <si>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</si>
  <si>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</si>
  <si>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</si>
  <si>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</si>
  <si>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</si>
  <si>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</si>
  <si>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</si>
  <si>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</si>
  <si>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</si>
  <si>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</si>
  <si>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</si>
  <si>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</si>
  <si>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</si>
  <si>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</si>
  <si>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</si>
  <si>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</si>
  <si>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</si>
  <si>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</si>
  <si>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</si>
  <si>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</si>
  <si>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</si>
  <si>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4.02522 183.792 385.01 627.907 856.524 1063.12 1226.53 1366.19</t>
  </si>
  <si>
    <t>Fs_true</t>
  </si>
  <si>
    <t>0.748862 192.321 388.559 599.92 801.584 1000.8 1200.46 1400.86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</si>
  <si>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</si>
  <si>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</si>
  <si>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</si>
  <si>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</si>
  <si>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</si>
  <si>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</si>
  <si>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</si>
  <si>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</si>
  <si>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</si>
  <si>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</si>
  <si>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</si>
  <si>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</si>
  <si>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</si>
  <si>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</si>
  <si>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</si>
  <si>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</si>
  <si>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</si>
  <si>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</si>
  <si>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</si>
  <si>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</si>
  <si>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</si>
  <si>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</si>
  <si>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</si>
  <si>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</si>
  <si>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</si>
  <si>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</si>
  <si>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</si>
  <si>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</si>
  <si>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</si>
  <si>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</si>
  <si>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</si>
  <si>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</si>
  <si>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</si>
  <si>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</si>
  <si>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</si>
  <si>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</si>
  <si>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</si>
  <si>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</si>
  <si>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</si>
  <si>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</si>
  <si>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</si>
  <si>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</si>
  <si>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</si>
  <si>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</si>
  <si>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</si>
  <si>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</si>
  <si>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</si>
  <si>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</si>
  <si>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</si>
  <si>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</si>
  <si>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</si>
  <si>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</si>
  <si>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</si>
  <si>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</si>
  <si>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</si>
  <si>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</si>
  <si>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</si>
  <si>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</si>
  <si>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</si>
  <si>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</si>
  <si>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</si>
  <si>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</si>
  <si>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</si>
  <si>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</si>
  <si>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</si>
  <si>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</si>
  <si>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</si>
  <si>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</si>
  <si>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</si>
  <si>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</si>
  <si>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</si>
  <si>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</si>
  <si>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</si>
  <si>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</si>
  <si>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</si>
  <si>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</si>
  <si>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</si>
  <si>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</si>
  <si>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</si>
  <si>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</si>
  <si>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</si>
  <si>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</si>
  <si>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</si>
  <si>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</si>
  <si>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</si>
  <si>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</si>
  <si>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</si>
  <si>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</si>
  <si>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</si>
  <si>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</si>
  <si>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</si>
  <si>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</si>
  <si>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</si>
  <si>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</si>
  <si>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</si>
  <si>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</si>
  <si>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</si>
  <si>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</si>
  <si>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</si>
  <si>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</si>
  <si>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</si>
  <si>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</si>
  <si>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</si>
  <si>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</si>
  <si>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</si>
  <si>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</si>
  <si>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</si>
  <si>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</si>
  <si>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</si>
  <si>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</si>
  <si>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</si>
  <si>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</si>
  <si>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</si>
  <si>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</si>
  <si>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</si>
  <si>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</si>
  <si>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</si>
  <si>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</si>
  <si>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</si>
  <si>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</si>
  <si>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</si>
  <si>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</si>
  <si>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</si>
  <si>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</si>
  <si>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</si>
  <si>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</si>
  <si>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</si>
  <si>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</si>
  <si>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</si>
  <si>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</si>
  <si>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</si>
  <si>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</si>
  <si>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</si>
  <si>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</si>
  <si>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</si>
  <si>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</si>
  <si>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</si>
  <si>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</si>
  <si>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</si>
  <si>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</si>
  <si>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</si>
  <si>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</si>
  <si>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</si>
  <si>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</si>
  <si>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</si>
  <si>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</si>
  <si>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</si>
  <si>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</si>
  <si>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</si>
  <si>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</si>
  <si>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</si>
  <si>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</si>
  <si>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</si>
  <si>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</si>
  <si>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</si>
  <si>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</si>
  <si>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</si>
  <si>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</si>
  <si>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</si>
  <si>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</si>
  <si>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</si>
  <si>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</si>
  <si>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</si>
  <si>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</si>
  <si>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</si>
  <si>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</si>
  <si>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</si>
  <si>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</si>
  <si>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</si>
  <si>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</si>
  <si>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</si>
  <si>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</si>
  <si>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</si>
  <si>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</si>
  <si>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</si>
  <si>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</si>
  <si>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</si>
  <si>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</si>
  <si>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</si>
  <si>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</si>
  <si>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</si>
  <si>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</si>
  <si>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</si>
  <si>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</si>
  <si>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</si>
  <si>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</si>
  <si>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</si>
  <si>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</si>
  <si>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</si>
  <si>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</si>
  <si>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</si>
  <si>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</si>
  <si>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</si>
  <si>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</si>
  <si>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</si>
  <si>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</si>
  <si>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</si>
  <si>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</si>
  <si>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</si>
  <si>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</si>
  <si>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</si>
  <si>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</si>
  <si>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</si>
  <si>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</si>
  <si>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</si>
  <si>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</si>
  <si>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</si>
  <si>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</si>
  <si>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</si>
  <si>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</si>
  <si>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</si>
  <si>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</si>
  <si>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</si>
  <si>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</si>
  <si>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</si>
  <si>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</si>
  <si>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</si>
  <si>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</si>
  <si>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</si>
  <si>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</si>
  <si>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</si>
  <si>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</si>
  <si>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</si>
  <si>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</si>
  <si>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</si>
  <si>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</si>
  <si>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</si>
  <si>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</si>
  <si>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</si>
  <si>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20260407 10:20:26</t>
  </si>
  <si>
    <t>10:20:26</t>
  </si>
  <si>
    <t>0: Broadleaf</t>
  </si>
  <si>
    <t>10:21:06</t>
  </si>
  <si>
    <t>0/0</t>
  </si>
  <si>
    <t>11111111</t>
  </si>
  <si>
    <t>oooooooo</t>
  </si>
  <si>
    <t>on</t>
  </si>
  <si>
    <t>20260407 10:21:26</t>
  </si>
  <si>
    <t>10:21:26</t>
  </si>
  <si>
    <t>10:22:06</t>
  </si>
  <si>
    <t>20260407 10:22:26</t>
  </si>
  <si>
    <t>10:22:26</t>
  </si>
  <si>
    <t>10:23:06</t>
  </si>
  <si>
    <t>20260407 10:23:26</t>
  </si>
  <si>
    <t>10:23:26</t>
  </si>
  <si>
    <t>10:24:04</t>
  </si>
  <si>
    <t>20260407 10:24:26</t>
  </si>
  <si>
    <t>10:24:26</t>
  </si>
  <si>
    <t>10:25:06</t>
  </si>
  <si>
    <t>20260407 10:25:26</t>
  </si>
  <si>
    <t>10:25:26</t>
  </si>
  <si>
    <t>10:26:06</t>
  </si>
  <si>
    <t>20260407 10:26:26</t>
  </si>
  <si>
    <t>10:26:26</t>
  </si>
  <si>
    <t>10:27:04</t>
  </si>
  <si>
    <t>20260407 10:27:26</t>
  </si>
  <si>
    <t>10:27:26</t>
  </si>
  <si>
    <t>10:28:06</t>
  </si>
  <si>
    <t>20260407 10:28:26</t>
  </si>
  <si>
    <t>10:28:26</t>
  </si>
  <si>
    <t>10:29:05</t>
  </si>
  <si>
    <t>20260407 10:29:26</t>
  </si>
  <si>
    <t>10:29:26</t>
  </si>
  <si>
    <t>10:29:58</t>
  </si>
  <si>
    <t>20260407 10:30:26</t>
  </si>
  <si>
    <t>10:30:26</t>
  </si>
  <si>
    <t>10:30:53</t>
  </si>
  <si>
    <t>20260407 10:31:26</t>
  </si>
  <si>
    <t>10:31:26</t>
  </si>
  <si>
    <t>10:31:53</t>
  </si>
  <si>
    <t>20260407 10:32:26</t>
  </si>
  <si>
    <t>10:32:26</t>
  </si>
  <si>
    <t>10:32:51</t>
  </si>
  <si>
    <t>20260407 10:33:26</t>
  </si>
  <si>
    <t>10:33:26</t>
  </si>
  <si>
    <t>10:33:51</t>
  </si>
  <si>
    <t>20260407 10:34:26</t>
  </si>
  <si>
    <t>10:34:26</t>
  </si>
  <si>
    <t>10:34:52</t>
  </si>
  <si>
    <t>20260407 10:35:26</t>
  </si>
  <si>
    <t>10:35:26</t>
  </si>
  <si>
    <t>10:35:53</t>
  </si>
  <si>
    <t>20260407 10:36:26</t>
  </si>
  <si>
    <t>10:36:26</t>
  </si>
  <si>
    <t>10:36:50</t>
  </si>
  <si>
    <t>20260407 10:37:26</t>
  </si>
  <si>
    <t>10:37:26</t>
  </si>
  <si>
    <t>10:37:50</t>
  </si>
  <si>
    <t>20260407 10:38:26</t>
  </si>
  <si>
    <t>10:38:26</t>
  </si>
  <si>
    <t>10:38:50</t>
  </si>
  <si>
    <t>20260407 10:39:26</t>
  </si>
  <si>
    <t>10:39:26</t>
  </si>
  <si>
    <t>10:39:51</t>
  </si>
  <si>
    <t>20260407 10:40:26</t>
  </si>
  <si>
    <t>10:40:26</t>
  </si>
  <si>
    <t>10:40:49</t>
  </si>
  <si>
    <t>20260407 10:41:26</t>
  </si>
  <si>
    <t>10:41:26</t>
  </si>
  <si>
    <t>10:42:06</t>
  </si>
  <si>
    <t>20260407 10:42:26</t>
  </si>
  <si>
    <t>10:42:26</t>
  </si>
  <si>
    <t>10:42:47</t>
  </si>
  <si>
    <t>20260407 10:43:26</t>
  </si>
  <si>
    <t>10:43:26</t>
  </si>
  <si>
    <t>10:43:48</t>
  </si>
  <si>
    <t>20260407 10:44:26</t>
  </si>
  <si>
    <t>10:44:26</t>
  </si>
  <si>
    <t>10:44:49</t>
  </si>
  <si>
    <t>20260407 10:45:26</t>
  </si>
  <si>
    <t>10:45:26</t>
  </si>
  <si>
    <t>10:45:47</t>
  </si>
  <si>
    <t>20260407 10:46:26</t>
  </si>
  <si>
    <t>10:46:26</t>
  </si>
  <si>
    <t>10:47:01</t>
  </si>
  <si>
    <t>20260407 10:47:26</t>
  </si>
  <si>
    <t>10:47:26</t>
  </si>
  <si>
    <t>10:47:46</t>
  </si>
  <si>
    <t>20260407 10:48:26</t>
  </si>
  <si>
    <t>10:48:26</t>
  </si>
  <si>
    <t>10:48:47</t>
  </si>
  <si>
    <t>20260407 10:49:26</t>
  </si>
  <si>
    <t>10:49:26</t>
  </si>
  <si>
    <t>10:49:46</t>
  </si>
  <si>
    <t>20260407 10:50:26</t>
  </si>
  <si>
    <t>10:50:26</t>
  </si>
  <si>
    <t>10:50:47</t>
  </si>
  <si>
    <t>20260407 10:51:26</t>
  </si>
  <si>
    <t>10:51:26</t>
  </si>
  <si>
    <t>10:51:45</t>
  </si>
  <si>
    <t>20260407 10:52:26</t>
  </si>
  <si>
    <t>10:52:26</t>
  </si>
  <si>
    <t>10:52:45</t>
  </si>
  <si>
    <t>20260407 10:53:26</t>
  </si>
  <si>
    <t>10:53:26</t>
  </si>
  <si>
    <t>10:53:44</t>
  </si>
  <si>
    <t>20260407 10:54:26</t>
  </si>
  <si>
    <t>10:54:26</t>
  </si>
  <si>
    <t>10:54:46</t>
  </si>
  <si>
    <t>20260407 10:55:26</t>
  </si>
  <si>
    <t>10:55:26</t>
  </si>
  <si>
    <t>10:55:49</t>
  </si>
  <si>
    <t>20260407 10:56:26</t>
  </si>
  <si>
    <t>10:56:26</t>
  </si>
  <si>
    <t>10:56:45</t>
  </si>
  <si>
    <t>20260407 10:57:26</t>
  </si>
  <si>
    <t>10:57:26</t>
  </si>
  <si>
    <t>10:57:44</t>
  </si>
  <si>
    <t>20260407 10:58:26</t>
  </si>
  <si>
    <t>10:58:26</t>
  </si>
  <si>
    <t>10:58:46</t>
  </si>
  <si>
    <t>20260407 10:59:26</t>
  </si>
  <si>
    <t>10:59:26</t>
  </si>
  <si>
    <t>10:59:50</t>
  </si>
  <si>
    <t>20260407 11:00:26</t>
  </si>
  <si>
    <t>11:00:26</t>
  </si>
  <si>
    <t>11:00:48</t>
  </si>
  <si>
    <t>20260407 11:01:26</t>
  </si>
  <si>
    <t>11:01:26</t>
  </si>
  <si>
    <t>11:01:49</t>
  </si>
  <si>
    <t>20260407 11:02:26</t>
  </si>
  <si>
    <t>11:02:26</t>
  </si>
  <si>
    <t>11:02:55</t>
  </si>
  <si>
    <t>20260407 11:03:26</t>
  </si>
  <si>
    <t>11:03:26</t>
  </si>
  <si>
    <t>11:03:52</t>
  </si>
  <si>
    <t>20260407 11:04:26</t>
  </si>
  <si>
    <t>11:04:26</t>
  </si>
  <si>
    <t>11:04:54</t>
  </si>
  <si>
    <t>20260407 11:05:26</t>
  </si>
  <si>
    <t>11:05:26</t>
  </si>
  <si>
    <t>11:05:56</t>
  </si>
  <si>
    <t>20260407 11:06:26</t>
  </si>
  <si>
    <t>11:06:26</t>
  </si>
  <si>
    <t>11:06:59</t>
  </si>
  <si>
    <t>20260407 11:07:26</t>
  </si>
  <si>
    <t>11:07:26</t>
  </si>
  <si>
    <t>11:07:56</t>
  </si>
  <si>
    <t>20260407 11:08:26</t>
  </si>
  <si>
    <t>11:08:26</t>
  </si>
  <si>
    <t>11:08:53</t>
  </si>
  <si>
    <t>20260407 11:09:26</t>
  </si>
  <si>
    <t>11:09:26</t>
  </si>
  <si>
    <t>11:09:58</t>
  </si>
  <si>
    <t>20260407 11:10:26</t>
  </si>
  <si>
    <t>11:10:26</t>
  </si>
  <si>
    <t>11:11:01</t>
  </si>
  <si>
    <t>20260407 11:11:26</t>
  </si>
  <si>
    <t>11:11:26</t>
  </si>
  <si>
    <t>11:11:56</t>
  </si>
  <si>
    <t>20260407 11:12:26</t>
  </si>
  <si>
    <t>11:12:26</t>
  </si>
  <si>
    <t>11:12:53</t>
  </si>
  <si>
    <t>20260407 11:13:26</t>
  </si>
  <si>
    <t>11:13:26</t>
  </si>
  <si>
    <t>11:13:57</t>
  </si>
  <si>
    <t>20260407 11:14:26</t>
  </si>
  <si>
    <t>11:14:26</t>
  </si>
  <si>
    <t>11:14:53</t>
  </si>
  <si>
    <t>20260407 11:15:26</t>
  </si>
  <si>
    <t>11:15:26</t>
  </si>
  <si>
    <t>11:16:00</t>
  </si>
  <si>
    <t>20260407 11:16:26</t>
  </si>
  <si>
    <t>11:16:26</t>
  </si>
  <si>
    <t>11:17:07</t>
  </si>
  <si>
    <t>20260407 11:17:26</t>
  </si>
  <si>
    <t>11:17:26</t>
  </si>
  <si>
    <t>11:18:01</t>
  </si>
  <si>
    <t>20260407 11:18:26</t>
  </si>
  <si>
    <t>11:18:26</t>
  </si>
  <si>
    <t>11:19:03</t>
  </si>
  <si>
    <t>20260407 11:19:26</t>
  </si>
  <si>
    <t>11:19:26</t>
  </si>
  <si>
    <t>11:20:02</t>
  </si>
  <si>
    <t>20260407 11:20:26</t>
  </si>
  <si>
    <t>11:20:26</t>
  </si>
  <si>
    <t>11:21:02</t>
  </si>
  <si>
    <t>20260407 11:21:26</t>
  </si>
  <si>
    <t>11:21:26</t>
  </si>
  <si>
    <t>11:21:59</t>
  </si>
  <si>
    <t>20260407 11:22:26</t>
  </si>
  <si>
    <t>11:22:26</t>
  </si>
  <si>
    <t>11:22:59</t>
  </si>
  <si>
    <t>20260407 11:23:26</t>
  </si>
  <si>
    <t>11:23:26</t>
  </si>
  <si>
    <t>11:23:56</t>
  </si>
  <si>
    <t>20260407 11:24:26</t>
  </si>
  <si>
    <t>11:24:26</t>
  </si>
  <si>
    <t>11:24:59</t>
  </si>
  <si>
    <t>20260407 11:25:26</t>
  </si>
  <si>
    <t>11:25:26</t>
  </si>
  <si>
    <t>11:25:57</t>
  </si>
  <si>
    <t>20260407 11:26:26</t>
  </si>
  <si>
    <t>11:26:26</t>
  </si>
  <si>
    <t>11:26:57</t>
  </si>
  <si>
    <t>20260407 11:27:26</t>
  </si>
  <si>
    <t>11:27:26</t>
  </si>
  <si>
    <t>11:27:57</t>
  </si>
  <si>
    <t>20260407 11:28:26</t>
  </si>
  <si>
    <t>11:28:26</t>
  </si>
  <si>
    <t>11:29:00</t>
  </si>
  <si>
    <t>20260407 11:29:26</t>
  </si>
  <si>
    <t>11:29:26</t>
  </si>
  <si>
    <t>11:30:02</t>
  </si>
  <si>
    <t>20260407 11:30:26</t>
  </si>
  <si>
    <t>11:30:26</t>
  </si>
  <si>
    <t>11:30:55</t>
  </si>
  <si>
    <t>20260407 11:31:26</t>
  </si>
  <si>
    <t>11:31:26</t>
  </si>
  <si>
    <t>11:32:05</t>
  </si>
  <si>
    <t>20260407 11:32:26</t>
  </si>
  <si>
    <t>11:32:26</t>
  </si>
  <si>
    <t>11:33:03</t>
  </si>
  <si>
    <t>20260407 11:33:26</t>
  </si>
  <si>
    <t>11:33:26</t>
  </si>
  <si>
    <t>11:34:07</t>
  </si>
  <si>
    <t>20260407 11:34:26</t>
  </si>
  <si>
    <t>11:34:26</t>
  </si>
  <si>
    <t>11:35:07</t>
  </si>
  <si>
    <t>20260407 11:35:26</t>
  </si>
  <si>
    <t>11:35:26</t>
  </si>
  <si>
    <t>11:35:53</t>
  </si>
  <si>
    <t>20260407 11:36:26</t>
  </si>
  <si>
    <t>11:36:26</t>
  </si>
  <si>
    <t>11:36:50</t>
  </si>
  <si>
    <t>20260407 11:37:26</t>
  </si>
  <si>
    <t>11:37:26</t>
  </si>
  <si>
    <t>11:37:50</t>
  </si>
  <si>
    <t>20260407 11:38:26</t>
  </si>
  <si>
    <t>11:38:26</t>
  </si>
  <si>
    <t>11:38:49</t>
  </si>
  <si>
    <t>20260407 11:39:26</t>
  </si>
  <si>
    <t>11:39:26</t>
  </si>
  <si>
    <t>11:39:52</t>
  </si>
  <si>
    <t>20260407 11:40:26</t>
  </si>
  <si>
    <t>11:40:26</t>
  </si>
  <si>
    <t>11:40:56</t>
  </si>
  <si>
    <t>20260407 11:41:26</t>
  </si>
  <si>
    <t>11:41:26</t>
  </si>
  <si>
    <t>11:41:52</t>
  </si>
  <si>
    <t>20260407 11:42:26</t>
  </si>
  <si>
    <t>11:42:26</t>
  </si>
  <si>
    <t>11:42:56</t>
  </si>
  <si>
    <t>20260407 11:43:26</t>
  </si>
  <si>
    <t>11:43:26</t>
  </si>
  <si>
    <t>11:43:50</t>
  </si>
  <si>
    <t>20260407 11:44:26</t>
  </si>
  <si>
    <t>11:44:26</t>
  </si>
  <si>
    <t>11:44:53</t>
  </si>
  <si>
    <t>20260407 11:45:26</t>
  </si>
  <si>
    <t>11:45:26</t>
  </si>
  <si>
    <t>11:45:52</t>
  </si>
  <si>
    <t>20260407 11:46:26</t>
  </si>
  <si>
    <t>11:46:26</t>
  </si>
  <si>
    <t>11:46:59</t>
  </si>
  <si>
    <t>20260407 11:47:27</t>
  </si>
  <si>
    <t>11:47:27</t>
  </si>
  <si>
    <t>11:48:00</t>
  </si>
  <si>
    <t>20260407 11:48:27</t>
  </si>
  <si>
    <t>11:48:27</t>
  </si>
  <si>
    <t>11:49:04</t>
  </si>
  <si>
    <t>20260407 11:49:27</t>
  </si>
  <si>
    <t>11:49:27</t>
  </si>
  <si>
    <t>11:49:52</t>
  </si>
  <si>
    <t>20260407 11:50:27</t>
  </si>
  <si>
    <t>11:50:27</t>
  </si>
  <si>
    <t>11:50:55</t>
  </si>
  <si>
    <t>20260407 11:51:27</t>
  </si>
  <si>
    <t>11:51:27</t>
  </si>
  <si>
    <t>11:51:56</t>
  </si>
  <si>
    <t>20260407 11:52:27</t>
  </si>
  <si>
    <t>11:52:27</t>
  </si>
  <si>
    <t>11:52:55</t>
  </si>
  <si>
    <t>20260407 11:53:27</t>
  </si>
  <si>
    <t>11:53:27</t>
  </si>
  <si>
    <t>11:53:55</t>
  </si>
  <si>
    <t>20260407 11:54:27</t>
  </si>
  <si>
    <t>11:54:27</t>
  </si>
  <si>
    <t>11:54:54</t>
  </si>
  <si>
    <t>20260407 11:55:27</t>
  </si>
  <si>
    <t>11:55:27</t>
  </si>
  <si>
    <t>11:55:55</t>
  </si>
  <si>
    <t>20260407 11:56:27</t>
  </si>
  <si>
    <t>11:56:27</t>
  </si>
  <si>
    <t>11:57:00</t>
  </si>
  <si>
    <t>20260407 11:57:27</t>
  </si>
  <si>
    <t>11:57:27</t>
  </si>
  <si>
    <t>11:57:55</t>
  </si>
  <si>
    <t>20260407 11:58:27</t>
  </si>
  <si>
    <t>11:58:27</t>
  </si>
  <si>
    <t>11:58:56</t>
  </si>
  <si>
    <t>20260407 11:59:27</t>
  </si>
  <si>
    <t>11:59:27</t>
  </si>
  <si>
    <t>11:59:57</t>
  </si>
  <si>
    <t>20260407 12:00:27</t>
  </si>
  <si>
    <t>12:00:27</t>
  </si>
  <si>
    <t>12:00:54</t>
  </si>
  <si>
    <t>20260407 12:01:27</t>
  </si>
  <si>
    <t>12:01:27</t>
  </si>
  <si>
    <t>12:01:57</t>
  </si>
  <si>
    <t>20260407 12:02:27</t>
  </si>
  <si>
    <t>12:02:27</t>
  </si>
  <si>
    <t>12:02:54</t>
  </si>
  <si>
    <t>20260407 12:03:27</t>
  </si>
  <si>
    <t>12:03:27</t>
  </si>
  <si>
    <t>12:04:00</t>
  </si>
  <si>
    <t>20260407 12:04:27</t>
  </si>
  <si>
    <t>12:04:27</t>
  </si>
  <si>
    <t>12:04:54</t>
  </si>
  <si>
    <t>20260407 12:05:27</t>
  </si>
  <si>
    <t>12:05:27</t>
  </si>
  <si>
    <t>12:05:56</t>
  </si>
  <si>
    <t>20260407 12:06:27</t>
  </si>
  <si>
    <t>12:06:27</t>
  </si>
  <si>
    <t>12:06:58</t>
  </si>
  <si>
    <t>20260407 12:07:27</t>
  </si>
  <si>
    <t>12:07:27</t>
  </si>
  <si>
    <t>12:07:56</t>
  </si>
  <si>
    <t>20260407 12:08:27</t>
  </si>
  <si>
    <t>12:08:27</t>
  </si>
  <si>
    <t>12:08:51</t>
  </si>
  <si>
    <t>20260407 12:09:27</t>
  </si>
  <si>
    <t>12:09:27</t>
  </si>
  <si>
    <t>12:09:55</t>
  </si>
  <si>
    <t>20260407 12:10:27</t>
  </si>
  <si>
    <t>12:10:27</t>
  </si>
  <si>
    <t>12:10:53</t>
  </si>
  <si>
    <t>20260407 12:11:27</t>
  </si>
  <si>
    <t>12:11:27</t>
  </si>
  <si>
    <t>12:11:53</t>
  </si>
  <si>
    <t>20260407 12:12:27</t>
  </si>
  <si>
    <t>12:12:27</t>
  </si>
  <si>
    <t>12:12:54</t>
  </si>
  <si>
    <t>20260407 12:13:27</t>
  </si>
  <si>
    <t>12:13:27</t>
  </si>
  <si>
    <t>12:13:53</t>
  </si>
  <si>
    <t>20260407 12:14:27</t>
  </si>
  <si>
    <t>12:14:27</t>
  </si>
  <si>
    <t>12:14:53</t>
  </si>
  <si>
    <t>20260407 12:15:27</t>
  </si>
  <si>
    <t>12:15:27</t>
  </si>
  <si>
    <t>12:15:51</t>
  </si>
  <si>
    <t>20260407 12:16:27</t>
  </si>
  <si>
    <t>12:16:27</t>
  </si>
  <si>
    <t>12:16:54</t>
  </si>
  <si>
    <t>20260407 12:17:27</t>
  </si>
  <si>
    <t>12:17:27</t>
  </si>
  <si>
    <t>12:17:56</t>
  </si>
  <si>
    <t>20260407 12:18:27</t>
  </si>
  <si>
    <t>12:18:27</t>
  </si>
  <si>
    <t>12:18:50</t>
  </si>
  <si>
    <t>20260407 12:19:27</t>
  </si>
  <si>
    <t>12:19:27</t>
  </si>
  <si>
    <t>12:19:52</t>
  </si>
  <si>
    <t>20260407 12:20:27</t>
  </si>
  <si>
    <t>12:20:27</t>
  </si>
  <si>
    <t>12:20:55</t>
  </si>
  <si>
    <t>20260407 12:21:27</t>
  </si>
  <si>
    <t>12:21:27</t>
  </si>
  <si>
    <t>12:21:54</t>
  </si>
  <si>
    <t>20260407 12:22:27</t>
  </si>
  <si>
    <t>12:22:27</t>
  </si>
  <si>
    <t>12:22:54</t>
  </si>
  <si>
    <t>20260407 12:23:27</t>
  </si>
  <si>
    <t>12:23:27</t>
  </si>
  <si>
    <t>12:23:55</t>
  </si>
  <si>
    <t>20260407 12:24:27</t>
  </si>
  <si>
    <t>12:24:27</t>
  </si>
  <si>
    <t>12:24:51</t>
  </si>
  <si>
    <t>20260407 12:25:27</t>
  </si>
  <si>
    <t>12:25:27</t>
  </si>
  <si>
    <t>12:25:57</t>
  </si>
  <si>
    <t>20260407 12:26:27</t>
  </si>
  <si>
    <t>12:26:27</t>
  </si>
  <si>
    <t>12:26:52</t>
  </si>
  <si>
    <t>20260407 12:27:27</t>
  </si>
  <si>
    <t>12:27:27</t>
  </si>
  <si>
    <t>12:27:53</t>
  </si>
  <si>
    <t>20260407 12:28:27</t>
  </si>
  <si>
    <t>12:28:27</t>
  </si>
  <si>
    <t>12:29:05</t>
  </si>
  <si>
    <t>20260407 12:29:27</t>
  </si>
  <si>
    <t>12:29:27</t>
  </si>
  <si>
    <t>12:30:07</t>
  </si>
  <si>
    <t>20260407 12:30:27</t>
  </si>
  <si>
    <t>12:30:27</t>
  </si>
  <si>
    <t>12:30:59</t>
  </si>
  <si>
    <t>20260407 12:31:27</t>
  </si>
  <si>
    <t>12:31:27</t>
  </si>
  <si>
    <t>12:31:52</t>
  </si>
  <si>
    <t>20260407 12:32:27</t>
  </si>
  <si>
    <t>12:32:27</t>
  </si>
  <si>
    <t>12:32:59</t>
  </si>
  <si>
    <t>20260407 12:33:27</t>
  </si>
  <si>
    <t>12:33:27</t>
  </si>
  <si>
    <t>12:33:56</t>
  </si>
  <si>
    <t>20260407 12:34:27</t>
  </si>
  <si>
    <t>12:34:27</t>
  </si>
  <si>
    <t>12:34:58</t>
  </si>
  <si>
    <t>20260407 12:35:27</t>
  </si>
  <si>
    <t>12:35:27</t>
  </si>
  <si>
    <t>12:35:56</t>
  </si>
  <si>
    <t>20260407 12:36:27</t>
  </si>
  <si>
    <t>12:36:27</t>
  </si>
  <si>
    <t>12:37:01</t>
  </si>
  <si>
    <t>20260407 12:37:27</t>
  </si>
  <si>
    <t>12:37:27</t>
  </si>
  <si>
    <t>12:38:00</t>
  </si>
  <si>
    <t>20260407 12:38:27</t>
  </si>
  <si>
    <t>12:38:27</t>
  </si>
  <si>
    <t>12:38:56</t>
  </si>
  <si>
    <t>20260407 12:39:27</t>
  </si>
  <si>
    <t>12:39:27</t>
  </si>
  <si>
    <t>12:40:00</t>
  </si>
  <si>
    <t>20260407 12:40:27</t>
  </si>
  <si>
    <t>12:40:27</t>
  </si>
  <si>
    <t>12:40:56</t>
  </si>
  <si>
    <t>20260407 12:41:27</t>
  </si>
  <si>
    <t>12:41:27</t>
  </si>
  <si>
    <t>12:41:53</t>
  </si>
  <si>
    <t>20260407 12:42:27</t>
  </si>
  <si>
    <t>12:42:27</t>
  </si>
  <si>
    <t>12:42:54</t>
  </si>
  <si>
    <t>20260407 12:43:27</t>
  </si>
  <si>
    <t>12:43:27</t>
  </si>
  <si>
    <t>12:43:52</t>
  </si>
  <si>
    <t>20260407 12:44:27</t>
  </si>
  <si>
    <t>12:44:27</t>
  </si>
  <si>
    <t>12:44:53</t>
  </si>
  <si>
    <t>20260407 12:45:27</t>
  </si>
  <si>
    <t>12:45:27</t>
  </si>
  <si>
    <t>12:45:59</t>
  </si>
  <si>
    <t>20260407 12:46:27</t>
  </si>
  <si>
    <t>12:46:27</t>
  </si>
  <si>
    <t>12:46:54</t>
  </si>
  <si>
    <t>20260407 12:47:27</t>
  </si>
  <si>
    <t>12:47:27</t>
  </si>
  <si>
    <t>12:47:56</t>
  </si>
  <si>
    <t>20260407 12:48:27</t>
  </si>
  <si>
    <t>12:48:27</t>
  </si>
  <si>
    <t>12:48:54</t>
  </si>
  <si>
    <t>20260407 12:49:27</t>
  </si>
  <si>
    <t>12:49:27</t>
  </si>
  <si>
    <t>12:49:56</t>
  </si>
  <si>
    <t>20260407 12:50:27</t>
  </si>
  <si>
    <t>12:50:27</t>
  </si>
  <si>
    <t>12:51:00</t>
  </si>
  <si>
    <t>20260407 12:51:27</t>
  </si>
  <si>
    <t>12:51:27</t>
  </si>
  <si>
    <t>12:51:54</t>
  </si>
  <si>
    <t>20260407 12:52:27</t>
  </si>
  <si>
    <t>12:52:27</t>
  </si>
  <si>
    <t>12:52:53</t>
  </si>
  <si>
    <t>20260407 12:53:27</t>
  </si>
  <si>
    <t>12:53:27</t>
  </si>
  <si>
    <t>12:53:50</t>
  </si>
  <si>
    <t>20260407 12:54:27</t>
  </si>
  <si>
    <t>12:54:27</t>
  </si>
  <si>
    <t>12:54:53</t>
  </si>
  <si>
    <t>20260407 12:55:27</t>
  </si>
  <si>
    <t>12:55:27</t>
  </si>
  <si>
    <t>12:55:53</t>
  </si>
  <si>
    <t>20260407 12:56:27</t>
  </si>
  <si>
    <t>12:56:27</t>
  </si>
  <si>
    <t>12:56:51</t>
  </si>
  <si>
    <t>20260407 12:57:27</t>
  </si>
  <si>
    <t>12:57:27</t>
  </si>
  <si>
    <t>12:57:50</t>
  </si>
  <si>
    <t>20260407 12:58:27</t>
  </si>
  <si>
    <t>12:58:27</t>
  </si>
  <si>
    <t>12:58:53</t>
  </si>
  <si>
    <t>20260407 12:59:27</t>
  </si>
  <si>
    <t>12:59:27</t>
  </si>
  <si>
    <t>12:59:53</t>
  </si>
  <si>
    <t>20260407 13:00:27</t>
  </si>
  <si>
    <t>13:00:27</t>
  </si>
  <si>
    <t>13:00:57</t>
  </si>
  <si>
    <t>20260407 13:01:27</t>
  </si>
  <si>
    <t>13:01:27</t>
  </si>
  <si>
    <t>13:01:53</t>
  </si>
  <si>
    <t>20260407 13:02:27</t>
  </si>
  <si>
    <t>13:02:27</t>
  </si>
  <si>
    <t>13:02:57</t>
  </si>
  <si>
    <t>20260407 13:03:27</t>
  </si>
  <si>
    <t>13:03:27</t>
  </si>
  <si>
    <t>13:03:55</t>
  </si>
  <si>
    <t>20260407 13:04:27</t>
  </si>
  <si>
    <t>13:04:27</t>
  </si>
  <si>
    <t>13:04:51</t>
  </si>
  <si>
    <t>20260407 13:05:27</t>
  </si>
  <si>
    <t>13:05:27</t>
  </si>
  <si>
    <t>13:05:55</t>
  </si>
  <si>
    <t>20260407 13:06:27</t>
  </si>
  <si>
    <t>13:06:27</t>
  </si>
  <si>
    <t>13:06:56</t>
  </si>
  <si>
    <t>20260407 13:07:27</t>
  </si>
  <si>
    <t>13:07:27</t>
  </si>
  <si>
    <t>13:08:08</t>
  </si>
  <si>
    <t>20260407 13:08:27</t>
  </si>
  <si>
    <t>13:08:27</t>
  </si>
  <si>
    <t>13:08:50</t>
  </si>
  <si>
    <t>20260407 13:09:27</t>
  </si>
  <si>
    <t>13:09:27</t>
  </si>
  <si>
    <t>13:09:49</t>
  </si>
  <si>
    <t>20260407 13:10:27</t>
  </si>
  <si>
    <t>13:10:27</t>
  </si>
  <si>
    <t>13:10:50</t>
  </si>
  <si>
    <t>20260407 13:11:27</t>
  </si>
  <si>
    <t>13:11:27</t>
  </si>
  <si>
    <t>13:11:51</t>
  </si>
  <si>
    <t>20260407 13:12:27</t>
  </si>
  <si>
    <t>13:12:27</t>
  </si>
  <si>
    <t>13:12:50</t>
  </si>
  <si>
    <t>20260407 13:13:27</t>
  </si>
  <si>
    <t>13:13:27</t>
  </si>
  <si>
    <t>13:13:58</t>
  </si>
  <si>
    <t>20260407 13:14:27</t>
  </si>
  <si>
    <t>13:14:27</t>
  </si>
  <si>
    <t>13:14:48</t>
  </si>
  <si>
    <t>20260407 13:15:27</t>
  </si>
  <si>
    <t>13:15:27</t>
  </si>
  <si>
    <t>13:15:52</t>
  </si>
  <si>
    <t>20260407 13:16:27</t>
  </si>
  <si>
    <t>13:16:27</t>
  </si>
  <si>
    <t>13:16:49</t>
  </si>
  <si>
    <t>20260407 13:17:27</t>
  </si>
  <si>
    <t>13:17:27</t>
  </si>
  <si>
    <t>13:17:51</t>
  </si>
  <si>
    <t>20260407 13:18:27</t>
  </si>
  <si>
    <t>13:18:27</t>
  </si>
  <si>
    <t>13:18:49</t>
  </si>
  <si>
    <t>20260407 13:19:27</t>
  </si>
  <si>
    <t>13:19:27</t>
  </si>
  <si>
    <t>13:19:48</t>
  </si>
  <si>
    <t>20260407 13:20:27</t>
  </si>
  <si>
    <t>13:20:27</t>
  </si>
  <si>
    <t>13:20:49</t>
  </si>
  <si>
    <t>20260407 13:21:27</t>
  </si>
  <si>
    <t>13:21:27</t>
  </si>
  <si>
    <t>13:21:51</t>
  </si>
  <si>
    <t>20260407 13:22:27</t>
  </si>
  <si>
    <t>13:22:27</t>
  </si>
  <si>
    <t>13:22:46</t>
  </si>
  <si>
    <t>20260407 13:23:27</t>
  </si>
  <si>
    <t>13:23:27</t>
  </si>
  <si>
    <t>13:23:45</t>
  </si>
  <si>
    <t>20260407 13:24:27</t>
  </si>
  <si>
    <t>13:24:27</t>
  </si>
  <si>
    <t>13:24:49</t>
  </si>
  <si>
    <t>20260407 13:25:27</t>
  </si>
  <si>
    <t>13:25:27</t>
  </si>
  <si>
    <t>13:25:48</t>
  </si>
  <si>
    <t>20260407 13:26:27</t>
  </si>
  <si>
    <t>13:26:27</t>
  </si>
  <si>
    <t>13:26:49</t>
  </si>
  <si>
    <t>20260407 13:27:27</t>
  </si>
  <si>
    <t>13:27:27</t>
  </si>
  <si>
    <t>13:27:56</t>
  </si>
  <si>
    <t>20260407 13:28:27</t>
  </si>
  <si>
    <t>13:28:27</t>
  </si>
  <si>
    <t>13:28:58</t>
  </si>
  <si>
    <t>20260407 13:29:27</t>
  </si>
  <si>
    <t>13:29:27</t>
  </si>
  <si>
    <t>13:29:54</t>
  </si>
  <si>
    <t>20260407 13:30:27</t>
  </si>
  <si>
    <t>13:30:27</t>
  </si>
  <si>
    <t>13:30:48</t>
  </si>
  <si>
    <t>20260407 13:31:27</t>
  </si>
  <si>
    <t>13:31:27</t>
  </si>
  <si>
    <t>13:31:47</t>
  </si>
  <si>
    <t>20260407 13:32:27</t>
  </si>
  <si>
    <t>13:32:27</t>
  </si>
  <si>
    <t>13:32:48</t>
  </si>
  <si>
    <t>20260407 13:33:27</t>
  </si>
  <si>
    <t>13:33:27</t>
  </si>
  <si>
    <t>13:33:51</t>
  </si>
  <si>
    <t>20260407 13:34:27</t>
  </si>
  <si>
    <t>13:34:27</t>
  </si>
  <si>
    <t>13:34:52</t>
  </si>
  <si>
    <t>20260407 13:35:27</t>
  </si>
  <si>
    <t>13:35:27</t>
  </si>
  <si>
    <t>13:36:08</t>
  </si>
  <si>
    <t>20260407 13:36:27</t>
  </si>
  <si>
    <t>13:36:27</t>
  </si>
  <si>
    <t>13:36:57</t>
  </si>
  <si>
    <t>20260407 13:37:27</t>
  </si>
  <si>
    <t>13:37:27</t>
  </si>
  <si>
    <t>13:37:51</t>
  </si>
  <si>
    <t>20260407 13:38:27</t>
  </si>
  <si>
    <t>13:38:27</t>
  </si>
  <si>
    <t>13:39:01</t>
  </si>
  <si>
    <t>20260407 13:39:27</t>
  </si>
  <si>
    <t>13:39:27</t>
  </si>
  <si>
    <t>13:40:00</t>
  </si>
  <si>
    <t>20260407 13:40:27</t>
  </si>
  <si>
    <t>13:40:27</t>
  </si>
  <si>
    <t>13:41:03</t>
  </si>
  <si>
    <t>20260407 13:41:27</t>
  </si>
  <si>
    <t>13:41:27</t>
  </si>
  <si>
    <t>13:42:08</t>
  </si>
  <si>
    <t>20260407 13:42:27</t>
  </si>
  <si>
    <t>13:42:27</t>
  </si>
  <si>
    <t>13:42:54</t>
  </si>
  <si>
    <t>20260407 13:43:27</t>
  </si>
  <si>
    <t>13:43:27</t>
  </si>
  <si>
    <t>13:44:08</t>
  </si>
  <si>
    <t>20260407 13:44:27</t>
  </si>
  <si>
    <t>13:44:27</t>
  </si>
  <si>
    <t>13:45:08</t>
  </si>
  <si>
    <t>20260407 13:45:27</t>
  </si>
  <si>
    <t>13:45:27</t>
  </si>
  <si>
    <t>13:45:55</t>
  </si>
  <si>
    <t>20260407 13:46:27</t>
  </si>
  <si>
    <t>13:46:27</t>
  </si>
  <si>
    <t>13:47:08</t>
  </si>
  <si>
    <t>20260407 13:47:28</t>
  </si>
  <si>
    <t>13:47:28</t>
  </si>
  <si>
    <t>13:48:06</t>
  </si>
  <si>
    <t>20260407 13:48:28</t>
  </si>
  <si>
    <t>13:48:28</t>
  </si>
  <si>
    <t>13:49:08</t>
  </si>
  <si>
    <t>20260407 13:49:28</t>
  </si>
  <si>
    <t>13:49:28</t>
  </si>
  <si>
    <t>13:50:02</t>
  </si>
  <si>
    <t>20260407 13:50:28</t>
  </si>
  <si>
    <t>13:50:28</t>
  </si>
  <si>
    <t>13:50:56</t>
  </si>
  <si>
    <t>20260407 13:51:28</t>
  </si>
  <si>
    <t>13:51:28</t>
  </si>
  <si>
    <t>13:51:56</t>
  </si>
  <si>
    <t>20260407 13:52:28</t>
  </si>
  <si>
    <t>13:52:28</t>
  </si>
  <si>
    <t>13:53:01</t>
  </si>
  <si>
    <t>20260407 13:53:28</t>
  </si>
  <si>
    <t>13:53:28</t>
  </si>
  <si>
    <t>13:54:05</t>
  </si>
  <si>
    <t>20260407 13:54:28</t>
  </si>
  <si>
    <t>13:54:28</t>
  </si>
  <si>
    <t>13:55:08</t>
  </si>
  <si>
    <t>20260407 13:55:28</t>
  </si>
  <si>
    <t>13:55:28</t>
  </si>
  <si>
    <t>13:55:56</t>
  </si>
  <si>
    <t>20260407 13:56:28</t>
  </si>
  <si>
    <t>13:56:28</t>
  </si>
  <si>
    <t>13:57:08</t>
  </si>
  <si>
    <t>20260407 13:57:28</t>
  </si>
  <si>
    <t>13:57:28</t>
  </si>
  <si>
    <t>13:58:08</t>
  </si>
  <si>
    <t>20260407 13:58:28</t>
  </si>
  <si>
    <t>13:58:28</t>
  </si>
  <si>
    <t>13:59:02</t>
  </si>
  <si>
    <t>20260407 13:59:28</t>
  </si>
  <si>
    <t>13:59:28</t>
  </si>
  <si>
    <t>14:00:07</t>
  </si>
  <si>
    <t>20260407 14:00:28</t>
  </si>
  <si>
    <t>14:00:28</t>
  </si>
  <si>
    <t>14:01:03</t>
  </si>
  <si>
    <t>20260407 14:01:28</t>
  </si>
  <si>
    <t>14:01:28</t>
  </si>
  <si>
    <t>14:02:08</t>
  </si>
  <si>
    <t>20260407 14:02:28</t>
  </si>
  <si>
    <t>14:02:28</t>
  </si>
  <si>
    <t>14:03:02</t>
  </si>
  <si>
    <t>20260407 14:03:28</t>
  </si>
  <si>
    <t>14:03:28</t>
  </si>
  <si>
    <t>14:04:00</t>
  </si>
  <si>
    <t>20260407 14:04:28</t>
  </si>
  <si>
    <t>14:04:28</t>
  </si>
  <si>
    <t>14:05:07</t>
  </si>
  <si>
    <t>20260407 14:05:28</t>
  </si>
  <si>
    <t>14:05:28</t>
  </si>
  <si>
    <t>14:05:58</t>
  </si>
  <si>
    <t>20260407 14:06:28</t>
  </si>
  <si>
    <t>14:06:28</t>
  </si>
  <si>
    <t>14:07:08</t>
  </si>
  <si>
    <t>20260407 14:07:28</t>
  </si>
  <si>
    <t>14:07:28</t>
  </si>
  <si>
    <t>14:08:08</t>
  </si>
  <si>
    <t>20260407 14:08:28</t>
  </si>
  <si>
    <t>14:08:28</t>
  </si>
  <si>
    <t>14:09:00</t>
  </si>
  <si>
    <t>20260407 14:09:28</t>
  </si>
  <si>
    <t>14:09:28</t>
  </si>
  <si>
    <t>14:09:56</t>
  </si>
  <si>
    <t>20260407 14:10:28</t>
  </si>
  <si>
    <t>14:10:28</t>
  </si>
  <si>
    <t>14:11:08</t>
  </si>
  <si>
    <t>20260407 14:11:28</t>
  </si>
  <si>
    <t>14:11:28</t>
  </si>
  <si>
    <t>14:11:56</t>
  </si>
  <si>
    <t>20260407 14:12:28</t>
  </si>
  <si>
    <t>14:12:28</t>
  </si>
  <si>
    <t>14:13:07</t>
  </si>
  <si>
    <t>20260407 14:13:28</t>
  </si>
  <si>
    <t>14:13:28</t>
  </si>
  <si>
    <t>14:14:08</t>
  </si>
  <si>
    <t>20260407 14:14:28</t>
  </si>
  <si>
    <t>14:14:28</t>
  </si>
  <si>
    <t>14:14:54</t>
  </si>
  <si>
    <t>20260407 14:15:28</t>
  </si>
  <si>
    <t>14:15:28</t>
  </si>
  <si>
    <t>14:16:02</t>
  </si>
  <si>
    <t>20260407 14:16:28</t>
  </si>
  <si>
    <t>14:16:28</t>
  </si>
  <si>
    <t>14:17:05</t>
  </si>
  <si>
    <t>20260407 14:17:28</t>
  </si>
  <si>
    <t>14:17:28</t>
  </si>
  <si>
    <t>14:18:08</t>
  </si>
  <si>
    <t>20260407 14:18:28</t>
  </si>
  <si>
    <t>14:18:28</t>
  </si>
  <si>
    <t>14:19:08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</si>
</sst>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K257"/>
  <sheetViews>
    <sheetView tabSelected="1" topLeftCell="A241" workbookViewId="0">
      <selection activeCell="O257" sqref="O257"/>
    </sheetView>
  </sheetViews>
  <sheetFormatPr defaultRowHeight="14.5" x14ac:dyDescent="0.35"/>
  <sheetData>
    <row r="2" spans="1:193" x14ac:dyDescent="0.35">
      <c r="A2" t="s">
        <v>30</v>
      </c>
      <c r="B2" t="s">
        <v>31</v>
      </c>
      <c r="C2" t="s">
        <v>33</v>
      </c>
    </row>
    <row r="3" spans="1:193" x14ac:dyDescent="0.35">
      <c r="B3" t="s">
        <v>32</v>
      </c>
      <c r="C3" t="s">
        <v>34</v>
      </c>
    </row>
    <row r="4" spans="1:193" x14ac:dyDescent="0.35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193" x14ac:dyDescent="0.35">
      <c r="B5" t="s">
        <v>21</v>
      </c>
      <c r="C5" t="s">
        <v>38</v>
      </c>
      <c r="D5">
        <v>0.188</v>
      </c>
      <c r="E5">
        <v>0.57954090000000003</v>
      </c>
      <c r="F5">
        <v>-1.15295E-2</v>
      </c>
      <c r="G5">
        <v>0</v>
      </c>
      <c r="H5">
        <v>-9.7259000000000009E-3</v>
      </c>
      <c r="I5">
        <v>1</v>
      </c>
      <c r="J5">
        <v>3</v>
      </c>
      <c r="K5">
        <v>96.7</v>
      </c>
    </row>
    <row r="6" spans="1:193" x14ac:dyDescent="0.35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193" x14ac:dyDescent="0.35">
      <c r="B7">
        <v>0</v>
      </c>
      <c r="C7">
        <v>1</v>
      </c>
      <c r="D7">
        <v>0</v>
      </c>
      <c r="E7">
        <v>0</v>
      </c>
    </row>
    <row r="8" spans="1:193" x14ac:dyDescent="0.35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193" x14ac:dyDescent="0.35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193" x14ac:dyDescent="0.3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193" x14ac:dyDescent="0.35">
      <c r="B11">
        <v>1</v>
      </c>
      <c r="C11">
        <v>0</v>
      </c>
      <c r="D11">
        <v>0</v>
      </c>
      <c r="E11">
        <v>0</v>
      </c>
      <c r="F11">
        <v>0</v>
      </c>
    </row>
    <row r="12" spans="1:193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193" x14ac:dyDescent="0.35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193" x14ac:dyDescent="0.35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91</v>
      </c>
      <c r="AO14" t="s">
        <v>91</v>
      </c>
      <c r="AP14" t="s">
        <v>91</v>
      </c>
      <c r="AQ14" t="s">
        <v>91</v>
      </c>
      <c r="AR14" t="s">
        <v>92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96</v>
      </c>
      <c r="CS14" t="s">
        <v>96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</row>
    <row r="15" spans="1:193" x14ac:dyDescent="0.3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89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108</v>
      </c>
      <c r="AS15" t="s">
        <v>144</v>
      </c>
      <c r="AT15" t="s">
        <v>145</v>
      </c>
      <c r="AU15" t="s">
        <v>146</v>
      </c>
      <c r="AV15" t="s">
        <v>147</v>
      </c>
      <c r="AW15" t="s">
        <v>148</v>
      </c>
      <c r="AX15" t="s">
        <v>149</v>
      </c>
      <c r="AY15" t="s">
        <v>150</v>
      </c>
      <c r="AZ15" t="s">
        <v>151</v>
      </c>
      <c r="BA15" t="s">
        <v>152</v>
      </c>
      <c r="BB15" t="s">
        <v>153</v>
      </c>
      <c r="BC15" t="s">
        <v>154</v>
      </c>
      <c r="BD15" t="s">
        <v>155</v>
      </c>
      <c r="BE15" t="s">
        <v>156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103</v>
      </c>
      <c r="BU15" t="s">
        <v>106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182</v>
      </c>
      <c r="CH15" t="s">
        <v>183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</row>
    <row r="16" spans="1:193" x14ac:dyDescent="0.35">
      <c r="B16" t="s">
        <v>291</v>
      </c>
      <c r="C16" t="s">
        <v>291</v>
      </c>
      <c r="F16" t="s">
        <v>291</v>
      </c>
      <c r="G16" t="s">
        <v>291</v>
      </c>
      <c r="H16" t="s">
        <v>292</v>
      </c>
      <c r="I16" t="s">
        <v>293</v>
      </c>
      <c r="J16" t="s">
        <v>294</v>
      </c>
      <c r="K16" t="s">
        <v>295</v>
      </c>
      <c r="L16" t="s">
        <v>295</v>
      </c>
      <c r="M16" t="s">
        <v>151</v>
      </c>
      <c r="N16" t="s">
        <v>151</v>
      </c>
      <c r="O16" t="s">
        <v>292</v>
      </c>
      <c r="P16" t="s">
        <v>292</v>
      </c>
      <c r="Q16" t="s">
        <v>292</v>
      </c>
      <c r="R16" t="s">
        <v>292</v>
      </c>
      <c r="S16" t="s">
        <v>296</v>
      </c>
      <c r="T16" t="s">
        <v>297</v>
      </c>
      <c r="U16" t="s">
        <v>297</v>
      </c>
      <c r="V16" t="s">
        <v>298</v>
      </c>
      <c r="W16" t="s">
        <v>299</v>
      </c>
      <c r="X16" t="s">
        <v>298</v>
      </c>
      <c r="Y16" t="s">
        <v>298</v>
      </c>
      <c r="Z16" t="s">
        <v>298</v>
      </c>
      <c r="AA16" t="s">
        <v>296</v>
      </c>
      <c r="AB16" t="s">
        <v>296</v>
      </c>
      <c r="AC16" t="s">
        <v>296</v>
      </c>
      <c r="AD16" t="s">
        <v>296</v>
      </c>
      <c r="AE16" t="s">
        <v>300</v>
      </c>
      <c r="AF16" t="s">
        <v>299</v>
      </c>
      <c r="AH16" t="s">
        <v>299</v>
      </c>
      <c r="AI16" t="s">
        <v>300</v>
      </c>
      <c r="AJ16" t="s">
        <v>294</v>
      </c>
      <c r="AK16" t="s">
        <v>294</v>
      </c>
      <c r="AM16" t="s">
        <v>301</v>
      </c>
      <c r="AN16" t="s">
        <v>302</v>
      </c>
      <c r="AQ16" t="s">
        <v>292</v>
      </c>
      <c r="AR16" t="s">
        <v>291</v>
      </c>
      <c r="AS16" t="s">
        <v>295</v>
      </c>
      <c r="AT16" t="s">
        <v>295</v>
      </c>
      <c r="AU16" t="s">
        <v>303</v>
      </c>
      <c r="AV16" t="s">
        <v>303</v>
      </c>
      <c r="AW16" t="s">
        <v>295</v>
      </c>
      <c r="AX16" t="s">
        <v>303</v>
      </c>
      <c r="AY16" t="s">
        <v>300</v>
      </c>
      <c r="AZ16" t="s">
        <v>298</v>
      </c>
      <c r="BA16" t="s">
        <v>298</v>
      </c>
      <c r="BB16" t="s">
        <v>297</v>
      </c>
      <c r="BC16" t="s">
        <v>297</v>
      </c>
      <c r="BD16" t="s">
        <v>297</v>
      </c>
      <c r="BE16" t="s">
        <v>297</v>
      </c>
      <c r="BF16" t="s">
        <v>297</v>
      </c>
      <c r="BG16" t="s">
        <v>304</v>
      </c>
      <c r="BH16" t="s">
        <v>294</v>
      </c>
      <c r="BI16" t="s">
        <v>294</v>
      </c>
      <c r="BJ16" t="s">
        <v>295</v>
      </c>
      <c r="BK16" t="s">
        <v>295</v>
      </c>
      <c r="BL16" t="s">
        <v>295</v>
      </c>
      <c r="BM16" t="s">
        <v>303</v>
      </c>
      <c r="BN16" t="s">
        <v>295</v>
      </c>
      <c r="BO16" t="s">
        <v>303</v>
      </c>
      <c r="BP16" t="s">
        <v>298</v>
      </c>
      <c r="BQ16" t="s">
        <v>298</v>
      </c>
      <c r="BR16" t="s">
        <v>297</v>
      </c>
      <c r="BS16" t="s">
        <v>297</v>
      </c>
      <c r="BT16" t="s">
        <v>305</v>
      </c>
      <c r="BV16" t="s">
        <v>291</v>
      </c>
      <c r="BW16" t="s">
        <v>291</v>
      </c>
      <c r="BY16" t="s">
        <v>306</v>
      </c>
      <c r="BZ16" t="s">
        <v>307</v>
      </c>
      <c r="CA16" t="s">
        <v>306</v>
      </c>
      <c r="CB16" t="s">
        <v>307</v>
      </c>
      <c r="CC16" t="s">
        <v>306</v>
      </c>
      <c r="CD16" t="s">
        <v>307</v>
      </c>
      <c r="CE16" t="s">
        <v>299</v>
      </c>
      <c r="CF16" t="s">
        <v>299</v>
      </c>
      <c r="CG16" t="s">
        <v>295</v>
      </c>
      <c r="CH16" t="s">
        <v>308</v>
      </c>
      <c r="CI16" t="s">
        <v>295</v>
      </c>
      <c r="CK16" t="s">
        <v>300</v>
      </c>
      <c r="CL16" t="s">
        <v>309</v>
      </c>
      <c r="CM16" t="s">
        <v>300</v>
      </c>
      <c r="CR16" t="s">
        <v>310</v>
      </c>
      <c r="CS16" t="s">
        <v>310</v>
      </c>
      <c r="DF16" t="s">
        <v>310</v>
      </c>
      <c r="DG16" t="s">
        <v>310</v>
      </c>
      <c r="DH16" t="s">
        <v>311</v>
      </c>
      <c r="DI16" t="s">
        <v>311</v>
      </c>
      <c r="DJ16" t="s">
        <v>297</v>
      </c>
      <c r="DK16" t="s">
        <v>297</v>
      </c>
      <c r="DL16" t="s">
        <v>299</v>
      </c>
      <c r="DM16" t="s">
        <v>297</v>
      </c>
      <c r="DN16" t="s">
        <v>303</v>
      </c>
      <c r="DO16" t="s">
        <v>299</v>
      </c>
      <c r="DP16" t="s">
        <v>299</v>
      </c>
      <c r="DR16" t="s">
        <v>310</v>
      </c>
      <c r="DS16" t="s">
        <v>310</v>
      </c>
      <c r="DT16" t="s">
        <v>310</v>
      </c>
      <c r="DU16" t="s">
        <v>310</v>
      </c>
      <c r="DV16" t="s">
        <v>310</v>
      </c>
      <c r="DW16" t="s">
        <v>310</v>
      </c>
      <c r="DX16" t="s">
        <v>310</v>
      </c>
      <c r="DY16" t="s">
        <v>312</v>
      </c>
      <c r="DZ16" t="s">
        <v>312</v>
      </c>
      <c r="EA16" t="s">
        <v>312</v>
      </c>
      <c r="EB16" t="s">
        <v>313</v>
      </c>
      <c r="EC16" t="s">
        <v>310</v>
      </c>
      <c r="ED16" t="s">
        <v>310</v>
      </c>
      <c r="EE16" t="s">
        <v>310</v>
      </c>
      <c r="EF16" t="s">
        <v>310</v>
      </c>
      <c r="EG16" t="s">
        <v>310</v>
      </c>
      <c r="EH16" t="s">
        <v>310</v>
      </c>
      <c r="EI16" t="s">
        <v>310</v>
      </c>
      <c r="EJ16" t="s">
        <v>310</v>
      </c>
      <c r="EK16" t="s">
        <v>310</v>
      </c>
      <c r="EL16" t="s">
        <v>310</v>
      </c>
      <c r="EM16" t="s">
        <v>310</v>
      </c>
      <c r="EN16" t="s">
        <v>310</v>
      </c>
      <c r="EU16" t="s">
        <v>310</v>
      </c>
      <c r="EV16" t="s">
        <v>299</v>
      </c>
      <c r="EW16" t="s">
        <v>299</v>
      </c>
      <c r="EX16" t="s">
        <v>306</v>
      </c>
      <c r="EY16" t="s">
        <v>307</v>
      </c>
      <c r="EZ16" t="s">
        <v>306</v>
      </c>
      <c r="FD16" t="s">
        <v>307</v>
      </c>
      <c r="FH16" t="s">
        <v>295</v>
      </c>
      <c r="FI16" t="s">
        <v>295</v>
      </c>
      <c r="FJ16" t="s">
        <v>303</v>
      </c>
      <c r="FK16" t="s">
        <v>303</v>
      </c>
      <c r="FL16" t="s">
        <v>314</v>
      </c>
      <c r="FM16" t="s">
        <v>314</v>
      </c>
      <c r="FN16" t="s">
        <v>310</v>
      </c>
      <c r="FO16" t="s">
        <v>310</v>
      </c>
      <c r="FP16" t="s">
        <v>310</v>
      </c>
      <c r="FQ16" t="s">
        <v>310</v>
      </c>
      <c r="FR16" t="s">
        <v>310</v>
      </c>
      <c r="FS16" t="s">
        <v>310</v>
      </c>
      <c r="FT16" t="s">
        <v>297</v>
      </c>
      <c r="FU16" t="s">
        <v>310</v>
      </c>
      <c r="FW16" t="s">
        <v>300</v>
      </c>
      <c r="FX16" t="s">
        <v>300</v>
      </c>
      <c r="FY16" t="s">
        <v>297</v>
      </c>
      <c r="FZ16" t="s">
        <v>297</v>
      </c>
      <c r="GA16" t="s">
        <v>297</v>
      </c>
      <c r="GB16" t="s">
        <v>297</v>
      </c>
      <c r="GC16" t="s">
        <v>297</v>
      </c>
      <c r="GD16" t="s">
        <v>299</v>
      </c>
      <c r="GE16" t="s">
        <v>299</v>
      </c>
      <c r="GF16" t="s">
        <v>299</v>
      </c>
      <c r="GG16" t="s">
        <v>297</v>
      </c>
      <c r="GH16" t="s">
        <v>295</v>
      </c>
      <c r="GI16" t="s">
        <v>303</v>
      </c>
      <c r="GJ16" t="s">
        <v>299</v>
      </c>
      <c r="GK16" t="s">
        <v>299</v>
      </c>
    </row>
    <row r="17" spans="1:193" x14ac:dyDescent="0.35">
      <c r="A17">
        <v>1</v>
      </c>
      <c r="B17">
        <v>1775532026.0999999</v>
      </c>
      <c r="C17">
        <v>0</v>
      </c>
      <c r="D17" t="s">
        <v>315</v>
      </c>
      <c r="E17" t="s">
        <v>316</v>
      </c>
      <c r="F17">
        <v>60</v>
      </c>
      <c r="G17">
        <v>1775532018.1387091</v>
      </c>
      <c r="H17">
        <f t="shared" ref="H17:H80" si="0">(I17)/1000</f>
        <v>4.369902770780751E-3</v>
      </c>
      <c r="I17">
        <f t="shared" ref="I17:I80" si="1">1000*AY17*AG17*(AU17-AV17)/(100*AN17*(1000-AG17*AU17))</f>
        <v>4.369902770780751</v>
      </c>
      <c r="J17">
        <f t="shared" ref="J17:J80" si="2">AY17*AG17*(AT17-AS17*(1000-AG17*AV17)/(1000-AG17*AU17))/(100*AN17)</f>
        <v>-1.7999017022745474</v>
      </c>
      <c r="K17">
        <f t="shared" ref="K17:K80" si="3">AS17 - IF(AG17&gt;1, J17*AN17*100/(AI17), 0)</f>
        <v>8.0815561419354847</v>
      </c>
      <c r="L17">
        <f t="shared" ref="L17:L80" si="4">((R17-H17/2)*K17-J17)/(R17+H17/2)</f>
        <v>35.675652107072345</v>
      </c>
      <c r="M17">
        <f t="shared" ref="M17:M80" si="5">L17*(AZ17+BA17)/1000</f>
        <v>3.5809676636142131</v>
      </c>
      <c r="N17">
        <f t="shared" ref="N17:N80" si="6">(AS17 - IF(AG17&gt;1, J17*AN17*100/(AI17), 0))*(AZ17+BA17)/1000</f>
        <v>0.81119165331856058</v>
      </c>
      <c r="O17">
        <f t="shared" ref="O17:O80" si="7">2/((1/Q17-1/P17)+SIGN(Q17)*SQRT((1/Q17-1/P17)*(1/Q17-1/P17) + 4*AO17/((AO17+1)*(AO17+1))*(2*1/Q17*1/P17-1/P17*1/P17)))</f>
        <v>0.1007979264702966</v>
      </c>
      <c r="P17">
        <f t="shared" ref="P17:P80" si="8">IF(LEFT(AP17,1)&lt;&gt;"0",IF(LEFT(AP17,1)="1",3,AQ17),$D$5+$E$5*(BG17*AZ17/($K$5*1000))+$F$5*(BG17*AZ17/($K$5*1000))*MAX(MIN(AN17,$J$5),$I$5)*MAX(MIN(AN17,$J$5),$I$5)+$G$5*MAX(MIN(AN17,$J$5),$I$5)*(BG17*AZ17/($K$5*1000))+$H$5*(BG17*AZ17/($K$5*1000))*(BG17*AZ17/($K$5*1000)))</f>
        <v>2.3928207387647134</v>
      </c>
      <c r="Q17">
        <f t="shared" ref="Q17:Q80" si="9">H17*(1000-(1000*0.61365*EXP(17.502*U17/(240.97+U17))/(AZ17+BA17)+AU17)/2)/(1000*0.61365*EXP(17.502*U17/(240.97+U17))/(AZ17+BA17)-AU17)</f>
        <v>9.8497050206780762E-2</v>
      </c>
      <c r="R17">
        <f t="shared" ref="R17:R80" si="10">1/((AO17+1)/(O17/1.6)+1/(P17/1.37)) + AO17/((AO17+1)/(O17/1.6) + AO17/(P17/1.37))</f>
        <v>6.1763006537460571E-2</v>
      </c>
      <c r="S17">
        <f t="shared" ref="S17:S80" si="11">(AJ17*AM17)</f>
        <v>0.23349473361290321</v>
      </c>
      <c r="T17">
        <f t="shared" ref="T17:T80" si="12">(BB17+(S17+2*0.95*0.0000000567*(((BB17+$B$7)+273)^4-(BB17+273)^4)-44100*H17)/(1.84*29.3*P17+8*0.95*0.0000000567*(BB17+273)^3))</f>
        <v>29.636524170321234</v>
      </c>
      <c r="U17">
        <f t="shared" ref="U17:U80" si="13">($C$7*BC17+$D$7*BD17+$E$7*T17)</f>
        <v>30.82539354838709</v>
      </c>
      <c r="V17">
        <f t="shared" ref="V17:V80" si="14">0.61365*EXP(17.502*U17/(240.97+U17))</f>
        <v>4.4666589408981743</v>
      </c>
      <c r="W17">
        <f t="shared" ref="W17:W80" si="15">(X17/Y17*100)</f>
        <v>2.5500228380036094</v>
      </c>
      <c r="X17">
        <f t="shared" ref="X17:X80" si="16">AU17*(AZ17+BA17)/1000</f>
        <v>0.11504496476944474</v>
      </c>
      <c r="Y17">
        <f t="shared" ref="Y17:Y80" si="17">0.61365*EXP(17.502*BB17/(240.97+BB17))</f>
        <v>4.5115268402659661</v>
      </c>
      <c r="Z17">
        <f t="shared" ref="Z17:Z80" si="18">(V17-AU17*(AZ17+BA17)/1000)</f>
        <v>4.3516139761287294</v>
      </c>
      <c r="AA17">
        <f t="shared" ref="AA17:AA80" si="19">(-H17*44100)</f>
        <v>-192.71271219143111</v>
      </c>
      <c r="AB17">
        <f t="shared" ref="AB17:AB80" si="20">2*29.3*P17*0.92*(BB17-U17)</f>
        <v>22.599026218868886</v>
      </c>
      <c r="AC17">
        <f t="shared" ref="AC17:AC80" si="21">2*0.95*0.0000000567*(((BB17+$B$7)+273)^4-(U17+273)^4)</f>
        <v>2.1190371779181847</v>
      </c>
      <c r="AD17">
        <f t="shared" ref="AD17:AD80" si="22">S17+AC17+AA17+AB17</f>
        <v>-167.76115406103114</v>
      </c>
      <c r="AE17">
        <v>15</v>
      </c>
      <c r="AF17">
        <v>3</v>
      </c>
      <c r="AG17">
        <f t="shared" ref="AG17:AG80" si="23">IF(AE17*$H$13&gt;=AI17,1,(AI17/(AI17-AE17*$H$13)))</f>
        <v>1</v>
      </c>
      <c r="AH17">
        <f t="shared" ref="AH17:AH80" si="24">(AG17-1)*100</f>
        <v>0</v>
      </c>
      <c r="AI17">
        <f t="shared" ref="AI17:AI80" si="25">MAX(0,($B$13+$C$13*BG17)/(1+$D$13*BG17)*AZ17/(BB17+273)*$E$13)</f>
        <v>25245.875100228826</v>
      </c>
      <c r="AJ17">
        <f t="shared" ref="AJ17:AJ80" si="26">$B$11*BH17+$C$11*BI17</f>
        <v>1.2218458064516129</v>
      </c>
      <c r="AK17">
        <f t="shared" ref="AK17:AK80" si="27">AJ17*AL17</f>
        <v>0.9774766451612904</v>
      </c>
      <c r="AL17">
        <f t="shared" ref="AL17:AL80" si="28">($B$11*$D$9+$C$11*$D$9)/($B$11+$C$11)</f>
        <v>0.8</v>
      </c>
      <c r="AM17">
        <f t="shared" ref="AM17:AM80" si="29">($B$11*$K$9+$C$11*$K$9)/($B$11+$C$11)</f>
        <v>0.19109999999999999</v>
      </c>
      <c r="AN17">
        <v>3</v>
      </c>
      <c r="AO17">
        <v>0.5</v>
      </c>
      <c r="AP17" t="s">
        <v>317</v>
      </c>
      <c r="AQ17">
        <v>2</v>
      </c>
      <c r="AR17">
        <v>1775532018.1387091</v>
      </c>
      <c r="AS17">
        <v>8.0815561419354847</v>
      </c>
      <c r="AT17">
        <v>7.0227364516129036</v>
      </c>
      <c r="AU17">
        <v>1.1461438709677421</v>
      </c>
      <c r="AV17">
        <v>-1.4729609677419351</v>
      </c>
      <c r="AW17">
        <v>-0.20344385806451609</v>
      </c>
      <c r="AX17">
        <v>2.5331438709677419</v>
      </c>
      <c r="AY17">
        <v>499.96787096774199</v>
      </c>
      <c r="AZ17">
        <v>100.3326451612903</v>
      </c>
      <c r="BA17">
        <v>4.3029903225806437E-2</v>
      </c>
      <c r="BB17">
        <v>31.00057741935483</v>
      </c>
      <c r="BC17">
        <v>30.82539354838709</v>
      </c>
      <c r="BD17">
        <v>999.90000000000032</v>
      </c>
      <c r="BE17">
        <v>0</v>
      </c>
      <c r="BF17">
        <v>0</v>
      </c>
      <c r="BG17">
        <v>4995.7258064516127</v>
      </c>
      <c r="BH17">
        <v>1.2218458064516129</v>
      </c>
      <c r="BI17">
        <v>1093.2441935483871</v>
      </c>
      <c r="BJ17">
        <v>1.2072248387096769</v>
      </c>
      <c r="BK17">
        <v>8.2393651612903245</v>
      </c>
      <c r="BL17">
        <v>7.0124245161290322</v>
      </c>
      <c r="BM17">
        <v>2.6187687096774188</v>
      </c>
      <c r="BN17">
        <v>7.0227364516129036</v>
      </c>
      <c r="BO17">
        <v>-1.4729609677419351</v>
      </c>
      <c r="BP17">
        <v>0.1149617741935484</v>
      </c>
      <c r="BQ17">
        <v>-0.14778590322580651</v>
      </c>
      <c r="BR17">
        <v>-21.051983870967739</v>
      </c>
      <c r="BS17">
        <v>-99.900000000000034</v>
      </c>
      <c r="BT17">
        <v>1775532066.5999999</v>
      </c>
      <c r="BU17" t="s">
        <v>318</v>
      </c>
      <c r="BV17">
        <v>1775532044.0999999</v>
      </c>
      <c r="BW17">
        <v>1775531952</v>
      </c>
      <c r="BX17">
        <v>2</v>
      </c>
      <c r="BY17">
        <v>-0.14799999999999999</v>
      </c>
      <c r="BZ17">
        <v>-0.40600000000000003</v>
      </c>
      <c r="CA17">
        <v>8.2850000000000001</v>
      </c>
      <c r="CB17">
        <v>-1.387</v>
      </c>
      <c r="CC17">
        <v>7</v>
      </c>
      <c r="CD17">
        <v>0</v>
      </c>
      <c r="CE17">
        <v>0.15</v>
      </c>
      <c r="CF17">
        <v>0.2</v>
      </c>
      <c r="CG17">
        <v>8.8996578688524597</v>
      </c>
      <c r="CH17">
        <v>-13.343679456054909</v>
      </c>
      <c r="CI17">
        <v>2.8146779617156179</v>
      </c>
      <c r="CJ17">
        <v>-1</v>
      </c>
      <c r="CK17">
        <v>499.96481967213111</v>
      </c>
      <c r="CL17">
        <v>1.346076041387277E-2</v>
      </c>
      <c r="CM17">
        <v>4.0125012924455312E-2</v>
      </c>
      <c r="CN17">
        <v>-1</v>
      </c>
      <c r="CO17">
        <v>0</v>
      </c>
      <c r="CP17">
        <v>0</v>
      </c>
      <c r="CQ17" t="s">
        <v>319</v>
      </c>
      <c r="CR17">
        <v>3.1674899999999999</v>
      </c>
      <c r="CS17">
        <v>2.66438</v>
      </c>
      <c r="CT17">
        <v>-4.3567600000000002E-4</v>
      </c>
      <c r="CU17">
        <v>2.0342799999999999E-3</v>
      </c>
      <c r="CV17">
        <v>1.9174799999999999E-2</v>
      </c>
      <c r="CW17">
        <v>-1.45399E-2</v>
      </c>
      <c r="CX17">
        <v>21595.8</v>
      </c>
      <c r="CY17">
        <v>21832.5</v>
      </c>
      <c r="CZ17">
        <v>23119.1</v>
      </c>
      <c r="DA17">
        <v>22231.5</v>
      </c>
      <c r="DB17">
        <v>29233.7</v>
      </c>
      <c r="DC17">
        <v>26892.1</v>
      </c>
      <c r="DD17">
        <v>40622.300000000003</v>
      </c>
      <c r="DE17">
        <v>36834.800000000003</v>
      </c>
      <c r="DF17">
        <v>2.0779000000000001</v>
      </c>
      <c r="DG17">
        <v>1.83708</v>
      </c>
      <c r="DH17">
        <v>1.4573300000000001E-2</v>
      </c>
      <c r="DI17">
        <v>0</v>
      </c>
      <c r="DJ17">
        <v>30.365400000000001</v>
      </c>
      <c r="DK17">
        <v>999.9</v>
      </c>
      <c r="DL17">
        <v>84.8</v>
      </c>
      <c r="DM17">
        <v>26.7</v>
      </c>
      <c r="DN17">
        <v>29.716999999999999</v>
      </c>
      <c r="DO17">
        <v>30.663699999999999</v>
      </c>
      <c r="DP17">
        <v>8.4895899999999997</v>
      </c>
      <c r="DQ17">
        <v>1</v>
      </c>
      <c r="DR17">
        <v>0.33494299999999999</v>
      </c>
      <c r="DS17">
        <v>6.0245600000000001</v>
      </c>
      <c r="DT17">
        <v>20.2148</v>
      </c>
      <c r="DU17">
        <v>5.2083000000000004</v>
      </c>
      <c r="DV17">
        <v>11.8535</v>
      </c>
      <c r="DW17">
        <v>4.9671599999999998</v>
      </c>
      <c r="DX17">
        <v>3.2918799999999999</v>
      </c>
      <c r="DY17">
        <v>894.7</v>
      </c>
      <c r="DZ17">
        <v>6</v>
      </c>
      <c r="EA17">
        <v>9999</v>
      </c>
      <c r="EB17">
        <v>115.7</v>
      </c>
      <c r="EC17">
        <v>4.9715600000000002</v>
      </c>
      <c r="ED17">
        <v>1.87181</v>
      </c>
      <c r="EE17">
        <v>1.86896</v>
      </c>
      <c r="EF17">
        <v>1.8713500000000001</v>
      </c>
      <c r="EG17">
        <v>1.8691</v>
      </c>
      <c r="EH17">
        <v>1.8680699999999999</v>
      </c>
      <c r="EI17">
        <v>1.86991</v>
      </c>
      <c r="EJ17">
        <v>1.8717299999999999</v>
      </c>
      <c r="EK17">
        <v>0</v>
      </c>
      <c r="EL17">
        <v>0</v>
      </c>
      <c r="EM17">
        <v>0</v>
      </c>
      <c r="EN17">
        <v>0</v>
      </c>
      <c r="EO17" t="s">
        <v>320</v>
      </c>
      <c r="EP17" t="s">
        <v>321</v>
      </c>
      <c r="EQ17" t="s">
        <v>322</v>
      </c>
      <c r="ER17" t="s">
        <v>322</v>
      </c>
      <c r="ES17" t="s">
        <v>322</v>
      </c>
      <c r="ET17" t="s">
        <v>322</v>
      </c>
      <c r="EU17">
        <v>0</v>
      </c>
      <c r="EV17">
        <v>100</v>
      </c>
      <c r="EW17">
        <v>100</v>
      </c>
      <c r="EX17">
        <v>8.2850000000000001</v>
      </c>
      <c r="EY17">
        <v>-1.387</v>
      </c>
      <c r="EZ17">
        <v>8.4334050749999996</v>
      </c>
      <c r="FA17">
        <v>0</v>
      </c>
      <c r="FB17">
        <v>0</v>
      </c>
      <c r="FC17">
        <v>0</v>
      </c>
      <c r="FD17">
        <v>-1.3873374000000001</v>
      </c>
      <c r="FE17">
        <v>0</v>
      </c>
      <c r="FF17">
        <v>0</v>
      </c>
      <c r="FG17">
        <v>0</v>
      </c>
      <c r="FH17">
        <v>-1</v>
      </c>
      <c r="FI17">
        <v>-1</v>
      </c>
      <c r="FJ17">
        <v>-1</v>
      </c>
      <c r="FK17">
        <v>-1</v>
      </c>
      <c r="FL17">
        <v>1.4</v>
      </c>
      <c r="FM17">
        <v>1.2</v>
      </c>
      <c r="FN17">
        <v>0.145264</v>
      </c>
      <c r="FO17">
        <v>4.99756</v>
      </c>
      <c r="FP17">
        <v>1.5979000000000001</v>
      </c>
      <c r="FQ17">
        <v>2.1777299999999999</v>
      </c>
      <c r="FR17">
        <v>1.5478499999999999</v>
      </c>
      <c r="FS17">
        <v>2.4450699999999999</v>
      </c>
      <c r="FT17">
        <v>32.842399999999998</v>
      </c>
      <c r="FU17">
        <v>15.900700000000001</v>
      </c>
      <c r="FV17">
        <v>2</v>
      </c>
      <c r="FW17">
        <v>495.38799999999998</v>
      </c>
      <c r="FX17">
        <v>428.93099999999998</v>
      </c>
      <c r="FY17">
        <v>26.875</v>
      </c>
      <c r="FZ17">
        <v>30.9374</v>
      </c>
      <c r="GA17">
        <v>30</v>
      </c>
      <c r="GB17">
        <v>30.517499999999998</v>
      </c>
      <c r="GC17">
        <v>30.4</v>
      </c>
      <c r="GD17">
        <v>-1</v>
      </c>
      <c r="GE17">
        <v>0</v>
      </c>
      <c r="GF17">
        <v>100</v>
      </c>
      <c r="GG17">
        <v>28.538499999999999</v>
      </c>
      <c r="GH17">
        <v>432.1</v>
      </c>
      <c r="GI17">
        <v>24.512499999999999</v>
      </c>
      <c r="GJ17">
        <v>102.26</v>
      </c>
      <c r="GK17">
        <v>96.123999999999995</v>
      </c>
    </row>
    <row r="18" spans="1:193" x14ac:dyDescent="0.35">
      <c r="A18">
        <v>2</v>
      </c>
      <c r="B18">
        <v>1775532086.0999999</v>
      </c>
      <c r="C18">
        <v>60</v>
      </c>
      <c r="D18" t="s">
        <v>323</v>
      </c>
      <c r="E18" t="s">
        <v>324</v>
      </c>
      <c r="F18">
        <v>60</v>
      </c>
      <c r="G18">
        <v>1775532078.349999</v>
      </c>
      <c r="H18">
        <f t="shared" si="0"/>
        <v>7.2223326140519826E-3</v>
      </c>
      <c r="I18">
        <f t="shared" si="1"/>
        <v>7.2223326140519823</v>
      </c>
      <c r="J18">
        <f t="shared" si="2"/>
        <v>1.9386049484185959</v>
      </c>
      <c r="K18">
        <f t="shared" si="3"/>
        <v>5.3213170000000014</v>
      </c>
      <c r="L18">
        <f t="shared" si="4"/>
        <v>-13.227886252824915</v>
      </c>
      <c r="M18">
        <f t="shared" si="5"/>
        <v>-1.3279114566506796</v>
      </c>
      <c r="N18">
        <f t="shared" si="6"/>
        <v>0.53419251373294641</v>
      </c>
      <c r="O18">
        <f t="shared" si="7"/>
        <v>0.17032231799361811</v>
      </c>
      <c r="P18">
        <f t="shared" si="8"/>
        <v>2.3916182523804514</v>
      </c>
      <c r="Q18">
        <f t="shared" si="9"/>
        <v>0.16385917924357576</v>
      </c>
      <c r="R18">
        <f t="shared" si="10"/>
        <v>0.10297224014933035</v>
      </c>
      <c r="S18">
        <f t="shared" si="11"/>
        <v>0.23370103119999991</v>
      </c>
      <c r="T18">
        <f t="shared" si="12"/>
        <v>28.673986245840069</v>
      </c>
      <c r="U18">
        <f t="shared" si="13"/>
        <v>31.011126666666669</v>
      </c>
      <c r="V18">
        <f t="shared" si="14"/>
        <v>4.5142411887113019</v>
      </c>
      <c r="W18">
        <f t="shared" si="15"/>
        <v>4.3010451324961769</v>
      </c>
      <c r="X18">
        <f t="shared" si="16"/>
        <v>0.19327066836888263</v>
      </c>
      <c r="Y18">
        <f t="shared" si="17"/>
        <v>4.4935745246810521</v>
      </c>
      <c r="Z18">
        <f t="shared" si="18"/>
        <v>4.3209705203424189</v>
      </c>
      <c r="AA18">
        <f t="shared" si="19"/>
        <v>-318.50486827969246</v>
      </c>
      <c r="AB18">
        <f t="shared" si="20"/>
        <v>-10.374264842468891</v>
      </c>
      <c r="AC18">
        <f t="shared" si="21"/>
        <v>-0.97380657111818825</v>
      </c>
      <c r="AD18">
        <f t="shared" si="22"/>
        <v>-329.61923866207957</v>
      </c>
      <c r="AE18">
        <v>13</v>
      </c>
      <c r="AF18">
        <v>3</v>
      </c>
      <c r="AG18">
        <f t="shared" si="23"/>
        <v>1</v>
      </c>
      <c r="AH18">
        <f t="shared" si="24"/>
        <v>0</v>
      </c>
      <c r="AI18">
        <f t="shared" si="25"/>
        <v>25233.191325905067</v>
      </c>
      <c r="AJ18">
        <f t="shared" si="26"/>
        <v>1.222925333333333</v>
      </c>
      <c r="AK18">
        <f t="shared" si="27"/>
        <v>0.9783402666666664</v>
      </c>
      <c r="AL18">
        <f t="shared" si="28"/>
        <v>0.8</v>
      </c>
      <c r="AM18">
        <f t="shared" si="29"/>
        <v>0.19109999999999999</v>
      </c>
      <c r="AN18">
        <v>3</v>
      </c>
      <c r="AO18">
        <v>0.5</v>
      </c>
      <c r="AP18" t="s">
        <v>317</v>
      </c>
      <c r="AQ18">
        <v>2</v>
      </c>
      <c r="AR18">
        <v>1775532078.349999</v>
      </c>
      <c r="AS18">
        <v>5.3213170000000014</v>
      </c>
      <c r="AT18">
        <v>6.5055603333333334</v>
      </c>
      <c r="AU18">
        <v>1.9252506666666671</v>
      </c>
      <c r="AV18">
        <v>-2.392590333333334</v>
      </c>
      <c r="AW18">
        <v>-2.758683</v>
      </c>
      <c r="AX18">
        <v>2.9902506666666668</v>
      </c>
      <c r="AY18">
        <v>500.83556666666658</v>
      </c>
      <c r="AZ18">
        <v>100.3434</v>
      </c>
      <c r="BA18">
        <v>4.3875130000000012E-2</v>
      </c>
      <c r="BB18">
        <v>30.930666666666671</v>
      </c>
      <c r="BC18">
        <v>31.011126666666669</v>
      </c>
      <c r="BD18">
        <v>999.9000000000002</v>
      </c>
      <c r="BE18">
        <v>0</v>
      </c>
      <c r="BF18">
        <v>0</v>
      </c>
      <c r="BG18">
        <v>4992.1000000000004</v>
      </c>
      <c r="BH18">
        <v>1.222925333333333</v>
      </c>
      <c r="BI18">
        <v>1085.0820000000001</v>
      </c>
      <c r="BJ18">
        <v>-0.97881099999999988</v>
      </c>
      <c r="BK18">
        <v>5.5355803333333329</v>
      </c>
      <c r="BL18">
        <v>6.4900329999999986</v>
      </c>
      <c r="BM18">
        <v>3.9955033333333332</v>
      </c>
      <c r="BN18">
        <v>6.5055603333333334</v>
      </c>
      <c r="BO18">
        <v>-2.392590333333334</v>
      </c>
      <c r="BP18">
        <v>0.16084165666666669</v>
      </c>
      <c r="BQ18">
        <v>-0.2400807333333333</v>
      </c>
      <c r="BR18">
        <v>-17.65064666666667</v>
      </c>
      <c r="BS18">
        <v>-99.900000000000034</v>
      </c>
      <c r="BT18">
        <v>1775532126.5999999</v>
      </c>
      <c r="BU18" t="s">
        <v>325</v>
      </c>
      <c r="BV18">
        <v>1775532108.5999999</v>
      </c>
      <c r="BW18">
        <v>1775532126.5999999</v>
      </c>
      <c r="BX18">
        <v>3</v>
      </c>
      <c r="BY18">
        <v>-0.20499999999999999</v>
      </c>
      <c r="BZ18">
        <v>0.32200000000000001</v>
      </c>
      <c r="CA18">
        <v>8.08</v>
      </c>
      <c r="CB18">
        <v>-1.0649999999999999</v>
      </c>
      <c r="CC18">
        <v>6</v>
      </c>
      <c r="CD18">
        <v>-2</v>
      </c>
      <c r="CE18">
        <v>0.24</v>
      </c>
      <c r="CF18">
        <v>0.03</v>
      </c>
      <c r="CG18">
        <v>6.5924750819672138</v>
      </c>
      <c r="CH18">
        <v>-0.78180101533580826</v>
      </c>
      <c r="CI18">
        <v>0.12570334532140851</v>
      </c>
      <c r="CJ18">
        <v>-1</v>
      </c>
      <c r="CK18">
        <v>500.88034426229518</v>
      </c>
      <c r="CL18">
        <v>-0.13135272342641111</v>
      </c>
      <c r="CM18">
        <v>1.687223481997804</v>
      </c>
      <c r="CN18">
        <v>-1</v>
      </c>
      <c r="CO18">
        <v>0</v>
      </c>
      <c r="CP18">
        <v>0</v>
      </c>
      <c r="CQ18" t="s">
        <v>319</v>
      </c>
      <c r="CR18">
        <v>3.1675300000000002</v>
      </c>
      <c r="CS18">
        <v>2.6650499999999999</v>
      </c>
      <c r="CT18">
        <v>-8.7461500000000003E-4</v>
      </c>
      <c r="CU18">
        <v>1.85429E-3</v>
      </c>
      <c r="CV18">
        <v>2.2866000000000001E-2</v>
      </c>
      <c r="CW18">
        <v>-2.2913599999999999E-2</v>
      </c>
      <c r="CX18">
        <v>21580.1</v>
      </c>
      <c r="CY18">
        <v>21828.799999999999</v>
      </c>
      <c r="CZ18">
        <v>23094.9</v>
      </c>
      <c r="DA18">
        <v>22225.599999999999</v>
      </c>
      <c r="DB18">
        <v>29096</v>
      </c>
      <c r="DC18">
        <v>27101.7</v>
      </c>
      <c r="DD18">
        <v>40585.199999999997</v>
      </c>
      <c r="DE18">
        <v>36819.300000000003</v>
      </c>
      <c r="DF18">
        <v>2.0742799999999999</v>
      </c>
      <c r="DG18">
        <v>1.8186599999999999</v>
      </c>
      <c r="DH18">
        <v>2.6136599999999999E-2</v>
      </c>
      <c r="DI18">
        <v>0</v>
      </c>
      <c r="DJ18">
        <v>30.6601</v>
      </c>
      <c r="DK18">
        <v>999.9</v>
      </c>
      <c r="DL18">
        <v>84.7</v>
      </c>
      <c r="DM18">
        <v>27</v>
      </c>
      <c r="DN18">
        <v>30.212499999999999</v>
      </c>
      <c r="DO18">
        <v>30.453700000000001</v>
      </c>
      <c r="DP18">
        <v>8.3734000000000002</v>
      </c>
      <c r="DQ18">
        <v>1</v>
      </c>
      <c r="DR18">
        <v>0.35109099999999999</v>
      </c>
      <c r="DS18">
        <v>-0.15573899999999999</v>
      </c>
      <c r="DT18">
        <v>20.3642</v>
      </c>
      <c r="DU18">
        <v>5.2091399999999997</v>
      </c>
      <c r="DV18">
        <v>11.850300000000001</v>
      </c>
      <c r="DW18">
        <v>4.9673999999999996</v>
      </c>
      <c r="DX18">
        <v>3.2921200000000002</v>
      </c>
      <c r="DY18">
        <v>894.7</v>
      </c>
      <c r="DZ18">
        <v>6</v>
      </c>
      <c r="EA18">
        <v>9999</v>
      </c>
      <c r="EB18">
        <v>115.8</v>
      </c>
      <c r="EC18">
        <v>4.97166</v>
      </c>
      <c r="ED18">
        <v>1.87192</v>
      </c>
      <c r="EE18">
        <v>1.8690500000000001</v>
      </c>
      <c r="EF18">
        <v>1.87148</v>
      </c>
      <c r="EG18">
        <v>1.8692</v>
      </c>
      <c r="EH18">
        <v>1.8681300000000001</v>
      </c>
      <c r="EI18">
        <v>1.8699600000000001</v>
      </c>
      <c r="EJ18">
        <v>1.8717999999999999</v>
      </c>
      <c r="EK18">
        <v>0</v>
      </c>
      <c r="EL18">
        <v>0</v>
      </c>
      <c r="EM18">
        <v>0</v>
      </c>
      <c r="EN18">
        <v>0</v>
      </c>
      <c r="EO18" t="s">
        <v>320</v>
      </c>
      <c r="EP18" t="s">
        <v>321</v>
      </c>
      <c r="EQ18" t="s">
        <v>322</v>
      </c>
      <c r="ER18" t="s">
        <v>322</v>
      </c>
      <c r="ES18" t="s">
        <v>322</v>
      </c>
      <c r="ET18" t="s">
        <v>322</v>
      </c>
      <c r="EU18">
        <v>0</v>
      </c>
      <c r="EV18">
        <v>100</v>
      </c>
      <c r="EW18">
        <v>100</v>
      </c>
      <c r="EX18">
        <v>8.08</v>
      </c>
      <c r="EY18">
        <v>-1.0649999999999999</v>
      </c>
      <c r="EZ18">
        <v>8.2854325000000006</v>
      </c>
      <c r="FA18">
        <v>0</v>
      </c>
      <c r="FB18">
        <v>0</v>
      </c>
      <c r="FC18">
        <v>0</v>
      </c>
      <c r="FD18">
        <v>-1.3873374000000001</v>
      </c>
      <c r="FE18">
        <v>0</v>
      </c>
      <c r="FF18">
        <v>0</v>
      </c>
      <c r="FG18">
        <v>0</v>
      </c>
      <c r="FH18">
        <v>-1</v>
      </c>
      <c r="FI18">
        <v>-1</v>
      </c>
      <c r="FJ18">
        <v>-1</v>
      </c>
      <c r="FK18">
        <v>-1</v>
      </c>
      <c r="FL18">
        <v>0.7</v>
      </c>
      <c r="FM18">
        <v>2.2000000000000002</v>
      </c>
      <c r="FN18">
        <v>0.145264</v>
      </c>
      <c r="FO18">
        <v>4.99756</v>
      </c>
      <c r="FP18">
        <v>1.5979000000000001</v>
      </c>
      <c r="FQ18">
        <v>2.1765099999999999</v>
      </c>
      <c r="FR18">
        <v>1.5478499999999999</v>
      </c>
      <c r="FS18">
        <v>2.4499499999999999</v>
      </c>
      <c r="FT18">
        <v>33.355899999999998</v>
      </c>
      <c r="FU18">
        <v>15.9795</v>
      </c>
      <c r="FV18">
        <v>2</v>
      </c>
      <c r="FW18">
        <v>498.15300000000002</v>
      </c>
      <c r="FX18">
        <v>421.83699999999999</v>
      </c>
      <c r="FY18">
        <v>32.073</v>
      </c>
      <c r="FZ18">
        <v>31.635300000000001</v>
      </c>
      <c r="GA18">
        <v>30.004000000000001</v>
      </c>
      <c r="GB18">
        <v>31.158899999999999</v>
      </c>
      <c r="GC18">
        <v>30.968299999999999</v>
      </c>
      <c r="GD18">
        <v>-1</v>
      </c>
      <c r="GE18">
        <v>0</v>
      </c>
      <c r="GF18">
        <v>100</v>
      </c>
      <c r="GG18">
        <v>32.130499999999998</v>
      </c>
      <c r="GH18">
        <v>432.1</v>
      </c>
      <c r="GI18">
        <v>24.512499999999999</v>
      </c>
      <c r="GJ18">
        <v>102.16200000000001</v>
      </c>
      <c r="GK18">
        <v>96.089299999999994</v>
      </c>
    </row>
    <row r="19" spans="1:193" x14ac:dyDescent="0.35">
      <c r="A19">
        <v>3</v>
      </c>
      <c r="B19">
        <v>1775532146.0999999</v>
      </c>
      <c r="C19">
        <v>120</v>
      </c>
      <c r="D19" t="s">
        <v>326</v>
      </c>
      <c r="E19" t="s">
        <v>327</v>
      </c>
      <c r="F19">
        <v>60</v>
      </c>
      <c r="G19">
        <v>1775532138.349999</v>
      </c>
      <c r="H19">
        <f t="shared" si="0"/>
        <v>8.0818657684122528E-3</v>
      </c>
      <c r="I19">
        <f t="shared" si="1"/>
        <v>8.0818657684122535</v>
      </c>
      <c r="J19">
        <f t="shared" si="2"/>
        <v>2.3478315197365216</v>
      </c>
      <c r="K19">
        <f t="shared" si="3"/>
        <v>4.8607386666666663</v>
      </c>
      <c r="L19">
        <f t="shared" si="4"/>
        <v>-14.93005443048648</v>
      </c>
      <c r="M19">
        <f t="shared" si="5"/>
        <v>-1.498652524727409</v>
      </c>
      <c r="N19">
        <f t="shared" si="6"/>
        <v>0.48791237223927381</v>
      </c>
      <c r="O19">
        <f t="shared" si="7"/>
        <v>0.19366886809218931</v>
      </c>
      <c r="P19">
        <f t="shared" si="8"/>
        <v>2.3973626616471306</v>
      </c>
      <c r="Q19">
        <f t="shared" si="9"/>
        <v>0.18537792881844961</v>
      </c>
      <c r="R19">
        <f t="shared" si="10"/>
        <v>0.11657653532222129</v>
      </c>
      <c r="S19">
        <f t="shared" si="11"/>
        <v>0.23334768729999991</v>
      </c>
      <c r="T19">
        <f t="shared" si="12"/>
        <v>28.393000276160954</v>
      </c>
      <c r="U19">
        <f t="shared" si="13"/>
        <v>31.035129999999999</v>
      </c>
      <c r="V19">
        <f t="shared" si="14"/>
        <v>4.5204226091329023</v>
      </c>
      <c r="W19">
        <f t="shared" si="15"/>
        <v>5.5292768667401067</v>
      </c>
      <c r="X19">
        <f t="shared" si="16"/>
        <v>0.24821121953689448</v>
      </c>
      <c r="Y19">
        <f t="shared" si="17"/>
        <v>4.4890358272696202</v>
      </c>
      <c r="Z19">
        <f t="shared" si="18"/>
        <v>4.2722113895960074</v>
      </c>
      <c r="AA19">
        <f t="shared" si="19"/>
        <v>-356.41028038698033</v>
      </c>
      <c r="AB19">
        <f t="shared" si="20"/>
        <v>-15.79092069818998</v>
      </c>
      <c r="AC19">
        <f t="shared" si="21"/>
        <v>-1.4787489003860805</v>
      </c>
      <c r="AD19">
        <f t="shared" si="22"/>
        <v>-373.44660229825644</v>
      </c>
      <c r="AE19">
        <v>12</v>
      </c>
      <c r="AF19">
        <v>2</v>
      </c>
      <c r="AG19">
        <f t="shared" si="23"/>
        <v>1</v>
      </c>
      <c r="AH19">
        <f t="shared" si="24"/>
        <v>0</v>
      </c>
      <c r="AI19">
        <f t="shared" si="25"/>
        <v>25321.381092957963</v>
      </c>
      <c r="AJ19">
        <f t="shared" si="26"/>
        <v>1.221076333333333</v>
      </c>
      <c r="AK19">
        <f t="shared" si="27"/>
        <v>0.97686106666666639</v>
      </c>
      <c r="AL19">
        <f t="shared" si="28"/>
        <v>0.8</v>
      </c>
      <c r="AM19">
        <f t="shared" si="29"/>
        <v>0.19109999999999999</v>
      </c>
      <c r="AN19">
        <v>3</v>
      </c>
      <c r="AO19">
        <v>0.5</v>
      </c>
      <c r="AP19" t="s">
        <v>317</v>
      </c>
      <c r="AQ19">
        <v>2</v>
      </c>
      <c r="AR19">
        <v>1775532138.349999</v>
      </c>
      <c r="AS19">
        <v>4.8607386666666663</v>
      </c>
      <c r="AT19">
        <v>6.2901579999999999</v>
      </c>
      <c r="AU19">
        <v>2.4727593333333329</v>
      </c>
      <c r="AV19">
        <v>-2.3547446666666669</v>
      </c>
      <c r="AW19">
        <v>-3.0582613333333342</v>
      </c>
      <c r="AX19">
        <v>3.5447593333333329</v>
      </c>
      <c r="AY19">
        <v>500.99686666666668</v>
      </c>
      <c r="AZ19">
        <v>100.3334</v>
      </c>
      <c r="BA19">
        <v>4.4835840000000002E-2</v>
      </c>
      <c r="BB19">
        <v>30.912953333333331</v>
      </c>
      <c r="BC19">
        <v>31.035129999999999</v>
      </c>
      <c r="BD19">
        <v>999.9000000000002</v>
      </c>
      <c r="BE19">
        <v>0</v>
      </c>
      <c r="BF19">
        <v>0</v>
      </c>
      <c r="BG19">
        <v>5007.3666666666668</v>
      </c>
      <c r="BH19">
        <v>1.221076333333333</v>
      </c>
      <c r="BI19">
        <v>1064.912333333333</v>
      </c>
      <c r="BJ19">
        <v>-1.2681292333333329</v>
      </c>
      <c r="BK19">
        <v>5.0344093333333326</v>
      </c>
      <c r="BL19">
        <v>6.2753810000000003</v>
      </c>
      <c r="BM19">
        <v>4.8343706666666666</v>
      </c>
      <c r="BN19">
        <v>6.2901579999999999</v>
      </c>
      <c r="BO19">
        <v>-2.3547446666666669</v>
      </c>
      <c r="BP19">
        <v>0.24878918666666661</v>
      </c>
      <c r="BQ19">
        <v>-0.23625959999999999</v>
      </c>
      <c r="BR19">
        <v>-12.18146333333333</v>
      </c>
      <c r="BS19">
        <v>-99.900000000000034</v>
      </c>
      <c r="BT19">
        <v>1775532186.0999999</v>
      </c>
      <c r="BU19" t="s">
        <v>328</v>
      </c>
      <c r="BV19">
        <v>1775532172.0999999</v>
      </c>
      <c r="BW19">
        <v>1775532186.0999999</v>
      </c>
      <c r="BX19">
        <v>4</v>
      </c>
      <c r="BY19">
        <v>-0.161</v>
      </c>
      <c r="BZ19">
        <v>-7.0000000000000001E-3</v>
      </c>
      <c r="CA19">
        <v>7.9189999999999996</v>
      </c>
      <c r="CB19">
        <v>-1.0720000000000001</v>
      </c>
      <c r="CC19">
        <v>6</v>
      </c>
      <c r="CD19">
        <v>-2</v>
      </c>
      <c r="CE19">
        <v>0.16</v>
      </c>
      <c r="CF19">
        <v>0.02</v>
      </c>
      <c r="CG19">
        <v>6.363077333333333</v>
      </c>
      <c r="CH19">
        <v>-0.33164432342317068</v>
      </c>
      <c r="CI19">
        <v>0.1682210411221563</v>
      </c>
      <c r="CJ19">
        <v>-1</v>
      </c>
      <c r="CK19">
        <v>500.89971666666668</v>
      </c>
      <c r="CL19">
        <v>0.50134259516630775</v>
      </c>
      <c r="CM19">
        <v>1.740179244519241</v>
      </c>
      <c r="CN19">
        <v>-1</v>
      </c>
      <c r="CO19">
        <v>0</v>
      </c>
      <c r="CP19">
        <v>0</v>
      </c>
      <c r="CQ19" t="s">
        <v>319</v>
      </c>
      <c r="CR19">
        <v>3.1674799999999999</v>
      </c>
      <c r="CS19">
        <v>2.6661199999999998</v>
      </c>
      <c r="CT19">
        <v>-9.8967900000000004E-4</v>
      </c>
      <c r="CU19">
        <v>1.78335E-3</v>
      </c>
      <c r="CV19">
        <v>2.66681E-2</v>
      </c>
      <c r="CW19">
        <v>-2.23217E-2</v>
      </c>
      <c r="CX19">
        <v>21560.6</v>
      </c>
      <c r="CY19">
        <v>21820.7</v>
      </c>
      <c r="CZ19">
        <v>23073.5</v>
      </c>
      <c r="DA19">
        <v>22217.3</v>
      </c>
      <c r="DB19">
        <v>28957.8</v>
      </c>
      <c r="DC19">
        <v>27073.1</v>
      </c>
      <c r="DD19">
        <v>40551.5</v>
      </c>
      <c r="DE19">
        <v>36801.300000000003</v>
      </c>
      <c r="DF19">
        <v>2.0695199999999998</v>
      </c>
      <c r="DG19">
        <v>1.80846</v>
      </c>
      <c r="DH19">
        <v>-4.1961699999999999E-3</v>
      </c>
      <c r="DI19">
        <v>0</v>
      </c>
      <c r="DJ19">
        <v>31.1069</v>
      </c>
      <c r="DK19">
        <v>999.9</v>
      </c>
      <c r="DL19">
        <v>84.5</v>
      </c>
      <c r="DM19">
        <v>27.2</v>
      </c>
      <c r="DN19">
        <v>30.500599999999999</v>
      </c>
      <c r="DO19">
        <v>30.3337</v>
      </c>
      <c r="DP19">
        <v>8.6378199999999996</v>
      </c>
      <c r="DQ19">
        <v>1</v>
      </c>
      <c r="DR19">
        <v>0.39601999999999998</v>
      </c>
      <c r="DS19">
        <v>0.576233</v>
      </c>
      <c r="DT19">
        <v>20.364100000000001</v>
      </c>
      <c r="DU19">
        <v>5.2119</v>
      </c>
      <c r="DV19">
        <v>11.8515</v>
      </c>
      <c r="DW19">
        <v>4.9676799999999997</v>
      </c>
      <c r="DX19">
        <v>3.2929400000000002</v>
      </c>
      <c r="DY19">
        <v>894.7</v>
      </c>
      <c r="DZ19">
        <v>6</v>
      </c>
      <c r="EA19">
        <v>9999</v>
      </c>
      <c r="EB19">
        <v>115.8</v>
      </c>
      <c r="EC19">
        <v>4.97166</v>
      </c>
      <c r="ED19">
        <v>1.87195</v>
      </c>
      <c r="EE19">
        <v>1.8690500000000001</v>
      </c>
      <c r="EF19">
        <v>1.8714900000000001</v>
      </c>
      <c r="EG19">
        <v>1.8692</v>
      </c>
      <c r="EH19">
        <v>1.8681300000000001</v>
      </c>
      <c r="EI19">
        <v>1.8699600000000001</v>
      </c>
      <c r="EJ19">
        <v>1.8717999999999999</v>
      </c>
      <c r="EK19">
        <v>0</v>
      </c>
      <c r="EL19">
        <v>0</v>
      </c>
      <c r="EM19">
        <v>0</v>
      </c>
      <c r="EN19">
        <v>0</v>
      </c>
      <c r="EO19" t="s">
        <v>320</v>
      </c>
      <c r="EP19" t="s">
        <v>321</v>
      </c>
      <c r="EQ19" t="s">
        <v>322</v>
      </c>
      <c r="ER19" t="s">
        <v>322</v>
      </c>
      <c r="ES19" t="s">
        <v>322</v>
      </c>
      <c r="ET19" t="s">
        <v>322</v>
      </c>
      <c r="EU19">
        <v>0</v>
      </c>
      <c r="EV19">
        <v>100</v>
      </c>
      <c r="EW19">
        <v>100</v>
      </c>
      <c r="EX19">
        <v>7.9189999999999996</v>
      </c>
      <c r="EY19">
        <v>-1.0720000000000001</v>
      </c>
      <c r="EZ19">
        <v>8.0802899999999998</v>
      </c>
      <c r="FA19">
        <v>0</v>
      </c>
      <c r="FB19">
        <v>0</v>
      </c>
      <c r="FC19">
        <v>0</v>
      </c>
      <c r="FD19">
        <v>-1.0651342857142849</v>
      </c>
      <c r="FE19">
        <v>0</v>
      </c>
      <c r="FF19">
        <v>0</v>
      </c>
      <c r="FG19">
        <v>0</v>
      </c>
      <c r="FH19">
        <v>-1</v>
      </c>
      <c r="FI19">
        <v>-1</v>
      </c>
      <c r="FJ19">
        <v>-1</v>
      </c>
      <c r="FK19">
        <v>-1</v>
      </c>
      <c r="FL19">
        <v>0.6</v>
      </c>
      <c r="FM19">
        <v>0.3</v>
      </c>
      <c r="FN19">
        <v>0.145264</v>
      </c>
      <c r="FO19">
        <v>4.99756</v>
      </c>
      <c r="FP19">
        <v>1.5979000000000001</v>
      </c>
      <c r="FQ19">
        <v>2.1728499999999999</v>
      </c>
      <c r="FR19">
        <v>1.5478499999999999</v>
      </c>
      <c r="FS19">
        <v>2.3840300000000001</v>
      </c>
      <c r="FT19">
        <v>33.850900000000003</v>
      </c>
      <c r="FU19">
        <v>15.962</v>
      </c>
      <c r="FV19">
        <v>2</v>
      </c>
      <c r="FW19">
        <v>499.56900000000002</v>
      </c>
      <c r="FX19">
        <v>419.45</v>
      </c>
      <c r="FY19">
        <v>30.552800000000001</v>
      </c>
      <c r="FZ19">
        <v>32.183199999999999</v>
      </c>
      <c r="GA19">
        <v>30.0001</v>
      </c>
      <c r="GB19">
        <v>31.716000000000001</v>
      </c>
      <c r="GC19">
        <v>31.515000000000001</v>
      </c>
      <c r="GD19">
        <v>-1</v>
      </c>
      <c r="GE19">
        <v>0</v>
      </c>
      <c r="GF19">
        <v>100</v>
      </c>
      <c r="GG19">
        <v>30.702400000000001</v>
      </c>
      <c r="GH19">
        <v>432.1</v>
      </c>
      <c r="GI19">
        <v>26.271999999999998</v>
      </c>
      <c r="GJ19">
        <v>102.074</v>
      </c>
      <c r="GK19">
        <v>96.046400000000006</v>
      </c>
    </row>
    <row r="20" spans="1:193" x14ac:dyDescent="0.35">
      <c r="A20">
        <v>4</v>
      </c>
      <c r="B20">
        <v>1775532206.0999999</v>
      </c>
      <c r="C20">
        <v>180</v>
      </c>
      <c r="D20" t="s">
        <v>329</v>
      </c>
      <c r="E20" t="s">
        <v>330</v>
      </c>
      <c r="F20">
        <v>60</v>
      </c>
      <c r="G20">
        <v>1775532198.099999</v>
      </c>
      <c r="H20">
        <f t="shared" si="0"/>
        <v>8.9938125758529785E-3</v>
      </c>
      <c r="I20">
        <f t="shared" si="1"/>
        <v>8.9938125758529779</v>
      </c>
      <c r="J20">
        <f t="shared" si="2"/>
        <v>2.7647729563955377</v>
      </c>
      <c r="K20">
        <f t="shared" si="3"/>
        <v>3.8112651612903208</v>
      </c>
      <c r="L20">
        <f t="shared" si="4"/>
        <v>-17.158347700556266</v>
      </c>
      <c r="M20">
        <f t="shared" si="5"/>
        <v>-1.7224473475777871</v>
      </c>
      <c r="N20">
        <f t="shared" si="6"/>
        <v>0.38259532226213805</v>
      </c>
      <c r="O20">
        <f t="shared" si="7"/>
        <v>0.21517213925771481</v>
      </c>
      <c r="P20">
        <f t="shared" si="8"/>
        <v>2.3932631789844878</v>
      </c>
      <c r="Q20">
        <f t="shared" si="9"/>
        <v>0.20497335158263916</v>
      </c>
      <c r="R20">
        <f t="shared" si="10"/>
        <v>0.12898437347503122</v>
      </c>
      <c r="S20">
        <f t="shared" si="11"/>
        <v>0.22688612574193551</v>
      </c>
      <c r="T20">
        <f t="shared" si="12"/>
        <v>28.40048127316464</v>
      </c>
      <c r="U20">
        <f t="shared" si="13"/>
        <v>31.360754838709671</v>
      </c>
      <c r="V20">
        <f t="shared" si="14"/>
        <v>4.6050099599769041</v>
      </c>
      <c r="W20">
        <f t="shared" si="15"/>
        <v>6.7485084139343243</v>
      </c>
      <c r="X20">
        <f t="shared" si="16"/>
        <v>0.30809246265582085</v>
      </c>
      <c r="Y20">
        <f t="shared" si="17"/>
        <v>4.5653416097055066</v>
      </c>
      <c r="Z20">
        <f t="shared" si="18"/>
        <v>4.2969174973210835</v>
      </c>
      <c r="AA20">
        <f t="shared" si="19"/>
        <v>-396.62713459511633</v>
      </c>
      <c r="AB20">
        <f t="shared" si="20"/>
        <v>-19.618551270861033</v>
      </c>
      <c r="AC20">
        <f t="shared" si="21"/>
        <v>-1.8459850574062122</v>
      </c>
      <c r="AD20">
        <f t="shared" si="22"/>
        <v>-417.86478479764162</v>
      </c>
      <c r="AE20">
        <v>11</v>
      </c>
      <c r="AF20">
        <v>2</v>
      </c>
      <c r="AG20">
        <f t="shared" si="23"/>
        <v>1</v>
      </c>
      <c r="AH20">
        <f t="shared" si="24"/>
        <v>0</v>
      </c>
      <c r="AI20">
        <f t="shared" si="25"/>
        <v>25234.970819954753</v>
      </c>
      <c r="AJ20">
        <f t="shared" si="26"/>
        <v>1.1872638709677421</v>
      </c>
      <c r="AK20">
        <f t="shared" si="27"/>
        <v>0.94981109677419373</v>
      </c>
      <c r="AL20">
        <f t="shared" si="28"/>
        <v>0.8</v>
      </c>
      <c r="AM20">
        <f t="shared" si="29"/>
        <v>0.19109999999999999</v>
      </c>
      <c r="AN20">
        <v>3</v>
      </c>
      <c r="AO20">
        <v>0.5</v>
      </c>
      <c r="AP20" t="s">
        <v>317</v>
      </c>
      <c r="AQ20">
        <v>2</v>
      </c>
      <c r="AR20">
        <v>1775532198.099999</v>
      </c>
      <c r="AS20">
        <v>3.8112651612903208</v>
      </c>
      <c r="AT20">
        <v>5.4874829032258079</v>
      </c>
      <c r="AU20">
        <v>3.0690967741935489</v>
      </c>
      <c r="AV20">
        <v>-2.300337741935484</v>
      </c>
      <c r="AW20">
        <v>-4.0097348387096794</v>
      </c>
      <c r="AX20">
        <v>4.1520967741935486</v>
      </c>
      <c r="AY20">
        <v>500.95832258064507</v>
      </c>
      <c r="AZ20">
        <v>100.3396129032258</v>
      </c>
      <c r="BA20">
        <v>4.5772545161290319E-2</v>
      </c>
      <c r="BB20">
        <v>31.208703225806449</v>
      </c>
      <c r="BC20">
        <v>31.360754838709671</v>
      </c>
      <c r="BD20">
        <v>999.90000000000032</v>
      </c>
      <c r="BE20">
        <v>0</v>
      </c>
      <c r="BF20">
        <v>0</v>
      </c>
      <c r="BG20">
        <v>4996.5161290322594</v>
      </c>
      <c r="BH20">
        <v>1.1872638709677421</v>
      </c>
      <c r="BI20">
        <v>1055.003548387097</v>
      </c>
      <c r="BJ20">
        <v>-1.577845677419355</v>
      </c>
      <c r="BK20">
        <v>3.9216148387096772</v>
      </c>
      <c r="BL20">
        <v>5.4748874193548378</v>
      </c>
      <c r="BM20">
        <v>5.3801667741935493</v>
      </c>
      <c r="BN20">
        <v>5.4874829032258079</v>
      </c>
      <c r="BO20">
        <v>-2.300337741935484</v>
      </c>
      <c r="BP20">
        <v>0.30902922580645159</v>
      </c>
      <c r="BQ20">
        <v>-0.23081516129032259</v>
      </c>
      <c r="BR20">
        <v>-9.3471377419354855</v>
      </c>
      <c r="BS20">
        <v>-99.900000000000034</v>
      </c>
      <c r="BT20">
        <v>1775532244.5999999</v>
      </c>
      <c r="BU20" t="s">
        <v>331</v>
      </c>
      <c r="BV20">
        <v>1775532228.0999999</v>
      </c>
      <c r="BW20">
        <v>1775532244.5999999</v>
      </c>
      <c r="BX20">
        <v>5</v>
      </c>
      <c r="BY20">
        <v>-9.8000000000000004E-2</v>
      </c>
      <c r="BZ20">
        <v>-1.0999999999999999E-2</v>
      </c>
      <c r="CA20">
        <v>7.8209999999999997</v>
      </c>
      <c r="CB20">
        <v>-1.083</v>
      </c>
      <c r="CC20">
        <v>5</v>
      </c>
      <c r="CD20">
        <v>-2</v>
      </c>
      <c r="CE20">
        <v>0.21</v>
      </c>
      <c r="CF20">
        <v>0.02</v>
      </c>
      <c r="CG20">
        <v>5.5424749999999996</v>
      </c>
      <c r="CH20">
        <v>-0.46907156432342312</v>
      </c>
      <c r="CI20">
        <v>7.1841016406599831E-2</v>
      </c>
      <c r="CJ20">
        <v>-1</v>
      </c>
      <c r="CK20">
        <v>500.90661666666671</v>
      </c>
      <c r="CL20">
        <v>9.9817727146022703E-2</v>
      </c>
      <c r="CM20">
        <v>1.741115936132791</v>
      </c>
      <c r="CN20">
        <v>-1</v>
      </c>
      <c r="CO20">
        <v>0</v>
      </c>
      <c r="CP20">
        <v>0</v>
      </c>
      <c r="CQ20" t="s">
        <v>319</v>
      </c>
      <c r="CR20">
        <v>3.1675499999999999</v>
      </c>
      <c r="CS20">
        <v>2.6668599999999998</v>
      </c>
      <c r="CT20">
        <v>-1.24241E-3</v>
      </c>
      <c r="CU20">
        <v>1.58993E-3</v>
      </c>
      <c r="CV20">
        <v>3.0358E-2</v>
      </c>
      <c r="CW20">
        <v>-2.16615E-2</v>
      </c>
      <c r="CX20">
        <v>21543.1</v>
      </c>
      <c r="CY20">
        <v>21812.7</v>
      </c>
      <c r="CZ20">
        <v>23050.9</v>
      </c>
      <c r="DA20">
        <v>22206.2</v>
      </c>
      <c r="DB20">
        <v>28820.9</v>
      </c>
      <c r="DC20">
        <v>27039.8</v>
      </c>
      <c r="DD20">
        <v>40514.6</v>
      </c>
      <c r="DE20">
        <v>36779.5</v>
      </c>
      <c r="DF20">
        <v>2.0649600000000001</v>
      </c>
      <c r="DG20">
        <v>1.8006200000000001</v>
      </c>
      <c r="DH20">
        <v>1.3291799999999999E-3</v>
      </c>
      <c r="DI20">
        <v>0</v>
      </c>
      <c r="DJ20">
        <v>31.317499999999999</v>
      </c>
      <c r="DK20">
        <v>999.9</v>
      </c>
      <c r="DL20">
        <v>84.2</v>
      </c>
      <c r="DM20">
        <v>27.5</v>
      </c>
      <c r="DN20">
        <v>30.926600000000001</v>
      </c>
      <c r="DO20">
        <v>30.363700000000001</v>
      </c>
      <c r="DP20">
        <v>8.5176300000000005</v>
      </c>
      <c r="DQ20">
        <v>1</v>
      </c>
      <c r="DR20">
        <v>0.44756899999999999</v>
      </c>
      <c r="DS20">
        <v>2.8748</v>
      </c>
      <c r="DT20">
        <v>20.330400000000001</v>
      </c>
      <c r="DU20">
        <v>5.2117800000000001</v>
      </c>
      <c r="DV20">
        <v>11.8531</v>
      </c>
      <c r="DW20">
        <v>4.9677600000000002</v>
      </c>
      <c r="DX20">
        <v>3.2929599999999999</v>
      </c>
      <c r="DY20">
        <v>894.7</v>
      </c>
      <c r="DZ20">
        <v>6</v>
      </c>
      <c r="EA20">
        <v>9999</v>
      </c>
      <c r="EB20">
        <v>115.8</v>
      </c>
      <c r="EC20">
        <v>4.9716199999999997</v>
      </c>
      <c r="ED20">
        <v>1.8719399999999999</v>
      </c>
      <c r="EE20">
        <v>1.8690500000000001</v>
      </c>
      <c r="EF20">
        <v>1.8714900000000001</v>
      </c>
      <c r="EG20">
        <v>1.8692</v>
      </c>
      <c r="EH20">
        <v>1.8681300000000001</v>
      </c>
      <c r="EI20">
        <v>1.8699600000000001</v>
      </c>
      <c r="EJ20">
        <v>1.8717999999999999</v>
      </c>
      <c r="EK20">
        <v>0</v>
      </c>
      <c r="EL20">
        <v>0</v>
      </c>
      <c r="EM20">
        <v>0</v>
      </c>
      <c r="EN20">
        <v>0</v>
      </c>
      <c r="EO20" t="s">
        <v>320</v>
      </c>
      <c r="EP20" t="s">
        <v>321</v>
      </c>
      <c r="EQ20" t="s">
        <v>322</v>
      </c>
      <c r="ER20" t="s">
        <v>322</v>
      </c>
      <c r="ES20" t="s">
        <v>322</v>
      </c>
      <c r="ET20" t="s">
        <v>322</v>
      </c>
      <c r="EU20">
        <v>0</v>
      </c>
      <c r="EV20">
        <v>100</v>
      </c>
      <c r="EW20">
        <v>100</v>
      </c>
      <c r="EX20">
        <v>7.8209999999999997</v>
      </c>
      <c r="EY20">
        <v>-1.083</v>
      </c>
      <c r="EZ20">
        <v>7.9193729999999993</v>
      </c>
      <c r="FA20">
        <v>0</v>
      </c>
      <c r="FB20">
        <v>0</v>
      </c>
      <c r="FC20">
        <v>0</v>
      </c>
      <c r="FD20">
        <v>-1.0722689999999999</v>
      </c>
      <c r="FE20">
        <v>0</v>
      </c>
      <c r="FF20">
        <v>0</v>
      </c>
      <c r="FG20">
        <v>0</v>
      </c>
      <c r="FH20">
        <v>-1</v>
      </c>
      <c r="FI20">
        <v>-1</v>
      </c>
      <c r="FJ20">
        <v>-1</v>
      </c>
      <c r="FK20">
        <v>-1</v>
      </c>
      <c r="FL20">
        <v>0.6</v>
      </c>
      <c r="FM20">
        <v>0.3</v>
      </c>
      <c r="FN20">
        <v>0.145264</v>
      </c>
      <c r="FO20">
        <v>4.99756</v>
      </c>
      <c r="FP20">
        <v>1.5979000000000001</v>
      </c>
      <c r="FQ20">
        <v>2.1740699999999999</v>
      </c>
      <c r="FR20">
        <v>1.5478499999999999</v>
      </c>
      <c r="FS20">
        <v>2.3034699999999999</v>
      </c>
      <c r="FT20">
        <v>34.349699999999999</v>
      </c>
      <c r="FU20">
        <v>15.9533</v>
      </c>
      <c r="FV20">
        <v>2</v>
      </c>
      <c r="FW20">
        <v>500.68599999999998</v>
      </c>
      <c r="FX20">
        <v>418.17500000000001</v>
      </c>
      <c r="FY20">
        <v>30.834800000000001</v>
      </c>
      <c r="FZ20">
        <v>32.661799999999999</v>
      </c>
      <c r="GA20">
        <v>30.006499999999999</v>
      </c>
      <c r="GB20">
        <v>32.223100000000002</v>
      </c>
      <c r="GC20">
        <v>32.025700000000001</v>
      </c>
      <c r="GD20">
        <v>-1</v>
      </c>
      <c r="GE20">
        <v>0</v>
      </c>
      <c r="GF20">
        <v>100</v>
      </c>
      <c r="GG20">
        <v>30.833500000000001</v>
      </c>
      <c r="GH20">
        <v>432.1</v>
      </c>
      <c r="GI20">
        <v>26.271999999999998</v>
      </c>
      <c r="GJ20">
        <v>101.97799999999999</v>
      </c>
      <c r="GK20">
        <v>95.992800000000003</v>
      </c>
    </row>
    <row r="21" spans="1:193" x14ac:dyDescent="0.35">
      <c r="A21">
        <v>5</v>
      </c>
      <c r="B21">
        <v>1775532266.0999999</v>
      </c>
      <c r="C21">
        <v>240</v>
      </c>
      <c r="D21" t="s">
        <v>332</v>
      </c>
      <c r="E21" t="s">
        <v>333</v>
      </c>
      <c r="F21">
        <v>60</v>
      </c>
      <c r="G21">
        <v>1775532258.349999</v>
      </c>
      <c r="H21">
        <f t="shared" si="0"/>
        <v>1.0140472993751943E-2</v>
      </c>
      <c r="I21">
        <f t="shared" si="1"/>
        <v>10.140472993751944</v>
      </c>
      <c r="J21">
        <f t="shared" si="2"/>
        <v>0.93098980756801641</v>
      </c>
      <c r="K21">
        <f t="shared" si="3"/>
        <v>5.7223630333333331</v>
      </c>
      <c r="L21">
        <f t="shared" si="4"/>
        <v>-0.71845016851287757</v>
      </c>
      <c r="M21">
        <f t="shared" si="5"/>
        <v>-7.2127085833298132E-2</v>
      </c>
      <c r="N21">
        <f t="shared" si="6"/>
        <v>0.57448294643573139</v>
      </c>
      <c r="O21">
        <f t="shared" si="7"/>
        <v>0.2492979205284466</v>
      </c>
      <c r="P21">
        <f t="shared" si="8"/>
        <v>2.3941975601765604</v>
      </c>
      <c r="Q21">
        <f t="shared" si="9"/>
        <v>0.23572224241252568</v>
      </c>
      <c r="R21">
        <f t="shared" si="10"/>
        <v>0.14848448468095343</v>
      </c>
      <c r="S21">
        <f t="shared" si="11"/>
        <v>0.22290260720000005</v>
      </c>
      <c r="T21">
        <f t="shared" si="12"/>
        <v>28.03662406530044</v>
      </c>
      <c r="U21">
        <f t="shared" si="13"/>
        <v>31.32192666666667</v>
      </c>
      <c r="V21">
        <f t="shared" si="14"/>
        <v>4.5948517479206998</v>
      </c>
      <c r="W21">
        <f t="shared" si="15"/>
        <v>8.3960601588724071</v>
      </c>
      <c r="X21">
        <f t="shared" si="16"/>
        <v>0.38316257565094092</v>
      </c>
      <c r="Y21">
        <f t="shared" si="17"/>
        <v>4.5635996931970499</v>
      </c>
      <c r="Z21">
        <f t="shared" si="18"/>
        <v>4.2116891722697591</v>
      </c>
      <c r="AA21">
        <f t="shared" si="19"/>
        <v>-447.1948590244607</v>
      </c>
      <c r="AB21">
        <f t="shared" si="20"/>
        <v>-15.479651891925453</v>
      </c>
      <c r="AC21">
        <f t="shared" si="21"/>
        <v>-1.4556448252137295</v>
      </c>
      <c r="AD21">
        <f t="shared" si="22"/>
        <v>-463.90725313439992</v>
      </c>
      <c r="AE21">
        <v>9</v>
      </c>
      <c r="AF21">
        <v>2</v>
      </c>
      <c r="AG21">
        <f t="shared" si="23"/>
        <v>1</v>
      </c>
      <c r="AH21">
        <f t="shared" si="24"/>
        <v>0</v>
      </c>
      <c r="AI21">
        <f t="shared" si="25"/>
        <v>25249.277358509164</v>
      </c>
      <c r="AJ21">
        <f t="shared" si="26"/>
        <v>1.1664186666666669</v>
      </c>
      <c r="AK21">
        <f t="shared" si="27"/>
        <v>0.93313493333333364</v>
      </c>
      <c r="AL21">
        <f t="shared" si="28"/>
        <v>0.8</v>
      </c>
      <c r="AM21">
        <f t="shared" si="29"/>
        <v>0.19109999999999999</v>
      </c>
      <c r="AN21">
        <v>3</v>
      </c>
      <c r="AO21">
        <v>0.5</v>
      </c>
      <c r="AP21" t="s">
        <v>317</v>
      </c>
      <c r="AQ21">
        <v>2</v>
      </c>
      <c r="AR21">
        <v>1775532258.349999</v>
      </c>
      <c r="AS21">
        <v>5.7223630333333331</v>
      </c>
      <c r="AT21">
        <v>6.3154386666666662</v>
      </c>
      <c r="AU21">
        <v>3.8166413333333322</v>
      </c>
      <c r="AV21">
        <v>-2.2410019999999999</v>
      </c>
      <c r="AW21">
        <v>-2.0356369666666669</v>
      </c>
      <c r="AX21">
        <v>4.9106413333333334</v>
      </c>
      <c r="AY21">
        <v>500.28219999999988</v>
      </c>
      <c r="AZ21">
        <v>100.34666666666659</v>
      </c>
      <c r="BA21">
        <v>4.5940913333333347E-2</v>
      </c>
      <c r="BB21">
        <v>31.202000000000002</v>
      </c>
      <c r="BC21">
        <v>31.32192666666667</v>
      </c>
      <c r="BD21">
        <v>999.9000000000002</v>
      </c>
      <c r="BE21">
        <v>0</v>
      </c>
      <c r="BF21">
        <v>0</v>
      </c>
      <c r="BG21">
        <v>4998.5666666666666</v>
      </c>
      <c r="BH21">
        <v>1.1664186666666669</v>
      </c>
      <c r="BI21">
        <v>1053.390333333333</v>
      </c>
      <c r="BJ21">
        <v>-0.53012172466666663</v>
      </c>
      <c r="BK21">
        <v>5.8074960000000004</v>
      </c>
      <c r="BL21">
        <v>6.3013123333333327</v>
      </c>
      <c r="BM21">
        <v>6.0686256666666658</v>
      </c>
      <c r="BN21">
        <v>6.3154386666666662</v>
      </c>
      <c r="BO21">
        <v>-2.2410019999999999</v>
      </c>
      <c r="BP21">
        <v>0.38408959999999998</v>
      </c>
      <c r="BQ21">
        <v>-0.22487723333333329</v>
      </c>
      <c r="BR21">
        <v>-6.284408</v>
      </c>
      <c r="BS21">
        <v>-99.900000000000034</v>
      </c>
      <c r="BT21">
        <v>1775532306.0999999</v>
      </c>
      <c r="BU21" t="s">
        <v>334</v>
      </c>
      <c r="BV21">
        <v>1775532284.0999999</v>
      </c>
      <c r="BW21">
        <v>1775532306.0999999</v>
      </c>
      <c r="BX21">
        <v>6</v>
      </c>
      <c r="BY21">
        <v>-6.3E-2</v>
      </c>
      <c r="BZ21">
        <v>-1.0999999999999999E-2</v>
      </c>
      <c r="CA21">
        <v>7.758</v>
      </c>
      <c r="CB21">
        <v>-1.0940000000000001</v>
      </c>
      <c r="CC21">
        <v>5</v>
      </c>
      <c r="CD21">
        <v>-2</v>
      </c>
      <c r="CE21">
        <v>0.15</v>
      </c>
      <c r="CF21">
        <v>0.01</v>
      </c>
      <c r="CG21">
        <v>8.1172268852459002</v>
      </c>
      <c r="CH21">
        <v>-12.71170362771019</v>
      </c>
      <c r="CI21">
        <v>2.283438547043271</v>
      </c>
      <c r="CJ21">
        <v>-1</v>
      </c>
      <c r="CK21">
        <v>500.88732786885248</v>
      </c>
      <c r="CL21">
        <v>-1.132797461660914</v>
      </c>
      <c r="CM21">
        <v>1.734188256474902</v>
      </c>
      <c r="CN21">
        <v>-1</v>
      </c>
      <c r="CO21">
        <v>0</v>
      </c>
      <c r="CP21">
        <v>0</v>
      </c>
      <c r="CQ21" t="s">
        <v>319</v>
      </c>
      <c r="CR21">
        <v>3.1675900000000001</v>
      </c>
      <c r="CS21">
        <v>2.6675399999999998</v>
      </c>
      <c r="CT21">
        <v>-1.0504500000000001E-3</v>
      </c>
      <c r="CU21">
        <v>1.53977E-3</v>
      </c>
      <c r="CV21">
        <v>3.3683900000000003E-2</v>
      </c>
      <c r="CW21">
        <v>-2.0960699999999999E-2</v>
      </c>
      <c r="CX21">
        <v>21522.2</v>
      </c>
      <c r="CY21">
        <v>21807.5</v>
      </c>
      <c r="CZ21">
        <v>23034.400000000001</v>
      </c>
      <c r="DA21">
        <v>22200.799999999999</v>
      </c>
      <c r="DB21">
        <v>28702.1</v>
      </c>
      <c r="DC21">
        <v>27012.7</v>
      </c>
      <c r="DD21">
        <v>40487.4</v>
      </c>
      <c r="DE21">
        <v>36767.599999999999</v>
      </c>
      <c r="DF21">
        <v>2.0632199999999998</v>
      </c>
      <c r="DG21">
        <v>1.79338</v>
      </c>
      <c r="DH21">
        <v>-1.19805E-3</v>
      </c>
      <c r="DI21">
        <v>0</v>
      </c>
      <c r="DJ21">
        <v>31.3569</v>
      </c>
      <c r="DK21">
        <v>999.9</v>
      </c>
      <c r="DL21">
        <v>83.7</v>
      </c>
      <c r="DM21">
        <v>27.8</v>
      </c>
      <c r="DN21">
        <v>31.286799999999999</v>
      </c>
      <c r="DO21">
        <v>30.483699999999999</v>
      </c>
      <c r="DP21">
        <v>8.4655500000000004</v>
      </c>
      <c r="DQ21">
        <v>1</v>
      </c>
      <c r="DR21">
        <v>0.46851799999999999</v>
      </c>
      <c r="DS21">
        <v>1.7714300000000001</v>
      </c>
      <c r="DT21">
        <v>20.3521</v>
      </c>
      <c r="DU21">
        <v>5.2111799999999997</v>
      </c>
      <c r="DV21">
        <v>11.852399999999999</v>
      </c>
      <c r="DW21">
        <v>4.9677600000000002</v>
      </c>
      <c r="DX21">
        <v>3.29298</v>
      </c>
      <c r="DY21">
        <v>894.7</v>
      </c>
      <c r="DZ21">
        <v>6</v>
      </c>
      <c r="EA21">
        <v>9999</v>
      </c>
      <c r="EB21">
        <v>115.8</v>
      </c>
      <c r="EC21">
        <v>4.9716100000000001</v>
      </c>
      <c r="ED21">
        <v>1.87195</v>
      </c>
      <c r="EE21">
        <v>1.8690500000000001</v>
      </c>
      <c r="EF21">
        <v>1.8714900000000001</v>
      </c>
      <c r="EG21">
        <v>1.86921</v>
      </c>
      <c r="EH21">
        <v>1.8681399999999999</v>
      </c>
      <c r="EI21">
        <v>1.86999</v>
      </c>
      <c r="EJ21">
        <v>1.8717999999999999</v>
      </c>
      <c r="EK21">
        <v>0</v>
      </c>
      <c r="EL21">
        <v>0</v>
      </c>
      <c r="EM21">
        <v>0</v>
      </c>
      <c r="EN21">
        <v>0</v>
      </c>
      <c r="EO21" t="s">
        <v>320</v>
      </c>
      <c r="EP21" t="s">
        <v>321</v>
      </c>
      <c r="EQ21" t="s">
        <v>322</v>
      </c>
      <c r="ER21" t="s">
        <v>322</v>
      </c>
      <c r="ES21" t="s">
        <v>322</v>
      </c>
      <c r="ET21" t="s">
        <v>322</v>
      </c>
      <c r="EU21">
        <v>0</v>
      </c>
      <c r="EV21">
        <v>100</v>
      </c>
      <c r="EW21">
        <v>100</v>
      </c>
      <c r="EX21">
        <v>7.758</v>
      </c>
      <c r="EY21">
        <v>-1.0940000000000001</v>
      </c>
      <c r="EZ21">
        <v>7.8209545000000009</v>
      </c>
      <c r="FA21">
        <v>0</v>
      </c>
      <c r="FB21">
        <v>0</v>
      </c>
      <c r="FC21">
        <v>0</v>
      </c>
      <c r="FD21">
        <v>-1.0830180952380959</v>
      </c>
      <c r="FE21">
        <v>0</v>
      </c>
      <c r="FF21">
        <v>0</v>
      </c>
      <c r="FG21">
        <v>0</v>
      </c>
      <c r="FH21">
        <v>-1</v>
      </c>
      <c r="FI21">
        <v>-1</v>
      </c>
      <c r="FJ21">
        <v>-1</v>
      </c>
      <c r="FK21">
        <v>-1</v>
      </c>
      <c r="FL21">
        <v>0.6</v>
      </c>
      <c r="FM21">
        <v>0.4</v>
      </c>
      <c r="FN21">
        <v>0.145264</v>
      </c>
      <c r="FO21">
        <v>4.99756</v>
      </c>
      <c r="FP21">
        <v>1.5979000000000001</v>
      </c>
      <c r="FQ21">
        <v>2.1728499999999999</v>
      </c>
      <c r="FR21">
        <v>1.5478499999999999</v>
      </c>
      <c r="FS21">
        <v>2.3877000000000002</v>
      </c>
      <c r="FT21">
        <v>34.829599999999999</v>
      </c>
      <c r="FU21">
        <v>15.9533</v>
      </c>
      <c r="FV21">
        <v>2</v>
      </c>
      <c r="FW21">
        <v>502.86900000000003</v>
      </c>
      <c r="FX21">
        <v>416.786</v>
      </c>
      <c r="FY21">
        <v>31.151</v>
      </c>
      <c r="FZ21">
        <v>33.0471</v>
      </c>
      <c r="GA21">
        <v>30.0032</v>
      </c>
      <c r="GB21">
        <v>32.653300000000002</v>
      </c>
      <c r="GC21">
        <v>32.470700000000001</v>
      </c>
      <c r="GD21">
        <v>-1</v>
      </c>
      <c r="GE21">
        <v>0</v>
      </c>
      <c r="GF21">
        <v>100</v>
      </c>
      <c r="GG21">
        <v>30.9985</v>
      </c>
      <c r="GH21">
        <v>432.1</v>
      </c>
      <c r="GI21">
        <v>26.271999999999998</v>
      </c>
      <c r="GJ21">
        <v>101.908</v>
      </c>
      <c r="GK21">
        <v>95.964799999999997</v>
      </c>
    </row>
    <row r="22" spans="1:193" x14ac:dyDescent="0.35">
      <c r="A22">
        <v>6</v>
      </c>
      <c r="B22">
        <v>1775532326.0999999</v>
      </c>
      <c r="C22">
        <v>300</v>
      </c>
      <c r="D22" t="s">
        <v>335</v>
      </c>
      <c r="E22" t="s">
        <v>336</v>
      </c>
      <c r="F22">
        <v>60</v>
      </c>
      <c r="G22">
        <v>1775532318.099999</v>
      </c>
      <c r="H22">
        <f t="shared" si="0"/>
        <v>1.0599577082077609E-2</v>
      </c>
      <c r="I22">
        <f t="shared" si="1"/>
        <v>10.599577082077609</v>
      </c>
      <c r="J22">
        <f t="shared" si="2"/>
        <v>6.5176204968097791</v>
      </c>
      <c r="K22">
        <f t="shared" si="3"/>
        <v>3.3237954838709691</v>
      </c>
      <c r="L22">
        <f t="shared" si="4"/>
        <v>-37.168059632124674</v>
      </c>
      <c r="M22">
        <f t="shared" si="5"/>
        <v>-3.7308482608056055</v>
      </c>
      <c r="N22">
        <f t="shared" si="6"/>
        <v>0.33363529662322233</v>
      </c>
      <c r="O22">
        <f t="shared" si="7"/>
        <v>0.26349166390877998</v>
      </c>
      <c r="P22">
        <f t="shared" si="8"/>
        <v>2.3974695021881449</v>
      </c>
      <c r="Q22">
        <f t="shared" si="9"/>
        <v>0.24839579132682704</v>
      </c>
      <c r="R22">
        <f t="shared" si="10"/>
        <v>0.15653155518165307</v>
      </c>
      <c r="S22">
        <f t="shared" si="11"/>
        <v>0.22591404319354846</v>
      </c>
      <c r="T22">
        <f t="shared" si="12"/>
        <v>27.903990548705909</v>
      </c>
      <c r="U22">
        <f t="shared" si="13"/>
        <v>31.311367741935481</v>
      </c>
      <c r="V22">
        <f t="shared" si="14"/>
        <v>4.5920927031709056</v>
      </c>
      <c r="W22">
        <f t="shared" si="15"/>
        <v>9.1034921454181781</v>
      </c>
      <c r="X22">
        <f t="shared" si="16"/>
        <v>0.41560261454211206</v>
      </c>
      <c r="Y22">
        <f t="shared" si="17"/>
        <v>4.5653097504048095</v>
      </c>
      <c r="Z22">
        <f t="shared" si="18"/>
        <v>4.1764900886287935</v>
      </c>
      <c r="AA22">
        <f t="shared" si="19"/>
        <v>-467.44134931962259</v>
      </c>
      <c r="AB22">
        <f t="shared" si="20"/>
        <v>-13.28547645985075</v>
      </c>
      <c r="AC22">
        <f t="shared" si="21"/>
        <v>-1.2475838248630615</v>
      </c>
      <c r="AD22">
        <f t="shared" si="22"/>
        <v>-481.74849556114287</v>
      </c>
      <c r="AE22">
        <v>8</v>
      </c>
      <c r="AF22">
        <v>2</v>
      </c>
      <c r="AG22">
        <f t="shared" si="23"/>
        <v>1</v>
      </c>
      <c r="AH22">
        <f t="shared" si="24"/>
        <v>0</v>
      </c>
      <c r="AI22">
        <f t="shared" si="25"/>
        <v>25298.457219424043</v>
      </c>
      <c r="AJ22">
        <f t="shared" si="26"/>
        <v>1.182177096774194</v>
      </c>
      <c r="AK22">
        <f t="shared" si="27"/>
        <v>0.94574167741935522</v>
      </c>
      <c r="AL22">
        <f t="shared" si="28"/>
        <v>0.8</v>
      </c>
      <c r="AM22">
        <f t="shared" si="29"/>
        <v>0.19109999999999999</v>
      </c>
      <c r="AN22">
        <v>3</v>
      </c>
      <c r="AO22">
        <v>0.5</v>
      </c>
      <c r="AP22" t="s">
        <v>317</v>
      </c>
      <c r="AQ22">
        <v>2</v>
      </c>
      <c r="AR22">
        <v>1775532318.099999</v>
      </c>
      <c r="AS22">
        <v>3.3237954838709691</v>
      </c>
      <c r="AT22">
        <v>7.2477174193548386</v>
      </c>
      <c r="AU22">
        <v>4.1403835483870974</v>
      </c>
      <c r="AV22">
        <v>-2.180484193548387</v>
      </c>
      <c r="AW22">
        <v>-4.3252045161290313</v>
      </c>
      <c r="AX22">
        <v>5.2453835483870979</v>
      </c>
      <c r="AY22">
        <v>500.99248387096782</v>
      </c>
      <c r="AZ22">
        <v>100.33138709677419</v>
      </c>
      <c r="BA22">
        <v>4.6418409677419357E-2</v>
      </c>
      <c r="BB22">
        <v>31.208580645161291</v>
      </c>
      <c r="BC22">
        <v>31.311367741935481</v>
      </c>
      <c r="BD22">
        <v>999.90000000000032</v>
      </c>
      <c r="BE22">
        <v>0</v>
      </c>
      <c r="BF22">
        <v>0</v>
      </c>
      <c r="BG22">
        <v>5007.7419354838712</v>
      </c>
      <c r="BH22">
        <v>1.182177096774194</v>
      </c>
      <c r="BI22">
        <v>1030.8158064516131</v>
      </c>
      <c r="BJ22">
        <v>-3.815180322580646</v>
      </c>
      <c r="BK22">
        <v>3.4468780645161292</v>
      </c>
      <c r="BL22">
        <v>7.2319551612903243</v>
      </c>
      <c r="BM22">
        <v>6.3321387096774204</v>
      </c>
      <c r="BN22">
        <v>7.2477174193548386</v>
      </c>
      <c r="BO22">
        <v>-2.180484193548387</v>
      </c>
      <c r="BP22">
        <v>0.41654083870967751</v>
      </c>
      <c r="BQ22">
        <v>-0.2187709677419355</v>
      </c>
      <c r="BR22">
        <v>-5.405116451612904</v>
      </c>
      <c r="BS22">
        <v>-99.900000000000034</v>
      </c>
      <c r="BT22">
        <v>1775532366.5999999</v>
      </c>
      <c r="BU22" t="s">
        <v>337</v>
      </c>
      <c r="BV22">
        <v>1775532366.5999999</v>
      </c>
      <c r="BW22">
        <v>1775532366.5999999</v>
      </c>
      <c r="BX22">
        <v>7</v>
      </c>
      <c r="BY22">
        <v>-0.109</v>
      </c>
      <c r="BZ22">
        <v>-1.0999999999999999E-2</v>
      </c>
      <c r="CA22">
        <v>7.649</v>
      </c>
      <c r="CB22">
        <v>-1.105</v>
      </c>
      <c r="CC22">
        <v>6</v>
      </c>
      <c r="CD22">
        <v>-2</v>
      </c>
      <c r="CE22">
        <v>1.54</v>
      </c>
      <c r="CF22">
        <v>0.01</v>
      </c>
      <c r="CG22">
        <v>6.0423818032786878</v>
      </c>
      <c r="CH22">
        <v>10.34641307244844</v>
      </c>
      <c r="CI22">
        <v>1.721071180234697</v>
      </c>
      <c r="CJ22">
        <v>-1</v>
      </c>
      <c r="CK22">
        <v>500.88426229508201</v>
      </c>
      <c r="CL22">
        <v>7.4919090427939899E-2</v>
      </c>
      <c r="CM22">
        <v>1.7367617398588</v>
      </c>
      <c r="CN22">
        <v>-1</v>
      </c>
      <c r="CO22">
        <v>0</v>
      </c>
      <c r="CP22">
        <v>0</v>
      </c>
      <c r="CQ22" t="s">
        <v>319</v>
      </c>
      <c r="CR22">
        <v>3.1677200000000001</v>
      </c>
      <c r="CS22">
        <v>2.6674600000000002</v>
      </c>
      <c r="CT22">
        <v>-7.7950600000000001E-4</v>
      </c>
      <c r="CU22">
        <v>3.1682300000000002E-3</v>
      </c>
      <c r="CV22">
        <v>3.6678299999999997E-2</v>
      </c>
      <c r="CW22">
        <v>-2.0249E-2</v>
      </c>
      <c r="CX22">
        <v>21500.9</v>
      </c>
      <c r="CY22">
        <v>21765.7</v>
      </c>
      <c r="CZ22">
        <v>23019.1</v>
      </c>
      <c r="DA22">
        <v>22195.3</v>
      </c>
      <c r="DB22">
        <v>28594.799999999999</v>
      </c>
      <c r="DC22">
        <v>26985.599999999999</v>
      </c>
      <c r="DD22">
        <v>40462.300000000003</v>
      </c>
      <c r="DE22">
        <v>36756.199999999997</v>
      </c>
      <c r="DF22">
        <v>2.0603600000000002</v>
      </c>
      <c r="DG22">
        <v>1.78748</v>
      </c>
      <c r="DH22">
        <v>-5.2690499999999999E-3</v>
      </c>
      <c r="DI22">
        <v>0</v>
      </c>
      <c r="DJ22">
        <v>31.401299999999999</v>
      </c>
      <c r="DK22">
        <v>999.9</v>
      </c>
      <c r="DL22">
        <v>83.2</v>
      </c>
      <c r="DM22">
        <v>28.1</v>
      </c>
      <c r="DN22">
        <v>31.653600000000001</v>
      </c>
      <c r="DO22">
        <v>30.6937</v>
      </c>
      <c r="DP22">
        <v>8.1450300000000002</v>
      </c>
      <c r="DQ22">
        <v>1</v>
      </c>
      <c r="DR22">
        <v>0.496583</v>
      </c>
      <c r="DS22">
        <v>1.2431700000000001</v>
      </c>
      <c r="DT22">
        <v>20.358699999999999</v>
      </c>
      <c r="DU22">
        <v>5.2112999999999996</v>
      </c>
      <c r="DV22">
        <v>11.8537</v>
      </c>
      <c r="DW22">
        <v>4.9676</v>
      </c>
      <c r="DX22">
        <v>3.2930000000000001</v>
      </c>
      <c r="DY22">
        <v>894.7</v>
      </c>
      <c r="DZ22">
        <v>6</v>
      </c>
      <c r="EA22">
        <v>9999</v>
      </c>
      <c r="EB22">
        <v>115.8</v>
      </c>
      <c r="EC22">
        <v>4.9716199999999997</v>
      </c>
      <c r="ED22">
        <v>1.87195</v>
      </c>
      <c r="EE22">
        <v>1.8690899999999999</v>
      </c>
      <c r="EF22">
        <v>1.8714900000000001</v>
      </c>
      <c r="EG22">
        <v>1.8692200000000001</v>
      </c>
      <c r="EH22">
        <v>1.86816</v>
      </c>
      <c r="EI22">
        <v>1.87001</v>
      </c>
      <c r="EJ22">
        <v>1.8717999999999999</v>
      </c>
      <c r="EK22">
        <v>0</v>
      </c>
      <c r="EL22">
        <v>0</v>
      </c>
      <c r="EM22">
        <v>0</v>
      </c>
      <c r="EN22">
        <v>0</v>
      </c>
      <c r="EO22" t="s">
        <v>320</v>
      </c>
      <c r="EP22" t="s">
        <v>321</v>
      </c>
      <c r="EQ22" t="s">
        <v>322</v>
      </c>
      <c r="ER22" t="s">
        <v>322</v>
      </c>
      <c r="ES22" t="s">
        <v>322</v>
      </c>
      <c r="ET22" t="s">
        <v>322</v>
      </c>
      <c r="EU22">
        <v>0</v>
      </c>
      <c r="EV22">
        <v>100</v>
      </c>
      <c r="EW22">
        <v>100</v>
      </c>
      <c r="EX22">
        <v>7.649</v>
      </c>
      <c r="EY22">
        <v>-1.105</v>
      </c>
      <c r="EZ22">
        <v>7.7577394999999996</v>
      </c>
      <c r="FA22">
        <v>0</v>
      </c>
      <c r="FB22">
        <v>0</v>
      </c>
      <c r="FC22">
        <v>0</v>
      </c>
      <c r="FD22">
        <v>-1.0937285000000001</v>
      </c>
      <c r="FE22">
        <v>0</v>
      </c>
      <c r="FF22">
        <v>0</v>
      </c>
      <c r="FG22">
        <v>0</v>
      </c>
      <c r="FH22">
        <v>-1</v>
      </c>
      <c r="FI22">
        <v>-1</v>
      </c>
      <c r="FJ22">
        <v>-1</v>
      </c>
      <c r="FK22">
        <v>-1</v>
      </c>
      <c r="FL22">
        <v>0.7</v>
      </c>
      <c r="FM22">
        <v>0.3</v>
      </c>
      <c r="FN22">
        <v>0.145264</v>
      </c>
      <c r="FO22">
        <v>4.99756</v>
      </c>
      <c r="FP22">
        <v>1.5979000000000001</v>
      </c>
      <c r="FQ22">
        <v>2.1716299999999999</v>
      </c>
      <c r="FR22">
        <v>1.5478499999999999</v>
      </c>
      <c r="FS22">
        <v>2.4511699999999998</v>
      </c>
      <c r="FT22">
        <v>35.290199999999999</v>
      </c>
      <c r="FU22">
        <v>15.970800000000001</v>
      </c>
      <c r="FV22">
        <v>2</v>
      </c>
      <c r="FW22">
        <v>504.09399999999999</v>
      </c>
      <c r="FX22">
        <v>415.84100000000001</v>
      </c>
      <c r="FY22">
        <v>30.952000000000002</v>
      </c>
      <c r="FZ22">
        <v>33.378</v>
      </c>
      <c r="GA22">
        <v>30.002199999999998</v>
      </c>
      <c r="GB22">
        <v>33.046300000000002</v>
      </c>
      <c r="GC22">
        <v>32.866199999999999</v>
      </c>
      <c r="GD22">
        <v>-1</v>
      </c>
      <c r="GE22">
        <v>0</v>
      </c>
      <c r="GF22">
        <v>100</v>
      </c>
      <c r="GG22">
        <v>30.947199999999999</v>
      </c>
      <c r="GH22">
        <v>432.1</v>
      </c>
      <c r="GI22">
        <v>26.271999999999998</v>
      </c>
      <c r="GJ22">
        <v>101.843</v>
      </c>
      <c r="GK22">
        <v>95.937200000000004</v>
      </c>
    </row>
    <row r="23" spans="1:193" x14ac:dyDescent="0.35">
      <c r="A23">
        <v>7</v>
      </c>
      <c r="B23">
        <v>1775532386.0999999</v>
      </c>
      <c r="C23">
        <v>360</v>
      </c>
      <c r="D23" t="s">
        <v>338</v>
      </c>
      <c r="E23" t="s">
        <v>339</v>
      </c>
      <c r="F23">
        <v>60</v>
      </c>
      <c r="G23">
        <v>1775532378.349999</v>
      </c>
      <c r="H23">
        <f t="shared" si="0"/>
        <v>1.1178362994675254E-2</v>
      </c>
      <c r="I23">
        <f t="shared" si="1"/>
        <v>11.178362994675254</v>
      </c>
      <c r="J23">
        <f t="shared" si="2"/>
        <v>3.2075351264794336</v>
      </c>
      <c r="K23">
        <f t="shared" si="3"/>
        <v>2.477149000000002</v>
      </c>
      <c r="L23">
        <f t="shared" si="4"/>
        <v>-16.274029521175834</v>
      </c>
      <c r="M23">
        <f t="shared" si="5"/>
        <v>-1.6336529393966472</v>
      </c>
      <c r="N23">
        <f t="shared" si="6"/>
        <v>0.24866624089060141</v>
      </c>
      <c r="O23">
        <f t="shared" si="7"/>
        <v>0.28200181141937997</v>
      </c>
      <c r="P23">
        <f t="shared" si="8"/>
        <v>2.396267304098048</v>
      </c>
      <c r="Q23">
        <f t="shared" si="9"/>
        <v>0.26477678012285788</v>
      </c>
      <c r="R23">
        <f t="shared" si="10"/>
        <v>0.166945339121714</v>
      </c>
      <c r="S23">
        <f t="shared" si="11"/>
        <v>0.22321951470000001</v>
      </c>
      <c r="T23">
        <f t="shared" si="12"/>
        <v>27.730417890467905</v>
      </c>
      <c r="U23">
        <f t="shared" si="13"/>
        <v>31.293749999999999</v>
      </c>
      <c r="V23">
        <f t="shared" si="14"/>
        <v>4.5874924029360695</v>
      </c>
      <c r="W23">
        <f t="shared" si="15"/>
        <v>9.9820659833784493</v>
      </c>
      <c r="X23">
        <f t="shared" si="16"/>
        <v>0.45593416784619495</v>
      </c>
      <c r="Y23">
        <f t="shared" si="17"/>
        <v>4.5675330999152859</v>
      </c>
      <c r="Z23">
        <f t="shared" si="18"/>
        <v>4.1315582350898747</v>
      </c>
      <c r="AA23">
        <f t="shared" si="19"/>
        <v>-492.96580806517869</v>
      </c>
      <c r="AB23">
        <f t="shared" si="20"/>
        <v>-9.8979204440750514</v>
      </c>
      <c r="AC23">
        <f t="shared" si="21"/>
        <v>-0.92989727417700219</v>
      </c>
      <c r="AD23">
        <f t="shared" si="22"/>
        <v>-503.57040626873072</v>
      </c>
      <c r="AE23">
        <v>7</v>
      </c>
      <c r="AF23">
        <v>1</v>
      </c>
      <c r="AG23">
        <f t="shared" si="23"/>
        <v>1</v>
      </c>
      <c r="AH23">
        <f t="shared" si="24"/>
        <v>0</v>
      </c>
      <c r="AI23">
        <f t="shared" si="25"/>
        <v>25279.472472833942</v>
      </c>
      <c r="AJ23">
        <f t="shared" si="26"/>
        <v>1.168077</v>
      </c>
      <c r="AK23">
        <f t="shared" si="27"/>
        <v>0.93446160000000011</v>
      </c>
      <c r="AL23">
        <f t="shared" si="28"/>
        <v>0.8</v>
      </c>
      <c r="AM23">
        <f t="shared" si="29"/>
        <v>0.19109999999999999</v>
      </c>
      <c r="AN23">
        <v>3</v>
      </c>
      <c r="AO23">
        <v>0.5</v>
      </c>
      <c r="AP23" t="s">
        <v>317</v>
      </c>
      <c r="AQ23">
        <v>2</v>
      </c>
      <c r="AR23">
        <v>1775532378.349999</v>
      </c>
      <c r="AS23">
        <v>2.477149000000002</v>
      </c>
      <c r="AT23">
        <v>4.4138640000000002</v>
      </c>
      <c r="AU23">
        <v>4.5418986666666674</v>
      </c>
      <c r="AV23">
        <v>-2.1194526666666662</v>
      </c>
      <c r="AW23">
        <v>-5.1258509999999982</v>
      </c>
      <c r="AX23">
        <v>5.6578986666666671</v>
      </c>
      <c r="AY23">
        <v>501.14120000000003</v>
      </c>
      <c r="AZ23">
        <v>100.3370666666667</v>
      </c>
      <c r="BA23">
        <v>4.6980029999999999E-2</v>
      </c>
      <c r="BB23">
        <v>31.21713333333334</v>
      </c>
      <c r="BC23">
        <v>31.293749999999999</v>
      </c>
      <c r="BD23">
        <v>999.9000000000002</v>
      </c>
      <c r="BE23">
        <v>0</v>
      </c>
      <c r="BF23">
        <v>0</v>
      </c>
      <c r="BG23">
        <v>5004.3666666666668</v>
      </c>
      <c r="BH23">
        <v>1.168077</v>
      </c>
      <c r="BI23">
        <v>1032.3346666666671</v>
      </c>
      <c r="BJ23">
        <v>-1.8911071333333329</v>
      </c>
      <c r="BK23">
        <v>2.5339260000000001</v>
      </c>
      <c r="BL23">
        <v>4.4045293333333326</v>
      </c>
      <c r="BM23">
        <v>6.672712999999999</v>
      </c>
      <c r="BN23">
        <v>4.4138640000000002</v>
      </c>
      <c r="BO23">
        <v>-2.1194526666666662</v>
      </c>
      <c r="BP23">
        <v>0.45686113333333339</v>
      </c>
      <c r="BQ23">
        <v>-0.21265956666666669</v>
      </c>
      <c r="BR23">
        <v>-4.2766133333333327</v>
      </c>
      <c r="BS23">
        <v>-99.900000000000034</v>
      </c>
      <c r="BT23">
        <v>1775532424.0999999</v>
      </c>
      <c r="BU23" t="s">
        <v>340</v>
      </c>
      <c r="BV23">
        <v>1775532422.5999999</v>
      </c>
      <c r="BW23">
        <v>1775532424.0999999</v>
      </c>
      <c r="BX23">
        <v>8</v>
      </c>
      <c r="BY23">
        <v>-4.4999999999999998E-2</v>
      </c>
      <c r="BZ23">
        <v>-1.0999999999999999E-2</v>
      </c>
      <c r="CA23">
        <v>7.6029999999999998</v>
      </c>
      <c r="CB23">
        <v>-1.1160000000000001</v>
      </c>
      <c r="CC23">
        <v>5</v>
      </c>
      <c r="CD23">
        <v>-2</v>
      </c>
      <c r="CE23">
        <v>0.48</v>
      </c>
      <c r="CF23">
        <v>0.01</v>
      </c>
      <c r="CG23">
        <v>5.2326998360655734</v>
      </c>
      <c r="CH23">
        <v>-4.5271674669487094</v>
      </c>
      <c r="CI23">
        <v>1.251267643650835</v>
      </c>
      <c r="CJ23">
        <v>-1</v>
      </c>
      <c r="CK23">
        <v>500.90763934426241</v>
      </c>
      <c r="CL23">
        <v>0.49451295610832591</v>
      </c>
      <c r="CM23">
        <v>1.7508281228690259</v>
      </c>
      <c r="CN23">
        <v>-1</v>
      </c>
      <c r="CO23">
        <v>0</v>
      </c>
      <c r="CP23">
        <v>0</v>
      </c>
      <c r="CQ23" t="s">
        <v>319</v>
      </c>
      <c r="CR23">
        <v>3.1677399999999998</v>
      </c>
      <c r="CS23">
        <v>2.6677399999999998</v>
      </c>
      <c r="CT23">
        <v>-1.63053E-3</v>
      </c>
      <c r="CU23">
        <v>1.42921E-3</v>
      </c>
      <c r="CV23">
        <v>3.9402800000000002E-2</v>
      </c>
      <c r="CW23">
        <v>-1.9581899999999999E-2</v>
      </c>
      <c r="CX23">
        <v>21504.6</v>
      </c>
      <c r="CY23">
        <v>21797</v>
      </c>
      <c r="CZ23">
        <v>23004.7</v>
      </c>
      <c r="DA23">
        <v>22189.3</v>
      </c>
      <c r="DB23">
        <v>28496.799999999999</v>
      </c>
      <c r="DC23">
        <v>26958.7</v>
      </c>
      <c r="DD23">
        <v>40438.800000000003</v>
      </c>
      <c r="DE23">
        <v>36743.599999999999</v>
      </c>
      <c r="DF23">
        <v>2.0579200000000002</v>
      </c>
      <c r="DG23">
        <v>1.78156</v>
      </c>
      <c r="DH23">
        <v>-1.25766E-2</v>
      </c>
      <c r="DI23">
        <v>0</v>
      </c>
      <c r="DJ23">
        <v>31.49</v>
      </c>
      <c r="DK23">
        <v>999.9</v>
      </c>
      <c r="DL23">
        <v>82.6</v>
      </c>
      <c r="DM23">
        <v>28.4</v>
      </c>
      <c r="DN23">
        <v>31.976299999999998</v>
      </c>
      <c r="DO23">
        <v>30.543700000000001</v>
      </c>
      <c r="DP23">
        <v>8.3012800000000002</v>
      </c>
      <c r="DQ23">
        <v>1</v>
      </c>
      <c r="DR23">
        <v>0.52455499999999999</v>
      </c>
      <c r="DS23">
        <v>1.48454</v>
      </c>
      <c r="DT23">
        <v>20.355699999999999</v>
      </c>
      <c r="DU23">
        <v>5.2112999999999996</v>
      </c>
      <c r="DV23">
        <v>11.854200000000001</v>
      </c>
      <c r="DW23">
        <v>4.9676799999999997</v>
      </c>
      <c r="DX23">
        <v>3.2930000000000001</v>
      </c>
      <c r="DY23">
        <v>894.7</v>
      </c>
      <c r="DZ23">
        <v>6</v>
      </c>
      <c r="EA23">
        <v>9999</v>
      </c>
      <c r="EB23">
        <v>115.8</v>
      </c>
      <c r="EC23">
        <v>4.9716399999999998</v>
      </c>
      <c r="ED23">
        <v>1.8719600000000001</v>
      </c>
      <c r="EE23">
        <v>1.8690899999999999</v>
      </c>
      <c r="EF23">
        <v>1.8714900000000001</v>
      </c>
      <c r="EG23">
        <v>1.8692800000000001</v>
      </c>
      <c r="EH23">
        <v>1.8682000000000001</v>
      </c>
      <c r="EI23">
        <v>1.8700399999999999</v>
      </c>
      <c r="EJ23">
        <v>1.87181</v>
      </c>
      <c r="EK23">
        <v>0</v>
      </c>
      <c r="EL23">
        <v>0</v>
      </c>
      <c r="EM23">
        <v>0</v>
      </c>
      <c r="EN23">
        <v>0</v>
      </c>
      <c r="EO23" t="s">
        <v>320</v>
      </c>
      <c r="EP23" t="s">
        <v>321</v>
      </c>
      <c r="EQ23" t="s">
        <v>322</v>
      </c>
      <c r="ER23" t="s">
        <v>322</v>
      </c>
      <c r="ES23" t="s">
        <v>322</v>
      </c>
      <c r="ET23" t="s">
        <v>322</v>
      </c>
      <c r="EU23">
        <v>0</v>
      </c>
      <c r="EV23">
        <v>100</v>
      </c>
      <c r="EW23">
        <v>100</v>
      </c>
      <c r="EX23">
        <v>7.6029999999999998</v>
      </c>
      <c r="EY23">
        <v>-1.1160000000000001</v>
      </c>
      <c r="EZ23">
        <v>7.6486069285714278</v>
      </c>
      <c r="FA23">
        <v>0</v>
      </c>
      <c r="FB23">
        <v>0</v>
      </c>
      <c r="FC23">
        <v>0</v>
      </c>
      <c r="FD23">
        <v>-1.1046385714285709</v>
      </c>
      <c r="FE23">
        <v>0</v>
      </c>
      <c r="FF23">
        <v>0</v>
      </c>
      <c r="FG23">
        <v>0</v>
      </c>
      <c r="FH23">
        <v>-1</v>
      </c>
      <c r="FI23">
        <v>-1</v>
      </c>
      <c r="FJ23">
        <v>-1</v>
      </c>
      <c r="FK23">
        <v>-1</v>
      </c>
      <c r="FL23">
        <v>0.3</v>
      </c>
      <c r="FM23">
        <v>0.3</v>
      </c>
      <c r="FN23">
        <v>0.145264</v>
      </c>
      <c r="FO23">
        <v>4.99756</v>
      </c>
      <c r="FP23">
        <v>1.5979000000000001</v>
      </c>
      <c r="FQ23">
        <v>2.17041</v>
      </c>
      <c r="FR23">
        <v>1.5478499999999999</v>
      </c>
      <c r="FS23">
        <v>2.3962400000000001</v>
      </c>
      <c r="FT23">
        <v>35.707799999999999</v>
      </c>
      <c r="FU23">
        <v>15.9533</v>
      </c>
      <c r="FV23">
        <v>2</v>
      </c>
      <c r="FW23">
        <v>505.28300000000002</v>
      </c>
      <c r="FX23">
        <v>414.63900000000001</v>
      </c>
      <c r="FY23">
        <v>30.714700000000001</v>
      </c>
      <c r="FZ23">
        <v>33.679200000000002</v>
      </c>
      <c r="GA23">
        <v>30.002300000000002</v>
      </c>
      <c r="GB23">
        <v>33.402999999999999</v>
      </c>
      <c r="GC23">
        <v>33.227499999999999</v>
      </c>
      <c r="GD23">
        <v>-1</v>
      </c>
      <c r="GE23">
        <v>0</v>
      </c>
      <c r="GF23">
        <v>100</v>
      </c>
      <c r="GG23">
        <v>30.709299999999999</v>
      </c>
      <c r="GH23">
        <v>432.1</v>
      </c>
      <c r="GI23">
        <v>26.271999999999998</v>
      </c>
      <c r="GJ23">
        <v>101.782</v>
      </c>
      <c r="GK23">
        <v>95.906899999999993</v>
      </c>
    </row>
    <row r="24" spans="1:193" x14ac:dyDescent="0.35">
      <c r="A24">
        <v>8</v>
      </c>
      <c r="B24">
        <v>1775532446.0999999</v>
      </c>
      <c r="C24">
        <v>420</v>
      </c>
      <c r="D24" t="s">
        <v>341</v>
      </c>
      <c r="E24" t="s">
        <v>342</v>
      </c>
      <c r="F24">
        <v>60</v>
      </c>
      <c r="G24">
        <v>1775532438.099999</v>
      </c>
      <c r="H24">
        <f t="shared" si="0"/>
        <v>1.2332173399812832E-2</v>
      </c>
      <c r="I24">
        <f t="shared" si="1"/>
        <v>12.332173399812833</v>
      </c>
      <c r="J24">
        <f t="shared" si="2"/>
        <v>6.0673903720758435</v>
      </c>
      <c r="K24">
        <f t="shared" si="3"/>
        <v>2.599872903225807</v>
      </c>
      <c r="L24">
        <f t="shared" si="4"/>
        <v>-28.706736039298328</v>
      </c>
      <c r="M24">
        <f t="shared" si="5"/>
        <v>-2.8814469668437295</v>
      </c>
      <c r="N24">
        <f t="shared" si="6"/>
        <v>0.26096299770631509</v>
      </c>
      <c r="O24">
        <f t="shared" si="7"/>
        <v>0.32103232626288908</v>
      </c>
      <c r="P24">
        <f t="shared" si="8"/>
        <v>2.39292959019817</v>
      </c>
      <c r="Q24">
        <f t="shared" si="9"/>
        <v>0.29888127543546089</v>
      </c>
      <c r="R24">
        <f t="shared" si="10"/>
        <v>0.1886634608481495</v>
      </c>
      <c r="S24">
        <f t="shared" si="11"/>
        <v>0.22394090487096774</v>
      </c>
      <c r="T24">
        <f t="shared" si="12"/>
        <v>27.346154091799072</v>
      </c>
      <c r="U24">
        <f t="shared" si="13"/>
        <v>31.21868709677419</v>
      </c>
      <c r="V24">
        <f t="shared" si="14"/>
        <v>4.567937116137446</v>
      </c>
      <c r="W24">
        <f t="shared" si="15"/>
        <v>11.650250643611489</v>
      </c>
      <c r="X24">
        <f t="shared" si="16"/>
        <v>0.53154631941649733</v>
      </c>
      <c r="Y24">
        <f t="shared" si="17"/>
        <v>4.5625311907600468</v>
      </c>
      <c r="Z24">
        <f t="shared" si="18"/>
        <v>4.0363907967209487</v>
      </c>
      <c r="AA24">
        <f t="shared" si="19"/>
        <v>-543.84884693174592</v>
      </c>
      <c r="AB24">
        <f t="shared" si="20"/>
        <v>-2.6833584973888485</v>
      </c>
      <c r="AC24">
        <f t="shared" si="21"/>
        <v>-0.25233245252547298</v>
      </c>
      <c r="AD24">
        <f t="shared" si="22"/>
        <v>-546.56059697678927</v>
      </c>
      <c r="AE24">
        <v>5</v>
      </c>
      <c r="AF24">
        <v>1</v>
      </c>
      <c r="AG24">
        <f t="shared" si="23"/>
        <v>1</v>
      </c>
      <c r="AH24">
        <f t="shared" si="24"/>
        <v>0</v>
      </c>
      <c r="AI24">
        <f t="shared" si="25"/>
        <v>25231.282596696088</v>
      </c>
      <c r="AJ24">
        <f t="shared" si="26"/>
        <v>1.171851935483871</v>
      </c>
      <c r="AK24">
        <f t="shared" si="27"/>
        <v>0.93748154838709685</v>
      </c>
      <c r="AL24">
        <f t="shared" si="28"/>
        <v>0.8</v>
      </c>
      <c r="AM24">
        <f t="shared" si="29"/>
        <v>0.19109999999999999</v>
      </c>
      <c r="AN24">
        <v>3</v>
      </c>
      <c r="AO24">
        <v>0.5</v>
      </c>
      <c r="AP24" t="s">
        <v>317</v>
      </c>
      <c r="AQ24">
        <v>2</v>
      </c>
      <c r="AR24">
        <v>1775532438.099999</v>
      </c>
      <c r="AS24">
        <v>2.599872903225807</v>
      </c>
      <c r="AT24">
        <v>6.2574890322580643</v>
      </c>
      <c r="AU24">
        <v>5.295589354838711</v>
      </c>
      <c r="AV24">
        <v>-2.060397419354838</v>
      </c>
      <c r="AW24">
        <v>-4.9541270967741928</v>
      </c>
      <c r="AX24">
        <v>6.4115893548387124</v>
      </c>
      <c r="AY24">
        <v>500.28096774193551</v>
      </c>
      <c r="AZ24">
        <v>100.32887096774201</v>
      </c>
      <c r="BA24">
        <v>4.6419448387096773E-2</v>
      </c>
      <c r="BB24">
        <v>31.197887096774188</v>
      </c>
      <c r="BC24">
        <v>31.21868709677419</v>
      </c>
      <c r="BD24">
        <v>999.90000000000032</v>
      </c>
      <c r="BE24">
        <v>0</v>
      </c>
      <c r="BF24">
        <v>0</v>
      </c>
      <c r="BG24">
        <v>4996.1935483870966</v>
      </c>
      <c r="BH24">
        <v>1.171851935483871</v>
      </c>
      <c r="BI24">
        <v>1011.466129032258</v>
      </c>
      <c r="BJ24">
        <v>-3.6081322580645172</v>
      </c>
      <c r="BK24">
        <v>2.6634841935483871</v>
      </c>
      <c r="BL24">
        <v>6.244623870967744</v>
      </c>
      <c r="BM24">
        <v>7.3558670967741948</v>
      </c>
      <c r="BN24">
        <v>6.2574890322580643</v>
      </c>
      <c r="BO24">
        <v>-2.060397419354838</v>
      </c>
      <c r="BP24">
        <v>0.53128819354838708</v>
      </c>
      <c r="BQ24">
        <v>-0.2067173870967742</v>
      </c>
      <c r="BR24">
        <v>-1.968821290322581</v>
      </c>
      <c r="BS24">
        <v>-99.900000000000034</v>
      </c>
      <c r="BT24">
        <v>1775532486.5999999</v>
      </c>
      <c r="BU24" t="s">
        <v>343</v>
      </c>
      <c r="BV24">
        <v>1775532464.0999999</v>
      </c>
      <c r="BW24">
        <v>1775532424.0999999</v>
      </c>
      <c r="BX24">
        <v>9</v>
      </c>
      <c r="BY24">
        <v>-0.05</v>
      </c>
      <c r="BZ24">
        <v>-1.0999999999999999E-2</v>
      </c>
      <c r="CA24">
        <v>7.5540000000000003</v>
      </c>
      <c r="CB24">
        <v>-1.1160000000000001</v>
      </c>
      <c r="CC24">
        <v>3</v>
      </c>
      <c r="CD24">
        <v>-2</v>
      </c>
      <c r="CE24">
        <v>0.17</v>
      </c>
      <c r="CF24">
        <v>0.01</v>
      </c>
      <c r="CG24">
        <v>5.4951125000000003</v>
      </c>
      <c r="CH24">
        <v>4.4156307307585481</v>
      </c>
      <c r="CI24">
        <v>0.85598970096145632</v>
      </c>
      <c r="CJ24">
        <v>-1</v>
      </c>
      <c r="CK24">
        <v>500.90719999999999</v>
      </c>
      <c r="CL24">
        <v>-1.2944862461794859</v>
      </c>
      <c r="CM24">
        <v>1.8241852866416839</v>
      </c>
      <c r="CN24">
        <v>-1</v>
      </c>
      <c r="CO24">
        <v>0</v>
      </c>
      <c r="CP24">
        <v>0</v>
      </c>
      <c r="CQ24" t="s">
        <v>319</v>
      </c>
      <c r="CR24">
        <v>3.1677</v>
      </c>
      <c r="CS24">
        <v>2.6676500000000001</v>
      </c>
      <c r="CT24">
        <v>-1.3089099999999999E-3</v>
      </c>
      <c r="CU24">
        <v>1.9793699999999998E-3</v>
      </c>
      <c r="CV24">
        <v>4.1755599999999997E-2</v>
      </c>
      <c r="CW24">
        <v>-1.8902200000000001E-2</v>
      </c>
      <c r="CX24">
        <v>21484.1</v>
      </c>
      <c r="CY24">
        <v>21779.5</v>
      </c>
      <c r="CZ24">
        <v>22991.3</v>
      </c>
      <c r="DA24">
        <v>22184.5</v>
      </c>
      <c r="DB24">
        <v>28410.9</v>
      </c>
      <c r="DC24">
        <v>26933.5</v>
      </c>
      <c r="DD24">
        <v>40416.5</v>
      </c>
      <c r="DE24">
        <v>36733.599999999999</v>
      </c>
      <c r="DF24">
        <v>2.0570599999999999</v>
      </c>
      <c r="DG24">
        <v>1.7760800000000001</v>
      </c>
      <c r="DH24">
        <v>-1.47879E-2</v>
      </c>
      <c r="DI24">
        <v>0</v>
      </c>
      <c r="DJ24">
        <v>31.4572</v>
      </c>
      <c r="DK24">
        <v>999.9</v>
      </c>
      <c r="DL24">
        <v>82</v>
      </c>
      <c r="DM24">
        <v>28.7</v>
      </c>
      <c r="DN24">
        <v>32.304600000000001</v>
      </c>
      <c r="DO24">
        <v>30.633700000000001</v>
      </c>
      <c r="DP24">
        <v>8.2091399999999997</v>
      </c>
      <c r="DQ24">
        <v>1</v>
      </c>
      <c r="DR24">
        <v>0.54654899999999995</v>
      </c>
      <c r="DS24">
        <v>0.98082599999999998</v>
      </c>
      <c r="DT24">
        <v>20.360600000000002</v>
      </c>
      <c r="DU24">
        <v>5.2109399999999999</v>
      </c>
      <c r="DV24">
        <v>11.854200000000001</v>
      </c>
      <c r="DW24">
        <v>4.9677600000000002</v>
      </c>
      <c r="DX24">
        <v>3.29298</v>
      </c>
      <c r="DY24">
        <v>894.7</v>
      </c>
      <c r="DZ24">
        <v>6</v>
      </c>
      <c r="EA24">
        <v>9999</v>
      </c>
      <c r="EB24">
        <v>115.9</v>
      </c>
      <c r="EC24">
        <v>4.9716199999999997</v>
      </c>
      <c r="ED24">
        <v>1.87195</v>
      </c>
      <c r="EE24">
        <v>1.8691500000000001</v>
      </c>
      <c r="EF24">
        <v>1.8714900000000001</v>
      </c>
      <c r="EG24">
        <v>1.8692200000000001</v>
      </c>
      <c r="EH24">
        <v>1.8682099999999999</v>
      </c>
      <c r="EI24">
        <v>1.87009</v>
      </c>
      <c r="EJ24">
        <v>1.87181</v>
      </c>
      <c r="EK24">
        <v>0</v>
      </c>
      <c r="EL24">
        <v>0</v>
      </c>
      <c r="EM24">
        <v>0</v>
      </c>
      <c r="EN24">
        <v>0</v>
      </c>
      <c r="EO24" t="s">
        <v>320</v>
      </c>
      <c r="EP24" t="s">
        <v>321</v>
      </c>
      <c r="EQ24" t="s">
        <v>322</v>
      </c>
      <c r="ER24" t="s">
        <v>322</v>
      </c>
      <c r="ES24" t="s">
        <v>322</v>
      </c>
      <c r="ET24" t="s">
        <v>322</v>
      </c>
      <c r="EU24">
        <v>0</v>
      </c>
      <c r="EV24">
        <v>100</v>
      </c>
      <c r="EW24">
        <v>100</v>
      </c>
      <c r="EX24">
        <v>7.5540000000000003</v>
      </c>
      <c r="EY24">
        <v>-1.1160000000000001</v>
      </c>
      <c r="EZ24">
        <v>7.6034838095238104</v>
      </c>
      <c r="FA24">
        <v>0</v>
      </c>
      <c r="FB24">
        <v>0</v>
      </c>
      <c r="FC24">
        <v>0</v>
      </c>
      <c r="FD24">
        <v>-1.1161207500000001</v>
      </c>
      <c r="FE24">
        <v>0</v>
      </c>
      <c r="FF24">
        <v>0</v>
      </c>
      <c r="FG24">
        <v>0</v>
      </c>
      <c r="FH24">
        <v>-1</v>
      </c>
      <c r="FI24">
        <v>-1</v>
      </c>
      <c r="FJ24">
        <v>-1</v>
      </c>
      <c r="FK24">
        <v>-1</v>
      </c>
      <c r="FL24">
        <v>0.4</v>
      </c>
      <c r="FM24">
        <v>0.4</v>
      </c>
      <c r="FN24">
        <v>0.145264</v>
      </c>
      <c r="FO24">
        <v>4.99756</v>
      </c>
      <c r="FP24">
        <v>1.5979000000000001</v>
      </c>
      <c r="FQ24">
        <v>2.17041</v>
      </c>
      <c r="FR24">
        <v>1.5478499999999999</v>
      </c>
      <c r="FS24">
        <v>2.3852500000000001</v>
      </c>
      <c r="FT24">
        <v>36.081600000000002</v>
      </c>
      <c r="FU24">
        <v>15.962</v>
      </c>
      <c r="FV24">
        <v>2</v>
      </c>
      <c r="FW24">
        <v>506.887</v>
      </c>
      <c r="FX24">
        <v>413.31900000000002</v>
      </c>
      <c r="FY24">
        <v>30.824300000000001</v>
      </c>
      <c r="FZ24">
        <v>33.954700000000003</v>
      </c>
      <c r="GA24">
        <v>30.001100000000001</v>
      </c>
      <c r="GB24">
        <v>33.689500000000002</v>
      </c>
      <c r="GC24">
        <v>33.5321</v>
      </c>
      <c r="GD24">
        <v>-1</v>
      </c>
      <c r="GE24">
        <v>0</v>
      </c>
      <c r="GF24">
        <v>100</v>
      </c>
      <c r="GG24">
        <v>30.821100000000001</v>
      </c>
      <c r="GH24">
        <v>432.1</v>
      </c>
      <c r="GI24">
        <v>26.271999999999998</v>
      </c>
      <c r="GJ24">
        <v>101.72499999999999</v>
      </c>
      <c r="GK24">
        <v>95.882900000000006</v>
      </c>
    </row>
    <row r="25" spans="1:193" x14ac:dyDescent="0.35">
      <c r="A25">
        <v>9</v>
      </c>
      <c r="B25">
        <v>1775532506.0999999</v>
      </c>
      <c r="C25">
        <v>480</v>
      </c>
      <c r="D25" t="s">
        <v>344</v>
      </c>
      <c r="E25" t="s">
        <v>345</v>
      </c>
      <c r="F25">
        <v>60</v>
      </c>
      <c r="G25">
        <v>1775532498.349999</v>
      </c>
      <c r="H25">
        <f t="shared" si="0"/>
        <v>1.2495918881507532E-2</v>
      </c>
      <c r="I25">
        <f t="shared" si="1"/>
        <v>12.495918881507531</v>
      </c>
      <c r="J25">
        <f t="shared" si="2"/>
        <v>5.0774305060882385</v>
      </c>
      <c r="K25">
        <f t="shared" si="3"/>
        <v>0.35197633333333211</v>
      </c>
      <c r="L25">
        <f t="shared" si="4"/>
        <v>-25.221024250257294</v>
      </c>
      <c r="M25">
        <f t="shared" si="5"/>
        <v>-2.5314574123007678</v>
      </c>
      <c r="N25">
        <f t="shared" si="6"/>
        <v>3.5328188464115201E-2</v>
      </c>
      <c r="O25">
        <f t="shared" si="7"/>
        <v>0.32792523635698639</v>
      </c>
      <c r="P25">
        <f t="shared" si="8"/>
        <v>2.393318780436902</v>
      </c>
      <c r="Q25">
        <f t="shared" si="9"/>
        <v>0.30485287675730732</v>
      </c>
      <c r="R25">
        <f t="shared" si="10"/>
        <v>0.19247055844246364</v>
      </c>
      <c r="S25">
        <f t="shared" si="11"/>
        <v>0.22122302930000007</v>
      </c>
      <c r="T25">
        <f t="shared" si="12"/>
        <v>27.316459431691193</v>
      </c>
      <c r="U25">
        <f t="shared" si="13"/>
        <v>31.175396666666661</v>
      </c>
      <c r="V25">
        <f t="shared" si="14"/>
        <v>4.5566921925386055</v>
      </c>
      <c r="W25">
        <f t="shared" si="15"/>
        <v>11.976722167229962</v>
      </c>
      <c r="X25">
        <f t="shared" si="16"/>
        <v>0.54709036952308776</v>
      </c>
      <c r="Y25">
        <f t="shared" si="17"/>
        <v>4.567947405676704</v>
      </c>
      <c r="Z25">
        <f t="shared" si="18"/>
        <v>4.0096018230155179</v>
      </c>
      <c r="AA25">
        <f t="shared" si="19"/>
        <v>-551.07002267448217</v>
      </c>
      <c r="AB25">
        <f t="shared" si="20"/>
        <v>5.5908093286003595</v>
      </c>
      <c r="AC25">
        <f t="shared" si="21"/>
        <v>0.52559398529055001</v>
      </c>
      <c r="AD25">
        <f t="shared" si="22"/>
        <v>-544.73239633129128</v>
      </c>
      <c r="AE25">
        <v>5</v>
      </c>
      <c r="AF25">
        <v>1</v>
      </c>
      <c r="AG25">
        <f t="shared" si="23"/>
        <v>1</v>
      </c>
      <c r="AH25">
        <f t="shared" si="24"/>
        <v>0</v>
      </c>
      <c r="AI25">
        <f t="shared" si="25"/>
        <v>25235.585345046602</v>
      </c>
      <c r="AJ25">
        <f t="shared" si="26"/>
        <v>1.157629666666667</v>
      </c>
      <c r="AK25">
        <f t="shared" si="27"/>
        <v>0.92610373333333362</v>
      </c>
      <c r="AL25">
        <f t="shared" si="28"/>
        <v>0.8</v>
      </c>
      <c r="AM25">
        <f t="shared" si="29"/>
        <v>0.19109999999999999</v>
      </c>
      <c r="AN25">
        <v>3</v>
      </c>
      <c r="AO25">
        <v>0.5</v>
      </c>
      <c r="AP25" t="s">
        <v>317</v>
      </c>
      <c r="AQ25">
        <v>2</v>
      </c>
      <c r="AR25">
        <v>1775532498.349999</v>
      </c>
      <c r="AS25">
        <v>0.35197633333333211</v>
      </c>
      <c r="AT25">
        <v>3.395694333333334</v>
      </c>
      <c r="AU25">
        <v>5.4506859999999993</v>
      </c>
      <c r="AV25">
        <v>-1.9928433333333331</v>
      </c>
      <c r="AW25">
        <v>-7.1940236666666681</v>
      </c>
      <c r="AX25">
        <v>6.5876859999999997</v>
      </c>
      <c r="AY25">
        <v>500.88366666666673</v>
      </c>
      <c r="AZ25">
        <v>100.3240666666666</v>
      </c>
      <c r="BA25">
        <v>4.6853529999999997E-2</v>
      </c>
      <c r="BB25">
        <v>31.218726666666669</v>
      </c>
      <c r="BC25">
        <v>31.175396666666661</v>
      </c>
      <c r="BD25">
        <v>999.9000000000002</v>
      </c>
      <c r="BE25">
        <v>0</v>
      </c>
      <c r="BF25">
        <v>0</v>
      </c>
      <c r="BG25">
        <v>4997.4333333333334</v>
      </c>
      <c r="BH25">
        <v>1.157629666666667</v>
      </c>
      <c r="BI25">
        <v>1009.273</v>
      </c>
      <c r="BJ25">
        <v>-3.0359863333333328</v>
      </c>
      <c r="BK25">
        <v>0.36157256666666671</v>
      </c>
      <c r="BL25">
        <v>3.3889410000000009</v>
      </c>
      <c r="BM25">
        <v>7.4644080000000006</v>
      </c>
      <c r="BN25">
        <v>3.395694333333334</v>
      </c>
      <c r="BO25">
        <v>-1.9928433333333331</v>
      </c>
      <c r="BP25">
        <v>0.54892983333333334</v>
      </c>
      <c r="BQ25">
        <v>-0.19993036666666669</v>
      </c>
      <c r="BR25">
        <v>-1.6049806666666671</v>
      </c>
      <c r="BS25">
        <v>-99.900000000000034</v>
      </c>
      <c r="BT25">
        <v>1775532545.5999999</v>
      </c>
      <c r="BU25" t="s">
        <v>346</v>
      </c>
      <c r="BV25">
        <v>1775532524.0999999</v>
      </c>
      <c r="BW25">
        <v>1775532545.5999999</v>
      </c>
      <c r="BX25">
        <v>10</v>
      </c>
      <c r="BY25">
        <v>-7.0000000000000001E-3</v>
      </c>
      <c r="BZ25">
        <v>-2.1000000000000001E-2</v>
      </c>
      <c r="CA25">
        <v>7.5460000000000003</v>
      </c>
      <c r="CB25">
        <v>-1.137</v>
      </c>
      <c r="CC25">
        <v>4</v>
      </c>
      <c r="CD25">
        <v>-2</v>
      </c>
      <c r="CE25">
        <v>0.17</v>
      </c>
      <c r="CF25">
        <v>0.01</v>
      </c>
      <c r="CG25">
        <v>3.2918581666666662</v>
      </c>
      <c r="CH25">
        <v>0.72944519033065469</v>
      </c>
      <c r="CI25">
        <v>0.1144773726185175</v>
      </c>
      <c r="CJ25">
        <v>-1</v>
      </c>
      <c r="CK25">
        <v>500.91289999999998</v>
      </c>
      <c r="CL25">
        <v>0.16428563489890649</v>
      </c>
      <c r="CM25">
        <v>1.780681776736091</v>
      </c>
      <c r="CN25">
        <v>-1</v>
      </c>
      <c r="CO25">
        <v>0</v>
      </c>
      <c r="CP25">
        <v>0</v>
      </c>
      <c r="CQ25" t="s">
        <v>319</v>
      </c>
      <c r="CR25">
        <v>3.16771</v>
      </c>
      <c r="CS25">
        <v>2.66777</v>
      </c>
      <c r="CT25">
        <v>-2.1216299999999998E-3</v>
      </c>
      <c r="CU25">
        <v>1.0609300000000001E-3</v>
      </c>
      <c r="CV25">
        <v>4.3394000000000002E-2</v>
      </c>
      <c r="CW25">
        <v>-1.8174599999999999E-2</v>
      </c>
      <c r="CX25">
        <v>21492.1</v>
      </c>
      <c r="CY25">
        <v>21795.4</v>
      </c>
      <c r="CZ25">
        <v>22982</v>
      </c>
      <c r="DA25">
        <v>22180.9</v>
      </c>
      <c r="DB25">
        <v>28351.7</v>
      </c>
      <c r="DC25">
        <v>26908.799999999999</v>
      </c>
      <c r="DD25">
        <v>40401.9</v>
      </c>
      <c r="DE25">
        <v>36726.199999999997</v>
      </c>
      <c r="DF25">
        <v>2.0544799999999999</v>
      </c>
      <c r="DG25">
        <v>1.7706599999999999</v>
      </c>
      <c r="DH25">
        <v>-1.41084E-2</v>
      </c>
      <c r="DI25">
        <v>0</v>
      </c>
      <c r="DJ25">
        <v>31.4</v>
      </c>
      <c r="DK25">
        <v>999.9</v>
      </c>
      <c r="DL25">
        <v>81.400000000000006</v>
      </c>
      <c r="DM25">
        <v>29.1</v>
      </c>
      <c r="DN25">
        <v>32.820399999999999</v>
      </c>
      <c r="DO25">
        <v>30.663699999999999</v>
      </c>
      <c r="DP25">
        <v>8.0328499999999998</v>
      </c>
      <c r="DQ25">
        <v>1</v>
      </c>
      <c r="DR25">
        <v>0.56691899999999995</v>
      </c>
      <c r="DS25">
        <v>1.4466300000000001</v>
      </c>
      <c r="DT25">
        <v>20.355899999999998</v>
      </c>
      <c r="DU25">
        <v>5.2105800000000002</v>
      </c>
      <c r="DV25">
        <v>11.854200000000001</v>
      </c>
      <c r="DW25">
        <v>4.9676799999999997</v>
      </c>
      <c r="DX25">
        <v>3.2930000000000001</v>
      </c>
      <c r="DY25">
        <v>894.7</v>
      </c>
      <c r="DZ25">
        <v>6</v>
      </c>
      <c r="EA25">
        <v>9999</v>
      </c>
      <c r="EB25">
        <v>115.9</v>
      </c>
      <c r="EC25">
        <v>4.9715999999999996</v>
      </c>
      <c r="ED25">
        <v>1.87195</v>
      </c>
      <c r="EE25">
        <v>1.8691899999999999</v>
      </c>
      <c r="EF25">
        <v>1.8715299999999999</v>
      </c>
      <c r="EG25">
        <v>1.8692800000000001</v>
      </c>
      <c r="EH25">
        <v>1.86822</v>
      </c>
      <c r="EI25">
        <v>1.87005</v>
      </c>
      <c r="EJ25">
        <v>1.87181</v>
      </c>
      <c r="EK25">
        <v>0</v>
      </c>
      <c r="EL25">
        <v>0</v>
      </c>
      <c r="EM25">
        <v>0</v>
      </c>
      <c r="EN25">
        <v>0</v>
      </c>
      <c r="EO25" t="s">
        <v>320</v>
      </c>
      <c r="EP25" t="s">
        <v>321</v>
      </c>
      <c r="EQ25" t="s">
        <v>322</v>
      </c>
      <c r="ER25" t="s">
        <v>322</v>
      </c>
      <c r="ES25" t="s">
        <v>322</v>
      </c>
      <c r="ET25" t="s">
        <v>322</v>
      </c>
      <c r="EU25">
        <v>0</v>
      </c>
      <c r="EV25">
        <v>100</v>
      </c>
      <c r="EW25">
        <v>100</v>
      </c>
      <c r="EX25">
        <v>7.5460000000000003</v>
      </c>
      <c r="EY25">
        <v>-1.137</v>
      </c>
      <c r="EZ25">
        <v>7.5537299999999998</v>
      </c>
      <c r="FA25">
        <v>0</v>
      </c>
      <c r="FB25">
        <v>0</v>
      </c>
      <c r="FC25">
        <v>0</v>
      </c>
      <c r="FD25">
        <v>-1.1161207500000001</v>
      </c>
      <c r="FE25">
        <v>0</v>
      </c>
      <c r="FF25">
        <v>0</v>
      </c>
      <c r="FG25">
        <v>0</v>
      </c>
      <c r="FH25">
        <v>-1</v>
      </c>
      <c r="FI25">
        <v>-1</v>
      </c>
      <c r="FJ25">
        <v>-1</v>
      </c>
      <c r="FK25">
        <v>-1</v>
      </c>
      <c r="FL25">
        <v>0.7</v>
      </c>
      <c r="FM25">
        <v>1.4</v>
      </c>
      <c r="FN25">
        <v>0.144043</v>
      </c>
      <c r="FO25">
        <v>4.99756</v>
      </c>
      <c r="FP25">
        <v>1.5979000000000001</v>
      </c>
      <c r="FQ25">
        <v>2.16919</v>
      </c>
      <c r="FR25">
        <v>1.5478499999999999</v>
      </c>
      <c r="FS25">
        <v>2.4426299999999999</v>
      </c>
      <c r="FT25">
        <v>36.481400000000001</v>
      </c>
      <c r="FU25">
        <v>15.9533</v>
      </c>
      <c r="FV25">
        <v>2</v>
      </c>
      <c r="FW25">
        <v>507.25700000000001</v>
      </c>
      <c r="FX25">
        <v>411.73200000000003</v>
      </c>
      <c r="FY25">
        <v>30.629200000000001</v>
      </c>
      <c r="FZ25">
        <v>34.1723</v>
      </c>
      <c r="GA25">
        <v>30.0016</v>
      </c>
      <c r="GB25">
        <v>33.949599999999997</v>
      </c>
      <c r="GC25">
        <v>33.790700000000001</v>
      </c>
      <c r="GD25">
        <v>-1</v>
      </c>
      <c r="GE25">
        <v>0</v>
      </c>
      <c r="GF25">
        <v>100</v>
      </c>
      <c r="GG25">
        <v>30.619800000000001</v>
      </c>
      <c r="GH25">
        <v>432.1</v>
      </c>
      <c r="GI25">
        <v>28.1648</v>
      </c>
      <c r="GJ25">
        <v>101.687</v>
      </c>
      <c r="GK25">
        <v>95.864999999999995</v>
      </c>
    </row>
    <row r="26" spans="1:193" x14ac:dyDescent="0.35">
      <c r="A26">
        <v>10</v>
      </c>
      <c r="B26">
        <v>1775532566.0999999</v>
      </c>
      <c r="C26">
        <v>540</v>
      </c>
      <c r="D26" t="s">
        <v>347</v>
      </c>
      <c r="E26" t="s">
        <v>348</v>
      </c>
      <c r="F26">
        <v>60</v>
      </c>
      <c r="G26">
        <v>1775532558.349999</v>
      </c>
      <c r="H26">
        <f t="shared" si="0"/>
        <v>1.2351683608521794E-2</v>
      </c>
      <c r="I26">
        <f t="shared" si="1"/>
        <v>12.351683608521794</v>
      </c>
      <c r="J26">
        <f t="shared" si="2"/>
        <v>4.8087503889284449</v>
      </c>
      <c r="K26">
        <f t="shared" si="3"/>
        <v>1.537716666666668</v>
      </c>
      <c r="L26">
        <f t="shared" si="4"/>
        <v>-22.930487049251656</v>
      </c>
      <c r="M26">
        <f t="shared" si="5"/>
        <v>-2.3015903262558268</v>
      </c>
      <c r="N26">
        <f t="shared" si="6"/>
        <v>0.15434446712451586</v>
      </c>
      <c r="O26">
        <f t="shared" si="7"/>
        <v>0.32550297928873873</v>
      </c>
      <c r="P26">
        <f t="shared" si="8"/>
        <v>2.3926022635426323</v>
      </c>
      <c r="Q26">
        <f t="shared" si="9"/>
        <v>0.30275124142483839</v>
      </c>
      <c r="R26">
        <f t="shared" si="10"/>
        <v>0.19113099096229272</v>
      </c>
      <c r="S26">
        <f t="shared" si="11"/>
        <v>0.22629940970000006</v>
      </c>
      <c r="T26">
        <f t="shared" si="12"/>
        <v>27.357115580980686</v>
      </c>
      <c r="U26">
        <f t="shared" si="13"/>
        <v>31.096593333333331</v>
      </c>
      <c r="V26">
        <f t="shared" si="14"/>
        <v>4.5362844772799775</v>
      </c>
      <c r="W26">
        <f t="shared" si="15"/>
        <v>11.931640037317855</v>
      </c>
      <c r="X26">
        <f t="shared" si="16"/>
        <v>0.54492638784387604</v>
      </c>
      <c r="Y26">
        <f t="shared" si="17"/>
        <v>4.5670702949430533</v>
      </c>
      <c r="Z26">
        <f t="shared" si="18"/>
        <v>3.9913580894361016</v>
      </c>
      <c r="AA26">
        <f t="shared" si="19"/>
        <v>-544.7092471358111</v>
      </c>
      <c r="AB26">
        <f t="shared" si="20"/>
        <v>15.318849221045198</v>
      </c>
      <c r="AC26">
        <f t="shared" si="21"/>
        <v>1.4399781647801611</v>
      </c>
      <c r="AD26">
        <f t="shared" si="22"/>
        <v>-527.72412034028571</v>
      </c>
      <c r="AE26">
        <v>6</v>
      </c>
      <c r="AF26">
        <v>1</v>
      </c>
      <c r="AG26">
        <f t="shared" si="23"/>
        <v>1</v>
      </c>
      <c r="AH26">
        <f t="shared" si="24"/>
        <v>0</v>
      </c>
      <c r="AI26">
        <f t="shared" si="25"/>
        <v>25225.050404237027</v>
      </c>
      <c r="AJ26">
        <f t="shared" si="26"/>
        <v>1.184193666666667</v>
      </c>
      <c r="AK26">
        <f t="shared" si="27"/>
        <v>0.94735493333333365</v>
      </c>
      <c r="AL26">
        <f t="shared" si="28"/>
        <v>0.8</v>
      </c>
      <c r="AM26">
        <f t="shared" si="29"/>
        <v>0.19109999999999999</v>
      </c>
      <c r="AN26">
        <v>3</v>
      </c>
      <c r="AO26">
        <v>0.5</v>
      </c>
      <c r="AP26" t="s">
        <v>317</v>
      </c>
      <c r="AQ26">
        <v>2</v>
      </c>
      <c r="AR26">
        <v>1775532558.349999</v>
      </c>
      <c r="AS26">
        <v>1.537716666666668</v>
      </c>
      <c r="AT26">
        <v>4.4304646666666656</v>
      </c>
      <c r="AU26">
        <v>5.4290406666666664</v>
      </c>
      <c r="AV26">
        <v>-1.931815333333333</v>
      </c>
      <c r="AW26">
        <v>-5.9552833333333322</v>
      </c>
      <c r="AX26">
        <v>6.5750406666666663</v>
      </c>
      <c r="AY26">
        <v>500.67379999999991</v>
      </c>
      <c r="AZ26">
        <v>100.3255666666666</v>
      </c>
      <c r="BA26">
        <v>4.6933983333333353E-2</v>
      </c>
      <c r="BB26">
        <v>31.215353333333329</v>
      </c>
      <c r="BC26">
        <v>31.096593333333331</v>
      </c>
      <c r="BD26">
        <v>999.9000000000002</v>
      </c>
      <c r="BE26">
        <v>0</v>
      </c>
      <c r="BF26">
        <v>0</v>
      </c>
      <c r="BG26">
        <v>4995.5166666666664</v>
      </c>
      <c r="BH26">
        <v>1.184193666666667</v>
      </c>
      <c r="BI26">
        <v>1017.004</v>
      </c>
      <c r="BJ26">
        <v>-2.8393510000000002</v>
      </c>
      <c r="BK26">
        <v>1.5997863333333331</v>
      </c>
      <c r="BL26">
        <v>4.4219203333333326</v>
      </c>
      <c r="BM26">
        <v>7.3697246666666674</v>
      </c>
      <c r="BN26">
        <v>4.4304646666666656</v>
      </c>
      <c r="BO26">
        <v>-1.931815333333333</v>
      </c>
      <c r="BP26">
        <v>0.54556159999999998</v>
      </c>
      <c r="BQ26">
        <v>-0.19381063333333329</v>
      </c>
      <c r="BR26">
        <v>-1.628400333333333</v>
      </c>
      <c r="BS26">
        <v>-99.900000000000034</v>
      </c>
      <c r="BT26">
        <v>1775532598.0999999</v>
      </c>
      <c r="BU26" t="s">
        <v>349</v>
      </c>
      <c r="BV26">
        <v>1775532584.5999999</v>
      </c>
      <c r="BW26">
        <v>1775532598.0999999</v>
      </c>
      <c r="BX26">
        <v>11</v>
      </c>
      <c r="BY26">
        <v>-5.3999999999999999E-2</v>
      </c>
      <c r="BZ26">
        <v>-8.9999999999999993E-3</v>
      </c>
      <c r="CA26">
        <v>7.4930000000000003</v>
      </c>
      <c r="CB26">
        <v>-1.1459999999999999</v>
      </c>
      <c r="CC26">
        <v>3</v>
      </c>
      <c r="CD26">
        <v>-2</v>
      </c>
      <c r="CE26">
        <v>0.37</v>
      </c>
      <c r="CF26">
        <v>0.01</v>
      </c>
      <c r="CG26">
        <v>4.444296333333333</v>
      </c>
      <c r="CH26">
        <v>-1.1070955265351381</v>
      </c>
      <c r="CI26">
        <v>0.40775488847658897</v>
      </c>
      <c r="CJ26">
        <v>-1</v>
      </c>
      <c r="CK26">
        <v>500.9311166666667</v>
      </c>
      <c r="CL26">
        <v>-0.3019538760760212</v>
      </c>
      <c r="CM26">
        <v>1.7782693280421731</v>
      </c>
      <c r="CN26">
        <v>-1</v>
      </c>
      <c r="CO26">
        <v>0</v>
      </c>
      <c r="CP26">
        <v>0</v>
      </c>
      <c r="CQ26" t="s">
        <v>319</v>
      </c>
      <c r="CR26">
        <v>3.1677900000000001</v>
      </c>
      <c r="CS26">
        <v>2.6680199999999998</v>
      </c>
      <c r="CT26">
        <v>-1.7265E-3</v>
      </c>
      <c r="CU26">
        <v>1.0154299999999999E-3</v>
      </c>
      <c r="CV26">
        <v>3.96532E-2</v>
      </c>
      <c r="CW26">
        <v>-1.7516199999999999E-2</v>
      </c>
      <c r="CX26">
        <v>21480.9</v>
      </c>
      <c r="CY26">
        <v>21792.3</v>
      </c>
      <c r="CZ26">
        <v>22979.9</v>
      </c>
      <c r="DA26">
        <v>22177.3</v>
      </c>
      <c r="DB26">
        <v>28463.7</v>
      </c>
      <c r="DC26">
        <v>26885.9</v>
      </c>
      <c r="DD26">
        <v>40404.1</v>
      </c>
      <c r="DE26">
        <v>36718.6</v>
      </c>
      <c r="DF26">
        <v>2.05152</v>
      </c>
      <c r="DG26">
        <v>1.76614</v>
      </c>
      <c r="DH26">
        <v>-2.0372899999999999E-2</v>
      </c>
      <c r="DI26">
        <v>0</v>
      </c>
      <c r="DJ26">
        <v>31.414300000000001</v>
      </c>
      <c r="DK26">
        <v>999.9</v>
      </c>
      <c r="DL26">
        <v>80.8</v>
      </c>
      <c r="DM26">
        <v>29.4</v>
      </c>
      <c r="DN26">
        <v>33.147399999999998</v>
      </c>
      <c r="DO26">
        <v>30.813700000000001</v>
      </c>
      <c r="DP26">
        <v>8.0408600000000003</v>
      </c>
      <c r="DQ26">
        <v>1</v>
      </c>
      <c r="DR26">
        <v>0.58740400000000004</v>
      </c>
      <c r="DS26">
        <v>1.71136</v>
      </c>
      <c r="DT26">
        <v>20.3523</v>
      </c>
      <c r="DU26">
        <v>5.2109399999999999</v>
      </c>
      <c r="DV26">
        <v>11.854200000000001</v>
      </c>
      <c r="DW26">
        <v>4.9677199999999999</v>
      </c>
      <c r="DX26">
        <v>3.29298</v>
      </c>
      <c r="DY26">
        <v>894.7</v>
      </c>
      <c r="DZ26">
        <v>6</v>
      </c>
      <c r="EA26">
        <v>9999</v>
      </c>
      <c r="EB26">
        <v>115.9</v>
      </c>
      <c r="EC26">
        <v>4.9716100000000001</v>
      </c>
      <c r="ED26">
        <v>1.87195</v>
      </c>
      <c r="EE26">
        <v>1.8691899999999999</v>
      </c>
      <c r="EF26">
        <v>1.87155</v>
      </c>
      <c r="EG26">
        <v>1.86934</v>
      </c>
      <c r="EH26">
        <v>1.86826</v>
      </c>
      <c r="EI26">
        <v>1.87005</v>
      </c>
      <c r="EJ26">
        <v>1.87182</v>
      </c>
      <c r="EK26">
        <v>0</v>
      </c>
      <c r="EL26">
        <v>0</v>
      </c>
      <c r="EM26">
        <v>0</v>
      </c>
      <c r="EN26">
        <v>0</v>
      </c>
      <c r="EO26" t="s">
        <v>320</v>
      </c>
      <c r="EP26" t="s">
        <v>321</v>
      </c>
      <c r="EQ26" t="s">
        <v>322</v>
      </c>
      <c r="ER26" t="s">
        <v>322</v>
      </c>
      <c r="ES26" t="s">
        <v>322</v>
      </c>
      <c r="ET26" t="s">
        <v>322</v>
      </c>
      <c r="EU26">
        <v>0</v>
      </c>
      <c r="EV26">
        <v>100</v>
      </c>
      <c r="EW26">
        <v>100</v>
      </c>
      <c r="EX26">
        <v>7.4930000000000003</v>
      </c>
      <c r="EY26">
        <v>-1.1459999999999999</v>
      </c>
      <c r="EZ26">
        <v>7.5463970000000007</v>
      </c>
      <c r="FA26">
        <v>0</v>
      </c>
      <c r="FB26">
        <v>0</v>
      </c>
      <c r="FC26">
        <v>0</v>
      </c>
      <c r="FD26">
        <v>-1.137131714285714</v>
      </c>
      <c r="FE26">
        <v>0</v>
      </c>
      <c r="FF26">
        <v>0</v>
      </c>
      <c r="FG26">
        <v>0</v>
      </c>
      <c r="FH26">
        <v>-1</v>
      </c>
      <c r="FI26">
        <v>-1</v>
      </c>
      <c r="FJ26">
        <v>-1</v>
      </c>
      <c r="FK26">
        <v>-1</v>
      </c>
      <c r="FL26">
        <v>0.7</v>
      </c>
      <c r="FM26">
        <v>0.3</v>
      </c>
      <c r="FN26">
        <v>0.145264</v>
      </c>
      <c r="FO26">
        <v>4.99756</v>
      </c>
      <c r="FP26">
        <v>1.5979000000000001</v>
      </c>
      <c r="FQ26">
        <v>2.16797</v>
      </c>
      <c r="FR26">
        <v>1.5478499999999999</v>
      </c>
      <c r="FS26">
        <v>2.4597199999999999</v>
      </c>
      <c r="FT26">
        <v>36.836599999999997</v>
      </c>
      <c r="FU26">
        <v>15.9445</v>
      </c>
      <c r="FV26">
        <v>2</v>
      </c>
      <c r="FW26">
        <v>506.66300000000001</v>
      </c>
      <c r="FX26">
        <v>410.548</v>
      </c>
      <c r="FY26">
        <v>30.291499999999999</v>
      </c>
      <c r="FZ26">
        <v>34.386400000000002</v>
      </c>
      <c r="GA26">
        <v>30.0015</v>
      </c>
      <c r="GB26">
        <v>34.110700000000001</v>
      </c>
      <c r="GC26">
        <v>34.03</v>
      </c>
      <c r="GD26">
        <v>-1</v>
      </c>
      <c r="GE26">
        <v>0</v>
      </c>
      <c r="GF26">
        <v>100</v>
      </c>
      <c r="GG26">
        <v>30.292400000000001</v>
      </c>
      <c r="GH26">
        <v>432.1</v>
      </c>
      <c r="GI26">
        <v>28.1648</v>
      </c>
      <c r="GJ26">
        <v>101.687</v>
      </c>
      <c r="GK26">
        <v>95.846699999999998</v>
      </c>
    </row>
    <row r="27" spans="1:193" x14ac:dyDescent="0.35">
      <c r="A27">
        <v>11</v>
      </c>
      <c r="B27">
        <v>1775532626.0999999</v>
      </c>
      <c r="C27">
        <v>600</v>
      </c>
      <c r="D27" t="s">
        <v>350</v>
      </c>
      <c r="E27" t="s">
        <v>351</v>
      </c>
      <c r="F27">
        <v>60</v>
      </c>
      <c r="G27">
        <v>1775532618.099999</v>
      </c>
      <c r="H27">
        <f t="shared" si="0"/>
        <v>7.5625789496457574E-3</v>
      </c>
      <c r="I27">
        <f t="shared" si="1"/>
        <v>7.5625789496457569</v>
      </c>
      <c r="J27">
        <f t="shared" si="2"/>
        <v>4.0897948354304869</v>
      </c>
      <c r="K27">
        <f t="shared" si="3"/>
        <v>3.4709077419354841</v>
      </c>
      <c r="L27">
        <f t="shared" si="4"/>
        <v>-33.034365904760342</v>
      </c>
      <c r="M27">
        <f t="shared" si="5"/>
        <v>-3.3157520512283862</v>
      </c>
      <c r="N27">
        <f t="shared" si="6"/>
        <v>0.34838475477710434</v>
      </c>
      <c r="O27">
        <f t="shared" si="7"/>
        <v>0.1805932965569485</v>
      </c>
      <c r="P27">
        <f t="shared" si="8"/>
        <v>2.3936123801252567</v>
      </c>
      <c r="Q27">
        <f t="shared" si="9"/>
        <v>0.17335077577655145</v>
      </c>
      <c r="R27">
        <f t="shared" si="10"/>
        <v>0.10897074435709891</v>
      </c>
      <c r="S27">
        <f t="shared" si="11"/>
        <v>0.22711550738709677</v>
      </c>
      <c r="T27">
        <f t="shared" si="12"/>
        <v>28.855423637515102</v>
      </c>
      <c r="U27">
        <f t="shared" si="13"/>
        <v>31.114341935483871</v>
      </c>
      <c r="V27">
        <f t="shared" si="14"/>
        <v>4.5408738774010633</v>
      </c>
      <c r="W27">
        <f t="shared" si="15"/>
        <v>5.8436066824264774</v>
      </c>
      <c r="X27">
        <f t="shared" si="16"/>
        <v>0.26689404741163258</v>
      </c>
      <c r="Y27">
        <f t="shared" si="17"/>
        <v>4.5672828771016549</v>
      </c>
      <c r="Z27">
        <f t="shared" si="18"/>
        <v>4.2739798299894307</v>
      </c>
      <c r="AA27">
        <f t="shared" si="19"/>
        <v>-333.50973167937792</v>
      </c>
      <c r="AB27">
        <f t="shared" si="20"/>
        <v>13.140469490089881</v>
      </c>
      <c r="AC27">
        <f t="shared" si="21"/>
        <v>1.2348013465102177</v>
      </c>
      <c r="AD27">
        <f t="shared" si="22"/>
        <v>-318.90734533539074</v>
      </c>
      <c r="AE27">
        <v>6</v>
      </c>
      <c r="AF27">
        <v>1</v>
      </c>
      <c r="AG27">
        <f t="shared" si="23"/>
        <v>1</v>
      </c>
      <c r="AH27">
        <f t="shared" si="24"/>
        <v>0</v>
      </c>
      <c r="AI27">
        <f t="shared" si="25"/>
        <v>25240.107180862342</v>
      </c>
      <c r="AJ27">
        <f t="shared" si="26"/>
        <v>1.1884641935483871</v>
      </c>
      <c r="AK27">
        <f t="shared" si="27"/>
        <v>0.95077135483870967</v>
      </c>
      <c r="AL27">
        <f t="shared" si="28"/>
        <v>0.8</v>
      </c>
      <c r="AM27">
        <f t="shared" si="29"/>
        <v>0.19109999999999999</v>
      </c>
      <c r="AN27">
        <v>3</v>
      </c>
      <c r="AO27">
        <v>0.5</v>
      </c>
      <c r="AP27" t="s">
        <v>317</v>
      </c>
      <c r="AQ27">
        <v>2</v>
      </c>
      <c r="AR27">
        <v>1775532618.099999</v>
      </c>
      <c r="AS27">
        <v>3.4709077419354841</v>
      </c>
      <c r="AT27">
        <v>5.9406145161290329</v>
      </c>
      <c r="AU27">
        <v>2.659027419354838</v>
      </c>
      <c r="AV27">
        <v>-1.866601935483871</v>
      </c>
      <c r="AW27">
        <v>-3.9580922580645161</v>
      </c>
      <c r="AX27">
        <v>3.8150274193548381</v>
      </c>
      <c r="AY27">
        <v>499.98370967741931</v>
      </c>
      <c r="AZ27">
        <v>100.32654838709681</v>
      </c>
      <c r="BA27">
        <v>4.6259154838709668E-2</v>
      </c>
      <c r="BB27">
        <v>31.216170967741931</v>
      </c>
      <c r="BC27">
        <v>31.114341935483871</v>
      </c>
      <c r="BD27">
        <v>999.90000000000032</v>
      </c>
      <c r="BE27">
        <v>0</v>
      </c>
      <c r="BF27">
        <v>0</v>
      </c>
      <c r="BG27">
        <v>4998.0645161290322</v>
      </c>
      <c r="BH27">
        <v>1.1884641935483871</v>
      </c>
      <c r="BI27">
        <v>1027.3419354838711</v>
      </c>
      <c r="BJ27">
        <v>-2.4059067741935491</v>
      </c>
      <c r="BK27">
        <v>3.5441500000000001</v>
      </c>
      <c r="BL27">
        <v>5.9295519354838726</v>
      </c>
      <c r="BM27">
        <v>4.5352245161290323</v>
      </c>
      <c r="BN27">
        <v>5.9406145161290329</v>
      </c>
      <c r="BO27">
        <v>-1.866601935483871</v>
      </c>
      <c r="BP27">
        <v>0.26773364516129028</v>
      </c>
      <c r="BQ27">
        <v>-0.1872697096774194</v>
      </c>
      <c r="BR27">
        <v>-10.903603225806449</v>
      </c>
      <c r="BS27">
        <v>-99.900000000000034</v>
      </c>
      <c r="BT27">
        <v>1775532653.0999999</v>
      </c>
      <c r="BU27" t="s">
        <v>352</v>
      </c>
      <c r="BV27">
        <v>1775532644.0999999</v>
      </c>
      <c r="BW27">
        <v>1775532653.0999999</v>
      </c>
      <c r="BX27">
        <v>12</v>
      </c>
      <c r="BY27">
        <v>-6.4000000000000001E-2</v>
      </c>
      <c r="BZ27">
        <v>-8.9999999999999993E-3</v>
      </c>
      <c r="CA27">
        <v>7.4290000000000003</v>
      </c>
      <c r="CB27">
        <v>-1.1559999999999999</v>
      </c>
      <c r="CC27">
        <v>6</v>
      </c>
      <c r="CD27">
        <v>-2</v>
      </c>
      <c r="CE27">
        <v>0.19</v>
      </c>
      <c r="CF27">
        <v>0.02</v>
      </c>
      <c r="CG27">
        <v>4.9201714999999986</v>
      </c>
      <c r="CH27">
        <v>8.095183762156152</v>
      </c>
      <c r="CI27">
        <v>1.1916319685985619</v>
      </c>
      <c r="CJ27">
        <v>-1</v>
      </c>
      <c r="CK27">
        <v>500.93891666666673</v>
      </c>
      <c r="CL27">
        <v>-5.8071897749372106</v>
      </c>
      <c r="CM27">
        <v>1.8376911355617469</v>
      </c>
      <c r="CN27">
        <v>-1</v>
      </c>
      <c r="CO27">
        <v>0</v>
      </c>
      <c r="CP27">
        <v>0</v>
      </c>
      <c r="CQ27" t="s">
        <v>319</v>
      </c>
      <c r="CR27">
        <v>3.1678000000000002</v>
      </c>
      <c r="CS27">
        <v>2.6677499999999998</v>
      </c>
      <c r="CT27">
        <v>-8.0743099999999995E-4</v>
      </c>
      <c r="CU27">
        <v>2.1520799999999998E-3</v>
      </c>
      <c r="CV27">
        <v>2.6303199999999999E-2</v>
      </c>
      <c r="CW27">
        <v>-1.6816600000000001E-2</v>
      </c>
      <c r="CX27">
        <v>21458.799999999999</v>
      </c>
      <c r="CY27">
        <v>21763.599999999999</v>
      </c>
      <c r="CZ27">
        <v>22978</v>
      </c>
      <c r="DA27">
        <v>22173.8</v>
      </c>
      <c r="DB27">
        <v>28859.4</v>
      </c>
      <c r="DC27">
        <v>26862</v>
      </c>
      <c r="DD27">
        <v>40404.6</v>
      </c>
      <c r="DE27">
        <v>36711.300000000003</v>
      </c>
      <c r="DF27">
        <v>2.0468199999999999</v>
      </c>
      <c r="DG27">
        <v>1.7621599999999999</v>
      </c>
      <c r="DH27">
        <v>-1.7151199999999998E-2</v>
      </c>
      <c r="DI27">
        <v>0</v>
      </c>
      <c r="DJ27">
        <v>31.382999999999999</v>
      </c>
      <c r="DK27">
        <v>999.9</v>
      </c>
      <c r="DL27">
        <v>80.099999999999994</v>
      </c>
      <c r="DM27">
        <v>29.7</v>
      </c>
      <c r="DN27">
        <v>33.431100000000001</v>
      </c>
      <c r="DO27">
        <v>30.813700000000001</v>
      </c>
      <c r="DP27">
        <v>8.0048100000000009</v>
      </c>
      <c r="DQ27">
        <v>1</v>
      </c>
      <c r="DR27">
        <v>0.60465400000000002</v>
      </c>
      <c r="DS27">
        <v>1.5512900000000001</v>
      </c>
      <c r="DT27">
        <v>20.354500000000002</v>
      </c>
      <c r="DU27">
        <v>5.2104600000000003</v>
      </c>
      <c r="DV27">
        <v>11.854200000000001</v>
      </c>
      <c r="DW27">
        <v>4.9677199999999999</v>
      </c>
      <c r="DX27">
        <v>3.2930000000000001</v>
      </c>
      <c r="DY27">
        <v>894.7</v>
      </c>
      <c r="DZ27">
        <v>6</v>
      </c>
      <c r="EA27">
        <v>9999</v>
      </c>
      <c r="EB27">
        <v>115.9</v>
      </c>
      <c r="EC27">
        <v>4.9715999999999996</v>
      </c>
      <c r="ED27">
        <v>1.8719600000000001</v>
      </c>
      <c r="EE27">
        <v>1.8692</v>
      </c>
      <c r="EF27">
        <v>1.8715999999999999</v>
      </c>
      <c r="EG27">
        <v>1.8693500000000001</v>
      </c>
      <c r="EH27">
        <v>1.8682799999999999</v>
      </c>
      <c r="EI27">
        <v>1.8701099999999999</v>
      </c>
      <c r="EJ27">
        <v>1.8718999999999999</v>
      </c>
      <c r="EK27">
        <v>0</v>
      </c>
      <c r="EL27">
        <v>0</v>
      </c>
      <c r="EM27">
        <v>0</v>
      </c>
      <c r="EN27">
        <v>0</v>
      </c>
      <c r="EO27" t="s">
        <v>320</v>
      </c>
      <c r="EP27" t="s">
        <v>321</v>
      </c>
      <c r="EQ27" t="s">
        <v>322</v>
      </c>
      <c r="ER27" t="s">
        <v>322</v>
      </c>
      <c r="ES27" t="s">
        <v>322</v>
      </c>
      <c r="ET27" t="s">
        <v>322</v>
      </c>
      <c r="EU27">
        <v>0</v>
      </c>
      <c r="EV27">
        <v>100</v>
      </c>
      <c r="EW27">
        <v>100</v>
      </c>
      <c r="EX27">
        <v>7.4290000000000003</v>
      </c>
      <c r="EY27">
        <v>-1.1559999999999999</v>
      </c>
      <c r="EZ27">
        <v>7.4927995238095244</v>
      </c>
      <c r="FA27">
        <v>0</v>
      </c>
      <c r="FB27">
        <v>0</v>
      </c>
      <c r="FC27">
        <v>0</v>
      </c>
      <c r="FD27">
        <v>-1.14640505</v>
      </c>
      <c r="FE27">
        <v>0</v>
      </c>
      <c r="FF27">
        <v>0</v>
      </c>
      <c r="FG27">
        <v>0</v>
      </c>
      <c r="FH27">
        <v>-1</v>
      </c>
      <c r="FI27">
        <v>-1</v>
      </c>
      <c r="FJ27">
        <v>-1</v>
      </c>
      <c r="FK27">
        <v>-1</v>
      </c>
      <c r="FL27">
        <v>0.7</v>
      </c>
      <c r="FM27">
        <v>0.5</v>
      </c>
      <c r="FN27">
        <v>0.144043</v>
      </c>
      <c r="FO27">
        <v>4.99756</v>
      </c>
      <c r="FP27">
        <v>1.5979000000000001</v>
      </c>
      <c r="FQ27">
        <v>2.16797</v>
      </c>
      <c r="FR27">
        <v>1.5478499999999999</v>
      </c>
      <c r="FS27">
        <v>2.4658199999999999</v>
      </c>
      <c r="FT27">
        <v>37.170200000000001</v>
      </c>
      <c r="FU27">
        <v>15.9533</v>
      </c>
      <c r="FV27">
        <v>2</v>
      </c>
      <c r="FW27">
        <v>505.685</v>
      </c>
      <c r="FX27">
        <v>409.83499999999998</v>
      </c>
      <c r="FY27">
        <v>30.457899999999999</v>
      </c>
      <c r="FZ27">
        <v>34.585299999999997</v>
      </c>
      <c r="GA27">
        <v>30.0014</v>
      </c>
      <c r="GB27">
        <v>34.365200000000002</v>
      </c>
      <c r="GC27">
        <v>34.295299999999997</v>
      </c>
      <c r="GD27">
        <v>-1</v>
      </c>
      <c r="GE27">
        <v>0</v>
      </c>
      <c r="GF27">
        <v>100</v>
      </c>
      <c r="GG27">
        <v>30.457899999999999</v>
      </c>
      <c r="GH27">
        <v>432.1</v>
      </c>
      <c r="GI27">
        <v>28.1648</v>
      </c>
      <c r="GJ27">
        <v>101.685</v>
      </c>
      <c r="GK27">
        <v>95.8292</v>
      </c>
    </row>
    <row r="28" spans="1:193" x14ac:dyDescent="0.35">
      <c r="A28">
        <v>12</v>
      </c>
      <c r="B28">
        <v>1775532686.0999999</v>
      </c>
      <c r="C28">
        <v>660</v>
      </c>
      <c r="D28" t="s">
        <v>353</v>
      </c>
      <c r="E28" t="s">
        <v>354</v>
      </c>
      <c r="F28">
        <v>60</v>
      </c>
      <c r="G28">
        <v>1775532678.099999</v>
      </c>
      <c r="H28">
        <f t="shared" si="0"/>
        <v>7.184584191678306E-3</v>
      </c>
      <c r="I28">
        <f t="shared" si="1"/>
        <v>7.1845841916783062</v>
      </c>
      <c r="J28">
        <f t="shared" si="2"/>
        <v>1.1655127281517608</v>
      </c>
      <c r="K28">
        <f t="shared" si="3"/>
        <v>8.1447523193548381</v>
      </c>
      <c r="L28">
        <f t="shared" si="4"/>
        <v>-3.2981724165160746</v>
      </c>
      <c r="M28">
        <f t="shared" si="5"/>
        <v>-0.3310573462454256</v>
      </c>
      <c r="N28">
        <f t="shared" si="6"/>
        <v>0.81753763847195349</v>
      </c>
      <c r="O28">
        <f t="shared" si="7"/>
        <v>0.17100582314717225</v>
      </c>
      <c r="P28">
        <f t="shared" si="8"/>
        <v>2.3944427967700639</v>
      </c>
      <c r="Q28">
        <f t="shared" si="9"/>
        <v>0.16449914365340601</v>
      </c>
      <c r="R28">
        <f t="shared" si="10"/>
        <v>0.1033759363216287</v>
      </c>
      <c r="S28">
        <f t="shared" si="11"/>
        <v>0.22504817525806448</v>
      </c>
      <c r="T28">
        <f t="shared" si="12"/>
        <v>28.964066967057207</v>
      </c>
      <c r="U28">
        <f t="shared" si="13"/>
        <v>31.075625806451619</v>
      </c>
      <c r="V28">
        <f t="shared" si="14"/>
        <v>4.5308679396015057</v>
      </c>
      <c r="W28">
        <f t="shared" si="15"/>
        <v>5.5059439963197114</v>
      </c>
      <c r="X28">
        <f t="shared" si="16"/>
        <v>0.25132734797036482</v>
      </c>
      <c r="Y28">
        <f t="shared" si="17"/>
        <v>4.5646550008201556</v>
      </c>
      <c r="Z28">
        <f t="shared" si="18"/>
        <v>4.2795405916311413</v>
      </c>
      <c r="AA28">
        <f t="shared" si="19"/>
        <v>-316.84016285301328</v>
      </c>
      <c r="AB28">
        <f t="shared" si="20"/>
        <v>16.837812272272004</v>
      </c>
      <c r="AC28">
        <f t="shared" si="21"/>
        <v>1.581308710403968</v>
      </c>
      <c r="AD28">
        <f t="shared" si="22"/>
        <v>-298.19599369507927</v>
      </c>
      <c r="AE28">
        <v>6</v>
      </c>
      <c r="AF28">
        <v>1</v>
      </c>
      <c r="AG28">
        <f t="shared" si="23"/>
        <v>1</v>
      </c>
      <c r="AH28">
        <f t="shared" si="24"/>
        <v>0</v>
      </c>
      <c r="AI28">
        <f t="shared" si="25"/>
        <v>25253.306237891291</v>
      </c>
      <c r="AJ28">
        <f t="shared" si="26"/>
        <v>1.177646129032258</v>
      </c>
      <c r="AK28">
        <f t="shared" si="27"/>
        <v>0.94211690322580643</v>
      </c>
      <c r="AL28">
        <f t="shared" si="28"/>
        <v>0.8</v>
      </c>
      <c r="AM28">
        <f t="shared" si="29"/>
        <v>0.19109999999999999</v>
      </c>
      <c r="AN28">
        <v>3</v>
      </c>
      <c r="AO28">
        <v>0.5</v>
      </c>
      <c r="AP28" t="s">
        <v>317</v>
      </c>
      <c r="AQ28">
        <v>2</v>
      </c>
      <c r="AR28">
        <v>1775532678.099999</v>
      </c>
      <c r="AS28">
        <v>8.1447523193548381</v>
      </c>
      <c r="AT28">
        <v>8.8791935483870983</v>
      </c>
      <c r="AU28">
        <v>2.5038590322580649</v>
      </c>
      <c r="AV28">
        <v>-1.7962361290322579</v>
      </c>
      <c r="AW28">
        <v>0.74575231935483866</v>
      </c>
      <c r="AX28">
        <v>3.6708590322580652</v>
      </c>
      <c r="AY28">
        <v>499.98393548387088</v>
      </c>
      <c r="AZ28">
        <v>100.3292580645161</v>
      </c>
      <c r="BA28">
        <v>4.6739438709677422E-2</v>
      </c>
      <c r="BB28">
        <v>31.20606129032258</v>
      </c>
      <c r="BC28">
        <v>31.075625806451619</v>
      </c>
      <c r="BD28">
        <v>999.90000000000032</v>
      </c>
      <c r="BE28">
        <v>0</v>
      </c>
      <c r="BF28">
        <v>0</v>
      </c>
      <c r="BG28">
        <v>5000.0645161290322</v>
      </c>
      <c r="BH28">
        <v>1.177646129032258</v>
      </c>
      <c r="BI28">
        <v>1015.787741935484</v>
      </c>
      <c r="BJ28">
        <v>-0.70415467096774187</v>
      </c>
      <c r="BK28">
        <v>8.1956516129032266</v>
      </c>
      <c r="BL28">
        <v>8.8632670967741927</v>
      </c>
      <c r="BM28">
        <v>4.3112987096774198</v>
      </c>
      <c r="BN28">
        <v>8.8791935483870983</v>
      </c>
      <c r="BO28">
        <v>-1.7962361290322579</v>
      </c>
      <c r="BP28">
        <v>0.25233467741935489</v>
      </c>
      <c r="BQ28">
        <v>-0.18021512903225809</v>
      </c>
      <c r="BR28">
        <v>-11.64423870967742</v>
      </c>
      <c r="BS28">
        <v>-99.900000000000034</v>
      </c>
      <c r="BT28">
        <v>1775532713.0999999</v>
      </c>
      <c r="BU28" t="s">
        <v>355</v>
      </c>
      <c r="BV28">
        <v>1775532703.0999999</v>
      </c>
      <c r="BW28">
        <v>1775532713.0999999</v>
      </c>
      <c r="BX28">
        <v>13</v>
      </c>
      <c r="BY28">
        <v>-0.03</v>
      </c>
      <c r="BZ28">
        <v>-1.0999999999999999E-2</v>
      </c>
      <c r="CA28">
        <v>7.399</v>
      </c>
      <c r="CB28">
        <v>-1.167</v>
      </c>
      <c r="CC28">
        <v>7</v>
      </c>
      <c r="CD28">
        <v>-2</v>
      </c>
      <c r="CE28">
        <v>0.2</v>
      </c>
      <c r="CF28">
        <v>0.02</v>
      </c>
      <c r="CG28">
        <v>9.2604719672131157</v>
      </c>
      <c r="CH28">
        <v>-2.6766862400845999</v>
      </c>
      <c r="CI28">
        <v>1.2348285514879791</v>
      </c>
      <c r="CJ28">
        <v>-1</v>
      </c>
      <c r="CK28">
        <v>500.82277049180323</v>
      </c>
      <c r="CL28">
        <v>-8.2185404547852805</v>
      </c>
      <c r="CM28">
        <v>1.8066299247579469</v>
      </c>
      <c r="CN28">
        <v>-1</v>
      </c>
      <c r="CO28">
        <v>0</v>
      </c>
      <c r="CP28">
        <v>0</v>
      </c>
      <c r="CQ28" t="s">
        <v>319</v>
      </c>
      <c r="CR28">
        <v>3.1677900000000001</v>
      </c>
      <c r="CS28">
        <v>2.66805</v>
      </c>
      <c r="CT28">
        <v>-1.0537099999999999E-5</v>
      </c>
      <c r="CU28">
        <v>2.17943E-3</v>
      </c>
      <c r="CV28">
        <v>2.54974E-2</v>
      </c>
      <c r="CW28">
        <v>-1.6080500000000001E-2</v>
      </c>
      <c r="CX28">
        <v>21434.2</v>
      </c>
      <c r="CY28">
        <v>21759.4</v>
      </c>
      <c r="CZ28">
        <v>22970.7</v>
      </c>
      <c r="DA28">
        <v>22170.6</v>
      </c>
      <c r="DB28">
        <v>28875.4</v>
      </c>
      <c r="DC28">
        <v>26837.7</v>
      </c>
      <c r="DD28">
        <v>40394</v>
      </c>
      <c r="DE28">
        <v>36704.800000000003</v>
      </c>
      <c r="DF28">
        <v>2.0450400000000002</v>
      </c>
      <c r="DG28">
        <v>1.7584200000000001</v>
      </c>
      <c r="DH28">
        <v>-1.99288E-2</v>
      </c>
      <c r="DI28">
        <v>0</v>
      </c>
      <c r="DJ28">
        <v>31.393999999999998</v>
      </c>
      <c r="DK28">
        <v>999.9</v>
      </c>
      <c r="DL28">
        <v>79.5</v>
      </c>
      <c r="DM28">
        <v>30</v>
      </c>
      <c r="DN28">
        <v>33.758099999999999</v>
      </c>
      <c r="DO28">
        <v>30.663699999999999</v>
      </c>
      <c r="DP28">
        <v>8.1971100000000003</v>
      </c>
      <c r="DQ28">
        <v>1</v>
      </c>
      <c r="DR28">
        <v>0.62074600000000002</v>
      </c>
      <c r="DS28">
        <v>1.64934</v>
      </c>
      <c r="DT28">
        <v>20.353000000000002</v>
      </c>
      <c r="DU28">
        <v>5.2069900000000002</v>
      </c>
      <c r="DV28">
        <v>11.854200000000001</v>
      </c>
      <c r="DW28">
        <v>4.9672400000000003</v>
      </c>
      <c r="DX28">
        <v>3.2923200000000001</v>
      </c>
      <c r="DY28">
        <v>894.7</v>
      </c>
      <c r="DZ28">
        <v>6</v>
      </c>
      <c r="EA28">
        <v>9999</v>
      </c>
      <c r="EB28">
        <v>115.9</v>
      </c>
      <c r="EC28">
        <v>4.9716100000000001</v>
      </c>
      <c r="ED28">
        <v>1.8719600000000001</v>
      </c>
      <c r="EE28">
        <v>1.8692</v>
      </c>
      <c r="EF28">
        <v>1.87157</v>
      </c>
      <c r="EG28">
        <v>1.8693500000000001</v>
      </c>
      <c r="EH28">
        <v>1.8682700000000001</v>
      </c>
      <c r="EI28">
        <v>1.8701099999999999</v>
      </c>
      <c r="EJ28">
        <v>1.8718999999999999</v>
      </c>
      <c r="EK28">
        <v>0</v>
      </c>
      <c r="EL28">
        <v>0</v>
      </c>
      <c r="EM28">
        <v>0</v>
      </c>
      <c r="EN28">
        <v>0</v>
      </c>
      <c r="EO28" t="s">
        <v>320</v>
      </c>
      <c r="EP28" t="s">
        <v>321</v>
      </c>
      <c r="EQ28" t="s">
        <v>322</v>
      </c>
      <c r="ER28" t="s">
        <v>322</v>
      </c>
      <c r="ES28" t="s">
        <v>322</v>
      </c>
      <c r="ET28" t="s">
        <v>322</v>
      </c>
      <c r="EU28">
        <v>0</v>
      </c>
      <c r="EV28">
        <v>100</v>
      </c>
      <c r="EW28">
        <v>100</v>
      </c>
      <c r="EX28">
        <v>7.399</v>
      </c>
      <c r="EY28">
        <v>-1.167</v>
      </c>
      <c r="EZ28">
        <v>7.4292831499999998</v>
      </c>
      <c r="FA28">
        <v>0</v>
      </c>
      <c r="FB28">
        <v>0</v>
      </c>
      <c r="FC28">
        <v>0</v>
      </c>
      <c r="FD28">
        <v>-1.1557964000000001</v>
      </c>
      <c r="FE28">
        <v>0</v>
      </c>
      <c r="FF28">
        <v>0</v>
      </c>
      <c r="FG28">
        <v>0</v>
      </c>
      <c r="FH28">
        <v>-1</v>
      </c>
      <c r="FI28">
        <v>-1</v>
      </c>
      <c r="FJ28">
        <v>-1</v>
      </c>
      <c r="FK28">
        <v>-1</v>
      </c>
      <c r="FL28">
        <v>0.7</v>
      </c>
      <c r="FM28">
        <v>0.6</v>
      </c>
      <c r="FN28">
        <v>0.144043</v>
      </c>
      <c r="FO28">
        <v>4.99756</v>
      </c>
      <c r="FP28">
        <v>1.5979000000000001</v>
      </c>
      <c r="FQ28">
        <v>2.16553</v>
      </c>
      <c r="FR28">
        <v>1.5478499999999999</v>
      </c>
      <c r="FS28">
        <v>2.4230999999999998</v>
      </c>
      <c r="FT28">
        <v>37.505899999999997</v>
      </c>
      <c r="FU28">
        <v>15.9358</v>
      </c>
      <c r="FV28">
        <v>2</v>
      </c>
      <c r="FW28">
        <v>506.33</v>
      </c>
      <c r="FX28">
        <v>409.13200000000001</v>
      </c>
      <c r="FY28">
        <v>30.3476</v>
      </c>
      <c r="FZ28">
        <v>34.765599999999999</v>
      </c>
      <c r="GA28">
        <v>30.001300000000001</v>
      </c>
      <c r="GB28">
        <v>34.600999999999999</v>
      </c>
      <c r="GC28">
        <v>34.540900000000001</v>
      </c>
      <c r="GD28">
        <v>-1</v>
      </c>
      <c r="GE28">
        <v>0</v>
      </c>
      <c r="GF28">
        <v>100</v>
      </c>
      <c r="GG28">
        <v>30.3459</v>
      </c>
      <c r="GH28">
        <v>432.1</v>
      </c>
      <c r="GI28">
        <v>28.1648</v>
      </c>
      <c r="GJ28">
        <v>101.65600000000001</v>
      </c>
      <c r="GK28">
        <v>95.813299999999998</v>
      </c>
    </row>
    <row r="29" spans="1:193" x14ac:dyDescent="0.35">
      <c r="A29">
        <v>13</v>
      </c>
      <c r="B29">
        <v>1775532746.0999999</v>
      </c>
      <c r="C29">
        <v>720</v>
      </c>
      <c r="D29" t="s">
        <v>356</v>
      </c>
      <c r="E29" t="s">
        <v>357</v>
      </c>
      <c r="F29">
        <v>60</v>
      </c>
      <c r="G29">
        <v>1775532738.099999</v>
      </c>
      <c r="H29">
        <f t="shared" si="0"/>
        <v>7.0422098942251781E-3</v>
      </c>
      <c r="I29">
        <f t="shared" si="1"/>
        <v>7.0422098942251781</v>
      </c>
      <c r="J29">
        <f t="shared" si="2"/>
        <v>1.7103454004365077</v>
      </c>
      <c r="K29">
        <f t="shared" si="3"/>
        <v>5.3105816129032259</v>
      </c>
      <c r="L29">
        <f t="shared" si="4"/>
        <v>-11.382896056217723</v>
      </c>
      <c r="M29">
        <f t="shared" si="5"/>
        <v>-1.1425876522669227</v>
      </c>
      <c r="N29">
        <f t="shared" si="6"/>
        <v>0.53306337396839754</v>
      </c>
      <c r="O29">
        <f t="shared" si="7"/>
        <v>0.167242241393664</v>
      </c>
      <c r="P29">
        <f t="shared" si="8"/>
        <v>2.395564280531834</v>
      </c>
      <c r="Q29">
        <f t="shared" si="9"/>
        <v>0.1610160031397721</v>
      </c>
      <c r="R29">
        <f t="shared" si="10"/>
        <v>0.10117509230170299</v>
      </c>
      <c r="S29">
        <f t="shared" si="11"/>
        <v>0.22650873406451619</v>
      </c>
      <c r="T29">
        <f t="shared" si="12"/>
        <v>29.021516592343961</v>
      </c>
      <c r="U29">
        <f t="shared" si="13"/>
        <v>31.093467741935481</v>
      </c>
      <c r="V29">
        <f t="shared" si="14"/>
        <v>4.5354766862557838</v>
      </c>
      <c r="W29">
        <f t="shared" si="15"/>
        <v>5.4731823154749781</v>
      </c>
      <c r="X29">
        <f t="shared" si="16"/>
        <v>0.25000284953240887</v>
      </c>
      <c r="Y29">
        <f t="shared" si="17"/>
        <v>4.5677785814944647</v>
      </c>
      <c r="Z29">
        <f t="shared" si="18"/>
        <v>4.2854738367233747</v>
      </c>
      <c r="AA29">
        <f t="shared" si="19"/>
        <v>-310.56145633533038</v>
      </c>
      <c r="AB29">
        <f t="shared" si="20"/>
        <v>16.093297657340432</v>
      </c>
      <c r="AC29">
        <f t="shared" si="21"/>
        <v>1.5109031660135357</v>
      </c>
      <c r="AD29">
        <f t="shared" si="22"/>
        <v>-292.73074677791192</v>
      </c>
      <c r="AE29">
        <v>5</v>
      </c>
      <c r="AF29">
        <v>1</v>
      </c>
      <c r="AG29">
        <f t="shared" si="23"/>
        <v>1</v>
      </c>
      <c r="AH29">
        <f t="shared" si="24"/>
        <v>0</v>
      </c>
      <c r="AI29">
        <f t="shared" si="25"/>
        <v>25269.097397486839</v>
      </c>
      <c r="AJ29">
        <f t="shared" si="26"/>
        <v>1.1852890322580649</v>
      </c>
      <c r="AK29">
        <f t="shared" si="27"/>
        <v>0.94823122580645203</v>
      </c>
      <c r="AL29">
        <f t="shared" si="28"/>
        <v>0.8</v>
      </c>
      <c r="AM29">
        <f t="shared" si="29"/>
        <v>0.19109999999999999</v>
      </c>
      <c r="AN29">
        <v>3</v>
      </c>
      <c r="AO29">
        <v>0.5</v>
      </c>
      <c r="AP29" t="s">
        <v>317</v>
      </c>
      <c r="AQ29">
        <v>2</v>
      </c>
      <c r="AR29">
        <v>1775532738.099999</v>
      </c>
      <c r="AS29">
        <v>5.3105816129032259</v>
      </c>
      <c r="AT29">
        <v>6.359272580645162</v>
      </c>
      <c r="AU29">
        <v>2.490624193548387</v>
      </c>
      <c r="AV29">
        <v>-1.7243580645161289</v>
      </c>
      <c r="AW29">
        <v>-2.0594183870967742</v>
      </c>
      <c r="AX29">
        <v>3.6696241935483869</v>
      </c>
      <c r="AY29">
        <v>499.97864516129027</v>
      </c>
      <c r="AZ29">
        <v>100.3304838709678</v>
      </c>
      <c r="BA29">
        <v>4.7104277419354842E-2</v>
      </c>
      <c r="BB29">
        <v>31.218077419354831</v>
      </c>
      <c r="BC29">
        <v>31.093467741935481</v>
      </c>
      <c r="BD29">
        <v>999.90000000000032</v>
      </c>
      <c r="BE29">
        <v>0</v>
      </c>
      <c r="BF29">
        <v>0</v>
      </c>
      <c r="BG29">
        <v>5002.8870967741932</v>
      </c>
      <c r="BH29">
        <v>1.1852890322580649</v>
      </c>
      <c r="BI29">
        <v>1043.210322580645</v>
      </c>
      <c r="BJ29">
        <v>-1.019251064516129</v>
      </c>
      <c r="BK29">
        <v>5.3534206451612896</v>
      </c>
      <c r="BL29">
        <v>6.3483261290322579</v>
      </c>
      <c r="BM29">
        <v>4.2270048387096786</v>
      </c>
      <c r="BN29">
        <v>6.359272580645162</v>
      </c>
      <c r="BO29">
        <v>-1.7243580645161289</v>
      </c>
      <c r="BP29">
        <v>0.25109190322580638</v>
      </c>
      <c r="BQ29">
        <v>-0.17300574193548379</v>
      </c>
      <c r="BR29">
        <v>-11.70566774193548</v>
      </c>
      <c r="BS29">
        <v>-99.900000000000034</v>
      </c>
      <c r="BT29">
        <v>1775532771.0999999</v>
      </c>
      <c r="BU29" t="s">
        <v>358</v>
      </c>
      <c r="BV29">
        <v>1775532763.0999999</v>
      </c>
      <c r="BW29">
        <v>1775532771.0999999</v>
      </c>
      <c r="BX29">
        <v>14</v>
      </c>
      <c r="BY29">
        <v>-0.03</v>
      </c>
      <c r="BZ29">
        <v>-1.2E-2</v>
      </c>
      <c r="CA29">
        <v>7.37</v>
      </c>
      <c r="CB29">
        <v>-1.179</v>
      </c>
      <c r="CC29">
        <v>6</v>
      </c>
      <c r="CD29">
        <v>-2</v>
      </c>
      <c r="CE29">
        <v>0.21</v>
      </c>
      <c r="CF29">
        <v>0.02</v>
      </c>
      <c r="CG29">
        <v>6.4734352459016398</v>
      </c>
      <c r="CH29">
        <v>-0.88692057112640343</v>
      </c>
      <c r="CI29">
        <v>0.13239641194938279</v>
      </c>
      <c r="CJ29">
        <v>-1</v>
      </c>
      <c r="CK29">
        <v>500.79870491803268</v>
      </c>
      <c r="CL29">
        <v>-8.0239830777372454</v>
      </c>
      <c r="CM29">
        <v>1.7607168560994879</v>
      </c>
      <c r="CN29">
        <v>-1</v>
      </c>
      <c r="CO29">
        <v>0</v>
      </c>
      <c r="CP29">
        <v>0</v>
      </c>
      <c r="CQ29" t="s">
        <v>319</v>
      </c>
      <c r="CR29">
        <v>3.1677200000000001</v>
      </c>
      <c r="CS29">
        <v>2.6682999999999999</v>
      </c>
      <c r="CT29">
        <v>-6.4108700000000004E-4</v>
      </c>
      <c r="CU29">
        <v>1.8556099999999999E-3</v>
      </c>
      <c r="CV29">
        <v>2.5590499999999999E-2</v>
      </c>
      <c r="CW29">
        <v>-1.5337699999999999E-2</v>
      </c>
      <c r="CX29">
        <v>21440.7</v>
      </c>
      <c r="CY29">
        <v>21763</v>
      </c>
      <c r="CZ29">
        <v>22963.9</v>
      </c>
      <c r="DA29">
        <v>22167.599999999999</v>
      </c>
      <c r="DB29">
        <v>28864.799999999999</v>
      </c>
      <c r="DC29">
        <v>26813.4</v>
      </c>
      <c r="DD29">
        <v>40383.4</v>
      </c>
      <c r="DE29">
        <v>36698.5</v>
      </c>
      <c r="DF29">
        <v>2.0434000000000001</v>
      </c>
      <c r="DG29">
        <v>1.7537400000000001</v>
      </c>
      <c r="DH29">
        <v>-1.9085399999999999E-2</v>
      </c>
      <c r="DI29">
        <v>0</v>
      </c>
      <c r="DJ29">
        <v>31.395099999999999</v>
      </c>
      <c r="DK29">
        <v>999.9</v>
      </c>
      <c r="DL29">
        <v>78.900000000000006</v>
      </c>
      <c r="DM29">
        <v>30.3</v>
      </c>
      <c r="DN29">
        <v>34.086100000000002</v>
      </c>
      <c r="DO29">
        <v>30.873699999999999</v>
      </c>
      <c r="DP29">
        <v>8.2051300000000005</v>
      </c>
      <c r="DQ29">
        <v>1</v>
      </c>
      <c r="DR29">
        <v>0.63475199999999998</v>
      </c>
      <c r="DS29">
        <v>1.6653800000000001</v>
      </c>
      <c r="DT29">
        <v>20.3523</v>
      </c>
      <c r="DU29">
        <v>5.2074699999999998</v>
      </c>
      <c r="DV29">
        <v>11.854200000000001</v>
      </c>
      <c r="DW29">
        <v>4.9672799999999997</v>
      </c>
      <c r="DX29">
        <v>3.2922400000000001</v>
      </c>
      <c r="DY29">
        <v>894.7</v>
      </c>
      <c r="DZ29">
        <v>6</v>
      </c>
      <c r="EA29">
        <v>9999</v>
      </c>
      <c r="EB29">
        <v>115.9</v>
      </c>
      <c r="EC29">
        <v>4.9716399999999998</v>
      </c>
      <c r="ED29">
        <v>1.8719600000000001</v>
      </c>
      <c r="EE29">
        <v>1.8692</v>
      </c>
      <c r="EF29">
        <v>1.8715999999999999</v>
      </c>
      <c r="EG29">
        <v>1.8693500000000001</v>
      </c>
      <c r="EH29">
        <v>1.8682799999999999</v>
      </c>
      <c r="EI29">
        <v>1.8701000000000001</v>
      </c>
      <c r="EJ29">
        <v>1.87192</v>
      </c>
      <c r="EK29">
        <v>0</v>
      </c>
      <c r="EL29">
        <v>0</v>
      </c>
      <c r="EM29">
        <v>0</v>
      </c>
      <c r="EN29">
        <v>0</v>
      </c>
      <c r="EO29" t="s">
        <v>320</v>
      </c>
      <c r="EP29" t="s">
        <v>321</v>
      </c>
      <c r="EQ29" t="s">
        <v>322</v>
      </c>
      <c r="ER29" t="s">
        <v>322</v>
      </c>
      <c r="ES29" t="s">
        <v>322</v>
      </c>
      <c r="ET29" t="s">
        <v>322</v>
      </c>
      <c r="EU29">
        <v>0</v>
      </c>
      <c r="EV29">
        <v>100</v>
      </c>
      <c r="EW29">
        <v>100</v>
      </c>
      <c r="EX29">
        <v>7.37</v>
      </c>
      <c r="EY29">
        <v>-1.179</v>
      </c>
      <c r="EZ29">
        <v>7.3994419000000002</v>
      </c>
      <c r="FA29">
        <v>0</v>
      </c>
      <c r="FB29">
        <v>0</v>
      </c>
      <c r="FC29">
        <v>0</v>
      </c>
      <c r="FD29">
        <v>-1.1669773999999999</v>
      </c>
      <c r="FE29">
        <v>0</v>
      </c>
      <c r="FF29">
        <v>0</v>
      </c>
      <c r="FG29">
        <v>0</v>
      </c>
      <c r="FH29">
        <v>-1</v>
      </c>
      <c r="FI29">
        <v>-1</v>
      </c>
      <c r="FJ29">
        <v>-1</v>
      </c>
      <c r="FK29">
        <v>-1</v>
      </c>
      <c r="FL29">
        <v>0.7</v>
      </c>
      <c r="FM29">
        <v>0.6</v>
      </c>
      <c r="FN29">
        <v>0.144043</v>
      </c>
      <c r="FO29">
        <v>4.99756</v>
      </c>
      <c r="FP29">
        <v>1.5979000000000001</v>
      </c>
      <c r="FQ29">
        <v>2.16553</v>
      </c>
      <c r="FR29">
        <v>1.5478499999999999</v>
      </c>
      <c r="FS29">
        <v>2.4584999999999999</v>
      </c>
      <c r="FT29">
        <v>37.795299999999997</v>
      </c>
      <c r="FU29">
        <v>15.927</v>
      </c>
      <c r="FV29">
        <v>2</v>
      </c>
      <c r="FW29">
        <v>506.92099999999999</v>
      </c>
      <c r="FX29">
        <v>407.755</v>
      </c>
      <c r="FY29">
        <v>30.414000000000001</v>
      </c>
      <c r="FZ29">
        <v>34.9392</v>
      </c>
      <c r="GA29">
        <v>30.0014</v>
      </c>
      <c r="GB29">
        <v>34.8187</v>
      </c>
      <c r="GC29">
        <v>34.768700000000003</v>
      </c>
      <c r="GD29">
        <v>-1</v>
      </c>
      <c r="GE29">
        <v>0</v>
      </c>
      <c r="GF29">
        <v>100</v>
      </c>
      <c r="GG29">
        <v>30.4039</v>
      </c>
      <c r="GH29">
        <v>432.1</v>
      </c>
      <c r="GI29">
        <v>28.1648</v>
      </c>
      <c r="GJ29">
        <v>101.628</v>
      </c>
      <c r="GK29">
        <v>95.798199999999994</v>
      </c>
    </row>
    <row r="30" spans="1:193" x14ac:dyDescent="0.35">
      <c r="A30">
        <v>14</v>
      </c>
      <c r="B30">
        <v>1775532806.0999999</v>
      </c>
      <c r="C30">
        <v>780</v>
      </c>
      <c r="D30" t="s">
        <v>359</v>
      </c>
      <c r="E30" t="s">
        <v>360</v>
      </c>
      <c r="F30">
        <v>60</v>
      </c>
      <c r="G30">
        <v>1775532798.099999</v>
      </c>
      <c r="H30">
        <f t="shared" si="0"/>
        <v>6.5978867425481643E-3</v>
      </c>
      <c r="I30">
        <f t="shared" si="1"/>
        <v>6.5978867425481642</v>
      </c>
      <c r="J30">
        <f t="shared" si="2"/>
        <v>1.6383340992009756</v>
      </c>
      <c r="K30">
        <f t="shared" si="3"/>
        <v>4.9648354838709672</v>
      </c>
      <c r="L30">
        <f t="shared" si="4"/>
        <v>-12.098873509566348</v>
      </c>
      <c r="M30">
        <f t="shared" si="5"/>
        <v>-1.2144632368693913</v>
      </c>
      <c r="N30">
        <f t="shared" si="6"/>
        <v>0.49836128689984638</v>
      </c>
      <c r="O30">
        <f t="shared" si="7"/>
        <v>0.15609811213696587</v>
      </c>
      <c r="P30">
        <f t="shared" si="8"/>
        <v>2.3943122262776027</v>
      </c>
      <c r="Q30">
        <f t="shared" si="9"/>
        <v>0.1506567422870827</v>
      </c>
      <c r="R30">
        <f t="shared" si="10"/>
        <v>9.4633547276664232E-2</v>
      </c>
      <c r="S30">
        <f t="shared" si="11"/>
        <v>0.22161965632258074</v>
      </c>
      <c r="T30">
        <f t="shared" si="12"/>
        <v>29.148855759045652</v>
      </c>
      <c r="U30">
        <f t="shared" si="13"/>
        <v>31.043977419354839</v>
      </c>
      <c r="V30">
        <f t="shared" si="14"/>
        <v>4.5227028856093323</v>
      </c>
      <c r="W30">
        <f t="shared" si="15"/>
        <v>5.0559902379742656</v>
      </c>
      <c r="X30">
        <f t="shared" si="16"/>
        <v>0.23081084861791779</v>
      </c>
      <c r="Y30">
        <f t="shared" si="17"/>
        <v>4.5650968011044757</v>
      </c>
      <c r="Z30">
        <f t="shared" si="18"/>
        <v>4.2918920369914142</v>
      </c>
      <c r="AA30">
        <f t="shared" si="19"/>
        <v>-290.96680534637403</v>
      </c>
      <c r="AB30">
        <f t="shared" si="20"/>
        <v>21.141575959381512</v>
      </c>
      <c r="AC30">
        <f t="shared" si="21"/>
        <v>1.985308052482972</v>
      </c>
      <c r="AD30">
        <f t="shared" si="22"/>
        <v>-267.61830167818698</v>
      </c>
      <c r="AE30">
        <v>5</v>
      </c>
      <c r="AF30">
        <v>1</v>
      </c>
      <c r="AG30">
        <f t="shared" si="23"/>
        <v>1</v>
      </c>
      <c r="AH30">
        <f t="shared" si="24"/>
        <v>0</v>
      </c>
      <c r="AI30">
        <f t="shared" si="25"/>
        <v>25251.151630099881</v>
      </c>
      <c r="AJ30">
        <f t="shared" si="26"/>
        <v>1.1597051612903231</v>
      </c>
      <c r="AK30">
        <f t="shared" si="27"/>
        <v>0.92776412903225847</v>
      </c>
      <c r="AL30">
        <f t="shared" si="28"/>
        <v>0.8</v>
      </c>
      <c r="AM30">
        <f t="shared" si="29"/>
        <v>0.19109999999999999</v>
      </c>
      <c r="AN30">
        <v>3</v>
      </c>
      <c r="AO30">
        <v>0.5</v>
      </c>
      <c r="AP30" t="s">
        <v>317</v>
      </c>
      <c r="AQ30">
        <v>2</v>
      </c>
      <c r="AR30">
        <v>1775532798.099999</v>
      </c>
      <c r="AS30">
        <v>4.9648354838709672</v>
      </c>
      <c r="AT30">
        <v>5.9675109677419362</v>
      </c>
      <c r="AU30">
        <v>2.2994119354838709</v>
      </c>
      <c r="AV30">
        <v>-1.650298387096774</v>
      </c>
      <c r="AW30">
        <v>-2.369164516129032</v>
      </c>
      <c r="AX30">
        <v>3.4894119354838709</v>
      </c>
      <c r="AY30">
        <v>499.98974193548389</v>
      </c>
      <c r="AZ30">
        <v>100.3306129032258</v>
      </c>
      <c r="BA30">
        <v>4.7594696774193562E-2</v>
      </c>
      <c r="BB30">
        <v>31.20776129032258</v>
      </c>
      <c r="BC30">
        <v>31.043977419354839</v>
      </c>
      <c r="BD30">
        <v>999.90000000000032</v>
      </c>
      <c r="BE30">
        <v>0</v>
      </c>
      <c r="BF30">
        <v>0</v>
      </c>
      <c r="BG30">
        <v>4999.6612903225796</v>
      </c>
      <c r="BH30">
        <v>1.1597051612903231</v>
      </c>
      <c r="BI30">
        <v>1034.904838709678</v>
      </c>
      <c r="BJ30">
        <v>-0.96676912903225809</v>
      </c>
      <c r="BK30">
        <v>5.0123225806451606</v>
      </c>
      <c r="BL30">
        <v>5.9576806451612896</v>
      </c>
      <c r="BM30">
        <v>3.9607312903225802</v>
      </c>
      <c r="BN30">
        <v>5.9675109677419362</v>
      </c>
      <c r="BO30">
        <v>-1.650298387096774</v>
      </c>
      <c r="BP30">
        <v>0.23180703225806451</v>
      </c>
      <c r="BQ30">
        <v>-0.16557551612903229</v>
      </c>
      <c r="BR30">
        <v>-12.697358064516131</v>
      </c>
      <c r="BS30">
        <v>-99.900000000000034</v>
      </c>
      <c r="BT30">
        <v>1775532831.0999999</v>
      </c>
      <c r="BU30" t="s">
        <v>361</v>
      </c>
      <c r="BV30">
        <v>1775532823.0999999</v>
      </c>
      <c r="BW30">
        <v>1775532831.0999999</v>
      </c>
      <c r="BX30">
        <v>15</v>
      </c>
      <c r="BY30">
        <v>-3.5999999999999997E-2</v>
      </c>
      <c r="BZ30">
        <v>-1.0999999999999999E-2</v>
      </c>
      <c r="CA30">
        <v>7.3339999999999996</v>
      </c>
      <c r="CB30">
        <v>-1.19</v>
      </c>
      <c r="CC30">
        <v>6</v>
      </c>
      <c r="CD30">
        <v>-2</v>
      </c>
      <c r="CE30">
        <v>0.22</v>
      </c>
      <c r="CF30">
        <v>0.02</v>
      </c>
      <c r="CG30">
        <v>5.9953247540983607</v>
      </c>
      <c r="CH30">
        <v>-0.1121787414066608</v>
      </c>
      <c r="CI30">
        <v>6.1380436558830818E-2</v>
      </c>
      <c r="CJ30">
        <v>-1</v>
      </c>
      <c r="CK30">
        <v>500.50098360655733</v>
      </c>
      <c r="CL30">
        <v>-5.3779418297199486</v>
      </c>
      <c r="CM30">
        <v>1.438439380784001</v>
      </c>
      <c r="CN30">
        <v>-1</v>
      </c>
      <c r="CO30">
        <v>0</v>
      </c>
      <c r="CP30">
        <v>0</v>
      </c>
      <c r="CQ30" t="s">
        <v>319</v>
      </c>
      <c r="CR30">
        <v>3.1678500000000001</v>
      </c>
      <c r="CS30">
        <v>2.6687400000000001</v>
      </c>
      <c r="CT30">
        <v>-7.0119400000000004E-4</v>
      </c>
      <c r="CU30">
        <v>1.7572899999999999E-3</v>
      </c>
      <c r="CV30">
        <v>2.4437E-2</v>
      </c>
      <c r="CW30">
        <v>-1.45834E-2</v>
      </c>
      <c r="CX30">
        <v>21434.2</v>
      </c>
      <c r="CY30">
        <v>21760.7</v>
      </c>
      <c r="CZ30">
        <v>22956.2</v>
      </c>
      <c r="DA30">
        <v>22163.5</v>
      </c>
      <c r="DB30">
        <v>28890.1</v>
      </c>
      <c r="DC30">
        <v>26787.7</v>
      </c>
      <c r="DD30">
        <v>40371.5</v>
      </c>
      <c r="DE30">
        <v>36690.6</v>
      </c>
      <c r="DF30">
        <v>2.0413800000000002</v>
      </c>
      <c r="DG30">
        <v>1.7493799999999999</v>
      </c>
      <c r="DH30">
        <v>-2.2158000000000001E-2</v>
      </c>
      <c r="DI30">
        <v>0</v>
      </c>
      <c r="DJ30">
        <v>31.397300000000001</v>
      </c>
      <c r="DK30">
        <v>999.9</v>
      </c>
      <c r="DL30">
        <v>78.3</v>
      </c>
      <c r="DM30">
        <v>30.6</v>
      </c>
      <c r="DN30">
        <v>34.412999999999997</v>
      </c>
      <c r="DO30">
        <v>30.363700000000001</v>
      </c>
      <c r="DP30">
        <v>8.1570499999999999</v>
      </c>
      <c r="DQ30">
        <v>1</v>
      </c>
      <c r="DR30">
        <v>0.65073199999999998</v>
      </c>
      <c r="DS30">
        <v>1.83562</v>
      </c>
      <c r="DT30">
        <v>20.350000000000001</v>
      </c>
      <c r="DU30">
        <v>5.2073499999999999</v>
      </c>
      <c r="DV30">
        <v>11.854200000000001</v>
      </c>
      <c r="DW30">
        <v>4.9671200000000004</v>
      </c>
      <c r="DX30">
        <v>3.2922400000000001</v>
      </c>
      <c r="DY30">
        <v>894.7</v>
      </c>
      <c r="DZ30">
        <v>6</v>
      </c>
      <c r="EA30">
        <v>9999</v>
      </c>
      <c r="EB30">
        <v>116</v>
      </c>
      <c r="EC30">
        <v>4.9716399999999998</v>
      </c>
      <c r="ED30">
        <v>1.87201</v>
      </c>
      <c r="EE30">
        <v>1.8692</v>
      </c>
      <c r="EF30">
        <v>1.8715900000000001</v>
      </c>
      <c r="EG30">
        <v>1.8693500000000001</v>
      </c>
      <c r="EH30">
        <v>1.86829</v>
      </c>
      <c r="EI30">
        <v>1.87012</v>
      </c>
      <c r="EJ30">
        <v>1.8718900000000001</v>
      </c>
      <c r="EK30">
        <v>0</v>
      </c>
      <c r="EL30">
        <v>0</v>
      </c>
      <c r="EM30">
        <v>0</v>
      </c>
      <c r="EN30">
        <v>0</v>
      </c>
      <c r="EO30" t="s">
        <v>320</v>
      </c>
      <c r="EP30" t="s">
        <v>321</v>
      </c>
      <c r="EQ30" t="s">
        <v>322</v>
      </c>
      <c r="ER30" t="s">
        <v>322</v>
      </c>
      <c r="ES30" t="s">
        <v>322</v>
      </c>
      <c r="ET30" t="s">
        <v>322</v>
      </c>
      <c r="EU30">
        <v>0</v>
      </c>
      <c r="EV30">
        <v>100</v>
      </c>
      <c r="EW30">
        <v>100</v>
      </c>
      <c r="EX30">
        <v>7.3339999999999996</v>
      </c>
      <c r="EY30">
        <v>-1.19</v>
      </c>
      <c r="EZ30">
        <v>7.3699075000000009</v>
      </c>
      <c r="FA30">
        <v>0</v>
      </c>
      <c r="FB30">
        <v>0</v>
      </c>
      <c r="FC30">
        <v>0</v>
      </c>
      <c r="FD30">
        <v>-1.1789788000000001</v>
      </c>
      <c r="FE30">
        <v>0</v>
      </c>
      <c r="FF30">
        <v>0</v>
      </c>
      <c r="FG30">
        <v>0</v>
      </c>
      <c r="FH30">
        <v>-1</v>
      </c>
      <c r="FI30">
        <v>-1</v>
      </c>
      <c r="FJ30">
        <v>-1</v>
      </c>
      <c r="FK30">
        <v>-1</v>
      </c>
      <c r="FL30">
        <v>0.7</v>
      </c>
      <c r="FM30">
        <v>0.6</v>
      </c>
      <c r="FN30">
        <v>0.144043</v>
      </c>
      <c r="FO30">
        <v>4.99756</v>
      </c>
      <c r="FP30">
        <v>1.5979000000000001</v>
      </c>
      <c r="FQ30">
        <v>2.16431</v>
      </c>
      <c r="FR30">
        <v>1.5478499999999999</v>
      </c>
      <c r="FS30">
        <v>2.4682599999999999</v>
      </c>
      <c r="FT30">
        <v>38.086300000000001</v>
      </c>
      <c r="FU30">
        <v>15.918200000000001</v>
      </c>
      <c r="FV30">
        <v>2</v>
      </c>
      <c r="FW30">
        <v>507.245</v>
      </c>
      <c r="FX30">
        <v>406.53199999999998</v>
      </c>
      <c r="FY30">
        <v>30.192499999999999</v>
      </c>
      <c r="FZ30">
        <v>35.119399999999999</v>
      </c>
      <c r="GA30">
        <v>30.001200000000001</v>
      </c>
      <c r="GB30">
        <v>35.032200000000003</v>
      </c>
      <c r="GC30">
        <v>34.991900000000001</v>
      </c>
      <c r="GD30">
        <v>-1</v>
      </c>
      <c r="GE30">
        <v>0</v>
      </c>
      <c r="GF30">
        <v>100</v>
      </c>
      <c r="GG30">
        <v>30.192799999999998</v>
      </c>
      <c r="GH30">
        <v>432.1</v>
      </c>
      <c r="GI30">
        <v>28.1648</v>
      </c>
      <c r="GJ30">
        <v>101.59699999999999</v>
      </c>
      <c r="GK30">
        <v>95.778800000000004</v>
      </c>
    </row>
    <row r="31" spans="1:193" x14ac:dyDescent="0.35">
      <c r="A31">
        <v>15</v>
      </c>
      <c r="B31">
        <v>1775532866.0999999</v>
      </c>
      <c r="C31">
        <v>840</v>
      </c>
      <c r="D31" t="s">
        <v>362</v>
      </c>
      <c r="E31" t="s">
        <v>363</v>
      </c>
      <c r="F31">
        <v>60</v>
      </c>
      <c r="G31">
        <v>1775532858.099999</v>
      </c>
      <c r="H31">
        <f t="shared" si="0"/>
        <v>6.4414847692886865E-3</v>
      </c>
      <c r="I31">
        <f t="shared" si="1"/>
        <v>6.4414847692886861</v>
      </c>
      <c r="J31">
        <f t="shared" si="2"/>
        <v>1.4043820064106898</v>
      </c>
      <c r="K31">
        <f t="shared" si="3"/>
        <v>4.8715558064516129</v>
      </c>
      <c r="L31">
        <f t="shared" si="4"/>
        <v>-10.172467224270321</v>
      </c>
      <c r="M31">
        <f t="shared" si="5"/>
        <v>-1.0211141877204224</v>
      </c>
      <c r="N31">
        <f t="shared" si="6"/>
        <v>0.48900769504286751</v>
      </c>
      <c r="O31">
        <f t="shared" si="7"/>
        <v>0.15199005159327739</v>
      </c>
      <c r="P31">
        <f t="shared" si="8"/>
        <v>2.3951232045813118</v>
      </c>
      <c r="Q31">
        <f t="shared" si="9"/>
        <v>0.14682790314450789</v>
      </c>
      <c r="R31">
        <f t="shared" si="10"/>
        <v>9.2216632046959957E-2</v>
      </c>
      <c r="S31">
        <f t="shared" si="11"/>
        <v>0.22757538029032251</v>
      </c>
      <c r="T31">
        <f t="shared" si="12"/>
        <v>29.206674230386252</v>
      </c>
      <c r="U31">
        <f t="shared" si="13"/>
        <v>31.06517741935485</v>
      </c>
      <c r="V31">
        <f t="shared" si="14"/>
        <v>4.5281709131204959</v>
      </c>
      <c r="W31">
        <f t="shared" si="15"/>
        <v>5.008223151647913</v>
      </c>
      <c r="X31">
        <f t="shared" si="16"/>
        <v>0.22873824829002243</v>
      </c>
      <c r="Y31">
        <f t="shared" si="17"/>
        <v>4.5672535221350525</v>
      </c>
      <c r="Z31">
        <f t="shared" si="18"/>
        <v>4.2994326648304737</v>
      </c>
      <c r="AA31">
        <f t="shared" si="19"/>
        <v>-284.06947832563105</v>
      </c>
      <c r="AB31">
        <f t="shared" si="20"/>
        <v>19.48259641416832</v>
      </c>
      <c r="AC31">
        <f t="shared" si="21"/>
        <v>1.829167521286122</v>
      </c>
      <c r="AD31">
        <f t="shared" si="22"/>
        <v>-262.53013900988628</v>
      </c>
      <c r="AE31">
        <v>5</v>
      </c>
      <c r="AF31">
        <v>1</v>
      </c>
      <c r="AG31">
        <f t="shared" si="23"/>
        <v>1</v>
      </c>
      <c r="AH31">
        <f t="shared" si="24"/>
        <v>0</v>
      </c>
      <c r="AI31">
        <f t="shared" si="25"/>
        <v>25262.558208091574</v>
      </c>
      <c r="AJ31">
        <f t="shared" si="26"/>
        <v>1.19087064516129</v>
      </c>
      <c r="AK31">
        <f t="shared" si="27"/>
        <v>0.95269651612903206</v>
      </c>
      <c r="AL31">
        <f t="shared" si="28"/>
        <v>0.8</v>
      </c>
      <c r="AM31">
        <f t="shared" si="29"/>
        <v>0.19109999999999999</v>
      </c>
      <c r="AN31">
        <v>3</v>
      </c>
      <c r="AO31">
        <v>0.5</v>
      </c>
      <c r="AP31" t="s">
        <v>317</v>
      </c>
      <c r="AQ31">
        <v>2</v>
      </c>
      <c r="AR31">
        <v>1775532858.099999</v>
      </c>
      <c r="AS31">
        <v>4.8715558064516129</v>
      </c>
      <c r="AT31">
        <v>5.7330203225806464</v>
      </c>
      <c r="AU31">
        <v>2.2787190322580639</v>
      </c>
      <c r="AV31">
        <v>-1.577397419354839</v>
      </c>
      <c r="AW31">
        <v>-2.431444193548387</v>
      </c>
      <c r="AX31">
        <v>3.4787190322580641</v>
      </c>
      <c r="AY31">
        <v>499.99577419354841</v>
      </c>
      <c r="AZ31">
        <v>100.3326451612903</v>
      </c>
      <c r="BA31">
        <v>4.7544345161290323E-2</v>
      </c>
      <c r="BB31">
        <v>31.21605806451613</v>
      </c>
      <c r="BC31">
        <v>31.06517741935485</v>
      </c>
      <c r="BD31">
        <v>999.90000000000032</v>
      </c>
      <c r="BE31">
        <v>0</v>
      </c>
      <c r="BF31">
        <v>0</v>
      </c>
      <c r="BG31">
        <v>5001.6451612903229</v>
      </c>
      <c r="BH31">
        <v>1.19087064516129</v>
      </c>
      <c r="BI31">
        <v>1063.98</v>
      </c>
      <c r="BJ31">
        <v>-0.83078938709677419</v>
      </c>
      <c r="BK31">
        <v>4.9134761290322588</v>
      </c>
      <c r="BL31">
        <v>5.7239909677419361</v>
      </c>
      <c r="BM31">
        <v>3.8656993548387102</v>
      </c>
      <c r="BN31">
        <v>5.7330203225806464</v>
      </c>
      <c r="BO31">
        <v>-1.577397419354839</v>
      </c>
      <c r="BP31">
        <v>0.22959119354838711</v>
      </c>
      <c r="BQ31">
        <v>-0.1582644838709677</v>
      </c>
      <c r="BR31">
        <v>-12.81648387096774</v>
      </c>
      <c r="BS31">
        <v>-99.900000000000034</v>
      </c>
      <c r="BT31">
        <v>1775532892.0999999</v>
      </c>
      <c r="BU31" t="s">
        <v>364</v>
      </c>
      <c r="BV31">
        <v>1775532886.0999999</v>
      </c>
      <c r="BW31">
        <v>1775532892.0999999</v>
      </c>
      <c r="BX31">
        <v>16</v>
      </c>
      <c r="BY31">
        <v>-3.1E-2</v>
      </c>
      <c r="BZ31">
        <v>-0.01</v>
      </c>
      <c r="CA31">
        <v>7.3029999999999999</v>
      </c>
      <c r="CB31">
        <v>-1.2</v>
      </c>
      <c r="CC31">
        <v>6</v>
      </c>
      <c r="CD31">
        <v>-2</v>
      </c>
      <c r="CE31">
        <v>0.36</v>
      </c>
      <c r="CF31">
        <v>0.02</v>
      </c>
      <c r="CG31">
        <v>5.8290345000000006</v>
      </c>
      <c r="CH31">
        <v>-0.62481332592386551</v>
      </c>
      <c r="CI31">
        <v>0.11009015960301199</v>
      </c>
      <c r="CJ31">
        <v>-1</v>
      </c>
      <c r="CK31">
        <v>500.52753333333328</v>
      </c>
      <c r="CL31">
        <v>-5.7279377604893238</v>
      </c>
      <c r="CM31">
        <v>1.479104700673878</v>
      </c>
      <c r="CN31">
        <v>-1</v>
      </c>
      <c r="CO31">
        <v>0</v>
      </c>
      <c r="CP31">
        <v>0</v>
      </c>
      <c r="CQ31" t="s">
        <v>319</v>
      </c>
      <c r="CR31">
        <v>3.16777</v>
      </c>
      <c r="CS31">
        <v>2.6690900000000002</v>
      </c>
      <c r="CT31">
        <v>-7.39863E-4</v>
      </c>
      <c r="CU31">
        <v>1.67122E-3</v>
      </c>
      <c r="CV31">
        <v>2.4237000000000002E-2</v>
      </c>
      <c r="CW31">
        <v>-1.3854E-2</v>
      </c>
      <c r="CX31">
        <v>21427.4</v>
      </c>
      <c r="CY31">
        <v>21758.7</v>
      </c>
      <c r="CZ31">
        <v>22948.799999999999</v>
      </c>
      <c r="DA31">
        <v>22160</v>
      </c>
      <c r="DB31">
        <v>28887.5</v>
      </c>
      <c r="DC31">
        <v>26763.3</v>
      </c>
      <c r="DD31">
        <v>40359.9</v>
      </c>
      <c r="DE31">
        <v>36683.800000000003</v>
      </c>
      <c r="DF31">
        <v>2.0390799999999998</v>
      </c>
      <c r="DG31">
        <v>1.7462599999999999</v>
      </c>
      <c r="DH31">
        <v>-2.22206E-2</v>
      </c>
      <c r="DI31">
        <v>0</v>
      </c>
      <c r="DJ31">
        <v>31.410499999999999</v>
      </c>
      <c r="DK31">
        <v>999.9</v>
      </c>
      <c r="DL31">
        <v>77.7</v>
      </c>
      <c r="DM31">
        <v>30.8</v>
      </c>
      <c r="DN31">
        <v>34.539499999999997</v>
      </c>
      <c r="DO31">
        <v>30.843699999999998</v>
      </c>
      <c r="DP31">
        <v>8.1450300000000002</v>
      </c>
      <c r="DQ31">
        <v>1</v>
      </c>
      <c r="DR31">
        <v>0.66451800000000005</v>
      </c>
      <c r="DS31">
        <v>1.8443400000000001</v>
      </c>
      <c r="DT31">
        <v>20.349699999999999</v>
      </c>
      <c r="DU31">
        <v>5.2069900000000002</v>
      </c>
      <c r="DV31">
        <v>11.854200000000001</v>
      </c>
      <c r="DW31">
        <v>4.9671599999999998</v>
      </c>
      <c r="DX31">
        <v>3.2922600000000002</v>
      </c>
      <c r="DY31">
        <v>894.7</v>
      </c>
      <c r="DZ31">
        <v>6</v>
      </c>
      <c r="EA31">
        <v>9999</v>
      </c>
      <c r="EB31">
        <v>116</v>
      </c>
      <c r="EC31">
        <v>4.9716300000000002</v>
      </c>
      <c r="ED31">
        <v>1.87202</v>
      </c>
      <c r="EE31">
        <v>1.8692</v>
      </c>
      <c r="EF31">
        <v>1.8715599999999999</v>
      </c>
      <c r="EG31">
        <v>1.8693500000000001</v>
      </c>
      <c r="EH31">
        <v>1.86829</v>
      </c>
      <c r="EI31">
        <v>1.87012</v>
      </c>
      <c r="EJ31">
        <v>1.8718399999999999</v>
      </c>
      <c r="EK31">
        <v>0</v>
      </c>
      <c r="EL31">
        <v>0</v>
      </c>
      <c r="EM31">
        <v>0</v>
      </c>
      <c r="EN31">
        <v>0</v>
      </c>
      <c r="EO31" t="s">
        <v>320</v>
      </c>
      <c r="EP31" t="s">
        <v>321</v>
      </c>
      <c r="EQ31" t="s">
        <v>322</v>
      </c>
      <c r="ER31" t="s">
        <v>322</v>
      </c>
      <c r="ES31" t="s">
        <v>322</v>
      </c>
      <c r="ET31" t="s">
        <v>322</v>
      </c>
      <c r="EU31">
        <v>0</v>
      </c>
      <c r="EV31">
        <v>100</v>
      </c>
      <c r="EW31">
        <v>100</v>
      </c>
      <c r="EX31">
        <v>7.3029999999999999</v>
      </c>
      <c r="EY31">
        <v>-1.2</v>
      </c>
      <c r="EZ31">
        <v>7.3336760000000014</v>
      </c>
      <c r="FA31">
        <v>0</v>
      </c>
      <c r="FB31">
        <v>0</v>
      </c>
      <c r="FC31">
        <v>0</v>
      </c>
      <c r="FD31">
        <v>-1.1904172</v>
      </c>
      <c r="FE31">
        <v>0</v>
      </c>
      <c r="FF31">
        <v>0</v>
      </c>
      <c r="FG31">
        <v>0</v>
      </c>
      <c r="FH31">
        <v>-1</v>
      </c>
      <c r="FI31">
        <v>-1</v>
      </c>
      <c r="FJ31">
        <v>-1</v>
      </c>
      <c r="FK31">
        <v>-1</v>
      </c>
      <c r="FL31">
        <v>0.7</v>
      </c>
      <c r="FM31">
        <v>0.6</v>
      </c>
      <c r="FN31">
        <v>0.144043</v>
      </c>
      <c r="FO31">
        <v>4.99756</v>
      </c>
      <c r="FP31">
        <v>1.5979000000000001</v>
      </c>
      <c r="FQ31">
        <v>2.16187</v>
      </c>
      <c r="FR31">
        <v>1.5478499999999999</v>
      </c>
      <c r="FS31">
        <v>2.4536099999999998</v>
      </c>
      <c r="FT31">
        <v>38.378999999999998</v>
      </c>
      <c r="FU31">
        <v>15.9358</v>
      </c>
      <c r="FV31">
        <v>2</v>
      </c>
      <c r="FW31">
        <v>507.26900000000001</v>
      </c>
      <c r="FX31">
        <v>405.91</v>
      </c>
      <c r="FY31">
        <v>30.240500000000001</v>
      </c>
      <c r="FZ31">
        <v>35.290399999999998</v>
      </c>
      <c r="GA31">
        <v>30.001200000000001</v>
      </c>
      <c r="GB31">
        <v>35.228499999999997</v>
      </c>
      <c r="GC31">
        <v>35.194400000000002</v>
      </c>
      <c r="GD31">
        <v>-1</v>
      </c>
      <c r="GE31">
        <v>0</v>
      </c>
      <c r="GF31">
        <v>100</v>
      </c>
      <c r="GG31">
        <v>30.2376</v>
      </c>
      <c r="GH31">
        <v>432.1</v>
      </c>
      <c r="GI31">
        <v>28.1648</v>
      </c>
      <c r="GJ31">
        <v>101.566</v>
      </c>
      <c r="GK31">
        <v>95.762</v>
      </c>
    </row>
    <row r="32" spans="1:193" x14ac:dyDescent="0.35">
      <c r="A32">
        <v>16</v>
      </c>
      <c r="B32">
        <v>1775532926.0999999</v>
      </c>
      <c r="C32">
        <v>900</v>
      </c>
      <c r="D32" t="s">
        <v>365</v>
      </c>
      <c r="E32" t="s">
        <v>366</v>
      </c>
      <c r="F32">
        <v>60</v>
      </c>
      <c r="G32">
        <v>1775532918.099999</v>
      </c>
      <c r="H32">
        <f t="shared" si="0"/>
        <v>6.1096364228353586E-3</v>
      </c>
      <c r="I32">
        <f t="shared" si="1"/>
        <v>6.1096364228353588</v>
      </c>
      <c r="J32">
        <f t="shared" si="2"/>
        <v>1.3617468140844533</v>
      </c>
      <c r="K32">
        <f t="shared" si="3"/>
        <v>4.8734793548387101</v>
      </c>
      <c r="L32">
        <f t="shared" si="4"/>
        <v>-10.511393673511698</v>
      </c>
      <c r="M32">
        <f t="shared" si="5"/>
        <v>-1.0551805483648942</v>
      </c>
      <c r="N32">
        <f t="shared" si="6"/>
        <v>0.48922157972661118</v>
      </c>
      <c r="O32">
        <f t="shared" si="7"/>
        <v>0.14381779528344474</v>
      </c>
      <c r="P32">
        <f t="shared" si="8"/>
        <v>2.3923748839846599</v>
      </c>
      <c r="Q32">
        <f t="shared" si="9"/>
        <v>0.13918160647351294</v>
      </c>
      <c r="R32">
        <f t="shared" si="10"/>
        <v>8.7392597148624032E-2</v>
      </c>
      <c r="S32">
        <f t="shared" si="11"/>
        <v>0.23013143525806448</v>
      </c>
      <c r="T32">
        <f t="shared" si="12"/>
        <v>29.302376406531558</v>
      </c>
      <c r="U32">
        <f t="shared" si="13"/>
        <v>31.029183870967739</v>
      </c>
      <c r="V32">
        <f t="shared" si="14"/>
        <v>4.5188906551212531</v>
      </c>
      <c r="W32">
        <f t="shared" si="15"/>
        <v>4.7365295334882394</v>
      </c>
      <c r="X32">
        <f t="shared" si="16"/>
        <v>0.21625658466667808</v>
      </c>
      <c r="Y32">
        <f t="shared" si="17"/>
        <v>4.5657180671565429</v>
      </c>
      <c r="Z32">
        <f t="shared" si="18"/>
        <v>4.3026340704545749</v>
      </c>
      <c r="AA32">
        <f t="shared" si="19"/>
        <v>-269.43496624703931</v>
      </c>
      <c r="AB32">
        <f t="shared" si="20"/>
        <v>23.340805797470409</v>
      </c>
      <c r="AC32">
        <f t="shared" si="21"/>
        <v>2.1934683842979723</v>
      </c>
      <c r="AD32">
        <f t="shared" si="22"/>
        <v>-243.67056063001286</v>
      </c>
      <c r="AE32">
        <v>5</v>
      </c>
      <c r="AF32">
        <v>1</v>
      </c>
      <c r="AG32">
        <f t="shared" si="23"/>
        <v>1</v>
      </c>
      <c r="AH32">
        <f t="shared" si="24"/>
        <v>0</v>
      </c>
      <c r="AI32">
        <f t="shared" si="25"/>
        <v>25221.63772029251</v>
      </c>
      <c r="AJ32">
        <f t="shared" si="26"/>
        <v>1.2042461290322579</v>
      </c>
      <c r="AK32">
        <f t="shared" si="27"/>
        <v>0.9633969032258064</v>
      </c>
      <c r="AL32">
        <f t="shared" si="28"/>
        <v>0.8</v>
      </c>
      <c r="AM32">
        <f t="shared" si="29"/>
        <v>0.19109999999999999</v>
      </c>
      <c r="AN32">
        <v>3</v>
      </c>
      <c r="AO32">
        <v>0.5</v>
      </c>
      <c r="AP32" t="s">
        <v>317</v>
      </c>
      <c r="AQ32">
        <v>2</v>
      </c>
      <c r="AR32">
        <v>1775532918.099999</v>
      </c>
      <c r="AS32">
        <v>4.8734793548387101</v>
      </c>
      <c r="AT32">
        <v>5.7084332258064521</v>
      </c>
      <c r="AU32">
        <v>2.154283548387097</v>
      </c>
      <c r="AV32">
        <v>-1.5037793548387099</v>
      </c>
      <c r="AW32">
        <v>-2.44052064516129</v>
      </c>
      <c r="AX32">
        <v>3.364283548387097</v>
      </c>
      <c r="AY32">
        <v>499.97564516129029</v>
      </c>
      <c r="AZ32">
        <v>100.3365161290323</v>
      </c>
      <c r="BA32">
        <v>4.79410741935484E-2</v>
      </c>
      <c r="BB32">
        <v>31.210151612903221</v>
      </c>
      <c r="BC32">
        <v>31.029183870967739</v>
      </c>
      <c r="BD32">
        <v>999.90000000000032</v>
      </c>
      <c r="BE32">
        <v>0</v>
      </c>
      <c r="BF32">
        <v>0</v>
      </c>
      <c r="BG32">
        <v>4994.3870967741932</v>
      </c>
      <c r="BH32">
        <v>1.2042461290322579</v>
      </c>
      <c r="BI32">
        <v>1072.456774193548</v>
      </c>
      <c r="BJ32">
        <v>-0.84603832258064504</v>
      </c>
      <c r="BK32">
        <v>4.8729390322580661</v>
      </c>
      <c r="BL32">
        <v>5.6998612903225796</v>
      </c>
      <c r="BM32">
        <v>3.6675638709677409</v>
      </c>
      <c r="BN32">
        <v>5.7084332258064521</v>
      </c>
      <c r="BO32">
        <v>-1.5037793548387099</v>
      </c>
      <c r="BP32">
        <v>0.2171067419354839</v>
      </c>
      <c r="BQ32">
        <v>-0.15088396774193549</v>
      </c>
      <c r="BR32">
        <v>-13.50402580645161</v>
      </c>
      <c r="BS32">
        <v>-99.900000000000034</v>
      </c>
      <c r="BT32">
        <v>1775532953.0999999</v>
      </c>
      <c r="BU32" t="s">
        <v>367</v>
      </c>
      <c r="BV32">
        <v>1775532947.5999999</v>
      </c>
      <c r="BW32">
        <v>1775532953.0999999</v>
      </c>
      <c r="BX32">
        <v>17</v>
      </c>
      <c r="BY32">
        <v>1.0999999999999999E-2</v>
      </c>
      <c r="BZ32">
        <v>-8.9999999999999993E-3</v>
      </c>
      <c r="CA32">
        <v>7.3140000000000001</v>
      </c>
      <c r="CB32">
        <v>-1.21</v>
      </c>
      <c r="CC32">
        <v>6</v>
      </c>
      <c r="CD32">
        <v>-1</v>
      </c>
      <c r="CE32">
        <v>0.28000000000000003</v>
      </c>
      <c r="CF32">
        <v>0.02</v>
      </c>
      <c r="CG32">
        <v>5.7075723333333324</v>
      </c>
      <c r="CH32">
        <v>1.2753342595170599E-2</v>
      </c>
      <c r="CI32">
        <v>1.896074421593787E-2</v>
      </c>
      <c r="CJ32">
        <v>-1</v>
      </c>
      <c r="CK32">
        <v>500.66786666666673</v>
      </c>
      <c r="CL32">
        <v>-7.1767001944990794</v>
      </c>
      <c r="CM32">
        <v>1.671496400102481</v>
      </c>
      <c r="CN32">
        <v>-1</v>
      </c>
      <c r="CO32">
        <v>0</v>
      </c>
      <c r="CP32">
        <v>0</v>
      </c>
      <c r="CQ32" t="s">
        <v>319</v>
      </c>
      <c r="CR32">
        <v>3.1677900000000001</v>
      </c>
      <c r="CS32">
        <v>2.66906</v>
      </c>
      <c r="CT32">
        <v>-7.0934500000000001E-4</v>
      </c>
      <c r="CU32">
        <v>1.67078E-3</v>
      </c>
      <c r="CV32">
        <v>2.3624599999999999E-2</v>
      </c>
      <c r="CW32">
        <v>-1.31225E-2</v>
      </c>
      <c r="CX32">
        <v>21420.3</v>
      </c>
      <c r="CY32">
        <v>21755.7</v>
      </c>
      <c r="CZ32">
        <v>22942.400000000001</v>
      </c>
      <c r="DA32">
        <v>22157.4</v>
      </c>
      <c r="DB32">
        <v>28898.400000000001</v>
      </c>
      <c r="DC32">
        <v>26740.1</v>
      </c>
      <c r="DD32">
        <v>40350.199999999997</v>
      </c>
      <c r="DE32">
        <v>36678.6</v>
      </c>
      <c r="DF32">
        <v>2.0375000000000001</v>
      </c>
      <c r="DG32">
        <v>1.7422599999999999</v>
      </c>
      <c r="DH32">
        <v>-2.50429E-2</v>
      </c>
      <c r="DI32">
        <v>0</v>
      </c>
      <c r="DJ32">
        <v>31.432099999999998</v>
      </c>
      <c r="DK32">
        <v>999.9</v>
      </c>
      <c r="DL32">
        <v>77.099999999999994</v>
      </c>
      <c r="DM32">
        <v>31.1</v>
      </c>
      <c r="DN32">
        <v>34.860900000000001</v>
      </c>
      <c r="DO32">
        <v>30.7837</v>
      </c>
      <c r="DP32">
        <v>8.2531999999999996</v>
      </c>
      <c r="DQ32">
        <v>1</v>
      </c>
      <c r="DR32">
        <v>0.677311</v>
      </c>
      <c r="DS32">
        <v>1.98471</v>
      </c>
      <c r="DT32">
        <v>20.347799999999999</v>
      </c>
      <c r="DU32">
        <v>5.2074699999999998</v>
      </c>
      <c r="DV32">
        <v>11.854200000000001</v>
      </c>
      <c r="DW32">
        <v>4.96732</v>
      </c>
      <c r="DX32">
        <v>3.2922799999999999</v>
      </c>
      <c r="DY32">
        <v>894.7</v>
      </c>
      <c r="DZ32">
        <v>6</v>
      </c>
      <c r="EA32">
        <v>9999</v>
      </c>
      <c r="EB32">
        <v>116</v>
      </c>
      <c r="EC32">
        <v>4.9716199999999997</v>
      </c>
      <c r="ED32">
        <v>1.87201</v>
      </c>
      <c r="EE32">
        <v>1.8692</v>
      </c>
      <c r="EF32">
        <v>1.8716200000000001</v>
      </c>
      <c r="EG32">
        <v>1.8693500000000001</v>
      </c>
      <c r="EH32">
        <v>1.86829</v>
      </c>
      <c r="EI32">
        <v>1.87012</v>
      </c>
      <c r="EJ32">
        <v>1.87191</v>
      </c>
      <c r="EK32">
        <v>0</v>
      </c>
      <c r="EL32">
        <v>0</v>
      </c>
      <c r="EM32">
        <v>0</v>
      </c>
      <c r="EN32">
        <v>0</v>
      </c>
      <c r="EO32" t="s">
        <v>320</v>
      </c>
      <c r="EP32" t="s">
        <v>321</v>
      </c>
      <c r="EQ32" t="s">
        <v>322</v>
      </c>
      <c r="ER32" t="s">
        <v>322</v>
      </c>
      <c r="ES32" t="s">
        <v>322</v>
      </c>
      <c r="ET32" t="s">
        <v>322</v>
      </c>
      <c r="EU32">
        <v>0</v>
      </c>
      <c r="EV32">
        <v>100</v>
      </c>
      <c r="EW32">
        <v>100</v>
      </c>
      <c r="EX32">
        <v>7.3140000000000001</v>
      </c>
      <c r="EY32">
        <v>-1.21</v>
      </c>
      <c r="EZ32">
        <v>7.3029149999999996</v>
      </c>
      <c r="FA32">
        <v>0</v>
      </c>
      <c r="FB32">
        <v>0</v>
      </c>
      <c r="FC32">
        <v>0</v>
      </c>
      <c r="FD32">
        <v>-1.2004988999999999</v>
      </c>
      <c r="FE32">
        <v>0</v>
      </c>
      <c r="FF32">
        <v>0</v>
      </c>
      <c r="FG32">
        <v>0</v>
      </c>
      <c r="FH32">
        <v>-1</v>
      </c>
      <c r="FI32">
        <v>-1</v>
      </c>
      <c r="FJ32">
        <v>-1</v>
      </c>
      <c r="FK32">
        <v>-1</v>
      </c>
      <c r="FL32">
        <v>0.7</v>
      </c>
      <c r="FM32">
        <v>0.6</v>
      </c>
      <c r="FN32">
        <v>0.144043</v>
      </c>
      <c r="FO32">
        <v>4.99756</v>
      </c>
      <c r="FP32">
        <v>1.5979000000000001</v>
      </c>
      <c r="FQ32">
        <v>2.1606399999999999</v>
      </c>
      <c r="FR32">
        <v>1.5478499999999999</v>
      </c>
      <c r="FS32">
        <v>2.4645999999999999</v>
      </c>
      <c r="FT32">
        <v>38.648699999999998</v>
      </c>
      <c r="FU32">
        <v>15.918200000000001</v>
      </c>
      <c r="FV32">
        <v>2</v>
      </c>
      <c r="FW32">
        <v>507.62099999999998</v>
      </c>
      <c r="FX32">
        <v>404.68599999999998</v>
      </c>
      <c r="FY32">
        <v>30.109400000000001</v>
      </c>
      <c r="FZ32">
        <v>35.450699999999998</v>
      </c>
      <c r="GA32">
        <v>30.001200000000001</v>
      </c>
      <c r="GB32">
        <v>35.410400000000003</v>
      </c>
      <c r="GC32">
        <v>35.384099999999997</v>
      </c>
      <c r="GD32">
        <v>-1</v>
      </c>
      <c r="GE32">
        <v>0</v>
      </c>
      <c r="GF32">
        <v>100</v>
      </c>
      <c r="GG32">
        <v>30.103899999999999</v>
      </c>
      <c r="GH32">
        <v>432.1</v>
      </c>
      <c r="GI32">
        <v>29.979600000000001</v>
      </c>
      <c r="GJ32">
        <v>101.54</v>
      </c>
      <c r="GK32">
        <v>95.749300000000005</v>
      </c>
    </row>
    <row r="33" spans="1:193" x14ac:dyDescent="0.35">
      <c r="A33">
        <v>17</v>
      </c>
      <c r="B33">
        <v>1775532986.0999999</v>
      </c>
      <c r="C33">
        <v>960</v>
      </c>
      <c r="D33" t="s">
        <v>368</v>
      </c>
      <c r="E33" t="s">
        <v>369</v>
      </c>
      <c r="F33">
        <v>60</v>
      </c>
      <c r="G33">
        <v>1775532978.099999</v>
      </c>
      <c r="H33">
        <f t="shared" si="0"/>
        <v>5.7625569130146694E-3</v>
      </c>
      <c r="I33">
        <f t="shared" si="1"/>
        <v>5.7625569130146692</v>
      </c>
      <c r="J33">
        <f t="shared" si="2"/>
        <v>1.0712157085502241</v>
      </c>
      <c r="K33">
        <f t="shared" si="3"/>
        <v>5.2986183870967736</v>
      </c>
      <c r="L33">
        <f t="shared" si="4"/>
        <v>-7.6329564997527788</v>
      </c>
      <c r="M33">
        <f t="shared" si="5"/>
        <v>-0.7662574302109818</v>
      </c>
      <c r="N33">
        <f t="shared" si="6"/>
        <v>0.53191783669891646</v>
      </c>
      <c r="O33">
        <f t="shared" si="7"/>
        <v>0.13524110717349502</v>
      </c>
      <c r="P33">
        <f t="shared" si="8"/>
        <v>2.3927498220695642</v>
      </c>
      <c r="Q33">
        <f t="shared" si="9"/>
        <v>0.13113351718514563</v>
      </c>
      <c r="R33">
        <f t="shared" si="10"/>
        <v>8.2317106752289787E-2</v>
      </c>
      <c r="S33">
        <f t="shared" si="11"/>
        <v>0.23019030638709675</v>
      </c>
      <c r="T33">
        <f t="shared" si="12"/>
        <v>29.407192691730053</v>
      </c>
      <c r="U33">
        <f t="shared" si="13"/>
        <v>30.997554838709679</v>
      </c>
      <c r="V33">
        <f t="shared" si="14"/>
        <v>4.5107493845574727</v>
      </c>
      <c r="W33">
        <f t="shared" si="15"/>
        <v>4.4437932574397792</v>
      </c>
      <c r="X33">
        <f t="shared" si="16"/>
        <v>0.20284595453198426</v>
      </c>
      <c r="Y33">
        <f t="shared" si="17"/>
        <v>4.5647027838745746</v>
      </c>
      <c r="Z33">
        <f t="shared" si="18"/>
        <v>4.3079034300254886</v>
      </c>
      <c r="AA33">
        <f t="shared" si="19"/>
        <v>-254.12875986394693</v>
      </c>
      <c r="AB33">
        <f t="shared" si="20"/>
        <v>26.920619291577637</v>
      </c>
      <c r="AC33">
        <f t="shared" si="21"/>
        <v>2.5290441642540378</v>
      </c>
      <c r="AD33">
        <f t="shared" si="22"/>
        <v>-224.44890610172814</v>
      </c>
      <c r="AE33">
        <v>5</v>
      </c>
      <c r="AF33">
        <v>1</v>
      </c>
      <c r="AG33">
        <f t="shared" si="23"/>
        <v>1</v>
      </c>
      <c r="AH33">
        <f t="shared" si="24"/>
        <v>0</v>
      </c>
      <c r="AI33">
        <f t="shared" si="25"/>
        <v>25227.440272988129</v>
      </c>
      <c r="AJ33">
        <f t="shared" si="26"/>
        <v>1.204554193548387</v>
      </c>
      <c r="AK33">
        <f t="shared" si="27"/>
        <v>0.96364335483870966</v>
      </c>
      <c r="AL33">
        <f t="shared" si="28"/>
        <v>0.8</v>
      </c>
      <c r="AM33">
        <f t="shared" si="29"/>
        <v>0.19109999999999999</v>
      </c>
      <c r="AN33">
        <v>3</v>
      </c>
      <c r="AO33">
        <v>0.5</v>
      </c>
      <c r="AP33" t="s">
        <v>317</v>
      </c>
      <c r="AQ33">
        <v>2</v>
      </c>
      <c r="AR33">
        <v>1775532978.099999</v>
      </c>
      <c r="AS33">
        <v>5.2986183870967736</v>
      </c>
      <c r="AT33">
        <v>5.9596919354838702</v>
      </c>
      <c r="AU33">
        <v>2.0206190322580651</v>
      </c>
      <c r="AV33">
        <v>-1.4300538709677419</v>
      </c>
      <c r="AW33">
        <v>-1.945381612903226</v>
      </c>
      <c r="AX33">
        <v>3.2406190322580648</v>
      </c>
      <c r="AY33">
        <v>499.98187096774188</v>
      </c>
      <c r="AZ33">
        <v>100.34032258064521</v>
      </c>
      <c r="BA33">
        <v>4.7702719354838719E-2</v>
      </c>
      <c r="BB33">
        <v>31.206245161290319</v>
      </c>
      <c r="BC33">
        <v>30.997554838709679</v>
      </c>
      <c r="BD33">
        <v>999.90000000000032</v>
      </c>
      <c r="BE33">
        <v>0</v>
      </c>
      <c r="BF33">
        <v>0</v>
      </c>
      <c r="BG33">
        <v>4995.1612903225796</v>
      </c>
      <c r="BH33">
        <v>1.204554193548387</v>
      </c>
      <c r="BI33">
        <v>1090.5374193548389</v>
      </c>
      <c r="BJ33">
        <v>-0.59115838709677415</v>
      </c>
      <c r="BK33">
        <v>5.3794596774193542</v>
      </c>
      <c r="BL33">
        <v>5.9511812903225811</v>
      </c>
      <c r="BM33">
        <v>3.4609532258064521</v>
      </c>
      <c r="BN33">
        <v>5.9596919354838702</v>
      </c>
      <c r="BO33">
        <v>-1.4300538709677419</v>
      </c>
      <c r="BP33">
        <v>0.20378099999999999</v>
      </c>
      <c r="BQ33">
        <v>-0.14349200000000001</v>
      </c>
      <c r="BR33">
        <v>-14.2788</v>
      </c>
      <c r="BS33">
        <v>-99.900000000000034</v>
      </c>
      <c r="BT33">
        <v>1775533010.0999999</v>
      </c>
      <c r="BU33" t="s">
        <v>370</v>
      </c>
      <c r="BV33">
        <v>1775533003.5999999</v>
      </c>
      <c r="BW33">
        <v>1775533010.0999999</v>
      </c>
      <c r="BX33">
        <v>18</v>
      </c>
      <c r="BY33">
        <v>-7.0000000000000007E-2</v>
      </c>
      <c r="BZ33">
        <v>-1.0999999999999999E-2</v>
      </c>
      <c r="CA33">
        <v>7.2439999999999998</v>
      </c>
      <c r="CB33">
        <v>-1.22</v>
      </c>
      <c r="CC33">
        <v>6</v>
      </c>
      <c r="CD33">
        <v>-1</v>
      </c>
      <c r="CE33">
        <v>0.37</v>
      </c>
      <c r="CF33">
        <v>0.02</v>
      </c>
      <c r="CG33">
        <v>5.9908396666666679</v>
      </c>
      <c r="CH33">
        <v>-0.31328709085857109</v>
      </c>
      <c r="CI33">
        <v>0.14891472644846851</v>
      </c>
      <c r="CJ33">
        <v>-1</v>
      </c>
      <c r="CK33">
        <v>500.83888333333329</v>
      </c>
      <c r="CL33">
        <v>-8.4728302306186407</v>
      </c>
      <c r="CM33">
        <v>1.7984243853223909</v>
      </c>
      <c r="CN33">
        <v>-1</v>
      </c>
      <c r="CO33">
        <v>0</v>
      </c>
      <c r="CP33">
        <v>0</v>
      </c>
      <c r="CQ33" t="s">
        <v>319</v>
      </c>
      <c r="CR33">
        <v>3.1678099999999998</v>
      </c>
      <c r="CS33">
        <v>2.6686899999999998</v>
      </c>
      <c r="CT33">
        <v>-6.0724300000000004E-4</v>
      </c>
      <c r="CU33">
        <v>1.7074799999999999E-3</v>
      </c>
      <c r="CV33">
        <v>2.2814899999999999E-2</v>
      </c>
      <c r="CW33">
        <v>-1.2416099999999999E-2</v>
      </c>
      <c r="CX33">
        <v>21411</v>
      </c>
      <c r="CY33">
        <v>21750.6</v>
      </c>
      <c r="CZ33">
        <v>22935.4</v>
      </c>
      <c r="DA33">
        <v>22153.5</v>
      </c>
      <c r="DB33">
        <v>28914.3</v>
      </c>
      <c r="DC33">
        <v>26715.7</v>
      </c>
      <c r="DD33">
        <v>40339.300000000003</v>
      </c>
      <c r="DE33">
        <v>36670.9</v>
      </c>
      <c r="DF33">
        <v>2.0352600000000001</v>
      </c>
      <c r="DG33">
        <v>1.7381200000000001</v>
      </c>
      <c r="DH33">
        <v>-2.7895E-2</v>
      </c>
      <c r="DI33">
        <v>0</v>
      </c>
      <c r="DJ33">
        <v>31.4541</v>
      </c>
      <c r="DK33">
        <v>999.9</v>
      </c>
      <c r="DL33">
        <v>76.5</v>
      </c>
      <c r="DM33">
        <v>31.4</v>
      </c>
      <c r="DN33">
        <v>35.189700000000002</v>
      </c>
      <c r="DO33">
        <v>31.113700000000001</v>
      </c>
      <c r="DP33">
        <v>8.3493600000000008</v>
      </c>
      <c r="DQ33">
        <v>1</v>
      </c>
      <c r="DR33">
        <v>0.69159099999999996</v>
      </c>
      <c r="DS33">
        <v>2.0920000000000001</v>
      </c>
      <c r="DT33">
        <v>20.3461</v>
      </c>
      <c r="DU33">
        <v>5.2045899999999996</v>
      </c>
      <c r="DV33">
        <v>11.854200000000001</v>
      </c>
      <c r="DW33">
        <v>4.9671599999999998</v>
      </c>
      <c r="DX33">
        <v>3.2922799999999999</v>
      </c>
      <c r="DY33">
        <v>894.7</v>
      </c>
      <c r="DZ33">
        <v>6</v>
      </c>
      <c r="EA33">
        <v>9999</v>
      </c>
      <c r="EB33">
        <v>116</v>
      </c>
      <c r="EC33">
        <v>4.9716100000000001</v>
      </c>
      <c r="ED33">
        <v>1.87205</v>
      </c>
      <c r="EE33">
        <v>1.86921</v>
      </c>
      <c r="EF33">
        <v>1.87164</v>
      </c>
      <c r="EG33">
        <v>1.8693500000000001</v>
      </c>
      <c r="EH33">
        <v>1.86829</v>
      </c>
      <c r="EI33">
        <v>1.87012</v>
      </c>
      <c r="EJ33">
        <v>1.8719399999999999</v>
      </c>
      <c r="EK33">
        <v>0</v>
      </c>
      <c r="EL33">
        <v>0</v>
      </c>
      <c r="EM33">
        <v>0</v>
      </c>
      <c r="EN33">
        <v>0</v>
      </c>
      <c r="EO33" t="s">
        <v>320</v>
      </c>
      <c r="EP33" t="s">
        <v>321</v>
      </c>
      <c r="EQ33" t="s">
        <v>322</v>
      </c>
      <c r="ER33" t="s">
        <v>322</v>
      </c>
      <c r="ES33" t="s">
        <v>322</v>
      </c>
      <c r="ET33" t="s">
        <v>322</v>
      </c>
      <c r="EU33">
        <v>0</v>
      </c>
      <c r="EV33">
        <v>100</v>
      </c>
      <c r="EW33">
        <v>100</v>
      </c>
      <c r="EX33">
        <v>7.2439999999999998</v>
      </c>
      <c r="EY33">
        <v>-1.22</v>
      </c>
      <c r="EZ33">
        <v>7.3139161904761902</v>
      </c>
      <c r="FA33">
        <v>0</v>
      </c>
      <c r="FB33">
        <v>0</v>
      </c>
      <c r="FC33">
        <v>0</v>
      </c>
      <c r="FD33">
        <v>-1.2097198499999999</v>
      </c>
      <c r="FE33">
        <v>0</v>
      </c>
      <c r="FF33">
        <v>0</v>
      </c>
      <c r="FG33">
        <v>0</v>
      </c>
      <c r="FH33">
        <v>-1</v>
      </c>
      <c r="FI33">
        <v>-1</v>
      </c>
      <c r="FJ33">
        <v>-1</v>
      </c>
      <c r="FK33">
        <v>-1</v>
      </c>
      <c r="FL33">
        <v>0.6</v>
      </c>
      <c r="FM33">
        <v>0.6</v>
      </c>
      <c r="FN33">
        <v>0.144043</v>
      </c>
      <c r="FO33">
        <v>4.99756</v>
      </c>
      <c r="FP33">
        <v>1.5979000000000001</v>
      </c>
      <c r="FQ33">
        <v>2.1606399999999999</v>
      </c>
      <c r="FR33">
        <v>1.5478499999999999</v>
      </c>
      <c r="FS33">
        <v>2.4633799999999999</v>
      </c>
      <c r="FT33">
        <v>38.919800000000002</v>
      </c>
      <c r="FU33">
        <v>15.900700000000001</v>
      </c>
      <c r="FV33">
        <v>2</v>
      </c>
      <c r="FW33">
        <v>507.589</v>
      </c>
      <c r="FX33">
        <v>403.36399999999998</v>
      </c>
      <c r="FY33">
        <v>29.9984</v>
      </c>
      <c r="FZ33">
        <v>35.619700000000002</v>
      </c>
      <c r="GA33">
        <v>30.001200000000001</v>
      </c>
      <c r="GB33">
        <v>35.595399999999998</v>
      </c>
      <c r="GC33">
        <v>35.572099999999999</v>
      </c>
      <c r="GD33">
        <v>-1</v>
      </c>
      <c r="GE33">
        <v>0</v>
      </c>
      <c r="GF33">
        <v>100</v>
      </c>
      <c r="GG33">
        <v>29.9985</v>
      </c>
      <c r="GH33">
        <v>432.1</v>
      </c>
      <c r="GI33">
        <v>29.979600000000001</v>
      </c>
      <c r="GJ33">
        <v>101.512</v>
      </c>
      <c r="GK33">
        <v>95.730400000000003</v>
      </c>
    </row>
    <row r="34" spans="1:193" x14ac:dyDescent="0.35">
      <c r="A34">
        <v>18</v>
      </c>
      <c r="B34">
        <v>1775533046.0999999</v>
      </c>
      <c r="C34">
        <v>1020</v>
      </c>
      <c r="D34" t="s">
        <v>371</v>
      </c>
      <c r="E34" t="s">
        <v>372</v>
      </c>
      <c r="F34">
        <v>60</v>
      </c>
      <c r="G34">
        <v>1775533038.099999</v>
      </c>
      <c r="H34">
        <f t="shared" si="0"/>
        <v>5.6415599282718778E-3</v>
      </c>
      <c r="I34">
        <f t="shared" si="1"/>
        <v>5.641559928271878</v>
      </c>
      <c r="J34">
        <f t="shared" si="2"/>
        <v>1.0965976993030373</v>
      </c>
      <c r="K34">
        <f t="shared" si="3"/>
        <v>4.859427419354839</v>
      </c>
      <c r="L34">
        <f t="shared" si="4"/>
        <v>-8.6411924164762635</v>
      </c>
      <c r="M34">
        <f t="shared" si="5"/>
        <v>-0.86743023789592655</v>
      </c>
      <c r="N34">
        <f t="shared" si="6"/>
        <v>0.48780470093129252</v>
      </c>
      <c r="O34">
        <f t="shared" si="7"/>
        <v>0.1320661341803078</v>
      </c>
      <c r="P34">
        <f t="shared" si="8"/>
        <v>2.3947836627788099</v>
      </c>
      <c r="Q34">
        <f t="shared" si="9"/>
        <v>0.12814935694988605</v>
      </c>
      <c r="R34">
        <f t="shared" si="10"/>
        <v>8.0435578927123857E-2</v>
      </c>
      <c r="S34">
        <f t="shared" si="11"/>
        <v>0.23356587212903224</v>
      </c>
      <c r="T34">
        <f t="shared" si="12"/>
        <v>29.447100541913095</v>
      </c>
      <c r="U34">
        <f t="shared" si="13"/>
        <v>31.0263064516129</v>
      </c>
      <c r="V34">
        <f t="shared" si="14"/>
        <v>4.5181494824035999</v>
      </c>
      <c r="W34">
        <f t="shared" si="15"/>
        <v>4.4440732617308107</v>
      </c>
      <c r="X34">
        <f t="shared" si="16"/>
        <v>0.20286689483984227</v>
      </c>
      <c r="Y34">
        <f t="shared" si="17"/>
        <v>4.5648863754517119</v>
      </c>
      <c r="Z34">
        <f t="shared" si="18"/>
        <v>4.3152825875637575</v>
      </c>
      <c r="AA34">
        <f t="shared" si="19"/>
        <v>-248.7927928367898</v>
      </c>
      <c r="AB34">
        <f t="shared" si="20"/>
        <v>23.322659039848105</v>
      </c>
      <c r="AC34">
        <f t="shared" si="21"/>
        <v>2.1894928254108099</v>
      </c>
      <c r="AD34">
        <f t="shared" si="22"/>
        <v>-223.04707509940187</v>
      </c>
      <c r="AE34">
        <v>5</v>
      </c>
      <c r="AF34">
        <v>1</v>
      </c>
      <c r="AG34">
        <f t="shared" si="23"/>
        <v>1</v>
      </c>
      <c r="AH34">
        <f t="shared" si="24"/>
        <v>0</v>
      </c>
      <c r="AI34">
        <f t="shared" si="25"/>
        <v>25258.10392853665</v>
      </c>
      <c r="AJ34">
        <f t="shared" si="26"/>
        <v>1.2222180645161289</v>
      </c>
      <c r="AK34">
        <f t="shared" si="27"/>
        <v>0.97777445161290322</v>
      </c>
      <c r="AL34">
        <f t="shared" si="28"/>
        <v>0.8</v>
      </c>
      <c r="AM34">
        <f t="shared" si="29"/>
        <v>0.19109999999999999</v>
      </c>
      <c r="AN34">
        <v>3</v>
      </c>
      <c r="AO34">
        <v>0.5</v>
      </c>
      <c r="AP34" t="s">
        <v>317</v>
      </c>
      <c r="AQ34">
        <v>2</v>
      </c>
      <c r="AR34">
        <v>1775533038.099999</v>
      </c>
      <c r="AS34">
        <v>4.859427419354839</v>
      </c>
      <c r="AT34">
        <v>5.5338529032258057</v>
      </c>
      <c r="AU34">
        <v>2.020925483870966</v>
      </c>
      <c r="AV34">
        <v>-1.3572599999999999</v>
      </c>
      <c r="AW34">
        <v>-2.370572580645161</v>
      </c>
      <c r="AX34">
        <v>3.2519254838709668</v>
      </c>
      <c r="AY34">
        <v>499.98664516129031</v>
      </c>
      <c r="AZ34">
        <v>100.3355161290322</v>
      </c>
      <c r="BA34">
        <v>4.7648148387096773E-2</v>
      </c>
      <c r="BB34">
        <v>31.206951612903222</v>
      </c>
      <c r="BC34">
        <v>31.0263064516129</v>
      </c>
      <c r="BD34">
        <v>999.90000000000032</v>
      </c>
      <c r="BE34">
        <v>0</v>
      </c>
      <c r="BF34">
        <v>0</v>
      </c>
      <c r="BG34">
        <v>5000.6290322580644</v>
      </c>
      <c r="BH34">
        <v>1.2222180645161289</v>
      </c>
      <c r="BI34">
        <v>1096.0229032258071</v>
      </c>
      <c r="BJ34">
        <v>-0.66071083870967751</v>
      </c>
      <c r="BK34">
        <v>4.8830632258064517</v>
      </c>
      <c r="BL34">
        <v>5.5263522580645157</v>
      </c>
      <c r="BM34">
        <v>3.3889374193548401</v>
      </c>
      <c r="BN34">
        <v>5.5338529032258057</v>
      </c>
      <c r="BO34">
        <v>-1.3572599999999999</v>
      </c>
      <c r="BP34">
        <v>0.20384951612903221</v>
      </c>
      <c r="BQ34">
        <v>-0.13618141935483871</v>
      </c>
      <c r="BR34">
        <v>-14.274293548387099</v>
      </c>
      <c r="BS34">
        <v>-99.900000000000034</v>
      </c>
      <c r="BT34">
        <v>1775533070.5999999</v>
      </c>
      <c r="BU34" t="s">
        <v>373</v>
      </c>
      <c r="BV34">
        <v>1775533063.0999999</v>
      </c>
      <c r="BW34">
        <v>1775533070.5999999</v>
      </c>
      <c r="BX34">
        <v>19</v>
      </c>
      <c r="BY34">
        <v>-1.2999999999999999E-2</v>
      </c>
      <c r="BZ34">
        <v>-1.0999999999999999E-2</v>
      </c>
      <c r="CA34">
        <v>7.23</v>
      </c>
      <c r="CB34">
        <v>-1.2310000000000001</v>
      </c>
      <c r="CC34">
        <v>5</v>
      </c>
      <c r="CD34">
        <v>-1</v>
      </c>
      <c r="CE34">
        <v>0.16</v>
      </c>
      <c r="CF34">
        <v>0.03</v>
      </c>
      <c r="CG34">
        <v>5.5520567213114758</v>
      </c>
      <c r="CH34">
        <v>-0.1609463352723331</v>
      </c>
      <c r="CI34">
        <v>5.0330827717795332E-2</v>
      </c>
      <c r="CJ34">
        <v>-1</v>
      </c>
      <c r="CK34">
        <v>500.3351147540983</v>
      </c>
      <c r="CL34">
        <v>-3.7796509783180712</v>
      </c>
      <c r="CM34">
        <v>1.1341102831614189</v>
      </c>
      <c r="CN34">
        <v>-1</v>
      </c>
      <c r="CO34">
        <v>0</v>
      </c>
      <c r="CP34">
        <v>0</v>
      </c>
      <c r="CQ34" t="s">
        <v>319</v>
      </c>
      <c r="CR34">
        <v>3.1677399999999998</v>
      </c>
      <c r="CS34">
        <v>2.6687699999999999</v>
      </c>
      <c r="CT34">
        <v>-6.9617799999999999E-4</v>
      </c>
      <c r="CU34">
        <v>1.5991600000000001E-3</v>
      </c>
      <c r="CV34">
        <v>2.2944300000000001E-2</v>
      </c>
      <c r="CW34">
        <v>-1.1716600000000001E-2</v>
      </c>
      <c r="CX34">
        <v>21406.7</v>
      </c>
      <c r="CY34">
        <v>21750.5</v>
      </c>
      <c r="CZ34">
        <v>22929.4</v>
      </c>
      <c r="DA34">
        <v>22151.4</v>
      </c>
      <c r="DB34">
        <v>28903.3</v>
      </c>
      <c r="DC34">
        <v>26693.7</v>
      </c>
      <c r="DD34">
        <v>40329.800000000003</v>
      </c>
      <c r="DE34">
        <v>36666.199999999997</v>
      </c>
      <c r="DF34">
        <v>2.0337399999999999</v>
      </c>
      <c r="DG34">
        <v>1.7354799999999999</v>
      </c>
      <c r="DH34">
        <v>-2.6750599999999999E-2</v>
      </c>
      <c r="DI34">
        <v>0</v>
      </c>
      <c r="DJ34">
        <v>31.458500000000001</v>
      </c>
      <c r="DK34">
        <v>999.9</v>
      </c>
      <c r="DL34">
        <v>76</v>
      </c>
      <c r="DM34">
        <v>31.7</v>
      </c>
      <c r="DN34">
        <v>35.561799999999998</v>
      </c>
      <c r="DO34">
        <v>30.7837</v>
      </c>
      <c r="DP34">
        <v>8.3293300000000006</v>
      </c>
      <c r="DQ34">
        <v>1</v>
      </c>
      <c r="DR34">
        <v>0.701102</v>
      </c>
      <c r="DS34">
        <v>1.9487300000000001</v>
      </c>
      <c r="DT34">
        <v>20.348400000000002</v>
      </c>
      <c r="DU34">
        <v>5.2071100000000001</v>
      </c>
      <c r="DV34">
        <v>11.854200000000001</v>
      </c>
      <c r="DW34">
        <v>4.9669999999999996</v>
      </c>
      <c r="DX34">
        <v>3.2923800000000001</v>
      </c>
      <c r="DY34">
        <v>894.7</v>
      </c>
      <c r="DZ34">
        <v>6</v>
      </c>
      <c r="EA34">
        <v>9999</v>
      </c>
      <c r="EB34">
        <v>116</v>
      </c>
      <c r="EC34">
        <v>4.9716300000000002</v>
      </c>
      <c r="ED34">
        <v>1.8720600000000001</v>
      </c>
      <c r="EE34">
        <v>1.8692599999999999</v>
      </c>
      <c r="EF34">
        <v>1.87164</v>
      </c>
      <c r="EG34">
        <v>1.86937</v>
      </c>
      <c r="EH34">
        <v>1.86829</v>
      </c>
      <c r="EI34">
        <v>1.87012</v>
      </c>
      <c r="EJ34">
        <v>1.8719399999999999</v>
      </c>
      <c r="EK34">
        <v>0</v>
      </c>
      <c r="EL34">
        <v>0</v>
      </c>
      <c r="EM34">
        <v>0</v>
      </c>
      <c r="EN34">
        <v>0</v>
      </c>
      <c r="EO34" t="s">
        <v>320</v>
      </c>
      <c r="EP34" t="s">
        <v>321</v>
      </c>
      <c r="EQ34" t="s">
        <v>322</v>
      </c>
      <c r="ER34" t="s">
        <v>322</v>
      </c>
      <c r="ES34" t="s">
        <v>322</v>
      </c>
      <c r="ET34" t="s">
        <v>322</v>
      </c>
      <c r="EU34">
        <v>0</v>
      </c>
      <c r="EV34">
        <v>100</v>
      </c>
      <c r="EW34">
        <v>100</v>
      </c>
      <c r="EX34">
        <v>7.23</v>
      </c>
      <c r="EY34">
        <v>-1.2310000000000001</v>
      </c>
      <c r="EZ34">
        <v>7.2437152380952377</v>
      </c>
      <c r="FA34">
        <v>0</v>
      </c>
      <c r="FB34">
        <v>0</v>
      </c>
      <c r="FC34">
        <v>0</v>
      </c>
      <c r="FD34">
        <v>-1.22024865</v>
      </c>
      <c r="FE34">
        <v>0</v>
      </c>
      <c r="FF34">
        <v>0</v>
      </c>
      <c r="FG34">
        <v>0</v>
      </c>
      <c r="FH34">
        <v>-1</v>
      </c>
      <c r="FI34">
        <v>-1</v>
      </c>
      <c r="FJ34">
        <v>-1</v>
      </c>
      <c r="FK34">
        <v>-1</v>
      </c>
      <c r="FL34">
        <v>0.7</v>
      </c>
      <c r="FM34">
        <v>0.6</v>
      </c>
      <c r="FN34">
        <v>0.144043</v>
      </c>
      <c r="FO34">
        <v>4.99756</v>
      </c>
      <c r="FP34">
        <v>1.5979000000000001</v>
      </c>
      <c r="FQ34">
        <v>2.1594199999999999</v>
      </c>
      <c r="FR34">
        <v>1.5478499999999999</v>
      </c>
      <c r="FS34">
        <v>2.4304199999999998</v>
      </c>
      <c r="FT34">
        <v>39.1676</v>
      </c>
      <c r="FU34">
        <v>15.900700000000001</v>
      </c>
      <c r="FV34">
        <v>2</v>
      </c>
      <c r="FW34">
        <v>507.78699999999998</v>
      </c>
      <c r="FX34">
        <v>402.74599999999998</v>
      </c>
      <c r="FY34">
        <v>30.158899999999999</v>
      </c>
      <c r="FZ34">
        <v>35.762</v>
      </c>
      <c r="GA34">
        <v>30.000800000000002</v>
      </c>
      <c r="GB34">
        <v>35.751899999999999</v>
      </c>
      <c r="GC34">
        <v>35.730400000000003</v>
      </c>
      <c r="GD34">
        <v>-1</v>
      </c>
      <c r="GE34">
        <v>0</v>
      </c>
      <c r="GF34">
        <v>100</v>
      </c>
      <c r="GG34">
        <v>30.155100000000001</v>
      </c>
      <c r="GH34">
        <v>432.1</v>
      </c>
      <c r="GI34">
        <v>29.979600000000001</v>
      </c>
      <c r="GJ34">
        <v>101.48699999999999</v>
      </c>
      <c r="GK34">
        <v>95.719300000000004</v>
      </c>
    </row>
    <row r="35" spans="1:193" x14ac:dyDescent="0.35">
      <c r="A35">
        <v>19</v>
      </c>
      <c r="B35">
        <v>1775533106.0999999</v>
      </c>
      <c r="C35">
        <v>1080</v>
      </c>
      <c r="D35" t="s">
        <v>374</v>
      </c>
      <c r="E35" t="s">
        <v>375</v>
      </c>
      <c r="F35">
        <v>60</v>
      </c>
      <c r="G35">
        <v>1775533098.349999</v>
      </c>
      <c r="H35">
        <f t="shared" si="0"/>
        <v>5.3656834508776334E-3</v>
      </c>
      <c r="I35">
        <f t="shared" si="1"/>
        <v>5.3656834508776337</v>
      </c>
      <c r="J35">
        <f t="shared" si="2"/>
        <v>1.3138776377987269</v>
      </c>
      <c r="K35">
        <f t="shared" si="3"/>
        <v>7.200525209566667</v>
      </c>
      <c r="L35">
        <f t="shared" si="4"/>
        <v>-9.9105029694523115</v>
      </c>
      <c r="M35">
        <f t="shared" si="5"/>
        <v>-0.99477630669308881</v>
      </c>
      <c r="N35">
        <f t="shared" si="6"/>
        <v>0.72275967186547907</v>
      </c>
      <c r="O35">
        <f t="shared" si="7"/>
        <v>0.12520972731707497</v>
      </c>
      <c r="P35">
        <f t="shared" si="8"/>
        <v>2.3947050838628123</v>
      </c>
      <c r="Q35">
        <f t="shared" si="9"/>
        <v>0.12168312525130008</v>
      </c>
      <c r="R35">
        <f t="shared" si="10"/>
        <v>7.6360530923069631E-2</v>
      </c>
      <c r="S35">
        <f t="shared" si="11"/>
        <v>0.24014728009999986</v>
      </c>
      <c r="T35">
        <f t="shared" si="12"/>
        <v>29.537086336451214</v>
      </c>
      <c r="U35">
        <f t="shared" si="13"/>
        <v>31.019536666666671</v>
      </c>
      <c r="V35">
        <f t="shared" si="14"/>
        <v>4.5164061222308876</v>
      </c>
      <c r="W35">
        <f t="shared" si="15"/>
        <v>4.2517547340293591</v>
      </c>
      <c r="X35">
        <f t="shared" si="16"/>
        <v>0.19413026288698709</v>
      </c>
      <c r="Y35">
        <f t="shared" si="17"/>
        <v>4.5658857349706796</v>
      </c>
      <c r="Z35">
        <f t="shared" si="18"/>
        <v>4.3222758593439004</v>
      </c>
      <c r="AA35">
        <f t="shared" si="19"/>
        <v>-236.62664018370364</v>
      </c>
      <c r="AB35">
        <f t="shared" si="20"/>
        <v>24.692304900436564</v>
      </c>
      <c r="AC35">
        <f t="shared" si="21"/>
        <v>2.3181155717222706</v>
      </c>
      <c r="AD35">
        <f t="shared" si="22"/>
        <v>-209.37607243144481</v>
      </c>
      <c r="AE35">
        <v>4</v>
      </c>
      <c r="AF35">
        <v>1</v>
      </c>
      <c r="AG35">
        <f t="shared" si="23"/>
        <v>1</v>
      </c>
      <c r="AH35">
        <f t="shared" si="24"/>
        <v>0</v>
      </c>
      <c r="AI35">
        <f t="shared" si="25"/>
        <v>25256.885859259546</v>
      </c>
      <c r="AJ35">
        <f t="shared" si="26"/>
        <v>1.256657666666666</v>
      </c>
      <c r="AK35">
        <f t="shared" si="27"/>
        <v>1.0053261333333328</v>
      </c>
      <c r="AL35">
        <f t="shared" si="28"/>
        <v>0.8</v>
      </c>
      <c r="AM35">
        <f t="shared" si="29"/>
        <v>0.19109999999999999</v>
      </c>
      <c r="AN35">
        <v>3</v>
      </c>
      <c r="AO35">
        <v>0.5</v>
      </c>
      <c r="AP35" t="s">
        <v>317</v>
      </c>
      <c r="AQ35">
        <v>2</v>
      </c>
      <c r="AR35">
        <v>1775533098.349999</v>
      </c>
      <c r="AS35">
        <v>7.200525209566667</v>
      </c>
      <c r="AT35">
        <v>8.0120419999999992</v>
      </c>
      <c r="AU35">
        <v>1.934031333333333</v>
      </c>
      <c r="AV35">
        <v>-1.2791870000000001</v>
      </c>
      <c r="AW35">
        <v>-5.4747904333333399E-3</v>
      </c>
      <c r="AX35">
        <v>3.176031333333333</v>
      </c>
      <c r="AY35">
        <v>499.99459999999999</v>
      </c>
      <c r="AZ35">
        <v>100.3283666666667</v>
      </c>
      <c r="BA35">
        <v>4.7599089999999997E-2</v>
      </c>
      <c r="BB35">
        <v>31.210796666666671</v>
      </c>
      <c r="BC35">
        <v>31.019536666666671</v>
      </c>
      <c r="BD35">
        <v>999.9000000000002</v>
      </c>
      <c r="BE35">
        <v>0</v>
      </c>
      <c r="BF35">
        <v>0</v>
      </c>
      <c r="BG35">
        <v>5000.7833333333338</v>
      </c>
      <c r="BH35">
        <v>1.256657666666666</v>
      </c>
      <c r="BI35">
        <v>1184.1306666666669</v>
      </c>
      <c r="BJ35">
        <v>-0.78722802000000014</v>
      </c>
      <c r="BK35">
        <v>7.238892333333335</v>
      </c>
      <c r="BL35">
        <v>8.0018026666666682</v>
      </c>
      <c r="BM35">
        <v>3.224253333333333</v>
      </c>
      <c r="BN35">
        <v>8.0120419999999992</v>
      </c>
      <c r="BO35">
        <v>-1.2791870000000001</v>
      </c>
      <c r="BP35">
        <v>0.19514526666666659</v>
      </c>
      <c r="BQ35">
        <v>-0.12833886666666669</v>
      </c>
      <c r="BR35">
        <v>-14.804866666666671</v>
      </c>
      <c r="BS35">
        <v>-99.900000000000034</v>
      </c>
      <c r="BT35">
        <v>1775533130.5999999</v>
      </c>
      <c r="BU35" t="s">
        <v>376</v>
      </c>
      <c r="BV35">
        <v>1775533123.0999999</v>
      </c>
      <c r="BW35">
        <v>1775533130.5999999</v>
      </c>
      <c r="BX35">
        <v>20</v>
      </c>
      <c r="BY35">
        <v>-2.4E-2</v>
      </c>
      <c r="BZ35">
        <v>-1.0999999999999999E-2</v>
      </c>
      <c r="CA35">
        <v>7.2060000000000004</v>
      </c>
      <c r="CB35">
        <v>-1.242</v>
      </c>
      <c r="CC35">
        <v>5</v>
      </c>
      <c r="CD35">
        <v>-1</v>
      </c>
      <c r="CE35">
        <v>0.18</v>
      </c>
      <c r="CF35">
        <v>0.03</v>
      </c>
      <c r="CG35">
        <v>7.996550327868853</v>
      </c>
      <c r="CH35">
        <v>-0.2932233950290789</v>
      </c>
      <c r="CI35">
        <v>1.501899412074609</v>
      </c>
      <c r="CJ35">
        <v>-1</v>
      </c>
      <c r="CK35">
        <v>500.60895081967209</v>
      </c>
      <c r="CL35">
        <v>-6.3321226864090594</v>
      </c>
      <c r="CM35">
        <v>1.580377267951139</v>
      </c>
      <c r="CN35">
        <v>-1</v>
      </c>
      <c r="CO35">
        <v>0</v>
      </c>
      <c r="CP35">
        <v>0</v>
      </c>
      <c r="CQ35" t="s">
        <v>319</v>
      </c>
      <c r="CR35">
        <v>3.1677499999999998</v>
      </c>
      <c r="CS35">
        <v>2.6686200000000002</v>
      </c>
      <c r="CT35">
        <v>-1.0399599999999999E-5</v>
      </c>
      <c r="CU35">
        <v>1.86399E-3</v>
      </c>
      <c r="CV35">
        <v>2.2423100000000001E-2</v>
      </c>
      <c r="CW35">
        <v>-1.09672E-2</v>
      </c>
      <c r="CX35">
        <v>21388.400000000001</v>
      </c>
      <c r="CY35">
        <v>21743.9</v>
      </c>
      <c r="CZ35">
        <v>22925.8</v>
      </c>
      <c r="DA35">
        <v>22150.799999999999</v>
      </c>
      <c r="DB35">
        <v>28914.6</v>
      </c>
      <c r="DC35">
        <v>26672.799999999999</v>
      </c>
      <c r="DD35">
        <v>40324.199999999997</v>
      </c>
      <c r="DE35">
        <v>36664.800000000003</v>
      </c>
      <c r="DF35">
        <v>2.0324200000000001</v>
      </c>
      <c r="DG35">
        <v>1.73288</v>
      </c>
      <c r="DH35">
        <v>-2.7000900000000001E-2</v>
      </c>
      <c r="DI35">
        <v>0</v>
      </c>
      <c r="DJ35">
        <v>31.454599999999999</v>
      </c>
      <c r="DK35">
        <v>999.9</v>
      </c>
      <c r="DL35">
        <v>75.400000000000006</v>
      </c>
      <c r="DM35">
        <v>32</v>
      </c>
      <c r="DN35">
        <v>35.883699999999997</v>
      </c>
      <c r="DO35">
        <v>30.5137</v>
      </c>
      <c r="DP35">
        <v>8.3173100000000009</v>
      </c>
      <c r="DQ35">
        <v>1</v>
      </c>
      <c r="DR35">
        <v>0.70809500000000003</v>
      </c>
      <c r="DS35">
        <v>2.0343399999999998</v>
      </c>
      <c r="DT35">
        <v>20.346800000000002</v>
      </c>
      <c r="DU35">
        <v>5.20723</v>
      </c>
      <c r="DV35">
        <v>11.854200000000001</v>
      </c>
      <c r="DW35">
        <v>4.9671200000000004</v>
      </c>
      <c r="DX35">
        <v>3.2922400000000001</v>
      </c>
      <c r="DY35">
        <v>894.7</v>
      </c>
      <c r="DZ35">
        <v>6</v>
      </c>
      <c r="EA35">
        <v>9999</v>
      </c>
      <c r="EB35">
        <v>116</v>
      </c>
      <c r="EC35">
        <v>4.9716500000000003</v>
      </c>
      <c r="ED35">
        <v>1.8720600000000001</v>
      </c>
      <c r="EE35">
        <v>1.8692200000000001</v>
      </c>
      <c r="EF35">
        <v>1.87164</v>
      </c>
      <c r="EG35">
        <v>1.8693500000000001</v>
      </c>
      <c r="EH35">
        <v>1.86829</v>
      </c>
      <c r="EI35">
        <v>1.87012</v>
      </c>
      <c r="EJ35">
        <v>1.8719399999999999</v>
      </c>
      <c r="EK35">
        <v>0</v>
      </c>
      <c r="EL35">
        <v>0</v>
      </c>
      <c r="EM35">
        <v>0</v>
      </c>
      <c r="EN35">
        <v>0</v>
      </c>
      <c r="EO35" t="s">
        <v>320</v>
      </c>
      <c r="EP35" t="s">
        <v>321</v>
      </c>
      <c r="EQ35" t="s">
        <v>322</v>
      </c>
      <c r="ER35" t="s">
        <v>322</v>
      </c>
      <c r="ES35" t="s">
        <v>322</v>
      </c>
      <c r="ET35" t="s">
        <v>322</v>
      </c>
      <c r="EU35">
        <v>0</v>
      </c>
      <c r="EV35">
        <v>100</v>
      </c>
      <c r="EW35">
        <v>100</v>
      </c>
      <c r="EX35">
        <v>7.2060000000000004</v>
      </c>
      <c r="EY35">
        <v>-1.242</v>
      </c>
      <c r="EZ35">
        <v>7.230290000000001</v>
      </c>
      <c r="FA35">
        <v>0</v>
      </c>
      <c r="FB35">
        <v>0</v>
      </c>
      <c r="FC35">
        <v>0</v>
      </c>
      <c r="FD35">
        <v>-1.2309648857142861</v>
      </c>
      <c r="FE35">
        <v>0</v>
      </c>
      <c r="FF35">
        <v>0</v>
      </c>
      <c r="FG35">
        <v>0</v>
      </c>
      <c r="FH35">
        <v>-1</v>
      </c>
      <c r="FI35">
        <v>-1</v>
      </c>
      <c r="FJ35">
        <v>-1</v>
      </c>
      <c r="FK35">
        <v>-1</v>
      </c>
      <c r="FL35">
        <v>0.7</v>
      </c>
      <c r="FM35">
        <v>0.6</v>
      </c>
      <c r="FN35">
        <v>0.144043</v>
      </c>
      <c r="FO35">
        <v>4.99756</v>
      </c>
      <c r="FP35">
        <v>1.5979000000000001</v>
      </c>
      <c r="FQ35">
        <v>2.1581999999999999</v>
      </c>
      <c r="FR35">
        <v>1.5478499999999999</v>
      </c>
      <c r="FS35">
        <v>2.4243199999999998</v>
      </c>
      <c r="FT35">
        <v>39.441600000000001</v>
      </c>
      <c r="FU35">
        <v>15.891999999999999</v>
      </c>
      <c r="FV35">
        <v>2</v>
      </c>
      <c r="FW35">
        <v>507.86399999999998</v>
      </c>
      <c r="FX35">
        <v>401.98099999999999</v>
      </c>
      <c r="FY35">
        <v>30.069500000000001</v>
      </c>
      <c r="FZ35">
        <v>35.858499999999999</v>
      </c>
      <c r="GA35">
        <v>30.000699999999998</v>
      </c>
      <c r="GB35">
        <v>35.875</v>
      </c>
      <c r="GC35">
        <v>35.860199999999999</v>
      </c>
      <c r="GD35">
        <v>-1</v>
      </c>
      <c r="GE35">
        <v>0</v>
      </c>
      <c r="GF35">
        <v>100</v>
      </c>
      <c r="GG35">
        <v>30.064</v>
      </c>
      <c r="GH35">
        <v>432.1</v>
      </c>
      <c r="GI35">
        <v>29.979600000000001</v>
      </c>
      <c r="GJ35">
        <v>101.47199999999999</v>
      </c>
      <c r="GK35">
        <v>95.716200000000001</v>
      </c>
    </row>
    <row r="36" spans="1:193" x14ac:dyDescent="0.35">
      <c r="A36">
        <v>20</v>
      </c>
      <c r="B36">
        <v>1775533166.0999999</v>
      </c>
      <c r="C36">
        <v>1140</v>
      </c>
      <c r="D36" t="s">
        <v>377</v>
      </c>
      <c r="E36" t="s">
        <v>378</v>
      </c>
      <c r="F36">
        <v>60</v>
      </c>
      <c r="G36">
        <v>1775533158.349999</v>
      </c>
      <c r="H36">
        <f t="shared" si="0"/>
        <v>5.1254241630687321E-3</v>
      </c>
      <c r="I36">
        <f t="shared" si="1"/>
        <v>5.1254241630687325</v>
      </c>
      <c r="J36">
        <f t="shared" si="2"/>
        <v>1.5647567228785355</v>
      </c>
      <c r="K36">
        <f t="shared" si="3"/>
        <v>4.9955766666666674</v>
      </c>
      <c r="L36">
        <f t="shared" si="4"/>
        <v>-16.087010958392092</v>
      </c>
      <c r="M36">
        <f t="shared" si="5"/>
        <v>-1.6147042606764386</v>
      </c>
      <c r="N36">
        <f t="shared" si="6"/>
        <v>0.50142185823491903</v>
      </c>
      <c r="O36">
        <f t="shared" si="7"/>
        <v>0.11936047535312154</v>
      </c>
      <c r="P36">
        <f t="shared" si="8"/>
        <v>2.38972234317017</v>
      </c>
      <c r="Q36">
        <f t="shared" si="9"/>
        <v>0.11614462714182318</v>
      </c>
      <c r="R36">
        <f t="shared" si="10"/>
        <v>7.2872106476697465E-2</v>
      </c>
      <c r="S36">
        <f t="shared" si="11"/>
        <v>0.23863739900000006</v>
      </c>
      <c r="T36">
        <f t="shared" si="12"/>
        <v>29.599309115550859</v>
      </c>
      <c r="U36">
        <f t="shared" si="13"/>
        <v>31.00875666666667</v>
      </c>
      <c r="V36">
        <f t="shared" si="14"/>
        <v>4.5136312577653621</v>
      </c>
      <c r="W36">
        <f t="shared" si="15"/>
        <v>4.1183635644280168</v>
      </c>
      <c r="X36">
        <f t="shared" si="16"/>
        <v>0.18793567594052124</v>
      </c>
      <c r="Y36">
        <f t="shared" si="17"/>
        <v>4.5633580668738967</v>
      </c>
      <c r="Z36">
        <f t="shared" si="18"/>
        <v>4.3256955818248413</v>
      </c>
      <c r="AA36">
        <f t="shared" si="19"/>
        <v>-226.03120559133109</v>
      </c>
      <c r="AB36">
        <f t="shared" si="20"/>
        <v>24.776632714713532</v>
      </c>
      <c r="AC36">
        <f t="shared" si="21"/>
        <v>2.3306464674396588</v>
      </c>
      <c r="AD36">
        <f t="shared" si="22"/>
        <v>-198.68528901017788</v>
      </c>
      <c r="AE36">
        <v>5</v>
      </c>
      <c r="AF36">
        <v>1</v>
      </c>
      <c r="AG36">
        <f t="shared" si="23"/>
        <v>1</v>
      </c>
      <c r="AH36">
        <f t="shared" si="24"/>
        <v>0</v>
      </c>
      <c r="AI36">
        <f t="shared" si="25"/>
        <v>25183.020578788113</v>
      </c>
      <c r="AJ36">
        <f t="shared" si="26"/>
        <v>1.248756666666667</v>
      </c>
      <c r="AK36">
        <f t="shared" si="27"/>
        <v>0.99900533333333363</v>
      </c>
      <c r="AL36">
        <f t="shared" si="28"/>
        <v>0.8</v>
      </c>
      <c r="AM36">
        <f t="shared" si="29"/>
        <v>0.19109999999999999</v>
      </c>
      <c r="AN36">
        <v>3</v>
      </c>
      <c r="AO36">
        <v>0.5</v>
      </c>
      <c r="AP36" t="s">
        <v>317</v>
      </c>
      <c r="AQ36">
        <v>2</v>
      </c>
      <c r="AR36">
        <v>1775533158.349999</v>
      </c>
      <c r="AS36">
        <v>4.9955766666666674</v>
      </c>
      <c r="AT36">
        <v>5.9498470000000001</v>
      </c>
      <c r="AU36">
        <v>1.8723696666666669</v>
      </c>
      <c r="AV36">
        <v>-1.197299333333333</v>
      </c>
      <c r="AW36">
        <v>-2.2234233333333329</v>
      </c>
      <c r="AX36">
        <v>3.1253696666666668</v>
      </c>
      <c r="AY36">
        <v>499.97190000000012</v>
      </c>
      <c r="AZ36">
        <v>100.3252</v>
      </c>
      <c r="BA36">
        <v>4.796844333333334E-2</v>
      </c>
      <c r="BB36">
        <v>31.201070000000001</v>
      </c>
      <c r="BC36">
        <v>31.00875666666667</v>
      </c>
      <c r="BD36">
        <v>999.9000000000002</v>
      </c>
      <c r="BE36">
        <v>0</v>
      </c>
      <c r="BF36">
        <v>0</v>
      </c>
      <c r="BG36">
        <v>4988.1333333333332</v>
      </c>
      <c r="BH36">
        <v>1.248756666666667</v>
      </c>
      <c r="BI36">
        <v>1197.3910000000001</v>
      </c>
      <c r="BJ36">
        <v>-0.96702066666666664</v>
      </c>
      <c r="BK36">
        <v>4.9922303333333327</v>
      </c>
      <c r="BL36">
        <v>5.9427346666666656</v>
      </c>
      <c r="BM36">
        <v>3.0807666666666682</v>
      </c>
      <c r="BN36">
        <v>5.9498470000000001</v>
      </c>
      <c r="BO36">
        <v>-1.197299333333333</v>
      </c>
      <c r="BP36">
        <v>0.18895926666666671</v>
      </c>
      <c r="BQ36">
        <v>-0.12011916666666669</v>
      </c>
      <c r="BR36">
        <v>-15.19482</v>
      </c>
      <c r="BS36">
        <v>-99.900000000000034</v>
      </c>
      <c r="BT36">
        <v>1775533191.5999999</v>
      </c>
      <c r="BU36" t="s">
        <v>379</v>
      </c>
      <c r="BV36">
        <v>1775533186.5999999</v>
      </c>
      <c r="BW36">
        <v>1775533191.5999999</v>
      </c>
      <c r="BX36">
        <v>21</v>
      </c>
      <c r="BY36">
        <v>1.2E-2</v>
      </c>
      <c r="BZ36">
        <v>-1.0999999999999999E-2</v>
      </c>
      <c r="CA36">
        <v>7.2190000000000003</v>
      </c>
      <c r="CB36">
        <v>-1.2529999999999999</v>
      </c>
      <c r="CC36">
        <v>7</v>
      </c>
      <c r="CD36">
        <v>-1</v>
      </c>
      <c r="CE36">
        <v>0.47</v>
      </c>
      <c r="CF36">
        <v>0.03</v>
      </c>
      <c r="CG36">
        <v>5.5672831666666669</v>
      </c>
      <c r="CH36">
        <v>3.2833551430953118</v>
      </c>
      <c r="CI36">
        <v>0.56957588650823243</v>
      </c>
      <c r="CJ36">
        <v>-1</v>
      </c>
      <c r="CK36">
        <v>500.42911666666657</v>
      </c>
      <c r="CL36">
        <v>-4.9349874965256042</v>
      </c>
      <c r="CM36">
        <v>1.3290155265166099</v>
      </c>
      <c r="CN36">
        <v>-1</v>
      </c>
      <c r="CO36">
        <v>0</v>
      </c>
      <c r="CP36">
        <v>0</v>
      </c>
      <c r="CQ36" t="s">
        <v>319</v>
      </c>
      <c r="CR36">
        <v>3.16778</v>
      </c>
      <c r="CS36">
        <v>2.6685400000000001</v>
      </c>
      <c r="CT36">
        <v>-4.7884300000000001E-4</v>
      </c>
      <c r="CU36">
        <v>1.73664E-3</v>
      </c>
      <c r="CV36">
        <v>2.2253999999999999E-2</v>
      </c>
      <c r="CW36">
        <v>-1.02013E-2</v>
      </c>
      <c r="CX36">
        <v>21395.1</v>
      </c>
      <c r="CY36">
        <v>21745.7</v>
      </c>
      <c r="CZ36">
        <v>22922.6</v>
      </c>
      <c r="DA36">
        <v>22150</v>
      </c>
      <c r="DB36">
        <v>28916.1</v>
      </c>
      <c r="DC36">
        <v>26650.9</v>
      </c>
      <c r="DD36">
        <v>40319.599999999999</v>
      </c>
      <c r="DE36">
        <v>36662.6</v>
      </c>
      <c r="DF36">
        <v>2.0311599999999999</v>
      </c>
      <c r="DG36">
        <v>1.7302</v>
      </c>
      <c r="DH36">
        <v>-2.63035E-2</v>
      </c>
      <c r="DI36">
        <v>0</v>
      </c>
      <c r="DJ36">
        <v>31.438600000000001</v>
      </c>
      <c r="DK36">
        <v>999.9</v>
      </c>
      <c r="DL36">
        <v>74.8</v>
      </c>
      <c r="DM36">
        <v>32.200000000000003</v>
      </c>
      <c r="DN36">
        <v>36.007199999999997</v>
      </c>
      <c r="DO36">
        <v>30.933700000000002</v>
      </c>
      <c r="DP36">
        <v>8.5576899999999991</v>
      </c>
      <c r="DQ36">
        <v>1</v>
      </c>
      <c r="DR36">
        <v>0.71333100000000005</v>
      </c>
      <c r="DS36">
        <v>1.94255</v>
      </c>
      <c r="DT36">
        <v>20.347899999999999</v>
      </c>
      <c r="DU36">
        <v>5.2074699999999998</v>
      </c>
      <c r="DV36">
        <v>11.854200000000001</v>
      </c>
      <c r="DW36">
        <v>4.9672799999999997</v>
      </c>
      <c r="DX36">
        <v>3.2923200000000001</v>
      </c>
      <c r="DY36">
        <v>894.7</v>
      </c>
      <c r="DZ36">
        <v>6</v>
      </c>
      <c r="EA36">
        <v>9999</v>
      </c>
      <c r="EB36">
        <v>116.1</v>
      </c>
      <c r="EC36">
        <v>4.9716500000000003</v>
      </c>
      <c r="ED36">
        <v>1.87209</v>
      </c>
      <c r="EE36">
        <v>1.8692500000000001</v>
      </c>
      <c r="EF36">
        <v>1.87164</v>
      </c>
      <c r="EG36">
        <v>1.8693900000000001</v>
      </c>
      <c r="EH36">
        <v>1.86829</v>
      </c>
      <c r="EI36">
        <v>1.87012</v>
      </c>
      <c r="EJ36">
        <v>1.8719399999999999</v>
      </c>
      <c r="EK36">
        <v>0</v>
      </c>
      <c r="EL36">
        <v>0</v>
      </c>
      <c r="EM36">
        <v>0</v>
      </c>
      <c r="EN36">
        <v>0</v>
      </c>
      <c r="EO36" t="s">
        <v>320</v>
      </c>
      <c r="EP36" t="s">
        <v>321</v>
      </c>
      <c r="EQ36" t="s">
        <v>322</v>
      </c>
      <c r="ER36" t="s">
        <v>322</v>
      </c>
      <c r="ES36" t="s">
        <v>322</v>
      </c>
      <c r="ET36" t="s">
        <v>322</v>
      </c>
      <c r="EU36">
        <v>0</v>
      </c>
      <c r="EV36">
        <v>100</v>
      </c>
      <c r="EW36">
        <v>100</v>
      </c>
      <c r="EX36">
        <v>7.2190000000000003</v>
      </c>
      <c r="EY36">
        <v>-1.2529999999999999</v>
      </c>
      <c r="EZ36">
        <v>7.2062499999999989</v>
      </c>
      <c r="FA36">
        <v>0</v>
      </c>
      <c r="FB36">
        <v>0</v>
      </c>
      <c r="FC36">
        <v>0</v>
      </c>
      <c r="FD36">
        <v>-1.241901469666667</v>
      </c>
      <c r="FE36">
        <v>0</v>
      </c>
      <c r="FF36">
        <v>0</v>
      </c>
      <c r="FG36">
        <v>0</v>
      </c>
      <c r="FH36">
        <v>-1</v>
      </c>
      <c r="FI36">
        <v>-1</v>
      </c>
      <c r="FJ36">
        <v>-1</v>
      </c>
      <c r="FK36">
        <v>-1</v>
      </c>
      <c r="FL36">
        <v>0.7</v>
      </c>
      <c r="FM36">
        <v>0.6</v>
      </c>
      <c r="FN36">
        <v>0.144043</v>
      </c>
      <c r="FO36">
        <v>4.99756</v>
      </c>
      <c r="FP36">
        <v>1.5979000000000001</v>
      </c>
      <c r="FQ36">
        <v>2.1581999999999999</v>
      </c>
      <c r="FR36">
        <v>1.5478499999999999</v>
      </c>
      <c r="FS36">
        <v>2.4523899999999998</v>
      </c>
      <c r="FT36">
        <v>39.692</v>
      </c>
      <c r="FU36">
        <v>15.8832</v>
      </c>
      <c r="FV36">
        <v>2</v>
      </c>
      <c r="FW36">
        <v>507.839</v>
      </c>
      <c r="FX36">
        <v>401.04500000000002</v>
      </c>
      <c r="FY36">
        <v>30.101099999999999</v>
      </c>
      <c r="FZ36">
        <v>35.937399999999997</v>
      </c>
      <c r="GA36">
        <v>30.000399999999999</v>
      </c>
      <c r="GB36">
        <v>35.978999999999999</v>
      </c>
      <c r="GC36">
        <v>35.969299999999997</v>
      </c>
      <c r="GD36">
        <v>-1</v>
      </c>
      <c r="GE36">
        <v>0</v>
      </c>
      <c r="GF36">
        <v>100</v>
      </c>
      <c r="GG36">
        <v>30.0989</v>
      </c>
      <c r="GH36">
        <v>432.1</v>
      </c>
      <c r="GI36">
        <v>29.979600000000001</v>
      </c>
      <c r="GJ36">
        <v>101.46</v>
      </c>
      <c r="GK36">
        <v>95.711200000000005</v>
      </c>
    </row>
    <row r="37" spans="1:193" x14ac:dyDescent="0.35">
      <c r="A37">
        <v>21</v>
      </c>
      <c r="B37">
        <v>1775533226.0999999</v>
      </c>
      <c r="C37">
        <v>1200</v>
      </c>
      <c r="D37" t="s">
        <v>380</v>
      </c>
      <c r="E37" t="s">
        <v>381</v>
      </c>
      <c r="F37">
        <v>60</v>
      </c>
      <c r="G37">
        <v>1775533218.349999</v>
      </c>
      <c r="H37">
        <f t="shared" si="0"/>
        <v>4.8763510959428259E-3</v>
      </c>
      <c r="I37">
        <f t="shared" si="1"/>
        <v>4.8763510959428258</v>
      </c>
      <c r="J37">
        <f t="shared" si="2"/>
        <v>-0.21966699280503837</v>
      </c>
      <c r="K37">
        <f t="shared" si="3"/>
        <v>4.7370313333333343</v>
      </c>
      <c r="L37">
        <f t="shared" si="4"/>
        <v>7.4817406985054253</v>
      </c>
      <c r="M37">
        <f t="shared" si="5"/>
        <v>0.7509683278216418</v>
      </c>
      <c r="N37">
        <f t="shared" si="6"/>
        <v>0.47547230552145237</v>
      </c>
      <c r="O37">
        <f t="shared" si="7"/>
        <v>0.11316930537547315</v>
      </c>
      <c r="P37">
        <f t="shared" si="8"/>
        <v>2.395206926370701</v>
      </c>
      <c r="Q37">
        <f t="shared" si="9"/>
        <v>0.11028050387594421</v>
      </c>
      <c r="R37">
        <f t="shared" si="10"/>
        <v>6.9178720348362671E-2</v>
      </c>
      <c r="S37">
        <f t="shared" si="11"/>
        <v>0.24235117269999995</v>
      </c>
      <c r="T37">
        <f t="shared" si="12"/>
        <v>29.697327593209746</v>
      </c>
      <c r="U37">
        <f t="shared" si="13"/>
        <v>31.018709999999999</v>
      </c>
      <c r="V37">
        <f t="shared" si="14"/>
        <v>4.5161932785491867</v>
      </c>
      <c r="W37">
        <f t="shared" si="15"/>
        <v>3.9795365931777722</v>
      </c>
      <c r="X37">
        <f t="shared" si="16"/>
        <v>0.18177489467852417</v>
      </c>
      <c r="Y37">
        <f t="shared" si="17"/>
        <v>4.5677402487049825</v>
      </c>
      <c r="Z37">
        <f t="shared" si="18"/>
        <v>4.3344183838706627</v>
      </c>
      <c r="AA37">
        <f t="shared" si="19"/>
        <v>-215.04708333107862</v>
      </c>
      <c r="AB37">
        <f t="shared" si="20"/>
        <v>25.72535745416419</v>
      </c>
      <c r="AC37">
        <f t="shared" si="21"/>
        <v>2.4146677493340856</v>
      </c>
      <c r="AD37">
        <f t="shared" si="22"/>
        <v>-186.66470695488033</v>
      </c>
      <c r="AE37">
        <v>4</v>
      </c>
      <c r="AF37">
        <v>1</v>
      </c>
      <c r="AG37">
        <f t="shared" si="23"/>
        <v>1</v>
      </c>
      <c r="AH37">
        <f t="shared" si="24"/>
        <v>0</v>
      </c>
      <c r="AI37">
        <f t="shared" si="25"/>
        <v>25263.940320933682</v>
      </c>
      <c r="AJ37">
        <f t="shared" si="26"/>
        <v>1.2681903333333331</v>
      </c>
      <c r="AK37">
        <f t="shared" si="27"/>
        <v>1.0145522666666664</v>
      </c>
      <c r="AL37">
        <f t="shared" si="28"/>
        <v>0.8</v>
      </c>
      <c r="AM37">
        <f t="shared" si="29"/>
        <v>0.19109999999999999</v>
      </c>
      <c r="AN37">
        <v>3</v>
      </c>
      <c r="AO37">
        <v>0.5</v>
      </c>
      <c r="AP37" t="s">
        <v>317</v>
      </c>
      <c r="AQ37">
        <v>2</v>
      </c>
      <c r="AR37">
        <v>1775533218.349999</v>
      </c>
      <c r="AS37">
        <v>4.7370313333333343</v>
      </c>
      <c r="AT37">
        <v>4.6190883333333339</v>
      </c>
      <c r="AU37">
        <v>1.810985333333333</v>
      </c>
      <c r="AV37">
        <v>-1.1095876666666671</v>
      </c>
      <c r="AW37">
        <v>-2.433968666666666</v>
      </c>
      <c r="AX37">
        <v>3.076985333333333</v>
      </c>
      <c r="AY37">
        <v>499.98956666666669</v>
      </c>
      <c r="AZ37">
        <v>100.32550000000001</v>
      </c>
      <c r="BA37">
        <v>4.7976986666666672E-2</v>
      </c>
      <c r="BB37">
        <v>31.217929999999999</v>
      </c>
      <c r="BC37">
        <v>31.018709999999999</v>
      </c>
      <c r="BD37">
        <v>999.9000000000002</v>
      </c>
      <c r="BE37">
        <v>0</v>
      </c>
      <c r="BF37">
        <v>0</v>
      </c>
      <c r="BG37">
        <v>5002.2166666666662</v>
      </c>
      <c r="BH37">
        <v>1.2681903333333331</v>
      </c>
      <c r="BI37">
        <v>1198.5793333333329</v>
      </c>
      <c r="BJ37">
        <v>0.16562719333333331</v>
      </c>
      <c r="BK37">
        <v>4.7934613333333314</v>
      </c>
      <c r="BL37">
        <v>4.6139693333333316</v>
      </c>
      <c r="BM37">
        <v>2.933592</v>
      </c>
      <c r="BN37">
        <v>4.6190883333333339</v>
      </c>
      <c r="BO37">
        <v>-1.1095876666666671</v>
      </c>
      <c r="BP37">
        <v>0.18299409999999999</v>
      </c>
      <c r="BQ37">
        <v>-0.1113199</v>
      </c>
      <c r="BR37">
        <v>-15.581899999999999</v>
      </c>
      <c r="BS37">
        <v>-99.900000000000034</v>
      </c>
      <c r="BT37">
        <v>1775533249.0999999</v>
      </c>
      <c r="BU37" t="s">
        <v>382</v>
      </c>
      <c r="BV37">
        <v>1775533248.0999999</v>
      </c>
      <c r="BW37">
        <v>1775533249.0999999</v>
      </c>
      <c r="BX37">
        <v>22</v>
      </c>
      <c r="BY37">
        <v>-4.8000000000000001E-2</v>
      </c>
      <c r="BZ37">
        <v>-1.2999999999999999E-2</v>
      </c>
      <c r="CA37">
        <v>7.1710000000000003</v>
      </c>
      <c r="CB37">
        <v>-1.266</v>
      </c>
      <c r="CC37">
        <v>4</v>
      </c>
      <c r="CD37">
        <v>-1</v>
      </c>
      <c r="CE37">
        <v>0.23</v>
      </c>
      <c r="CF37">
        <v>0.02</v>
      </c>
      <c r="CG37">
        <v>5.2013191803278689</v>
      </c>
      <c r="CH37">
        <v>-4.5773470756213621</v>
      </c>
      <c r="CI37">
        <v>0.75395408913209039</v>
      </c>
      <c r="CJ37">
        <v>-1</v>
      </c>
      <c r="CK37">
        <v>500.61350819672128</v>
      </c>
      <c r="CL37">
        <v>-6.4996975145425049</v>
      </c>
      <c r="CM37">
        <v>1.6101814847610301</v>
      </c>
      <c r="CN37">
        <v>-1</v>
      </c>
      <c r="CO37">
        <v>0</v>
      </c>
      <c r="CP37">
        <v>0</v>
      </c>
      <c r="CQ37" t="s">
        <v>319</v>
      </c>
      <c r="CR37">
        <v>3.1678999999999999</v>
      </c>
      <c r="CS37">
        <v>2.66906</v>
      </c>
      <c r="CT37">
        <v>-8.1956800000000001E-4</v>
      </c>
      <c r="CU37">
        <v>1.4205299999999999E-3</v>
      </c>
      <c r="CV37">
        <v>2.1761200000000001E-2</v>
      </c>
      <c r="CW37">
        <v>-9.3825799999999997E-3</v>
      </c>
      <c r="CX37">
        <v>21399.3</v>
      </c>
      <c r="CY37">
        <v>21751.7</v>
      </c>
      <c r="CZ37">
        <v>22919.5</v>
      </c>
      <c r="DA37">
        <v>22149.3</v>
      </c>
      <c r="DB37">
        <v>28927.1</v>
      </c>
      <c r="DC37">
        <v>26628</v>
      </c>
      <c r="DD37">
        <v>40314.699999999997</v>
      </c>
      <c r="DE37">
        <v>36661.1</v>
      </c>
      <c r="DF37">
        <v>2.0303</v>
      </c>
      <c r="DG37">
        <v>1.7274</v>
      </c>
      <c r="DH37">
        <v>-2.68936E-2</v>
      </c>
      <c r="DI37">
        <v>0</v>
      </c>
      <c r="DJ37">
        <v>31.456800000000001</v>
      </c>
      <c r="DK37">
        <v>999.9</v>
      </c>
      <c r="DL37">
        <v>74.3</v>
      </c>
      <c r="DM37">
        <v>32.5</v>
      </c>
      <c r="DN37">
        <v>36.378999999999998</v>
      </c>
      <c r="DO37">
        <v>30.9937</v>
      </c>
      <c r="DP37">
        <v>8.5737199999999998</v>
      </c>
      <c r="DQ37">
        <v>1</v>
      </c>
      <c r="DR37">
        <v>0.71959600000000001</v>
      </c>
      <c r="DS37">
        <v>2.1762299999999999</v>
      </c>
      <c r="DT37">
        <v>20.3444</v>
      </c>
      <c r="DU37">
        <v>5.2050700000000001</v>
      </c>
      <c r="DV37">
        <v>11.854200000000001</v>
      </c>
      <c r="DW37">
        <v>4.9671200000000004</v>
      </c>
      <c r="DX37">
        <v>3.2922600000000002</v>
      </c>
      <c r="DY37">
        <v>894.7</v>
      </c>
      <c r="DZ37">
        <v>6</v>
      </c>
      <c r="EA37">
        <v>9999</v>
      </c>
      <c r="EB37">
        <v>116.1</v>
      </c>
      <c r="EC37">
        <v>4.9716300000000002</v>
      </c>
      <c r="ED37">
        <v>1.87209</v>
      </c>
      <c r="EE37">
        <v>1.86931</v>
      </c>
      <c r="EF37">
        <v>1.87164</v>
      </c>
      <c r="EG37">
        <v>1.8693599999999999</v>
      </c>
      <c r="EH37">
        <v>1.86829</v>
      </c>
      <c r="EI37">
        <v>1.87012</v>
      </c>
      <c r="EJ37">
        <v>1.8719399999999999</v>
      </c>
      <c r="EK37">
        <v>0</v>
      </c>
      <c r="EL37">
        <v>0</v>
      </c>
      <c r="EM37">
        <v>0</v>
      </c>
      <c r="EN37">
        <v>0</v>
      </c>
      <c r="EO37" t="s">
        <v>320</v>
      </c>
      <c r="EP37" t="s">
        <v>321</v>
      </c>
      <c r="EQ37" t="s">
        <v>322</v>
      </c>
      <c r="ER37" t="s">
        <v>322</v>
      </c>
      <c r="ES37" t="s">
        <v>322</v>
      </c>
      <c r="ET37" t="s">
        <v>322</v>
      </c>
      <c r="EU37">
        <v>0</v>
      </c>
      <c r="EV37">
        <v>100</v>
      </c>
      <c r="EW37">
        <v>100</v>
      </c>
      <c r="EX37">
        <v>7.1710000000000003</v>
      </c>
      <c r="EY37">
        <v>-1.266</v>
      </c>
      <c r="EZ37">
        <v>7.2186845714285726</v>
      </c>
      <c r="FA37">
        <v>0</v>
      </c>
      <c r="FB37">
        <v>0</v>
      </c>
      <c r="FC37">
        <v>0</v>
      </c>
      <c r="FD37">
        <v>-1.252981280952381</v>
      </c>
      <c r="FE37">
        <v>0</v>
      </c>
      <c r="FF37">
        <v>0</v>
      </c>
      <c r="FG37">
        <v>0</v>
      </c>
      <c r="FH37">
        <v>-1</v>
      </c>
      <c r="FI37">
        <v>-1</v>
      </c>
      <c r="FJ37">
        <v>-1</v>
      </c>
      <c r="FK37">
        <v>-1</v>
      </c>
      <c r="FL37">
        <v>0.7</v>
      </c>
      <c r="FM37">
        <v>0.6</v>
      </c>
      <c r="FN37">
        <v>0.144043</v>
      </c>
      <c r="FO37">
        <v>4.99756</v>
      </c>
      <c r="FP37">
        <v>1.5979000000000001</v>
      </c>
      <c r="FQ37">
        <v>2.1545399999999999</v>
      </c>
      <c r="FR37">
        <v>1.5478499999999999</v>
      </c>
      <c r="FS37">
        <v>2.4255399999999998</v>
      </c>
      <c r="FT37">
        <v>39.918399999999998</v>
      </c>
      <c r="FU37">
        <v>15.874499999999999</v>
      </c>
      <c r="FV37">
        <v>2</v>
      </c>
      <c r="FW37">
        <v>507.97500000000002</v>
      </c>
      <c r="FX37">
        <v>399.99</v>
      </c>
      <c r="FY37">
        <v>30.0031</v>
      </c>
      <c r="FZ37">
        <v>36.004199999999997</v>
      </c>
      <c r="GA37">
        <v>30.000800000000002</v>
      </c>
      <c r="GB37">
        <v>36.0717</v>
      </c>
      <c r="GC37">
        <v>36.070399999999999</v>
      </c>
      <c r="GD37">
        <v>-1</v>
      </c>
      <c r="GE37">
        <v>0</v>
      </c>
      <c r="GF37">
        <v>100</v>
      </c>
      <c r="GG37">
        <v>29.991599999999998</v>
      </c>
      <c r="GH37">
        <v>432.1</v>
      </c>
      <c r="GI37">
        <v>29.979600000000001</v>
      </c>
      <c r="GJ37">
        <v>101.447</v>
      </c>
      <c r="GK37">
        <v>95.707700000000003</v>
      </c>
    </row>
    <row r="38" spans="1:193" x14ac:dyDescent="0.35">
      <c r="A38">
        <v>22</v>
      </c>
      <c r="B38">
        <v>1775533286.0999999</v>
      </c>
      <c r="C38">
        <v>1260</v>
      </c>
      <c r="D38" t="s">
        <v>383</v>
      </c>
      <c r="E38" t="s">
        <v>384</v>
      </c>
      <c r="F38">
        <v>60</v>
      </c>
      <c r="G38">
        <v>1775533278.099999</v>
      </c>
      <c r="H38">
        <f t="shared" si="0"/>
        <v>4.4214167019267494E-3</v>
      </c>
      <c r="I38">
        <f t="shared" si="1"/>
        <v>4.4214167019267494</v>
      </c>
      <c r="J38">
        <f t="shared" si="2"/>
        <v>1.0746777532640761</v>
      </c>
      <c r="K38">
        <f t="shared" si="3"/>
        <v>5.3429829032258063</v>
      </c>
      <c r="L38">
        <f t="shared" si="4"/>
        <v>-11.596838006068966</v>
      </c>
      <c r="M38">
        <f t="shared" si="5"/>
        <v>-1.1640300534543402</v>
      </c>
      <c r="N38">
        <f t="shared" si="6"/>
        <v>0.53630072880148627</v>
      </c>
      <c r="O38">
        <f t="shared" si="7"/>
        <v>0.10223120028683511</v>
      </c>
      <c r="P38">
        <f t="shared" si="8"/>
        <v>2.3946919590104434</v>
      </c>
      <c r="Q38">
        <f t="shared" si="9"/>
        <v>9.9867055248063552E-2</v>
      </c>
      <c r="R38">
        <f t="shared" si="10"/>
        <v>6.2624764998573446E-2</v>
      </c>
      <c r="S38">
        <f t="shared" si="11"/>
        <v>0.24003960038709674</v>
      </c>
      <c r="T38">
        <f t="shared" si="12"/>
        <v>29.812308640763252</v>
      </c>
      <c r="U38">
        <f t="shared" si="13"/>
        <v>30.969258064516129</v>
      </c>
      <c r="V38">
        <f t="shared" si="14"/>
        <v>4.5034766634109902</v>
      </c>
      <c r="W38">
        <f t="shared" si="15"/>
        <v>3.5712694322896388</v>
      </c>
      <c r="X38">
        <f t="shared" si="16"/>
        <v>0.16287831598748581</v>
      </c>
      <c r="Y38">
        <f t="shared" si="17"/>
        <v>4.5607960719743303</v>
      </c>
      <c r="Z38">
        <f t="shared" si="18"/>
        <v>4.3405983474235041</v>
      </c>
      <c r="AA38">
        <f t="shared" si="19"/>
        <v>-194.98447655496966</v>
      </c>
      <c r="AB38">
        <f t="shared" si="20"/>
        <v>28.654121140807668</v>
      </c>
      <c r="AC38">
        <f t="shared" si="21"/>
        <v>2.6891390995069688</v>
      </c>
      <c r="AD38">
        <f t="shared" si="22"/>
        <v>-163.40117671426793</v>
      </c>
      <c r="AE38">
        <v>4</v>
      </c>
      <c r="AF38">
        <v>1</v>
      </c>
      <c r="AG38">
        <f t="shared" si="23"/>
        <v>1</v>
      </c>
      <c r="AH38">
        <f t="shared" si="24"/>
        <v>0</v>
      </c>
      <c r="AI38">
        <f t="shared" si="25"/>
        <v>25258.36019682094</v>
      </c>
      <c r="AJ38">
        <f t="shared" si="26"/>
        <v>1.2560941935483869</v>
      </c>
      <c r="AK38">
        <f t="shared" si="27"/>
        <v>1.0048753548387095</v>
      </c>
      <c r="AL38">
        <f t="shared" si="28"/>
        <v>0.8</v>
      </c>
      <c r="AM38">
        <f t="shared" si="29"/>
        <v>0.19109999999999999</v>
      </c>
      <c r="AN38">
        <v>3</v>
      </c>
      <c r="AO38">
        <v>0.5</v>
      </c>
      <c r="AP38" t="s">
        <v>317</v>
      </c>
      <c r="AQ38">
        <v>2</v>
      </c>
      <c r="AR38">
        <v>1775533278.099999</v>
      </c>
      <c r="AS38">
        <v>5.3429829032258063</v>
      </c>
      <c r="AT38">
        <v>6.0019719354838701</v>
      </c>
      <c r="AU38">
        <v>1.6227016129032259</v>
      </c>
      <c r="AV38">
        <v>-1.0258767741935479</v>
      </c>
      <c r="AW38">
        <v>-1.733017096774194</v>
      </c>
      <c r="AX38">
        <v>2.8987016129032259</v>
      </c>
      <c r="AY38">
        <v>499.99374193548391</v>
      </c>
      <c r="AZ38">
        <v>100.32722580645169</v>
      </c>
      <c r="BA38">
        <v>4.7553322580645159E-2</v>
      </c>
      <c r="BB38">
        <v>31.191206451612899</v>
      </c>
      <c r="BC38">
        <v>30.969258064516129</v>
      </c>
      <c r="BD38">
        <v>999.90000000000032</v>
      </c>
      <c r="BE38">
        <v>0</v>
      </c>
      <c r="BF38">
        <v>0</v>
      </c>
      <c r="BG38">
        <v>5000.8064516129034</v>
      </c>
      <c r="BH38">
        <v>1.2560941935483869</v>
      </c>
      <c r="BI38">
        <v>1174.9967741935479</v>
      </c>
      <c r="BJ38">
        <v>-0.56401699354838708</v>
      </c>
      <c r="BK38">
        <v>5.4468461290322594</v>
      </c>
      <c r="BL38">
        <v>5.9958167741935489</v>
      </c>
      <c r="BM38">
        <v>2.658597096774193</v>
      </c>
      <c r="BN38">
        <v>6.0019719354838701</v>
      </c>
      <c r="BO38">
        <v>-1.0258767741935479</v>
      </c>
      <c r="BP38">
        <v>0.1638061612903226</v>
      </c>
      <c r="BQ38">
        <v>-0.1029233870967742</v>
      </c>
      <c r="BR38">
        <v>-16.90836451612903</v>
      </c>
      <c r="BS38">
        <v>-99.900000000000034</v>
      </c>
      <c r="BT38">
        <v>1775533326.5999999</v>
      </c>
      <c r="BU38" t="s">
        <v>385</v>
      </c>
      <c r="BV38">
        <v>1775533326.5999999</v>
      </c>
      <c r="BW38">
        <v>1775533310.0999999</v>
      </c>
      <c r="BX38">
        <v>23</v>
      </c>
      <c r="BY38">
        <v>-9.5000000000000001E-2</v>
      </c>
      <c r="BZ38">
        <v>-0.01</v>
      </c>
      <c r="CA38">
        <v>7.0759999999999996</v>
      </c>
      <c r="CB38">
        <v>-1.276</v>
      </c>
      <c r="CC38">
        <v>3</v>
      </c>
      <c r="CD38">
        <v>-1</v>
      </c>
      <c r="CE38">
        <v>1.0900000000000001</v>
      </c>
      <c r="CF38">
        <v>0.02</v>
      </c>
      <c r="CG38">
        <v>5.5598999999999998</v>
      </c>
      <c r="CH38">
        <v>2.6034689858293958</v>
      </c>
      <c r="CI38">
        <v>0.70714944183908768</v>
      </c>
      <c r="CJ38">
        <v>-1</v>
      </c>
      <c r="CK38">
        <v>500.15584999999999</v>
      </c>
      <c r="CL38">
        <v>-1.855005279243743</v>
      </c>
      <c r="CM38">
        <v>0.61589195007457542</v>
      </c>
      <c r="CN38">
        <v>-1</v>
      </c>
      <c r="CO38">
        <v>0</v>
      </c>
      <c r="CP38">
        <v>0</v>
      </c>
      <c r="CQ38" t="s">
        <v>319</v>
      </c>
      <c r="CR38">
        <v>3.16778</v>
      </c>
      <c r="CS38">
        <v>2.6690499999999999</v>
      </c>
      <c r="CT38">
        <v>-5.0713799999999997E-4</v>
      </c>
      <c r="CU38">
        <v>1.29594E-3</v>
      </c>
      <c r="CV38">
        <v>2.0923000000000001E-2</v>
      </c>
      <c r="CW38">
        <v>-8.6359599999999998E-3</v>
      </c>
      <c r="CX38">
        <v>21388.3</v>
      </c>
      <c r="CY38">
        <v>21751.8</v>
      </c>
      <c r="CZ38">
        <v>22915.200000000001</v>
      </c>
      <c r="DA38">
        <v>22146.9</v>
      </c>
      <c r="DB38">
        <v>28946.9</v>
      </c>
      <c r="DC38">
        <v>26605</v>
      </c>
      <c r="DD38">
        <v>40307.9</v>
      </c>
      <c r="DE38">
        <v>36656.800000000003</v>
      </c>
      <c r="DF38">
        <v>2.0289799999999998</v>
      </c>
      <c r="DG38">
        <v>1.72498</v>
      </c>
      <c r="DH38">
        <v>-3.0255299999999999E-2</v>
      </c>
      <c r="DI38">
        <v>0</v>
      </c>
      <c r="DJ38">
        <v>31.452400000000001</v>
      </c>
      <c r="DK38">
        <v>999.9</v>
      </c>
      <c r="DL38">
        <v>73.7</v>
      </c>
      <c r="DM38">
        <v>32.799999999999997</v>
      </c>
      <c r="DN38">
        <v>36.7012</v>
      </c>
      <c r="DO38">
        <v>30.873699999999999</v>
      </c>
      <c r="DP38">
        <v>8.7059300000000004</v>
      </c>
      <c r="DQ38">
        <v>1</v>
      </c>
      <c r="DR38">
        <v>0.72497199999999995</v>
      </c>
      <c r="DS38">
        <v>1.85931</v>
      </c>
      <c r="DT38">
        <v>20.350100000000001</v>
      </c>
      <c r="DU38">
        <v>5.2104600000000003</v>
      </c>
      <c r="DV38">
        <v>11.854200000000001</v>
      </c>
      <c r="DW38">
        <v>4.9676</v>
      </c>
      <c r="DX38">
        <v>3.2929599999999999</v>
      </c>
      <c r="DY38">
        <v>894.7</v>
      </c>
      <c r="DZ38">
        <v>6</v>
      </c>
      <c r="EA38">
        <v>9999</v>
      </c>
      <c r="EB38">
        <v>116.1</v>
      </c>
      <c r="EC38">
        <v>4.9716399999999998</v>
      </c>
      <c r="ED38">
        <v>1.87209</v>
      </c>
      <c r="EE38">
        <v>1.86934</v>
      </c>
      <c r="EF38">
        <v>1.87164</v>
      </c>
      <c r="EG38">
        <v>1.8694599999999999</v>
      </c>
      <c r="EH38">
        <v>1.8683000000000001</v>
      </c>
      <c r="EI38">
        <v>1.87012</v>
      </c>
      <c r="EJ38">
        <v>1.87195</v>
      </c>
      <c r="EK38">
        <v>0</v>
      </c>
      <c r="EL38">
        <v>0</v>
      </c>
      <c r="EM38">
        <v>0</v>
      </c>
      <c r="EN38">
        <v>0</v>
      </c>
      <c r="EO38" t="s">
        <v>320</v>
      </c>
      <c r="EP38" t="s">
        <v>321</v>
      </c>
      <c r="EQ38" t="s">
        <v>322</v>
      </c>
      <c r="ER38" t="s">
        <v>322</v>
      </c>
      <c r="ES38" t="s">
        <v>322</v>
      </c>
      <c r="ET38" t="s">
        <v>322</v>
      </c>
      <c r="EU38">
        <v>0</v>
      </c>
      <c r="EV38">
        <v>100</v>
      </c>
      <c r="EW38">
        <v>100</v>
      </c>
      <c r="EX38">
        <v>7.0759999999999996</v>
      </c>
      <c r="EY38">
        <v>-1.276</v>
      </c>
      <c r="EZ38">
        <v>7.1709704999999992</v>
      </c>
      <c r="FA38">
        <v>0</v>
      </c>
      <c r="FB38">
        <v>0</v>
      </c>
      <c r="FC38">
        <v>0</v>
      </c>
      <c r="FD38">
        <v>-1.2659806</v>
      </c>
      <c r="FE38">
        <v>0</v>
      </c>
      <c r="FF38">
        <v>0</v>
      </c>
      <c r="FG38">
        <v>0</v>
      </c>
      <c r="FH38">
        <v>-1</v>
      </c>
      <c r="FI38">
        <v>-1</v>
      </c>
      <c r="FJ38">
        <v>-1</v>
      </c>
      <c r="FK38">
        <v>-1</v>
      </c>
      <c r="FL38">
        <v>0.6</v>
      </c>
      <c r="FM38">
        <v>0.6</v>
      </c>
      <c r="FN38">
        <v>0.144043</v>
      </c>
      <c r="FO38">
        <v>4.99756</v>
      </c>
      <c r="FP38">
        <v>1.5979000000000001</v>
      </c>
      <c r="FQ38">
        <v>2.1545399999999999</v>
      </c>
      <c r="FR38">
        <v>1.5478499999999999</v>
      </c>
      <c r="FS38">
        <v>2.3877000000000002</v>
      </c>
      <c r="FT38">
        <v>40.171300000000002</v>
      </c>
      <c r="FU38">
        <v>15.8657</v>
      </c>
      <c r="FV38">
        <v>2</v>
      </c>
      <c r="FW38">
        <v>507.87</v>
      </c>
      <c r="FX38">
        <v>399.161</v>
      </c>
      <c r="FY38">
        <v>30.002099999999999</v>
      </c>
      <c r="FZ38">
        <v>36.091099999999997</v>
      </c>
      <c r="GA38">
        <v>29.9998</v>
      </c>
      <c r="GB38">
        <v>36.17</v>
      </c>
      <c r="GC38">
        <v>36.171799999999998</v>
      </c>
      <c r="GD38">
        <v>-1</v>
      </c>
      <c r="GE38">
        <v>0</v>
      </c>
      <c r="GF38">
        <v>100</v>
      </c>
      <c r="GG38">
        <v>30.0062</v>
      </c>
      <c r="GH38">
        <v>432.1</v>
      </c>
      <c r="GI38">
        <v>29.979600000000001</v>
      </c>
      <c r="GJ38">
        <v>101.429</v>
      </c>
      <c r="GK38">
        <v>95.696700000000007</v>
      </c>
    </row>
    <row r="39" spans="1:193" x14ac:dyDescent="0.35">
      <c r="A39">
        <v>23</v>
      </c>
      <c r="B39">
        <v>1775533346.0999999</v>
      </c>
      <c r="C39">
        <v>1320</v>
      </c>
      <c r="D39" t="s">
        <v>386</v>
      </c>
      <c r="E39" t="s">
        <v>387</v>
      </c>
      <c r="F39">
        <v>60</v>
      </c>
      <c r="G39">
        <v>1775533338.349999</v>
      </c>
      <c r="H39">
        <f t="shared" si="0"/>
        <v>4.3335207503731035E-3</v>
      </c>
      <c r="I39">
        <f t="shared" si="1"/>
        <v>4.3335207503731032</v>
      </c>
      <c r="J39">
        <f t="shared" si="2"/>
        <v>-3.7005673907559962E-3</v>
      </c>
      <c r="K39">
        <f t="shared" si="3"/>
        <v>3.599704</v>
      </c>
      <c r="L39">
        <f t="shared" si="4"/>
        <v>3.4124575644049666</v>
      </c>
      <c r="M39">
        <f t="shared" si="5"/>
        <v>0.34252442801783411</v>
      </c>
      <c r="N39">
        <f t="shared" si="6"/>
        <v>0.36131923411874178</v>
      </c>
      <c r="O39">
        <f t="shared" si="7"/>
        <v>0.10015525266045527</v>
      </c>
      <c r="P39">
        <f t="shared" si="8"/>
        <v>2.3982330366662574</v>
      </c>
      <c r="Q39">
        <f t="shared" si="9"/>
        <v>9.7888269104937503E-2</v>
      </c>
      <c r="R39">
        <f t="shared" si="10"/>
        <v>6.1379573901526832E-2</v>
      </c>
      <c r="S39">
        <f t="shared" si="11"/>
        <v>0.23708592179999996</v>
      </c>
      <c r="T39">
        <f t="shared" si="12"/>
        <v>29.833842540848782</v>
      </c>
      <c r="U39">
        <f t="shared" si="13"/>
        <v>30.979770000000009</v>
      </c>
      <c r="V39">
        <f t="shared" si="14"/>
        <v>4.5061772047998492</v>
      </c>
      <c r="W39">
        <f t="shared" si="15"/>
        <v>3.6413237395258569</v>
      </c>
      <c r="X39">
        <f t="shared" si="16"/>
        <v>0.16600049335707828</v>
      </c>
      <c r="Y39">
        <f t="shared" si="17"/>
        <v>4.5587952412793014</v>
      </c>
      <c r="Z39">
        <f t="shared" si="18"/>
        <v>4.340176711442771</v>
      </c>
      <c r="AA39">
        <f t="shared" si="19"/>
        <v>-191.10826509145386</v>
      </c>
      <c r="AB39">
        <f t="shared" si="20"/>
        <v>26.340972796782268</v>
      </c>
      <c r="AC39">
        <f t="shared" si="21"/>
        <v>2.4684382093237698</v>
      </c>
      <c r="AD39">
        <f t="shared" si="22"/>
        <v>-162.06176816354781</v>
      </c>
      <c r="AE39">
        <v>5</v>
      </c>
      <c r="AF39">
        <v>1</v>
      </c>
      <c r="AG39">
        <f t="shared" si="23"/>
        <v>1</v>
      </c>
      <c r="AH39">
        <f t="shared" si="24"/>
        <v>0</v>
      </c>
      <c r="AI39">
        <f t="shared" si="25"/>
        <v>25312.200864460679</v>
      </c>
      <c r="AJ39">
        <f t="shared" si="26"/>
        <v>1.2406379999999999</v>
      </c>
      <c r="AK39">
        <f t="shared" si="27"/>
        <v>0.99251040000000001</v>
      </c>
      <c r="AL39">
        <f t="shared" si="28"/>
        <v>0.8</v>
      </c>
      <c r="AM39">
        <f t="shared" si="29"/>
        <v>0.19109999999999999</v>
      </c>
      <c r="AN39">
        <v>3</v>
      </c>
      <c r="AO39">
        <v>0.5</v>
      </c>
      <c r="AP39" t="s">
        <v>317</v>
      </c>
      <c r="AQ39">
        <v>2</v>
      </c>
      <c r="AR39">
        <v>1775533338.349999</v>
      </c>
      <c r="AS39">
        <v>3.599704</v>
      </c>
      <c r="AT39">
        <v>3.6068280000000001</v>
      </c>
      <c r="AU39">
        <v>1.6538079999999999</v>
      </c>
      <c r="AV39">
        <v>-0.93644326666666666</v>
      </c>
      <c r="AW39">
        <v>-3.549296</v>
      </c>
      <c r="AX39">
        <v>2.942807999999999</v>
      </c>
      <c r="AY39">
        <v>501.0734666666666</v>
      </c>
      <c r="AZ39">
        <v>100.3265</v>
      </c>
      <c r="BA39">
        <v>4.820695333333333E-2</v>
      </c>
      <c r="BB39">
        <v>31.183499999999999</v>
      </c>
      <c r="BC39">
        <v>30.979770000000009</v>
      </c>
      <c r="BD39">
        <v>999.9000000000002</v>
      </c>
      <c r="BE39">
        <v>0</v>
      </c>
      <c r="BF39">
        <v>0</v>
      </c>
      <c r="BG39">
        <v>5009.95</v>
      </c>
      <c r="BH39">
        <v>1.2406379999999999</v>
      </c>
      <c r="BI39">
        <v>1160.31</v>
      </c>
      <c r="BJ39">
        <v>-8.0110286666666683E-2</v>
      </c>
      <c r="BK39">
        <v>3.532597</v>
      </c>
      <c r="BL39">
        <v>3.603453</v>
      </c>
      <c r="BM39">
        <v>2.603152333333334</v>
      </c>
      <c r="BN39">
        <v>3.6068280000000001</v>
      </c>
      <c r="BO39">
        <v>-0.93644326666666666</v>
      </c>
      <c r="BP39">
        <v>0.16721520000000001</v>
      </c>
      <c r="BQ39">
        <v>-9.3950176666666663E-2</v>
      </c>
      <c r="BR39">
        <v>-16.82248666666667</v>
      </c>
      <c r="BS39">
        <v>-99.900000000000034</v>
      </c>
      <c r="BT39">
        <v>1775533367.0999999</v>
      </c>
      <c r="BU39" t="s">
        <v>388</v>
      </c>
      <c r="BV39">
        <v>1775533363.0999999</v>
      </c>
      <c r="BW39">
        <v>1775533367.0999999</v>
      </c>
      <c r="BX39">
        <v>24</v>
      </c>
      <c r="BY39">
        <v>7.2999999999999995E-2</v>
      </c>
      <c r="BZ39">
        <v>-1.2999999999999999E-2</v>
      </c>
      <c r="CA39">
        <v>7.149</v>
      </c>
      <c r="CB39">
        <v>-1.2889999999999999</v>
      </c>
      <c r="CC39">
        <v>3</v>
      </c>
      <c r="CD39">
        <v>-1</v>
      </c>
      <c r="CE39">
        <v>0.2</v>
      </c>
      <c r="CF39">
        <v>0.03</v>
      </c>
      <c r="CG39">
        <v>3.840968333333334</v>
      </c>
      <c r="CH39">
        <v>-3.008356121144752</v>
      </c>
      <c r="CI39">
        <v>0.78080990679372275</v>
      </c>
      <c r="CJ39">
        <v>-1</v>
      </c>
      <c r="CK39">
        <v>500.95031666666671</v>
      </c>
      <c r="CL39">
        <v>0.66366768546893207</v>
      </c>
      <c r="CM39">
        <v>1.8648220066239261</v>
      </c>
      <c r="CN39">
        <v>-1</v>
      </c>
      <c r="CO39">
        <v>0</v>
      </c>
      <c r="CP39">
        <v>0</v>
      </c>
      <c r="CQ39" t="s">
        <v>319</v>
      </c>
      <c r="CR39">
        <v>3.1678799999999998</v>
      </c>
      <c r="CS39">
        <v>2.6684800000000002</v>
      </c>
      <c r="CT39">
        <v>-1.1071500000000001E-3</v>
      </c>
      <c r="CU39">
        <v>9.4003900000000004E-4</v>
      </c>
      <c r="CV39">
        <v>2.1656100000000001E-2</v>
      </c>
      <c r="CW39">
        <v>-7.8320200000000003E-3</v>
      </c>
      <c r="CX39">
        <v>21399.200000000001</v>
      </c>
      <c r="CY39">
        <v>21760</v>
      </c>
      <c r="CZ39">
        <v>22913.4</v>
      </c>
      <c r="DA39">
        <v>22147.4</v>
      </c>
      <c r="DB39">
        <v>28923.200000000001</v>
      </c>
      <c r="DC39">
        <v>26583.9</v>
      </c>
      <c r="DD39">
        <v>40305.199999999997</v>
      </c>
      <c r="DE39">
        <v>36657.1</v>
      </c>
      <c r="DF39">
        <v>2.0268799999999998</v>
      </c>
      <c r="DG39">
        <v>1.7223599999999999</v>
      </c>
      <c r="DH39">
        <v>-2.3067000000000001E-2</v>
      </c>
      <c r="DI39">
        <v>0</v>
      </c>
      <c r="DJ39">
        <v>31.363700000000001</v>
      </c>
      <c r="DK39">
        <v>999.9</v>
      </c>
      <c r="DL39">
        <v>73.2</v>
      </c>
      <c r="DM39">
        <v>33</v>
      </c>
      <c r="DN39">
        <v>36.859000000000002</v>
      </c>
      <c r="DO39">
        <v>30.903700000000001</v>
      </c>
      <c r="DP39">
        <v>8.5416600000000003</v>
      </c>
      <c r="DQ39">
        <v>1</v>
      </c>
      <c r="DR39">
        <v>0.72725799999999996</v>
      </c>
      <c r="DS39">
        <v>1.8196300000000001</v>
      </c>
      <c r="DT39">
        <v>20.350100000000001</v>
      </c>
      <c r="DU39">
        <v>5.2102199999999996</v>
      </c>
      <c r="DV39">
        <v>11.854200000000001</v>
      </c>
      <c r="DW39">
        <v>4.9676400000000003</v>
      </c>
      <c r="DX39">
        <v>3.29298</v>
      </c>
      <c r="DY39">
        <v>894.7</v>
      </c>
      <c r="DZ39">
        <v>6</v>
      </c>
      <c r="EA39">
        <v>9999</v>
      </c>
      <c r="EB39">
        <v>116.1</v>
      </c>
      <c r="EC39">
        <v>4.9716399999999998</v>
      </c>
      <c r="ED39">
        <v>1.8721000000000001</v>
      </c>
      <c r="EE39">
        <v>1.86934</v>
      </c>
      <c r="EF39">
        <v>1.87164</v>
      </c>
      <c r="EG39">
        <v>1.8694599999999999</v>
      </c>
      <c r="EH39">
        <v>1.86829</v>
      </c>
      <c r="EI39">
        <v>1.87015</v>
      </c>
      <c r="EJ39">
        <v>1.8719399999999999</v>
      </c>
      <c r="EK39">
        <v>0</v>
      </c>
      <c r="EL39">
        <v>0</v>
      </c>
      <c r="EM39">
        <v>0</v>
      </c>
      <c r="EN39">
        <v>0</v>
      </c>
      <c r="EO39" t="s">
        <v>320</v>
      </c>
      <c r="EP39" t="s">
        <v>321</v>
      </c>
      <c r="EQ39" t="s">
        <v>322</v>
      </c>
      <c r="ER39" t="s">
        <v>322</v>
      </c>
      <c r="ES39" t="s">
        <v>322</v>
      </c>
      <c r="ET39" t="s">
        <v>322</v>
      </c>
      <c r="EU39">
        <v>0</v>
      </c>
      <c r="EV39">
        <v>100</v>
      </c>
      <c r="EW39">
        <v>100</v>
      </c>
      <c r="EX39">
        <v>7.149</v>
      </c>
      <c r="EY39">
        <v>-1.2889999999999999</v>
      </c>
      <c r="EZ39">
        <v>7.076013047619047</v>
      </c>
      <c r="FA39">
        <v>0</v>
      </c>
      <c r="FB39">
        <v>0</v>
      </c>
      <c r="FC39">
        <v>0</v>
      </c>
      <c r="FD39">
        <v>-1.2760988</v>
      </c>
      <c r="FE39">
        <v>0</v>
      </c>
      <c r="FF39">
        <v>0</v>
      </c>
      <c r="FG39">
        <v>0</v>
      </c>
      <c r="FH39">
        <v>-1</v>
      </c>
      <c r="FI39">
        <v>-1</v>
      </c>
      <c r="FJ39">
        <v>-1</v>
      </c>
      <c r="FK39">
        <v>-1</v>
      </c>
      <c r="FL39">
        <v>0.3</v>
      </c>
      <c r="FM39">
        <v>0.6</v>
      </c>
      <c r="FN39">
        <v>0.144043</v>
      </c>
      <c r="FO39">
        <v>4.99756</v>
      </c>
      <c r="FP39">
        <v>1.5979000000000001</v>
      </c>
      <c r="FQ39">
        <v>2.1520999999999999</v>
      </c>
      <c r="FR39">
        <v>1.5478499999999999</v>
      </c>
      <c r="FS39">
        <v>2.4365199999999998</v>
      </c>
      <c r="FT39">
        <v>40.4</v>
      </c>
      <c r="FU39">
        <v>15.8657</v>
      </c>
      <c r="FV39">
        <v>2</v>
      </c>
      <c r="FW39">
        <v>507.06799999999998</v>
      </c>
      <c r="FX39">
        <v>397.995</v>
      </c>
      <c r="FY39">
        <v>30.178699999999999</v>
      </c>
      <c r="FZ39">
        <v>36.133099999999999</v>
      </c>
      <c r="GA39">
        <v>30.000299999999999</v>
      </c>
      <c r="GB39">
        <v>36.237299999999998</v>
      </c>
      <c r="GC39">
        <v>36.235599999999998</v>
      </c>
      <c r="GD39">
        <v>-1</v>
      </c>
      <c r="GE39">
        <v>0</v>
      </c>
      <c r="GF39">
        <v>98.920100000000005</v>
      </c>
      <c r="GG39">
        <v>30.180800000000001</v>
      </c>
      <c r="GH39">
        <v>432.1</v>
      </c>
      <c r="GI39">
        <v>27.278400000000001</v>
      </c>
      <c r="GJ39">
        <v>101.422</v>
      </c>
      <c r="GK39">
        <v>95.698099999999997</v>
      </c>
    </row>
    <row r="40" spans="1:193" x14ac:dyDescent="0.35">
      <c r="A40">
        <v>24</v>
      </c>
      <c r="B40">
        <v>1775533406.0999999</v>
      </c>
      <c r="C40">
        <v>1380</v>
      </c>
      <c r="D40" t="s">
        <v>389</v>
      </c>
      <c r="E40" t="s">
        <v>390</v>
      </c>
      <c r="F40">
        <v>60</v>
      </c>
      <c r="G40">
        <v>1775533398.099999</v>
      </c>
      <c r="H40">
        <f t="shared" si="0"/>
        <v>4.1654393609946794E-3</v>
      </c>
      <c r="I40">
        <f t="shared" si="1"/>
        <v>4.1654393609946796</v>
      </c>
      <c r="J40">
        <f t="shared" si="2"/>
        <v>0.18269934852941536</v>
      </c>
      <c r="K40">
        <f t="shared" si="3"/>
        <v>2.9021732258064512</v>
      </c>
      <c r="L40">
        <f t="shared" si="4"/>
        <v>-0.29056239033002695</v>
      </c>
      <c r="M40">
        <f t="shared" si="5"/>
        <v>-2.9165145850091841E-2</v>
      </c>
      <c r="N40">
        <f t="shared" si="6"/>
        <v>0.29130509738971427</v>
      </c>
      <c r="O40">
        <f t="shared" si="7"/>
        <v>9.6079739284665053E-2</v>
      </c>
      <c r="P40">
        <f t="shared" si="8"/>
        <v>2.3951755368651724</v>
      </c>
      <c r="Q40">
        <f t="shared" si="9"/>
        <v>9.3988822303155306E-2</v>
      </c>
      <c r="R40">
        <f t="shared" si="10"/>
        <v>5.8927084617776238E-2</v>
      </c>
      <c r="S40">
        <f t="shared" si="11"/>
        <v>0.24092359199999999</v>
      </c>
      <c r="T40">
        <f t="shared" si="12"/>
        <v>29.893843702112797</v>
      </c>
      <c r="U40">
        <f t="shared" si="13"/>
        <v>30.992106451612909</v>
      </c>
      <c r="V40">
        <f t="shared" si="14"/>
        <v>4.5093482676944445</v>
      </c>
      <c r="W40">
        <f t="shared" si="15"/>
        <v>3.6056618328724572</v>
      </c>
      <c r="X40">
        <f t="shared" si="16"/>
        <v>0.16445959948732639</v>
      </c>
      <c r="Y40">
        <f t="shared" si="17"/>
        <v>4.5611487463401232</v>
      </c>
      <c r="Z40">
        <f t="shared" si="18"/>
        <v>4.3448886682071182</v>
      </c>
      <c r="AA40">
        <f t="shared" si="19"/>
        <v>-183.69587581986536</v>
      </c>
      <c r="AB40">
        <f t="shared" si="20"/>
        <v>25.884889985799937</v>
      </c>
      <c r="AC40">
        <f t="shared" si="21"/>
        <v>2.4290511124030636</v>
      </c>
      <c r="AD40">
        <f t="shared" si="22"/>
        <v>-155.14101112966236</v>
      </c>
      <c r="AE40">
        <v>4</v>
      </c>
      <c r="AF40">
        <v>1</v>
      </c>
      <c r="AG40">
        <f t="shared" si="23"/>
        <v>1</v>
      </c>
      <c r="AH40">
        <f t="shared" si="24"/>
        <v>0</v>
      </c>
      <c r="AI40">
        <f t="shared" si="25"/>
        <v>25265.481300794814</v>
      </c>
      <c r="AJ40">
        <f t="shared" si="26"/>
        <v>1.2607200000000001</v>
      </c>
      <c r="AK40">
        <f t="shared" si="27"/>
        <v>1.0085760000000001</v>
      </c>
      <c r="AL40">
        <f t="shared" si="28"/>
        <v>0.8</v>
      </c>
      <c r="AM40">
        <f t="shared" si="29"/>
        <v>0.19109999999999999</v>
      </c>
      <c r="AN40">
        <v>3</v>
      </c>
      <c r="AO40">
        <v>0.5</v>
      </c>
      <c r="AP40" t="s">
        <v>317</v>
      </c>
      <c r="AQ40">
        <v>2</v>
      </c>
      <c r="AR40">
        <v>1775533398.099999</v>
      </c>
      <c r="AS40">
        <v>2.9021732258064512</v>
      </c>
      <c r="AT40">
        <v>3.0190487096774188</v>
      </c>
      <c r="AU40">
        <v>1.6384548387096769</v>
      </c>
      <c r="AV40">
        <v>-0.85676890322580668</v>
      </c>
      <c r="AW40">
        <v>-4.2348267741935484</v>
      </c>
      <c r="AX40">
        <v>2.9384548387096769</v>
      </c>
      <c r="AY40">
        <v>499.98896774193548</v>
      </c>
      <c r="AZ40">
        <v>100.32790322580649</v>
      </c>
      <c r="BA40">
        <v>4.6910654838709667E-2</v>
      </c>
      <c r="BB40">
        <v>31.192564516129021</v>
      </c>
      <c r="BC40">
        <v>30.992106451612909</v>
      </c>
      <c r="BD40">
        <v>999.90000000000032</v>
      </c>
      <c r="BE40">
        <v>0</v>
      </c>
      <c r="BF40">
        <v>0</v>
      </c>
      <c r="BG40">
        <v>5002.0161290322594</v>
      </c>
      <c r="BH40">
        <v>1.2607200000000001</v>
      </c>
      <c r="BI40">
        <v>1171.812580645161</v>
      </c>
      <c r="BJ40">
        <v>-0.10517752258064519</v>
      </c>
      <c r="BK40">
        <v>2.9186864516129032</v>
      </c>
      <c r="BL40">
        <v>3.0164641935483858</v>
      </c>
      <c r="BM40">
        <v>2.506604838709678</v>
      </c>
      <c r="BN40">
        <v>3.0190487096774188</v>
      </c>
      <c r="BO40">
        <v>-0.85676890322580668</v>
      </c>
      <c r="BP40">
        <v>0.16552454838709679</v>
      </c>
      <c r="BQ40">
        <v>-8.5957835483870967E-2</v>
      </c>
      <c r="BR40">
        <v>-16.783925806451609</v>
      </c>
      <c r="BS40">
        <v>-99.900000000000034</v>
      </c>
      <c r="BT40">
        <v>1775533428.0999999</v>
      </c>
      <c r="BU40" t="s">
        <v>391</v>
      </c>
      <c r="BV40">
        <v>1775533423.0999999</v>
      </c>
      <c r="BW40">
        <v>1775533428.0999999</v>
      </c>
      <c r="BX40">
        <v>25</v>
      </c>
      <c r="BY40">
        <v>-1.2E-2</v>
      </c>
      <c r="BZ40">
        <v>-1.0999999999999999E-2</v>
      </c>
      <c r="CA40">
        <v>7.1369999999999996</v>
      </c>
      <c r="CB40">
        <v>-1.3</v>
      </c>
      <c r="CC40">
        <v>3</v>
      </c>
      <c r="CD40">
        <v>-1</v>
      </c>
      <c r="CE40">
        <v>0.21</v>
      </c>
      <c r="CF40">
        <v>0.03</v>
      </c>
      <c r="CG40">
        <v>2.932524754098361</v>
      </c>
      <c r="CH40">
        <v>1.811501279746164</v>
      </c>
      <c r="CI40">
        <v>0.57713021979618151</v>
      </c>
      <c r="CJ40">
        <v>-1</v>
      </c>
      <c r="CK40">
        <v>500.00485245901638</v>
      </c>
      <c r="CL40">
        <v>-0.2358498149119431</v>
      </c>
      <c r="CM40">
        <v>0.1213420630467648</v>
      </c>
      <c r="CN40">
        <v>-1</v>
      </c>
      <c r="CO40">
        <v>0</v>
      </c>
      <c r="CP40">
        <v>0</v>
      </c>
      <c r="CQ40" t="s">
        <v>319</v>
      </c>
      <c r="CR40">
        <v>3.16791</v>
      </c>
      <c r="CS40">
        <v>2.6683699999999999</v>
      </c>
      <c r="CT40">
        <v>-1.2269200000000001E-3</v>
      </c>
      <c r="CU40">
        <v>1.09449E-3</v>
      </c>
      <c r="CV40">
        <v>2.09833E-2</v>
      </c>
      <c r="CW40">
        <v>-7.1048099999999996E-3</v>
      </c>
      <c r="CX40">
        <v>21400.3</v>
      </c>
      <c r="CY40">
        <v>21756.6</v>
      </c>
      <c r="CZ40">
        <v>22912</v>
      </c>
      <c r="DA40">
        <v>22147.5</v>
      </c>
      <c r="DB40">
        <v>28941.4</v>
      </c>
      <c r="DC40">
        <v>26564.5</v>
      </c>
      <c r="DD40">
        <v>40302.9</v>
      </c>
      <c r="DE40">
        <v>36657</v>
      </c>
      <c r="DF40">
        <v>2.0279600000000002</v>
      </c>
      <c r="DG40">
        <v>1.7221599999999999</v>
      </c>
      <c r="DH40">
        <v>-2.4139899999999999E-2</v>
      </c>
      <c r="DI40">
        <v>0</v>
      </c>
      <c r="DJ40">
        <v>31.377500000000001</v>
      </c>
      <c r="DK40">
        <v>999.9</v>
      </c>
      <c r="DL40">
        <v>72.7</v>
      </c>
      <c r="DM40">
        <v>33.299999999999997</v>
      </c>
      <c r="DN40">
        <v>37.231200000000001</v>
      </c>
      <c r="DO40">
        <v>30.963699999999999</v>
      </c>
      <c r="DP40">
        <v>8.4976000000000003</v>
      </c>
      <c r="DQ40">
        <v>1</v>
      </c>
      <c r="DR40">
        <v>0.72948999999999997</v>
      </c>
      <c r="DS40">
        <v>1.87677</v>
      </c>
      <c r="DT40">
        <v>20.349399999999999</v>
      </c>
      <c r="DU40">
        <v>5.2091399999999997</v>
      </c>
      <c r="DV40">
        <v>11.854200000000001</v>
      </c>
      <c r="DW40">
        <v>4.9674800000000001</v>
      </c>
      <c r="DX40">
        <v>3.2930000000000001</v>
      </c>
      <c r="DY40">
        <v>894.7</v>
      </c>
      <c r="DZ40">
        <v>6</v>
      </c>
      <c r="EA40">
        <v>9999</v>
      </c>
      <c r="EB40">
        <v>116.1</v>
      </c>
      <c r="EC40">
        <v>4.9716300000000002</v>
      </c>
      <c r="ED40">
        <v>1.8721000000000001</v>
      </c>
      <c r="EE40">
        <v>1.8693299999999999</v>
      </c>
      <c r="EF40">
        <v>1.87164</v>
      </c>
      <c r="EG40">
        <v>1.8694599999999999</v>
      </c>
      <c r="EH40">
        <v>1.8683099999999999</v>
      </c>
      <c r="EI40">
        <v>1.8701399999999999</v>
      </c>
      <c r="EJ40">
        <v>1.8719399999999999</v>
      </c>
      <c r="EK40">
        <v>0</v>
      </c>
      <c r="EL40">
        <v>0</v>
      </c>
      <c r="EM40">
        <v>0</v>
      </c>
      <c r="EN40">
        <v>0</v>
      </c>
      <c r="EO40" t="s">
        <v>320</v>
      </c>
      <c r="EP40" t="s">
        <v>321</v>
      </c>
      <c r="EQ40" t="s">
        <v>322</v>
      </c>
      <c r="ER40" t="s">
        <v>322</v>
      </c>
      <c r="ES40" t="s">
        <v>322</v>
      </c>
      <c r="ET40" t="s">
        <v>322</v>
      </c>
      <c r="EU40">
        <v>0</v>
      </c>
      <c r="EV40">
        <v>100</v>
      </c>
      <c r="EW40">
        <v>100</v>
      </c>
      <c r="EX40">
        <v>7.1369999999999996</v>
      </c>
      <c r="EY40">
        <v>-1.3</v>
      </c>
      <c r="EZ40">
        <v>7.1486980000000004</v>
      </c>
      <c r="FA40">
        <v>0</v>
      </c>
      <c r="FB40">
        <v>0</v>
      </c>
      <c r="FC40">
        <v>0</v>
      </c>
      <c r="FD40">
        <v>-1.2886192000000001</v>
      </c>
      <c r="FE40">
        <v>0</v>
      </c>
      <c r="FF40">
        <v>0</v>
      </c>
      <c r="FG40">
        <v>0</v>
      </c>
      <c r="FH40">
        <v>-1</v>
      </c>
      <c r="FI40">
        <v>-1</v>
      </c>
      <c r="FJ40">
        <v>-1</v>
      </c>
      <c r="FK40">
        <v>-1</v>
      </c>
      <c r="FL40">
        <v>0.7</v>
      </c>
      <c r="FM40">
        <v>0.7</v>
      </c>
      <c r="FN40">
        <v>0.144043</v>
      </c>
      <c r="FO40">
        <v>4.99756</v>
      </c>
      <c r="FP40">
        <v>1.5979000000000001</v>
      </c>
      <c r="FQ40">
        <v>2.1520999999999999</v>
      </c>
      <c r="FR40">
        <v>1.5478499999999999</v>
      </c>
      <c r="FS40">
        <v>2.4719199999999999</v>
      </c>
      <c r="FT40">
        <v>40.604199999999999</v>
      </c>
      <c r="FU40">
        <v>15.8569</v>
      </c>
      <c r="FV40">
        <v>2</v>
      </c>
      <c r="FW40">
        <v>508.01499999999999</v>
      </c>
      <c r="FX40">
        <v>398.17500000000001</v>
      </c>
      <c r="FY40">
        <v>30.094799999999999</v>
      </c>
      <c r="FZ40">
        <v>36.154699999999998</v>
      </c>
      <c r="GA40">
        <v>30.0001</v>
      </c>
      <c r="GB40">
        <v>36.277999999999999</v>
      </c>
      <c r="GC40">
        <v>36.286999999999999</v>
      </c>
      <c r="GD40">
        <v>-1</v>
      </c>
      <c r="GE40">
        <v>0</v>
      </c>
      <c r="GF40">
        <v>100</v>
      </c>
      <c r="GG40">
        <v>30.098600000000001</v>
      </c>
      <c r="GH40">
        <v>432.1</v>
      </c>
      <c r="GI40">
        <v>31.890999999999998</v>
      </c>
      <c r="GJ40">
        <v>101.416</v>
      </c>
      <c r="GK40">
        <v>95.697999999999993</v>
      </c>
    </row>
    <row r="41" spans="1:193" x14ac:dyDescent="0.35">
      <c r="A41">
        <v>25</v>
      </c>
      <c r="B41">
        <v>1775533466.0999999</v>
      </c>
      <c r="C41">
        <v>1440</v>
      </c>
      <c r="D41" t="s">
        <v>392</v>
      </c>
      <c r="E41" t="s">
        <v>393</v>
      </c>
      <c r="F41">
        <v>60</v>
      </c>
      <c r="G41">
        <v>1775533458.099999</v>
      </c>
      <c r="H41">
        <f t="shared" si="0"/>
        <v>4.0089775993931362E-3</v>
      </c>
      <c r="I41">
        <f t="shared" si="1"/>
        <v>4.0089775993931358</v>
      </c>
      <c r="J41">
        <f t="shared" si="2"/>
        <v>0.14452562902045638</v>
      </c>
      <c r="K41">
        <f t="shared" si="3"/>
        <v>2.7621148387096781</v>
      </c>
      <c r="L41">
        <f t="shared" si="4"/>
        <v>0.10937253680472867</v>
      </c>
      <c r="M41">
        <f t="shared" si="5"/>
        <v>1.0978079278069756E-2</v>
      </c>
      <c r="N41">
        <f t="shared" si="6"/>
        <v>0.2772425012745679</v>
      </c>
      <c r="O41">
        <f t="shared" si="7"/>
        <v>9.2300407713482968E-2</v>
      </c>
      <c r="P41">
        <f t="shared" si="8"/>
        <v>2.3965943063223509</v>
      </c>
      <c r="Q41">
        <f t="shared" si="9"/>
        <v>9.037008554171358E-2</v>
      </c>
      <c r="R41">
        <f t="shared" si="10"/>
        <v>5.6651372881273504E-2</v>
      </c>
      <c r="S41">
        <f t="shared" si="11"/>
        <v>0.23930318729032252</v>
      </c>
      <c r="T41">
        <f t="shared" si="12"/>
        <v>29.94532494514857</v>
      </c>
      <c r="U41">
        <f t="shared" si="13"/>
        <v>31.007674193548389</v>
      </c>
      <c r="V41">
        <f t="shared" si="14"/>
        <v>4.5133527019609767</v>
      </c>
      <c r="W41">
        <f t="shared" si="15"/>
        <v>3.6033399692610728</v>
      </c>
      <c r="X41">
        <f t="shared" si="16"/>
        <v>0.16437211045106764</v>
      </c>
      <c r="Y41">
        <f t="shared" si="17"/>
        <v>4.5616597893419142</v>
      </c>
      <c r="Z41">
        <f t="shared" si="18"/>
        <v>4.3489805915099087</v>
      </c>
      <c r="AA41">
        <f t="shared" si="19"/>
        <v>-176.79591213323729</v>
      </c>
      <c r="AB41">
        <f t="shared" si="20"/>
        <v>24.143032147858833</v>
      </c>
      <c r="AC41">
        <f t="shared" si="21"/>
        <v>2.2644489030305568</v>
      </c>
      <c r="AD41">
        <f t="shared" si="22"/>
        <v>-150.14912789505757</v>
      </c>
      <c r="AE41">
        <v>4</v>
      </c>
      <c r="AF41">
        <v>1</v>
      </c>
      <c r="AG41">
        <f t="shared" si="23"/>
        <v>1</v>
      </c>
      <c r="AH41">
        <f t="shared" si="24"/>
        <v>0</v>
      </c>
      <c r="AI41">
        <f t="shared" si="25"/>
        <v>25286.706524206977</v>
      </c>
      <c r="AJ41">
        <f t="shared" si="26"/>
        <v>1.25224064516129</v>
      </c>
      <c r="AK41">
        <f t="shared" si="27"/>
        <v>1.001792516129032</v>
      </c>
      <c r="AL41">
        <f t="shared" si="28"/>
        <v>0.8</v>
      </c>
      <c r="AM41">
        <f t="shared" si="29"/>
        <v>0.19109999999999999</v>
      </c>
      <c r="AN41">
        <v>3</v>
      </c>
      <c r="AO41">
        <v>0.5</v>
      </c>
      <c r="AP41" t="s">
        <v>317</v>
      </c>
      <c r="AQ41">
        <v>2</v>
      </c>
      <c r="AR41">
        <v>1775533458.099999</v>
      </c>
      <c r="AS41">
        <v>2.7621148387096781</v>
      </c>
      <c r="AT41">
        <v>2.8554719354838709</v>
      </c>
      <c r="AU41">
        <v>1.637608387096773</v>
      </c>
      <c r="AV41">
        <v>-0.76378161290322588</v>
      </c>
      <c r="AW41">
        <v>-4.3998851612903218</v>
      </c>
      <c r="AX41">
        <v>2.948608387096773</v>
      </c>
      <c r="AY41">
        <v>500.01196774193551</v>
      </c>
      <c r="AZ41">
        <v>100.3257096774193</v>
      </c>
      <c r="BA41">
        <v>4.7561335483870967E-2</v>
      </c>
      <c r="BB41">
        <v>31.19453225806452</v>
      </c>
      <c r="BC41">
        <v>31.007674193548389</v>
      </c>
      <c r="BD41">
        <v>999.90000000000032</v>
      </c>
      <c r="BE41">
        <v>0</v>
      </c>
      <c r="BF41">
        <v>0</v>
      </c>
      <c r="BG41">
        <v>5005.7741935483873</v>
      </c>
      <c r="BH41">
        <v>1.25224064516129</v>
      </c>
      <c r="BI41">
        <v>1195.440322580645</v>
      </c>
      <c r="BJ41">
        <v>-0.1188022451612903</v>
      </c>
      <c r="BK41">
        <v>2.7411906451612911</v>
      </c>
      <c r="BL41">
        <v>2.8532938709677418</v>
      </c>
      <c r="BM41">
        <v>2.412454838709678</v>
      </c>
      <c r="BN41">
        <v>2.8554719354838709</v>
      </c>
      <c r="BO41">
        <v>-0.76378161290322588</v>
      </c>
      <c r="BP41">
        <v>0.16540435483870969</v>
      </c>
      <c r="BQ41">
        <v>-7.6626958064516137E-2</v>
      </c>
      <c r="BR41">
        <v>-16.792580645161291</v>
      </c>
      <c r="BS41">
        <v>-99.900000000000034</v>
      </c>
      <c r="BT41">
        <v>1775533489.0999999</v>
      </c>
      <c r="BU41" t="s">
        <v>394</v>
      </c>
      <c r="BV41">
        <v>1775533482.5999999</v>
      </c>
      <c r="BW41">
        <v>1775533489.0999999</v>
      </c>
      <c r="BX41">
        <v>26</v>
      </c>
      <c r="BY41">
        <v>2.5999999999999999E-2</v>
      </c>
      <c r="BZ41">
        <v>-1.0999999999999999E-2</v>
      </c>
      <c r="CA41">
        <v>7.1619999999999999</v>
      </c>
      <c r="CB41">
        <v>-1.3109999999999999</v>
      </c>
      <c r="CC41">
        <v>3</v>
      </c>
      <c r="CD41">
        <v>-1</v>
      </c>
      <c r="CE41">
        <v>0.54</v>
      </c>
      <c r="CF41">
        <v>0.02</v>
      </c>
      <c r="CG41">
        <v>2.9247509836065579</v>
      </c>
      <c r="CH41">
        <v>-0.61804213643574224</v>
      </c>
      <c r="CI41">
        <v>0.1965165922807931</v>
      </c>
      <c r="CJ41">
        <v>-1</v>
      </c>
      <c r="CK41">
        <v>500.16231147540992</v>
      </c>
      <c r="CL41">
        <v>-1.80724061343117</v>
      </c>
      <c r="CM41">
        <v>0.62196459076333344</v>
      </c>
      <c r="CN41">
        <v>-1</v>
      </c>
      <c r="CO41">
        <v>0</v>
      </c>
      <c r="CP41">
        <v>0</v>
      </c>
      <c r="CQ41" t="s">
        <v>319</v>
      </c>
      <c r="CR41">
        <v>3.1678799999999998</v>
      </c>
      <c r="CS41">
        <v>2.6688700000000001</v>
      </c>
      <c r="CT41">
        <v>-1.2693400000000001E-3</v>
      </c>
      <c r="CU41">
        <v>8.7004499999999995E-4</v>
      </c>
      <c r="CV41">
        <v>2.1069500000000001E-2</v>
      </c>
      <c r="CW41">
        <v>-6.2830000000000004E-3</v>
      </c>
      <c r="CX41">
        <v>21400</v>
      </c>
      <c r="CY41">
        <v>21761.9</v>
      </c>
      <c r="CZ41">
        <v>22910.7</v>
      </c>
      <c r="DA41">
        <v>22148</v>
      </c>
      <c r="DB41">
        <v>28937.4</v>
      </c>
      <c r="DC41">
        <v>26543.1</v>
      </c>
      <c r="DD41">
        <v>40300.9</v>
      </c>
      <c r="DE41">
        <v>36657.599999999999</v>
      </c>
      <c r="DF41">
        <v>2.0278999999999998</v>
      </c>
      <c r="DG41">
        <v>1.72098</v>
      </c>
      <c r="DH41">
        <v>-2.3770300000000001E-2</v>
      </c>
      <c r="DI41">
        <v>0</v>
      </c>
      <c r="DJ41">
        <v>31.401199999999999</v>
      </c>
      <c r="DK41">
        <v>999.9</v>
      </c>
      <c r="DL41">
        <v>72.2</v>
      </c>
      <c r="DM41">
        <v>33.6</v>
      </c>
      <c r="DN41">
        <v>37.601500000000001</v>
      </c>
      <c r="DO41">
        <v>30.7837</v>
      </c>
      <c r="DP41">
        <v>8.6859000000000002</v>
      </c>
      <c r="DQ41">
        <v>1</v>
      </c>
      <c r="DR41">
        <v>0.72948800000000003</v>
      </c>
      <c r="DS41">
        <v>1.79108</v>
      </c>
      <c r="DT41">
        <v>20.350300000000001</v>
      </c>
      <c r="DU41">
        <v>5.2093800000000003</v>
      </c>
      <c r="DV41">
        <v>11.854200000000001</v>
      </c>
      <c r="DW41">
        <v>4.9677199999999999</v>
      </c>
      <c r="DX41">
        <v>3.2930000000000001</v>
      </c>
      <c r="DY41">
        <v>894.7</v>
      </c>
      <c r="DZ41">
        <v>6</v>
      </c>
      <c r="EA41">
        <v>9999</v>
      </c>
      <c r="EB41">
        <v>116.1</v>
      </c>
      <c r="EC41">
        <v>4.9715999999999996</v>
      </c>
      <c r="ED41">
        <v>1.8721000000000001</v>
      </c>
      <c r="EE41">
        <v>1.86934</v>
      </c>
      <c r="EF41">
        <v>1.87165</v>
      </c>
      <c r="EG41">
        <v>1.8694999999999999</v>
      </c>
      <c r="EH41">
        <v>1.86833</v>
      </c>
      <c r="EI41">
        <v>1.87016</v>
      </c>
      <c r="EJ41">
        <v>1.87195</v>
      </c>
      <c r="EK41">
        <v>0</v>
      </c>
      <c r="EL41">
        <v>0</v>
      </c>
      <c r="EM41">
        <v>0</v>
      </c>
      <c r="EN41">
        <v>0</v>
      </c>
      <c r="EO41" t="s">
        <v>320</v>
      </c>
      <c r="EP41" t="s">
        <v>321</v>
      </c>
      <c r="EQ41" t="s">
        <v>322</v>
      </c>
      <c r="ER41" t="s">
        <v>322</v>
      </c>
      <c r="ES41" t="s">
        <v>322</v>
      </c>
      <c r="ET41" t="s">
        <v>322</v>
      </c>
      <c r="EU41">
        <v>0</v>
      </c>
      <c r="EV41">
        <v>100</v>
      </c>
      <c r="EW41">
        <v>100</v>
      </c>
      <c r="EX41">
        <v>7.1619999999999999</v>
      </c>
      <c r="EY41">
        <v>-1.3109999999999999</v>
      </c>
      <c r="EZ41">
        <v>7.1365550000000004</v>
      </c>
      <c r="FA41">
        <v>0</v>
      </c>
      <c r="FB41">
        <v>0</v>
      </c>
      <c r="FC41">
        <v>0</v>
      </c>
      <c r="FD41">
        <v>-1.2999347999999999</v>
      </c>
      <c r="FE41">
        <v>0</v>
      </c>
      <c r="FF41">
        <v>0</v>
      </c>
      <c r="FG41">
        <v>0</v>
      </c>
      <c r="FH41">
        <v>-1</v>
      </c>
      <c r="FI41">
        <v>-1</v>
      </c>
      <c r="FJ41">
        <v>-1</v>
      </c>
      <c r="FK41">
        <v>-1</v>
      </c>
      <c r="FL41">
        <v>0.7</v>
      </c>
      <c r="FM41">
        <v>0.6</v>
      </c>
      <c r="FN41">
        <v>0.144043</v>
      </c>
      <c r="FO41">
        <v>4.99756</v>
      </c>
      <c r="FP41">
        <v>1.5979000000000001</v>
      </c>
      <c r="FQ41">
        <v>2.1508799999999999</v>
      </c>
      <c r="FR41">
        <v>1.5478499999999999</v>
      </c>
      <c r="FS41">
        <v>2.4523899999999998</v>
      </c>
      <c r="FT41">
        <v>40.8093</v>
      </c>
      <c r="FU41">
        <v>15.8482</v>
      </c>
      <c r="FV41">
        <v>2</v>
      </c>
      <c r="FW41">
        <v>508.16300000000001</v>
      </c>
      <c r="FX41">
        <v>397.67099999999999</v>
      </c>
      <c r="FY41">
        <v>30.150300000000001</v>
      </c>
      <c r="FZ41">
        <v>36.1599</v>
      </c>
      <c r="GA41">
        <v>30.0001</v>
      </c>
      <c r="GB41">
        <v>36.303899999999999</v>
      </c>
      <c r="GC41">
        <v>36.319299999999998</v>
      </c>
      <c r="GD41">
        <v>-1</v>
      </c>
      <c r="GE41">
        <v>0</v>
      </c>
      <c r="GF41">
        <v>100</v>
      </c>
      <c r="GG41">
        <v>30.153099999999998</v>
      </c>
      <c r="GH41">
        <v>432.1</v>
      </c>
      <c r="GI41">
        <v>31.890999999999998</v>
      </c>
      <c r="GJ41">
        <v>101.41</v>
      </c>
      <c r="GK41">
        <v>95.699700000000007</v>
      </c>
    </row>
    <row r="42" spans="1:193" x14ac:dyDescent="0.35">
      <c r="A42">
        <v>26</v>
      </c>
      <c r="B42">
        <v>1775533526.0999999</v>
      </c>
      <c r="C42">
        <v>1500</v>
      </c>
      <c r="D42" t="s">
        <v>395</v>
      </c>
      <c r="E42" t="s">
        <v>396</v>
      </c>
      <c r="F42">
        <v>60</v>
      </c>
      <c r="G42">
        <v>1775533518.099999</v>
      </c>
      <c r="H42">
        <f t="shared" si="0"/>
        <v>3.7260632018910633E-3</v>
      </c>
      <c r="I42">
        <f t="shared" si="1"/>
        <v>3.7260632018910633</v>
      </c>
      <c r="J42">
        <f t="shared" si="2"/>
        <v>-2.333272138882343</v>
      </c>
      <c r="K42">
        <f t="shared" si="3"/>
        <v>5.1178130645161293</v>
      </c>
      <c r="L42">
        <f t="shared" si="4"/>
        <v>47.652129115684019</v>
      </c>
      <c r="M42">
        <f t="shared" si="5"/>
        <v>4.7829925370373756</v>
      </c>
      <c r="N42">
        <f t="shared" si="6"/>
        <v>0.51369082867435378</v>
      </c>
      <c r="O42">
        <f t="shared" si="7"/>
        <v>8.5498275299397422E-2</v>
      </c>
      <c r="P42">
        <f t="shared" si="8"/>
        <v>2.3937887549380723</v>
      </c>
      <c r="Q42">
        <f t="shared" si="9"/>
        <v>8.3837322597408975E-2</v>
      </c>
      <c r="R42">
        <f t="shared" si="10"/>
        <v>5.25448690965655E-2</v>
      </c>
      <c r="S42">
        <f t="shared" si="11"/>
        <v>0.24469393335483874</v>
      </c>
      <c r="T42">
        <f t="shared" si="12"/>
        <v>30.043832767841625</v>
      </c>
      <c r="U42">
        <f t="shared" si="13"/>
        <v>31.0070935483871</v>
      </c>
      <c r="V42">
        <f t="shared" si="14"/>
        <v>4.5132032891043625</v>
      </c>
      <c r="W42">
        <f t="shared" si="15"/>
        <v>3.4172013860552832</v>
      </c>
      <c r="X42">
        <f t="shared" si="16"/>
        <v>0.15598253727929223</v>
      </c>
      <c r="Y42">
        <f t="shared" si="17"/>
        <v>4.5646281754366802</v>
      </c>
      <c r="Z42">
        <f t="shared" si="18"/>
        <v>4.3572207518250705</v>
      </c>
      <c r="AA42">
        <f t="shared" si="19"/>
        <v>-164.31938720339588</v>
      </c>
      <c r="AB42">
        <f t="shared" si="20"/>
        <v>25.664249204619875</v>
      </c>
      <c r="AC42">
        <f t="shared" si="21"/>
        <v>2.4100786455501599</v>
      </c>
      <c r="AD42">
        <f t="shared" si="22"/>
        <v>-136.000365419871</v>
      </c>
      <c r="AE42">
        <v>4</v>
      </c>
      <c r="AF42">
        <v>1</v>
      </c>
      <c r="AG42">
        <f t="shared" si="23"/>
        <v>1</v>
      </c>
      <c r="AH42">
        <f t="shared" si="24"/>
        <v>0</v>
      </c>
      <c r="AI42">
        <f t="shared" si="25"/>
        <v>25243.651802802626</v>
      </c>
      <c r="AJ42">
        <f t="shared" si="26"/>
        <v>1.280449677419355</v>
      </c>
      <c r="AK42">
        <f t="shared" si="27"/>
        <v>1.024359741935484</v>
      </c>
      <c r="AL42">
        <f t="shared" si="28"/>
        <v>0.8</v>
      </c>
      <c r="AM42">
        <f t="shared" si="29"/>
        <v>0.19109999999999999</v>
      </c>
      <c r="AN42">
        <v>3</v>
      </c>
      <c r="AO42">
        <v>0.5</v>
      </c>
      <c r="AP42" t="s">
        <v>317</v>
      </c>
      <c r="AQ42">
        <v>2</v>
      </c>
      <c r="AR42">
        <v>1775533518.099999</v>
      </c>
      <c r="AS42">
        <v>5.1178130645161293</v>
      </c>
      <c r="AT42">
        <v>3.7292761290322578</v>
      </c>
      <c r="AU42">
        <v>1.554027096774194</v>
      </c>
      <c r="AV42">
        <v>-0.67816106451612901</v>
      </c>
      <c r="AW42">
        <v>-2.024186935483872</v>
      </c>
      <c r="AX42">
        <v>2.877027096774194</v>
      </c>
      <c r="AY42">
        <v>499.99451612903232</v>
      </c>
      <c r="AZ42">
        <v>100.3252903225806</v>
      </c>
      <c r="BA42">
        <v>4.782260645161291E-2</v>
      </c>
      <c r="BB42">
        <v>31.205958064516128</v>
      </c>
      <c r="BC42">
        <v>31.0070935483871</v>
      </c>
      <c r="BD42">
        <v>999.90000000000032</v>
      </c>
      <c r="BE42">
        <v>0</v>
      </c>
      <c r="BF42">
        <v>0</v>
      </c>
      <c r="BG42">
        <v>4998.5806451612907</v>
      </c>
      <c r="BH42">
        <v>1.280449677419355</v>
      </c>
      <c r="BI42">
        <v>1258.2087096774189</v>
      </c>
      <c r="BJ42">
        <v>1.4089313548387099</v>
      </c>
      <c r="BK42">
        <v>5.146267096774193</v>
      </c>
      <c r="BL42">
        <v>3.7267477419354842</v>
      </c>
      <c r="BM42">
        <v>2.2438993548387098</v>
      </c>
      <c r="BN42">
        <v>3.7292761290322578</v>
      </c>
      <c r="BO42">
        <v>-0.67816106451612901</v>
      </c>
      <c r="BP42">
        <v>0.1570830322580645</v>
      </c>
      <c r="BQ42">
        <v>-6.8036638709677411E-2</v>
      </c>
      <c r="BR42">
        <v>-17.406045161290319</v>
      </c>
      <c r="BS42">
        <v>-99.900000000000034</v>
      </c>
      <c r="BT42">
        <v>1775533547.0999999</v>
      </c>
      <c r="BU42" t="s">
        <v>397</v>
      </c>
      <c r="BV42">
        <v>1775533543.0999999</v>
      </c>
      <c r="BW42">
        <v>1775533547.0999999</v>
      </c>
      <c r="BX42">
        <v>27</v>
      </c>
      <c r="BY42">
        <v>-2.1000000000000001E-2</v>
      </c>
      <c r="BZ42">
        <v>-1.0999999999999999E-2</v>
      </c>
      <c r="CA42">
        <v>7.1420000000000003</v>
      </c>
      <c r="CB42">
        <v>-1.323</v>
      </c>
      <c r="CC42">
        <v>3</v>
      </c>
      <c r="CD42">
        <v>-1</v>
      </c>
      <c r="CE42">
        <v>0.15</v>
      </c>
      <c r="CF42">
        <v>0.03</v>
      </c>
      <c r="CG42">
        <v>5.7081555737704921</v>
      </c>
      <c r="CH42">
        <v>-13.28275621364358</v>
      </c>
      <c r="CI42">
        <v>2.6222144883644831</v>
      </c>
      <c r="CJ42">
        <v>-1</v>
      </c>
      <c r="CK42">
        <v>500.15565573770482</v>
      </c>
      <c r="CL42">
        <v>-1.860450555261459</v>
      </c>
      <c r="CM42">
        <v>0.61881809306382185</v>
      </c>
      <c r="CN42">
        <v>-1</v>
      </c>
      <c r="CO42">
        <v>0</v>
      </c>
      <c r="CP42">
        <v>0</v>
      </c>
      <c r="CQ42" t="s">
        <v>319</v>
      </c>
      <c r="CR42">
        <v>3.1677599999999999</v>
      </c>
      <c r="CS42">
        <v>2.6691199999999999</v>
      </c>
      <c r="CT42">
        <v>-8.7007899999999995E-4</v>
      </c>
      <c r="CU42">
        <v>1.07328E-3</v>
      </c>
      <c r="CV42">
        <v>2.0550300000000001E-2</v>
      </c>
      <c r="CW42">
        <v>-5.5501300000000003E-3</v>
      </c>
      <c r="CX42">
        <v>21390.6</v>
      </c>
      <c r="CY42">
        <v>21758.1</v>
      </c>
      <c r="CZ42">
        <v>22909.7</v>
      </c>
      <c r="DA42">
        <v>22148.6</v>
      </c>
      <c r="DB42">
        <v>28952</v>
      </c>
      <c r="DC42">
        <v>26524.400000000001</v>
      </c>
      <c r="DD42">
        <v>40299.800000000003</v>
      </c>
      <c r="DE42">
        <v>36658.6</v>
      </c>
      <c r="DF42">
        <v>2.0270199999999998</v>
      </c>
      <c r="DG42">
        <v>1.7193000000000001</v>
      </c>
      <c r="DH42">
        <v>-2.6875699999999999E-2</v>
      </c>
      <c r="DI42">
        <v>0</v>
      </c>
      <c r="DJ42">
        <v>31.444099999999999</v>
      </c>
      <c r="DK42">
        <v>999.9</v>
      </c>
      <c r="DL42">
        <v>71.7</v>
      </c>
      <c r="DM42">
        <v>33.799999999999997</v>
      </c>
      <c r="DN42">
        <v>37.759700000000002</v>
      </c>
      <c r="DO42">
        <v>30.843699999999998</v>
      </c>
      <c r="DP42">
        <v>8.8381399999999992</v>
      </c>
      <c r="DQ42">
        <v>1</v>
      </c>
      <c r="DR42">
        <v>0.73048800000000003</v>
      </c>
      <c r="DS42">
        <v>1.9091199999999999</v>
      </c>
      <c r="DT42">
        <v>20.348500000000001</v>
      </c>
      <c r="DU42">
        <v>5.2092599999999996</v>
      </c>
      <c r="DV42">
        <v>11.854200000000001</v>
      </c>
      <c r="DW42">
        <v>4.9676</v>
      </c>
      <c r="DX42">
        <v>3.2930000000000001</v>
      </c>
      <c r="DY42">
        <v>894.7</v>
      </c>
      <c r="DZ42">
        <v>6</v>
      </c>
      <c r="EA42">
        <v>9999</v>
      </c>
      <c r="EB42">
        <v>116.2</v>
      </c>
      <c r="EC42">
        <v>4.9716399999999998</v>
      </c>
      <c r="ED42">
        <v>1.8721000000000001</v>
      </c>
      <c r="EE42">
        <v>1.86934</v>
      </c>
      <c r="EF42">
        <v>1.8716600000000001</v>
      </c>
      <c r="EG42">
        <v>1.8694900000000001</v>
      </c>
      <c r="EH42">
        <v>1.8683099999999999</v>
      </c>
      <c r="EI42">
        <v>1.8701700000000001</v>
      </c>
      <c r="EJ42">
        <v>1.87195</v>
      </c>
      <c r="EK42">
        <v>0</v>
      </c>
      <c r="EL42">
        <v>0</v>
      </c>
      <c r="EM42">
        <v>0</v>
      </c>
      <c r="EN42">
        <v>0</v>
      </c>
      <c r="EO42" t="s">
        <v>320</v>
      </c>
      <c r="EP42" t="s">
        <v>321</v>
      </c>
      <c r="EQ42" t="s">
        <v>322</v>
      </c>
      <c r="ER42" t="s">
        <v>322</v>
      </c>
      <c r="ES42" t="s">
        <v>322</v>
      </c>
      <c r="ET42" t="s">
        <v>322</v>
      </c>
      <c r="EU42">
        <v>0</v>
      </c>
      <c r="EV42">
        <v>100</v>
      </c>
      <c r="EW42">
        <v>100</v>
      </c>
      <c r="EX42">
        <v>7.1420000000000003</v>
      </c>
      <c r="EY42">
        <v>-1.323</v>
      </c>
      <c r="EZ42">
        <v>7.1623928571428586</v>
      </c>
      <c r="FA42">
        <v>0</v>
      </c>
      <c r="FB42">
        <v>0</v>
      </c>
      <c r="FC42">
        <v>0</v>
      </c>
      <c r="FD42">
        <v>-1.3112883</v>
      </c>
      <c r="FE42">
        <v>0</v>
      </c>
      <c r="FF42">
        <v>0</v>
      </c>
      <c r="FG42">
        <v>0</v>
      </c>
      <c r="FH42">
        <v>-1</v>
      </c>
      <c r="FI42">
        <v>-1</v>
      </c>
      <c r="FJ42">
        <v>-1</v>
      </c>
      <c r="FK42">
        <v>-1</v>
      </c>
      <c r="FL42">
        <v>0.7</v>
      </c>
      <c r="FM42">
        <v>0.6</v>
      </c>
      <c r="FN42">
        <v>0.144043</v>
      </c>
      <c r="FO42">
        <v>4.99756</v>
      </c>
      <c r="FP42">
        <v>1.5979000000000001</v>
      </c>
      <c r="FQ42">
        <v>2.1496599999999999</v>
      </c>
      <c r="FR42">
        <v>1.5478499999999999</v>
      </c>
      <c r="FS42">
        <v>2.4157700000000002</v>
      </c>
      <c r="FT42">
        <v>41.0154</v>
      </c>
      <c r="FU42">
        <v>15.8307</v>
      </c>
      <c r="FV42">
        <v>2</v>
      </c>
      <c r="FW42">
        <v>507.81400000000002</v>
      </c>
      <c r="FX42">
        <v>396.87799999999999</v>
      </c>
      <c r="FY42">
        <v>30.081099999999999</v>
      </c>
      <c r="FZ42">
        <v>36.167400000000001</v>
      </c>
      <c r="GA42">
        <v>30</v>
      </c>
      <c r="GB42">
        <v>36.330500000000001</v>
      </c>
      <c r="GC42">
        <v>36.3523</v>
      </c>
      <c r="GD42">
        <v>-1</v>
      </c>
      <c r="GE42">
        <v>0</v>
      </c>
      <c r="GF42">
        <v>100</v>
      </c>
      <c r="GG42">
        <v>30.0778</v>
      </c>
      <c r="GH42">
        <v>432.1</v>
      </c>
      <c r="GI42">
        <v>31.890999999999998</v>
      </c>
      <c r="GJ42">
        <v>101.407</v>
      </c>
      <c r="GK42">
        <v>95.702399999999997</v>
      </c>
    </row>
    <row r="43" spans="1:193" x14ac:dyDescent="0.35">
      <c r="A43">
        <v>27</v>
      </c>
      <c r="B43">
        <v>1775533586.0999999</v>
      </c>
      <c r="C43">
        <v>1560</v>
      </c>
      <c r="D43" t="s">
        <v>398</v>
      </c>
      <c r="E43" t="s">
        <v>399</v>
      </c>
      <c r="F43">
        <v>60</v>
      </c>
      <c r="G43">
        <v>1775533578.099999</v>
      </c>
      <c r="H43">
        <f t="shared" si="0"/>
        <v>3.3165277367346378E-3</v>
      </c>
      <c r="I43">
        <f t="shared" si="1"/>
        <v>3.316527736734638</v>
      </c>
      <c r="J43">
        <f t="shared" si="2"/>
        <v>-0.24239379403879491</v>
      </c>
      <c r="K43">
        <f t="shared" si="3"/>
        <v>3.6273880645161292</v>
      </c>
      <c r="L43">
        <f t="shared" si="4"/>
        <v>8.3993745439234662</v>
      </c>
      <c r="M43">
        <f t="shared" si="5"/>
        <v>0.84306777144679279</v>
      </c>
      <c r="N43">
        <f t="shared" si="6"/>
        <v>0.36409067791085914</v>
      </c>
      <c r="O43">
        <f t="shared" si="7"/>
        <v>7.5705825993953285E-2</v>
      </c>
      <c r="P43">
        <f t="shared" si="8"/>
        <v>2.3944248666054508</v>
      </c>
      <c r="Q43">
        <f t="shared" si="9"/>
        <v>7.4400765197619359E-2</v>
      </c>
      <c r="R43">
        <f t="shared" si="10"/>
        <v>4.6615858848664635E-2</v>
      </c>
      <c r="S43">
        <f t="shared" si="11"/>
        <v>0.24392774564516126</v>
      </c>
      <c r="T43">
        <f t="shared" si="12"/>
        <v>30.176190141900452</v>
      </c>
      <c r="U43">
        <f t="shared" si="13"/>
        <v>30.995738709677418</v>
      </c>
      <c r="V43">
        <f t="shared" si="14"/>
        <v>4.5102823034758828</v>
      </c>
      <c r="W43">
        <f t="shared" si="15"/>
        <v>3.0587891864009555</v>
      </c>
      <c r="X43">
        <f t="shared" si="16"/>
        <v>0.13965563922596874</v>
      </c>
      <c r="Y43">
        <f t="shared" si="17"/>
        <v>4.5657163902259938</v>
      </c>
      <c r="Z43">
        <f t="shared" si="18"/>
        <v>4.3706266642499143</v>
      </c>
      <c r="AA43">
        <f t="shared" si="19"/>
        <v>-146.25887318999753</v>
      </c>
      <c r="AB43">
        <f t="shared" si="20"/>
        <v>27.677350070080212</v>
      </c>
      <c r="AC43">
        <f t="shared" si="21"/>
        <v>2.5983426337484978</v>
      </c>
      <c r="AD43">
        <f t="shared" si="22"/>
        <v>-115.73925274052367</v>
      </c>
      <c r="AE43">
        <v>4</v>
      </c>
      <c r="AF43">
        <v>1</v>
      </c>
      <c r="AG43">
        <f t="shared" si="23"/>
        <v>1</v>
      </c>
      <c r="AH43">
        <f t="shared" si="24"/>
        <v>0</v>
      </c>
      <c r="AI43">
        <f t="shared" si="25"/>
        <v>25252.861557335073</v>
      </c>
      <c r="AJ43">
        <f t="shared" si="26"/>
        <v>1.2764403225806451</v>
      </c>
      <c r="AK43">
        <f t="shared" si="27"/>
        <v>1.021152258064516</v>
      </c>
      <c r="AL43">
        <f t="shared" si="28"/>
        <v>0.8</v>
      </c>
      <c r="AM43">
        <f t="shared" si="29"/>
        <v>0.19109999999999999</v>
      </c>
      <c r="AN43">
        <v>3</v>
      </c>
      <c r="AO43">
        <v>0.5</v>
      </c>
      <c r="AP43" t="s">
        <v>317</v>
      </c>
      <c r="AQ43">
        <v>2</v>
      </c>
      <c r="AR43">
        <v>1775533578.099999</v>
      </c>
      <c r="AS43">
        <v>3.6273880645161292</v>
      </c>
      <c r="AT43">
        <v>3.489169354838709</v>
      </c>
      <c r="AU43">
        <v>1.3913709677419359</v>
      </c>
      <c r="AV43">
        <v>-0.59578606451612892</v>
      </c>
      <c r="AW43">
        <v>-3.5076119354838711</v>
      </c>
      <c r="AX43">
        <v>2.7243709677419359</v>
      </c>
      <c r="AY43">
        <v>499.99770967741938</v>
      </c>
      <c r="AZ43">
        <v>100.3250967741935</v>
      </c>
      <c r="BA43">
        <v>4.7587767741935488E-2</v>
      </c>
      <c r="BB43">
        <v>31.21014516129032</v>
      </c>
      <c r="BC43">
        <v>30.995738709677418</v>
      </c>
      <c r="BD43">
        <v>999.90000000000032</v>
      </c>
      <c r="BE43">
        <v>0</v>
      </c>
      <c r="BF43">
        <v>0</v>
      </c>
      <c r="BG43">
        <v>5000.2258064516127</v>
      </c>
      <c r="BH43">
        <v>1.2764403225806451</v>
      </c>
      <c r="BI43">
        <v>1239.9406451612899</v>
      </c>
      <c r="BJ43">
        <v>0.14502863548387099</v>
      </c>
      <c r="BK43">
        <v>3.639300322580644</v>
      </c>
      <c r="BL43">
        <v>3.4870929032258071</v>
      </c>
      <c r="BM43">
        <v>1.9975154838709679</v>
      </c>
      <c r="BN43">
        <v>3.489169354838709</v>
      </c>
      <c r="BO43">
        <v>-0.59578606451612892</v>
      </c>
      <c r="BP43">
        <v>0.14062858064516129</v>
      </c>
      <c r="BQ43">
        <v>-5.977225806451613E-2</v>
      </c>
      <c r="BR43">
        <v>-18.7100935483871</v>
      </c>
      <c r="BS43">
        <v>-99.900000000000034</v>
      </c>
      <c r="BT43">
        <v>1775533621.0999999</v>
      </c>
      <c r="BU43" t="s">
        <v>400</v>
      </c>
      <c r="BV43">
        <v>1775533621.0999999</v>
      </c>
      <c r="BW43">
        <v>1775533607.5999999</v>
      </c>
      <c r="BX43">
        <v>28</v>
      </c>
      <c r="BY43">
        <v>-7.0000000000000001E-3</v>
      </c>
      <c r="BZ43">
        <v>-0.01</v>
      </c>
      <c r="CA43">
        <v>7.1349999999999998</v>
      </c>
      <c r="CB43">
        <v>-1.333</v>
      </c>
      <c r="CC43">
        <v>4</v>
      </c>
      <c r="CD43">
        <v>-1</v>
      </c>
      <c r="CE43">
        <v>0.37</v>
      </c>
      <c r="CF43">
        <v>0.04</v>
      </c>
      <c r="CG43">
        <v>3.6526380000000001</v>
      </c>
      <c r="CH43">
        <v>-1.7570553375937741</v>
      </c>
      <c r="CI43">
        <v>0.41619801533965373</v>
      </c>
      <c r="CJ43">
        <v>-1</v>
      </c>
      <c r="CK43">
        <v>500.00498333333331</v>
      </c>
      <c r="CL43">
        <v>-0.17915976660150809</v>
      </c>
      <c r="CM43">
        <v>0.10515868828690079</v>
      </c>
      <c r="CN43">
        <v>-1</v>
      </c>
      <c r="CO43">
        <v>0</v>
      </c>
      <c r="CP43">
        <v>0</v>
      </c>
      <c r="CQ43" t="s">
        <v>319</v>
      </c>
      <c r="CR43">
        <v>3.1678500000000001</v>
      </c>
      <c r="CS43">
        <v>2.6687400000000001</v>
      </c>
      <c r="CT43">
        <v>-1.02359E-3</v>
      </c>
      <c r="CU43">
        <v>9.9410899999999996E-4</v>
      </c>
      <c r="CV43">
        <v>1.94825E-2</v>
      </c>
      <c r="CW43">
        <v>-4.8354799999999996E-3</v>
      </c>
      <c r="CX43">
        <v>21391.7</v>
      </c>
      <c r="CY43">
        <v>21758.6</v>
      </c>
      <c r="CZ43">
        <v>22907.599999999999</v>
      </c>
      <c r="DA43">
        <v>22147.5</v>
      </c>
      <c r="DB43">
        <v>28980.9</v>
      </c>
      <c r="DC43">
        <v>26503.7</v>
      </c>
      <c r="DD43">
        <v>40296.199999999997</v>
      </c>
      <c r="DE43">
        <v>36656.199999999997</v>
      </c>
      <c r="DF43">
        <v>2.0266199999999999</v>
      </c>
      <c r="DG43">
        <v>1.7168000000000001</v>
      </c>
      <c r="DH43">
        <v>-3.1512999999999999E-2</v>
      </c>
      <c r="DI43">
        <v>0</v>
      </c>
      <c r="DJ43">
        <v>31.502700000000001</v>
      </c>
      <c r="DK43">
        <v>999.9</v>
      </c>
      <c r="DL43">
        <v>71.099999999999994</v>
      </c>
      <c r="DM43">
        <v>34</v>
      </c>
      <c r="DN43">
        <v>37.864400000000003</v>
      </c>
      <c r="DO43">
        <v>30.633700000000001</v>
      </c>
      <c r="DP43">
        <v>8.8742000000000001</v>
      </c>
      <c r="DQ43">
        <v>1</v>
      </c>
      <c r="DR43">
        <v>0.73516099999999995</v>
      </c>
      <c r="DS43">
        <v>2.0992899999999999</v>
      </c>
      <c r="DT43">
        <v>20.345099999999999</v>
      </c>
      <c r="DU43">
        <v>5.2056699999999996</v>
      </c>
      <c r="DV43">
        <v>11.854200000000001</v>
      </c>
      <c r="DW43">
        <v>4.9669999999999996</v>
      </c>
      <c r="DX43">
        <v>3.2923200000000001</v>
      </c>
      <c r="DY43">
        <v>894.7</v>
      </c>
      <c r="DZ43">
        <v>6</v>
      </c>
      <c r="EA43">
        <v>9999</v>
      </c>
      <c r="EB43">
        <v>116.2</v>
      </c>
      <c r="EC43">
        <v>4.9716199999999997</v>
      </c>
      <c r="ED43">
        <v>1.8721000000000001</v>
      </c>
      <c r="EE43">
        <v>1.8693500000000001</v>
      </c>
      <c r="EF43">
        <v>1.8716699999999999</v>
      </c>
      <c r="EG43">
        <v>1.8694900000000001</v>
      </c>
      <c r="EH43">
        <v>1.86832</v>
      </c>
      <c r="EI43">
        <v>1.87018</v>
      </c>
      <c r="EJ43">
        <v>1.87195</v>
      </c>
      <c r="EK43">
        <v>0</v>
      </c>
      <c r="EL43">
        <v>0</v>
      </c>
      <c r="EM43">
        <v>0</v>
      </c>
      <c r="EN43">
        <v>0</v>
      </c>
      <c r="EO43" t="s">
        <v>320</v>
      </c>
      <c r="EP43" t="s">
        <v>321</v>
      </c>
      <c r="EQ43" t="s">
        <v>322</v>
      </c>
      <c r="ER43" t="s">
        <v>322</v>
      </c>
      <c r="ES43" t="s">
        <v>322</v>
      </c>
      <c r="ET43" t="s">
        <v>322</v>
      </c>
      <c r="EU43">
        <v>0</v>
      </c>
      <c r="EV43">
        <v>100</v>
      </c>
      <c r="EW43">
        <v>100</v>
      </c>
      <c r="EX43">
        <v>7.1349999999999998</v>
      </c>
      <c r="EY43">
        <v>-1.333</v>
      </c>
      <c r="EZ43">
        <v>7.1418110000000006</v>
      </c>
      <c r="FA43">
        <v>0</v>
      </c>
      <c r="FB43">
        <v>0</v>
      </c>
      <c r="FC43">
        <v>0</v>
      </c>
      <c r="FD43">
        <v>-1.3226415499999999</v>
      </c>
      <c r="FE43">
        <v>0</v>
      </c>
      <c r="FF43">
        <v>0</v>
      </c>
      <c r="FG43">
        <v>0</v>
      </c>
      <c r="FH43">
        <v>-1</v>
      </c>
      <c r="FI43">
        <v>-1</v>
      </c>
      <c r="FJ43">
        <v>-1</v>
      </c>
      <c r="FK43">
        <v>-1</v>
      </c>
      <c r="FL43">
        <v>0.7</v>
      </c>
      <c r="FM43">
        <v>0.7</v>
      </c>
      <c r="FN43">
        <v>0.144043</v>
      </c>
      <c r="FO43">
        <v>4.99756</v>
      </c>
      <c r="FP43">
        <v>1.5979000000000001</v>
      </c>
      <c r="FQ43">
        <v>2.1484399999999999</v>
      </c>
      <c r="FR43">
        <v>1.5478499999999999</v>
      </c>
      <c r="FS43">
        <v>2.4011200000000001</v>
      </c>
      <c r="FT43">
        <v>41.222299999999997</v>
      </c>
      <c r="FU43">
        <v>15.8307</v>
      </c>
      <c r="FV43">
        <v>2</v>
      </c>
      <c r="FW43">
        <v>507.887</v>
      </c>
      <c r="FX43">
        <v>395.70299999999997</v>
      </c>
      <c r="FY43">
        <v>29.910299999999999</v>
      </c>
      <c r="FZ43">
        <v>36.205800000000004</v>
      </c>
      <c r="GA43">
        <v>30.000399999999999</v>
      </c>
      <c r="GB43">
        <v>36.3752</v>
      </c>
      <c r="GC43">
        <v>36.402000000000001</v>
      </c>
      <c r="GD43">
        <v>-1</v>
      </c>
      <c r="GE43">
        <v>0</v>
      </c>
      <c r="GF43">
        <v>100</v>
      </c>
      <c r="GG43">
        <v>29.908999999999999</v>
      </c>
      <c r="GH43">
        <v>432.1</v>
      </c>
      <c r="GI43">
        <v>31.890999999999998</v>
      </c>
      <c r="GJ43">
        <v>101.398</v>
      </c>
      <c r="GK43">
        <v>95.696700000000007</v>
      </c>
    </row>
    <row r="44" spans="1:193" x14ac:dyDescent="0.35">
      <c r="A44">
        <v>28</v>
      </c>
      <c r="B44">
        <v>1775533646.0999999</v>
      </c>
      <c r="C44">
        <v>1620</v>
      </c>
      <c r="D44" t="s">
        <v>401</v>
      </c>
      <c r="E44" t="s">
        <v>402</v>
      </c>
      <c r="F44">
        <v>60</v>
      </c>
      <c r="G44">
        <v>1775533638.099999</v>
      </c>
      <c r="H44">
        <f t="shared" si="0"/>
        <v>2.913930358632375E-3</v>
      </c>
      <c r="I44">
        <f t="shared" si="1"/>
        <v>2.913930358632375</v>
      </c>
      <c r="J44">
        <f t="shared" si="2"/>
        <v>-0.52007882004707473</v>
      </c>
      <c r="K44">
        <f t="shared" si="3"/>
        <v>3.715915161290321</v>
      </c>
      <c r="L44">
        <f t="shared" si="4"/>
        <v>15.755237493234487</v>
      </c>
      <c r="M44">
        <f t="shared" si="5"/>
        <v>1.5813845539425073</v>
      </c>
      <c r="N44">
        <f t="shared" si="6"/>
        <v>0.37297380267029639</v>
      </c>
      <c r="O44">
        <f t="shared" si="7"/>
        <v>6.6206497041403647E-2</v>
      </c>
      <c r="P44">
        <f t="shared" si="8"/>
        <v>2.3925515823866075</v>
      </c>
      <c r="Q44">
        <f t="shared" si="9"/>
        <v>6.5205295048713696E-2</v>
      </c>
      <c r="R44">
        <f t="shared" si="10"/>
        <v>4.0842002155189294E-2</v>
      </c>
      <c r="S44">
        <f t="shared" si="11"/>
        <v>0.24740311490322572</v>
      </c>
      <c r="T44">
        <f t="shared" si="12"/>
        <v>30.297594370126649</v>
      </c>
      <c r="U44">
        <f t="shared" si="13"/>
        <v>30.979593548387101</v>
      </c>
      <c r="V44">
        <f t="shared" si="14"/>
        <v>4.506131862320796</v>
      </c>
      <c r="W44">
        <f t="shared" si="15"/>
        <v>2.7189215325642615</v>
      </c>
      <c r="X44">
        <f t="shared" si="16"/>
        <v>0.12411216842811604</v>
      </c>
      <c r="Y44">
        <f t="shared" si="17"/>
        <v>4.5647572738542301</v>
      </c>
      <c r="Z44">
        <f t="shared" si="18"/>
        <v>4.3820196938926799</v>
      </c>
      <c r="AA44">
        <f t="shared" si="19"/>
        <v>-128.50432881568773</v>
      </c>
      <c r="AB44">
        <f t="shared" si="20"/>
        <v>29.262211907907147</v>
      </c>
      <c r="AC44">
        <f t="shared" si="21"/>
        <v>2.7490110307112299</v>
      </c>
      <c r="AD44">
        <f t="shared" si="22"/>
        <v>-96.245702762166133</v>
      </c>
      <c r="AE44">
        <v>5</v>
      </c>
      <c r="AF44">
        <v>1</v>
      </c>
      <c r="AG44">
        <f t="shared" si="23"/>
        <v>1</v>
      </c>
      <c r="AH44">
        <f t="shared" si="24"/>
        <v>0</v>
      </c>
      <c r="AI44">
        <f t="shared" si="25"/>
        <v>25225.066271479536</v>
      </c>
      <c r="AJ44">
        <f t="shared" si="26"/>
        <v>1.2946264516129029</v>
      </c>
      <c r="AK44">
        <f t="shared" si="27"/>
        <v>1.0357011612903224</v>
      </c>
      <c r="AL44">
        <f t="shared" si="28"/>
        <v>0.8</v>
      </c>
      <c r="AM44">
        <f t="shared" si="29"/>
        <v>0.19109999999999999</v>
      </c>
      <c r="AN44">
        <v>3</v>
      </c>
      <c r="AO44">
        <v>0.5</v>
      </c>
      <c r="AP44" t="s">
        <v>317</v>
      </c>
      <c r="AQ44">
        <v>2</v>
      </c>
      <c r="AR44">
        <v>1775533638.099999</v>
      </c>
      <c r="AS44">
        <v>3.715915161290321</v>
      </c>
      <c r="AT44">
        <v>3.4103638709677422</v>
      </c>
      <c r="AU44">
        <v>1.236521935483871</v>
      </c>
      <c r="AV44">
        <v>-0.5096786774193548</v>
      </c>
      <c r="AW44">
        <v>-3.3870848387096779</v>
      </c>
      <c r="AX44">
        <v>2.579521935483871</v>
      </c>
      <c r="AY44">
        <v>499.99877419354851</v>
      </c>
      <c r="AZ44">
        <v>100.3245806451613</v>
      </c>
      <c r="BA44">
        <v>4.7410232258064518E-2</v>
      </c>
      <c r="BB44">
        <v>31.206454838709679</v>
      </c>
      <c r="BC44">
        <v>30.979593548387101</v>
      </c>
      <c r="BD44">
        <v>999.90000000000032</v>
      </c>
      <c r="BE44">
        <v>0</v>
      </c>
      <c r="BF44">
        <v>0</v>
      </c>
      <c r="BG44">
        <v>4995.4354838709678</v>
      </c>
      <c r="BH44">
        <v>1.2946264516129029</v>
      </c>
      <c r="BI44">
        <v>1265.5341935483871</v>
      </c>
      <c r="BJ44">
        <v>0.33767784193548389</v>
      </c>
      <c r="BK44">
        <v>3.7527212903225808</v>
      </c>
      <c r="BL44">
        <v>3.4086258064516128</v>
      </c>
      <c r="BM44">
        <v>1.7566451612903231</v>
      </c>
      <c r="BN44">
        <v>3.4103638709677422</v>
      </c>
      <c r="BO44">
        <v>-0.5096786774193548</v>
      </c>
      <c r="BP44">
        <v>0.12510125806451611</v>
      </c>
      <c r="BQ44">
        <v>-5.1133283870967737E-2</v>
      </c>
      <c r="BR44">
        <v>-20.072083870967749</v>
      </c>
      <c r="BS44">
        <v>-99.900000000000034</v>
      </c>
      <c r="BT44">
        <v>1775533666.0999999</v>
      </c>
      <c r="BU44" t="s">
        <v>403</v>
      </c>
      <c r="BV44">
        <v>1775533663.0999999</v>
      </c>
      <c r="BW44">
        <v>1775533666.0999999</v>
      </c>
      <c r="BX44">
        <v>29</v>
      </c>
      <c r="BY44">
        <v>-3.2000000000000001E-2</v>
      </c>
      <c r="BZ44">
        <v>-0.01</v>
      </c>
      <c r="CA44">
        <v>7.1029999999999998</v>
      </c>
      <c r="CB44">
        <v>-1.343</v>
      </c>
      <c r="CC44">
        <v>3</v>
      </c>
      <c r="CD44">
        <v>0</v>
      </c>
      <c r="CE44">
        <v>0.22</v>
      </c>
      <c r="CF44">
        <v>0.03</v>
      </c>
      <c r="CG44">
        <v>3.4716089999999999</v>
      </c>
      <c r="CH44">
        <v>-0.59311835509862798</v>
      </c>
      <c r="CI44">
        <v>0.20533642199002761</v>
      </c>
      <c r="CJ44">
        <v>-1</v>
      </c>
      <c r="CK44">
        <v>500.95299999999992</v>
      </c>
      <c r="CL44">
        <v>-3.6470797443735772</v>
      </c>
      <c r="CM44">
        <v>1.852242226779929</v>
      </c>
      <c r="CN44">
        <v>-1</v>
      </c>
      <c r="CO44">
        <v>0</v>
      </c>
      <c r="CP44">
        <v>0</v>
      </c>
      <c r="CQ44" t="s">
        <v>319</v>
      </c>
      <c r="CR44">
        <v>3.1678199999999999</v>
      </c>
      <c r="CS44">
        <v>2.6692499999999999</v>
      </c>
      <c r="CT44">
        <v>-1.0176E-3</v>
      </c>
      <c r="CU44">
        <v>8.9297599999999997E-4</v>
      </c>
      <c r="CV44">
        <v>1.8519000000000001E-2</v>
      </c>
      <c r="CW44">
        <v>-4.12226E-3</v>
      </c>
      <c r="CX44">
        <v>21388.400000000001</v>
      </c>
      <c r="CY44">
        <v>21758.9</v>
      </c>
      <c r="CZ44">
        <v>22904.400000000001</v>
      </c>
      <c r="DA44">
        <v>22145.7</v>
      </c>
      <c r="DB44">
        <v>29005.9</v>
      </c>
      <c r="DC44">
        <v>26482.5</v>
      </c>
      <c r="DD44">
        <v>40291.4</v>
      </c>
      <c r="DE44">
        <v>36653.1</v>
      </c>
      <c r="DF44">
        <v>2.0243000000000002</v>
      </c>
      <c r="DG44">
        <v>1.7141</v>
      </c>
      <c r="DH44">
        <v>-3.7288700000000001E-2</v>
      </c>
      <c r="DI44">
        <v>0</v>
      </c>
      <c r="DJ44">
        <v>31.586400000000001</v>
      </c>
      <c r="DK44">
        <v>999.9</v>
      </c>
      <c r="DL44">
        <v>70.599999999999994</v>
      </c>
      <c r="DM44">
        <v>34.299999999999997</v>
      </c>
      <c r="DN44">
        <v>38.232700000000001</v>
      </c>
      <c r="DO44">
        <v>30.873699999999999</v>
      </c>
      <c r="DP44">
        <v>8.8261199999999995</v>
      </c>
      <c r="DQ44">
        <v>1</v>
      </c>
      <c r="DR44">
        <v>0.74057300000000004</v>
      </c>
      <c r="DS44">
        <v>2.1973799999999999</v>
      </c>
      <c r="DT44">
        <v>20.3446</v>
      </c>
      <c r="DU44">
        <v>5.20878</v>
      </c>
      <c r="DV44">
        <v>11.854200000000001</v>
      </c>
      <c r="DW44">
        <v>4.9674800000000001</v>
      </c>
      <c r="DX44">
        <v>3.2930000000000001</v>
      </c>
      <c r="DY44">
        <v>894.7</v>
      </c>
      <c r="DZ44">
        <v>6</v>
      </c>
      <c r="EA44">
        <v>9999</v>
      </c>
      <c r="EB44">
        <v>116.2</v>
      </c>
      <c r="EC44">
        <v>4.9716199999999997</v>
      </c>
      <c r="ED44">
        <v>1.8721000000000001</v>
      </c>
      <c r="EE44">
        <v>1.8693500000000001</v>
      </c>
      <c r="EF44">
        <v>1.8716699999999999</v>
      </c>
      <c r="EG44">
        <v>1.8694900000000001</v>
      </c>
      <c r="EH44">
        <v>1.86833</v>
      </c>
      <c r="EI44">
        <v>1.8701399999999999</v>
      </c>
      <c r="EJ44">
        <v>1.87195</v>
      </c>
      <c r="EK44">
        <v>0</v>
      </c>
      <c r="EL44">
        <v>0</v>
      </c>
      <c r="EM44">
        <v>0</v>
      </c>
      <c r="EN44">
        <v>0</v>
      </c>
      <c r="EO44" t="s">
        <v>320</v>
      </c>
      <c r="EP44" t="s">
        <v>321</v>
      </c>
      <c r="EQ44" t="s">
        <v>322</v>
      </c>
      <c r="ER44" t="s">
        <v>322</v>
      </c>
      <c r="ES44" t="s">
        <v>322</v>
      </c>
      <c r="ET44" t="s">
        <v>322</v>
      </c>
      <c r="EU44">
        <v>0</v>
      </c>
      <c r="EV44">
        <v>100</v>
      </c>
      <c r="EW44">
        <v>100</v>
      </c>
      <c r="EX44">
        <v>7.1029999999999998</v>
      </c>
      <c r="EY44">
        <v>-1.343</v>
      </c>
      <c r="EZ44">
        <v>7.1351264999999993</v>
      </c>
      <c r="FA44">
        <v>0</v>
      </c>
      <c r="FB44">
        <v>0</v>
      </c>
      <c r="FC44">
        <v>0</v>
      </c>
      <c r="FD44">
        <v>-1.332555476190477</v>
      </c>
      <c r="FE44">
        <v>0</v>
      </c>
      <c r="FF44">
        <v>0</v>
      </c>
      <c r="FG44">
        <v>0</v>
      </c>
      <c r="FH44">
        <v>-1</v>
      </c>
      <c r="FI44">
        <v>-1</v>
      </c>
      <c r="FJ44">
        <v>-1</v>
      </c>
      <c r="FK44">
        <v>-1</v>
      </c>
      <c r="FL44">
        <v>0.4</v>
      </c>
      <c r="FM44">
        <v>0.6</v>
      </c>
      <c r="FN44">
        <v>0.144043</v>
      </c>
      <c r="FO44">
        <v>4.99756</v>
      </c>
      <c r="FP44">
        <v>1.5979000000000001</v>
      </c>
      <c r="FQ44">
        <v>2.1459999999999999</v>
      </c>
      <c r="FR44">
        <v>1.5478499999999999</v>
      </c>
      <c r="FS44">
        <v>2.4645999999999999</v>
      </c>
      <c r="FT44">
        <v>41.430100000000003</v>
      </c>
      <c r="FU44">
        <v>15.821899999999999</v>
      </c>
      <c r="FV44">
        <v>2</v>
      </c>
      <c r="FW44">
        <v>506.87599999999998</v>
      </c>
      <c r="FX44">
        <v>394.45600000000002</v>
      </c>
      <c r="FY44">
        <v>29.8047</v>
      </c>
      <c r="FZ44">
        <v>36.2624</v>
      </c>
      <c r="GA44">
        <v>30.000499999999999</v>
      </c>
      <c r="GB44">
        <v>36.432699999999997</v>
      </c>
      <c r="GC44">
        <v>36.459000000000003</v>
      </c>
      <c r="GD44">
        <v>-1</v>
      </c>
      <c r="GE44">
        <v>0</v>
      </c>
      <c r="GF44">
        <v>100</v>
      </c>
      <c r="GG44">
        <v>29.804099999999998</v>
      </c>
      <c r="GH44">
        <v>432.1</v>
      </c>
      <c r="GI44">
        <v>31.890999999999998</v>
      </c>
      <c r="GJ44">
        <v>101.38500000000001</v>
      </c>
      <c r="GK44">
        <v>95.688699999999997</v>
      </c>
    </row>
    <row r="45" spans="1:193" x14ac:dyDescent="0.35">
      <c r="A45">
        <v>29</v>
      </c>
      <c r="B45">
        <v>1775533706.0999999</v>
      </c>
      <c r="C45">
        <v>1680</v>
      </c>
      <c r="D45" t="s">
        <v>404</v>
      </c>
      <c r="E45" t="s">
        <v>405</v>
      </c>
      <c r="F45">
        <v>60</v>
      </c>
      <c r="G45">
        <v>1775533698.099999</v>
      </c>
      <c r="H45">
        <f t="shared" si="0"/>
        <v>2.8859581064915344E-3</v>
      </c>
      <c r="I45">
        <f t="shared" si="1"/>
        <v>2.8859581064915343</v>
      </c>
      <c r="J45">
        <f t="shared" si="2"/>
        <v>-0.97228068580571059</v>
      </c>
      <c r="K45">
        <f t="shared" si="3"/>
        <v>4.351866451612902</v>
      </c>
      <c r="L45">
        <f t="shared" si="4"/>
        <v>27.276065197804638</v>
      </c>
      <c r="M45">
        <f t="shared" si="5"/>
        <v>2.737747537157273</v>
      </c>
      <c r="N45">
        <f t="shared" si="6"/>
        <v>0.43680463342269504</v>
      </c>
      <c r="O45">
        <f t="shared" si="7"/>
        <v>6.551536828308642E-2</v>
      </c>
      <c r="P45">
        <f t="shared" si="8"/>
        <v>2.3966558162367946</v>
      </c>
      <c r="Q45">
        <f t="shared" si="9"/>
        <v>6.4536445508243501E-2</v>
      </c>
      <c r="R45">
        <f t="shared" si="10"/>
        <v>4.0422012267366594E-2</v>
      </c>
      <c r="S45">
        <f t="shared" si="11"/>
        <v>0.24248475570967729</v>
      </c>
      <c r="T45">
        <f t="shared" si="12"/>
        <v>30.315186789481157</v>
      </c>
      <c r="U45">
        <f t="shared" si="13"/>
        <v>31.015567741935481</v>
      </c>
      <c r="V45">
        <f t="shared" si="14"/>
        <v>4.5153843141862939</v>
      </c>
      <c r="W45">
        <f t="shared" si="15"/>
        <v>2.8645766095781253</v>
      </c>
      <c r="X45">
        <f t="shared" si="16"/>
        <v>0.13081659606677334</v>
      </c>
      <c r="Y45">
        <f t="shared" si="17"/>
        <v>4.5666991634773941</v>
      </c>
      <c r="Z45">
        <f t="shared" si="18"/>
        <v>4.3845677181195208</v>
      </c>
      <c r="AA45">
        <f t="shared" si="19"/>
        <v>-127.27075249627667</v>
      </c>
      <c r="AB45">
        <f t="shared" si="20"/>
        <v>25.629549638289053</v>
      </c>
      <c r="AC45">
        <f t="shared" si="21"/>
        <v>2.4041358201452576</v>
      </c>
      <c r="AD45">
        <f t="shared" si="22"/>
        <v>-98.994582282132683</v>
      </c>
      <c r="AE45">
        <v>5</v>
      </c>
      <c r="AF45">
        <v>1</v>
      </c>
      <c r="AG45">
        <f t="shared" si="23"/>
        <v>1</v>
      </c>
      <c r="AH45">
        <f t="shared" si="24"/>
        <v>0</v>
      </c>
      <c r="AI45">
        <f t="shared" si="25"/>
        <v>25286.071206070017</v>
      </c>
      <c r="AJ45">
        <f t="shared" si="26"/>
        <v>1.268889354838709</v>
      </c>
      <c r="AK45">
        <f t="shared" si="27"/>
        <v>1.0151114838709672</v>
      </c>
      <c r="AL45">
        <f t="shared" si="28"/>
        <v>0.8</v>
      </c>
      <c r="AM45">
        <f t="shared" si="29"/>
        <v>0.19109999999999999</v>
      </c>
      <c r="AN45">
        <v>3</v>
      </c>
      <c r="AO45">
        <v>0.5</v>
      </c>
      <c r="AP45" t="s">
        <v>317</v>
      </c>
      <c r="AQ45">
        <v>2</v>
      </c>
      <c r="AR45">
        <v>1775533698.099999</v>
      </c>
      <c r="AS45">
        <v>4.351866451612902</v>
      </c>
      <c r="AT45">
        <v>3.7760335483870962</v>
      </c>
      <c r="AU45">
        <v>1.3033203225806449</v>
      </c>
      <c r="AV45">
        <v>-0.42599796774193549</v>
      </c>
      <c r="AW45">
        <v>-2.7321335483870981</v>
      </c>
      <c r="AX45">
        <v>2.6573203225806452</v>
      </c>
      <c r="AY45">
        <v>499.99993548387101</v>
      </c>
      <c r="AZ45">
        <v>100.3243548387097</v>
      </c>
      <c r="BA45">
        <v>4.7436961290322557E-2</v>
      </c>
      <c r="BB45">
        <v>31.213925806451609</v>
      </c>
      <c r="BC45">
        <v>31.015567741935481</v>
      </c>
      <c r="BD45">
        <v>999.90000000000032</v>
      </c>
      <c r="BE45">
        <v>0</v>
      </c>
      <c r="BF45">
        <v>0</v>
      </c>
      <c r="BG45">
        <v>5006</v>
      </c>
      <c r="BH45">
        <v>1.268889354838709</v>
      </c>
      <c r="BI45">
        <v>1199.7487096774189</v>
      </c>
      <c r="BJ45">
        <v>0.59462573129032248</v>
      </c>
      <c r="BK45">
        <v>4.3764138709677427</v>
      </c>
      <c r="BL45">
        <v>3.774420322580645</v>
      </c>
      <c r="BM45">
        <v>1.7405161290322579</v>
      </c>
      <c r="BN45">
        <v>3.7760335483870962</v>
      </c>
      <c r="BO45">
        <v>-0.42599796774193549</v>
      </c>
      <c r="BP45">
        <v>0.13187822580645159</v>
      </c>
      <c r="BQ45">
        <v>-4.2737970967741942E-2</v>
      </c>
      <c r="BR45">
        <v>-19.460187096774199</v>
      </c>
      <c r="BS45">
        <v>-99.900000000000034</v>
      </c>
      <c r="BT45">
        <v>1775533727.0999999</v>
      </c>
      <c r="BU45" t="s">
        <v>406</v>
      </c>
      <c r="BV45">
        <v>1775533725.5999999</v>
      </c>
      <c r="BW45">
        <v>1775533727.0999999</v>
      </c>
      <c r="BX45">
        <v>30</v>
      </c>
      <c r="BY45">
        <v>-1.9E-2</v>
      </c>
      <c r="BZ45">
        <v>-1.0999999999999999E-2</v>
      </c>
      <c r="CA45">
        <v>7.0839999999999996</v>
      </c>
      <c r="CB45">
        <v>-1.3540000000000001</v>
      </c>
      <c r="CC45">
        <v>3</v>
      </c>
      <c r="CD45">
        <v>0</v>
      </c>
      <c r="CE45">
        <v>0.34</v>
      </c>
      <c r="CF45">
        <v>0.04</v>
      </c>
      <c r="CG45">
        <v>3.920628196721311</v>
      </c>
      <c r="CH45">
        <v>-1.01705330512956</v>
      </c>
      <c r="CI45">
        <v>0.78345297969636252</v>
      </c>
      <c r="CJ45">
        <v>-1</v>
      </c>
      <c r="CK45">
        <v>499.9959016393442</v>
      </c>
      <c r="CL45">
        <v>7.6277102065965847E-3</v>
      </c>
      <c r="CM45">
        <v>5.2668684483111142E-2</v>
      </c>
      <c r="CN45">
        <v>-1</v>
      </c>
      <c r="CO45">
        <v>0</v>
      </c>
      <c r="CP45">
        <v>0</v>
      </c>
      <c r="CQ45" t="s">
        <v>319</v>
      </c>
      <c r="CR45">
        <v>3.1678700000000002</v>
      </c>
      <c r="CS45">
        <v>2.6686700000000001</v>
      </c>
      <c r="CT45">
        <v>-9.7400299999999998E-4</v>
      </c>
      <c r="CU45">
        <v>8.2186800000000001E-4</v>
      </c>
      <c r="CV45">
        <v>1.89911E-2</v>
      </c>
      <c r="CW45">
        <v>-3.3919900000000001E-3</v>
      </c>
      <c r="CX45">
        <v>21383.7</v>
      </c>
      <c r="CY45">
        <v>21758.400000000001</v>
      </c>
      <c r="CZ45">
        <v>22900.6</v>
      </c>
      <c r="DA45">
        <v>22143.7</v>
      </c>
      <c r="DB45">
        <v>28987.3</v>
      </c>
      <c r="DC45">
        <v>26460.400000000001</v>
      </c>
      <c r="DD45">
        <v>40285.199999999997</v>
      </c>
      <c r="DE45">
        <v>36649.4</v>
      </c>
      <c r="DF45">
        <v>2.0243600000000002</v>
      </c>
      <c r="DG45">
        <v>1.7116</v>
      </c>
      <c r="DH45">
        <v>-3.7080000000000002E-2</v>
      </c>
      <c r="DI45">
        <v>0</v>
      </c>
      <c r="DJ45">
        <v>31.6142</v>
      </c>
      <c r="DK45">
        <v>999.9</v>
      </c>
      <c r="DL45">
        <v>70.2</v>
      </c>
      <c r="DM45">
        <v>34.5</v>
      </c>
      <c r="DN45">
        <v>38.442500000000003</v>
      </c>
      <c r="DO45">
        <v>30.4237</v>
      </c>
      <c r="DP45">
        <v>8.6298100000000009</v>
      </c>
      <c r="DQ45">
        <v>1</v>
      </c>
      <c r="DR45">
        <v>0.74638199999999999</v>
      </c>
      <c r="DS45">
        <v>2.1880999999999999</v>
      </c>
      <c r="DT45">
        <v>20.3446</v>
      </c>
      <c r="DU45">
        <v>5.2095000000000002</v>
      </c>
      <c r="DV45">
        <v>11.854200000000001</v>
      </c>
      <c r="DW45">
        <v>4.9675200000000004</v>
      </c>
      <c r="DX45">
        <v>3.29298</v>
      </c>
      <c r="DY45">
        <v>894.7</v>
      </c>
      <c r="DZ45">
        <v>6</v>
      </c>
      <c r="EA45">
        <v>9999</v>
      </c>
      <c r="EB45">
        <v>116.2</v>
      </c>
      <c r="EC45">
        <v>4.9716300000000002</v>
      </c>
      <c r="ED45">
        <v>1.8721000000000001</v>
      </c>
      <c r="EE45">
        <v>1.8693500000000001</v>
      </c>
      <c r="EF45">
        <v>1.8716699999999999</v>
      </c>
      <c r="EG45">
        <v>1.8694999999999999</v>
      </c>
      <c r="EH45">
        <v>1.8683399999999999</v>
      </c>
      <c r="EI45">
        <v>1.87015</v>
      </c>
      <c r="EJ45">
        <v>1.87195</v>
      </c>
      <c r="EK45">
        <v>0</v>
      </c>
      <c r="EL45">
        <v>0</v>
      </c>
      <c r="EM45">
        <v>0</v>
      </c>
      <c r="EN45">
        <v>0</v>
      </c>
      <c r="EO45" t="s">
        <v>320</v>
      </c>
      <c r="EP45" t="s">
        <v>321</v>
      </c>
      <c r="EQ45" t="s">
        <v>322</v>
      </c>
      <c r="ER45" t="s">
        <v>322</v>
      </c>
      <c r="ES45" t="s">
        <v>322</v>
      </c>
      <c r="ET45" t="s">
        <v>322</v>
      </c>
      <c r="EU45">
        <v>0</v>
      </c>
      <c r="EV45">
        <v>100</v>
      </c>
      <c r="EW45">
        <v>100</v>
      </c>
      <c r="EX45">
        <v>7.0839999999999996</v>
      </c>
      <c r="EY45">
        <v>-1.3540000000000001</v>
      </c>
      <c r="EZ45">
        <v>7.1027914999999986</v>
      </c>
      <c r="FA45">
        <v>0</v>
      </c>
      <c r="FB45">
        <v>0</v>
      </c>
      <c r="FC45">
        <v>0</v>
      </c>
      <c r="FD45">
        <v>-1.34280255</v>
      </c>
      <c r="FE45">
        <v>0</v>
      </c>
      <c r="FF45">
        <v>0</v>
      </c>
      <c r="FG45">
        <v>0</v>
      </c>
      <c r="FH45">
        <v>-1</v>
      </c>
      <c r="FI45">
        <v>-1</v>
      </c>
      <c r="FJ45">
        <v>-1</v>
      </c>
      <c r="FK45">
        <v>-1</v>
      </c>
      <c r="FL45">
        <v>0.7</v>
      </c>
      <c r="FM45">
        <v>0.7</v>
      </c>
      <c r="FN45">
        <v>0.144043</v>
      </c>
      <c r="FO45">
        <v>4.99756</v>
      </c>
      <c r="FP45">
        <v>1.5979000000000001</v>
      </c>
      <c r="FQ45">
        <v>2.1459999999999999</v>
      </c>
      <c r="FR45">
        <v>1.5478499999999999</v>
      </c>
      <c r="FS45">
        <v>2.4182100000000002</v>
      </c>
      <c r="FT45">
        <v>41.6389</v>
      </c>
      <c r="FU45">
        <v>15.804399999999999</v>
      </c>
      <c r="FV45">
        <v>2</v>
      </c>
      <c r="FW45">
        <v>507.34399999999999</v>
      </c>
      <c r="FX45">
        <v>393.35399999999998</v>
      </c>
      <c r="FY45">
        <v>29.905999999999999</v>
      </c>
      <c r="FZ45">
        <v>36.3292</v>
      </c>
      <c r="GA45">
        <v>30.000599999999999</v>
      </c>
      <c r="GB45">
        <v>36.493699999999997</v>
      </c>
      <c r="GC45">
        <v>36.520899999999997</v>
      </c>
      <c r="GD45">
        <v>-1</v>
      </c>
      <c r="GE45">
        <v>0</v>
      </c>
      <c r="GF45">
        <v>100</v>
      </c>
      <c r="GG45">
        <v>29.901</v>
      </c>
      <c r="GH45">
        <v>432.1</v>
      </c>
      <c r="GI45">
        <v>31.890999999999998</v>
      </c>
      <c r="GJ45">
        <v>101.369</v>
      </c>
      <c r="GK45">
        <v>95.679400000000001</v>
      </c>
    </row>
    <row r="46" spans="1:193" x14ac:dyDescent="0.35">
      <c r="A46">
        <v>30</v>
      </c>
      <c r="B46">
        <v>1775533766.5</v>
      </c>
      <c r="C46">
        <v>1740.400000095367</v>
      </c>
      <c r="D46" t="s">
        <v>407</v>
      </c>
      <c r="E46" t="s">
        <v>408</v>
      </c>
      <c r="F46">
        <v>60</v>
      </c>
      <c r="G46">
        <v>1775533758.5193551</v>
      </c>
      <c r="H46">
        <f t="shared" si="0"/>
        <v>2.6259424338220577E-3</v>
      </c>
      <c r="I46">
        <f t="shared" si="1"/>
        <v>2.6259424338220576</v>
      </c>
      <c r="J46">
        <f t="shared" si="2"/>
        <v>-0.35161068042409271</v>
      </c>
      <c r="K46">
        <f t="shared" si="3"/>
        <v>2.622938709677419</v>
      </c>
      <c r="L46">
        <f t="shared" si="4"/>
        <v>11.678997245441181</v>
      </c>
      <c r="M46">
        <f t="shared" si="5"/>
        <v>1.1722302183980973</v>
      </c>
      <c r="N46">
        <f t="shared" si="6"/>
        <v>0.2632664390506787</v>
      </c>
      <c r="O46">
        <f t="shared" si="7"/>
        <v>5.9498313386386982E-2</v>
      </c>
      <c r="P46">
        <f t="shared" si="8"/>
        <v>2.3947562215392164</v>
      </c>
      <c r="Q46">
        <f t="shared" si="9"/>
        <v>5.8689117190583097E-2</v>
      </c>
      <c r="R46">
        <f t="shared" si="10"/>
        <v>3.6752484411900599E-2</v>
      </c>
      <c r="S46">
        <f t="shared" si="11"/>
        <v>0.23850864280645154</v>
      </c>
      <c r="T46">
        <f t="shared" si="12"/>
        <v>30.384382838619075</v>
      </c>
      <c r="U46">
        <f t="shared" si="13"/>
        <v>30.999380645161281</v>
      </c>
      <c r="V46">
        <f t="shared" si="14"/>
        <v>4.511218996994681</v>
      </c>
      <c r="W46">
        <f t="shared" si="15"/>
        <v>2.7170546145130765</v>
      </c>
      <c r="X46">
        <f t="shared" si="16"/>
        <v>0.12399989118466398</v>
      </c>
      <c r="Y46">
        <f t="shared" si="17"/>
        <v>4.5637614541246903</v>
      </c>
      <c r="Z46">
        <f t="shared" si="18"/>
        <v>4.3872191058100167</v>
      </c>
      <c r="AA46">
        <f t="shared" si="19"/>
        <v>-115.80406133155275</v>
      </c>
      <c r="AB46">
        <f t="shared" si="20"/>
        <v>26.239773121522447</v>
      </c>
      <c r="AC46">
        <f t="shared" si="21"/>
        <v>2.4629952453641293</v>
      </c>
      <c r="AD46">
        <f t="shared" si="22"/>
        <v>-86.862784321859721</v>
      </c>
      <c r="AE46">
        <v>5</v>
      </c>
      <c r="AF46">
        <v>1</v>
      </c>
      <c r="AG46">
        <f t="shared" si="23"/>
        <v>1</v>
      </c>
      <c r="AH46">
        <f t="shared" si="24"/>
        <v>0</v>
      </c>
      <c r="AI46">
        <f t="shared" si="25"/>
        <v>25258.56466046473</v>
      </c>
      <c r="AJ46">
        <f t="shared" si="26"/>
        <v>1.2480829032258061</v>
      </c>
      <c r="AK46">
        <f t="shared" si="27"/>
        <v>0.99846632258064494</v>
      </c>
      <c r="AL46">
        <f t="shared" si="28"/>
        <v>0.8</v>
      </c>
      <c r="AM46">
        <f t="shared" si="29"/>
        <v>0.19109999999999999</v>
      </c>
      <c r="AN46">
        <v>3</v>
      </c>
      <c r="AO46">
        <v>0.5</v>
      </c>
      <c r="AP46" t="s">
        <v>317</v>
      </c>
      <c r="AQ46">
        <v>2</v>
      </c>
      <c r="AR46">
        <v>1775533758.5193551</v>
      </c>
      <c r="AS46">
        <v>2.622938709677419</v>
      </c>
      <c r="AT46">
        <v>2.416100322580645</v>
      </c>
      <c r="AU46">
        <v>1.235418064516129</v>
      </c>
      <c r="AV46">
        <v>-0.33823583870967738</v>
      </c>
      <c r="AW46">
        <v>-4.477061290322581</v>
      </c>
      <c r="AX46">
        <v>2.5994180645161289</v>
      </c>
      <c r="AY46">
        <v>499.9889032258065</v>
      </c>
      <c r="AZ46">
        <v>100.32245161290319</v>
      </c>
      <c r="BA46">
        <v>4.834168064516129E-2</v>
      </c>
      <c r="BB46">
        <v>31.202622580645169</v>
      </c>
      <c r="BC46">
        <v>30.999380645161281</v>
      </c>
      <c r="BD46">
        <v>999.90000000000032</v>
      </c>
      <c r="BE46">
        <v>0</v>
      </c>
      <c r="BF46">
        <v>0</v>
      </c>
      <c r="BG46">
        <v>5001.2096774193551</v>
      </c>
      <c r="BH46">
        <v>1.2480829032258061</v>
      </c>
      <c r="BI46">
        <v>1193.234838709677</v>
      </c>
      <c r="BJ46">
        <v>0.19100470322580651</v>
      </c>
      <c r="BK46">
        <v>2.6103567741935478</v>
      </c>
      <c r="BL46">
        <v>2.4152835483870958</v>
      </c>
      <c r="BM46">
        <v>1.5840603225806451</v>
      </c>
      <c r="BN46">
        <v>2.416100322580645</v>
      </c>
      <c r="BO46">
        <v>-0.33823583870967738</v>
      </c>
      <c r="BP46">
        <v>0.1249840967741936</v>
      </c>
      <c r="BQ46">
        <v>-3.3932658064516133E-2</v>
      </c>
      <c r="BR46">
        <v>-20.082548387096779</v>
      </c>
      <c r="BS46">
        <v>-99.900000000000034</v>
      </c>
      <c r="BT46">
        <v>1775533786.5</v>
      </c>
      <c r="BU46" t="s">
        <v>409</v>
      </c>
      <c r="BV46">
        <v>1775533782.5</v>
      </c>
      <c r="BW46">
        <v>1775533786.5</v>
      </c>
      <c r="BX46">
        <v>31</v>
      </c>
      <c r="BY46">
        <v>1.6E-2</v>
      </c>
      <c r="BZ46">
        <v>-1.0999999999999999E-2</v>
      </c>
      <c r="CA46">
        <v>7.1</v>
      </c>
      <c r="CB46">
        <v>-1.3640000000000001</v>
      </c>
      <c r="CC46">
        <v>3</v>
      </c>
      <c r="CD46">
        <v>0</v>
      </c>
      <c r="CE46">
        <v>0.24</v>
      </c>
      <c r="CF46">
        <v>0.03</v>
      </c>
      <c r="CG46">
        <v>2.3328739344262299</v>
      </c>
      <c r="CH46">
        <v>0.4579823818858309</v>
      </c>
      <c r="CI46">
        <v>0.10132957421577279</v>
      </c>
      <c r="CJ46">
        <v>-1</v>
      </c>
      <c r="CK46">
        <v>500.02773770491802</v>
      </c>
      <c r="CL46">
        <v>-0.51088496161595587</v>
      </c>
      <c r="CM46">
        <v>0.17536892276039609</v>
      </c>
      <c r="CN46">
        <v>-1</v>
      </c>
      <c r="CO46">
        <v>0</v>
      </c>
      <c r="CP46">
        <v>0</v>
      </c>
      <c r="CQ46" t="s">
        <v>319</v>
      </c>
      <c r="CR46">
        <v>3.1678600000000001</v>
      </c>
      <c r="CS46">
        <v>2.66987</v>
      </c>
      <c r="CT46">
        <v>-1.2832200000000001E-3</v>
      </c>
      <c r="CU46">
        <v>7.4114799999999996E-4</v>
      </c>
      <c r="CV46">
        <v>1.8750599999999999E-2</v>
      </c>
      <c r="CW46">
        <v>-2.6767800000000001E-3</v>
      </c>
      <c r="CX46">
        <v>21388.1</v>
      </c>
      <c r="CY46">
        <v>21759.7</v>
      </c>
      <c r="CZ46">
        <v>22898.5</v>
      </c>
      <c r="DA46">
        <v>22143.4</v>
      </c>
      <c r="DB46">
        <v>28992.1</v>
      </c>
      <c r="DC46">
        <v>26440.9</v>
      </c>
      <c r="DD46">
        <v>40282.1</v>
      </c>
      <c r="DE46">
        <v>36648.699999999997</v>
      </c>
      <c r="DF46">
        <v>2.0236200000000002</v>
      </c>
      <c r="DG46">
        <v>1.7101</v>
      </c>
      <c r="DH46">
        <v>-3.7995000000000001E-2</v>
      </c>
      <c r="DI46">
        <v>0</v>
      </c>
      <c r="DJ46">
        <v>31.620799999999999</v>
      </c>
      <c r="DK46">
        <v>999.9</v>
      </c>
      <c r="DL46">
        <v>69.7</v>
      </c>
      <c r="DM46">
        <v>34.799999999999997</v>
      </c>
      <c r="DN46">
        <v>38.811300000000003</v>
      </c>
      <c r="DO46">
        <v>30.6037</v>
      </c>
      <c r="DP46">
        <v>8.6698699999999995</v>
      </c>
      <c r="DQ46">
        <v>1</v>
      </c>
      <c r="DR46">
        <v>0.74897400000000003</v>
      </c>
      <c r="DS46">
        <v>2.1105900000000002</v>
      </c>
      <c r="DT46">
        <v>20.345800000000001</v>
      </c>
      <c r="DU46">
        <v>5.2095000000000002</v>
      </c>
      <c r="DV46">
        <v>11.854200000000001</v>
      </c>
      <c r="DW46">
        <v>4.9673999999999996</v>
      </c>
      <c r="DX46">
        <v>3.29298</v>
      </c>
      <c r="DY46">
        <v>894.7</v>
      </c>
      <c r="DZ46">
        <v>6</v>
      </c>
      <c r="EA46">
        <v>9999</v>
      </c>
      <c r="EB46">
        <v>116.2</v>
      </c>
      <c r="EC46">
        <v>4.9716500000000003</v>
      </c>
      <c r="ED46">
        <v>1.8721000000000001</v>
      </c>
      <c r="EE46">
        <v>1.8693500000000001</v>
      </c>
      <c r="EF46">
        <v>1.8716900000000001</v>
      </c>
      <c r="EG46">
        <v>1.86951</v>
      </c>
      <c r="EH46">
        <v>1.8683099999999999</v>
      </c>
      <c r="EI46">
        <v>1.8701700000000001</v>
      </c>
      <c r="EJ46">
        <v>1.87195</v>
      </c>
      <c r="EK46">
        <v>0</v>
      </c>
      <c r="EL46">
        <v>0</v>
      </c>
      <c r="EM46">
        <v>0</v>
      </c>
      <c r="EN46">
        <v>0</v>
      </c>
      <c r="EO46" t="s">
        <v>320</v>
      </c>
      <c r="EP46" t="s">
        <v>321</v>
      </c>
      <c r="EQ46" t="s">
        <v>322</v>
      </c>
      <c r="ER46" t="s">
        <v>322</v>
      </c>
      <c r="ES46" t="s">
        <v>322</v>
      </c>
      <c r="ET46" t="s">
        <v>322</v>
      </c>
      <c r="EU46">
        <v>0</v>
      </c>
      <c r="EV46">
        <v>100</v>
      </c>
      <c r="EW46">
        <v>100</v>
      </c>
      <c r="EX46">
        <v>7.1</v>
      </c>
      <c r="EY46">
        <v>-1.3640000000000001</v>
      </c>
      <c r="EZ46">
        <v>7.0841647619047627</v>
      </c>
      <c r="FA46">
        <v>0</v>
      </c>
      <c r="FB46">
        <v>0</v>
      </c>
      <c r="FC46">
        <v>0</v>
      </c>
      <c r="FD46">
        <v>-1.3535944</v>
      </c>
      <c r="FE46">
        <v>0</v>
      </c>
      <c r="FF46">
        <v>0</v>
      </c>
      <c r="FG46">
        <v>0</v>
      </c>
      <c r="FH46">
        <v>-1</v>
      </c>
      <c r="FI46">
        <v>-1</v>
      </c>
      <c r="FJ46">
        <v>-1</v>
      </c>
      <c r="FK46">
        <v>-1</v>
      </c>
      <c r="FL46">
        <v>0.7</v>
      </c>
      <c r="FM46">
        <v>0.7</v>
      </c>
      <c r="FN46">
        <v>0.142822</v>
      </c>
      <c r="FO46">
        <v>4.99756</v>
      </c>
      <c r="FP46">
        <v>1.5979000000000001</v>
      </c>
      <c r="FQ46">
        <v>2.1447799999999999</v>
      </c>
      <c r="FR46">
        <v>1.5478499999999999</v>
      </c>
      <c r="FS46">
        <v>2.50366</v>
      </c>
      <c r="FT46">
        <v>41.848599999999998</v>
      </c>
      <c r="FU46">
        <v>15.804399999999999</v>
      </c>
      <c r="FV46">
        <v>2</v>
      </c>
      <c r="FW46">
        <v>507.221</v>
      </c>
      <c r="FX46">
        <v>392.738</v>
      </c>
      <c r="FY46">
        <v>29.9191</v>
      </c>
      <c r="FZ46">
        <v>36.377000000000002</v>
      </c>
      <c r="GA46">
        <v>30.000399999999999</v>
      </c>
      <c r="GB46">
        <v>36.540199999999999</v>
      </c>
      <c r="GC46">
        <v>36.565899999999999</v>
      </c>
      <c r="GD46">
        <v>-1</v>
      </c>
      <c r="GE46">
        <v>0</v>
      </c>
      <c r="GF46">
        <v>100</v>
      </c>
      <c r="GG46">
        <v>29.916899999999998</v>
      </c>
      <c r="GH46">
        <v>432.1</v>
      </c>
      <c r="GI46">
        <v>31.890999999999998</v>
      </c>
      <c r="GJ46">
        <v>101.361</v>
      </c>
      <c r="GK46">
        <v>95.677800000000005</v>
      </c>
    </row>
    <row r="47" spans="1:193" x14ac:dyDescent="0.35">
      <c r="A47">
        <v>31</v>
      </c>
      <c r="B47">
        <v>1775533826.5</v>
      </c>
      <c r="C47">
        <v>1800.400000095367</v>
      </c>
      <c r="D47" t="s">
        <v>410</v>
      </c>
      <c r="E47" t="s">
        <v>411</v>
      </c>
      <c r="F47">
        <v>60</v>
      </c>
      <c r="G47">
        <v>1775533818.5</v>
      </c>
      <c r="H47">
        <f t="shared" si="0"/>
        <v>2.4275792220471541E-3</v>
      </c>
      <c r="I47">
        <f t="shared" si="1"/>
        <v>2.4275792220471542</v>
      </c>
      <c r="J47">
        <f t="shared" si="2"/>
        <v>-0.46791612639893193</v>
      </c>
      <c r="K47">
        <f t="shared" si="3"/>
        <v>2.9325145161290331</v>
      </c>
      <c r="L47">
        <f t="shared" si="4"/>
        <v>16.041293175052438</v>
      </c>
      <c r="M47">
        <f t="shared" si="5"/>
        <v>1.6100820513908007</v>
      </c>
      <c r="N47">
        <f t="shared" si="6"/>
        <v>0.29433967301373132</v>
      </c>
      <c r="O47">
        <f t="shared" si="7"/>
        <v>5.4892270090119162E-2</v>
      </c>
      <c r="P47">
        <f t="shared" si="8"/>
        <v>2.3952667384138207</v>
      </c>
      <c r="Q47">
        <f t="shared" si="9"/>
        <v>5.4202873690263949E-2</v>
      </c>
      <c r="R47">
        <f t="shared" si="10"/>
        <v>3.3938014159616156E-2</v>
      </c>
      <c r="S47">
        <f t="shared" si="11"/>
        <v>0.23853786261290325</v>
      </c>
      <c r="T47">
        <f t="shared" si="12"/>
        <v>30.44255223533391</v>
      </c>
      <c r="U47">
        <f t="shared" si="13"/>
        <v>30.999216129032259</v>
      </c>
      <c r="V47">
        <f t="shared" si="14"/>
        <v>4.5111766803474431</v>
      </c>
      <c r="W47">
        <f t="shared" si="15"/>
        <v>2.6204419338837637</v>
      </c>
      <c r="X47">
        <f t="shared" si="16"/>
        <v>0.11956408000957733</v>
      </c>
      <c r="Y47">
        <f t="shared" si="17"/>
        <v>4.5627448738148955</v>
      </c>
      <c r="Z47">
        <f t="shared" si="18"/>
        <v>4.3916126003378659</v>
      </c>
      <c r="AA47">
        <f t="shared" si="19"/>
        <v>-107.05624369227949</v>
      </c>
      <c r="AB47">
        <f t="shared" si="20"/>
        <v>25.761324149941249</v>
      </c>
      <c r="AC47">
        <f t="shared" si="21"/>
        <v>2.4175216394453312</v>
      </c>
      <c r="AD47">
        <f t="shared" si="22"/>
        <v>-78.638860040280008</v>
      </c>
      <c r="AE47">
        <v>5</v>
      </c>
      <c r="AF47">
        <v>1</v>
      </c>
      <c r="AG47">
        <f t="shared" si="23"/>
        <v>1</v>
      </c>
      <c r="AH47">
        <f t="shared" si="24"/>
        <v>0</v>
      </c>
      <c r="AI47">
        <f t="shared" si="25"/>
        <v>25266.523920030613</v>
      </c>
      <c r="AJ47">
        <f t="shared" si="26"/>
        <v>1.248235806451613</v>
      </c>
      <c r="AK47">
        <f t="shared" si="27"/>
        <v>0.99858864516129042</v>
      </c>
      <c r="AL47">
        <f t="shared" si="28"/>
        <v>0.8</v>
      </c>
      <c r="AM47">
        <f t="shared" si="29"/>
        <v>0.19109999999999999</v>
      </c>
      <c r="AN47">
        <v>3</v>
      </c>
      <c r="AO47">
        <v>0.5</v>
      </c>
      <c r="AP47" t="s">
        <v>317</v>
      </c>
      <c r="AQ47">
        <v>2</v>
      </c>
      <c r="AR47">
        <v>1775533818.5</v>
      </c>
      <c r="AS47">
        <v>2.9325145161290331</v>
      </c>
      <c r="AT47">
        <v>2.656037096774194</v>
      </c>
      <c r="AU47">
        <v>1.191220322580645</v>
      </c>
      <c r="AV47">
        <v>-0.2635873548387096</v>
      </c>
      <c r="AW47">
        <v>-4.1494854838709667</v>
      </c>
      <c r="AX47">
        <v>2.564220322580645</v>
      </c>
      <c r="AY47">
        <v>500.00164516129041</v>
      </c>
      <c r="AZ47">
        <v>100.3232258064516</v>
      </c>
      <c r="BA47">
        <v>4.7862348387096777E-2</v>
      </c>
      <c r="BB47">
        <v>31.198709677419359</v>
      </c>
      <c r="BC47">
        <v>30.999216129032259</v>
      </c>
      <c r="BD47">
        <v>999.90000000000032</v>
      </c>
      <c r="BE47">
        <v>0</v>
      </c>
      <c r="BF47">
        <v>0</v>
      </c>
      <c r="BG47">
        <v>5002.4838709677406</v>
      </c>
      <c r="BH47">
        <v>1.248235806451613</v>
      </c>
      <c r="BI47">
        <v>1124.4312903225809</v>
      </c>
      <c r="BJ47">
        <v>0.29445822580645159</v>
      </c>
      <c r="BK47">
        <v>2.9540396774193551</v>
      </c>
      <c r="BL47">
        <v>2.6553370967741938</v>
      </c>
      <c r="BM47">
        <v>1.4633561290322581</v>
      </c>
      <c r="BN47">
        <v>2.656037096774194</v>
      </c>
      <c r="BO47">
        <v>-0.2635873548387096</v>
      </c>
      <c r="BP47">
        <v>0.1203645806451613</v>
      </c>
      <c r="BQ47">
        <v>-2.6443916129032258E-2</v>
      </c>
      <c r="BR47">
        <v>-20.51739677419355</v>
      </c>
      <c r="BS47">
        <v>-99.900000000000034</v>
      </c>
      <c r="BT47">
        <v>1775533847.5</v>
      </c>
      <c r="BU47" t="s">
        <v>412</v>
      </c>
      <c r="BV47">
        <v>1775533843.5</v>
      </c>
      <c r="BW47">
        <v>1775533847.5</v>
      </c>
      <c r="BX47">
        <v>32</v>
      </c>
      <c r="BY47">
        <v>-1.7999999999999999E-2</v>
      </c>
      <c r="BZ47">
        <v>-8.9999999999999993E-3</v>
      </c>
      <c r="CA47">
        <v>7.0819999999999999</v>
      </c>
      <c r="CB47">
        <v>-1.373</v>
      </c>
      <c r="CC47">
        <v>3</v>
      </c>
      <c r="CD47">
        <v>0</v>
      </c>
      <c r="CE47">
        <v>0.11</v>
      </c>
      <c r="CF47">
        <v>0.05</v>
      </c>
      <c r="CG47">
        <v>2.5934050000000002</v>
      </c>
      <c r="CH47">
        <v>0.469097838288423</v>
      </c>
      <c r="CI47">
        <v>7.1735938378193684E-2</v>
      </c>
      <c r="CJ47">
        <v>-1</v>
      </c>
      <c r="CK47">
        <v>499.99858333333327</v>
      </c>
      <c r="CL47">
        <v>-5.1964434564559903E-2</v>
      </c>
      <c r="CM47">
        <v>4.4627081339569843E-2</v>
      </c>
      <c r="CN47">
        <v>-1</v>
      </c>
      <c r="CO47">
        <v>0</v>
      </c>
      <c r="CP47">
        <v>0</v>
      </c>
      <c r="CQ47" t="s">
        <v>319</v>
      </c>
      <c r="CR47">
        <v>3.1678500000000001</v>
      </c>
      <c r="CS47">
        <v>2.6694900000000001</v>
      </c>
      <c r="CT47">
        <v>-1.2049199999999999E-3</v>
      </c>
      <c r="CU47">
        <v>7.8033699999999998E-4</v>
      </c>
      <c r="CV47">
        <v>1.85273E-2</v>
      </c>
      <c r="CW47">
        <v>-2.0702199999999998E-3</v>
      </c>
      <c r="CX47">
        <v>21384.1</v>
      </c>
      <c r="CY47">
        <v>21757.5</v>
      </c>
      <c r="CZ47">
        <v>22896.1</v>
      </c>
      <c r="DA47">
        <v>22142.2</v>
      </c>
      <c r="DB47">
        <v>28995.7</v>
      </c>
      <c r="DC47">
        <v>26423</v>
      </c>
      <c r="DD47">
        <v>40278.1</v>
      </c>
      <c r="DE47">
        <v>36646.199999999997</v>
      </c>
      <c r="DF47">
        <v>2.02284</v>
      </c>
      <c r="DG47">
        <v>1.70872</v>
      </c>
      <c r="DH47">
        <v>-3.8582100000000001E-2</v>
      </c>
      <c r="DI47">
        <v>0</v>
      </c>
      <c r="DJ47">
        <v>31.6236</v>
      </c>
      <c r="DK47">
        <v>999.9</v>
      </c>
      <c r="DL47">
        <v>69.2</v>
      </c>
      <c r="DM47">
        <v>35</v>
      </c>
      <c r="DN47">
        <v>38.963900000000002</v>
      </c>
      <c r="DO47">
        <v>30.7837</v>
      </c>
      <c r="DP47">
        <v>8.6618600000000008</v>
      </c>
      <c r="DQ47">
        <v>1</v>
      </c>
      <c r="DR47">
        <v>0.752807</v>
      </c>
      <c r="DS47">
        <v>2.1003500000000002</v>
      </c>
      <c r="DT47">
        <v>20.3461</v>
      </c>
      <c r="DU47">
        <v>5.2092599999999996</v>
      </c>
      <c r="DV47">
        <v>11.854200000000001</v>
      </c>
      <c r="DW47">
        <v>4.9675200000000004</v>
      </c>
      <c r="DX47">
        <v>3.2930000000000001</v>
      </c>
      <c r="DY47">
        <v>894.7</v>
      </c>
      <c r="DZ47">
        <v>6</v>
      </c>
      <c r="EA47">
        <v>9999</v>
      </c>
      <c r="EB47">
        <v>116.2</v>
      </c>
      <c r="EC47">
        <v>4.9716100000000001</v>
      </c>
      <c r="ED47">
        <v>1.8721000000000001</v>
      </c>
      <c r="EE47">
        <v>1.8693500000000001</v>
      </c>
      <c r="EF47">
        <v>1.8716600000000001</v>
      </c>
      <c r="EG47">
        <v>1.86951</v>
      </c>
      <c r="EH47">
        <v>1.8683099999999999</v>
      </c>
      <c r="EI47">
        <v>1.87019</v>
      </c>
      <c r="EJ47">
        <v>1.87195</v>
      </c>
      <c r="EK47">
        <v>0</v>
      </c>
      <c r="EL47">
        <v>0</v>
      </c>
      <c r="EM47">
        <v>0</v>
      </c>
      <c r="EN47">
        <v>0</v>
      </c>
      <c r="EO47" t="s">
        <v>320</v>
      </c>
      <c r="EP47" t="s">
        <v>321</v>
      </c>
      <c r="EQ47" t="s">
        <v>322</v>
      </c>
      <c r="ER47" t="s">
        <v>322</v>
      </c>
      <c r="ES47" t="s">
        <v>322</v>
      </c>
      <c r="ET47" t="s">
        <v>322</v>
      </c>
      <c r="EU47">
        <v>0</v>
      </c>
      <c r="EV47">
        <v>100</v>
      </c>
      <c r="EW47">
        <v>100</v>
      </c>
      <c r="EX47">
        <v>7.0819999999999999</v>
      </c>
      <c r="EY47">
        <v>-1.373</v>
      </c>
      <c r="EZ47">
        <v>7.0999819999999998</v>
      </c>
      <c r="FA47">
        <v>0</v>
      </c>
      <c r="FB47">
        <v>0</v>
      </c>
      <c r="FC47">
        <v>0</v>
      </c>
      <c r="FD47">
        <v>-1.3644525000000001</v>
      </c>
      <c r="FE47">
        <v>0</v>
      </c>
      <c r="FF47">
        <v>0</v>
      </c>
      <c r="FG47">
        <v>0</v>
      </c>
      <c r="FH47">
        <v>-1</v>
      </c>
      <c r="FI47">
        <v>-1</v>
      </c>
      <c r="FJ47">
        <v>-1</v>
      </c>
      <c r="FK47">
        <v>-1</v>
      </c>
      <c r="FL47">
        <v>0.7</v>
      </c>
      <c r="FM47">
        <v>0.7</v>
      </c>
      <c r="FN47">
        <v>0.142822</v>
      </c>
      <c r="FO47">
        <v>4.99756</v>
      </c>
      <c r="FP47">
        <v>1.5979000000000001</v>
      </c>
      <c r="FQ47">
        <v>2.1435499999999998</v>
      </c>
      <c r="FR47">
        <v>1.5478499999999999</v>
      </c>
      <c r="FS47">
        <v>2.4511699999999998</v>
      </c>
      <c r="FT47">
        <v>42.032899999999998</v>
      </c>
      <c r="FU47">
        <v>15.786899999999999</v>
      </c>
      <c r="FV47">
        <v>2</v>
      </c>
      <c r="FW47">
        <v>507.07600000000002</v>
      </c>
      <c r="FX47">
        <v>392.209</v>
      </c>
      <c r="FY47">
        <v>29.9101</v>
      </c>
      <c r="FZ47">
        <v>36.4191</v>
      </c>
      <c r="GA47">
        <v>30.000499999999999</v>
      </c>
      <c r="GB47">
        <v>36.587299999999999</v>
      </c>
      <c r="GC47">
        <v>36.613999999999997</v>
      </c>
      <c r="GD47">
        <v>-1</v>
      </c>
      <c r="GE47">
        <v>0</v>
      </c>
      <c r="GF47">
        <v>100</v>
      </c>
      <c r="GG47">
        <v>29.910699999999999</v>
      </c>
      <c r="GH47">
        <v>432.1</v>
      </c>
      <c r="GI47">
        <v>31.890999999999998</v>
      </c>
      <c r="GJ47">
        <v>101.35</v>
      </c>
      <c r="GK47">
        <v>95.671800000000005</v>
      </c>
    </row>
    <row r="48" spans="1:193" x14ac:dyDescent="0.35">
      <c r="A48">
        <v>32</v>
      </c>
      <c r="B48">
        <v>1775533886.5</v>
      </c>
      <c r="C48">
        <v>1860.400000095367</v>
      </c>
      <c r="D48" t="s">
        <v>413</v>
      </c>
      <c r="E48" t="s">
        <v>414</v>
      </c>
      <c r="F48">
        <v>60</v>
      </c>
      <c r="G48">
        <v>1775533878.5</v>
      </c>
      <c r="H48">
        <f t="shared" si="0"/>
        <v>2.2217135751747066E-3</v>
      </c>
      <c r="I48">
        <f t="shared" si="1"/>
        <v>2.2217135751747068</v>
      </c>
      <c r="J48">
        <f t="shared" si="2"/>
        <v>-0.64974675584606756</v>
      </c>
      <c r="K48">
        <f t="shared" si="3"/>
        <v>3.252215161290323</v>
      </c>
      <c r="L48">
        <f t="shared" si="4"/>
        <v>23.241271798149526</v>
      </c>
      <c r="M48">
        <f t="shared" si="5"/>
        <v>2.332711931032974</v>
      </c>
      <c r="N48">
        <f t="shared" si="6"/>
        <v>0.32642280400646151</v>
      </c>
      <c r="O48">
        <f t="shared" si="7"/>
        <v>5.0146957508997607E-2</v>
      </c>
      <c r="P48">
        <f t="shared" si="8"/>
        <v>2.3934013183277156</v>
      </c>
      <c r="Q48">
        <f t="shared" si="9"/>
        <v>4.95704846686916E-2</v>
      </c>
      <c r="R48">
        <f t="shared" si="10"/>
        <v>3.1032794458467468E-2</v>
      </c>
      <c r="S48">
        <f t="shared" si="11"/>
        <v>0.25809485167741925</v>
      </c>
      <c r="T48">
        <f t="shared" si="12"/>
        <v>30.501546350170415</v>
      </c>
      <c r="U48">
        <f t="shared" si="13"/>
        <v>30.991748387096781</v>
      </c>
      <c r="V48">
        <f t="shared" si="14"/>
        <v>4.5092562004667478</v>
      </c>
      <c r="W48">
        <f t="shared" si="15"/>
        <v>2.5076787540910006</v>
      </c>
      <c r="X48">
        <f t="shared" si="16"/>
        <v>0.11438696222866379</v>
      </c>
      <c r="Y48">
        <f t="shared" si="17"/>
        <v>4.561467932926182</v>
      </c>
      <c r="Z48">
        <f t="shared" si="18"/>
        <v>4.3948692382380843</v>
      </c>
      <c r="AA48">
        <f t="shared" si="19"/>
        <v>-97.977568665204558</v>
      </c>
      <c r="AB48">
        <f t="shared" si="20"/>
        <v>26.070503777600422</v>
      </c>
      <c r="AC48">
        <f t="shared" si="21"/>
        <v>2.448293284283011</v>
      </c>
      <c r="AD48">
        <f t="shared" si="22"/>
        <v>-69.200676751643712</v>
      </c>
      <c r="AE48">
        <v>5</v>
      </c>
      <c r="AF48">
        <v>1</v>
      </c>
      <c r="AG48">
        <f t="shared" si="23"/>
        <v>1</v>
      </c>
      <c r="AH48">
        <f t="shared" si="24"/>
        <v>0</v>
      </c>
      <c r="AI48">
        <f t="shared" si="25"/>
        <v>25238.994428705482</v>
      </c>
      <c r="AJ48">
        <f t="shared" si="26"/>
        <v>1.350574838709677</v>
      </c>
      <c r="AK48">
        <f t="shared" si="27"/>
        <v>1.0804598709677415</v>
      </c>
      <c r="AL48">
        <f t="shared" si="28"/>
        <v>0.8</v>
      </c>
      <c r="AM48">
        <f t="shared" si="29"/>
        <v>0.19109999999999999</v>
      </c>
      <c r="AN48">
        <v>3</v>
      </c>
      <c r="AO48">
        <v>0.5</v>
      </c>
      <c r="AP48" t="s">
        <v>317</v>
      </c>
      <c r="AQ48">
        <v>2</v>
      </c>
      <c r="AR48">
        <v>1775533878.5</v>
      </c>
      <c r="AS48">
        <v>3.252215161290323</v>
      </c>
      <c r="AT48">
        <v>2.866683548387098</v>
      </c>
      <c r="AU48">
        <v>1.1396599999999999</v>
      </c>
      <c r="AV48">
        <v>-0.191914064516129</v>
      </c>
      <c r="AW48">
        <v>-3.7917848387096771</v>
      </c>
      <c r="AX48">
        <v>2.5216599999999998</v>
      </c>
      <c r="AY48">
        <v>499.97554838709681</v>
      </c>
      <c r="AZ48">
        <v>100.3214838709678</v>
      </c>
      <c r="BA48">
        <v>4.7891406451612897E-2</v>
      </c>
      <c r="BB48">
        <v>31.193793548387099</v>
      </c>
      <c r="BC48">
        <v>30.991748387096781</v>
      </c>
      <c r="BD48">
        <v>999.90000000000032</v>
      </c>
      <c r="BE48">
        <v>0</v>
      </c>
      <c r="BF48">
        <v>0</v>
      </c>
      <c r="BG48">
        <v>4997.7741935483873</v>
      </c>
      <c r="BH48">
        <v>1.350574838709677</v>
      </c>
      <c r="BI48">
        <v>1258.0229032258071</v>
      </c>
      <c r="BJ48">
        <v>0.4236320935483871</v>
      </c>
      <c r="BK48">
        <v>3.2940996774193549</v>
      </c>
      <c r="BL48">
        <v>2.8661332258064509</v>
      </c>
      <c r="BM48">
        <v>1.3405983870967739</v>
      </c>
      <c r="BN48">
        <v>2.866683548387098</v>
      </c>
      <c r="BO48">
        <v>-0.191914064516129</v>
      </c>
      <c r="BP48">
        <v>0.1152377741935484</v>
      </c>
      <c r="BQ48">
        <v>-1.9253103225806451E-2</v>
      </c>
      <c r="BR48">
        <v>-21.01784838709678</v>
      </c>
      <c r="BS48">
        <v>-99.900000000000034</v>
      </c>
      <c r="BT48">
        <v>1775533905.5</v>
      </c>
      <c r="BU48" t="s">
        <v>415</v>
      </c>
      <c r="BV48">
        <v>1775533905.5</v>
      </c>
      <c r="BW48">
        <v>1775533905.5</v>
      </c>
      <c r="BX48">
        <v>33</v>
      </c>
      <c r="BY48">
        <v>-3.7999999999999999E-2</v>
      </c>
      <c r="BZ48">
        <v>-8.9999999999999993E-3</v>
      </c>
      <c r="CA48">
        <v>7.0439999999999996</v>
      </c>
      <c r="CB48">
        <v>-1.3819999999999999</v>
      </c>
      <c r="CC48">
        <v>3</v>
      </c>
      <c r="CD48">
        <v>0</v>
      </c>
      <c r="CE48">
        <v>0.26</v>
      </c>
      <c r="CF48">
        <v>0.05</v>
      </c>
      <c r="CG48">
        <v>2.833199333333333</v>
      </c>
      <c r="CH48">
        <v>0.16219198666296361</v>
      </c>
      <c r="CI48">
        <v>0.1934686479843411</v>
      </c>
      <c r="CJ48">
        <v>-1</v>
      </c>
      <c r="CK48">
        <v>500.01891666666671</v>
      </c>
      <c r="CL48">
        <v>-0.50633064740094691</v>
      </c>
      <c r="CM48">
        <v>0.14204263346693541</v>
      </c>
      <c r="CN48">
        <v>-1</v>
      </c>
      <c r="CO48">
        <v>0</v>
      </c>
      <c r="CP48">
        <v>0</v>
      </c>
      <c r="CQ48" t="s">
        <v>319</v>
      </c>
      <c r="CR48">
        <v>3.1678999999999999</v>
      </c>
      <c r="CS48">
        <v>2.6691699999999998</v>
      </c>
      <c r="CT48">
        <v>-1.1480699999999999E-3</v>
      </c>
      <c r="CU48">
        <v>7.6184600000000005E-4</v>
      </c>
      <c r="CV48">
        <v>1.8310400000000001E-2</v>
      </c>
      <c r="CW48">
        <v>-1.46302E-3</v>
      </c>
      <c r="CX48">
        <v>21380.1</v>
      </c>
      <c r="CY48">
        <v>21755.3</v>
      </c>
      <c r="CZ48">
        <v>22893.3</v>
      </c>
      <c r="DA48">
        <v>22139.7</v>
      </c>
      <c r="DB48">
        <v>28999</v>
      </c>
      <c r="DC48">
        <v>26403.7</v>
      </c>
      <c r="DD48">
        <v>40273.699999999997</v>
      </c>
      <c r="DE48">
        <v>36641.800000000003</v>
      </c>
      <c r="DF48">
        <v>2.0224000000000002</v>
      </c>
      <c r="DG48">
        <v>1.70678</v>
      </c>
      <c r="DH48">
        <v>-3.9809900000000002E-2</v>
      </c>
      <c r="DI48">
        <v>0</v>
      </c>
      <c r="DJ48">
        <v>31.641999999999999</v>
      </c>
      <c r="DK48">
        <v>999.9</v>
      </c>
      <c r="DL48">
        <v>68.7</v>
      </c>
      <c r="DM48">
        <v>35.299999999999997</v>
      </c>
      <c r="DN48">
        <v>39.329700000000003</v>
      </c>
      <c r="DO48">
        <v>30.7837</v>
      </c>
      <c r="DP48">
        <v>8.8341399999999997</v>
      </c>
      <c r="DQ48">
        <v>1</v>
      </c>
      <c r="DR48">
        <v>0.75732299999999997</v>
      </c>
      <c r="DS48">
        <v>2.06555</v>
      </c>
      <c r="DT48">
        <v>20.346299999999999</v>
      </c>
      <c r="DU48">
        <v>5.20974</v>
      </c>
      <c r="DV48">
        <v>11.854200000000001</v>
      </c>
      <c r="DW48">
        <v>4.9675599999999998</v>
      </c>
      <c r="DX48">
        <v>3.2930000000000001</v>
      </c>
      <c r="DY48">
        <v>894.7</v>
      </c>
      <c r="DZ48">
        <v>6</v>
      </c>
      <c r="EA48">
        <v>9999</v>
      </c>
      <c r="EB48">
        <v>116.3</v>
      </c>
      <c r="EC48">
        <v>4.9716399999999998</v>
      </c>
      <c r="ED48">
        <v>1.8721000000000001</v>
      </c>
      <c r="EE48">
        <v>1.8693500000000001</v>
      </c>
      <c r="EF48">
        <v>1.8716900000000001</v>
      </c>
      <c r="EG48">
        <v>1.86951</v>
      </c>
      <c r="EH48">
        <v>1.8683799999999999</v>
      </c>
      <c r="EI48">
        <v>1.8702000000000001</v>
      </c>
      <c r="EJ48">
        <v>1.87195</v>
      </c>
      <c r="EK48">
        <v>0</v>
      </c>
      <c r="EL48">
        <v>0</v>
      </c>
      <c r="EM48">
        <v>0</v>
      </c>
      <c r="EN48">
        <v>0</v>
      </c>
      <c r="EO48" t="s">
        <v>320</v>
      </c>
      <c r="EP48" t="s">
        <v>321</v>
      </c>
      <c r="EQ48" t="s">
        <v>322</v>
      </c>
      <c r="ER48" t="s">
        <v>322</v>
      </c>
      <c r="ES48" t="s">
        <v>322</v>
      </c>
      <c r="ET48" t="s">
        <v>322</v>
      </c>
      <c r="EU48">
        <v>0</v>
      </c>
      <c r="EV48">
        <v>100</v>
      </c>
      <c r="EW48">
        <v>100</v>
      </c>
      <c r="EX48">
        <v>7.0439999999999996</v>
      </c>
      <c r="EY48">
        <v>-1.3819999999999999</v>
      </c>
      <c r="EZ48">
        <v>7.0821009999999998</v>
      </c>
      <c r="FA48">
        <v>0</v>
      </c>
      <c r="FB48">
        <v>0</v>
      </c>
      <c r="FC48">
        <v>0</v>
      </c>
      <c r="FD48">
        <v>-1.3729754999999999</v>
      </c>
      <c r="FE48">
        <v>0</v>
      </c>
      <c r="FF48">
        <v>0</v>
      </c>
      <c r="FG48">
        <v>0</v>
      </c>
      <c r="FH48">
        <v>-1</v>
      </c>
      <c r="FI48">
        <v>-1</v>
      </c>
      <c r="FJ48">
        <v>-1</v>
      </c>
      <c r="FK48">
        <v>-1</v>
      </c>
      <c r="FL48">
        <v>0.7</v>
      </c>
      <c r="FM48">
        <v>0.7</v>
      </c>
      <c r="FN48">
        <v>0.142822</v>
      </c>
      <c r="FO48">
        <v>4.99756</v>
      </c>
      <c r="FP48">
        <v>1.5979000000000001</v>
      </c>
      <c r="FQ48">
        <v>2.1435499999999998</v>
      </c>
      <c r="FR48">
        <v>1.5478499999999999</v>
      </c>
      <c r="FS48">
        <v>2.3767100000000001</v>
      </c>
      <c r="FT48">
        <v>42.191499999999998</v>
      </c>
      <c r="FU48">
        <v>15.769399999999999</v>
      </c>
      <c r="FV48">
        <v>2</v>
      </c>
      <c r="FW48">
        <v>507.17200000000003</v>
      </c>
      <c r="FX48">
        <v>391.37299999999999</v>
      </c>
      <c r="FY48">
        <v>29.9085</v>
      </c>
      <c r="FZ48">
        <v>36.471200000000003</v>
      </c>
      <c r="GA48">
        <v>30.000399999999999</v>
      </c>
      <c r="GB48">
        <v>36.639000000000003</v>
      </c>
      <c r="GC48">
        <v>36.665100000000002</v>
      </c>
      <c r="GD48">
        <v>-1</v>
      </c>
      <c r="GE48">
        <v>0</v>
      </c>
      <c r="GF48">
        <v>100</v>
      </c>
      <c r="GG48">
        <v>29.91</v>
      </c>
      <c r="GH48">
        <v>432.1</v>
      </c>
      <c r="GI48">
        <v>33.443899999999999</v>
      </c>
      <c r="GJ48">
        <v>101.339</v>
      </c>
      <c r="GK48">
        <v>95.660600000000002</v>
      </c>
    </row>
    <row r="49" spans="1:193" x14ac:dyDescent="0.35">
      <c r="A49">
        <v>33</v>
      </c>
      <c r="B49">
        <v>1775533946.5</v>
      </c>
      <c r="C49">
        <v>1920.400000095367</v>
      </c>
      <c r="D49" t="s">
        <v>416</v>
      </c>
      <c r="E49" t="s">
        <v>417</v>
      </c>
      <c r="F49">
        <v>60</v>
      </c>
      <c r="G49">
        <v>1775533938.5</v>
      </c>
      <c r="H49">
        <f t="shared" si="0"/>
        <v>1.9281350891684093E-3</v>
      </c>
      <c r="I49">
        <f t="shared" si="1"/>
        <v>1.9281350891684093</v>
      </c>
      <c r="J49">
        <f t="shared" si="2"/>
        <v>-0.94045442452790973</v>
      </c>
      <c r="K49">
        <f t="shared" si="3"/>
        <v>2.7682690322580661</v>
      </c>
      <c r="L49">
        <f t="shared" si="4"/>
        <v>36.384379388454491</v>
      </c>
      <c r="M49">
        <f t="shared" si="5"/>
        <v>3.6519491416312451</v>
      </c>
      <c r="N49">
        <f t="shared" si="6"/>
        <v>0.27785488954546184</v>
      </c>
      <c r="O49">
        <f t="shared" si="7"/>
        <v>4.3334851817377167E-2</v>
      </c>
      <c r="P49">
        <f t="shared" si="8"/>
        <v>2.3964965653941883</v>
      </c>
      <c r="Q49">
        <f t="shared" si="9"/>
        <v>4.2904185136984747E-2</v>
      </c>
      <c r="R49">
        <f t="shared" si="10"/>
        <v>2.6853452625419213E-2</v>
      </c>
      <c r="S49">
        <f t="shared" si="11"/>
        <v>0.26363231322580644</v>
      </c>
      <c r="T49">
        <f t="shared" si="12"/>
        <v>30.615688869848114</v>
      </c>
      <c r="U49">
        <f t="shared" si="13"/>
        <v>31.002461290322579</v>
      </c>
      <c r="V49">
        <f t="shared" si="14"/>
        <v>4.5120114608153079</v>
      </c>
      <c r="W49">
        <f t="shared" si="15"/>
        <v>2.2994870341961366</v>
      </c>
      <c r="X49">
        <f t="shared" si="16"/>
        <v>0.10501983469383262</v>
      </c>
      <c r="Y49">
        <f t="shared" si="17"/>
        <v>4.5670983628983954</v>
      </c>
      <c r="Z49">
        <f t="shared" si="18"/>
        <v>4.4069916261214752</v>
      </c>
      <c r="AA49">
        <f t="shared" si="19"/>
        <v>-85.030757432326851</v>
      </c>
      <c r="AB49">
        <f t="shared" si="20"/>
        <v>27.51958356354233</v>
      </c>
      <c r="AC49">
        <f t="shared" si="21"/>
        <v>2.5814514490626093</v>
      </c>
      <c r="AD49">
        <f t="shared" si="22"/>
        <v>-54.666090106496114</v>
      </c>
      <c r="AE49">
        <v>5</v>
      </c>
      <c r="AF49">
        <v>1</v>
      </c>
      <c r="AG49">
        <f t="shared" si="23"/>
        <v>1</v>
      </c>
      <c r="AH49">
        <f t="shared" si="24"/>
        <v>0</v>
      </c>
      <c r="AI49">
        <f t="shared" si="25"/>
        <v>25283.582919769698</v>
      </c>
      <c r="AJ49">
        <f t="shared" si="26"/>
        <v>1.3795516129032259</v>
      </c>
      <c r="AK49">
        <f t="shared" si="27"/>
        <v>1.1036412903225807</v>
      </c>
      <c r="AL49">
        <f t="shared" si="28"/>
        <v>0.8</v>
      </c>
      <c r="AM49">
        <f t="shared" si="29"/>
        <v>0.19109999999999999</v>
      </c>
      <c r="AN49">
        <v>3</v>
      </c>
      <c r="AO49">
        <v>0.5</v>
      </c>
      <c r="AP49" t="s">
        <v>317</v>
      </c>
      <c r="AQ49">
        <v>2</v>
      </c>
      <c r="AR49">
        <v>1775533938.5</v>
      </c>
      <c r="AS49">
        <v>2.7682690322580661</v>
      </c>
      <c r="AT49">
        <v>2.207194193548387</v>
      </c>
      <c r="AU49">
        <v>1.0463129032258069</v>
      </c>
      <c r="AV49">
        <v>-0.1093674580645162</v>
      </c>
      <c r="AW49">
        <v>-4.2727309677419347</v>
      </c>
      <c r="AX49">
        <v>2.4393129032258072</v>
      </c>
      <c r="AY49">
        <v>499.99577419354853</v>
      </c>
      <c r="AZ49">
        <v>100.3235806451613</v>
      </c>
      <c r="BA49">
        <v>4.7765603225806447E-2</v>
      </c>
      <c r="BB49">
        <v>31.21546129032258</v>
      </c>
      <c r="BC49">
        <v>31.002461290322579</v>
      </c>
      <c r="BD49">
        <v>999.90000000000032</v>
      </c>
      <c r="BE49">
        <v>0</v>
      </c>
      <c r="BF49">
        <v>0</v>
      </c>
      <c r="BG49">
        <v>5005.6290322580644</v>
      </c>
      <c r="BH49">
        <v>1.3795516129032259</v>
      </c>
      <c r="BI49">
        <v>1348.568064516129</v>
      </c>
      <c r="BJ49">
        <v>0.56369748387096774</v>
      </c>
      <c r="BK49">
        <v>2.7738241935483869</v>
      </c>
      <c r="BL49">
        <v>2.2069525806451611</v>
      </c>
      <c r="BM49">
        <v>1.166263870967742</v>
      </c>
      <c r="BN49">
        <v>2.207194193548387</v>
      </c>
      <c r="BO49">
        <v>-0.1093674580645162</v>
      </c>
      <c r="BP49">
        <v>0.1060315483870968</v>
      </c>
      <c r="BQ49">
        <v>-1.097213774193549E-2</v>
      </c>
      <c r="BR49">
        <v>-21.969683870967739</v>
      </c>
      <c r="BS49">
        <v>-99.900000000000034</v>
      </c>
      <c r="BT49">
        <v>1775533965.5</v>
      </c>
      <c r="BU49" t="s">
        <v>418</v>
      </c>
      <c r="BV49">
        <v>1775533963.5</v>
      </c>
      <c r="BW49">
        <v>1775533965.5</v>
      </c>
      <c r="BX49">
        <v>34</v>
      </c>
      <c r="BY49">
        <v>-3.0000000000000001E-3</v>
      </c>
      <c r="BZ49">
        <v>-1.0999999999999999E-2</v>
      </c>
      <c r="CA49">
        <v>7.0410000000000004</v>
      </c>
      <c r="CB49">
        <v>-1.393</v>
      </c>
      <c r="CC49">
        <v>2</v>
      </c>
      <c r="CD49">
        <v>0</v>
      </c>
      <c r="CE49">
        <v>0.26</v>
      </c>
      <c r="CF49">
        <v>0.04</v>
      </c>
      <c r="CG49">
        <v>2.317553606557377</v>
      </c>
      <c r="CH49">
        <v>-0.89684877842411581</v>
      </c>
      <c r="CI49">
        <v>0.13466886271040551</v>
      </c>
      <c r="CJ49">
        <v>-1</v>
      </c>
      <c r="CK49">
        <v>500.00039344262302</v>
      </c>
      <c r="CL49">
        <v>-4.6083553675663677E-2</v>
      </c>
      <c r="CM49">
        <v>4.2605809920339882E-2</v>
      </c>
      <c r="CN49">
        <v>-1</v>
      </c>
      <c r="CO49">
        <v>0</v>
      </c>
      <c r="CP49">
        <v>0</v>
      </c>
      <c r="CQ49" t="s">
        <v>319</v>
      </c>
      <c r="CR49">
        <v>3.1679200000000001</v>
      </c>
      <c r="CS49">
        <v>2.6689500000000002</v>
      </c>
      <c r="CT49">
        <v>-1.2805200000000001E-3</v>
      </c>
      <c r="CU49">
        <v>6.1293000000000003E-4</v>
      </c>
      <c r="CV49">
        <v>1.7575299999999999E-2</v>
      </c>
      <c r="CW49">
        <v>-7.9536299999999999E-4</v>
      </c>
      <c r="CX49">
        <v>21380.2</v>
      </c>
      <c r="CY49">
        <v>21757.1</v>
      </c>
      <c r="CZ49">
        <v>22890.7</v>
      </c>
      <c r="DA49">
        <v>22138.3</v>
      </c>
      <c r="DB49">
        <v>29017.7</v>
      </c>
      <c r="DC49">
        <v>26384.1</v>
      </c>
      <c r="DD49">
        <v>40269.699999999997</v>
      </c>
      <c r="DE49">
        <v>36639.199999999997</v>
      </c>
      <c r="DF49">
        <v>2.0211600000000001</v>
      </c>
      <c r="DG49">
        <v>1.7046600000000001</v>
      </c>
      <c r="DH49">
        <v>-4.3532300000000003E-2</v>
      </c>
      <c r="DI49">
        <v>0</v>
      </c>
      <c r="DJ49">
        <v>31.711300000000001</v>
      </c>
      <c r="DK49">
        <v>999.9</v>
      </c>
      <c r="DL49">
        <v>68.3</v>
      </c>
      <c r="DM49">
        <v>35.5</v>
      </c>
      <c r="DN49">
        <v>39.529200000000003</v>
      </c>
      <c r="DO49">
        <v>30.753699999999998</v>
      </c>
      <c r="DP49">
        <v>8.7339699999999993</v>
      </c>
      <c r="DQ49">
        <v>1</v>
      </c>
      <c r="DR49">
        <v>0.76289399999999996</v>
      </c>
      <c r="DS49">
        <v>2.2816900000000002</v>
      </c>
      <c r="DT49">
        <v>20.3429</v>
      </c>
      <c r="DU49">
        <v>5.20974</v>
      </c>
      <c r="DV49">
        <v>11.854200000000001</v>
      </c>
      <c r="DW49">
        <v>4.9675599999999998</v>
      </c>
      <c r="DX49">
        <v>3.2930000000000001</v>
      </c>
      <c r="DY49">
        <v>894.7</v>
      </c>
      <c r="DZ49">
        <v>6</v>
      </c>
      <c r="EA49">
        <v>9999</v>
      </c>
      <c r="EB49">
        <v>116.3</v>
      </c>
      <c r="EC49">
        <v>4.9716399999999998</v>
      </c>
      <c r="ED49">
        <v>1.8721000000000001</v>
      </c>
      <c r="EE49">
        <v>1.8693500000000001</v>
      </c>
      <c r="EF49">
        <v>1.8717299999999999</v>
      </c>
      <c r="EG49">
        <v>1.86951</v>
      </c>
      <c r="EH49">
        <v>1.86835</v>
      </c>
      <c r="EI49">
        <v>1.87015</v>
      </c>
      <c r="EJ49">
        <v>1.87195</v>
      </c>
      <c r="EK49">
        <v>0</v>
      </c>
      <c r="EL49">
        <v>0</v>
      </c>
      <c r="EM49">
        <v>0</v>
      </c>
      <c r="EN49">
        <v>0</v>
      </c>
      <c r="EO49" t="s">
        <v>320</v>
      </c>
      <c r="EP49" t="s">
        <v>321</v>
      </c>
      <c r="EQ49" t="s">
        <v>322</v>
      </c>
      <c r="ER49" t="s">
        <v>322</v>
      </c>
      <c r="ES49" t="s">
        <v>322</v>
      </c>
      <c r="ET49" t="s">
        <v>322</v>
      </c>
      <c r="EU49">
        <v>0</v>
      </c>
      <c r="EV49">
        <v>100</v>
      </c>
      <c r="EW49">
        <v>100</v>
      </c>
      <c r="EX49">
        <v>7.0410000000000004</v>
      </c>
      <c r="EY49">
        <v>-1.393</v>
      </c>
      <c r="EZ49">
        <v>7.0436230000000002</v>
      </c>
      <c r="FA49">
        <v>0</v>
      </c>
      <c r="FB49">
        <v>0</v>
      </c>
      <c r="FC49">
        <v>0</v>
      </c>
      <c r="FD49">
        <v>-1.3824177</v>
      </c>
      <c r="FE49">
        <v>0</v>
      </c>
      <c r="FF49">
        <v>0</v>
      </c>
      <c r="FG49">
        <v>0</v>
      </c>
      <c r="FH49">
        <v>-1</v>
      </c>
      <c r="FI49">
        <v>-1</v>
      </c>
      <c r="FJ49">
        <v>-1</v>
      </c>
      <c r="FK49">
        <v>-1</v>
      </c>
      <c r="FL49">
        <v>0.7</v>
      </c>
      <c r="FM49">
        <v>0.7</v>
      </c>
      <c r="FN49">
        <v>0.142822</v>
      </c>
      <c r="FO49">
        <v>4.99756</v>
      </c>
      <c r="FP49">
        <v>1.5979000000000001</v>
      </c>
      <c r="FQ49">
        <v>2.1423299999999998</v>
      </c>
      <c r="FR49">
        <v>1.5478499999999999</v>
      </c>
      <c r="FS49">
        <v>2.47681</v>
      </c>
      <c r="FT49">
        <v>42.377200000000002</v>
      </c>
      <c r="FU49">
        <v>15.769399999999999</v>
      </c>
      <c r="FV49">
        <v>2</v>
      </c>
      <c r="FW49">
        <v>506.78699999999998</v>
      </c>
      <c r="FX49">
        <v>390.45299999999997</v>
      </c>
      <c r="FY49">
        <v>29.788699999999999</v>
      </c>
      <c r="FZ49">
        <v>36.5291</v>
      </c>
      <c r="GA49">
        <v>30.000499999999999</v>
      </c>
      <c r="GB49">
        <v>36.691899999999997</v>
      </c>
      <c r="GC49">
        <v>36.719900000000003</v>
      </c>
      <c r="GD49">
        <v>-1</v>
      </c>
      <c r="GE49">
        <v>0</v>
      </c>
      <c r="GF49">
        <v>100</v>
      </c>
      <c r="GG49">
        <v>29.782900000000001</v>
      </c>
      <c r="GH49">
        <v>432.1</v>
      </c>
      <c r="GI49">
        <v>33.443899999999999</v>
      </c>
      <c r="GJ49">
        <v>101.328</v>
      </c>
      <c r="GK49">
        <v>95.654200000000003</v>
      </c>
    </row>
    <row r="50" spans="1:193" x14ac:dyDescent="0.35">
      <c r="A50">
        <v>34</v>
      </c>
      <c r="B50">
        <v>1775534006.5</v>
      </c>
      <c r="C50">
        <v>1980.400000095367</v>
      </c>
      <c r="D50" t="s">
        <v>419</v>
      </c>
      <c r="E50" t="s">
        <v>420</v>
      </c>
      <c r="F50">
        <v>60</v>
      </c>
      <c r="G50">
        <v>1775533998.5</v>
      </c>
      <c r="H50">
        <f t="shared" si="0"/>
        <v>1.3633257356196187E-3</v>
      </c>
      <c r="I50">
        <f t="shared" si="1"/>
        <v>1.3633257356196187</v>
      </c>
      <c r="J50">
        <f t="shared" si="2"/>
        <v>-1.2446563894602081</v>
      </c>
      <c r="K50">
        <f t="shared" si="3"/>
        <v>2.6113987096774198</v>
      </c>
      <c r="L50">
        <f t="shared" si="4"/>
        <v>66.01097523627547</v>
      </c>
      <c r="M50">
        <f t="shared" si="5"/>
        <v>6.6256815808020502</v>
      </c>
      <c r="N50">
        <f t="shared" si="6"/>
        <v>0.26211241795639567</v>
      </c>
      <c r="O50">
        <f t="shared" si="7"/>
        <v>3.0413006695320162E-2</v>
      </c>
      <c r="P50">
        <f t="shared" si="8"/>
        <v>2.3963867745948324</v>
      </c>
      <c r="Q50">
        <f t="shared" si="9"/>
        <v>3.0200194739869363E-2</v>
      </c>
      <c r="R50">
        <f t="shared" si="10"/>
        <v>1.8894117766508203E-2</v>
      </c>
      <c r="S50">
        <f t="shared" si="11"/>
        <v>0.265311342483871</v>
      </c>
      <c r="T50">
        <f t="shared" si="12"/>
        <v>30.794705861243504</v>
      </c>
      <c r="U50">
        <f t="shared" si="13"/>
        <v>30.984974193548389</v>
      </c>
      <c r="V50">
        <f t="shared" si="14"/>
        <v>4.5075146965288226</v>
      </c>
      <c r="W50">
        <f t="shared" si="15"/>
        <v>1.7503700372485609</v>
      </c>
      <c r="X50">
        <f t="shared" si="16"/>
        <v>7.9953791126323004E-2</v>
      </c>
      <c r="Y50">
        <f t="shared" si="17"/>
        <v>4.5678221990136354</v>
      </c>
      <c r="Z50">
        <f t="shared" si="18"/>
        <v>4.4275609054024994</v>
      </c>
      <c r="AA50">
        <f t="shared" si="19"/>
        <v>-60.122664940825182</v>
      </c>
      <c r="AB50">
        <f t="shared" si="20"/>
        <v>30.137210291005701</v>
      </c>
      <c r="AC50">
        <f t="shared" si="21"/>
        <v>2.8269202904435549</v>
      </c>
      <c r="AD50">
        <f t="shared" si="22"/>
        <v>-26.893223016892051</v>
      </c>
      <c r="AE50">
        <v>6</v>
      </c>
      <c r="AF50">
        <v>1</v>
      </c>
      <c r="AG50">
        <f t="shared" si="23"/>
        <v>1</v>
      </c>
      <c r="AH50">
        <f t="shared" si="24"/>
        <v>0</v>
      </c>
      <c r="AI50">
        <f t="shared" si="25"/>
        <v>25281.658840091499</v>
      </c>
      <c r="AJ50">
        <f t="shared" si="26"/>
        <v>1.3883377419354841</v>
      </c>
      <c r="AK50">
        <f t="shared" si="27"/>
        <v>1.1106701935483874</v>
      </c>
      <c r="AL50">
        <f t="shared" si="28"/>
        <v>0.8</v>
      </c>
      <c r="AM50">
        <f t="shared" si="29"/>
        <v>0.19109999999999999</v>
      </c>
      <c r="AN50">
        <v>3</v>
      </c>
      <c r="AO50">
        <v>0.5</v>
      </c>
      <c r="AP50" t="s">
        <v>317</v>
      </c>
      <c r="AQ50">
        <v>2</v>
      </c>
      <c r="AR50">
        <v>1775533998.5</v>
      </c>
      <c r="AS50">
        <v>2.6113987096774198</v>
      </c>
      <c r="AT50">
        <v>1.8667212903225809</v>
      </c>
      <c r="AU50">
        <v>0.79657129032258123</v>
      </c>
      <c r="AV50">
        <v>-2.0794179999999999E-2</v>
      </c>
      <c r="AW50">
        <v>-4.4236012903225799</v>
      </c>
      <c r="AX50">
        <v>2.2005712903225811</v>
      </c>
      <c r="AY50">
        <v>499.98677419354829</v>
      </c>
      <c r="AZ50">
        <v>100.32470967741931</v>
      </c>
      <c r="BA50">
        <v>4.7714106451612913E-2</v>
      </c>
      <c r="BB50">
        <v>31.21824516129033</v>
      </c>
      <c r="BC50">
        <v>30.984974193548389</v>
      </c>
      <c r="BD50">
        <v>999.90000000000032</v>
      </c>
      <c r="BE50">
        <v>0</v>
      </c>
      <c r="BF50">
        <v>0</v>
      </c>
      <c r="BG50">
        <v>5005.2903225806449</v>
      </c>
      <c r="BH50">
        <v>1.3883377419354841</v>
      </c>
      <c r="BI50">
        <v>1384.23870967742</v>
      </c>
      <c r="BJ50">
        <v>0.75047883870967746</v>
      </c>
      <c r="BK50">
        <v>2.6193167741935479</v>
      </c>
      <c r="BL50">
        <v>1.8666812903225809</v>
      </c>
      <c r="BM50">
        <v>0.82839719354838715</v>
      </c>
      <c r="BN50">
        <v>1.8667212903225809</v>
      </c>
      <c r="BO50">
        <v>-2.0794179999999999E-2</v>
      </c>
      <c r="BP50">
        <v>8.102251612903226E-2</v>
      </c>
      <c r="BQ50">
        <v>-2.0861669354838709E-3</v>
      </c>
      <c r="BR50">
        <v>-24.988951612903229</v>
      </c>
      <c r="BS50">
        <v>-99.900000000000034</v>
      </c>
      <c r="BT50">
        <v>1775534024.5</v>
      </c>
      <c r="BU50" t="s">
        <v>421</v>
      </c>
      <c r="BV50">
        <v>1775534023.5</v>
      </c>
      <c r="BW50">
        <v>1775534024.5</v>
      </c>
      <c r="BX50">
        <v>35</v>
      </c>
      <c r="BY50">
        <v>-6.0000000000000001E-3</v>
      </c>
      <c r="BZ50">
        <v>-1.0999999999999999E-2</v>
      </c>
      <c r="CA50">
        <v>7.0350000000000001</v>
      </c>
      <c r="CB50">
        <v>-1.4039999999999999</v>
      </c>
      <c r="CC50">
        <v>1</v>
      </c>
      <c r="CD50">
        <v>0</v>
      </c>
      <c r="CE50">
        <v>0.12</v>
      </c>
      <c r="CF50">
        <v>0.04</v>
      </c>
      <c r="CG50">
        <v>2.006683333333334</v>
      </c>
      <c r="CH50">
        <v>-1.0025202778549609</v>
      </c>
      <c r="CI50">
        <v>0.14597723998014969</v>
      </c>
      <c r="CJ50">
        <v>-1</v>
      </c>
      <c r="CK50">
        <v>499.98946666666671</v>
      </c>
      <c r="CL50">
        <v>-5.506863017449893E-2</v>
      </c>
      <c r="CM50">
        <v>5.4129926001140513E-2</v>
      </c>
      <c r="CN50">
        <v>-1</v>
      </c>
      <c r="CO50">
        <v>0</v>
      </c>
      <c r="CP50">
        <v>0</v>
      </c>
      <c r="CQ50" t="s">
        <v>319</v>
      </c>
      <c r="CR50">
        <v>3.1678700000000002</v>
      </c>
      <c r="CS50">
        <v>2.6690200000000002</v>
      </c>
      <c r="CT50">
        <v>-1.3260800000000001E-3</v>
      </c>
      <c r="CU50">
        <v>4.6916699999999999E-4</v>
      </c>
      <c r="CV50">
        <v>1.5900500000000001E-2</v>
      </c>
      <c r="CW50">
        <v>-4.7763899999999999E-5</v>
      </c>
      <c r="CX50">
        <v>21377.9</v>
      </c>
      <c r="CY50">
        <v>21757.5</v>
      </c>
      <c r="CZ50">
        <v>22887.4</v>
      </c>
      <c r="DA50">
        <v>22135.8</v>
      </c>
      <c r="DB50">
        <v>29063.4</v>
      </c>
      <c r="DC50">
        <v>26361</v>
      </c>
      <c r="DD50">
        <v>40264.6</v>
      </c>
      <c r="DE50">
        <v>36634.9</v>
      </c>
      <c r="DF50">
        <v>2.01966</v>
      </c>
      <c r="DG50">
        <v>1.7010799999999999</v>
      </c>
      <c r="DH50">
        <v>-5.3891500000000002E-2</v>
      </c>
      <c r="DI50">
        <v>0</v>
      </c>
      <c r="DJ50">
        <v>31.8443</v>
      </c>
      <c r="DK50">
        <v>999.9</v>
      </c>
      <c r="DL50">
        <v>67.900000000000006</v>
      </c>
      <c r="DM50">
        <v>35.700000000000003</v>
      </c>
      <c r="DN50">
        <v>39.734200000000001</v>
      </c>
      <c r="DO50">
        <v>30.363700000000001</v>
      </c>
      <c r="DP50">
        <v>8.8781999999999996</v>
      </c>
      <c r="DQ50">
        <v>1</v>
      </c>
      <c r="DR50">
        <v>0.77071999999999996</v>
      </c>
      <c r="DS50">
        <v>2.5945</v>
      </c>
      <c r="DT50">
        <v>20.337199999999999</v>
      </c>
      <c r="DU50">
        <v>5.2098599999999999</v>
      </c>
      <c r="DV50">
        <v>11.854200000000001</v>
      </c>
      <c r="DW50">
        <v>4.96732</v>
      </c>
      <c r="DX50">
        <v>3.2930000000000001</v>
      </c>
      <c r="DY50">
        <v>894.7</v>
      </c>
      <c r="DZ50">
        <v>6</v>
      </c>
      <c r="EA50">
        <v>9999</v>
      </c>
      <c r="EB50">
        <v>116.3</v>
      </c>
      <c r="EC50">
        <v>4.9715800000000003</v>
      </c>
      <c r="ED50">
        <v>1.8721000000000001</v>
      </c>
      <c r="EE50">
        <v>1.8693500000000001</v>
      </c>
      <c r="EF50">
        <v>1.8717200000000001</v>
      </c>
      <c r="EG50">
        <v>1.86951</v>
      </c>
      <c r="EH50">
        <v>1.8683099999999999</v>
      </c>
      <c r="EI50">
        <v>1.87016</v>
      </c>
      <c r="EJ50">
        <v>1.87195</v>
      </c>
      <c r="EK50">
        <v>0</v>
      </c>
      <c r="EL50">
        <v>0</v>
      </c>
      <c r="EM50">
        <v>0</v>
      </c>
      <c r="EN50">
        <v>0</v>
      </c>
      <c r="EO50" t="s">
        <v>320</v>
      </c>
      <c r="EP50" t="s">
        <v>321</v>
      </c>
      <c r="EQ50" t="s">
        <v>322</v>
      </c>
      <c r="ER50" t="s">
        <v>322</v>
      </c>
      <c r="ES50" t="s">
        <v>322</v>
      </c>
      <c r="ET50" t="s">
        <v>322</v>
      </c>
      <c r="EU50">
        <v>0</v>
      </c>
      <c r="EV50">
        <v>100</v>
      </c>
      <c r="EW50">
        <v>100</v>
      </c>
      <c r="EX50">
        <v>7.0350000000000001</v>
      </c>
      <c r="EY50">
        <v>-1.4039999999999999</v>
      </c>
      <c r="EZ50">
        <v>7.0408020000000002</v>
      </c>
      <c r="FA50">
        <v>0</v>
      </c>
      <c r="FB50">
        <v>0</v>
      </c>
      <c r="FC50">
        <v>0</v>
      </c>
      <c r="FD50">
        <v>-1.3929674999999999</v>
      </c>
      <c r="FE50">
        <v>0</v>
      </c>
      <c r="FF50">
        <v>0</v>
      </c>
      <c r="FG50">
        <v>0</v>
      </c>
      <c r="FH50">
        <v>-1</v>
      </c>
      <c r="FI50">
        <v>-1</v>
      </c>
      <c r="FJ50">
        <v>-1</v>
      </c>
      <c r="FK50">
        <v>-1</v>
      </c>
      <c r="FL50">
        <v>0.7</v>
      </c>
      <c r="FM50">
        <v>0.7</v>
      </c>
      <c r="FN50">
        <v>0.142822</v>
      </c>
      <c r="FO50">
        <v>4.99756</v>
      </c>
      <c r="FP50">
        <v>1.5979000000000001</v>
      </c>
      <c r="FQ50">
        <v>2.1411099999999998</v>
      </c>
      <c r="FR50">
        <v>1.5478499999999999</v>
      </c>
      <c r="FS50">
        <v>2.3767100000000001</v>
      </c>
      <c r="FT50">
        <v>42.563699999999997</v>
      </c>
      <c r="FU50">
        <v>15.7431</v>
      </c>
      <c r="FV50">
        <v>2</v>
      </c>
      <c r="FW50">
        <v>506.34399999999999</v>
      </c>
      <c r="FX50">
        <v>388.78100000000001</v>
      </c>
      <c r="FY50">
        <v>29.521999999999998</v>
      </c>
      <c r="FZ50">
        <v>36.596800000000002</v>
      </c>
      <c r="GA50">
        <v>30.000800000000002</v>
      </c>
      <c r="GB50">
        <v>36.759399999999999</v>
      </c>
      <c r="GC50">
        <v>36.790799999999997</v>
      </c>
      <c r="GD50">
        <v>-1</v>
      </c>
      <c r="GE50">
        <v>0</v>
      </c>
      <c r="GF50">
        <v>100</v>
      </c>
      <c r="GG50">
        <v>29.516400000000001</v>
      </c>
      <c r="GH50">
        <v>432.1</v>
      </c>
      <c r="GI50">
        <v>33.443899999999999</v>
      </c>
      <c r="GJ50">
        <v>101.315</v>
      </c>
      <c r="GK50">
        <v>95.642899999999997</v>
      </c>
    </row>
    <row r="51" spans="1:193" x14ac:dyDescent="0.35">
      <c r="A51">
        <v>35</v>
      </c>
      <c r="B51">
        <v>1775534066.5</v>
      </c>
      <c r="C51">
        <v>2040.400000095367</v>
      </c>
      <c r="D51" t="s">
        <v>422</v>
      </c>
      <c r="E51" t="s">
        <v>423</v>
      </c>
      <c r="F51">
        <v>60</v>
      </c>
      <c r="G51">
        <v>1775534058.5</v>
      </c>
      <c r="H51">
        <f t="shared" si="0"/>
        <v>1.1948120293672395E-3</v>
      </c>
      <c r="I51">
        <f t="shared" si="1"/>
        <v>1.1948120293672395</v>
      </c>
      <c r="J51">
        <f t="shared" si="2"/>
        <v>-1.0185917161024165</v>
      </c>
      <c r="K51">
        <f t="shared" si="3"/>
        <v>2.0383319354838711</v>
      </c>
      <c r="L51">
        <f t="shared" si="4"/>
        <v>61.361147121670172</v>
      </c>
      <c r="M51">
        <f t="shared" si="5"/>
        <v>6.159114609201894</v>
      </c>
      <c r="N51">
        <f t="shared" si="6"/>
        <v>0.20459721812807877</v>
      </c>
      <c r="O51">
        <f t="shared" si="7"/>
        <v>2.659069496792665E-2</v>
      </c>
      <c r="P51">
        <f t="shared" si="8"/>
        <v>2.3936581255423572</v>
      </c>
      <c r="Q51">
        <f t="shared" si="9"/>
        <v>2.6427675076985215E-2</v>
      </c>
      <c r="R51">
        <f t="shared" si="10"/>
        <v>1.6531860177367821E-2</v>
      </c>
      <c r="S51">
        <f t="shared" si="11"/>
        <v>0.28958073425806452</v>
      </c>
      <c r="T51">
        <f t="shared" si="12"/>
        <v>30.85421575506011</v>
      </c>
      <c r="U51">
        <f t="shared" si="13"/>
        <v>31.006158064516129</v>
      </c>
      <c r="V51">
        <f t="shared" si="14"/>
        <v>4.5129625774529805</v>
      </c>
      <c r="W51">
        <f t="shared" si="15"/>
        <v>1.7233104348473662</v>
      </c>
      <c r="X51">
        <f t="shared" si="16"/>
        <v>7.8749751534180124E-2</v>
      </c>
      <c r="Y51">
        <f t="shared" si="17"/>
        <v>4.5696787962149719</v>
      </c>
      <c r="Z51">
        <f t="shared" si="18"/>
        <v>4.4342128259188005</v>
      </c>
      <c r="AA51">
        <f t="shared" si="19"/>
        <v>-52.691210495095262</v>
      </c>
      <c r="AB51">
        <f t="shared" si="20"/>
        <v>28.290410035140802</v>
      </c>
      <c r="AC51">
        <f t="shared" si="21"/>
        <v>2.6570835557918904</v>
      </c>
      <c r="AD51">
        <f t="shared" si="22"/>
        <v>-21.454136169904508</v>
      </c>
      <c r="AE51">
        <v>6</v>
      </c>
      <c r="AF51">
        <v>1</v>
      </c>
      <c r="AG51">
        <f t="shared" si="23"/>
        <v>1</v>
      </c>
      <c r="AH51">
        <f t="shared" si="24"/>
        <v>0</v>
      </c>
      <c r="AI51">
        <f t="shared" si="25"/>
        <v>25240.000364605043</v>
      </c>
      <c r="AJ51">
        <f t="shared" si="26"/>
        <v>1.515336129032258</v>
      </c>
      <c r="AK51">
        <f t="shared" si="27"/>
        <v>1.2122689032258065</v>
      </c>
      <c r="AL51">
        <f t="shared" si="28"/>
        <v>0.8</v>
      </c>
      <c r="AM51">
        <f t="shared" si="29"/>
        <v>0.19109999999999999</v>
      </c>
      <c r="AN51">
        <v>3</v>
      </c>
      <c r="AO51">
        <v>0.5</v>
      </c>
      <c r="AP51" t="s">
        <v>317</v>
      </c>
      <c r="AQ51">
        <v>2</v>
      </c>
      <c r="AR51">
        <v>1775534058.5</v>
      </c>
      <c r="AS51">
        <v>2.0383319354838711</v>
      </c>
      <c r="AT51">
        <v>1.428646774193548</v>
      </c>
      <c r="AU51">
        <v>0.78455677419354863</v>
      </c>
      <c r="AV51">
        <v>6.8242116129032249E-2</v>
      </c>
      <c r="AW51">
        <v>-4.980668064516129</v>
      </c>
      <c r="AX51">
        <v>2.1995567741935491</v>
      </c>
      <c r="AY51">
        <v>500.00706451612899</v>
      </c>
      <c r="AZ51">
        <v>100.32729032258069</v>
      </c>
      <c r="BA51">
        <v>4.7538019354838701E-2</v>
      </c>
      <c r="BB51">
        <v>31.22538387096774</v>
      </c>
      <c r="BC51">
        <v>31.006158064516129</v>
      </c>
      <c r="BD51">
        <v>999.90000000000032</v>
      </c>
      <c r="BE51">
        <v>0</v>
      </c>
      <c r="BF51">
        <v>0</v>
      </c>
      <c r="BG51">
        <v>4998.1451612903229</v>
      </c>
      <c r="BH51">
        <v>1.515336129032258</v>
      </c>
      <c r="BI51">
        <v>1545.3690322580651</v>
      </c>
      <c r="BJ51">
        <v>0.62540996774193547</v>
      </c>
      <c r="BK51">
        <v>2.0556909677419348</v>
      </c>
      <c r="BL51">
        <v>1.4287441935483871</v>
      </c>
      <c r="BM51">
        <v>0.72718529032258072</v>
      </c>
      <c r="BN51">
        <v>1.428646774193548</v>
      </c>
      <c r="BO51">
        <v>6.8242116129032249E-2</v>
      </c>
      <c r="BP51">
        <v>7.9803154838709672E-2</v>
      </c>
      <c r="BQ51">
        <v>6.8465564516129044E-3</v>
      </c>
      <c r="BR51">
        <v>-25.15795806451613</v>
      </c>
      <c r="BS51">
        <v>-49.274200000000008</v>
      </c>
      <c r="BT51">
        <v>1775534086.5</v>
      </c>
      <c r="BU51" t="s">
        <v>424</v>
      </c>
      <c r="BV51">
        <v>1775534086.5</v>
      </c>
      <c r="BW51">
        <v>1775534084.5</v>
      </c>
      <c r="BX51">
        <v>36</v>
      </c>
      <c r="BY51">
        <v>-1.6E-2</v>
      </c>
      <c r="BZ51">
        <v>-1.0999999999999999E-2</v>
      </c>
      <c r="CA51">
        <v>7.0190000000000001</v>
      </c>
      <c r="CB51">
        <v>-1.415</v>
      </c>
      <c r="CC51">
        <v>1</v>
      </c>
      <c r="CD51">
        <v>0</v>
      </c>
      <c r="CE51">
        <v>0.18</v>
      </c>
      <c r="CF51">
        <v>0.04</v>
      </c>
      <c r="CG51">
        <v>1.3876111666666671</v>
      </c>
      <c r="CH51">
        <v>0.36452002222839691</v>
      </c>
      <c r="CI51">
        <v>8.7988085047383285E-2</v>
      </c>
      <c r="CJ51">
        <v>-1</v>
      </c>
      <c r="CK51">
        <v>499.99658333333332</v>
      </c>
      <c r="CL51">
        <v>8.7467629896949742E-2</v>
      </c>
      <c r="CM51">
        <v>5.2866275219234662E-2</v>
      </c>
      <c r="CN51">
        <v>-1</v>
      </c>
      <c r="CO51">
        <v>0</v>
      </c>
      <c r="CP51">
        <v>0</v>
      </c>
      <c r="CQ51" t="s">
        <v>319</v>
      </c>
      <c r="CR51">
        <v>3.1678199999999999</v>
      </c>
      <c r="CS51">
        <v>2.6692100000000001</v>
      </c>
      <c r="CT51">
        <v>-1.43066E-3</v>
      </c>
      <c r="CU51">
        <v>4.1419699999999999E-4</v>
      </c>
      <c r="CV51">
        <v>1.5835700000000001E-2</v>
      </c>
      <c r="CW51">
        <v>6.1998200000000004E-4</v>
      </c>
      <c r="CX51">
        <v>21374.6</v>
      </c>
      <c r="CY51">
        <v>21754.7</v>
      </c>
      <c r="CZ51">
        <v>22881.8</v>
      </c>
      <c r="DA51">
        <v>22132</v>
      </c>
      <c r="DB51">
        <v>29058.7</v>
      </c>
      <c r="DC51">
        <v>26338.6</v>
      </c>
      <c r="DD51">
        <v>40255.699999999997</v>
      </c>
      <c r="DE51">
        <v>36628.400000000001</v>
      </c>
      <c r="DF51">
        <v>2.0184199999999999</v>
      </c>
      <c r="DG51">
        <v>1.69946</v>
      </c>
      <c r="DH51">
        <v>-5.6794299999999999E-2</v>
      </c>
      <c r="DI51">
        <v>0</v>
      </c>
      <c r="DJ51">
        <v>31.926600000000001</v>
      </c>
      <c r="DK51">
        <v>999.9</v>
      </c>
      <c r="DL51">
        <v>67.5</v>
      </c>
      <c r="DM51">
        <v>35.9</v>
      </c>
      <c r="DN51">
        <v>39.937800000000003</v>
      </c>
      <c r="DO51">
        <v>30.903700000000001</v>
      </c>
      <c r="DP51">
        <v>9.1306100000000008</v>
      </c>
      <c r="DQ51">
        <v>1</v>
      </c>
      <c r="DR51">
        <v>0.78048399999999996</v>
      </c>
      <c r="DS51">
        <v>2.6383299999999998</v>
      </c>
      <c r="DT51">
        <v>20.335899999999999</v>
      </c>
      <c r="DU51">
        <v>5.2098599999999999</v>
      </c>
      <c r="DV51">
        <v>11.854200000000001</v>
      </c>
      <c r="DW51">
        <v>4.9672799999999997</v>
      </c>
      <c r="DX51">
        <v>3.2930000000000001</v>
      </c>
      <c r="DY51">
        <v>894.7</v>
      </c>
      <c r="DZ51">
        <v>6</v>
      </c>
      <c r="EA51">
        <v>9999</v>
      </c>
      <c r="EB51">
        <v>116.3</v>
      </c>
      <c r="EC51">
        <v>4.9715800000000003</v>
      </c>
      <c r="ED51">
        <v>1.8721000000000001</v>
      </c>
      <c r="EE51">
        <v>1.8693500000000001</v>
      </c>
      <c r="EF51">
        <v>1.8717699999999999</v>
      </c>
      <c r="EG51">
        <v>1.86951</v>
      </c>
      <c r="EH51">
        <v>1.8684000000000001</v>
      </c>
      <c r="EI51">
        <v>1.8702099999999999</v>
      </c>
      <c r="EJ51">
        <v>1.87195</v>
      </c>
      <c r="EK51">
        <v>0</v>
      </c>
      <c r="EL51">
        <v>0</v>
      </c>
      <c r="EM51">
        <v>0</v>
      </c>
      <c r="EN51">
        <v>0</v>
      </c>
      <c r="EO51" t="s">
        <v>320</v>
      </c>
      <c r="EP51" t="s">
        <v>321</v>
      </c>
      <c r="EQ51" t="s">
        <v>322</v>
      </c>
      <c r="ER51" t="s">
        <v>322</v>
      </c>
      <c r="ES51" t="s">
        <v>322</v>
      </c>
      <c r="ET51" t="s">
        <v>322</v>
      </c>
      <c r="EU51">
        <v>0</v>
      </c>
      <c r="EV51">
        <v>100</v>
      </c>
      <c r="EW51">
        <v>100</v>
      </c>
      <c r="EX51">
        <v>7.0190000000000001</v>
      </c>
      <c r="EY51">
        <v>-1.415</v>
      </c>
      <c r="EZ51">
        <v>7.0347240000000006</v>
      </c>
      <c r="FA51">
        <v>0</v>
      </c>
      <c r="FB51">
        <v>0</v>
      </c>
      <c r="FC51">
        <v>0</v>
      </c>
      <c r="FD51">
        <v>-1.4041292569999999</v>
      </c>
      <c r="FE51">
        <v>0</v>
      </c>
      <c r="FF51">
        <v>0</v>
      </c>
      <c r="FG51">
        <v>0</v>
      </c>
      <c r="FH51">
        <v>-1</v>
      </c>
      <c r="FI51">
        <v>-1</v>
      </c>
      <c r="FJ51">
        <v>-1</v>
      </c>
      <c r="FK51">
        <v>-1</v>
      </c>
      <c r="FL51">
        <v>0.7</v>
      </c>
      <c r="FM51">
        <v>0.7</v>
      </c>
      <c r="FN51">
        <v>0.142822</v>
      </c>
      <c r="FO51">
        <v>4.99756</v>
      </c>
      <c r="FP51">
        <v>1.5979000000000001</v>
      </c>
      <c r="FQ51">
        <v>2.1398899999999998</v>
      </c>
      <c r="FR51">
        <v>1.5478499999999999</v>
      </c>
      <c r="FS51">
        <v>2.3889200000000002</v>
      </c>
      <c r="FT51">
        <v>42.777799999999999</v>
      </c>
      <c r="FU51">
        <v>15.7256</v>
      </c>
      <c r="FV51">
        <v>2</v>
      </c>
      <c r="FW51">
        <v>506.22500000000002</v>
      </c>
      <c r="FX51">
        <v>388.33499999999998</v>
      </c>
      <c r="FY51">
        <v>29.528500000000001</v>
      </c>
      <c r="FZ51">
        <v>36.703699999999998</v>
      </c>
      <c r="GA51">
        <v>30.000900000000001</v>
      </c>
      <c r="GB51">
        <v>36.8504</v>
      </c>
      <c r="GC51">
        <v>36.878500000000003</v>
      </c>
      <c r="GD51">
        <v>-1</v>
      </c>
      <c r="GE51">
        <v>0</v>
      </c>
      <c r="GF51">
        <v>100</v>
      </c>
      <c r="GG51">
        <v>29.522300000000001</v>
      </c>
      <c r="GH51">
        <v>432.1</v>
      </c>
      <c r="GI51">
        <v>33.443899999999999</v>
      </c>
      <c r="GJ51">
        <v>101.292</v>
      </c>
      <c r="GK51">
        <v>95.626400000000004</v>
      </c>
    </row>
    <row r="52" spans="1:193" x14ac:dyDescent="0.35">
      <c r="A52">
        <v>36</v>
      </c>
      <c r="B52">
        <v>1775534126.5</v>
      </c>
      <c r="C52">
        <v>2100.400000095367</v>
      </c>
      <c r="D52" t="s">
        <v>425</v>
      </c>
      <c r="E52" t="s">
        <v>426</v>
      </c>
      <c r="F52">
        <v>60</v>
      </c>
      <c r="G52">
        <v>1775534118.5</v>
      </c>
      <c r="H52">
        <f t="shared" si="0"/>
        <v>6.7726100413227327E-4</v>
      </c>
      <c r="I52">
        <f t="shared" si="1"/>
        <v>0.6772610041322733</v>
      </c>
      <c r="J52">
        <f t="shared" si="2"/>
        <v>-1.9210639970642656</v>
      </c>
      <c r="K52">
        <f t="shared" si="3"/>
        <v>1.6309887096774189</v>
      </c>
      <c r="L52">
        <f t="shared" si="4"/>
        <v>199.84868192611415</v>
      </c>
      <c r="M52">
        <f t="shared" si="5"/>
        <v>20.060387230437183</v>
      </c>
      <c r="N52">
        <f t="shared" si="6"/>
        <v>0.1637151907596586</v>
      </c>
      <c r="O52">
        <f t="shared" si="7"/>
        <v>1.5000535038924573E-2</v>
      </c>
      <c r="P52">
        <f t="shared" si="8"/>
        <v>2.3944415051603101</v>
      </c>
      <c r="Q52">
        <f t="shared" si="9"/>
        <v>1.4948522544679738E-2</v>
      </c>
      <c r="R52">
        <f t="shared" si="10"/>
        <v>9.3474846012742592E-3</v>
      </c>
      <c r="S52">
        <f t="shared" si="11"/>
        <v>0.27941877599999998</v>
      </c>
      <c r="T52">
        <f t="shared" si="12"/>
        <v>30.999811140931577</v>
      </c>
      <c r="U52">
        <f t="shared" si="13"/>
        <v>30.958748387096779</v>
      </c>
      <c r="V52">
        <f t="shared" si="14"/>
        <v>4.5007781114965137</v>
      </c>
      <c r="W52">
        <f t="shared" si="15"/>
        <v>1.2324447429786687</v>
      </c>
      <c r="X52">
        <f t="shared" si="16"/>
        <v>5.6267306944604946E-2</v>
      </c>
      <c r="Y52">
        <f t="shared" si="17"/>
        <v>4.5655034244061703</v>
      </c>
      <c r="Z52">
        <f t="shared" si="18"/>
        <v>4.4445108045519088</v>
      </c>
      <c r="AA52">
        <f t="shared" si="19"/>
        <v>-29.867210282233252</v>
      </c>
      <c r="AB52">
        <f t="shared" si="20"/>
        <v>32.3468211689569</v>
      </c>
      <c r="AC52">
        <f t="shared" si="21"/>
        <v>3.0361241368945597</v>
      </c>
      <c r="AD52">
        <f t="shared" si="22"/>
        <v>5.795153799618209</v>
      </c>
      <c r="AE52">
        <v>6</v>
      </c>
      <c r="AF52">
        <v>1</v>
      </c>
      <c r="AG52">
        <f t="shared" si="23"/>
        <v>1</v>
      </c>
      <c r="AH52">
        <f t="shared" si="24"/>
        <v>0</v>
      </c>
      <c r="AI52">
        <f t="shared" si="25"/>
        <v>25252.993033542905</v>
      </c>
      <c r="AJ52">
        <f t="shared" si="26"/>
        <v>1.4621599999999999</v>
      </c>
      <c r="AK52">
        <f t="shared" si="27"/>
        <v>1.1697279999999999</v>
      </c>
      <c r="AL52">
        <f t="shared" si="28"/>
        <v>0.8</v>
      </c>
      <c r="AM52">
        <f t="shared" si="29"/>
        <v>0.19109999999999999</v>
      </c>
      <c r="AN52">
        <v>3</v>
      </c>
      <c r="AO52">
        <v>0.5</v>
      </c>
      <c r="AP52" t="s">
        <v>317</v>
      </c>
      <c r="AQ52">
        <v>2</v>
      </c>
      <c r="AR52">
        <v>1775534118.5</v>
      </c>
      <c r="AS52">
        <v>1.6309887096774189</v>
      </c>
      <c r="AT52">
        <v>0.47900541935483859</v>
      </c>
      <c r="AU52">
        <v>0.56055483870967748</v>
      </c>
      <c r="AV52">
        <v>0.1544233225806452</v>
      </c>
      <c r="AW52">
        <v>-5.3710112903225804</v>
      </c>
      <c r="AX52">
        <v>1.984554838709677</v>
      </c>
      <c r="AY52">
        <v>499.99667741935491</v>
      </c>
      <c r="AZ52">
        <v>100.3298387096774</v>
      </c>
      <c r="BA52">
        <v>4.8042380645161302E-2</v>
      </c>
      <c r="BB52">
        <v>31.209325806451609</v>
      </c>
      <c r="BC52">
        <v>30.958748387096779</v>
      </c>
      <c r="BD52">
        <v>999.90000000000032</v>
      </c>
      <c r="BE52">
        <v>0</v>
      </c>
      <c r="BF52">
        <v>0</v>
      </c>
      <c r="BG52">
        <v>5000.0322580645161</v>
      </c>
      <c r="BH52">
        <v>1.4621599999999999</v>
      </c>
      <c r="BI52">
        <v>1479.7577419354841</v>
      </c>
      <c r="BJ52">
        <v>1.168674935483871</v>
      </c>
      <c r="BK52">
        <v>1.6486206451612899</v>
      </c>
      <c r="BL52">
        <v>0.47907935483870961</v>
      </c>
      <c r="BM52">
        <v>0.41540893548387092</v>
      </c>
      <c r="BN52">
        <v>0.47900541935483859</v>
      </c>
      <c r="BO52">
        <v>0.1544233225806452</v>
      </c>
      <c r="BP52">
        <v>5.7171206451612909E-2</v>
      </c>
      <c r="BQ52">
        <v>1.5493280645161291E-2</v>
      </c>
      <c r="BR52">
        <v>-28.775725806451611</v>
      </c>
      <c r="BS52">
        <v>-41.864406451612894</v>
      </c>
      <c r="BT52">
        <v>1775534149.5</v>
      </c>
      <c r="BU52" t="s">
        <v>427</v>
      </c>
      <c r="BV52">
        <v>1775534149.5</v>
      </c>
      <c r="BW52">
        <v>1775534144</v>
      </c>
      <c r="BX52">
        <v>37</v>
      </c>
      <c r="BY52">
        <v>-1.6E-2</v>
      </c>
      <c r="BZ52">
        <v>-8.9999999999999993E-3</v>
      </c>
      <c r="CA52">
        <v>7.0019999999999998</v>
      </c>
      <c r="CB52">
        <v>-1.4239999999999999</v>
      </c>
      <c r="CC52">
        <v>1</v>
      </c>
      <c r="CD52">
        <v>0</v>
      </c>
      <c r="CE52">
        <v>0.25</v>
      </c>
      <c r="CF52">
        <v>0.04</v>
      </c>
      <c r="CG52">
        <v>0.84163331147540998</v>
      </c>
      <c r="CH52">
        <v>-2.0406224833421489</v>
      </c>
      <c r="CI52">
        <v>0.40598579087994102</v>
      </c>
      <c r="CJ52">
        <v>-1</v>
      </c>
      <c r="CK52">
        <v>500.00459016393449</v>
      </c>
      <c r="CL52">
        <v>-0.16176203067155931</v>
      </c>
      <c r="CM52">
        <v>9.9843053404271687E-2</v>
      </c>
      <c r="CN52">
        <v>-1</v>
      </c>
      <c r="CO52">
        <v>0</v>
      </c>
      <c r="CP52">
        <v>0</v>
      </c>
      <c r="CQ52" t="s">
        <v>319</v>
      </c>
      <c r="CR52">
        <v>3.1680100000000002</v>
      </c>
      <c r="CS52">
        <v>2.6695700000000002</v>
      </c>
      <c r="CT52">
        <v>-1.6427600000000001E-3</v>
      </c>
      <c r="CU52">
        <v>2.29931E-4</v>
      </c>
      <c r="CV52">
        <v>1.4578199999999999E-2</v>
      </c>
      <c r="CW52">
        <v>1.32004E-3</v>
      </c>
      <c r="CX52">
        <v>21374.799999999999</v>
      </c>
      <c r="CY52">
        <v>21755.1</v>
      </c>
      <c r="CZ52">
        <v>22877.599999999999</v>
      </c>
      <c r="DA52">
        <v>22128.7</v>
      </c>
      <c r="DB52">
        <v>29091.1</v>
      </c>
      <c r="DC52">
        <v>26315.5</v>
      </c>
      <c r="DD52">
        <v>40249.199999999997</v>
      </c>
      <c r="DE52">
        <v>36622.300000000003</v>
      </c>
      <c r="DF52">
        <v>2.0169800000000002</v>
      </c>
      <c r="DG52">
        <v>1.6955800000000001</v>
      </c>
      <c r="DH52">
        <v>-6.5287899999999996E-2</v>
      </c>
      <c r="DI52">
        <v>0</v>
      </c>
      <c r="DJ52">
        <v>32.021700000000003</v>
      </c>
      <c r="DK52">
        <v>999.9</v>
      </c>
      <c r="DL52">
        <v>67</v>
      </c>
      <c r="DM52">
        <v>36.200000000000003</v>
      </c>
      <c r="DN52">
        <v>40.302900000000001</v>
      </c>
      <c r="DO52">
        <v>30.453700000000001</v>
      </c>
      <c r="DP52">
        <v>8.8181100000000008</v>
      </c>
      <c r="DQ52">
        <v>1</v>
      </c>
      <c r="DR52">
        <v>0.79047199999999995</v>
      </c>
      <c r="DS52">
        <v>2.7569400000000002</v>
      </c>
      <c r="DT52">
        <v>20.334</v>
      </c>
      <c r="DU52">
        <v>5.2071100000000001</v>
      </c>
      <c r="DV52">
        <v>11.854200000000001</v>
      </c>
      <c r="DW52">
        <v>4.9671599999999998</v>
      </c>
      <c r="DX52">
        <v>3.2930000000000001</v>
      </c>
      <c r="DY52">
        <v>894.7</v>
      </c>
      <c r="DZ52">
        <v>6</v>
      </c>
      <c r="EA52">
        <v>9999</v>
      </c>
      <c r="EB52">
        <v>116.3</v>
      </c>
      <c r="EC52">
        <v>4.9715999999999996</v>
      </c>
      <c r="ED52">
        <v>1.8721000000000001</v>
      </c>
      <c r="EE52">
        <v>1.8693599999999999</v>
      </c>
      <c r="EF52">
        <v>1.8717900000000001</v>
      </c>
      <c r="EG52">
        <v>1.86951</v>
      </c>
      <c r="EH52">
        <v>1.8684000000000001</v>
      </c>
      <c r="EI52">
        <v>1.8702099999999999</v>
      </c>
      <c r="EJ52">
        <v>1.87195</v>
      </c>
      <c r="EK52">
        <v>0</v>
      </c>
      <c r="EL52">
        <v>0</v>
      </c>
      <c r="EM52">
        <v>0</v>
      </c>
      <c r="EN52">
        <v>0</v>
      </c>
      <c r="EO52" t="s">
        <v>320</v>
      </c>
      <c r="EP52" t="s">
        <v>321</v>
      </c>
      <c r="EQ52" t="s">
        <v>322</v>
      </c>
      <c r="ER52" t="s">
        <v>322</v>
      </c>
      <c r="ES52" t="s">
        <v>322</v>
      </c>
      <c r="ET52" t="s">
        <v>322</v>
      </c>
      <c r="EU52">
        <v>0</v>
      </c>
      <c r="EV52">
        <v>100</v>
      </c>
      <c r="EW52">
        <v>100</v>
      </c>
      <c r="EX52">
        <v>7.0019999999999998</v>
      </c>
      <c r="EY52">
        <v>-1.4239999999999999</v>
      </c>
      <c r="EZ52">
        <v>7.0186913000000004</v>
      </c>
      <c r="FA52">
        <v>0</v>
      </c>
      <c r="FB52">
        <v>0</v>
      </c>
      <c r="FC52">
        <v>0</v>
      </c>
      <c r="FD52">
        <v>-1.4147228599999999</v>
      </c>
      <c r="FE52">
        <v>0</v>
      </c>
      <c r="FF52">
        <v>0</v>
      </c>
      <c r="FG52">
        <v>0</v>
      </c>
      <c r="FH52">
        <v>-1</v>
      </c>
      <c r="FI52">
        <v>-1</v>
      </c>
      <c r="FJ52">
        <v>-1</v>
      </c>
      <c r="FK52">
        <v>-1</v>
      </c>
      <c r="FL52">
        <v>0.7</v>
      </c>
      <c r="FM52">
        <v>0.7</v>
      </c>
      <c r="FN52">
        <v>0.142822</v>
      </c>
      <c r="FO52">
        <v>4.99756</v>
      </c>
      <c r="FP52">
        <v>1.5979000000000001</v>
      </c>
      <c r="FQ52">
        <v>2.1398899999999998</v>
      </c>
      <c r="FR52">
        <v>1.5478499999999999</v>
      </c>
      <c r="FS52">
        <v>2.4426299999999999</v>
      </c>
      <c r="FT52">
        <v>42.992899999999999</v>
      </c>
      <c r="FU52">
        <v>15.7256</v>
      </c>
      <c r="FV52">
        <v>2</v>
      </c>
      <c r="FW52">
        <v>506.04500000000002</v>
      </c>
      <c r="FX52">
        <v>386.65600000000001</v>
      </c>
      <c r="FY52">
        <v>29.36</v>
      </c>
      <c r="FZ52">
        <v>36.813000000000002</v>
      </c>
      <c r="GA52">
        <v>30.001200000000001</v>
      </c>
      <c r="GB52">
        <v>36.950499999999998</v>
      </c>
      <c r="GC52">
        <v>36.9788</v>
      </c>
      <c r="GD52">
        <v>-1</v>
      </c>
      <c r="GE52">
        <v>0</v>
      </c>
      <c r="GF52">
        <v>100</v>
      </c>
      <c r="GG52">
        <v>29.3538</v>
      </c>
      <c r="GH52">
        <v>432.1</v>
      </c>
      <c r="GI52">
        <v>33.443899999999999</v>
      </c>
      <c r="GJ52">
        <v>101.27500000000001</v>
      </c>
      <c r="GK52">
        <v>95.610900000000001</v>
      </c>
    </row>
    <row r="53" spans="1:193" x14ac:dyDescent="0.35">
      <c r="A53">
        <v>37</v>
      </c>
      <c r="B53">
        <v>1775534186.5</v>
      </c>
      <c r="C53">
        <v>2160.400000095367</v>
      </c>
      <c r="D53" t="s">
        <v>428</v>
      </c>
      <c r="E53" t="s">
        <v>429</v>
      </c>
      <c r="F53">
        <v>60</v>
      </c>
      <c r="G53">
        <v>1775534178.5</v>
      </c>
      <c r="H53">
        <f t="shared" si="0"/>
        <v>5.884969261040038E-4</v>
      </c>
      <c r="I53">
        <f t="shared" si="1"/>
        <v>0.58849692610400384</v>
      </c>
      <c r="J53">
        <f t="shared" si="2"/>
        <v>-1.4004116613655595</v>
      </c>
      <c r="K53">
        <f t="shared" si="3"/>
        <v>1.843303225806451</v>
      </c>
      <c r="L53">
        <f t="shared" si="4"/>
        <v>168.17267923256199</v>
      </c>
      <c r="M53">
        <f t="shared" si="5"/>
        <v>16.881313093766256</v>
      </c>
      <c r="N53">
        <f t="shared" si="6"/>
        <v>0.18503230740919896</v>
      </c>
      <c r="O53">
        <f t="shared" si="7"/>
        <v>1.3023588712191137E-2</v>
      </c>
      <c r="P53">
        <f t="shared" si="8"/>
        <v>2.3941301447660104</v>
      </c>
      <c r="Q53">
        <f t="shared" si="9"/>
        <v>1.2984358005117845E-2</v>
      </c>
      <c r="R53">
        <f t="shared" si="10"/>
        <v>8.1187385671311722E-3</v>
      </c>
      <c r="S53">
        <f t="shared" si="11"/>
        <v>0.27706300616129026</v>
      </c>
      <c r="T53">
        <f t="shared" si="12"/>
        <v>31.011305491690614</v>
      </c>
      <c r="U53">
        <f t="shared" si="13"/>
        <v>30.9732129032258</v>
      </c>
      <c r="V53">
        <f t="shared" si="14"/>
        <v>4.5044925054804947</v>
      </c>
      <c r="W53">
        <f t="shared" si="15"/>
        <v>1.2776958257211384</v>
      </c>
      <c r="X53">
        <f t="shared" si="16"/>
        <v>5.8279523126515118E-2</v>
      </c>
      <c r="Y53">
        <f t="shared" si="17"/>
        <v>4.5612987029696086</v>
      </c>
      <c r="Z53">
        <f t="shared" si="18"/>
        <v>4.4462129823539795</v>
      </c>
      <c r="AA53">
        <f t="shared" si="19"/>
        <v>-25.952714441186568</v>
      </c>
      <c r="AB53">
        <f t="shared" si="20"/>
        <v>28.386755787391284</v>
      </c>
      <c r="AC53">
        <f t="shared" si="21"/>
        <v>2.6647499032506827</v>
      </c>
      <c r="AD53">
        <f t="shared" si="22"/>
        <v>5.3758542556166873</v>
      </c>
      <c r="AE53">
        <v>6</v>
      </c>
      <c r="AF53">
        <v>1</v>
      </c>
      <c r="AG53">
        <f t="shared" si="23"/>
        <v>1</v>
      </c>
      <c r="AH53">
        <f t="shared" si="24"/>
        <v>0</v>
      </c>
      <c r="AI53">
        <f t="shared" si="25"/>
        <v>25249.542747695246</v>
      </c>
      <c r="AJ53">
        <f t="shared" si="26"/>
        <v>1.4498325806451611</v>
      </c>
      <c r="AK53">
        <f t="shared" si="27"/>
        <v>1.1598660645161289</v>
      </c>
      <c r="AL53">
        <f t="shared" si="28"/>
        <v>0.8</v>
      </c>
      <c r="AM53">
        <f t="shared" si="29"/>
        <v>0.19109999999999999</v>
      </c>
      <c r="AN53">
        <v>3</v>
      </c>
      <c r="AO53">
        <v>0.5</v>
      </c>
      <c r="AP53" t="s">
        <v>317</v>
      </c>
      <c r="AQ53">
        <v>2</v>
      </c>
      <c r="AR53">
        <v>1775534178.5</v>
      </c>
      <c r="AS53">
        <v>1.843303225806451</v>
      </c>
      <c r="AT53">
        <v>1.0036942580645161</v>
      </c>
      <c r="AU53">
        <v>0.58058419354838686</v>
      </c>
      <c r="AV53">
        <v>0.22768564516129031</v>
      </c>
      <c r="AW53">
        <v>-5.1496967741935489</v>
      </c>
      <c r="AX53">
        <v>2.0135841935483869</v>
      </c>
      <c r="AY53">
        <v>499.99235483870979</v>
      </c>
      <c r="AZ53">
        <v>100.3328709677419</v>
      </c>
      <c r="BA53">
        <v>4.795884838709677E-2</v>
      </c>
      <c r="BB53">
        <v>31.193141935483862</v>
      </c>
      <c r="BC53">
        <v>30.9732129032258</v>
      </c>
      <c r="BD53">
        <v>999.90000000000032</v>
      </c>
      <c r="BE53">
        <v>0</v>
      </c>
      <c r="BF53">
        <v>0</v>
      </c>
      <c r="BG53">
        <v>4999.0806451612907</v>
      </c>
      <c r="BH53">
        <v>1.4498325806451611</v>
      </c>
      <c r="BI53">
        <v>1485.69935483871</v>
      </c>
      <c r="BJ53">
        <v>0.84907309677419351</v>
      </c>
      <c r="BK53">
        <v>1.85386064516129</v>
      </c>
      <c r="BL53">
        <v>1.0039224193548391</v>
      </c>
      <c r="BM53">
        <v>0.36210822580645158</v>
      </c>
      <c r="BN53">
        <v>1.0036942580645161</v>
      </c>
      <c r="BO53">
        <v>0.22768564516129031</v>
      </c>
      <c r="BP53">
        <v>5.9175777419354841E-2</v>
      </c>
      <c r="BQ53">
        <v>2.2844374193548379E-2</v>
      </c>
      <c r="BR53">
        <v>-28.4171935483871</v>
      </c>
      <c r="BS53">
        <v>-38.13944838709677</v>
      </c>
      <c r="BT53">
        <v>1775534205</v>
      </c>
      <c r="BU53" t="s">
        <v>430</v>
      </c>
      <c r="BV53">
        <v>1775534205</v>
      </c>
      <c r="BW53">
        <v>1775534203.5</v>
      </c>
      <c r="BX53">
        <v>38</v>
      </c>
      <c r="BY53">
        <v>-8.9999999999999993E-3</v>
      </c>
      <c r="BZ53">
        <v>-8.9999999999999993E-3</v>
      </c>
      <c r="CA53">
        <v>6.9930000000000003</v>
      </c>
      <c r="CB53">
        <v>-1.4330000000000001</v>
      </c>
      <c r="CC53">
        <v>1</v>
      </c>
      <c r="CD53">
        <v>0</v>
      </c>
      <c r="CE53">
        <v>0.32</v>
      </c>
      <c r="CF53">
        <v>0.14000000000000001</v>
      </c>
      <c r="CG53">
        <v>1.01731331147541</v>
      </c>
      <c r="CH53">
        <v>-0.16006862189317889</v>
      </c>
      <c r="CI53">
        <v>3.4643129199583678E-2</v>
      </c>
      <c r="CJ53">
        <v>-1</v>
      </c>
      <c r="CK53">
        <v>500.25149180327861</v>
      </c>
      <c r="CL53">
        <v>-2.8767255420402238</v>
      </c>
      <c r="CM53">
        <v>0.93838067047424478</v>
      </c>
      <c r="CN53">
        <v>-1</v>
      </c>
      <c r="CO53">
        <v>0</v>
      </c>
      <c r="CP53">
        <v>0</v>
      </c>
      <c r="CQ53" t="s">
        <v>319</v>
      </c>
      <c r="CR53">
        <v>3.1679599999999999</v>
      </c>
      <c r="CS53">
        <v>2.6690800000000001</v>
      </c>
      <c r="CT53">
        <v>-1.5114499999999999E-3</v>
      </c>
      <c r="CU53">
        <v>2.7124700000000001E-4</v>
      </c>
      <c r="CV53">
        <v>1.5060799999999999E-2</v>
      </c>
      <c r="CW53">
        <v>1.88488E-3</v>
      </c>
      <c r="CX53">
        <v>21366.9</v>
      </c>
      <c r="CY53">
        <v>21750.1</v>
      </c>
      <c r="CZ53">
        <v>22872.6</v>
      </c>
      <c r="DA53">
        <v>22124.799999999999</v>
      </c>
      <c r="DB53">
        <v>29070.7</v>
      </c>
      <c r="DC53">
        <v>26295.5</v>
      </c>
      <c r="DD53">
        <v>40241.1</v>
      </c>
      <c r="DE53">
        <v>36615.4</v>
      </c>
      <c r="DF53">
        <v>2.0154999999999998</v>
      </c>
      <c r="DG53">
        <v>1.6937199999999999</v>
      </c>
      <c r="DH53">
        <v>-6.73681E-2</v>
      </c>
      <c r="DI53">
        <v>0</v>
      </c>
      <c r="DJ53">
        <v>32.089599999999997</v>
      </c>
      <c r="DK53">
        <v>999.9</v>
      </c>
      <c r="DL53">
        <v>66.599999999999994</v>
      </c>
      <c r="DM53">
        <v>36.4</v>
      </c>
      <c r="DN53">
        <v>40.501800000000003</v>
      </c>
      <c r="DO53">
        <v>30.543700000000001</v>
      </c>
      <c r="DP53">
        <v>9.1826899999999991</v>
      </c>
      <c r="DQ53">
        <v>1</v>
      </c>
      <c r="DR53">
        <v>0.79908100000000004</v>
      </c>
      <c r="DS53">
        <v>2.5404100000000001</v>
      </c>
      <c r="DT53">
        <v>20.3384</v>
      </c>
      <c r="DU53">
        <v>5.20974</v>
      </c>
      <c r="DV53">
        <v>11.854200000000001</v>
      </c>
      <c r="DW53">
        <v>4.9673999999999996</v>
      </c>
      <c r="DX53">
        <v>3.2930000000000001</v>
      </c>
      <c r="DY53">
        <v>894.7</v>
      </c>
      <c r="DZ53">
        <v>6</v>
      </c>
      <c r="EA53">
        <v>9999</v>
      </c>
      <c r="EB53">
        <v>116.3</v>
      </c>
      <c r="EC53">
        <v>4.9715999999999996</v>
      </c>
      <c r="ED53">
        <v>1.8721000000000001</v>
      </c>
      <c r="EE53">
        <v>1.86937</v>
      </c>
      <c r="EF53">
        <v>1.8717900000000001</v>
      </c>
      <c r="EG53">
        <v>1.86951</v>
      </c>
      <c r="EH53">
        <v>1.86843</v>
      </c>
      <c r="EI53">
        <v>1.8702300000000001</v>
      </c>
      <c r="EJ53">
        <v>1.87195</v>
      </c>
      <c r="EK53">
        <v>0</v>
      </c>
      <c r="EL53">
        <v>0</v>
      </c>
      <c r="EM53">
        <v>0</v>
      </c>
      <c r="EN53">
        <v>0</v>
      </c>
      <c r="EO53" t="s">
        <v>320</v>
      </c>
      <c r="EP53" t="s">
        <v>321</v>
      </c>
      <c r="EQ53" t="s">
        <v>322</v>
      </c>
      <c r="ER53" t="s">
        <v>322</v>
      </c>
      <c r="ES53" t="s">
        <v>322</v>
      </c>
      <c r="ET53" t="s">
        <v>322</v>
      </c>
      <c r="EU53">
        <v>0</v>
      </c>
      <c r="EV53">
        <v>100</v>
      </c>
      <c r="EW53">
        <v>100</v>
      </c>
      <c r="EX53">
        <v>6.9930000000000003</v>
      </c>
      <c r="EY53">
        <v>-1.4330000000000001</v>
      </c>
      <c r="EZ53">
        <v>7.0024638499999998</v>
      </c>
      <c r="FA53">
        <v>0</v>
      </c>
      <c r="FB53">
        <v>0</v>
      </c>
      <c r="FC53">
        <v>0</v>
      </c>
      <c r="FD53">
        <v>-1.4237899999999999</v>
      </c>
      <c r="FE53">
        <v>0</v>
      </c>
      <c r="FF53">
        <v>0</v>
      </c>
      <c r="FG53">
        <v>0</v>
      </c>
      <c r="FH53">
        <v>-1</v>
      </c>
      <c r="FI53">
        <v>-1</v>
      </c>
      <c r="FJ53">
        <v>-1</v>
      </c>
      <c r="FK53">
        <v>-1</v>
      </c>
      <c r="FL53">
        <v>0.6</v>
      </c>
      <c r="FM53">
        <v>0.7</v>
      </c>
      <c r="FN53">
        <v>0.142822</v>
      </c>
      <c r="FO53">
        <v>4.99756</v>
      </c>
      <c r="FP53">
        <v>1.5979000000000001</v>
      </c>
      <c r="FQ53">
        <v>2.1386699999999998</v>
      </c>
      <c r="FR53">
        <v>1.5478499999999999</v>
      </c>
      <c r="FS53">
        <v>2.4621599999999999</v>
      </c>
      <c r="FT53">
        <v>43.236199999999997</v>
      </c>
      <c r="FU53">
        <v>15.716900000000001</v>
      </c>
      <c r="FV53">
        <v>2</v>
      </c>
      <c r="FW53">
        <v>505.87</v>
      </c>
      <c r="FX53">
        <v>386.11500000000001</v>
      </c>
      <c r="FY53">
        <v>29.4832</v>
      </c>
      <c r="FZ53">
        <v>36.93</v>
      </c>
      <c r="GA53">
        <v>30.001000000000001</v>
      </c>
      <c r="GB53">
        <v>37.0548</v>
      </c>
      <c r="GC53">
        <v>37.0747</v>
      </c>
      <c r="GD53">
        <v>-1</v>
      </c>
      <c r="GE53">
        <v>0</v>
      </c>
      <c r="GF53">
        <v>100</v>
      </c>
      <c r="GG53">
        <v>29.474699999999999</v>
      </c>
      <c r="GH53">
        <v>432.1</v>
      </c>
      <c r="GI53">
        <v>33.443899999999999</v>
      </c>
      <c r="GJ53">
        <v>101.254</v>
      </c>
      <c r="GK53">
        <v>95.593400000000003</v>
      </c>
    </row>
    <row r="54" spans="1:193" x14ac:dyDescent="0.35">
      <c r="A54">
        <v>38</v>
      </c>
      <c r="B54">
        <v>1775534246.5</v>
      </c>
      <c r="C54">
        <v>2220.400000095367</v>
      </c>
      <c r="D54" t="s">
        <v>431</v>
      </c>
      <c r="E54" t="s">
        <v>432</v>
      </c>
      <c r="F54">
        <v>60</v>
      </c>
      <c r="G54">
        <v>1775534238.75</v>
      </c>
      <c r="H54">
        <f t="shared" si="0"/>
        <v>4.3404548619472048E-4</v>
      </c>
      <c r="I54">
        <f t="shared" si="1"/>
        <v>0.4340454861947205</v>
      </c>
      <c r="J54">
        <f t="shared" si="2"/>
        <v>-1.5420481017713812</v>
      </c>
      <c r="K54">
        <f t="shared" si="3"/>
        <v>1.402523333333332</v>
      </c>
      <c r="L54">
        <f t="shared" si="4"/>
        <v>250.12422514640747</v>
      </c>
      <c r="M54">
        <f t="shared" si="5"/>
        <v>25.108232811688652</v>
      </c>
      <c r="N54">
        <f t="shared" si="6"/>
        <v>0.14078957108831128</v>
      </c>
      <c r="O54">
        <f t="shared" si="7"/>
        <v>9.586912834559513E-3</v>
      </c>
      <c r="P54">
        <f t="shared" si="8"/>
        <v>2.3926332708210389</v>
      </c>
      <c r="Q54">
        <f t="shared" si="9"/>
        <v>9.5656232983398967E-3</v>
      </c>
      <c r="R54">
        <f t="shared" si="10"/>
        <v>5.9804233647928473E-3</v>
      </c>
      <c r="S54">
        <f t="shared" si="11"/>
        <v>0.27455190489999992</v>
      </c>
      <c r="T54">
        <f t="shared" si="12"/>
        <v>31.065271437267377</v>
      </c>
      <c r="U54">
        <f t="shared" si="13"/>
        <v>30.99263333333333</v>
      </c>
      <c r="V54">
        <f t="shared" si="14"/>
        <v>4.5094837449707086</v>
      </c>
      <c r="W54">
        <f t="shared" si="15"/>
        <v>1.2750246857705989</v>
      </c>
      <c r="X54">
        <f t="shared" si="16"/>
        <v>5.8176963659100529E-2</v>
      </c>
      <c r="Y54">
        <f t="shared" si="17"/>
        <v>4.5628107681648187</v>
      </c>
      <c r="Z54">
        <f t="shared" si="18"/>
        <v>4.4513067813116081</v>
      </c>
      <c r="AA54">
        <f t="shared" si="19"/>
        <v>-19.141405941187173</v>
      </c>
      <c r="AB54">
        <f t="shared" si="20"/>
        <v>26.614846091495799</v>
      </c>
      <c r="AC54">
        <f t="shared" si="21"/>
        <v>2.5002897360248539</v>
      </c>
      <c r="AD54">
        <f t="shared" si="22"/>
        <v>10.248281791233481</v>
      </c>
      <c r="AE54">
        <v>6</v>
      </c>
      <c r="AF54">
        <v>1</v>
      </c>
      <c r="AG54">
        <f t="shared" si="23"/>
        <v>1</v>
      </c>
      <c r="AH54">
        <f t="shared" si="24"/>
        <v>0</v>
      </c>
      <c r="AI54">
        <f t="shared" si="25"/>
        <v>25226.509126892473</v>
      </c>
      <c r="AJ54">
        <f t="shared" si="26"/>
        <v>1.436692333333333</v>
      </c>
      <c r="AK54">
        <f t="shared" si="27"/>
        <v>1.1493538666666665</v>
      </c>
      <c r="AL54">
        <f t="shared" si="28"/>
        <v>0.8</v>
      </c>
      <c r="AM54">
        <f t="shared" si="29"/>
        <v>0.19109999999999999</v>
      </c>
      <c r="AN54">
        <v>3</v>
      </c>
      <c r="AO54">
        <v>0.5</v>
      </c>
      <c r="AP54" t="s">
        <v>317</v>
      </c>
      <c r="AQ54">
        <v>2</v>
      </c>
      <c r="AR54">
        <v>1775534238.75</v>
      </c>
      <c r="AS54">
        <v>1.402523333333332</v>
      </c>
      <c r="AT54">
        <v>0.4776547333333333</v>
      </c>
      <c r="AU54">
        <v>0.57954966666666685</v>
      </c>
      <c r="AV54">
        <v>0.3192719</v>
      </c>
      <c r="AW54">
        <v>-5.557476666666668</v>
      </c>
      <c r="AX54">
        <v>2.0235496666666668</v>
      </c>
      <c r="AY54">
        <v>499.99730000000011</v>
      </c>
      <c r="AZ54">
        <v>100.3348666666666</v>
      </c>
      <c r="BA54">
        <v>4.8184183333333332E-2</v>
      </c>
      <c r="BB54">
        <v>31.198963333333332</v>
      </c>
      <c r="BC54">
        <v>30.99263333333333</v>
      </c>
      <c r="BD54">
        <v>999.9000000000002</v>
      </c>
      <c r="BE54">
        <v>0</v>
      </c>
      <c r="BF54">
        <v>0</v>
      </c>
      <c r="BG54">
        <v>4995.1333333333332</v>
      </c>
      <c r="BH54">
        <v>1.436692333333333</v>
      </c>
      <c r="BI54">
        <v>1429.290666666667</v>
      </c>
      <c r="BJ54">
        <v>0.95836236666666652</v>
      </c>
      <c r="BK54">
        <v>1.436864666666666</v>
      </c>
      <c r="BL54">
        <v>0.47780713333333341</v>
      </c>
      <c r="BM54">
        <v>0.27147853333333333</v>
      </c>
      <c r="BN54">
        <v>0.4776547333333333</v>
      </c>
      <c r="BO54">
        <v>0.3192719</v>
      </c>
      <c r="BP54">
        <v>5.9272900000000003E-2</v>
      </c>
      <c r="BQ54">
        <v>3.2034130000000001E-2</v>
      </c>
      <c r="BR54">
        <v>-28.38878333333334</v>
      </c>
      <c r="BS54">
        <v>-34.786143333333342</v>
      </c>
      <c r="BT54">
        <v>1775534264</v>
      </c>
      <c r="BU54" t="s">
        <v>433</v>
      </c>
      <c r="BV54">
        <v>1775534264</v>
      </c>
      <c r="BW54">
        <v>1775534263.5</v>
      </c>
      <c r="BX54">
        <v>39</v>
      </c>
      <c r="BY54">
        <v>-3.3000000000000002E-2</v>
      </c>
      <c r="BZ54">
        <v>-1.0999999999999999E-2</v>
      </c>
      <c r="CA54">
        <v>6.96</v>
      </c>
      <c r="CB54">
        <v>-1.444</v>
      </c>
      <c r="CC54">
        <v>0</v>
      </c>
      <c r="CD54">
        <v>0</v>
      </c>
      <c r="CE54">
        <v>0.33</v>
      </c>
      <c r="CF54">
        <v>0.14000000000000001</v>
      </c>
      <c r="CG54">
        <v>0.55712301666666664</v>
      </c>
      <c r="CH54">
        <v>-0.55310087579883105</v>
      </c>
      <c r="CI54">
        <v>0.1001469471351127</v>
      </c>
      <c r="CJ54">
        <v>-1</v>
      </c>
      <c r="CK54">
        <v>499.98915</v>
      </c>
      <c r="CL54">
        <v>3.5166435122106848E-2</v>
      </c>
      <c r="CM54">
        <v>5.3972778632689573E-2</v>
      </c>
      <c r="CN54">
        <v>-1</v>
      </c>
      <c r="CO54">
        <v>0</v>
      </c>
      <c r="CP54">
        <v>0</v>
      </c>
      <c r="CQ54" t="s">
        <v>319</v>
      </c>
      <c r="CR54">
        <v>3.1680700000000002</v>
      </c>
      <c r="CS54">
        <v>2.6699000000000002</v>
      </c>
      <c r="CT54">
        <v>-1.6306999999999999E-3</v>
      </c>
      <c r="CU54">
        <v>1.5387699999999999E-4</v>
      </c>
      <c r="CV54">
        <v>1.4932000000000001E-2</v>
      </c>
      <c r="CW54">
        <v>2.6096100000000001E-3</v>
      </c>
      <c r="CX54">
        <v>21364.7</v>
      </c>
      <c r="CY54">
        <v>21750</v>
      </c>
      <c r="CZ54">
        <v>22868</v>
      </c>
      <c r="DA54">
        <v>22122.400000000001</v>
      </c>
      <c r="DB54">
        <v>29069.3</v>
      </c>
      <c r="DC54">
        <v>26273.1</v>
      </c>
      <c r="DD54">
        <v>40234</v>
      </c>
      <c r="DE54">
        <v>36611.1</v>
      </c>
      <c r="DF54">
        <v>2.0146199999999999</v>
      </c>
      <c r="DG54">
        <v>1.68998</v>
      </c>
      <c r="DH54">
        <v>-6.9382799999999994E-2</v>
      </c>
      <c r="DI54">
        <v>0</v>
      </c>
      <c r="DJ54">
        <v>32.120800000000003</v>
      </c>
      <c r="DK54">
        <v>999.9</v>
      </c>
      <c r="DL54">
        <v>66.2</v>
      </c>
      <c r="DM54">
        <v>36.6</v>
      </c>
      <c r="DN54">
        <v>40.698900000000002</v>
      </c>
      <c r="DO54">
        <v>30.573699999999999</v>
      </c>
      <c r="DP54">
        <v>9.1666600000000003</v>
      </c>
      <c r="DQ54">
        <v>1</v>
      </c>
      <c r="DR54">
        <v>0.808419</v>
      </c>
      <c r="DS54">
        <v>2.65368</v>
      </c>
      <c r="DT54">
        <v>20.335699999999999</v>
      </c>
      <c r="DU54">
        <v>5.20974</v>
      </c>
      <c r="DV54">
        <v>11.854200000000001</v>
      </c>
      <c r="DW54">
        <v>4.9673999999999996</v>
      </c>
      <c r="DX54">
        <v>3.2930000000000001</v>
      </c>
      <c r="DY54">
        <v>894.7</v>
      </c>
      <c r="DZ54">
        <v>6</v>
      </c>
      <c r="EA54">
        <v>9999</v>
      </c>
      <c r="EB54">
        <v>116.4</v>
      </c>
      <c r="EC54">
        <v>4.9716100000000001</v>
      </c>
      <c r="ED54">
        <v>1.8721000000000001</v>
      </c>
      <c r="EE54">
        <v>1.86937</v>
      </c>
      <c r="EF54">
        <v>1.8717999999999999</v>
      </c>
      <c r="EG54">
        <v>1.86951</v>
      </c>
      <c r="EH54">
        <v>1.86839</v>
      </c>
      <c r="EI54">
        <v>1.87026</v>
      </c>
      <c r="EJ54">
        <v>1.87195</v>
      </c>
      <c r="EK54">
        <v>0</v>
      </c>
      <c r="EL54">
        <v>0</v>
      </c>
      <c r="EM54">
        <v>0</v>
      </c>
      <c r="EN54">
        <v>0</v>
      </c>
      <c r="EO54" t="s">
        <v>320</v>
      </c>
      <c r="EP54" t="s">
        <v>321</v>
      </c>
      <c r="EQ54" t="s">
        <v>322</v>
      </c>
      <c r="ER54" t="s">
        <v>322</v>
      </c>
      <c r="ES54" t="s">
        <v>322</v>
      </c>
      <c r="ET54" t="s">
        <v>322</v>
      </c>
      <c r="EU54">
        <v>0</v>
      </c>
      <c r="EV54">
        <v>100</v>
      </c>
      <c r="EW54">
        <v>100</v>
      </c>
      <c r="EX54">
        <v>6.96</v>
      </c>
      <c r="EY54">
        <v>-1.444</v>
      </c>
      <c r="EZ54">
        <v>6.993494142857144</v>
      </c>
      <c r="FA54">
        <v>0</v>
      </c>
      <c r="FB54">
        <v>0</v>
      </c>
      <c r="FC54">
        <v>0</v>
      </c>
      <c r="FD54">
        <v>-1.4327994500000001</v>
      </c>
      <c r="FE54">
        <v>0</v>
      </c>
      <c r="FF54">
        <v>0</v>
      </c>
      <c r="FG54">
        <v>0</v>
      </c>
      <c r="FH54">
        <v>-1</v>
      </c>
      <c r="FI54">
        <v>-1</v>
      </c>
      <c r="FJ54">
        <v>-1</v>
      </c>
      <c r="FK54">
        <v>-1</v>
      </c>
      <c r="FL54">
        <v>0.7</v>
      </c>
      <c r="FM54">
        <v>0.7</v>
      </c>
      <c r="FN54">
        <v>0.142822</v>
      </c>
      <c r="FO54">
        <v>4.99756</v>
      </c>
      <c r="FP54">
        <v>1.5979000000000001</v>
      </c>
      <c r="FQ54">
        <v>2.1362299999999999</v>
      </c>
      <c r="FR54">
        <v>1.5478499999999999</v>
      </c>
      <c r="FS54">
        <v>2.49634</v>
      </c>
      <c r="FT54">
        <v>43.480800000000002</v>
      </c>
      <c r="FU54">
        <v>15.7081</v>
      </c>
      <c r="FV54">
        <v>2</v>
      </c>
      <c r="FW54">
        <v>506.01100000000002</v>
      </c>
      <c r="FX54">
        <v>384.517</v>
      </c>
      <c r="FY54">
        <v>29.462700000000002</v>
      </c>
      <c r="FZ54">
        <v>37.0289</v>
      </c>
      <c r="GA54">
        <v>30.000900000000001</v>
      </c>
      <c r="GB54">
        <v>37.152299999999997</v>
      </c>
      <c r="GC54">
        <v>37.174799999999998</v>
      </c>
      <c r="GD54">
        <v>-1</v>
      </c>
      <c r="GE54">
        <v>0</v>
      </c>
      <c r="GF54">
        <v>100</v>
      </c>
      <c r="GG54">
        <v>29.460599999999999</v>
      </c>
      <c r="GH54">
        <v>432.1</v>
      </c>
      <c r="GI54">
        <v>33.443899999999999</v>
      </c>
      <c r="GJ54">
        <v>101.235</v>
      </c>
      <c r="GK54">
        <v>95.582300000000004</v>
      </c>
    </row>
    <row r="55" spans="1:193" x14ac:dyDescent="0.35">
      <c r="A55">
        <v>39</v>
      </c>
      <c r="B55">
        <v>1775534306.5</v>
      </c>
      <c r="C55">
        <v>2280.400000095367</v>
      </c>
      <c r="D55" t="s">
        <v>434</v>
      </c>
      <c r="E55" t="s">
        <v>435</v>
      </c>
      <c r="F55">
        <v>60</v>
      </c>
      <c r="G55">
        <v>1775534298.75</v>
      </c>
      <c r="H55">
        <f t="shared" si="0"/>
        <v>1.7154352677316848E-4</v>
      </c>
      <c r="I55">
        <f t="shared" si="1"/>
        <v>0.17154352677316848</v>
      </c>
      <c r="J55">
        <f t="shared" si="2"/>
        <v>-1.7177930703614841</v>
      </c>
      <c r="K55">
        <f t="shared" si="3"/>
        <v>0.51809533333333313</v>
      </c>
      <c r="L55">
        <f t="shared" si="4"/>
        <v>702.90813171243167</v>
      </c>
      <c r="M55">
        <f t="shared" si="5"/>
        <v>70.557342108585587</v>
      </c>
      <c r="N55">
        <f t="shared" si="6"/>
        <v>5.2005984892798118E-2</v>
      </c>
      <c r="O55">
        <f t="shared" si="7"/>
        <v>3.7784191430135427E-3</v>
      </c>
      <c r="P55">
        <f t="shared" si="8"/>
        <v>2.3955482456879031</v>
      </c>
      <c r="Q55">
        <f t="shared" si="9"/>
        <v>3.7751113977720187E-3</v>
      </c>
      <c r="R55">
        <f t="shared" si="10"/>
        <v>2.3597415632485184E-3</v>
      </c>
      <c r="S55">
        <f t="shared" si="11"/>
        <v>0.28410824259999989</v>
      </c>
      <c r="T55">
        <f t="shared" si="12"/>
        <v>31.156331025520462</v>
      </c>
      <c r="U55">
        <f t="shared" si="13"/>
        <v>30.98542333333333</v>
      </c>
      <c r="V55">
        <f t="shared" si="14"/>
        <v>4.5076301428680585</v>
      </c>
      <c r="W55">
        <f t="shared" si="15"/>
        <v>1.0926938531753274</v>
      </c>
      <c r="X55">
        <f t="shared" si="16"/>
        <v>4.9882831389911508E-2</v>
      </c>
      <c r="Y55">
        <f t="shared" si="17"/>
        <v>4.565124187800075</v>
      </c>
      <c r="Z55">
        <f t="shared" si="18"/>
        <v>4.4577473114781467</v>
      </c>
      <c r="AA55">
        <f t="shared" si="19"/>
        <v>-7.5650695306967304</v>
      </c>
      <c r="AB55">
        <f t="shared" si="20"/>
        <v>28.728288905459433</v>
      </c>
      <c r="AC55">
        <f t="shared" si="21"/>
        <v>2.6955723311566606</v>
      </c>
      <c r="AD55">
        <f t="shared" si="22"/>
        <v>24.142899948519364</v>
      </c>
      <c r="AE55">
        <v>6</v>
      </c>
      <c r="AF55">
        <v>1</v>
      </c>
      <c r="AG55">
        <f t="shared" si="23"/>
        <v>1</v>
      </c>
      <c r="AH55">
        <f t="shared" si="24"/>
        <v>0</v>
      </c>
      <c r="AI55">
        <f t="shared" si="25"/>
        <v>25269.72119326111</v>
      </c>
      <c r="AJ55">
        <f t="shared" si="26"/>
        <v>1.4866993333333329</v>
      </c>
      <c r="AK55">
        <f t="shared" si="27"/>
        <v>1.1893594666666665</v>
      </c>
      <c r="AL55">
        <f t="shared" si="28"/>
        <v>0.8</v>
      </c>
      <c r="AM55">
        <f t="shared" si="29"/>
        <v>0.19109999999999999</v>
      </c>
      <c r="AN55">
        <v>3</v>
      </c>
      <c r="AO55">
        <v>0.5</v>
      </c>
      <c r="AP55" t="s">
        <v>317</v>
      </c>
      <c r="AQ55">
        <v>2</v>
      </c>
      <c r="AR55">
        <v>1775534298.75</v>
      </c>
      <c r="AS55">
        <v>0.51809533333333313</v>
      </c>
      <c r="AT55">
        <v>-0.51254120000000003</v>
      </c>
      <c r="AU55">
        <v>0.49694399999999977</v>
      </c>
      <c r="AV55">
        <v>0.39406763333333328</v>
      </c>
      <c r="AW55">
        <v>-6.4639046666666671</v>
      </c>
      <c r="AX55">
        <v>1.9479439999999999</v>
      </c>
      <c r="AY55">
        <v>499.9932</v>
      </c>
      <c r="AZ55">
        <v>100.3300666666667</v>
      </c>
      <c r="BA55">
        <v>4.9113663333333342E-2</v>
      </c>
      <c r="BB55">
        <v>31.207866666666671</v>
      </c>
      <c r="BC55">
        <v>30.98542333333333</v>
      </c>
      <c r="BD55">
        <v>999.9000000000002</v>
      </c>
      <c r="BE55">
        <v>0</v>
      </c>
      <c r="BF55">
        <v>0</v>
      </c>
      <c r="BG55">
        <v>5002.8666666666668</v>
      </c>
      <c r="BH55">
        <v>1.4866993333333329</v>
      </c>
      <c r="BI55">
        <v>1495.806</v>
      </c>
      <c r="BJ55">
        <v>1.008773533333333</v>
      </c>
      <c r="BK55">
        <v>0.4964832666666667</v>
      </c>
      <c r="BL55">
        <v>-0.51274339999999996</v>
      </c>
      <c r="BM55">
        <v>0.1101401733333333</v>
      </c>
      <c r="BN55">
        <v>-0.51254120000000003</v>
      </c>
      <c r="BO55">
        <v>0.39406763333333328</v>
      </c>
      <c r="BP55">
        <v>5.058724333333333E-2</v>
      </c>
      <c r="BQ55">
        <v>3.9536849999999991E-2</v>
      </c>
      <c r="BR55">
        <v>-30.074133333333339</v>
      </c>
      <c r="BS55">
        <v>-32.6419</v>
      </c>
      <c r="BT55">
        <v>1775534326.5</v>
      </c>
      <c r="BU55" t="s">
        <v>436</v>
      </c>
      <c r="BV55">
        <v>1775534326.5</v>
      </c>
      <c r="BW55">
        <v>1775534324.5</v>
      </c>
      <c r="BX55">
        <v>40</v>
      </c>
      <c r="BY55">
        <v>2.1999999999999999E-2</v>
      </c>
      <c r="BZ55">
        <v>-8.0000000000000002E-3</v>
      </c>
      <c r="CA55">
        <v>6.9820000000000002</v>
      </c>
      <c r="CB55">
        <v>-1.4510000000000001</v>
      </c>
      <c r="CC55">
        <v>-1</v>
      </c>
      <c r="CD55">
        <v>0</v>
      </c>
      <c r="CE55">
        <v>0.25</v>
      </c>
      <c r="CF55">
        <v>0.18</v>
      </c>
      <c r="CG55">
        <v>-0.43041770000000001</v>
      </c>
      <c r="CH55">
        <v>-0.76470061016949209</v>
      </c>
      <c r="CI55">
        <v>0.1295728347546018</v>
      </c>
      <c r="CJ55">
        <v>-1</v>
      </c>
      <c r="CK55">
        <v>499.98718333333329</v>
      </c>
      <c r="CL55">
        <v>6.4888024451263293E-2</v>
      </c>
      <c r="CM55">
        <v>7.3611251781834253E-2</v>
      </c>
      <c r="CN55">
        <v>-1</v>
      </c>
      <c r="CO55">
        <v>0</v>
      </c>
      <c r="CP55">
        <v>0</v>
      </c>
      <c r="CQ55" t="s">
        <v>319</v>
      </c>
      <c r="CR55">
        <v>3.16797</v>
      </c>
      <c r="CS55">
        <v>2.6707100000000001</v>
      </c>
      <c r="CT55">
        <v>-1.9023099999999999E-3</v>
      </c>
      <c r="CU55">
        <v>-1.8621100000000001E-4</v>
      </c>
      <c r="CV55">
        <v>1.43313E-2</v>
      </c>
      <c r="CW55">
        <v>3.1784399999999998E-3</v>
      </c>
      <c r="CX55">
        <v>21366</v>
      </c>
      <c r="CY55">
        <v>21753.7</v>
      </c>
      <c r="CZ55">
        <v>22863.5</v>
      </c>
      <c r="DA55">
        <v>22118.799999999999</v>
      </c>
      <c r="DB55">
        <v>29081.599999999999</v>
      </c>
      <c r="DC55">
        <v>26253.200000000001</v>
      </c>
      <c r="DD55">
        <v>40226.800000000003</v>
      </c>
      <c r="DE55">
        <v>36604.6</v>
      </c>
      <c r="DF55">
        <v>2.0132400000000001</v>
      </c>
      <c r="DG55">
        <v>1.6881999999999999</v>
      </c>
      <c r="DH55">
        <v>-7.1147100000000005E-2</v>
      </c>
      <c r="DI55">
        <v>0</v>
      </c>
      <c r="DJ55">
        <v>32.142099999999999</v>
      </c>
      <c r="DK55">
        <v>999.9</v>
      </c>
      <c r="DL55">
        <v>65.7</v>
      </c>
      <c r="DM55">
        <v>36.9</v>
      </c>
      <c r="DN55">
        <v>41.060400000000001</v>
      </c>
      <c r="DO55">
        <v>30.753699999999998</v>
      </c>
      <c r="DP55">
        <v>9.2427899999999994</v>
      </c>
      <c r="DQ55">
        <v>1</v>
      </c>
      <c r="DR55">
        <v>0.81762999999999997</v>
      </c>
      <c r="DS55">
        <v>2.7296299999999998</v>
      </c>
      <c r="DT55">
        <v>20.334199999999999</v>
      </c>
      <c r="DU55">
        <v>5.2111799999999997</v>
      </c>
      <c r="DV55">
        <v>11.854200000000001</v>
      </c>
      <c r="DW55">
        <v>4.9677199999999999</v>
      </c>
      <c r="DX55">
        <v>3.2930000000000001</v>
      </c>
      <c r="DY55">
        <v>894.7</v>
      </c>
      <c r="DZ55">
        <v>6</v>
      </c>
      <c r="EA55">
        <v>9999</v>
      </c>
      <c r="EB55">
        <v>116.4</v>
      </c>
      <c r="EC55">
        <v>4.9715999999999996</v>
      </c>
      <c r="ED55">
        <v>1.8721099999999999</v>
      </c>
      <c r="EE55">
        <v>1.86937</v>
      </c>
      <c r="EF55">
        <v>1.8717900000000001</v>
      </c>
      <c r="EG55">
        <v>1.86951</v>
      </c>
      <c r="EH55">
        <v>1.86836</v>
      </c>
      <c r="EI55">
        <v>1.87025</v>
      </c>
      <c r="EJ55">
        <v>1.8719600000000001</v>
      </c>
      <c r="EK55">
        <v>0</v>
      </c>
      <c r="EL55">
        <v>0</v>
      </c>
      <c r="EM55">
        <v>0</v>
      </c>
      <c r="EN55">
        <v>0</v>
      </c>
      <c r="EO55" t="s">
        <v>320</v>
      </c>
      <c r="EP55" t="s">
        <v>321</v>
      </c>
      <c r="EQ55" t="s">
        <v>322</v>
      </c>
      <c r="ER55" t="s">
        <v>322</v>
      </c>
      <c r="ES55" t="s">
        <v>322</v>
      </c>
      <c r="ET55" t="s">
        <v>322</v>
      </c>
      <c r="EU55">
        <v>0</v>
      </c>
      <c r="EV55">
        <v>100</v>
      </c>
      <c r="EW55">
        <v>100</v>
      </c>
      <c r="EX55">
        <v>6.9820000000000002</v>
      </c>
      <c r="EY55">
        <v>-1.4510000000000001</v>
      </c>
      <c r="EZ55">
        <v>6.960137579523809</v>
      </c>
      <c r="FA55">
        <v>0</v>
      </c>
      <c r="FB55">
        <v>0</v>
      </c>
      <c r="FC55">
        <v>0</v>
      </c>
      <c r="FD55">
        <v>-1.4437367000000001</v>
      </c>
      <c r="FE55">
        <v>0</v>
      </c>
      <c r="FF55">
        <v>0</v>
      </c>
      <c r="FG55">
        <v>0</v>
      </c>
      <c r="FH55">
        <v>-1</v>
      </c>
      <c r="FI55">
        <v>-1</v>
      </c>
      <c r="FJ55">
        <v>-1</v>
      </c>
      <c r="FK55">
        <v>-1</v>
      </c>
      <c r="FL55">
        <v>0.7</v>
      </c>
      <c r="FM55">
        <v>0.7</v>
      </c>
      <c r="FN55">
        <v>0.142822</v>
      </c>
      <c r="FO55">
        <v>4.99756</v>
      </c>
      <c r="FP55">
        <v>1.5979000000000001</v>
      </c>
      <c r="FQ55">
        <v>2.1362299999999999</v>
      </c>
      <c r="FR55">
        <v>1.5478499999999999</v>
      </c>
      <c r="FS55">
        <v>2.3840300000000001</v>
      </c>
      <c r="FT55">
        <v>43.6995</v>
      </c>
      <c r="FU55">
        <v>15.699299999999999</v>
      </c>
      <c r="FV55">
        <v>2</v>
      </c>
      <c r="FW55">
        <v>505.83699999999999</v>
      </c>
      <c r="FX55">
        <v>384.00099999999998</v>
      </c>
      <c r="FY55">
        <v>29.372</v>
      </c>
      <c r="FZ55">
        <v>37.129399999999997</v>
      </c>
      <c r="GA55">
        <v>30.000699999999998</v>
      </c>
      <c r="GB55">
        <v>37.2485</v>
      </c>
      <c r="GC55">
        <v>37.267000000000003</v>
      </c>
      <c r="GD55">
        <v>-1</v>
      </c>
      <c r="GE55">
        <v>0</v>
      </c>
      <c r="GF55">
        <v>100</v>
      </c>
      <c r="GG55">
        <v>29.3706</v>
      </c>
      <c r="GH55">
        <v>432.1</v>
      </c>
      <c r="GI55">
        <v>35.274500000000003</v>
      </c>
      <c r="GJ55">
        <v>101.21599999999999</v>
      </c>
      <c r="GK55">
        <v>95.566000000000003</v>
      </c>
    </row>
    <row r="56" spans="1:193" x14ac:dyDescent="0.35">
      <c r="A56">
        <v>40</v>
      </c>
      <c r="B56">
        <v>1775534366.5</v>
      </c>
      <c r="C56">
        <v>2340.400000095367</v>
      </c>
      <c r="D56" t="s">
        <v>437</v>
      </c>
      <c r="E56" t="s">
        <v>438</v>
      </c>
      <c r="F56">
        <v>60</v>
      </c>
      <c r="G56">
        <v>1775534358.5</v>
      </c>
      <c r="H56">
        <f t="shared" si="0"/>
        <v>6.088905349459767E-6</v>
      </c>
      <c r="I56">
        <f t="shared" si="1"/>
        <v>6.088905349459767E-3</v>
      </c>
      <c r="J56">
        <f t="shared" si="2"/>
        <v>-1.6040501973507284</v>
      </c>
      <c r="K56">
        <f t="shared" si="3"/>
        <v>0.2462396774193554</v>
      </c>
      <c r="L56">
        <f t="shared" si="4"/>
        <v>18473.662640499697</v>
      </c>
      <c r="M56">
        <f t="shared" si="5"/>
        <v>1854.3156965927924</v>
      </c>
      <c r="N56">
        <f t="shared" si="6"/>
        <v>2.4716598318821833E-2</v>
      </c>
      <c r="O56">
        <f t="shared" si="7"/>
        <v>1.3406061494995687E-4</v>
      </c>
      <c r="P56">
        <f t="shared" si="8"/>
        <v>2.3945783829888927</v>
      </c>
      <c r="Q56">
        <f t="shared" si="9"/>
        <v>1.3405644542801532E-4</v>
      </c>
      <c r="R56">
        <f t="shared" si="10"/>
        <v>8.3785652987222316E-5</v>
      </c>
      <c r="S56">
        <f t="shared" si="11"/>
        <v>0.29332117770967747</v>
      </c>
      <c r="T56">
        <f t="shared" si="12"/>
        <v>31.189804640956357</v>
      </c>
      <c r="U56">
        <f t="shared" si="13"/>
        <v>30.971674193548392</v>
      </c>
      <c r="V56">
        <f t="shared" si="14"/>
        <v>4.5040972479389598</v>
      </c>
      <c r="W56">
        <f t="shared" si="15"/>
        <v>1.0602649126492629</v>
      </c>
      <c r="X56">
        <f t="shared" si="16"/>
        <v>4.8352177552550481E-2</v>
      </c>
      <c r="Y56">
        <f t="shared" si="17"/>
        <v>4.5603864633918567</v>
      </c>
      <c r="Z56">
        <f t="shared" si="18"/>
        <v>4.455745070386409</v>
      </c>
      <c r="AA56">
        <f t="shared" si="19"/>
        <v>-0.26852072591117571</v>
      </c>
      <c r="AB56">
        <f t="shared" si="20"/>
        <v>28.137208967886991</v>
      </c>
      <c r="AC56">
        <f t="shared" si="21"/>
        <v>2.6407639563886169</v>
      </c>
      <c r="AD56">
        <f t="shared" si="22"/>
        <v>30.802773376074111</v>
      </c>
      <c r="AE56">
        <v>6</v>
      </c>
      <c r="AF56">
        <v>1</v>
      </c>
      <c r="AG56">
        <f t="shared" si="23"/>
        <v>1</v>
      </c>
      <c r="AH56">
        <f t="shared" si="24"/>
        <v>0</v>
      </c>
      <c r="AI56">
        <f t="shared" si="25"/>
        <v>25256.761867553039</v>
      </c>
      <c r="AJ56">
        <f t="shared" si="26"/>
        <v>1.53490935483871</v>
      </c>
      <c r="AK56">
        <f t="shared" si="27"/>
        <v>1.2279274838709682</v>
      </c>
      <c r="AL56">
        <f t="shared" si="28"/>
        <v>0.8</v>
      </c>
      <c r="AM56">
        <f t="shared" si="29"/>
        <v>0.19109999999999999</v>
      </c>
      <c r="AN56">
        <v>3</v>
      </c>
      <c r="AO56">
        <v>0.5</v>
      </c>
      <c r="AP56" t="s">
        <v>317</v>
      </c>
      <c r="AQ56">
        <v>2</v>
      </c>
      <c r="AR56">
        <v>1775534358.5</v>
      </c>
      <c r="AS56">
        <v>0.2462396774193554</v>
      </c>
      <c r="AT56">
        <v>-0.71623983870967733</v>
      </c>
      <c r="AU56">
        <v>0.48170967741935461</v>
      </c>
      <c r="AV56">
        <v>0.47805790322580638</v>
      </c>
      <c r="AW56">
        <v>-6.7557603225806444</v>
      </c>
      <c r="AX56">
        <v>1.943709677419355</v>
      </c>
      <c r="AY56">
        <v>499.97387096774202</v>
      </c>
      <c r="AZ56">
        <v>100.32783870967749</v>
      </c>
      <c r="BA56">
        <v>4.8341838709677433E-2</v>
      </c>
      <c r="BB56">
        <v>31.189629032258061</v>
      </c>
      <c r="BC56">
        <v>30.971674193548392</v>
      </c>
      <c r="BD56">
        <v>999.90000000000032</v>
      </c>
      <c r="BE56">
        <v>0</v>
      </c>
      <c r="BF56">
        <v>0</v>
      </c>
      <c r="BG56">
        <v>5000.4838709677406</v>
      </c>
      <c r="BH56">
        <v>1.53490935483871</v>
      </c>
      <c r="BI56">
        <v>1612.556774193549</v>
      </c>
      <c r="BJ56">
        <v>0.94220709677419345</v>
      </c>
      <c r="BK56">
        <v>0.22607893548387101</v>
      </c>
      <c r="BL56">
        <v>-0.71658180645161296</v>
      </c>
      <c r="BM56">
        <v>1.432393903225806E-2</v>
      </c>
      <c r="BN56">
        <v>-0.71623983870967733</v>
      </c>
      <c r="BO56">
        <v>0.47805790322580638</v>
      </c>
      <c r="BP56">
        <v>4.9399603225806443E-2</v>
      </c>
      <c r="BQ56">
        <v>4.7962506451612888E-2</v>
      </c>
      <c r="BR56">
        <v>-30.3266064516129</v>
      </c>
      <c r="BS56">
        <v>-30.634583870967749</v>
      </c>
      <c r="BT56">
        <v>1775534390.5</v>
      </c>
      <c r="BU56" t="s">
        <v>439</v>
      </c>
      <c r="BV56">
        <v>1775534390.5</v>
      </c>
      <c r="BW56">
        <v>1775534387</v>
      </c>
      <c r="BX56">
        <v>41</v>
      </c>
      <c r="BY56">
        <v>2.1000000000000001E-2</v>
      </c>
      <c r="BZ56">
        <v>-1.0999999999999999E-2</v>
      </c>
      <c r="CA56">
        <v>7.0019999999999998</v>
      </c>
      <c r="CB56">
        <v>-1.462</v>
      </c>
      <c r="CC56">
        <v>0</v>
      </c>
      <c r="CD56">
        <v>1</v>
      </c>
      <c r="CE56">
        <v>0.2</v>
      </c>
      <c r="CF56">
        <v>0.18</v>
      </c>
      <c r="CG56">
        <v>-0.78199875409836062</v>
      </c>
      <c r="CH56">
        <v>0.44855235959809758</v>
      </c>
      <c r="CI56">
        <v>9.3848193372770769E-2</v>
      </c>
      <c r="CJ56">
        <v>-1</v>
      </c>
      <c r="CK56">
        <v>499.9945737704918</v>
      </c>
      <c r="CL56">
        <v>-0.20404442094181791</v>
      </c>
      <c r="CM56">
        <v>8.2132731243525436E-2</v>
      </c>
      <c r="CN56">
        <v>-1</v>
      </c>
      <c r="CO56">
        <v>0</v>
      </c>
      <c r="CP56">
        <v>0</v>
      </c>
      <c r="CQ56" t="s">
        <v>319</v>
      </c>
      <c r="CR56">
        <v>3.1679300000000001</v>
      </c>
      <c r="CS56">
        <v>2.6695199999999999</v>
      </c>
      <c r="CT56">
        <v>-1.95385E-3</v>
      </c>
      <c r="CU56">
        <v>-2.0706899999999999E-4</v>
      </c>
      <c r="CV56">
        <v>1.44806E-2</v>
      </c>
      <c r="CW56">
        <v>3.8273500000000002E-3</v>
      </c>
      <c r="CX56">
        <v>21364.7</v>
      </c>
      <c r="CY56">
        <v>21752.799999999999</v>
      </c>
      <c r="CZ56">
        <v>22861.3</v>
      </c>
      <c r="DA56">
        <v>22117.599999999999</v>
      </c>
      <c r="DB56">
        <v>29074.6</v>
      </c>
      <c r="DC56">
        <v>26234.3</v>
      </c>
      <c r="DD56">
        <v>40223.300000000003</v>
      </c>
      <c r="DE56">
        <v>36602.300000000003</v>
      </c>
      <c r="DF56">
        <v>2.0125000000000002</v>
      </c>
      <c r="DG56">
        <v>1.68574</v>
      </c>
      <c r="DH56">
        <v>-7.0443699999999998E-2</v>
      </c>
      <c r="DI56">
        <v>0</v>
      </c>
      <c r="DJ56">
        <v>32.125100000000003</v>
      </c>
      <c r="DK56">
        <v>999.9</v>
      </c>
      <c r="DL56">
        <v>65.2</v>
      </c>
      <c r="DM56">
        <v>37.1</v>
      </c>
      <c r="DN56">
        <v>41.198700000000002</v>
      </c>
      <c r="DO56">
        <v>30.933700000000002</v>
      </c>
      <c r="DP56">
        <v>9.3629800000000003</v>
      </c>
      <c r="DQ56">
        <v>1</v>
      </c>
      <c r="DR56">
        <v>0.82105300000000003</v>
      </c>
      <c r="DS56">
        <v>2.5522499999999999</v>
      </c>
      <c r="DT56">
        <v>20.337700000000002</v>
      </c>
      <c r="DU56">
        <v>5.2109399999999999</v>
      </c>
      <c r="DV56">
        <v>11.854200000000001</v>
      </c>
      <c r="DW56">
        <v>4.9677199999999999</v>
      </c>
      <c r="DX56">
        <v>3.2930000000000001</v>
      </c>
      <c r="DY56">
        <v>894.7</v>
      </c>
      <c r="DZ56">
        <v>6</v>
      </c>
      <c r="EA56">
        <v>9999</v>
      </c>
      <c r="EB56">
        <v>116.4</v>
      </c>
      <c r="EC56">
        <v>4.97159</v>
      </c>
      <c r="ED56">
        <v>1.8721099999999999</v>
      </c>
      <c r="EE56">
        <v>1.8694200000000001</v>
      </c>
      <c r="EF56">
        <v>1.8717999999999999</v>
      </c>
      <c r="EG56">
        <v>1.86951</v>
      </c>
      <c r="EH56">
        <v>1.8683700000000001</v>
      </c>
      <c r="EI56">
        <v>1.87026</v>
      </c>
      <c r="EJ56">
        <v>1.8719699999999999</v>
      </c>
      <c r="EK56">
        <v>0</v>
      </c>
      <c r="EL56">
        <v>0</v>
      </c>
      <c r="EM56">
        <v>0</v>
      </c>
      <c r="EN56">
        <v>0</v>
      </c>
      <c r="EO56" t="s">
        <v>320</v>
      </c>
      <c r="EP56" t="s">
        <v>321</v>
      </c>
      <c r="EQ56" t="s">
        <v>322</v>
      </c>
      <c r="ER56" t="s">
        <v>322</v>
      </c>
      <c r="ES56" t="s">
        <v>322</v>
      </c>
      <c r="ET56" t="s">
        <v>322</v>
      </c>
      <c r="EU56">
        <v>0</v>
      </c>
      <c r="EV56">
        <v>100</v>
      </c>
      <c r="EW56">
        <v>100</v>
      </c>
      <c r="EX56">
        <v>7.0019999999999998</v>
      </c>
      <c r="EY56">
        <v>-1.462</v>
      </c>
      <c r="EZ56">
        <v>6.9817271500000002</v>
      </c>
      <c r="FA56">
        <v>0</v>
      </c>
      <c r="FB56">
        <v>0</v>
      </c>
      <c r="FC56">
        <v>0</v>
      </c>
      <c r="FD56">
        <v>-1.4513285499999999</v>
      </c>
      <c r="FE56">
        <v>0</v>
      </c>
      <c r="FF56">
        <v>0</v>
      </c>
      <c r="FG56">
        <v>0</v>
      </c>
      <c r="FH56">
        <v>-1</v>
      </c>
      <c r="FI56">
        <v>-1</v>
      </c>
      <c r="FJ56">
        <v>-1</v>
      </c>
      <c r="FK56">
        <v>-1</v>
      </c>
      <c r="FL56">
        <v>0.7</v>
      </c>
      <c r="FM56">
        <v>0.7</v>
      </c>
      <c r="FN56">
        <v>0.142822</v>
      </c>
      <c r="FO56">
        <v>4.99756</v>
      </c>
      <c r="FP56">
        <v>1.5979000000000001</v>
      </c>
      <c r="FQ56">
        <v>2.1362299999999999</v>
      </c>
      <c r="FR56">
        <v>1.5478499999999999</v>
      </c>
      <c r="FS56">
        <v>2.4853499999999999</v>
      </c>
      <c r="FT56">
        <v>43.8917</v>
      </c>
      <c r="FU56">
        <v>15.699299999999999</v>
      </c>
      <c r="FV56">
        <v>2</v>
      </c>
      <c r="FW56">
        <v>505.85199999999998</v>
      </c>
      <c r="FX56">
        <v>382.95</v>
      </c>
      <c r="FY56">
        <v>29.420300000000001</v>
      </c>
      <c r="FZ56">
        <v>37.187100000000001</v>
      </c>
      <c r="GA56">
        <v>30.000499999999999</v>
      </c>
      <c r="GB56">
        <v>37.315800000000003</v>
      </c>
      <c r="GC56">
        <v>37.332700000000003</v>
      </c>
      <c r="GD56">
        <v>-1</v>
      </c>
      <c r="GE56">
        <v>0</v>
      </c>
      <c r="GF56">
        <v>100</v>
      </c>
      <c r="GG56">
        <v>29.420500000000001</v>
      </c>
      <c r="GH56">
        <v>432.1</v>
      </c>
      <c r="GI56">
        <v>35.274500000000003</v>
      </c>
      <c r="GJ56">
        <v>101.20699999999999</v>
      </c>
      <c r="GK56">
        <v>95.560400000000001</v>
      </c>
    </row>
    <row r="57" spans="1:193" x14ac:dyDescent="0.35">
      <c r="A57">
        <v>41</v>
      </c>
      <c r="B57">
        <v>1775534426.5</v>
      </c>
      <c r="C57">
        <v>2400.400000095367</v>
      </c>
      <c r="D57" t="s">
        <v>440</v>
      </c>
      <c r="E57" t="s">
        <v>441</v>
      </c>
      <c r="F57">
        <v>60</v>
      </c>
      <c r="G57">
        <v>1775534418.5</v>
      </c>
      <c r="H57">
        <f t="shared" si="0"/>
        <v>2.1662662476850498E-4</v>
      </c>
      <c r="I57">
        <f t="shared" si="1"/>
        <v>0.21662662476850497</v>
      </c>
      <c r="J57">
        <f t="shared" si="2"/>
        <v>-2.5337902353588029</v>
      </c>
      <c r="K57">
        <f t="shared" si="3"/>
        <v>0.71284612903225852</v>
      </c>
      <c r="L57">
        <f t="shared" si="4"/>
        <v>821.57793071332128</v>
      </c>
      <c r="M57">
        <f t="shared" si="5"/>
        <v>82.462324657002966</v>
      </c>
      <c r="N57">
        <f t="shared" si="6"/>
        <v>7.1548841230081026E-2</v>
      </c>
      <c r="O57">
        <f t="shared" si="7"/>
        <v>4.769681632190324E-3</v>
      </c>
      <c r="P57">
        <f t="shared" si="8"/>
        <v>2.3953545799368259</v>
      </c>
      <c r="Q57">
        <f t="shared" si="9"/>
        <v>4.7644115432798955E-3</v>
      </c>
      <c r="R57">
        <f t="shared" si="10"/>
        <v>2.9782302152783977E-3</v>
      </c>
      <c r="S57">
        <f t="shared" si="11"/>
        <v>0.29570740025806447</v>
      </c>
      <c r="T57">
        <f t="shared" si="12"/>
        <v>31.173816023260269</v>
      </c>
      <c r="U57">
        <f t="shared" si="13"/>
        <v>31.02084838709677</v>
      </c>
      <c r="V57">
        <f t="shared" si="14"/>
        <v>4.5167438717013848</v>
      </c>
      <c r="W57">
        <f t="shared" si="15"/>
        <v>1.2486804651701136</v>
      </c>
      <c r="X57">
        <f t="shared" si="16"/>
        <v>5.7106049473044311E-2</v>
      </c>
      <c r="Y57">
        <f t="shared" si="17"/>
        <v>4.5733116730759846</v>
      </c>
      <c r="Z57">
        <f t="shared" si="18"/>
        <v>4.4596378222283404</v>
      </c>
      <c r="AA57">
        <f t="shared" si="19"/>
        <v>-9.5532341522910702</v>
      </c>
      <c r="AB57">
        <f t="shared" si="20"/>
        <v>28.216314235469511</v>
      </c>
      <c r="AC57">
        <f t="shared" si="21"/>
        <v>2.6486217264594472</v>
      </c>
      <c r="AD57">
        <f t="shared" si="22"/>
        <v>21.607409209895952</v>
      </c>
      <c r="AE57">
        <v>7</v>
      </c>
      <c r="AF57">
        <v>1</v>
      </c>
      <c r="AG57">
        <f t="shared" si="23"/>
        <v>1</v>
      </c>
      <c r="AH57">
        <f t="shared" si="24"/>
        <v>0</v>
      </c>
      <c r="AI57">
        <f t="shared" si="25"/>
        <v>25264.493227826828</v>
      </c>
      <c r="AJ57">
        <f t="shared" si="26"/>
        <v>1.547396129032258</v>
      </c>
      <c r="AK57">
        <f t="shared" si="27"/>
        <v>1.2379169032258064</v>
      </c>
      <c r="AL57">
        <f t="shared" si="28"/>
        <v>0.8</v>
      </c>
      <c r="AM57">
        <f t="shared" si="29"/>
        <v>0.19109999999999999</v>
      </c>
      <c r="AN57">
        <v>3</v>
      </c>
      <c r="AO57">
        <v>0.5</v>
      </c>
      <c r="AP57" t="s">
        <v>317</v>
      </c>
      <c r="AQ57">
        <v>2</v>
      </c>
      <c r="AR57">
        <v>1775534418.5</v>
      </c>
      <c r="AS57">
        <v>0.71284612903225852</v>
      </c>
      <c r="AT57">
        <v>-0.80733016129032253</v>
      </c>
      <c r="AU57">
        <v>0.56895158064516127</v>
      </c>
      <c r="AV57">
        <v>0.43904999999999972</v>
      </c>
      <c r="AW57">
        <v>-6.2671538709677419</v>
      </c>
      <c r="AX57">
        <v>1.91205</v>
      </c>
      <c r="AY57">
        <v>500.00170967741929</v>
      </c>
      <c r="AZ57">
        <v>100.3225806451613</v>
      </c>
      <c r="BA57">
        <v>4.8086061290322578E-2</v>
      </c>
      <c r="BB57">
        <v>31.23934516129032</v>
      </c>
      <c r="BC57">
        <v>31.02084838709677</v>
      </c>
      <c r="BD57">
        <v>999.90000000000032</v>
      </c>
      <c r="BE57">
        <v>0</v>
      </c>
      <c r="BF57">
        <v>0</v>
      </c>
      <c r="BG57">
        <v>5002.7419354838712</v>
      </c>
      <c r="BH57">
        <v>1.547396129032258</v>
      </c>
      <c r="BI57">
        <v>1617.348387096775</v>
      </c>
      <c r="BJ57">
        <v>1.5424132258064509</v>
      </c>
      <c r="BK57">
        <v>0.73541903225806449</v>
      </c>
      <c r="BL57">
        <v>-0.80779090322580638</v>
      </c>
      <c r="BM57">
        <v>-0.1192026870967742</v>
      </c>
      <c r="BN57">
        <v>-0.80733016129032253</v>
      </c>
      <c r="BO57">
        <v>0.56895158064516127</v>
      </c>
      <c r="BP57">
        <v>4.5119935483870971E-2</v>
      </c>
      <c r="BQ57">
        <v>5.7078638709677422E-2</v>
      </c>
      <c r="BR57">
        <v>-31.284629032258071</v>
      </c>
      <c r="BS57">
        <v>-28.79261935483871</v>
      </c>
      <c r="BT57">
        <v>1775534448.5</v>
      </c>
      <c r="BU57" t="s">
        <v>442</v>
      </c>
      <c r="BV57">
        <v>1775534448.5</v>
      </c>
      <c r="BW57">
        <v>1775534448.5</v>
      </c>
      <c r="BX57">
        <v>42</v>
      </c>
      <c r="BY57">
        <v>-2.3E-2</v>
      </c>
      <c r="BZ57">
        <v>-0.01</v>
      </c>
      <c r="CA57">
        <v>6.98</v>
      </c>
      <c r="CB57">
        <v>-1.4730000000000001</v>
      </c>
      <c r="CC57">
        <v>-1</v>
      </c>
      <c r="CD57">
        <v>1</v>
      </c>
      <c r="CE57">
        <v>0.18</v>
      </c>
      <c r="CF57">
        <v>0.19</v>
      </c>
      <c r="CG57">
        <v>-0.27142282866666662</v>
      </c>
      <c r="CH57">
        <v>-3.866389727546538</v>
      </c>
      <c r="CI57">
        <v>0.57096172676708712</v>
      </c>
      <c r="CJ57">
        <v>-1</v>
      </c>
      <c r="CK57">
        <v>500.4511</v>
      </c>
      <c r="CL57">
        <v>-4.9155520978042873</v>
      </c>
      <c r="CM57">
        <v>1.357756405496459</v>
      </c>
      <c r="CN57">
        <v>-1</v>
      </c>
      <c r="CO57">
        <v>0</v>
      </c>
      <c r="CP57">
        <v>0</v>
      </c>
      <c r="CQ57" t="s">
        <v>319</v>
      </c>
      <c r="CR57">
        <v>3.16812</v>
      </c>
      <c r="CS57">
        <v>2.66919</v>
      </c>
      <c r="CT57">
        <v>-1.93254E-3</v>
      </c>
      <c r="CU57">
        <v>-2.8782200000000002E-4</v>
      </c>
      <c r="CV57">
        <v>1.38371E-2</v>
      </c>
      <c r="CW57">
        <v>4.4991800000000002E-3</v>
      </c>
      <c r="CX57">
        <v>21361.3</v>
      </c>
      <c r="CY57">
        <v>21752.2</v>
      </c>
      <c r="CZ57">
        <v>22858.3</v>
      </c>
      <c r="DA57">
        <v>22115.5</v>
      </c>
      <c r="DB57">
        <v>29090.1</v>
      </c>
      <c r="DC57">
        <v>26213.7</v>
      </c>
      <c r="DD57">
        <v>40218.699999999997</v>
      </c>
      <c r="DE57">
        <v>36598.5</v>
      </c>
      <c r="DF57">
        <v>2.0113599999999998</v>
      </c>
      <c r="DG57">
        <v>1.68414</v>
      </c>
      <c r="DH57">
        <v>-7.2580599999999995E-2</v>
      </c>
      <c r="DI57">
        <v>0</v>
      </c>
      <c r="DJ57">
        <v>32.193600000000004</v>
      </c>
      <c r="DK57">
        <v>999.9</v>
      </c>
      <c r="DL57">
        <v>64.8</v>
      </c>
      <c r="DM57">
        <v>37.299999999999997</v>
      </c>
      <c r="DN57">
        <v>41.394799999999996</v>
      </c>
      <c r="DO57">
        <v>30.7837</v>
      </c>
      <c r="DP57">
        <v>8.9463100000000004</v>
      </c>
      <c r="DQ57">
        <v>1</v>
      </c>
      <c r="DR57">
        <v>0.82900600000000002</v>
      </c>
      <c r="DS57">
        <v>3.0332499999999998</v>
      </c>
      <c r="DT57">
        <v>20.327200000000001</v>
      </c>
      <c r="DU57">
        <v>5.2083000000000004</v>
      </c>
      <c r="DV57">
        <v>11.854200000000001</v>
      </c>
      <c r="DW57">
        <v>4.9671200000000004</v>
      </c>
      <c r="DX57">
        <v>3.29244</v>
      </c>
      <c r="DY57">
        <v>894.7</v>
      </c>
      <c r="DZ57">
        <v>6</v>
      </c>
      <c r="EA57">
        <v>9999</v>
      </c>
      <c r="EB57">
        <v>116.4</v>
      </c>
      <c r="EC57">
        <v>4.9715999999999996</v>
      </c>
      <c r="ED57">
        <v>1.8721000000000001</v>
      </c>
      <c r="EE57">
        <v>1.86944</v>
      </c>
      <c r="EF57">
        <v>1.8717999999999999</v>
      </c>
      <c r="EG57">
        <v>1.86951</v>
      </c>
      <c r="EH57">
        <v>1.86843</v>
      </c>
      <c r="EI57">
        <v>1.87026</v>
      </c>
      <c r="EJ57">
        <v>1.87195</v>
      </c>
      <c r="EK57">
        <v>0</v>
      </c>
      <c r="EL57">
        <v>0</v>
      </c>
      <c r="EM57">
        <v>0</v>
      </c>
      <c r="EN57">
        <v>0</v>
      </c>
      <c r="EO57" t="s">
        <v>320</v>
      </c>
      <c r="EP57" t="s">
        <v>321</v>
      </c>
      <c r="EQ57" t="s">
        <v>322</v>
      </c>
      <c r="ER57" t="s">
        <v>322</v>
      </c>
      <c r="ES57" t="s">
        <v>322</v>
      </c>
      <c r="ET57" t="s">
        <v>322</v>
      </c>
      <c r="EU57">
        <v>0</v>
      </c>
      <c r="EV57">
        <v>100</v>
      </c>
      <c r="EW57">
        <v>100</v>
      </c>
      <c r="EX57">
        <v>6.98</v>
      </c>
      <c r="EY57">
        <v>-1.4730000000000001</v>
      </c>
      <c r="EZ57">
        <v>7.0022361500000017</v>
      </c>
      <c r="FA57">
        <v>0</v>
      </c>
      <c r="FB57">
        <v>0</v>
      </c>
      <c r="FC57">
        <v>0</v>
      </c>
      <c r="FD57">
        <v>-1.462301095238095</v>
      </c>
      <c r="FE57">
        <v>0</v>
      </c>
      <c r="FF57">
        <v>0</v>
      </c>
      <c r="FG57">
        <v>0</v>
      </c>
      <c r="FH57">
        <v>-1</v>
      </c>
      <c r="FI57">
        <v>-1</v>
      </c>
      <c r="FJ57">
        <v>-1</v>
      </c>
      <c r="FK57">
        <v>-1</v>
      </c>
      <c r="FL57">
        <v>0.6</v>
      </c>
      <c r="FM57">
        <v>0.7</v>
      </c>
      <c r="FN57">
        <v>0.142822</v>
      </c>
      <c r="FO57">
        <v>4.99756</v>
      </c>
      <c r="FP57">
        <v>1.5979000000000001</v>
      </c>
      <c r="FQ57">
        <v>2.1362299999999999</v>
      </c>
      <c r="FR57">
        <v>1.5478499999999999</v>
      </c>
      <c r="FS57">
        <v>2.4560499999999998</v>
      </c>
      <c r="FT57">
        <v>44.112400000000001</v>
      </c>
      <c r="FU57">
        <v>15.681800000000001</v>
      </c>
      <c r="FV57">
        <v>2</v>
      </c>
      <c r="FW57">
        <v>505.62900000000002</v>
      </c>
      <c r="FX57">
        <v>382.44</v>
      </c>
      <c r="FY57">
        <v>29.268599999999999</v>
      </c>
      <c r="FZ57">
        <v>37.248600000000003</v>
      </c>
      <c r="GA57">
        <v>30.001000000000001</v>
      </c>
      <c r="GB57">
        <v>37.384099999999997</v>
      </c>
      <c r="GC57">
        <v>37.407600000000002</v>
      </c>
      <c r="GD57">
        <v>-1</v>
      </c>
      <c r="GE57">
        <v>0</v>
      </c>
      <c r="GF57">
        <v>100</v>
      </c>
      <c r="GG57">
        <v>29.249700000000001</v>
      </c>
      <c r="GH57">
        <v>432.1</v>
      </c>
      <c r="GI57">
        <v>35.274500000000003</v>
      </c>
      <c r="GJ57">
        <v>101.19499999999999</v>
      </c>
      <c r="GK57">
        <v>95.550600000000003</v>
      </c>
    </row>
    <row r="58" spans="1:193" x14ac:dyDescent="0.35">
      <c r="A58">
        <v>42</v>
      </c>
      <c r="B58">
        <v>1775534486.5</v>
      </c>
      <c r="C58">
        <v>2460.400000095367</v>
      </c>
      <c r="D58" t="s">
        <v>443</v>
      </c>
      <c r="E58" t="s">
        <v>444</v>
      </c>
      <c r="F58">
        <v>60</v>
      </c>
      <c r="G58">
        <v>1775534478.5</v>
      </c>
      <c r="H58">
        <f t="shared" si="0"/>
        <v>1.0803055435954347E-3</v>
      </c>
      <c r="I58">
        <f t="shared" si="1"/>
        <v>1.0803055435954347</v>
      </c>
      <c r="J58">
        <f t="shared" si="2"/>
        <v>-1.929033904475103</v>
      </c>
      <c r="K58">
        <f t="shared" si="3"/>
        <v>0.51965451612903113</v>
      </c>
      <c r="L58">
        <f t="shared" si="4"/>
        <v>124.86294578237813</v>
      </c>
      <c r="M58">
        <f t="shared" si="5"/>
        <v>12.532473801896339</v>
      </c>
      <c r="N58">
        <f t="shared" si="6"/>
        <v>5.2157640272037502E-2</v>
      </c>
      <c r="O58">
        <f t="shared" si="7"/>
        <v>2.4065128024844021E-2</v>
      </c>
      <c r="P58">
        <f t="shared" si="8"/>
        <v>2.3924953201036434</v>
      </c>
      <c r="Q58">
        <f t="shared" si="9"/>
        <v>2.3931456048929101E-2</v>
      </c>
      <c r="R58">
        <f t="shared" si="10"/>
        <v>1.4969107914339724E-2</v>
      </c>
      <c r="S58">
        <f t="shared" si="11"/>
        <v>0.29864090854838699</v>
      </c>
      <c r="T58">
        <f t="shared" si="12"/>
        <v>30.882325831555654</v>
      </c>
      <c r="U58">
        <f t="shared" si="13"/>
        <v>30.932045161290329</v>
      </c>
      <c r="V58">
        <f t="shared" si="14"/>
        <v>4.4939279047181815</v>
      </c>
      <c r="W58">
        <f t="shared" si="15"/>
        <v>1.4446689143821254</v>
      </c>
      <c r="X58">
        <f t="shared" si="16"/>
        <v>6.5988283590750194E-2</v>
      </c>
      <c r="Y58">
        <f t="shared" si="17"/>
        <v>4.5677098007589452</v>
      </c>
      <c r="Z58">
        <f t="shared" si="18"/>
        <v>4.4279396211274316</v>
      </c>
      <c r="AA58">
        <f t="shared" si="19"/>
        <v>-47.64147447255867</v>
      </c>
      <c r="AB58">
        <f t="shared" si="20"/>
        <v>36.859525779030861</v>
      </c>
      <c r="AC58">
        <f t="shared" si="21"/>
        <v>3.462197132770922</v>
      </c>
      <c r="AD58">
        <f t="shared" si="22"/>
        <v>-7.0211106522084989</v>
      </c>
      <c r="AE58">
        <v>7</v>
      </c>
      <c r="AF58">
        <v>1</v>
      </c>
      <c r="AG58">
        <f t="shared" si="23"/>
        <v>1</v>
      </c>
      <c r="AH58">
        <f t="shared" si="24"/>
        <v>0</v>
      </c>
      <c r="AI58">
        <f t="shared" si="25"/>
        <v>25223.381464786566</v>
      </c>
      <c r="AJ58">
        <f t="shared" si="26"/>
        <v>1.5627467741935479</v>
      </c>
      <c r="AK58">
        <f t="shared" si="27"/>
        <v>1.2501974193548384</v>
      </c>
      <c r="AL58">
        <f t="shared" si="28"/>
        <v>0.8</v>
      </c>
      <c r="AM58">
        <f t="shared" si="29"/>
        <v>0.19109999999999999</v>
      </c>
      <c r="AN58">
        <v>3</v>
      </c>
      <c r="AO58">
        <v>0.5</v>
      </c>
      <c r="AP58" t="s">
        <v>317</v>
      </c>
      <c r="AQ58">
        <v>2</v>
      </c>
      <c r="AR58">
        <v>1775534478.5</v>
      </c>
      <c r="AS58">
        <v>0.51965451612903113</v>
      </c>
      <c r="AT58">
        <v>-0.63746751612903241</v>
      </c>
      <c r="AU58">
        <v>0.65745132258064509</v>
      </c>
      <c r="AV58">
        <v>9.6725806451611884E-3</v>
      </c>
      <c r="AW58">
        <v>-6.4553454838709694</v>
      </c>
      <c r="AX58">
        <v>1.493672580645161</v>
      </c>
      <c r="AY58">
        <v>499.98335483870972</v>
      </c>
      <c r="AZ58">
        <v>100.322</v>
      </c>
      <c r="BA58">
        <v>4.7839293548387091E-2</v>
      </c>
      <c r="BB58">
        <v>31.217812903225809</v>
      </c>
      <c r="BC58">
        <v>30.932045161290329</v>
      </c>
      <c r="BD58">
        <v>999.90000000000032</v>
      </c>
      <c r="BE58">
        <v>0</v>
      </c>
      <c r="BF58">
        <v>0</v>
      </c>
      <c r="BG58">
        <v>4995.4193548387093</v>
      </c>
      <c r="BH58">
        <v>1.5627467741935479</v>
      </c>
      <c r="BI58">
        <v>1637.9745161290321</v>
      </c>
      <c r="BJ58">
        <v>1.161783612903226</v>
      </c>
      <c r="BK58">
        <v>0.52432338709677417</v>
      </c>
      <c r="BL58">
        <v>-0.63788680645161289</v>
      </c>
      <c r="BM58">
        <v>-0.63642409677419332</v>
      </c>
      <c r="BN58">
        <v>-0.63746751612903241</v>
      </c>
      <c r="BO58">
        <v>0.65745132258064509</v>
      </c>
      <c r="BP58">
        <v>2.1095054293548388E-3</v>
      </c>
      <c r="BQ58">
        <v>6.5956851612903225E-2</v>
      </c>
      <c r="BR58">
        <v>-67.455690322580665</v>
      </c>
      <c r="BS58">
        <v>-27.238277419354841</v>
      </c>
      <c r="BT58">
        <v>1775534509.5</v>
      </c>
      <c r="BU58" t="s">
        <v>445</v>
      </c>
      <c r="BV58">
        <v>1775534507</v>
      </c>
      <c r="BW58">
        <v>1775534509.5</v>
      </c>
      <c r="BX58">
        <v>43</v>
      </c>
      <c r="BY58">
        <v>-4.0000000000000001E-3</v>
      </c>
      <c r="BZ58">
        <v>-1.0999999999999999E-2</v>
      </c>
      <c r="CA58">
        <v>6.9749999999999996</v>
      </c>
      <c r="CB58">
        <v>-1.484</v>
      </c>
      <c r="CC58">
        <v>-1</v>
      </c>
      <c r="CD58">
        <v>1</v>
      </c>
      <c r="CE58">
        <v>0.35</v>
      </c>
      <c r="CF58">
        <v>0.12</v>
      </c>
      <c r="CG58">
        <v>-0.82387334999999995</v>
      </c>
      <c r="CH58">
        <v>1.186044553487078</v>
      </c>
      <c r="CI58">
        <v>0.26151886544930969</v>
      </c>
      <c r="CJ58">
        <v>-1</v>
      </c>
      <c r="CK58">
        <v>500.04041666666672</v>
      </c>
      <c r="CL58">
        <v>-0.68293303695337881</v>
      </c>
      <c r="CM58">
        <v>0.2149437361781513</v>
      </c>
      <c r="CN58">
        <v>-1</v>
      </c>
      <c r="CO58">
        <v>0</v>
      </c>
      <c r="CP58">
        <v>0</v>
      </c>
      <c r="CQ58" t="s">
        <v>319</v>
      </c>
      <c r="CR58">
        <v>3.1681900000000001</v>
      </c>
      <c r="CS58">
        <v>2.6691099999999999</v>
      </c>
      <c r="CT58">
        <v>-1.8402099999999999E-3</v>
      </c>
      <c r="CU58">
        <v>-3.02436E-4</v>
      </c>
      <c r="CV58">
        <v>1.0995899999999999E-2</v>
      </c>
      <c r="CW58">
        <v>5.1896599999999996E-3</v>
      </c>
      <c r="CX58">
        <v>21355.7</v>
      </c>
      <c r="CY58">
        <v>21750.2</v>
      </c>
      <c r="CZ58">
        <v>22854.7</v>
      </c>
      <c r="DA58">
        <v>22113.3</v>
      </c>
      <c r="DB58">
        <v>29169.9</v>
      </c>
      <c r="DC58">
        <v>26192.6</v>
      </c>
      <c r="DD58">
        <v>40213.1</v>
      </c>
      <c r="DE58">
        <v>36594.6</v>
      </c>
      <c r="DF58">
        <v>2.00956</v>
      </c>
      <c r="DG58">
        <v>1.6817599999999999</v>
      </c>
      <c r="DH58">
        <v>-8.7648599999999993E-2</v>
      </c>
      <c r="DI58">
        <v>0</v>
      </c>
      <c r="DJ58">
        <v>32.341700000000003</v>
      </c>
      <c r="DK58">
        <v>999.9</v>
      </c>
      <c r="DL58">
        <v>64.400000000000006</v>
      </c>
      <c r="DM58">
        <v>37.6</v>
      </c>
      <c r="DN58">
        <v>41.815899999999999</v>
      </c>
      <c r="DO58">
        <v>30.7837</v>
      </c>
      <c r="DP58">
        <v>9.0144199999999994</v>
      </c>
      <c r="DQ58">
        <v>1</v>
      </c>
      <c r="DR58">
        <v>0.83714599999999995</v>
      </c>
      <c r="DS58">
        <v>3.2836699999999999</v>
      </c>
      <c r="DT58">
        <v>20.322199999999999</v>
      </c>
      <c r="DU58">
        <v>5.2104600000000003</v>
      </c>
      <c r="DV58">
        <v>11.854200000000001</v>
      </c>
      <c r="DW58">
        <v>4.9673999999999996</v>
      </c>
      <c r="DX58">
        <v>3.2930000000000001</v>
      </c>
      <c r="DY58">
        <v>894.7</v>
      </c>
      <c r="DZ58">
        <v>6</v>
      </c>
      <c r="EA58">
        <v>9999</v>
      </c>
      <c r="EB58">
        <v>116.4</v>
      </c>
      <c r="EC58">
        <v>4.9716100000000001</v>
      </c>
      <c r="ED58">
        <v>1.8721000000000001</v>
      </c>
      <c r="EE58">
        <v>1.8693900000000001</v>
      </c>
      <c r="EF58">
        <v>1.8717999999999999</v>
      </c>
      <c r="EG58">
        <v>1.86951</v>
      </c>
      <c r="EH58">
        <v>1.86843</v>
      </c>
      <c r="EI58">
        <v>1.8702700000000001</v>
      </c>
      <c r="EJ58">
        <v>1.87195</v>
      </c>
      <c r="EK58">
        <v>0</v>
      </c>
      <c r="EL58">
        <v>0</v>
      </c>
      <c r="EM58">
        <v>0</v>
      </c>
      <c r="EN58">
        <v>0</v>
      </c>
      <c r="EO58" t="s">
        <v>320</v>
      </c>
      <c r="EP58" t="s">
        <v>321</v>
      </c>
      <c r="EQ58" t="s">
        <v>322</v>
      </c>
      <c r="ER58" t="s">
        <v>322</v>
      </c>
      <c r="ES58" t="s">
        <v>322</v>
      </c>
      <c r="ET58" t="s">
        <v>322</v>
      </c>
      <c r="EU58">
        <v>0</v>
      </c>
      <c r="EV58">
        <v>100</v>
      </c>
      <c r="EW58">
        <v>100</v>
      </c>
      <c r="EX58">
        <v>6.9749999999999996</v>
      </c>
      <c r="EY58">
        <v>-1.484</v>
      </c>
      <c r="EZ58">
        <v>6.9796609500000004</v>
      </c>
      <c r="FA58">
        <v>0</v>
      </c>
      <c r="FB58">
        <v>0</v>
      </c>
      <c r="FC58">
        <v>0</v>
      </c>
      <c r="FD58">
        <v>-1.4726461</v>
      </c>
      <c r="FE58">
        <v>0</v>
      </c>
      <c r="FF58">
        <v>0</v>
      </c>
      <c r="FG58">
        <v>0</v>
      </c>
      <c r="FH58">
        <v>-1</v>
      </c>
      <c r="FI58">
        <v>-1</v>
      </c>
      <c r="FJ58">
        <v>-1</v>
      </c>
      <c r="FK58">
        <v>-1</v>
      </c>
      <c r="FL58">
        <v>0.6</v>
      </c>
      <c r="FM58">
        <v>0.6</v>
      </c>
      <c r="FN58">
        <v>0.142822</v>
      </c>
      <c r="FO58">
        <v>4.99756</v>
      </c>
      <c r="FP58">
        <v>1.5979000000000001</v>
      </c>
      <c r="FQ58">
        <v>2.1350099999999999</v>
      </c>
      <c r="FR58">
        <v>1.5478499999999999</v>
      </c>
      <c r="FS58">
        <v>2.4865699999999999</v>
      </c>
      <c r="FT58">
        <v>44.306399999999996</v>
      </c>
      <c r="FU58">
        <v>15.6731</v>
      </c>
      <c r="FV58">
        <v>2</v>
      </c>
      <c r="FW58">
        <v>505.04599999999999</v>
      </c>
      <c r="FX58">
        <v>381.48399999999998</v>
      </c>
      <c r="FY58">
        <v>28.842400000000001</v>
      </c>
      <c r="FZ58">
        <v>37.3249</v>
      </c>
      <c r="GA58">
        <v>30.000499999999999</v>
      </c>
      <c r="GB58">
        <v>37.459000000000003</v>
      </c>
      <c r="GC58">
        <v>37.482199999999999</v>
      </c>
      <c r="GD58">
        <v>-1</v>
      </c>
      <c r="GE58">
        <v>0</v>
      </c>
      <c r="GF58">
        <v>100</v>
      </c>
      <c r="GG58">
        <v>28.841100000000001</v>
      </c>
      <c r="GH58">
        <v>432.1</v>
      </c>
      <c r="GI58">
        <v>35.274500000000003</v>
      </c>
      <c r="GJ58">
        <v>101.18</v>
      </c>
      <c r="GK58">
        <v>95.540700000000001</v>
      </c>
    </row>
    <row r="59" spans="1:193" x14ac:dyDescent="0.35">
      <c r="A59">
        <v>43</v>
      </c>
      <c r="B59">
        <v>1775534546.5</v>
      </c>
      <c r="C59">
        <v>2520.400000095367</v>
      </c>
      <c r="D59" t="s">
        <v>446</v>
      </c>
      <c r="E59" t="s">
        <v>447</v>
      </c>
      <c r="F59">
        <v>60</v>
      </c>
      <c r="G59">
        <v>1775534538.5</v>
      </c>
      <c r="H59">
        <f t="shared" si="0"/>
        <v>9.352464228027965E-4</v>
      </c>
      <c r="I59">
        <f t="shared" si="1"/>
        <v>0.93524642280279646</v>
      </c>
      <c r="J59">
        <f t="shared" si="2"/>
        <v>-2.0723609082699688</v>
      </c>
      <c r="K59">
        <f t="shared" si="3"/>
        <v>0.34632612903225718</v>
      </c>
      <c r="L59">
        <f t="shared" si="4"/>
        <v>154.86884551501637</v>
      </c>
      <c r="M59">
        <f t="shared" si="5"/>
        <v>15.544183386076474</v>
      </c>
      <c r="N59">
        <f t="shared" si="6"/>
        <v>3.4760747671134476E-2</v>
      </c>
      <c r="O59">
        <f t="shared" si="7"/>
        <v>2.0792178917936111E-2</v>
      </c>
      <c r="P59">
        <f t="shared" si="8"/>
        <v>2.3941634833205145</v>
      </c>
      <c r="Q59">
        <f t="shared" si="9"/>
        <v>2.0692381991274007E-2</v>
      </c>
      <c r="R59">
        <f t="shared" si="10"/>
        <v>1.2941665067292116E-2</v>
      </c>
      <c r="S59">
        <f t="shared" si="11"/>
        <v>0.30049044832258071</v>
      </c>
      <c r="T59">
        <f t="shared" si="12"/>
        <v>30.923048126352505</v>
      </c>
      <c r="U59">
        <f t="shared" si="13"/>
        <v>30.985787096774189</v>
      </c>
      <c r="V59">
        <f t="shared" si="14"/>
        <v>4.5077236460642149</v>
      </c>
      <c r="W59">
        <f t="shared" si="15"/>
        <v>1.638004638247418</v>
      </c>
      <c r="X59">
        <f t="shared" si="16"/>
        <v>7.4798829250112109E-2</v>
      </c>
      <c r="Y59">
        <f t="shared" si="17"/>
        <v>4.5664601615623672</v>
      </c>
      <c r="Z59">
        <f t="shared" si="18"/>
        <v>4.4329248168141024</v>
      </c>
      <c r="AA59">
        <f t="shared" si="19"/>
        <v>-41.244367245603328</v>
      </c>
      <c r="AB59">
        <f t="shared" si="20"/>
        <v>29.328143206337469</v>
      </c>
      <c r="AC59">
        <f t="shared" si="21"/>
        <v>2.7535230106389501</v>
      </c>
      <c r="AD59">
        <f t="shared" si="22"/>
        <v>-8.8622105803043318</v>
      </c>
      <c r="AE59">
        <v>7</v>
      </c>
      <c r="AF59">
        <v>1</v>
      </c>
      <c r="AG59">
        <f t="shared" si="23"/>
        <v>1</v>
      </c>
      <c r="AH59">
        <f t="shared" si="24"/>
        <v>0</v>
      </c>
      <c r="AI59">
        <f t="shared" si="25"/>
        <v>25248.822997158608</v>
      </c>
      <c r="AJ59">
        <f t="shared" si="26"/>
        <v>1.5724251612903231</v>
      </c>
      <c r="AK59">
        <f t="shared" si="27"/>
        <v>1.2579401290322585</v>
      </c>
      <c r="AL59">
        <f t="shared" si="28"/>
        <v>0.8</v>
      </c>
      <c r="AM59">
        <f t="shared" si="29"/>
        <v>0.19109999999999999</v>
      </c>
      <c r="AN59">
        <v>3</v>
      </c>
      <c r="AO59">
        <v>0.5</v>
      </c>
      <c r="AP59" t="s">
        <v>317</v>
      </c>
      <c r="AQ59">
        <v>2</v>
      </c>
      <c r="AR59">
        <v>1775534538.5</v>
      </c>
      <c r="AS59">
        <v>0.34632612903225718</v>
      </c>
      <c r="AT59">
        <v>-0.89700645161290304</v>
      </c>
      <c r="AU59">
        <v>0.74523106451612908</v>
      </c>
      <c r="AV59">
        <v>0.1844516129032259</v>
      </c>
      <c r="AW59">
        <v>-6.6286738709677424</v>
      </c>
      <c r="AX59">
        <v>1.6804516129032261</v>
      </c>
      <c r="AY59">
        <v>499.95561290322581</v>
      </c>
      <c r="AZ59">
        <v>100.3219677419355</v>
      </c>
      <c r="BA59">
        <v>4.8015222580645167E-2</v>
      </c>
      <c r="BB59">
        <v>31.213006451612902</v>
      </c>
      <c r="BC59">
        <v>30.985787096774189</v>
      </c>
      <c r="BD59">
        <v>999.90000000000032</v>
      </c>
      <c r="BE59">
        <v>0</v>
      </c>
      <c r="BF59">
        <v>0</v>
      </c>
      <c r="BG59">
        <v>4999.7096774193551</v>
      </c>
      <c r="BH59">
        <v>1.5724251612903231</v>
      </c>
      <c r="BI59">
        <v>1648.2487096774189</v>
      </c>
      <c r="BJ59">
        <v>1.2437979354838711</v>
      </c>
      <c r="BK59">
        <v>0.34685951612903232</v>
      </c>
      <c r="BL59">
        <v>-0.89767622580645157</v>
      </c>
      <c r="BM59">
        <v>-0.5483606129032258</v>
      </c>
      <c r="BN59">
        <v>-0.89700645161290304</v>
      </c>
      <c r="BO59">
        <v>0.74523106451612908</v>
      </c>
      <c r="BP59">
        <v>1.9750429032258061E-2</v>
      </c>
      <c r="BQ59">
        <v>7.4763061290322577E-2</v>
      </c>
      <c r="BR59">
        <v>-39.57803548387097</v>
      </c>
      <c r="BS59">
        <v>-25.872103225806448</v>
      </c>
      <c r="BT59">
        <v>1775534575.5</v>
      </c>
      <c r="BU59" t="s">
        <v>448</v>
      </c>
      <c r="BV59">
        <v>1775534566.5</v>
      </c>
      <c r="BW59">
        <v>1775534575.5</v>
      </c>
      <c r="BX59">
        <v>44</v>
      </c>
      <c r="BY59">
        <v>-1E-3</v>
      </c>
      <c r="BZ59">
        <v>-1.2E-2</v>
      </c>
      <c r="CA59">
        <v>6.9749999999999996</v>
      </c>
      <c r="CB59">
        <v>-1.496</v>
      </c>
      <c r="CC59">
        <v>-1</v>
      </c>
      <c r="CD59">
        <v>1</v>
      </c>
      <c r="CE59">
        <v>0.16</v>
      </c>
      <c r="CF59">
        <v>0.13</v>
      </c>
      <c r="CG59">
        <v>-0.97515073333333324</v>
      </c>
      <c r="CH59">
        <v>0.44070051681022232</v>
      </c>
      <c r="CI59">
        <v>0.13784007972343251</v>
      </c>
      <c r="CJ59">
        <v>-1</v>
      </c>
      <c r="CK59">
        <v>500.25920000000002</v>
      </c>
      <c r="CL59">
        <v>-3.1405590441780808</v>
      </c>
      <c r="CM59">
        <v>0.9520595009416889</v>
      </c>
      <c r="CN59">
        <v>-1</v>
      </c>
      <c r="CO59">
        <v>0</v>
      </c>
      <c r="CP59">
        <v>0</v>
      </c>
      <c r="CQ59" t="s">
        <v>319</v>
      </c>
      <c r="CR59">
        <v>3.1681499999999998</v>
      </c>
      <c r="CS59">
        <v>2.6694599999999999</v>
      </c>
      <c r="CT59">
        <v>-1.93921E-3</v>
      </c>
      <c r="CU59">
        <v>-2.4867800000000001E-4</v>
      </c>
      <c r="CV59">
        <v>1.2367700000000001E-2</v>
      </c>
      <c r="CW59">
        <v>5.8596899999999999E-3</v>
      </c>
      <c r="CX59">
        <v>21354</v>
      </c>
      <c r="CY59">
        <v>21747</v>
      </c>
      <c r="CZ59">
        <v>22851</v>
      </c>
      <c r="DA59">
        <v>22111.4</v>
      </c>
      <c r="DB59">
        <v>29125</v>
      </c>
      <c r="DC59">
        <v>26172.400000000001</v>
      </c>
      <c r="DD59">
        <v>40207.199999999997</v>
      </c>
      <c r="DE59">
        <v>36591.4</v>
      </c>
      <c r="DF59">
        <v>2.0090599999999998</v>
      </c>
      <c r="DG59">
        <v>1.6797200000000001</v>
      </c>
      <c r="DH59">
        <v>-8.8041999999999995E-2</v>
      </c>
      <c r="DI59">
        <v>0</v>
      </c>
      <c r="DJ59">
        <v>32.414700000000003</v>
      </c>
      <c r="DK59">
        <v>999.9</v>
      </c>
      <c r="DL59">
        <v>64</v>
      </c>
      <c r="DM59">
        <v>37.799999999999997</v>
      </c>
      <c r="DN59">
        <v>42.010599999999997</v>
      </c>
      <c r="DO59">
        <v>30.843699999999998</v>
      </c>
      <c r="DP59">
        <v>9.0264399999999991</v>
      </c>
      <c r="DQ59">
        <v>1</v>
      </c>
      <c r="DR59">
        <v>0.84203700000000004</v>
      </c>
      <c r="DS59">
        <v>3.069</v>
      </c>
      <c r="DT59">
        <v>20.327300000000001</v>
      </c>
      <c r="DU59">
        <v>5.2086600000000001</v>
      </c>
      <c r="DV59">
        <v>11.854200000000001</v>
      </c>
      <c r="DW59">
        <v>4.9674399999999999</v>
      </c>
      <c r="DX59">
        <v>3.2930000000000001</v>
      </c>
      <c r="DY59">
        <v>894.7</v>
      </c>
      <c r="DZ59">
        <v>6</v>
      </c>
      <c r="EA59">
        <v>9999</v>
      </c>
      <c r="EB59">
        <v>116.4</v>
      </c>
      <c r="EC59">
        <v>4.9716300000000002</v>
      </c>
      <c r="ED59">
        <v>1.8721000000000001</v>
      </c>
      <c r="EE59">
        <v>1.86944</v>
      </c>
      <c r="EF59">
        <v>1.8717999999999999</v>
      </c>
      <c r="EG59">
        <v>1.86951</v>
      </c>
      <c r="EH59">
        <v>1.8684400000000001</v>
      </c>
      <c r="EI59">
        <v>1.8702700000000001</v>
      </c>
      <c r="EJ59">
        <v>1.87195</v>
      </c>
      <c r="EK59">
        <v>0</v>
      </c>
      <c r="EL59">
        <v>0</v>
      </c>
      <c r="EM59">
        <v>0</v>
      </c>
      <c r="EN59">
        <v>0</v>
      </c>
      <c r="EO59" t="s">
        <v>320</v>
      </c>
      <c r="EP59" t="s">
        <v>321</v>
      </c>
      <c r="EQ59" t="s">
        <v>322</v>
      </c>
      <c r="ER59" t="s">
        <v>322</v>
      </c>
      <c r="ES59" t="s">
        <v>322</v>
      </c>
      <c r="ET59" t="s">
        <v>322</v>
      </c>
      <c r="EU59">
        <v>0</v>
      </c>
      <c r="EV59">
        <v>100</v>
      </c>
      <c r="EW59">
        <v>100</v>
      </c>
      <c r="EX59">
        <v>6.9749999999999996</v>
      </c>
      <c r="EY59">
        <v>-1.496</v>
      </c>
      <c r="EZ59">
        <v>6.9754652380952402</v>
      </c>
      <c r="FA59">
        <v>0</v>
      </c>
      <c r="FB59">
        <v>0</v>
      </c>
      <c r="FC59">
        <v>0</v>
      </c>
      <c r="FD59">
        <v>-1.48358145</v>
      </c>
      <c r="FE59">
        <v>0</v>
      </c>
      <c r="FF59">
        <v>0</v>
      </c>
      <c r="FG59">
        <v>0</v>
      </c>
      <c r="FH59">
        <v>-1</v>
      </c>
      <c r="FI59">
        <v>-1</v>
      </c>
      <c r="FJ59">
        <v>-1</v>
      </c>
      <c r="FK59">
        <v>-1</v>
      </c>
      <c r="FL59">
        <v>0.7</v>
      </c>
      <c r="FM59">
        <v>0.6</v>
      </c>
      <c r="FN59">
        <v>0.142822</v>
      </c>
      <c r="FO59">
        <v>4.99756</v>
      </c>
      <c r="FP59">
        <v>1.5979000000000001</v>
      </c>
      <c r="FQ59">
        <v>2.1350099999999999</v>
      </c>
      <c r="FR59">
        <v>1.5478499999999999</v>
      </c>
      <c r="FS59">
        <v>2.4218799999999998</v>
      </c>
      <c r="FT59">
        <v>44.529299999999999</v>
      </c>
      <c r="FU59">
        <v>15.664300000000001</v>
      </c>
      <c r="FV59">
        <v>2</v>
      </c>
      <c r="FW59">
        <v>505.26</v>
      </c>
      <c r="FX59">
        <v>380.71600000000001</v>
      </c>
      <c r="FY59">
        <v>29.076699999999999</v>
      </c>
      <c r="FZ59">
        <v>37.401899999999998</v>
      </c>
      <c r="GA59">
        <v>30.000399999999999</v>
      </c>
      <c r="GB59">
        <v>37.534100000000002</v>
      </c>
      <c r="GC59">
        <v>37.555799999999998</v>
      </c>
      <c r="GD59">
        <v>-1</v>
      </c>
      <c r="GE59">
        <v>0</v>
      </c>
      <c r="GF59">
        <v>100</v>
      </c>
      <c r="GG59">
        <v>29.077200000000001</v>
      </c>
      <c r="GH59">
        <v>432.1</v>
      </c>
      <c r="GI59">
        <v>35.274500000000003</v>
      </c>
      <c r="GJ59">
        <v>101.164</v>
      </c>
      <c r="GK59">
        <v>95.532399999999996</v>
      </c>
    </row>
    <row r="60" spans="1:193" x14ac:dyDescent="0.35">
      <c r="A60">
        <v>44</v>
      </c>
      <c r="B60">
        <v>1775534606.5</v>
      </c>
      <c r="C60">
        <v>2580.400000095367</v>
      </c>
      <c r="D60" t="s">
        <v>449</v>
      </c>
      <c r="E60" t="s">
        <v>450</v>
      </c>
      <c r="F60">
        <v>60</v>
      </c>
      <c r="G60">
        <v>1775534598.5</v>
      </c>
      <c r="H60">
        <f t="shared" si="0"/>
        <v>1.4598381777101144E-3</v>
      </c>
      <c r="I60">
        <f t="shared" si="1"/>
        <v>1.4598381777101144</v>
      </c>
      <c r="J60">
        <f t="shared" si="2"/>
        <v>-1.9885044965083105</v>
      </c>
      <c r="K60">
        <f t="shared" si="3"/>
        <v>1.388439032258064</v>
      </c>
      <c r="L60">
        <f t="shared" si="4"/>
        <v>95.893922770600838</v>
      </c>
      <c r="M60">
        <f t="shared" si="5"/>
        <v>9.6251000774541531</v>
      </c>
      <c r="N60">
        <f t="shared" si="6"/>
        <v>0.13936091308827503</v>
      </c>
      <c r="O60">
        <f t="shared" si="7"/>
        <v>3.2674287467646654E-2</v>
      </c>
      <c r="P60">
        <f t="shared" si="8"/>
        <v>2.3943872694559851</v>
      </c>
      <c r="Q60">
        <f t="shared" si="9"/>
        <v>3.2428587348857889E-2</v>
      </c>
      <c r="R60">
        <f t="shared" si="10"/>
        <v>2.0289788145293974E-2</v>
      </c>
      <c r="S60">
        <f t="shared" si="11"/>
        <v>0.29995432035483871</v>
      </c>
      <c r="T60">
        <f t="shared" si="12"/>
        <v>30.760109725979746</v>
      </c>
      <c r="U60">
        <f t="shared" si="13"/>
        <v>30.953954838709681</v>
      </c>
      <c r="V60">
        <f t="shared" si="14"/>
        <v>4.499547748060829</v>
      </c>
      <c r="W60">
        <f t="shared" si="15"/>
        <v>1.8450601899870738</v>
      </c>
      <c r="X60">
        <f t="shared" si="16"/>
        <v>8.4258069746635689E-2</v>
      </c>
      <c r="Y60">
        <f t="shared" si="17"/>
        <v>4.5666840682973051</v>
      </c>
      <c r="Z60">
        <f t="shared" si="18"/>
        <v>4.4152896783141937</v>
      </c>
      <c r="AA60">
        <f t="shared" si="19"/>
        <v>-64.378863637016039</v>
      </c>
      <c r="AB60">
        <f t="shared" si="20"/>
        <v>33.551170690260903</v>
      </c>
      <c r="AC60">
        <f t="shared" si="21"/>
        <v>3.1492337646937889</v>
      </c>
      <c r="AD60">
        <f t="shared" si="22"/>
        <v>-27.37850486170651</v>
      </c>
      <c r="AE60">
        <v>7</v>
      </c>
      <c r="AF60">
        <v>1</v>
      </c>
      <c r="AG60">
        <f t="shared" si="23"/>
        <v>1</v>
      </c>
      <c r="AH60">
        <f t="shared" si="24"/>
        <v>0</v>
      </c>
      <c r="AI60">
        <f t="shared" si="25"/>
        <v>25252.013467625453</v>
      </c>
      <c r="AJ60">
        <f t="shared" si="26"/>
        <v>1.5696196774193549</v>
      </c>
      <c r="AK60">
        <f t="shared" si="27"/>
        <v>1.2556957419354839</v>
      </c>
      <c r="AL60">
        <f t="shared" si="28"/>
        <v>0.8</v>
      </c>
      <c r="AM60">
        <f t="shared" si="29"/>
        <v>0.19109999999999999</v>
      </c>
      <c r="AN60">
        <v>3</v>
      </c>
      <c r="AO60">
        <v>0.5</v>
      </c>
      <c r="AP60" t="s">
        <v>317</v>
      </c>
      <c r="AQ60">
        <v>2</v>
      </c>
      <c r="AR60">
        <v>1775534598.5</v>
      </c>
      <c r="AS60">
        <v>1.388439032258064</v>
      </c>
      <c r="AT60">
        <v>0.19653078709677421</v>
      </c>
      <c r="AU60">
        <v>0.83945483870967752</v>
      </c>
      <c r="AV60">
        <v>-3.5728709677419257E-2</v>
      </c>
      <c r="AW60">
        <v>-5.5755609677419367</v>
      </c>
      <c r="AX60">
        <v>1.468271290322581</v>
      </c>
      <c r="AY60">
        <v>499.99090322580639</v>
      </c>
      <c r="AZ60">
        <v>100.3244516129032</v>
      </c>
      <c r="BA60">
        <v>4.7916096774193548E-2</v>
      </c>
      <c r="BB60">
        <v>31.213867741935491</v>
      </c>
      <c r="BC60">
        <v>30.953954838709681</v>
      </c>
      <c r="BD60">
        <v>999.90000000000032</v>
      </c>
      <c r="BE60">
        <v>0</v>
      </c>
      <c r="BF60">
        <v>0</v>
      </c>
      <c r="BG60">
        <v>5000.1612903225796</v>
      </c>
      <c r="BH60">
        <v>1.5696196774193549</v>
      </c>
      <c r="BI60">
        <v>1671.13935483871</v>
      </c>
      <c r="BJ60">
        <v>1.20260164516129</v>
      </c>
      <c r="BK60">
        <v>1.3990919354838709</v>
      </c>
      <c r="BL60">
        <v>0.19669803548387099</v>
      </c>
      <c r="BM60">
        <v>-0.86702303225806432</v>
      </c>
      <c r="BN60">
        <v>0.19653078709677421</v>
      </c>
      <c r="BO60">
        <v>0.83945483870967752</v>
      </c>
      <c r="BP60">
        <v>-2.7657704516129019E-3</v>
      </c>
      <c r="BQ60">
        <v>8.4217832258064521E-2</v>
      </c>
      <c r="BR60">
        <v>-99.900000000000034</v>
      </c>
      <c r="BS60">
        <v>-24.557464516129031</v>
      </c>
      <c r="BT60">
        <v>1775534632</v>
      </c>
      <c r="BU60" t="s">
        <v>451</v>
      </c>
      <c r="BV60">
        <v>1775534625.5</v>
      </c>
      <c r="BW60">
        <v>1775534632</v>
      </c>
      <c r="BX60">
        <v>45</v>
      </c>
      <c r="BY60">
        <v>-1.0999999999999999E-2</v>
      </c>
      <c r="BZ60">
        <v>-8.0000000000000002E-3</v>
      </c>
      <c r="CA60">
        <v>6.9640000000000004</v>
      </c>
      <c r="CB60">
        <v>-1.504</v>
      </c>
      <c r="CC60">
        <v>0</v>
      </c>
      <c r="CD60">
        <v>1</v>
      </c>
      <c r="CE60">
        <v>0.34</v>
      </c>
      <c r="CF60">
        <v>0.09</v>
      </c>
      <c r="CG60">
        <v>5.7874425409836068E-2</v>
      </c>
      <c r="CH60">
        <v>1.2787880338445261</v>
      </c>
      <c r="CI60">
        <v>0.3240757690992277</v>
      </c>
      <c r="CJ60">
        <v>-1</v>
      </c>
      <c r="CK60">
        <v>500.95788524590159</v>
      </c>
      <c r="CL60">
        <v>-7.7389402432577743</v>
      </c>
      <c r="CM60">
        <v>1.8638090215466621</v>
      </c>
      <c r="CN60">
        <v>-1</v>
      </c>
      <c r="CO60">
        <v>0</v>
      </c>
      <c r="CP60">
        <v>0</v>
      </c>
      <c r="CQ60" t="s">
        <v>319</v>
      </c>
      <c r="CR60">
        <v>3.16811</v>
      </c>
      <c r="CS60">
        <v>2.66879</v>
      </c>
      <c r="CT60">
        <v>-1.5234300000000001E-3</v>
      </c>
      <c r="CU60">
        <v>2.2376399999999999E-4</v>
      </c>
      <c r="CV60">
        <v>1.09052E-2</v>
      </c>
      <c r="CW60">
        <v>6.5256400000000001E-3</v>
      </c>
      <c r="CX60">
        <v>21342.6</v>
      </c>
      <c r="CY60">
        <v>21734</v>
      </c>
      <c r="CZ60">
        <v>22848.6</v>
      </c>
      <c r="DA60">
        <v>22108.799999999999</v>
      </c>
      <c r="DB60">
        <v>29165.4</v>
      </c>
      <c r="DC60">
        <v>26151.3</v>
      </c>
      <c r="DD60">
        <v>40203.5</v>
      </c>
      <c r="DE60">
        <v>36586.6</v>
      </c>
      <c r="DF60">
        <v>2.0075599999999998</v>
      </c>
      <c r="DG60">
        <v>1.67746</v>
      </c>
      <c r="DH60">
        <v>-9.5415100000000003E-2</v>
      </c>
      <c r="DI60">
        <v>0</v>
      </c>
      <c r="DJ60">
        <v>32.492699999999999</v>
      </c>
      <c r="DK60">
        <v>999.9</v>
      </c>
      <c r="DL60">
        <v>63.5</v>
      </c>
      <c r="DM60">
        <v>38</v>
      </c>
      <c r="DN60">
        <v>42.137300000000003</v>
      </c>
      <c r="DO60">
        <v>30.903700000000001</v>
      </c>
      <c r="DP60">
        <v>9.3950300000000002</v>
      </c>
      <c r="DQ60">
        <v>1</v>
      </c>
      <c r="DR60">
        <v>0.85021500000000005</v>
      </c>
      <c r="DS60">
        <v>3.3372199999999999</v>
      </c>
      <c r="DT60">
        <v>20.320699999999999</v>
      </c>
      <c r="DU60">
        <v>5.20974</v>
      </c>
      <c r="DV60">
        <v>11.854200000000001</v>
      </c>
      <c r="DW60">
        <v>4.9673600000000002</v>
      </c>
      <c r="DX60">
        <v>3.29284</v>
      </c>
      <c r="DY60">
        <v>894.7</v>
      </c>
      <c r="DZ60">
        <v>6</v>
      </c>
      <c r="EA60">
        <v>9999</v>
      </c>
      <c r="EB60">
        <v>116.5</v>
      </c>
      <c r="EC60">
        <v>4.9715999999999996</v>
      </c>
      <c r="ED60">
        <v>1.87212</v>
      </c>
      <c r="EE60">
        <v>1.8694500000000001</v>
      </c>
      <c r="EF60">
        <v>1.8717999999999999</v>
      </c>
      <c r="EG60">
        <v>1.86951</v>
      </c>
      <c r="EH60">
        <v>1.8684400000000001</v>
      </c>
      <c r="EI60">
        <v>1.87026</v>
      </c>
      <c r="EJ60">
        <v>1.87195</v>
      </c>
      <c r="EK60">
        <v>0</v>
      </c>
      <c r="EL60">
        <v>0</v>
      </c>
      <c r="EM60">
        <v>0</v>
      </c>
      <c r="EN60">
        <v>0</v>
      </c>
      <c r="EO60" t="s">
        <v>320</v>
      </c>
      <c r="EP60" t="s">
        <v>321</v>
      </c>
      <c r="EQ60" t="s">
        <v>322</v>
      </c>
      <c r="ER60" t="s">
        <v>322</v>
      </c>
      <c r="ES60" t="s">
        <v>322</v>
      </c>
      <c r="ET60" t="s">
        <v>322</v>
      </c>
      <c r="EU60">
        <v>0</v>
      </c>
      <c r="EV60">
        <v>100</v>
      </c>
      <c r="EW60">
        <v>100</v>
      </c>
      <c r="EX60">
        <v>6.9640000000000004</v>
      </c>
      <c r="EY60">
        <v>-1.504</v>
      </c>
      <c r="EZ60">
        <v>6.9746930999999996</v>
      </c>
      <c r="FA60">
        <v>0</v>
      </c>
      <c r="FB60">
        <v>0</v>
      </c>
      <c r="FC60">
        <v>0</v>
      </c>
      <c r="FD60">
        <v>-1.49583935</v>
      </c>
      <c r="FE60">
        <v>0</v>
      </c>
      <c r="FF60">
        <v>0</v>
      </c>
      <c r="FG60">
        <v>0</v>
      </c>
      <c r="FH60">
        <v>-1</v>
      </c>
      <c r="FI60">
        <v>-1</v>
      </c>
      <c r="FJ60">
        <v>-1</v>
      </c>
      <c r="FK60">
        <v>-1</v>
      </c>
      <c r="FL60">
        <v>0.7</v>
      </c>
      <c r="FM60">
        <v>0.5</v>
      </c>
      <c r="FN60">
        <v>0.142822</v>
      </c>
      <c r="FO60">
        <v>4.99756</v>
      </c>
      <c r="FP60">
        <v>1.5979000000000001</v>
      </c>
      <c r="FQ60">
        <v>2.1337899999999999</v>
      </c>
      <c r="FR60">
        <v>1.5478499999999999</v>
      </c>
      <c r="FS60">
        <v>2.48047</v>
      </c>
      <c r="FT60">
        <v>44.725299999999997</v>
      </c>
      <c r="FU60">
        <v>15.646800000000001</v>
      </c>
      <c r="FV60">
        <v>2</v>
      </c>
      <c r="FW60">
        <v>504.887</v>
      </c>
      <c r="FX60">
        <v>379.86099999999999</v>
      </c>
      <c r="FY60">
        <v>28.851199999999999</v>
      </c>
      <c r="FZ60">
        <v>37.4831</v>
      </c>
      <c r="GA60">
        <v>30.000699999999998</v>
      </c>
      <c r="GB60">
        <v>37.613100000000003</v>
      </c>
      <c r="GC60">
        <v>37.636600000000001</v>
      </c>
      <c r="GD60">
        <v>-1</v>
      </c>
      <c r="GE60">
        <v>0</v>
      </c>
      <c r="GF60">
        <v>100</v>
      </c>
      <c r="GG60">
        <v>28.848099999999999</v>
      </c>
      <c r="GH60">
        <v>432.1</v>
      </c>
      <c r="GI60">
        <v>35.274500000000003</v>
      </c>
      <c r="GJ60">
        <v>101.155</v>
      </c>
      <c r="GK60">
        <v>95.520499999999998</v>
      </c>
    </row>
    <row r="61" spans="1:193" x14ac:dyDescent="0.35">
      <c r="A61">
        <v>45</v>
      </c>
      <c r="B61">
        <v>1775534666.5</v>
      </c>
      <c r="C61">
        <v>2640.400000095367</v>
      </c>
      <c r="D61" t="s">
        <v>452</v>
      </c>
      <c r="E61" t="s">
        <v>453</v>
      </c>
      <c r="F61">
        <v>60</v>
      </c>
      <c r="G61">
        <v>1775534658.75</v>
      </c>
      <c r="H61">
        <f t="shared" si="0"/>
        <v>1.5015531291655353E-3</v>
      </c>
      <c r="I61">
        <f t="shared" si="1"/>
        <v>1.5015531291655353</v>
      </c>
      <c r="J61">
        <f t="shared" si="2"/>
        <v>-2.3299562495850572</v>
      </c>
      <c r="K61">
        <f t="shared" si="3"/>
        <v>1.2866880000000001</v>
      </c>
      <c r="L61">
        <f t="shared" si="4"/>
        <v>108.93749824225014</v>
      </c>
      <c r="M61">
        <f t="shared" si="5"/>
        <v>10.934271897703045</v>
      </c>
      <c r="N61">
        <f t="shared" si="6"/>
        <v>0.12914741633065371</v>
      </c>
      <c r="O61">
        <f t="shared" si="7"/>
        <v>3.3622695382883434E-2</v>
      </c>
      <c r="P61">
        <f t="shared" si="8"/>
        <v>2.3962238316432587</v>
      </c>
      <c r="Q61">
        <f t="shared" si="9"/>
        <v>3.3362783774179505E-2</v>
      </c>
      <c r="R61">
        <f t="shared" si="10"/>
        <v>2.0874924291300882E-2</v>
      </c>
      <c r="S61">
        <f t="shared" si="11"/>
        <v>0.3200403933999999</v>
      </c>
      <c r="T61">
        <f t="shared" si="12"/>
        <v>30.751565897963211</v>
      </c>
      <c r="U61">
        <f t="shared" si="13"/>
        <v>30.984026666666669</v>
      </c>
      <c r="V61">
        <f t="shared" si="14"/>
        <v>4.5072711538294028</v>
      </c>
      <c r="W61">
        <f t="shared" si="15"/>
        <v>2.0442779094741095</v>
      </c>
      <c r="X61">
        <f t="shared" si="16"/>
        <v>9.3377039085555294E-2</v>
      </c>
      <c r="Y61">
        <f t="shared" si="17"/>
        <v>4.5677272474942772</v>
      </c>
      <c r="Z61">
        <f t="shared" si="18"/>
        <v>4.4138941147438473</v>
      </c>
      <c r="AA61">
        <f t="shared" si="19"/>
        <v>-66.218492996200112</v>
      </c>
      <c r="AB61">
        <f t="shared" si="20"/>
        <v>30.210394130018532</v>
      </c>
      <c r="AC61">
        <f t="shared" si="21"/>
        <v>2.8339594053004356</v>
      </c>
      <c r="AD61">
        <f t="shared" si="22"/>
        <v>-32.854099067481144</v>
      </c>
      <c r="AE61">
        <v>7</v>
      </c>
      <c r="AF61">
        <v>1</v>
      </c>
      <c r="AG61">
        <f t="shared" si="23"/>
        <v>1</v>
      </c>
      <c r="AH61">
        <f t="shared" si="24"/>
        <v>0</v>
      </c>
      <c r="AI61">
        <f t="shared" si="25"/>
        <v>25279.265389026303</v>
      </c>
      <c r="AJ61">
        <f t="shared" si="26"/>
        <v>1.674727333333333</v>
      </c>
      <c r="AK61">
        <f t="shared" si="27"/>
        <v>1.3397818666666665</v>
      </c>
      <c r="AL61">
        <f t="shared" si="28"/>
        <v>0.8</v>
      </c>
      <c r="AM61">
        <f t="shared" si="29"/>
        <v>0.19109999999999999</v>
      </c>
      <c r="AN61">
        <v>3</v>
      </c>
      <c r="AO61">
        <v>0.5</v>
      </c>
      <c r="AP61" t="s">
        <v>317</v>
      </c>
      <c r="AQ61">
        <v>2</v>
      </c>
      <c r="AR61">
        <v>1775534658.75</v>
      </c>
      <c r="AS61">
        <v>1.2866880000000001</v>
      </c>
      <c r="AT61">
        <v>-0.11014794966666661</v>
      </c>
      <c r="AU61">
        <v>0.93030986666666682</v>
      </c>
      <c r="AV61">
        <v>3.0202333333333439E-2</v>
      </c>
      <c r="AW61">
        <v>-5.7193120000000004</v>
      </c>
      <c r="AX61">
        <v>1.5432023333333329</v>
      </c>
      <c r="AY61">
        <v>499.99233333333342</v>
      </c>
      <c r="AZ61">
        <v>100.32413333333329</v>
      </c>
      <c r="BA61">
        <v>4.7842103333333337E-2</v>
      </c>
      <c r="BB61">
        <v>31.217880000000001</v>
      </c>
      <c r="BC61">
        <v>30.984026666666669</v>
      </c>
      <c r="BD61">
        <v>999.9000000000002</v>
      </c>
      <c r="BE61">
        <v>0</v>
      </c>
      <c r="BF61">
        <v>0</v>
      </c>
      <c r="BG61">
        <v>5004.8999999999996</v>
      </c>
      <c r="BH61">
        <v>1.674727333333333</v>
      </c>
      <c r="BI61">
        <v>1764.998333333333</v>
      </c>
      <c r="BJ61">
        <v>1.354562333333333</v>
      </c>
      <c r="BK61">
        <v>1.2444630000000001</v>
      </c>
      <c r="BL61">
        <v>-0.1102493963333334</v>
      </c>
      <c r="BM61">
        <v>-0.89124130000000001</v>
      </c>
      <c r="BN61">
        <v>-0.11014794966666661</v>
      </c>
      <c r="BO61">
        <v>0.93030986666666682</v>
      </c>
      <c r="BP61">
        <v>3.9195226666666663E-3</v>
      </c>
      <c r="BQ61">
        <v>9.3332566666666672E-2</v>
      </c>
      <c r="BR61">
        <v>-54.139899999999997</v>
      </c>
      <c r="BS61">
        <v>-23.41021666666666</v>
      </c>
      <c r="BT61">
        <v>1775534694.5</v>
      </c>
      <c r="BU61" t="s">
        <v>454</v>
      </c>
      <c r="BV61">
        <v>1775534694.5</v>
      </c>
      <c r="BW61">
        <v>1775534689.5</v>
      </c>
      <c r="BX61">
        <v>46</v>
      </c>
      <c r="BY61">
        <v>4.2000000000000003E-2</v>
      </c>
      <c r="BZ61">
        <v>-8.9999999999999993E-3</v>
      </c>
      <c r="CA61">
        <v>7.0060000000000002</v>
      </c>
      <c r="CB61">
        <v>-1.5129999999999999</v>
      </c>
      <c r="CC61">
        <v>1</v>
      </c>
      <c r="CD61">
        <v>1</v>
      </c>
      <c r="CE61">
        <v>0.36</v>
      </c>
      <c r="CF61">
        <v>0.09</v>
      </c>
      <c r="CG61">
        <v>-0.14805712934426229</v>
      </c>
      <c r="CH61">
        <v>0.20905923966155479</v>
      </c>
      <c r="CI61">
        <v>0.23527593823901841</v>
      </c>
      <c r="CJ61">
        <v>-1</v>
      </c>
      <c r="CK61">
        <v>500.72049180327872</v>
      </c>
      <c r="CL61">
        <v>-7.4005224748809262</v>
      </c>
      <c r="CM61">
        <v>1.7434151958196309</v>
      </c>
      <c r="CN61">
        <v>-1</v>
      </c>
      <c r="CO61">
        <v>0</v>
      </c>
      <c r="CP61">
        <v>0</v>
      </c>
      <c r="CQ61" t="s">
        <v>319</v>
      </c>
      <c r="CR61">
        <v>3.1682800000000002</v>
      </c>
      <c r="CS61">
        <v>2.66865</v>
      </c>
      <c r="CT61">
        <v>-1.6140499999999999E-3</v>
      </c>
      <c r="CU61">
        <v>-9.3538399999999999E-5</v>
      </c>
      <c r="CV61">
        <v>1.14711E-2</v>
      </c>
      <c r="CW61">
        <v>7.1925799999999996E-3</v>
      </c>
      <c r="CX61">
        <v>21341.3</v>
      </c>
      <c r="CY61">
        <v>21739.3</v>
      </c>
      <c r="CZ61">
        <v>22845.4</v>
      </c>
      <c r="DA61">
        <v>22107.4</v>
      </c>
      <c r="DB61">
        <v>29144.799999999999</v>
      </c>
      <c r="DC61">
        <v>26131.599999999999</v>
      </c>
      <c r="DD61">
        <v>40198.300000000003</v>
      </c>
      <c r="DE61">
        <v>36583.9</v>
      </c>
      <c r="DF61">
        <v>2.0067400000000002</v>
      </c>
      <c r="DG61">
        <v>1.6758599999999999</v>
      </c>
      <c r="DH61">
        <v>-9.7119800000000006E-2</v>
      </c>
      <c r="DI61">
        <v>0</v>
      </c>
      <c r="DJ61">
        <v>32.566000000000003</v>
      </c>
      <c r="DK61">
        <v>999.9</v>
      </c>
      <c r="DL61">
        <v>63.1</v>
      </c>
      <c r="DM61">
        <v>38.299999999999997</v>
      </c>
      <c r="DN61">
        <v>42.558</v>
      </c>
      <c r="DO61">
        <v>30.813700000000001</v>
      </c>
      <c r="DP61">
        <v>9.0905500000000004</v>
      </c>
      <c r="DQ61">
        <v>1</v>
      </c>
      <c r="DR61">
        <v>0.85504500000000005</v>
      </c>
      <c r="DS61">
        <v>3.2756500000000002</v>
      </c>
      <c r="DT61">
        <v>20.320900000000002</v>
      </c>
      <c r="DU61">
        <v>5.2061500000000001</v>
      </c>
      <c r="DV61">
        <v>11.854200000000001</v>
      </c>
      <c r="DW61">
        <v>4.9660799999999998</v>
      </c>
      <c r="DX61">
        <v>3.29236</v>
      </c>
      <c r="DY61">
        <v>894.7</v>
      </c>
      <c r="DZ61">
        <v>6</v>
      </c>
      <c r="EA61">
        <v>9999</v>
      </c>
      <c r="EB61">
        <v>116.5</v>
      </c>
      <c r="EC61">
        <v>4.9715999999999996</v>
      </c>
      <c r="ED61">
        <v>1.8721099999999999</v>
      </c>
      <c r="EE61">
        <v>1.8694999999999999</v>
      </c>
      <c r="EF61">
        <v>1.8717999999999999</v>
      </c>
      <c r="EG61">
        <v>1.86951</v>
      </c>
      <c r="EH61">
        <v>1.86843</v>
      </c>
      <c r="EI61">
        <v>1.8702700000000001</v>
      </c>
      <c r="EJ61">
        <v>1.8719600000000001</v>
      </c>
      <c r="EK61">
        <v>0</v>
      </c>
      <c r="EL61">
        <v>0</v>
      </c>
      <c r="EM61">
        <v>0</v>
      </c>
      <c r="EN61">
        <v>0</v>
      </c>
      <c r="EO61" t="s">
        <v>320</v>
      </c>
      <c r="EP61" t="s">
        <v>321</v>
      </c>
      <c r="EQ61" t="s">
        <v>322</v>
      </c>
      <c r="ER61" t="s">
        <v>322</v>
      </c>
      <c r="ES61" t="s">
        <v>322</v>
      </c>
      <c r="ET61" t="s">
        <v>322</v>
      </c>
      <c r="EU61">
        <v>0</v>
      </c>
      <c r="EV61">
        <v>100</v>
      </c>
      <c r="EW61">
        <v>100</v>
      </c>
      <c r="EX61">
        <v>7.0060000000000002</v>
      </c>
      <c r="EY61">
        <v>-1.5129999999999999</v>
      </c>
      <c r="EZ61">
        <v>6.9637264300000004</v>
      </c>
      <c r="FA61">
        <v>0</v>
      </c>
      <c r="FB61">
        <v>0</v>
      </c>
      <c r="FC61">
        <v>0</v>
      </c>
      <c r="FD61">
        <v>-1.5041336666666669</v>
      </c>
      <c r="FE61">
        <v>0</v>
      </c>
      <c r="FF61">
        <v>0</v>
      </c>
      <c r="FG61">
        <v>0</v>
      </c>
      <c r="FH61">
        <v>-1</v>
      </c>
      <c r="FI61">
        <v>-1</v>
      </c>
      <c r="FJ61">
        <v>-1</v>
      </c>
      <c r="FK61">
        <v>-1</v>
      </c>
      <c r="FL61">
        <v>0.7</v>
      </c>
      <c r="FM61">
        <v>0.6</v>
      </c>
      <c r="FN61">
        <v>0.142822</v>
      </c>
      <c r="FO61">
        <v>4.99756</v>
      </c>
      <c r="FP61">
        <v>1.5979000000000001</v>
      </c>
      <c r="FQ61">
        <v>2.1337899999999999</v>
      </c>
      <c r="FR61">
        <v>1.5478499999999999</v>
      </c>
      <c r="FS61">
        <v>2.3791500000000001</v>
      </c>
      <c r="FT61">
        <v>44.950400000000002</v>
      </c>
      <c r="FU61">
        <v>15.6381</v>
      </c>
      <c r="FV61">
        <v>2</v>
      </c>
      <c r="FW61">
        <v>504.84500000000003</v>
      </c>
      <c r="FX61">
        <v>379.29199999999997</v>
      </c>
      <c r="FY61">
        <v>28.948799999999999</v>
      </c>
      <c r="FZ61">
        <v>37.551600000000001</v>
      </c>
      <c r="GA61">
        <v>30.000900000000001</v>
      </c>
      <c r="GB61">
        <v>37.68</v>
      </c>
      <c r="GC61">
        <v>37.700699999999998</v>
      </c>
      <c r="GD61">
        <v>-1</v>
      </c>
      <c r="GE61">
        <v>0</v>
      </c>
      <c r="GF61">
        <v>100</v>
      </c>
      <c r="GG61">
        <v>28.937799999999999</v>
      </c>
      <c r="GH61">
        <v>432.1</v>
      </c>
      <c r="GI61">
        <v>35.274500000000003</v>
      </c>
      <c r="GJ61">
        <v>101.14100000000001</v>
      </c>
      <c r="GK61">
        <v>95.513800000000003</v>
      </c>
    </row>
    <row r="62" spans="1:193" x14ac:dyDescent="0.35">
      <c r="A62">
        <v>46</v>
      </c>
      <c r="B62">
        <v>1775534726.5</v>
      </c>
      <c r="C62">
        <v>2700.400000095367</v>
      </c>
      <c r="D62" t="s">
        <v>455</v>
      </c>
      <c r="E62" t="s">
        <v>456</v>
      </c>
      <c r="F62">
        <v>60</v>
      </c>
      <c r="G62">
        <v>1775534718.5</v>
      </c>
      <c r="H62">
        <f t="shared" si="0"/>
        <v>1.9997254755024004E-3</v>
      </c>
      <c r="I62">
        <f t="shared" si="1"/>
        <v>1.9997254755024003</v>
      </c>
      <c r="J62">
        <f t="shared" si="2"/>
        <v>-4.4864994440179142</v>
      </c>
      <c r="K62">
        <f t="shared" si="3"/>
        <v>2.548565161290322</v>
      </c>
      <c r="L62">
        <f t="shared" si="4"/>
        <v>157.50323628934149</v>
      </c>
      <c r="M62">
        <f t="shared" si="5"/>
        <v>15.8089577194408</v>
      </c>
      <c r="N62">
        <f t="shared" si="6"/>
        <v>0.25580527631866207</v>
      </c>
      <c r="O62">
        <f t="shared" si="7"/>
        <v>4.5072866022710573E-2</v>
      </c>
      <c r="P62">
        <f t="shared" si="8"/>
        <v>2.3960682338831139</v>
      </c>
      <c r="Q62">
        <f t="shared" si="9"/>
        <v>4.4607079364476408E-2</v>
      </c>
      <c r="R62">
        <f t="shared" si="10"/>
        <v>2.7920872472841904E-2</v>
      </c>
      <c r="S62">
        <f t="shared" si="11"/>
        <v>0.33159893922580647</v>
      </c>
      <c r="T62">
        <f t="shared" si="12"/>
        <v>30.591476973328025</v>
      </c>
      <c r="U62">
        <f t="shared" si="13"/>
        <v>30.95727419354839</v>
      </c>
      <c r="V62">
        <f t="shared" si="14"/>
        <v>4.5003996980020293</v>
      </c>
      <c r="W62">
        <f t="shared" si="15"/>
        <v>2.2761070852023839</v>
      </c>
      <c r="X62">
        <f t="shared" si="16"/>
        <v>0.10393872577186418</v>
      </c>
      <c r="Y62">
        <f t="shared" si="17"/>
        <v>4.5665129926267198</v>
      </c>
      <c r="Z62">
        <f t="shared" si="18"/>
        <v>4.3964609722301651</v>
      </c>
      <c r="AA62">
        <f t="shared" si="19"/>
        <v>-88.187893469655862</v>
      </c>
      <c r="AB62">
        <f t="shared" si="20"/>
        <v>33.060934650955062</v>
      </c>
      <c r="AC62">
        <f t="shared" si="21"/>
        <v>3.1010820699159911</v>
      </c>
      <c r="AD62">
        <f t="shared" si="22"/>
        <v>-51.694277809558997</v>
      </c>
      <c r="AE62">
        <v>7</v>
      </c>
      <c r="AF62">
        <v>1</v>
      </c>
      <c r="AG62">
        <f t="shared" si="23"/>
        <v>1</v>
      </c>
      <c r="AH62">
        <f t="shared" si="24"/>
        <v>0</v>
      </c>
      <c r="AI62">
        <f t="shared" si="25"/>
        <v>25277.330160453472</v>
      </c>
      <c r="AJ62">
        <f t="shared" si="26"/>
        <v>1.735211612903226</v>
      </c>
      <c r="AK62">
        <f t="shared" si="27"/>
        <v>1.3881692903225809</v>
      </c>
      <c r="AL62">
        <f t="shared" si="28"/>
        <v>0.8</v>
      </c>
      <c r="AM62">
        <f t="shared" si="29"/>
        <v>0.19109999999999999</v>
      </c>
      <c r="AN62">
        <v>3</v>
      </c>
      <c r="AO62">
        <v>0.5</v>
      </c>
      <c r="AP62" t="s">
        <v>317</v>
      </c>
      <c r="AQ62">
        <v>2</v>
      </c>
      <c r="AR62">
        <v>1775534718.5</v>
      </c>
      <c r="AS62">
        <v>2.548565161290322</v>
      </c>
      <c r="AT62">
        <v>-0.14028479999999999</v>
      </c>
      <c r="AU62">
        <v>1.0355322580645161</v>
      </c>
      <c r="AV62">
        <v>-0.163064193548387</v>
      </c>
      <c r="AW62">
        <v>-4.4464348387096777</v>
      </c>
      <c r="AX62">
        <v>1.3659358064516129</v>
      </c>
      <c r="AY62">
        <v>499.99848387096768</v>
      </c>
      <c r="AZ62">
        <v>100.3238064516129</v>
      </c>
      <c r="BA62">
        <v>4.8465838709677418E-2</v>
      </c>
      <c r="BB62">
        <v>31.213209677419361</v>
      </c>
      <c r="BC62">
        <v>30.95727419354839</v>
      </c>
      <c r="BD62">
        <v>999.90000000000032</v>
      </c>
      <c r="BE62">
        <v>0</v>
      </c>
      <c r="BF62">
        <v>0</v>
      </c>
      <c r="BG62">
        <v>5004.5161290322594</v>
      </c>
      <c r="BH62">
        <v>1.735211612903226</v>
      </c>
      <c r="BI62">
        <v>1864.133225806451</v>
      </c>
      <c r="BJ62">
        <v>2.6998212903225798</v>
      </c>
      <c r="BK62">
        <v>2.5591641935483871</v>
      </c>
      <c r="BL62">
        <v>-0.14043196451612899</v>
      </c>
      <c r="BM62">
        <v>-1.1830358064516131</v>
      </c>
      <c r="BN62">
        <v>-0.14028479999999999</v>
      </c>
      <c r="BO62">
        <v>1.0355322580645161</v>
      </c>
      <c r="BP62">
        <v>-1.479802580645161E-2</v>
      </c>
      <c r="BQ62">
        <v>0.1038886451612903</v>
      </c>
      <c r="BR62">
        <v>-99.900000000000034</v>
      </c>
      <c r="BS62">
        <v>-22.201061290322581</v>
      </c>
      <c r="BT62">
        <v>1775534756.5</v>
      </c>
      <c r="BU62" t="s">
        <v>457</v>
      </c>
      <c r="BV62">
        <v>1775534749.5</v>
      </c>
      <c r="BW62">
        <v>1775534756.5</v>
      </c>
      <c r="BX62">
        <v>47</v>
      </c>
      <c r="BY62">
        <v>-1.0999999999999999E-2</v>
      </c>
      <c r="BZ62">
        <v>-1.4999999999999999E-2</v>
      </c>
      <c r="CA62">
        <v>6.9950000000000001</v>
      </c>
      <c r="CB62">
        <v>-1.5289999999999999</v>
      </c>
      <c r="CC62">
        <v>2</v>
      </c>
      <c r="CD62">
        <v>1</v>
      </c>
      <c r="CE62">
        <v>2.11</v>
      </c>
      <c r="CF62">
        <v>0.08</v>
      </c>
      <c r="CG62">
        <v>1.4460108366666671</v>
      </c>
      <c r="CH62">
        <v>-11.47079642900805</v>
      </c>
      <c r="CI62">
        <v>2.015237286984108</v>
      </c>
      <c r="CJ62">
        <v>-1</v>
      </c>
      <c r="CK62">
        <v>500.99031666666667</v>
      </c>
      <c r="CL62">
        <v>-8.8669663795490621</v>
      </c>
      <c r="CM62">
        <v>1.9374783137854441</v>
      </c>
      <c r="CN62">
        <v>-1</v>
      </c>
      <c r="CO62">
        <v>0</v>
      </c>
      <c r="CP62">
        <v>0</v>
      </c>
      <c r="CQ62" t="s">
        <v>319</v>
      </c>
      <c r="CR62">
        <v>3.1682700000000001</v>
      </c>
      <c r="CS62">
        <v>2.6697000000000002</v>
      </c>
      <c r="CT62">
        <v>-1.5221E-3</v>
      </c>
      <c r="CU62">
        <v>-1.18099E-4</v>
      </c>
      <c r="CV62">
        <v>1.02173E-2</v>
      </c>
      <c r="CW62">
        <v>7.9934800000000007E-3</v>
      </c>
      <c r="CX62">
        <v>21337.5</v>
      </c>
      <c r="CY62">
        <v>21738.400000000001</v>
      </c>
      <c r="CZ62">
        <v>22843.599999999999</v>
      </c>
      <c r="DA62">
        <v>22106.1</v>
      </c>
      <c r="DB62">
        <v>29179.7</v>
      </c>
      <c r="DC62">
        <v>26108.799999999999</v>
      </c>
      <c r="DD62">
        <v>40195.4</v>
      </c>
      <c r="DE62">
        <v>36581.699999999997</v>
      </c>
      <c r="DF62">
        <v>2.0058199999999999</v>
      </c>
      <c r="DG62">
        <v>1.67374</v>
      </c>
      <c r="DH62">
        <v>-0.102657</v>
      </c>
      <c r="DI62">
        <v>0</v>
      </c>
      <c r="DJ62">
        <v>32.620100000000001</v>
      </c>
      <c r="DK62">
        <v>999.9</v>
      </c>
      <c r="DL62">
        <v>62.7</v>
      </c>
      <c r="DM62">
        <v>38.5</v>
      </c>
      <c r="DN62">
        <v>42.746699999999997</v>
      </c>
      <c r="DO62">
        <v>30.843699999999998</v>
      </c>
      <c r="DP62">
        <v>9.1306100000000008</v>
      </c>
      <c r="DQ62">
        <v>1</v>
      </c>
      <c r="DR62">
        <v>0.85932699999999995</v>
      </c>
      <c r="DS62">
        <v>3.4077600000000001</v>
      </c>
      <c r="DT62">
        <v>20.318200000000001</v>
      </c>
      <c r="DU62">
        <v>5.2071100000000001</v>
      </c>
      <c r="DV62">
        <v>11.854200000000001</v>
      </c>
      <c r="DW62">
        <v>4.9667599999999998</v>
      </c>
      <c r="DX62">
        <v>3.2922799999999999</v>
      </c>
      <c r="DY62">
        <v>894.7</v>
      </c>
      <c r="DZ62">
        <v>6</v>
      </c>
      <c r="EA62">
        <v>9999</v>
      </c>
      <c r="EB62">
        <v>116.5</v>
      </c>
      <c r="EC62">
        <v>4.97159</v>
      </c>
      <c r="ED62">
        <v>1.87212</v>
      </c>
      <c r="EE62">
        <v>1.86947</v>
      </c>
      <c r="EF62">
        <v>1.8717999999999999</v>
      </c>
      <c r="EG62">
        <v>1.8695200000000001</v>
      </c>
      <c r="EH62">
        <v>1.8684400000000001</v>
      </c>
      <c r="EI62">
        <v>1.8702700000000001</v>
      </c>
      <c r="EJ62">
        <v>1.87195</v>
      </c>
      <c r="EK62">
        <v>0</v>
      </c>
      <c r="EL62">
        <v>0</v>
      </c>
      <c r="EM62">
        <v>0</v>
      </c>
      <c r="EN62">
        <v>0</v>
      </c>
      <c r="EO62" t="s">
        <v>320</v>
      </c>
      <c r="EP62" t="s">
        <v>321</v>
      </c>
      <c r="EQ62" t="s">
        <v>322</v>
      </c>
      <c r="ER62" t="s">
        <v>322</v>
      </c>
      <c r="ES62" t="s">
        <v>322</v>
      </c>
      <c r="ET62" t="s">
        <v>322</v>
      </c>
      <c r="EU62">
        <v>0</v>
      </c>
      <c r="EV62">
        <v>100</v>
      </c>
      <c r="EW62">
        <v>100</v>
      </c>
      <c r="EX62">
        <v>6.9950000000000001</v>
      </c>
      <c r="EY62">
        <v>-1.5289999999999999</v>
      </c>
      <c r="EZ62">
        <v>7.0059710649999998</v>
      </c>
      <c r="FA62">
        <v>0</v>
      </c>
      <c r="FB62">
        <v>0</v>
      </c>
      <c r="FC62">
        <v>0</v>
      </c>
      <c r="FD62">
        <v>-1.5134382</v>
      </c>
      <c r="FE62">
        <v>0</v>
      </c>
      <c r="FF62">
        <v>0</v>
      </c>
      <c r="FG62">
        <v>0</v>
      </c>
      <c r="FH62">
        <v>-1</v>
      </c>
      <c r="FI62">
        <v>-1</v>
      </c>
      <c r="FJ62">
        <v>-1</v>
      </c>
      <c r="FK62">
        <v>-1</v>
      </c>
      <c r="FL62">
        <v>0.5</v>
      </c>
      <c r="FM62">
        <v>0.6</v>
      </c>
      <c r="FN62">
        <v>0.142822</v>
      </c>
      <c r="FO62">
        <v>4.99756</v>
      </c>
      <c r="FP62">
        <v>1.5979000000000001</v>
      </c>
      <c r="FQ62">
        <v>2.1325699999999999</v>
      </c>
      <c r="FR62">
        <v>1.5478499999999999</v>
      </c>
      <c r="FS62">
        <v>2.36816</v>
      </c>
      <c r="FT62">
        <v>45.1768</v>
      </c>
      <c r="FU62">
        <v>15.629300000000001</v>
      </c>
      <c r="FV62">
        <v>2</v>
      </c>
      <c r="FW62">
        <v>504.65899999999999</v>
      </c>
      <c r="FX62">
        <v>378.39</v>
      </c>
      <c r="FY62">
        <v>28.759499999999999</v>
      </c>
      <c r="FZ62">
        <v>37.6008</v>
      </c>
      <c r="GA62">
        <v>30.000599999999999</v>
      </c>
      <c r="GB62">
        <v>37.7346</v>
      </c>
      <c r="GC62">
        <v>37.7577</v>
      </c>
      <c r="GD62">
        <v>-1</v>
      </c>
      <c r="GE62">
        <v>0</v>
      </c>
      <c r="GF62">
        <v>100</v>
      </c>
      <c r="GG62">
        <v>28.7516</v>
      </c>
      <c r="GH62">
        <v>432.1</v>
      </c>
      <c r="GI62">
        <v>35.274500000000003</v>
      </c>
      <c r="GJ62">
        <v>101.134</v>
      </c>
      <c r="GK62">
        <v>95.507999999999996</v>
      </c>
    </row>
    <row r="63" spans="1:193" x14ac:dyDescent="0.35">
      <c r="A63">
        <v>47</v>
      </c>
      <c r="B63">
        <v>1775534786.5</v>
      </c>
      <c r="C63">
        <v>2760.400000095367</v>
      </c>
      <c r="D63" t="s">
        <v>458</v>
      </c>
      <c r="E63" t="s">
        <v>459</v>
      </c>
      <c r="F63">
        <v>60</v>
      </c>
      <c r="G63">
        <v>1775534778.5</v>
      </c>
      <c r="H63">
        <f t="shared" si="0"/>
        <v>2.5048223072791165E-3</v>
      </c>
      <c r="I63">
        <f t="shared" si="1"/>
        <v>2.5048223072791167</v>
      </c>
      <c r="J63">
        <f t="shared" si="2"/>
        <v>-3.9384365179867018</v>
      </c>
      <c r="K63">
        <f t="shared" si="3"/>
        <v>1.991835161290322</v>
      </c>
      <c r="L63">
        <f t="shared" si="4"/>
        <v>110.09212731161527</v>
      </c>
      <c r="M63">
        <f t="shared" si="5"/>
        <v>11.049957900282411</v>
      </c>
      <c r="N63">
        <f t="shared" si="6"/>
        <v>0.19992069563940704</v>
      </c>
      <c r="O63">
        <f t="shared" si="7"/>
        <v>5.6850025560554796E-2</v>
      </c>
      <c r="P63">
        <f t="shared" si="8"/>
        <v>2.3932476031094865</v>
      </c>
      <c r="Q63">
        <f t="shared" si="9"/>
        <v>5.6110319267401794E-2</v>
      </c>
      <c r="R63">
        <f t="shared" si="10"/>
        <v>3.513460729560202E-2</v>
      </c>
      <c r="S63">
        <f t="shared" si="11"/>
        <v>0.35076152254838722</v>
      </c>
      <c r="T63">
        <f t="shared" si="12"/>
        <v>30.431979189114873</v>
      </c>
      <c r="U63">
        <f t="shared" si="13"/>
        <v>30.925032258064519</v>
      </c>
      <c r="V63">
        <f t="shared" si="14"/>
        <v>4.4921303836638051</v>
      </c>
      <c r="W63">
        <f t="shared" si="15"/>
        <v>2.5037036432385582</v>
      </c>
      <c r="X63">
        <f t="shared" si="16"/>
        <v>0.11432439386897034</v>
      </c>
      <c r="Y63">
        <f t="shared" si="17"/>
        <v>4.5662111080004228</v>
      </c>
      <c r="Z63">
        <f t="shared" si="18"/>
        <v>4.3778059897948349</v>
      </c>
      <c r="AA63">
        <f t="shared" si="19"/>
        <v>-110.46266375100903</v>
      </c>
      <c r="AB63">
        <f t="shared" si="20"/>
        <v>37.03218853611785</v>
      </c>
      <c r="AC63">
        <f t="shared" si="21"/>
        <v>3.477102703264781</v>
      </c>
      <c r="AD63">
        <f t="shared" si="22"/>
        <v>-69.602610989078016</v>
      </c>
      <c r="AE63">
        <v>8</v>
      </c>
      <c r="AF63">
        <v>2</v>
      </c>
      <c r="AG63">
        <f t="shared" si="23"/>
        <v>1</v>
      </c>
      <c r="AH63">
        <f t="shared" si="24"/>
        <v>0</v>
      </c>
      <c r="AI63">
        <f t="shared" si="25"/>
        <v>25235.166060576954</v>
      </c>
      <c r="AJ63">
        <f t="shared" si="26"/>
        <v>1.835486774193549</v>
      </c>
      <c r="AK63">
        <f t="shared" si="27"/>
        <v>1.4683894193548392</v>
      </c>
      <c r="AL63">
        <f t="shared" si="28"/>
        <v>0.8</v>
      </c>
      <c r="AM63">
        <f t="shared" si="29"/>
        <v>0.19109999999999999</v>
      </c>
      <c r="AN63">
        <v>3</v>
      </c>
      <c r="AO63">
        <v>0.5</v>
      </c>
      <c r="AP63" t="s">
        <v>317</v>
      </c>
      <c r="AQ63">
        <v>2</v>
      </c>
      <c r="AR63">
        <v>1775534778.5</v>
      </c>
      <c r="AS63">
        <v>1.991835161290322</v>
      </c>
      <c r="AT63">
        <v>-0.36829977419354848</v>
      </c>
      <c r="AU63">
        <v>1.1390283870967739</v>
      </c>
      <c r="AV63">
        <v>-0.36219548387096762</v>
      </c>
      <c r="AW63">
        <v>-4.988164838709678</v>
      </c>
      <c r="AX63">
        <v>1.1788045161290319</v>
      </c>
      <c r="AY63">
        <v>499.98590322580651</v>
      </c>
      <c r="AZ63">
        <v>100.32164516129031</v>
      </c>
      <c r="BA63">
        <v>4.8455500000000012E-2</v>
      </c>
      <c r="BB63">
        <v>31.212048387096761</v>
      </c>
      <c r="BC63">
        <v>30.925032258064519</v>
      </c>
      <c r="BD63">
        <v>999.90000000000032</v>
      </c>
      <c r="BE63">
        <v>0</v>
      </c>
      <c r="BF63">
        <v>0</v>
      </c>
      <c r="BG63">
        <v>4997.3709677419356</v>
      </c>
      <c r="BH63">
        <v>1.835486774193549</v>
      </c>
      <c r="BI63">
        <v>2060.6041935483868</v>
      </c>
      <c r="BJ63">
        <v>2.374802903225806</v>
      </c>
      <c r="BK63">
        <v>2.0058054838709678</v>
      </c>
      <c r="BL63">
        <v>-0.36872003225806449</v>
      </c>
      <c r="BM63">
        <v>-1.4887754838709679</v>
      </c>
      <c r="BN63">
        <v>-0.36829977419354848</v>
      </c>
      <c r="BO63">
        <v>1.1390283870967739</v>
      </c>
      <c r="BP63">
        <v>-3.5087135483870963E-2</v>
      </c>
      <c r="BQ63">
        <v>0.1142691935483871</v>
      </c>
      <c r="BR63">
        <v>-99.900000000000034</v>
      </c>
      <c r="BS63">
        <v>-21.114812903225811</v>
      </c>
      <c r="BT63">
        <v>1775534819.5</v>
      </c>
      <c r="BU63" t="s">
        <v>460</v>
      </c>
      <c r="BV63">
        <v>1775534806.5</v>
      </c>
      <c r="BW63">
        <v>1775534819.5</v>
      </c>
      <c r="BX63">
        <v>48</v>
      </c>
      <c r="BY63">
        <v>-1.4999999999999999E-2</v>
      </c>
      <c r="BZ63">
        <v>-1.2999999999999999E-2</v>
      </c>
      <c r="CA63">
        <v>6.98</v>
      </c>
      <c r="CB63">
        <v>-1.5409999999999999</v>
      </c>
      <c r="CC63">
        <v>0</v>
      </c>
      <c r="CD63">
        <v>1</v>
      </c>
      <c r="CE63">
        <v>0.24</v>
      </c>
      <c r="CF63">
        <v>0.05</v>
      </c>
      <c r="CG63">
        <v>0.26813203508196731</v>
      </c>
      <c r="CH63">
        <v>-5.3940071865467996</v>
      </c>
      <c r="CI63">
        <v>1.0596167344639069</v>
      </c>
      <c r="CJ63">
        <v>-1</v>
      </c>
      <c r="CK63">
        <v>500.97159016393442</v>
      </c>
      <c r="CL63">
        <v>-7.1840846113179486</v>
      </c>
      <c r="CM63">
        <v>1.9308787125363971</v>
      </c>
      <c r="CN63">
        <v>-1</v>
      </c>
      <c r="CO63">
        <v>0</v>
      </c>
      <c r="CP63">
        <v>0</v>
      </c>
      <c r="CQ63" t="s">
        <v>319</v>
      </c>
      <c r="CR63">
        <v>3.1683300000000001</v>
      </c>
      <c r="CS63">
        <v>2.6692499999999999</v>
      </c>
      <c r="CT63">
        <v>-1.5697599999999999E-3</v>
      </c>
      <c r="CU63">
        <v>-1.16635E-4</v>
      </c>
      <c r="CV63">
        <v>8.8216500000000003E-3</v>
      </c>
      <c r="CW63">
        <v>8.7117500000000007E-3</v>
      </c>
      <c r="CX63">
        <v>21334.2</v>
      </c>
      <c r="CY63">
        <v>21734.7</v>
      </c>
      <c r="CZ63">
        <v>22839.3</v>
      </c>
      <c r="DA63">
        <v>22102.6</v>
      </c>
      <c r="DB63">
        <v>29216.1</v>
      </c>
      <c r="DC63">
        <v>26085.200000000001</v>
      </c>
      <c r="DD63">
        <v>40188.9</v>
      </c>
      <c r="DE63">
        <v>36575.5</v>
      </c>
      <c r="DF63">
        <v>2.0044200000000001</v>
      </c>
      <c r="DG63">
        <v>1.67096</v>
      </c>
      <c r="DH63">
        <v>-0.11131199999999999</v>
      </c>
      <c r="DI63">
        <v>0</v>
      </c>
      <c r="DJ63">
        <v>32.728000000000002</v>
      </c>
      <c r="DK63">
        <v>999.9</v>
      </c>
      <c r="DL63">
        <v>62.3</v>
      </c>
      <c r="DM63">
        <v>38.700000000000003</v>
      </c>
      <c r="DN63">
        <v>42.933599999999998</v>
      </c>
      <c r="DO63">
        <v>30.663699999999999</v>
      </c>
      <c r="DP63">
        <v>9.3830100000000005</v>
      </c>
      <c r="DQ63">
        <v>1</v>
      </c>
      <c r="DR63">
        <v>0.87092899999999995</v>
      </c>
      <c r="DS63">
        <v>3.7653400000000001</v>
      </c>
      <c r="DT63">
        <v>20.3093</v>
      </c>
      <c r="DU63">
        <v>5.2105800000000002</v>
      </c>
      <c r="DV63">
        <v>11.854200000000001</v>
      </c>
      <c r="DW63">
        <v>4.9672799999999997</v>
      </c>
      <c r="DX63">
        <v>3.2930000000000001</v>
      </c>
      <c r="DY63">
        <v>894.7</v>
      </c>
      <c r="DZ63">
        <v>6</v>
      </c>
      <c r="EA63">
        <v>9999</v>
      </c>
      <c r="EB63">
        <v>116.5</v>
      </c>
      <c r="EC63">
        <v>4.9716300000000002</v>
      </c>
      <c r="ED63">
        <v>1.8721399999999999</v>
      </c>
      <c r="EE63">
        <v>1.8694999999999999</v>
      </c>
      <c r="EF63">
        <v>1.8717999999999999</v>
      </c>
      <c r="EG63">
        <v>1.86951</v>
      </c>
      <c r="EH63">
        <v>1.8684400000000001</v>
      </c>
      <c r="EI63">
        <v>1.87026</v>
      </c>
      <c r="EJ63">
        <v>1.8719600000000001</v>
      </c>
      <c r="EK63">
        <v>0</v>
      </c>
      <c r="EL63">
        <v>0</v>
      </c>
      <c r="EM63">
        <v>0</v>
      </c>
      <c r="EN63">
        <v>0</v>
      </c>
      <c r="EO63" t="s">
        <v>320</v>
      </c>
      <c r="EP63" t="s">
        <v>321</v>
      </c>
      <c r="EQ63" t="s">
        <v>322</v>
      </c>
      <c r="ER63" t="s">
        <v>322</v>
      </c>
      <c r="ES63" t="s">
        <v>322</v>
      </c>
      <c r="ET63" t="s">
        <v>322</v>
      </c>
      <c r="EU63">
        <v>0</v>
      </c>
      <c r="EV63">
        <v>100</v>
      </c>
      <c r="EW63">
        <v>100</v>
      </c>
      <c r="EX63">
        <v>6.98</v>
      </c>
      <c r="EY63">
        <v>-1.5409999999999999</v>
      </c>
      <c r="EZ63">
        <v>6.994668299999999</v>
      </c>
      <c r="FA63">
        <v>0</v>
      </c>
      <c r="FB63">
        <v>0</v>
      </c>
      <c r="FC63">
        <v>0</v>
      </c>
      <c r="FD63">
        <v>-1.528551</v>
      </c>
      <c r="FE63">
        <v>0</v>
      </c>
      <c r="FF63">
        <v>0</v>
      </c>
      <c r="FG63">
        <v>0</v>
      </c>
      <c r="FH63">
        <v>-1</v>
      </c>
      <c r="FI63">
        <v>-1</v>
      </c>
      <c r="FJ63">
        <v>-1</v>
      </c>
      <c r="FK63">
        <v>-1</v>
      </c>
      <c r="FL63">
        <v>0.6</v>
      </c>
      <c r="FM63">
        <v>0.5</v>
      </c>
      <c r="FN63">
        <v>0.142822</v>
      </c>
      <c r="FO63">
        <v>4.99756</v>
      </c>
      <c r="FP63">
        <v>1.5979000000000001</v>
      </c>
      <c r="FQ63">
        <v>2.1313499999999999</v>
      </c>
      <c r="FR63">
        <v>1.5478499999999999</v>
      </c>
      <c r="FS63">
        <v>2.4279799999999998</v>
      </c>
      <c r="FT63">
        <v>45.375799999999998</v>
      </c>
      <c r="FU63">
        <v>15.6205</v>
      </c>
      <c r="FV63">
        <v>2</v>
      </c>
      <c r="FW63">
        <v>504.41699999999997</v>
      </c>
      <c r="FX63">
        <v>377.315</v>
      </c>
      <c r="FY63">
        <v>28.5397</v>
      </c>
      <c r="FZ63">
        <v>37.698900000000002</v>
      </c>
      <c r="GA63">
        <v>30.001100000000001</v>
      </c>
      <c r="GB63">
        <v>37.824199999999998</v>
      </c>
      <c r="GC63">
        <v>37.852600000000002</v>
      </c>
      <c r="GD63">
        <v>-1</v>
      </c>
      <c r="GE63">
        <v>0</v>
      </c>
      <c r="GF63">
        <v>100</v>
      </c>
      <c r="GG63">
        <v>28.536100000000001</v>
      </c>
      <c r="GH63">
        <v>432.1</v>
      </c>
      <c r="GI63">
        <v>35.274500000000003</v>
      </c>
      <c r="GJ63">
        <v>101.116</v>
      </c>
      <c r="GK63">
        <v>95.4923</v>
      </c>
    </row>
    <row r="64" spans="1:193" x14ac:dyDescent="0.35">
      <c r="A64">
        <v>48</v>
      </c>
      <c r="B64">
        <v>1775534846.5</v>
      </c>
      <c r="C64">
        <v>2820.400000095367</v>
      </c>
      <c r="D64" t="s">
        <v>461</v>
      </c>
      <c r="E64" t="s">
        <v>462</v>
      </c>
      <c r="F64">
        <v>60</v>
      </c>
      <c r="G64">
        <v>1775534838.5</v>
      </c>
      <c r="H64">
        <f t="shared" si="0"/>
        <v>2.9657856353799243E-3</v>
      </c>
      <c r="I64">
        <f t="shared" si="1"/>
        <v>2.9657856353799241</v>
      </c>
      <c r="J64">
        <f t="shared" si="2"/>
        <v>-3.2149453169841413</v>
      </c>
      <c r="K64">
        <f t="shared" si="3"/>
        <v>1.506922580645162</v>
      </c>
      <c r="L64">
        <f t="shared" si="4"/>
        <v>75.736987923583712</v>
      </c>
      <c r="M64">
        <f t="shared" si="5"/>
        <v>7.6018115750995543</v>
      </c>
      <c r="N64">
        <f t="shared" si="6"/>
        <v>0.15125161206417889</v>
      </c>
      <c r="O64">
        <f t="shared" si="7"/>
        <v>6.7726258543896148E-2</v>
      </c>
      <c r="P64">
        <f t="shared" si="8"/>
        <v>2.3941083391832447</v>
      </c>
      <c r="Q64">
        <f t="shared" si="9"/>
        <v>6.6679625722412886E-2</v>
      </c>
      <c r="R64">
        <f t="shared" si="10"/>
        <v>4.1767454501938854E-2</v>
      </c>
      <c r="S64">
        <f t="shared" si="11"/>
        <v>0.36141861474193548</v>
      </c>
      <c r="T64">
        <f t="shared" si="12"/>
        <v>30.288305899886183</v>
      </c>
      <c r="U64">
        <f t="shared" si="13"/>
        <v>30.899835483870969</v>
      </c>
      <c r="V64">
        <f t="shared" si="14"/>
        <v>4.4856772074095792</v>
      </c>
      <c r="W64">
        <f t="shared" si="15"/>
        <v>2.7126589753185084</v>
      </c>
      <c r="X64">
        <f t="shared" si="16"/>
        <v>0.12386546249127089</v>
      </c>
      <c r="Y64">
        <f t="shared" si="17"/>
        <v>4.5662010454788984</v>
      </c>
      <c r="Z64">
        <f t="shared" si="18"/>
        <v>4.3618117449183087</v>
      </c>
      <c r="AA64">
        <f t="shared" si="19"/>
        <v>-130.79114652025467</v>
      </c>
      <c r="AB64">
        <f t="shared" si="20"/>
        <v>40.292688024883731</v>
      </c>
      <c r="AC64">
        <f t="shared" si="21"/>
        <v>3.7814134614199495</v>
      </c>
      <c r="AD64">
        <f t="shared" si="22"/>
        <v>-86.355626419209059</v>
      </c>
      <c r="AE64">
        <v>8</v>
      </c>
      <c r="AF64">
        <v>2</v>
      </c>
      <c r="AG64">
        <f t="shared" si="23"/>
        <v>1</v>
      </c>
      <c r="AH64">
        <f t="shared" si="24"/>
        <v>0</v>
      </c>
      <c r="AI64">
        <f t="shared" si="25"/>
        <v>25248.113381775176</v>
      </c>
      <c r="AJ64">
        <f t="shared" si="26"/>
        <v>1.891253870967742</v>
      </c>
      <c r="AK64">
        <f t="shared" si="27"/>
        <v>1.5130030967741936</v>
      </c>
      <c r="AL64">
        <f t="shared" si="28"/>
        <v>0.8</v>
      </c>
      <c r="AM64">
        <f t="shared" si="29"/>
        <v>0.19109999999999999</v>
      </c>
      <c r="AN64">
        <v>3</v>
      </c>
      <c r="AO64">
        <v>0.5</v>
      </c>
      <c r="AP64" t="s">
        <v>317</v>
      </c>
      <c r="AQ64">
        <v>2</v>
      </c>
      <c r="AR64">
        <v>1775534838.5</v>
      </c>
      <c r="AS64">
        <v>1.506922580645162</v>
      </c>
      <c r="AT64">
        <v>-0.41943616129032257</v>
      </c>
      <c r="AU64">
        <v>1.2340738709677419</v>
      </c>
      <c r="AV64">
        <v>-0.54326893548387112</v>
      </c>
      <c r="AW64">
        <v>-5.4710774193548373</v>
      </c>
      <c r="AX64">
        <v>1.0067310645161289</v>
      </c>
      <c r="AY64">
        <v>499.9810322580646</v>
      </c>
      <c r="AZ64">
        <v>100.321064516129</v>
      </c>
      <c r="BA64">
        <v>5.0125090322580647E-2</v>
      </c>
      <c r="BB64">
        <v>31.21200967741936</v>
      </c>
      <c r="BC64">
        <v>30.899835483870969</v>
      </c>
      <c r="BD64">
        <v>999.90000000000032</v>
      </c>
      <c r="BE64">
        <v>0</v>
      </c>
      <c r="BF64">
        <v>0</v>
      </c>
      <c r="BG64">
        <v>4999.6129032258068</v>
      </c>
      <c r="BH64">
        <v>1.891253870967742</v>
      </c>
      <c r="BI64">
        <v>2144.6025806451612</v>
      </c>
      <c r="BJ64">
        <v>1.9279277419354841</v>
      </c>
      <c r="BK64">
        <v>1.5076845161290331</v>
      </c>
      <c r="BL64">
        <v>-0.41995451612903217</v>
      </c>
      <c r="BM64">
        <v>-1.768453225806452</v>
      </c>
      <c r="BN64">
        <v>-0.41943616129032257</v>
      </c>
      <c r="BO64">
        <v>1.2340738709677419</v>
      </c>
      <c r="BP64">
        <v>-5.3609432258064499E-2</v>
      </c>
      <c r="BQ64">
        <v>0.1238036451612903</v>
      </c>
      <c r="BR64">
        <v>-99.900000000000034</v>
      </c>
      <c r="BS64">
        <v>-20.192367741935481</v>
      </c>
      <c r="BT64">
        <v>1775534876.5</v>
      </c>
      <c r="BU64" t="s">
        <v>463</v>
      </c>
      <c r="BV64">
        <v>1775534864.5</v>
      </c>
      <c r="BW64">
        <v>1775534876.5</v>
      </c>
      <c r="BX64">
        <v>49</v>
      </c>
      <c r="BY64">
        <v>-2E-3</v>
      </c>
      <c r="BZ64">
        <v>-8.9999999999999993E-3</v>
      </c>
      <c r="CA64">
        <v>6.9779999999999998</v>
      </c>
      <c r="CB64">
        <v>-1.55</v>
      </c>
      <c r="CC64">
        <v>-1</v>
      </c>
      <c r="CD64">
        <v>1</v>
      </c>
      <c r="CE64">
        <v>0.17</v>
      </c>
      <c r="CF64">
        <v>0.05</v>
      </c>
      <c r="CG64">
        <v>-0.44295731147540979</v>
      </c>
      <c r="CH64">
        <v>0.13239761819143389</v>
      </c>
      <c r="CI64">
        <v>4.2407335209356418E-2</v>
      </c>
      <c r="CJ64">
        <v>-1</v>
      </c>
      <c r="CK64">
        <v>500.97468852459008</v>
      </c>
      <c r="CL64">
        <v>-4.7409264939180256</v>
      </c>
      <c r="CM64">
        <v>1.885135160967037</v>
      </c>
      <c r="CN64">
        <v>-1</v>
      </c>
      <c r="CO64">
        <v>0</v>
      </c>
      <c r="CP64">
        <v>0</v>
      </c>
      <c r="CQ64" t="s">
        <v>319</v>
      </c>
      <c r="CR64">
        <v>3.1682800000000002</v>
      </c>
      <c r="CS64">
        <v>2.67178</v>
      </c>
      <c r="CT64">
        <v>-1.58803E-3</v>
      </c>
      <c r="CU64">
        <v>-1.3699E-4</v>
      </c>
      <c r="CV64">
        <v>7.5207800000000003E-3</v>
      </c>
      <c r="CW64">
        <v>9.3780800000000004E-3</v>
      </c>
      <c r="CX64">
        <v>21329.599999999999</v>
      </c>
      <c r="CY64">
        <v>21731.1</v>
      </c>
      <c r="CZ64">
        <v>22834.400000000001</v>
      </c>
      <c r="DA64">
        <v>22098.9</v>
      </c>
      <c r="DB64">
        <v>29248.7</v>
      </c>
      <c r="DC64">
        <v>26062.799999999999</v>
      </c>
      <c r="DD64">
        <v>40181.1</v>
      </c>
      <c r="DE64">
        <v>36569</v>
      </c>
      <c r="DF64">
        <v>2.0023399999999998</v>
      </c>
      <c r="DG64">
        <v>1.6682999999999999</v>
      </c>
      <c r="DH64">
        <v>-0.117704</v>
      </c>
      <c r="DI64">
        <v>0</v>
      </c>
      <c r="DJ64">
        <v>32.791899999999998</v>
      </c>
      <c r="DK64">
        <v>999.9</v>
      </c>
      <c r="DL64">
        <v>61.9</v>
      </c>
      <c r="DM64">
        <v>39</v>
      </c>
      <c r="DN64">
        <v>43.354399999999998</v>
      </c>
      <c r="DO64">
        <v>30.843699999999998</v>
      </c>
      <c r="DP64">
        <v>9.1746800000000004</v>
      </c>
      <c r="DQ64">
        <v>1</v>
      </c>
      <c r="DR64">
        <v>0.88172399999999995</v>
      </c>
      <c r="DS64">
        <v>3.8643900000000002</v>
      </c>
      <c r="DT64">
        <v>20.3062</v>
      </c>
      <c r="DU64">
        <v>5.2079500000000003</v>
      </c>
      <c r="DV64">
        <v>11.854200000000001</v>
      </c>
      <c r="DW64">
        <v>4.9664799999999998</v>
      </c>
      <c r="DX64">
        <v>3.2930000000000001</v>
      </c>
      <c r="DY64">
        <v>894.7</v>
      </c>
      <c r="DZ64">
        <v>6</v>
      </c>
      <c r="EA64">
        <v>9999</v>
      </c>
      <c r="EB64">
        <v>116.5</v>
      </c>
      <c r="EC64">
        <v>4.9716300000000002</v>
      </c>
      <c r="ED64">
        <v>1.8721399999999999</v>
      </c>
      <c r="EE64">
        <v>1.86951</v>
      </c>
      <c r="EF64">
        <v>1.8717999999999999</v>
      </c>
      <c r="EG64">
        <v>1.8695200000000001</v>
      </c>
      <c r="EH64">
        <v>1.8684400000000001</v>
      </c>
      <c r="EI64">
        <v>1.8702700000000001</v>
      </c>
      <c r="EJ64">
        <v>1.8719600000000001</v>
      </c>
      <c r="EK64">
        <v>0</v>
      </c>
      <c r="EL64">
        <v>0</v>
      </c>
      <c r="EM64">
        <v>0</v>
      </c>
      <c r="EN64">
        <v>0</v>
      </c>
      <c r="EO64" t="s">
        <v>320</v>
      </c>
      <c r="EP64" t="s">
        <v>321</v>
      </c>
      <c r="EQ64" t="s">
        <v>322</v>
      </c>
      <c r="ER64" t="s">
        <v>322</v>
      </c>
      <c r="ES64" t="s">
        <v>322</v>
      </c>
      <c r="ET64" t="s">
        <v>322</v>
      </c>
      <c r="EU64">
        <v>0</v>
      </c>
      <c r="EV64">
        <v>100</v>
      </c>
      <c r="EW64">
        <v>100</v>
      </c>
      <c r="EX64">
        <v>6.9779999999999998</v>
      </c>
      <c r="EY64">
        <v>-1.55</v>
      </c>
      <c r="EZ64">
        <v>6.9795684000000007</v>
      </c>
      <c r="FA64">
        <v>0</v>
      </c>
      <c r="FB64">
        <v>0</v>
      </c>
      <c r="FC64">
        <v>0</v>
      </c>
      <c r="FD64">
        <v>-1.5411094999999999</v>
      </c>
      <c r="FE64">
        <v>0</v>
      </c>
      <c r="FF64">
        <v>0</v>
      </c>
      <c r="FG64">
        <v>0</v>
      </c>
      <c r="FH64">
        <v>-1</v>
      </c>
      <c r="FI64">
        <v>-1</v>
      </c>
      <c r="FJ64">
        <v>-1</v>
      </c>
      <c r="FK64">
        <v>-1</v>
      </c>
      <c r="FL64">
        <v>0.7</v>
      </c>
      <c r="FM64">
        <v>0.5</v>
      </c>
      <c r="FN64">
        <v>0.142822</v>
      </c>
      <c r="FO64">
        <v>4.99756</v>
      </c>
      <c r="FP64">
        <v>1.5979000000000001</v>
      </c>
      <c r="FQ64">
        <v>2.1313499999999999</v>
      </c>
      <c r="FR64">
        <v>1.5478499999999999</v>
      </c>
      <c r="FS64">
        <v>2.47437</v>
      </c>
      <c r="FT64">
        <v>45.633099999999999</v>
      </c>
      <c r="FU64">
        <v>15.611800000000001</v>
      </c>
      <c r="FV64">
        <v>2</v>
      </c>
      <c r="FW64">
        <v>503.84100000000001</v>
      </c>
      <c r="FX64">
        <v>376.327</v>
      </c>
      <c r="FY64">
        <v>28.3459</v>
      </c>
      <c r="FZ64">
        <v>37.814700000000002</v>
      </c>
      <c r="GA64">
        <v>30.000599999999999</v>
      </c>
      <c r="GB64">
        <v>37.926000000000002</v>
      </c>
      <c r="GC64">
        <v>37.9512</v>
      </c>
      <c r="GD64">
        <v>-1</v>
      </c>
      <c r="GE64">
        <v>0</v>
      </c>
      <c r="GF64">
        <v>100</v>
      </c>
      <c r="GG64">
        <v>28.350899999999999</v>
      </c>
      <c r="GH64">
        <v>432.1</v>
      </c>
      <c r="GI64">
        <v>37.187100000000001</v>
      </c>
      <c r="GJ64">
        <v>101.096</v>
      </c>
      <c r="GK64">
        <v>95.475700000000003</v>
      </c>
    </row>
    <row r="65" spans="1:193" x14ac:dyDescent="0.35">
      <c r="A65">
        <v>49</v>
      </c>
      <c r="B65">
        <v>1775534906.5</v>
      </c>
      <c r="C65">
        <v>2880.400000095367</v>
      </c>
      <c r="D65" t="s">
        <v>464</v>
      </c>
      <c r="E65" t="s">
        <v>465</v>
      </c>
      <c r="F65">
        <v>60</v>
      </c>
      <c r="G65">
        <v>1775534898.5</v>
      </c>
      <c r="H65">
        <f t="shared" si="0"/>
        <v>2.801891489022905E-3</v>
      </c>
      <c r="I65">
        <f t="shared" si="1"/>
        <v>2.8018914890229052</v>
      </c>
      <c r="J65">
        <f t="shared" si="2"/>
        <v>-3.1190036766872216</v>
      </c>
      <c r="K65">
        <f t="shared" si="3"/>
        <v>1.236798387096774</v>
      </c>
      <c r="L65">
        <f t="shared" si="4"/>
        <v>77.657138238133157</v>
      </c>
      <c r="M65">
        <f t="shared" si="5"/>
        <v>7.7946999370973451</v>
      </c>
      <c r="N65">
        <f t="shared" si="6"/>
        <v>0.12414148304748392</v>
      </c>
      <c r="O65">
        <f t="shared" si="7"/>
        <v>6.3784918306842062E-2</v>
      </c>
      <c r="P65">
        <f t="shared" si="8"/>
        <v>2.3958092106039186</v>
      </c>
      <c r="Q65">
        <f t="shared" si="9"/>
        <v>6.2856307025928773E-2</v>
      </c>
      <c r="R65">
        <f t="shared" si="10"/>
        <v>3.9367497681489963E-2</v>
      </c>
      <c r="S65">
        <f t="shared" si="11"/>
        <v>0.35992205516129028</v>
      </c>
      <c r="T65">
        <f t="shared" si="12"/>
        <v>30.372921017065995</v>
      </c>
      <c r="U65">
        <f t="shared" si="13"/>
        <v>30.970870967741931</v>
      </c>
      <c r="V65">
        <f t="shared" si="14"/>
        <v>4.5038909305318597</v>
      </c>
      <c r="W65">
        <f t="shared" si="15"/>
        <v>2.906951261102825</v>
      </c>
      <c r="X65">
        <f t="shared" si="16"/>
        <v>0.13298566217658819</v>
      </c>
      <c r="Y65">
        <f t="shared" si="17"/>
        <v>4.5747468819321293</v>
      </c>
      <c r="Z65">
        <f t="shared" si="18"/>
        <v>4.3709052683552718</v>
      </c>
      <c r="AA65">
        <f t="shared" si="19"/>
        <v>-123.56341466591012</v>
      </c>
      <c r="AB65">
        <f t="shared" si="20"/>
        <v>35.388958710782347</v>
      </c>
      <c r="AC65">
        <f t="shared" si="21"/>
        <v>3.3205483206804565</v>
      </c>
      <c r="AD65">
        <f t="shared" si="22"/>
        <v>-84.493985579286019</v>
      </c>
      <c r="AE65">
        <v>8</v>
      </c>
      <c r="AF65">
        <v>2</v>
      </c>
      <c r="AG65">
        <f t="shared" si="23"/>
        <v>1</v>
      </c>
      <c r="AH65">
        <f t="shared" si="24"/>
        <v>0</v>
      </c>
      <c r="AI65">
        <f t="shared" si="25"/>
        <v>25270.803346471079</v>
      </c>
      <c r="AJ65">
        <f t="shared" si="26"/>
        <v>1.883422580645161</v>
      </c>
      <c r="AK65">
        <f t="shared" si="27"/>
        <v>1.5067380645161288</v>
      </c>
      <c r="AL65">
        <f t="shared" si="28"/>
        <v>0.8</v>
      </c>
      <c r="AM65">
        <f t="shared" si="29"/>
        <v>0.19109999999999999</v>
      </c>
      <c r="AN65">
        <v>3</v>
      </c>
      <c r="AO65">
        <v>0.5</v>
      </c>
      <c r="AP65" t="s">
        <v>317</v>
      </c>
      <c r="AQ65">
        <v>2</v>
      </c>
      <c r="AR65">
        <v>1775534898.5</v>
      </c>
      <c r="AS65">
        <v>1.236798387096774</v>
      </c>
      <c r="AT65">
        <v>-0.63257187096774181</v>
      </c>
      <c r="AU65">
        <v>1.324911290322581</v>
      </c>
      <c r="AV65">
        <v>-0.35403870967741963</v>
      </c>
      <c r="AW65">
        <v>-5.722201612903226</v>
      </c>
      <c r="AX65">
        <v>1.2049612903225799</v>
      </c>
      <c r="AY65">
        <v>499.98735483870968</v>
      </c>
      <c r="AZ65">
        <v>100.32403225806451</v>
      </c>
      <c r="BA65">
        <v>4.9225293548387103E-2</v>
      </c>
      <c r="BB65">
        <v>31.24485806451613</v>
      </c>
      <c r="BC65">
        <v>30.970870967741931</v>
      </c>
      <c r="BD65">
        <v>999.90000000000032</v>
      </c>
      <c r="BE65">
        <v>0</v>
      </c>
      <c r="BF65">
        <v>0</v>
      </c>
      <c r="BG65">
        <v>5003.8387096774204</v>
      </c>
      <c r="BH65">
        <v>1.883422580645161</v>
      </c>
      <c r="BI65">
        <v>2134.3329032258061</v>
      </c>
      <c r="BJ65">
        <v>1.8879493548387101</v>
      </c>
      <c r="BK65">
        <v>1.2549441935483869</v>
      </c>
      <c r="BL65">
        <v>-0.63341087096774207</v>
      </c>
      <c r="BM65">
        <v>-1.6701483870967739</v>
      </c>
      <c r="BN65">
        <v>-0.63257187096774181</v>
      </c>
      <c r="BO65">
        <v>1.324911290322581</v>
      </c>
      <c r="BP65">
        <v>-3.4635622580645169E-2</v>
      </c>
      <c r="BQ65">
        <v>0.13292048387096769</v>
      </c>
      <c r="BR65">
        <v>-99.900000000000034</v>
      </c>
      <c r="BS65">
        <v>-19.36816774193548</v>
      </c>
      <c r="BT65">
        <v>1775534933.5</v>
      </c>
      <c r="BU65" t="s">
        <v>466</v>
      </c>
      <c r="BV65">
        <v>1775534924.5</v>
      </c>
      <c r="BW65">
        <v>1775534933.5</v>
      </c>
      <c r="BX65">
        <v>50</v>
      </c>
      <c r="BY65">
        <v>-1.9E-2</v>
      </c>
      <c r="BZ65">
        <v>-8.9999999999999993E-3</v>
      </c>
      <c r="CA65">
        <v>6.9589999999999996</v>
      </c>
      <c r="CB65">
        <v>-1.5589999999999999</v>
      </c>
      <c r="CC65">
        <v>-1</v>
      </c>
      <c r="CD65">
        <v>1</v>
      </c>
      <c r="CE65">
        <v>0.19</v>
      </c>
      <c r="CF65">
        <v>0.04</v>
      </c>
      <c r="CG65">
        <v>-0.60158975000000003</v>
      </c>
      <c r="CH65">
        <v>-0.19274939816615741</v>
      </c>
      <c r="CI65">
        <v>6.0278943560922088E-2</v>
      </c>
      <c r="CJ65">
        <v>-1</v>
      </c>
      <c r="CK65">
        <v>500.9674333333333</v>
      </c>
      <c r="CL65">
        <v>-7.0982984162263776</v>
      </c>
      <c r="CM65">
        <v>1.914652129993565</v>
      </c>
      <c r="CN65">
        <v>-1</v>
      </c>
      <c r="CO65">
        <v>0</v>
      </c>
      <c r="CP65">
        <v>0</v>
      </c>
      <c r="CQ65" t="s">
        <v>319</v>
      </c>
      <c r="CR65">
        <v>3.1682800000000002</v>
      </c>
      <c r="CS65">
        <v>2.6701999999999999</v>
      </c>
      <c r="CT65">
        <v>-1.6566199999999999E-3</v>
      </c>
      <c r="CU65">
        <v>-1.64585E-4</v>
      </c>
      <c r="CV65">
        <v>8.7558299999999992E-3</v>
      </c>
      <c r="CW65">
        <v>1.00433E-2</v>
      </c>
      <c r="CX65">
        <v>21326.7</v>
      </c>
      <c r="CY65">
        <v>21728.5</v>
      </c>
      <c r="CZ65">
        <v>22830.1</v>
      </c>
      <c r="DA65">
        <v>22095.8</v>
      </c>
      <c r="DB65">
        <v>29207.1</v>
      </c>
      <c r="DC65">
        <v>26041</v>
      </c>
      <c r="DD65">
        <v>40174.300000000003</v>
      </c>
      <c r="DE65">
        <v>36563.300000000003</v>
      </c>
      <c r="DF65">
        <v>2.0018199999999999</v>
      </c>
      <c r="DG65">
        <v>1.66534</v>
      </c>
      <c r="DH65">
        <v>-0.113785</v>
      </c>
      <c r="DI65">
        <v>0</v>
      </c>
      <c r="DJ65">
        <v>32.812600000000003</v>
      </c>
      <c r="DK65">
        <v>999.9</v>
      </c>
      <c r="DL65">
        <v>61.4</v>
      </c>
      <c r="DM65">
        <v>39.200000000000003</v>
      </c>
      <c r="DN65">
        <v>43.469200000000001</v>
      </c>
      <c r="DO65">
        <v>30.7837</v>
      </c>
      <c r="DP65">
        <v>9.4911899999999996</v>
      </c>
      <c r="DQ65">
        <v>1</v>
      </c>
      <c r="DR65">
        <v>0.890065</v>
      </c>
      <c r="DS65">
        <v>3.8812600000000002</v>
      </c>
      <c r="DT65">
        <v>20.305900000000001</v>
      </c>
      <c r="DU65">
        <v>5.2077099999999996</v>
      </c>
      <c r="DV65">
        <v>11.854200000000001</v>
      </c>
      <c r="DW65">
        <v>4.9668799999999997</v>
      </c>
      <c r="DX65">
        <v>3.2930000000000001</v>
      </c>
      <c r="DY65">
        <v>894.7</v>
      </c>
      <c r="DZ65">
        <v>6</v>
      </c>
      <c r="EA65">
        <v>9999</v>
      </c>
      <c r="EB65">
        <v>116.5</v>
      </c>
      <c r="EC65">
        <v>4.9716199999999997</v>
      </c>
      <c r="ED65">
        <v>1.87216</v>
      </c>
      <c r="EE65">
        <v>1.86951</v>
      </c>
      <c r="EF65">
        <v>1.8717999999999999</v>
      </c>
      <c r="EG65">
        <v>1.8695299999999999</v>
      </c>
      <c r="EH65">
        <v>1.8684400000000001</v>
      </c>
      <c r="EI65">
        <v>1.8702700000000001</v>
      </c>
      <c r="EJ65">
        <v>1.8719600000000001</v>
      </c>
      <c r="EK65">
        <v>0</v>
      </c>
      <c r="EL65">
        <v>0</v>
      </c>
      <c r="EM65">
        <v>0</v>
      </c>
      <c r="EN65">
        <v>0</v>
      </c>
      <c r="EO65" t="s">
        <v>320</v>
      </c>
      <c r="EP65" t="s">
        <v>321</v>
      </c>
      <c r="EQ65" t="s">
        <v>322</v>
      </c>
      <c r="ER65" t="s">
        <v>322</v>
      </c>
      <c r="ES65" t="s">
        <v>322</v>
      </c>
      <c r="ET65" t="s">
        <v>322</v>
      </c>
      <c r="EU65">
        <v>0</v>
      </c>
      <c r="EV65">
        <v>100</v>
      </c>
      <c r="EW65">
        <v>100</v>
      </c>
      <c r="EX65">
        <v>6.9589999999999996</v>
      </c>
      <c r="EY65">
        <v>-1.5589999999999999</v>
      </c>
      <c r="EZ65">
        <v>6.9775784500000002</v>
      </c>
      <c r="FA65">
        <v>0</v>
      </c>
      <c r="FB65">
        <v>0</v>
      </c>
      <c r="FC65">
        <v>0</v>
      </c>
      <c r="FD65">
        <v>-1.5501985</v>
      </c>
      <c r="FE65">
        <v>0</v>
      </c>
      <c r="FF65">
        <v>0</v>
      </c>
      <c r="FG65">
        <v>0</v>
      </c>
      <c r="FH65">
        <v>-1</v>
      </c>
      <c r="FI65">
        <v>-1</v>
      </c>
      <c r="FJ65">
        <v>-1</v>
      </c>
      <c r="FK65">
        <v>-1</v>
      </c>
      <c r="FL65">
        <v>0.7</v>
      </c>
      <c r="FM65">
        <v>0.5</v>
      </c>
      <c r="FN65">
        <v>0.142822</v>
      </c>
      <c r="FO65">
        <v>4.99756</v>
      </c>
      <c r="FP65">
        <v>1.5979000000000001</v>
      </c>
      <c r="FQ65">
        <v>2.1313499999999999</v>
      </c>
      <c r="FR65">
        <v>1.5478499999999999</v>
      </c>
      <c r="FS65">
        <v>2.5134300000000001</v>
      </c>
      <c r="FT65">
        <v>45.834400000000002</v>
      </c>
      <c r="FU65">
        <v>15.603</v>
      </c>
      <c r="FV65">
        <v>2</v>
      </c>
      <c r="FW65">
        <v>504.12599999999998</v>
      </c>
      <c r="FX65">
        <v>375.09800000000001</v>
      </c>
      <c r="FY65">
        <v>28.526</v>
      </c>
      <c r="FZ65">
        <v>37.904899999999998</v>
      </c>
      <c r="GA65">
        <v>30.001300000000001</v>
      </c>
      <c r="GB65">
        <v>38.014200000000002</v>
      </c>
      <c r="GC65">
        <v>38.036200000000001</v>
      </c>
      <c r="GD65">
        <v>-1</v>
      </c>
      <c r="GE65">
        <v>0</v>
      </c>
      <c r="GF65">
        <v>100</v>
      </c>
      <c r="GG65">
        <v>28.508800000000001</v>
      </c>
      <c r="GH65">
        <v>432.1</v>
      </c>
      <c r="GI65">
        <v>37.187100000000001</v>
      </c>
      <c r="GJ65">
        <v>101.078</v>
      </c>
      <c r="GK65">
        <v>95.461399999999998</v>
      </c>
    </row>
    <row r="66" spans="1:193" x14ac:dyDescent="0.35">
      <c r="A66">
        <v>50</v>
      </c>
      <c r="B66">
        <v>1775534966.5</v>
      </c>
      <c r="C66">
        <v>2940.400000095367</v>
      </c>
      <c r="D66" t="s">
        <v>467</v>
      </c>
      <c r="E66" t="s">
        <v>468</v>
      </c>
      <c r="F66">
        <v>60</v>
      </c>
      <c r="G66">
        <v>1775534958.5</v>
      </c>
      <c r="H66">
        <f t="shared" si="0"/>
        <v>3.4641880354949512E-3</v>
      </c>
      <c r="I66">
        <f t="shared" si="1"/>
        <v>3.464188035494951</v>
      </c>
      <c r="J66">
        <f t="shared" si="2"/>
        <v>-3.587861663332613</v>
      </c>
      <c r="K66">
        <f t="shared" si="3"/>
        <v>1.267843225806452</v>
      </c>
      <c r="L66">
        <f t="shared" si="4"/>
        <v>71.698780257697763</v>
      </c>
      <c r="M66">
        <f t="shared" si="5"/>
        <v>7.1966571499065184</v>
      </c>
      <c r="N66">
        <f t="shared" si="6"/>
        <v>0.12725785547768712</v>
      </c>
      <c r="O66">
        <f t="shared" si="7"/>
        <v>7.9881811241392778E-2</v>
      </c>
      <c r="P66">
        <f t="shared" si="8"/>
        <v>2.3942869027433278</v>
      </c>
      <c r="Q66">
        <f t="shared" si="9"/>
        <v>7.8430209280240443E-2</v>
      </c>
      <c r="R66">
        <f t="shared" si="10"/>
        <v>4.9147104343283662E-2</v>
      </c>
      <c r="S66">
        <f t="shared" si="11"/>
        <v>0.32125512774193549</v>
      </c>
      <c r="T66">
        <f t="shared" si="12"/>
        <v>30.091417720978956</v>
      </c>
      <c r="U66">
        <f t="shared" si="13"/>
        <v>30.851609677419351</v>
      </c>
      <c r="V66">
        <f t="shared" si="14"/>
        <v>4.4733485533305366</v>
      </c>
      <c r="W66">
        <f t="shared" si="15"/>
        <v>3.1142463357577168</v>
      </c>
      <c r="X66">
        <f t="shared" si="16"/>
        <v>0.1418713297264253</v>
      </c>
      <c r="Y66">
        <f t="shared" si="17"/>
        <v>4.5555590159153887</v>
      </c>
      <c r="Z66">
        <f t="shared" si="18"/>
        <v>4.3314772236041117</v>
      </c>
      <c r="AA66">
        <f t="shared" si="19"/>
        <v>-152.77069236532733</v>
      </c>
      <c r="AB66">
        <f t="shared" si="20"/>
        <v>41.230904420901581</v>
      </c>
      <c r="AC66">
        <f t="shared" si="21"/>
        <v>3.8674727433119118</v>
      </c>
      <c r="AD66">
        <f t="shared" si="22"/>
        <v>-107.3510600733719</v>
      </c>
      <c r="AE66">
        <v>8</v>
      </c>
      <c r="AF66">
        <v>2</v>
      </c>
      <c r="AG66">
        <f t="shared" si="23"/>
        <v>1</v>
      </c>
      <c r="AH66">
        <f t="shared" si="24"/>
        <v>0</v>
      </c>
      <c r="AI66">
        <f t="shared" si="25"/>
        <v>25254.0629373107</v>
      </c>
      <c r="AJ66">
        <f t="shared" si="26"/>
        <v>1.681083870967742</v>
      </c>
      <c r="AK66">
        <f t="shared" si="27"/>
        <v>1.3448670967741938</v>
      </c>
      <c r="AL66">
        <f t="shared" si="28"/>
        <v>0.8</v>
      </c>
      <c r="AM66">
        <f t="shared" si="29"/>
        <v>0.19109999999999999</v>
      </c>
      <c r="AN66">
        <v>3</v>
      </c>
      <c r="AO66">
        <v>0.5</v>
      </c>
      <c r="AP66" t="s">
        <v>317</v>
      </c>
      <c r="AQ66">
        <v>2</v>
      </c>
      <c r="AR66">
        <v>1775534958.5</v>
      </c>
      <c r="AS66">
        <v>1.267843225806452</v>
      </c>
      <c r="AT66">
        <v>-0.882305129032258</v>
      </c>
      <c r="AU66">
        <v>1.413434193548387</v>
      </c>
      <c r="AV66">
        <v>-0.66220506451612893</v>
      </c>
      <c r="AW66">
        <v>-5.6981567741935484</v>
      </c>
      <c r="AX66">
        <v>0.90879493548387102</v>
      </c>
      <c r="AY66">
        <v>499.98451612903227</v>
      </c>
      <c r="AZ66">
        <v>100.3244516129032</v>
      </c>
      <c r="BA66">
        <v>4.9043222580645168E-2</v>
      </c>
      <c r="BB66">
        <v>31.171029032258069</v>
      </c>
      <c r="BC66">
        <v>30.851609677419351</v>
      </c>
      <c r="BD66">
        <v>999.90000000000032</v>
      </c>
      <c r="BE66">
        <v>0</v>
      </c>
      <c r="BF66">
        <v>0</v>
      </c>
      <c r="BG66">
        <v>4999.9032258064517</v>
      </c>
      <c r="BH66">
        <v>1.681083870967742</v>
      </c>
      <c r="BI66">
        <v>1815.983870967742</v>
      </c>
      <c r="BJ66">
        <v>2.14266870967742</v>
      </c>
      <c r="BK66">
        <v>1.2595367741935479</v>
      </c>
      <c r="BL66">
        <v>-0.88355422580645149</v>
      </c>
      <c r="BM66">
        <v>-2.0639638709677421</v>
      </c>
      <c r="BN66">
        <v>-0.882305129032258</v>
      </c>
      <c r="BO66">
        <v>1.413434193548387</v>
      </c>
      <c r="BP66">
        <v>-6.5263970967741933E-2</v>
      </c>
      <c r="BQ66">
        <v>0.14180200000000001</v>
      </c>
      <c r="BR66">
        <v>-99.900000000000034</v>
      </c>
      <c r="BS66">
        <v>-18.61242903225806</v>
      </c>
      <c r="BT66">
        <v>1775534998.5</v>
      </c>
      <c r="BU66" t="s">
        <v>469</v>
      </c>
      <c r="BV66">
        <v>1775534984.5</v>
      </c>
      <c r="BW66">
        <v>1775534998.5</v>
      </c>
      <c r="BX66">
        <v>51</v>
      </c>
      <c r="BY66">
        <v>7.0000000000000001E-3</v>
      </c>
      <c r="BZ66">
        <v>-1.2E-2</v>
      </c>
      <c r="CA66">
        <v>6.9660000000000002</v>
      </c>
      <c r="CB66">
        <v>-1.571</v>
      </c>
      <c r="CC66">
        <v>-1</v>
      </c>
      <c r="CD66">
        <v>1</v>
      </c>
      <c r="CE66">
        <v>0.14000000000000001</v>
      </c>
      <c r="CF66">
        <v>0.04</v>
      </c>
      <c r="CG66">
        <v>-0.78264957377049182</v>
      </c>
      <c r="CH66">
        <v>-0.79567945002644069</v>
      </c>
      <c r="CI66">
        <v>0.1227846941894444</v>
      </c>
      <c r="CJ66">
        <v>-1</v>
      </c>
      <c r="CK66">
        <v>500.9198524590164</v>
      </c>
      <c r="CL66">
        <v>-8.8665975674250603</v>
      </c>
      <c r="CM66">
        <v>1.885295322659422</v>
      </c>
      <c r="CN66">
        <v>-1</v>
      </c>
      <c r="CO66">
        <v>0</v>
      </c>
      <c r="CP66">
        <v>0</v>
      </c>
      <c r="CQ66" t="s">
        <v>319</v>
      </c>
      <c r="CR66">
        <v>3.1682700000000001</v>
      </c>
      <c r="CS66">
        <v>2.67015</v>
      </c>
      <c r="CT66">
        <v>-1.7025199999999999E-3</v>
      </c>
      <c r="CU66">
        <v>-2.6735700000000002E-4</v>
      </c>
      <c r="CV66">
        <v>7.9577699999999994E-3</v>
      </c>
      <c r="CW66">
        <v>1.06669E-2</v>
      </c>
      <c r="CX66">
        <v>21324.3</v>
      </c>
      <c r="CY66">
        <v>21728.3</v>
      </c>
      <c r="CZ66">
        <v>22826.799999999999</v>
      </c>
      <c r="DA66">
        <v>22093.599999999999</v>
      </c>
      <c r="DB66">
        <v>29226.799999999999</v>
      </c>
      <c r="DC66">
        <v>26021.5</v>
      </c>
      <c r="DD66">
        <v>40169.300000000003</v>
      </c>
      <c r="DE66">
        <v>36559.199999999997</v>
      </c>
      <c r="DF66">
        <v>2.0009199999999998</v>
      </c>
      <c r="DG66">
        <v>1.66306</v>
      </c>
      <c r="DH66">
        <v>-0.121146</v>
      </c>
      <c r="DI66">
        <v>0</v>
      </c>
      <c r="DJ66">
        <v>32.840600000000002</v>
      </c>
      <c r="DK66">
        <v>999.9</v>
      </c>
      <c r="DL66">
        <v>61</v>
      </c>
      <c r="DM66">
        <v>39.5</v>
      </c>
      <c r="DN66">
        <v>43.886499999999998</v>
      </c>
      <c r="DO66">
        <v>30.6037</v>
      </c>
      <c r="DP66">
        <v>9.5512800000000002</v>
      </c>
      <c r="DQ66">
        <v>1</v>
      </c>
      <c r="DR66">
        <v>0.89279900000000001</v>
      </c>
      <c r="DS66">
        <v>3.3875899999999999</v>
      </c>
      <c r="DT66">
        <v>20.319700000000001</v>
      </c>
      <c r="DU66">
        <v>5.2056699999999996</v>
      </c>
      <c r="DV66">
        <v>11.854200000000001</v>
      </c>
      <c r="DW66">
        <v>4.9660799999999998</v>
      </c>
      <c r="DX66">
        <v>3.2923200000000001</v>
      </c>
      <c r="DY66">
        <v>894.7</v>
      </c>
      <c r="DZ66">
        <v>6</v>
      </c>
      <c r="EA66">
        <v>9999</v>
      </c>
      <c r="EB66">
        <v>116.6</v>
      </c>
      <c r="EC66">
        <v>4.97166</v>
      </c>
      <c r="ED66">
        <v>1.8721699999999999</v>
      </c>
      <c r="EE66">
        <v>1.86951</v>
      </c>
      <c r="EF66">
        <v>1.8717999999999999</v>
      </c>
      <c r="EG66">
        <v>1.86955</v>
      </c>
      <c r="EH66">
        <v>1.8684400000000001</v>
      </c>
      <c r="EI66">
        <v>1.8702700000000001</v>
      </c>
      <c r="EJ66">
        <v>1.8720000000000001</v>
      </c>
      <c r="EK66">
        <v>0</v>
      </c>
      <c r="EL66">
        <v>0</v>
      </c>
      <c r="EM66">
        <v>0</v>
      </c>
      <c r="EN66">
        <v>0</v>
      </c>
      <c r="EO66" t="s">
        <v>320</v>
      </c>
      <c r="EP66" t="s">
        <v>321</v>
      </c>
      <c r="EQ66" t="s">
        <v>322</v>
      </c>
      <c r="ER66" t="s">
        <v>322</v>
      </c>
      <c r="ES66" t="s">
        <v>322</v>
      </c>
      <c r="ET66" t="s">
        <v>322</v>
      </c>
      <c r="EU66">
        <v>0</v>
      </c>
      <c r="EV66">
        <v>100</v>
      </c>
      <c r="EW66">
        <v>100</v>
      </c>
      <c r="EX66">
        <v>6.9660000000000002</v>
      </c>
      <c r="EY66">
        <v>-1.571</v>
      </c>
      <c r="EZ66">
        <v>6.9585201000000003</v>
      </c>
      <c r="FA66">
        <v>0</v>
      </c>
      <c r="FB66">
        <v>0</v>
      </c>
      <c r="FC66">
        <v>0</v>
      </c>
      <c r="FD66">
        <v>-1.5593239999999999</v>
      </c>
      <c r="FE66">
        <v>0</v>
      </c>
      <c r="FF66">
        <v>0</v>
      </c>
      <c r="FG66">
        <v>0</v>
      </c>
      <c r="FH66">
        <v>-1</v>
      </c>
      <c r="FI66">
        <v>-1</v>
      </c>
      <c r="FJ66">
        <v>-1</v>
      </c>
      <c r="FK66">
        <v>-1</v>
      </c>
      <c r="FL66">
        <v>0.7</v>
      </c>
      <c r="FM66">
        <v>0.6</v>
      </c>
      <c r="FN66">
        <v>0.142822</v>
      </c>
      <c r="FO66">
        <v>4.99756</v>
      </c>
      <c r="FP66">
        <v>1.5979000000000001</v>
      </c>
      <c r="FQ66">
        <v>2.1313499999999999</v>
      </c>
      <c r="FR66">
        <v>1.5478499999999999</v>
      </c>
      <c r="FS66">
        <v>2.50488</v>
      </c>
      <c r="FT66">
        <v>46.0657</v>
      </c>
      <c r="FU66">
        <v>15.603</v>
      </c>
      <c r="FV66">
        <v>2</v>
      </c>
      <c r="FW66">
        <v>504.15800000000002</v>
      </c>
      <c r="FX66">
        <v>374.23200000000003</v>
      </c>
      <c r="FY66">
        <v>28.5214</v>
      </c>
      <c r="FZ66">
        <v>37.989899999999999</v>
      </c>
      <c r="GA66">
        <v>30.000599999999999</v>
      </c>
      <c r="GB66">
        <v>38.099400000000003</v>
      </c>
      <c r="GC66">
        <v>38.117100000000001</v>
      </c>
      <c r="GD66">
        <v>-1</v>
      </c>
      <c r="GE66">
        <v>0</v>
      </c>
      <c r="GF66">
        <v>100</v>
      </c>
      <c r="GG66">
        <v>28.493300000000001</v>
      </c>
      <c r="GH66">
        <v>432.1</v>
      </c>
      <c r="GI66">
        <v>37.187100000000001</v>
      </c>
      <c r="GJ66">
        <v>101.065</v>
      </c>
      <c r="GK66">
        <v>95.451099999999997</v>
      </c>
    </row>
    <row r="67" spans="1:193" x14ac:dyDescent="0.35">
      <c r="A67">
        <v>51</v>
      </c>
      <c r="B67">
        <v>1775535026.5</v>
      </c>
      <c r="C67">
        <v>3000.400000095367</v>
      </c>
      <c r="D67" t="s">
        <v>470</v>
      </c>
      <c r="E67" t="s">
        <v>471</v>
      </c>
      <c r="F67">
        <v>60</v>
      </c>
      <c r="G67">
        <v>1775535018.5</v>
      </c>
      <c r="H67">
        <f t="shared" si="0"/>
        <v>3.3141925187686432E-3</v>
      </c>
      <c r="I67">
        <f t="shared" si="1"/>
        <v>3.314192518768643</v>
      </c>
      <c r="J67">
        <f t="shared" si="2"/>
        <v>-3.4433833241052851</v>
      </c>
      <c r="K67">
        <f t="shared" si="3"/>
        <v>0.75881838709677485</v>
      </c>
      <c r="L67">
        <f t="shared" si="4"/>
        <v>71.600079913556044</v>
      </c>
      <c r="M67">
        <f t="shared" si="5"/>
        <v>7.1869021084949756</v>
      </c>
      <c r="N67">
        <f t="shared" si="6"/>
        <v>7.6166862841141145E-2</v>
      </c>
      <c r="O67">
        <f t="shared" si="7"/>
        <v>7.6198057151894261E-2</v>
      </c>
      <c r="P67">
        <f t="shared" si="8"/>
        <v>2.3943996942035812</v>
      </c>
      <c r="Q67">
        <f t="shared" si="9"/>
        <v>7.487611654069741E-2</v>
      </c>
      <c r="R67">
        <f t="shared" si="10"/>
        <v>4.6914433661754892E-2</v>
      </c>
      <c r="S67">
        <f t="shared" si="11"/>
        <v>0.29461751380645174</v>
      </c>
      <c r="T67">
        <f t="shared" si="12"/>
        <v>30.160495670528597</v>
      </c>
      <c r="U67">
        <f t="shared" si="13"/>
        <v>30.922054838709681</v>
      </c>
      <c r="V67">
        <f t="shared" si="14"/>
        <v>4.4913674121147826</v>
      </c>
      <c r="W67">
        <f t="shared" si="15"/>
        <v>3.3159810237106853</v>
      </c>
      <c r="X67">
        <f t="shared" si="16"/>
        <v>0.15125391071151514</v>
      </c>
      <c r="Y67">
        <f t="shared" si="17"/>
        <v>4.5613623730046964</v>
      </c>
      <c r="Z67">
        <f t="shared" si="18"/>
        <v>4.3401135014032679</v>
      </c>
      <c r="AA67">
        <f t="shared" si="19"/>
        <v>-146.15589007769717</v>
      </c>
      <c r="AB67">
        <f t="shared" si="20"/>
        <v>35.025433636746627</v>
      </c>
      <c r="AC67">
        <f t="shared" si="21"/>
        <v>3.2867469957982838</v>
      </c>
      <c r="AD67">
        <f t="shared" si="22"/>
        <v>-107.54909193134581</v>
      </c>
      <c r="AE67">
        <v>8</v>
      </c>
      <c r="AF67">
        <v>2</v>
      </c>
      <c r="AG67">
        <f t="shared" si="23"/>
        <v>1</v>
      </c>
      <c r="AH67">
        <f t="shared" si="24"/>
        <v>0</v>
      </c>
      <c r="AI67">
        <f t="shared" si="25"/>
        <v>25253.824109688034</v>
      </c>
      <c r="AJ67">
        <f t="shared" si="26"/>
        <v>1.5416929032258071</v>
      </c>
      <c r="AK67">
        <f t="shared" si="27"/>
        <v>1.2333543225806458</v>
      </c>
      <c r="AL67">
        <f t="shared" si="28"/>
        <v>0.8</v>
      </c>
      <c r="AM67">
        <f t="shared" si="29"/>
        <v>0.19109999999999999</v>
      </c>
      <c r="AN67">
        <v>3</v>
      </c>
      <c r="AO67">
        <v>0.5</v>
      </c>
      <c r="AP67" t="s">
        <v>317</v>
      </c>
      <c r="AQ67">
        <v>2</v>
      </c>
      <c r="AR67">
        <v>1775535018.5</v>
      </c>
      <c r="AS67">
        <v>0.75881838709677485</v>
      </c>
      <c r="AT67">
        <v>-1.3058270967741941</v>
      </c>
      <c r="AU67">
        <v>1.506879032258065</v>
      </c>
      <c r="AV67">
        <v>-0.47875967741935499</v>
      </c>
      <c r="AW67">
        <v>-6.1691816129032251</v>
      </c>
      <c r="AX67">
        <v>1.1032403225806451</v>
      </c>
      <c r="AY67">
        <v>499.96987096774188</v>
      </c>
      <c r="AZ67">
        <v>100.3263870967742</v>
      </c>
      <c r="BA67">
        <v>4.9228645161290323E-2</v>
      </c>
      <c r="BB67">
        <v>31.193387096774199</v>
      </c>
      <c r="BC67">
        <v>30.922054838709681</v>
      </c>
      <c r="BD67">
        <v>999.90000000000032</v>
      </c>
      <c r="BE67">
        <v>0</v>
      </c>
      <c r="BF67">
        <v>0</v>
      </c>
      <c r="BG67">
        <v>5000.0967741935483</v>
      </c>
      <c r="BH67">
        <v>1.5416929032258071</v>
      </c>
      <c r="BI67">
        <v>1564.5622580645161</v>
      </c>
      <c r="BJ67">
        <v>2.102467741935484</v>
      </c>
      <c r="BK67">
        <v>0.79626716129032271</v>
      </c>
      <c r="BL67">
        <v>-1.3078000000000001</v>
      </c>
      <c r="BM67">
        <v>-1.9746061290322581</v>
      </c>
      <c r="BN67">
        <v>-1.3058270967741941</v>
      </c>
      <c r="BO67">
        <v>1.506879032258065</v>
      </c>
      <c r="BP67">
        <v>-4.6925274193548389E-2</v>
      </c>
      <c r="BQ67">
        <v>0.15117958064516129</v>
      </c>
      <c r="BR67">
        <v>-99.900000000000034</v>
      </c>
      <c r="BS67">
        <v>-17.859151612903219</v>
      </c>
      <c r="BT67">
        <v>1775535061.5</v>
      </c>
      <c r="BU67" t="s">
        <v>472</v>
      </c>
      <c r="BV67">
        <v>1775535044.5</v>
      </c>
      <c r="BW67">
        <v>1775535061.5</v>
      </c>
      <c r="BX67">
        <v>52</v>
      </c>
      <c r="BY67">
        <v>-3.7999999999999999E-2</v>
      </c>
      <c r="BZ67">
        <v>-1.0999999999999999E-2</v>
      </c>
      <c r="CA67">
        <v>6.9279999999999999</v>
      </c>
      <c r="CB67">
        <v>-1.5820000000000001</v>
      </c>
      <c r="CC67">
        <v>-2</v>
      </c>
      <c r="CD67">
        <v>2</v>
      </c>
      <c r="CE67">
        <v>0.18</v>
      </c>
      <c r="CF67">
        <v>0.04</v>
      </c>
      <c r="CG67">
        <v>-1.244831333333333</v>
      </c>
      <c r="CH67">
        <v>-0.43085334815226478</v>
      </c>
      <c r="CI67">
        <v>7.8182046371842243E-2</v>
      </c>
      <c r="CJ67">
        <v>-1</v>
      </c>
      <c r="CK67">
        <v>500.97789999999998</v>
      </c>
      <c r="CL67">
        <v>-5.7784117810500737</v>
      </c>
      <c r="CM67">
        <v>1.9159673335767831</v>
      </c>
      <c r="CN67">
        <v>-1</v>
      </c>
      <c r="CO67">
        <v>0</v>
      </c>
      <c r="CP67">
        <v>0</v>
      </c>
      <c r="CQ67" t="s">
        <v>319</v>
      </c>
      <c r="CR67">
        <v>3.16832</v>
      </c>
      <c r="CS67">
        <v>2.67021</v>
      </c>
      <c r="CT67">
        <v>-1.82171E-3</v>
      </c>
      <c r="CU67">
        <v>-3.9645099999999998E-4</v>
      </c>
      <c r="CV67">
        <v>8.46827E-3</v>
      </c>
      <c r="CW67">
        <v>1.1322199999999999E-2</v>
      </c>
      <c r="CX67">
        <v>21323.200000000001</v>
      </c>
      <c r="CY67">
        <v>21728.5</v>
      </c>
      <c r="CZ67">
        <v>22823.200000000001</v>
      </c>
      <c r="DA67">
        <v>22091.1</v>
      </c>
      <c r="DB67">
        <v>29207.3</v>
      </c>
      <c r="DC67">
        <v>26001.1</v>
      </c>
      <c r="DD67">
        <v>40163.300000000003</v>
      </c>
      <c r="DE67">
        <v>36555.1</v>
      </c>
      <c r="DF67">
        <v>1.9999</v>
      </c>
      <c r="DG67">
        <v>1.6605399999999999</v>
      </c>
      <c r="DH67">
        <v>-0.119731</v>
      </c>
      <c r="DI67">
        <v>0</v>
      </c>
      <c r="DJ67">
        <v>32.8643</v>
      </c>
      <c r="DK67">
        <v>999.9</v>
      </c>
      <c r="DL67">
        <v>60.6</v>
      </c>
      <c r="DM67">
        <v>39.700000000000003</v>
      </c>
      <c r="DN67">
        <v>44.071399999999997</v>
      </c>
      <c r="DO67">
        <v>30.873699999999999</v>
      </c>
      <c r="DP67">
        <v>9.6193899999999992</v>
      </c>
      <c r="DQ67">
        <v>1</v>
      </c>
      <c r="DR67">
        <v>0.90085599999999999</v>
      </c>
      <c r="DS67">
        <v>3.5714800000000002</v>
      </c>
      <c r="DT67">
        <v>20.314499999999999</v>
      </c>
      <c r="DU67">
        <v>5.20878</v>
      </c>
      <c r="DV67">
        <v>11.854200000000001</v>
      </c>
      <c r="DW67">
        <v>4.9671599999999998</v>
      </c>
      <c r="DX67">
        <v>3.2930000000000001</v>
      </c>
      <c r="DY67">
        <v>894.7</v>
      </c>
      <c r="DZ67">
        <v>6</v>
      </c>
      <c r="EA67">
        <v>9999</v>
      </c>
      <c r="EB67">
        <v>116.6</v>
      </c>
      <c r="EC67">
        <v>4.9716199999999997</v>
      </c>
      <c r="ED67">
        <v>1.8721699999999999</v>
      </c>
      <c r="EE67">
        <v>1.86951</v>
      </c>
      <c r="EF67">
        <v>1.87181</v>
      </c>
      <c r="EG67">
        <v>1.86957</v>
      </c>
      <c r="EH67">
        <v>1.8684400000000001</v>
      </c>
      <c r="EI67">
        <v>1.8702700000000001</v>
      </c>
      <c r="EJ67">
        <v>1.8719600000000001</v>
      </c>
      <c r="EK67">
        <v>0</v>
      </c>
      <c r="EL67">
        <v>0</v>
      </c>
      <c r="EM67">
        <v>0</v>
      </c>
      <c r="EN67">
        <v>0</v>
      </c>
      <c r="EO67" t="s">
        <v>320</v>
      </c>
      <c r="EP67" t="s">
        <v>321</v>
      </c>
      <c r="EQ67" t="s">
        <v>322</v>
      </c>
      <c r="ER67" t="s">
        <v>322</v>
      </c>
      <c r="ES67" t="s">
        <v>322</v>
      </c>
      <c r="ET67" t="s">
        <v>322</v>
      </c>
      <c r="EU67">
        <v>0</v>
      </c>
      <c r="EV67">
        <v>100</v>
      </c>
      <c r="EW67">
        <v>100</v>
      </c>
      <c r="EX67">
        <v>6.9279999999999999</v>
      </c>
      <c r="EY67">
        <v>-1.5820000000000001</v>
      </c>
      <c r="EZ67">
        <v>6.9658214000000003</v>
      </c>
      <c r="FA67">
        <v>0</v>
      </c>
      <c r="FB67">
        <v>0</v>
      </c>
      <c r="FC67">
        <v>0</v>
      </c>
      <c r="FD67">
        <v>-1.570967</v>
      </c>
      <c r="FE67">
        <v>0</v>
      </c>
      <c r="FF67">
        <v>0</v>
      </c>
      <c r="FG67">
        <v>0</v>
      </c>
      <c r="FH67">
        <v>-1</v>
      </c>
      <c r="FI67">
        <v>-1</v>
      </c>
      <c r="FJ67">
        <v>-1</v>
      </c>
      <c r="FK67">
        <v>-1</v>
      </c>
      <c r="FL67">
        <v>0.7</v>
      </c>
      <c r="FM67">
        <v>0.5</v>
      </c>
      <c r="FN67">
        <v>0.142822</v>
      </c>
      <c r="FO67">
        <v>4.99756</v>
      </c>
      <c r="FP67">
        <v>1.5979000000000001</v>
      </c>
      <c r="FQ67">
        <v>2.1301299999999999</v>
      </c>
      <c r="FR67">
        <v>1.5478499999999999</v>
      </c>
      <c r="FS67">
        <v>2.5146500000000001</v>
      </c>
      <c r="FT67">
        <v>46.269100000000002</v>
      </c>
      <c r="FU67">
        <v>15.5855</v>
      </c>
      <c r="FV67">
        <v>2</v>
      </c>
      <c r="FW67">
        <v>504.02300000000002</v>
      </c>
      <c r="FX67">
        <v>373.20100000000002</v>
      </c>
      <c r="FY67">
        <v>28.540099999999999</v>
      </c>
      <c r="FZ67">
        <v>38.052799999999998</v>
      </c>
      <c r="GA67">
        <v>30.000499999999999</v>
      </c>
      <c r="GB67">
        <v>38.171199999999999</v>
      </c>
      <c r="GC67">
        <v>38.1922</v>
      </c>
      <c r="GD67">
        <v>-1</v>
      </c>
      <c r="GE67">
        <v>0</v>
      </c>
      <c r="GF67">
        <v>100</v>
      </c>
      <c r="GG67">
        <v>28.541599999999999</v>
      </c>
      <c r="GH67">
        <v>432.1</v>
      </c>
      <c r="GI67">
        <v>37.187100000000001</v>
      </c>
      <c r="GJ67">
        <v>101.04900000000001</v>
      </c>
      <c r="GK67">
        <v>95.440200000000004</v>
      </c>
    </row>
    <row r="68" spans="1:193" x14ac:dyDescent="0.35">
      <c r="A68">
        <v>52</v>
      </c>
      <c r="B68">
        <v>1775535086.5</v>
      </c>
      <c r="C68">
        <v>3060.400000095367</v>
      </c>
      <c r="D68" t="s">
        <v>473</v>
      </c>
      <c r="E68" t="s">
        <v>474</v>
      </c>
      <c r="F68">
        <v>60</v>
      </c>
      <c r="G68">
        <v>1775535078.5</v>
      </c>
      <c r="H68">
        <f t="shared" si="0"/>
        <v>3.5175164412166266E-3</v>
      </c>
      <c r="I68">
        <f t="shared" si="1"/>
        <v>3.5175164412166264</v>
      </c>
      <c r="J68">
        <f t="shared" si="2"/>
        <v>-3.4650229304120157</v>
      </c>
      <c r="K68">
        <f t="shared" si="3"/>
        <v>0.39394580645161348</v>
      </c>
      <c r="L68">
        <f t="shared" si="4"/>
        <v>67.529650172733099</v>
      </c>
      <c r="M68">
        <f t="shared" si="5"/>
        <v>6.7782662127588305</v>
      </c>
      <c r="N68">
        <f t="shared" si="6"/>
        <v>3.9542179512240296E-2</v>
      </c>
      <c r="O68">
        <f t="shared" si="7"/>
        <v>8.1014325975705695E-2</v>
      </c>
      <c r="P68">
        <f t="shared" si="8"/>
        <v>2.3941431434970029</v>
      </c>
      <c r="Q68">
        <f t="shared" si="9"/>
        <v>7.9521599076090119E-2</v>
      </c>
      <c r="R68">
        <f t="shared" si="10"/>
        <v>4.9832824116322755E-2</v>
      </c>
      <c r="S68">
        <f t="shared" si="11"/>
        <v>0.31825091245161297</v>
      </c>
      <c r="T68">
        <f t="shared" si="12"/>
        <v>30.124366309600283</v>
      </c>
      <c r="U68">
        <f t="shared" si="13"/>
        <v>30.951970967741939</v>
      </c>
      <c r="V68">
        <f t="shared" si="14"/>
        <v>4.4990386322253633</v>
      </c>
      <c r="W68">
        <f t="shared" si="15"/>
        <v>3.5506589991669646</v>
      </c>
      <c r="X68">
        <f t="shared" si="16"/>
        <v>0.16221015834873959</v>
      </c>
      <c r="Y68">
        <f t="shared" si="17"/>
        <v>4.5684521770971642</v>
      </c>
      <c r="Z68">
        <f t="shared" si="18"/>
        <v>4.3368284738766238</v>
      </c>
      <c r="AA68">
        <f t="shared" si="19"/>
        <v>-155.12247505765325</v>
      </c>
      <c r="AB68">
        <f t="shared" si="20"/>
        <v>34.681510867736044</v>
      </c>
      <c r="AC68">
        <f t="shared" si="21"/>
        <v>3.2557408929819798</v>
      </c>
      <c r="AD68">
        <f t="shared" si="22"/>
        <v>-116.8669723844836</v>
      </c>
      <c r="AE68">
        <v>8</v>
      </c>
      <c r="AF68">
        <v>2</v>
      </c>
      <c r="AG68">
        <f t="shared" si="23"/>
        <v>1</v>
      </c>
      <c r="AH68">
        <f t="shared" si="24"/>
        <v>0</v>
      </c>
      <c r="AI68">
        <f t="shared" si="25"/>
        <v>25247.71954480973</v>
      </c>
      <c r="AJ68">
        <f t="shared" si="26"/>
        <v>1.6653632258064519</v>
      </c>
      <c r="AK68">
        <f t="shared" si="27"/>
        <v>1.3322905806451617</v>
      </c>
      <c r="AL68">
        <f t="shared" si="28"/>
        <v>0.8</v>
      </c>
      <c r="AM68">
        <f t="shared" si="29"/>
        <v>0.19109999999999999</v>
      </c>
      <c r="AN68">
        <v>3</v>
      </c>
      <c r="AO68">
        <v>0.5</v>
      </c>
      <c r="AP68" t="s">
        <v>317</v>
      </c>
      <c r="AQ68">
        <v>2</v>
      </c>
      <c r="AR68">
        <v>1775535078.5</v>
      </c>
      <c r="AS68">
        <v>0.39394580645161348</v>
      </c>
      <c r="AT68">
        <v>-1.684277419354838</v>
      </c>
      <c r="AU68">
        <v>1.616046774193548</v>
      </c>
      <c r="AV68">
        <v>-0.49109387096774187</v>
      </c>
      <c r="AW68">
        <v>-6.5280541935483862</v>
      </c>
      <c r="AX68">
        <v>1.097906129032258</v>
      </c>
      <c r="AY68">
        <v>499.99016129032259</v>
      </c>
      <c r="AZ68">
        <v>100.3260967741936</v>
      </c>
      <c r="BA68">
        <v>4.8571174193548387E-2</v>
      </c>
      <c r="BB68">
        <v>31.220667741935479</v>
      </c>
      <c r="BC68">
        <v>30.951970967741939</v>
      </c>
      <c r="BD68">
        <v>999.90000000000032</v>
      </c>
      <c r="BE68">
        <v>0</v>
      </c>
      <c r="BF68">
        <v>0</v>
      </c>
      <c r="BG68">
        <v>4999.4516129032254</v>
      </c>
      <c r="BH68">
        <v>1.6653632258064519</v>
      </c>
      <c r="BI68">
        <v>1818.770967741935</v>
      </c>
      <c r="BJ68">
        <v>2.084471935483871</v>
      </c>
      <c r="BK68">
        <v>0.40000183870967743</v>
      </c>
      <c r="BL68">
        <v>-1.687003225806452</v>
      </c>
      <c r="BM68">
        <v>-2.100507096774193</v>
      </c>
      <c r="BN68">
        <v>-1.684277419354838</v>
      </c>
      <c r="BO68">
        <v>1.616046774193548</v>
      </c>
      <c r="BP68">
        <v>-4.8604083870967749E-2</v>
      </c>
      <c r="BQ68">
        <v>0.16213161290322581</v>
      </c>
      <c r="BR68">
        <v>-99.900000000000034</v>
      </c>
      <c r="BS68">
        <v>-17.03058064516129</v>
      </c>
      <c r="BT68">
        <v>1775535116.5</v>
      </c>
      <c r="BU68" t="s">
        <v>475</v>
      </c>
      <c r="BV68">
        <v>1775535116.5</v>
      </c>
      <c r="BW68">
        <v>1775535111.5</v>
      </c>
      <c r="BX68">
        <v>53</v>
      </c>
      <c r="BY68">
        <v>-6.0000000000000001E-3</v>
      </c>
      <c r="BZ68">
        <v>-7.0000000000000001E-3</v>
      </c>
      <c r="CA68">
        <v>6.9219999999999997</v>
      </c>
      <c r="CB68">
        <v>-1.589</v>
      </c>
      <c r="CC68">
        <v>-1</v>
      </c>
      <c r="CD68">
        <v>2</v>
      </c>
      <c r="CE68">
        <v>0.46</v>
      </c>
      <c r="CF68">
        <v>0.03</v>
      </c>
      <c r="CG68">
        <v>-1.628814098360656</v>
      </c>
      <c r="CH68">
        <v>-0.30683447911157952</v>
      </c>
      <c r="CI68">
        <v>7.7870748067004711E-2</v>
      </c>
      <c r="CJ68">
        <v>-1</v>
      </c>
      <c r="CK68">
        <v>500.98363934426231</v>
      </c>
      <c r="CL68">
        <v>-3.5154161819137468</v>
      </c>
      <c r="CM68">
        <v>1.941322297654376</v>
      </c>
      <c r="CN68">
        <v>-1</v>
      </c>
      <c r="CO68">
        <v>0</v>
      </c>
      <c r="CP68">
        <v>0</v>
      </c>
      <c r="CQ68" t="s">
        <v>319</v>
      </c>
      <c r="CR68">
        <v>3.16832</v>
      </c>
      <c r="CS68">
        <v>2.67001</v>
      </c>
      <c r="CT68">
        <v>-1.9001000000000001E-3</v>
      </c>
      <c r="CU68">
        <v>-4.9365300000000004E-4</v>
      </c>
      <c r="CV68">
        <v>8.1931E-3</v>
      </c>
      <c r="CW68">
        <v>1.2072100000000001E-2</v>
      </c>
      <c r="CX68">
        <v>21320.6</v>
      </c>
      <c r="CY68">
        <v>21727.200000000001</v>
      </c>
      <c r="CZ68">
        <v>22818.9</v>
      </c>
      <c r="DA68">
        <v>22087.9</v>
      </c>
      <c r="DB68">
        <v>29210.3</v>
      </c>
      <c r="DC68">
        <v>25977.1</v>
      </c>
      <c r="DD68">
        <v>40156.400000000001</v>
      </c>
      <c r="DE68">
        <v>36549.4</v>
      </c>
      <c r="DF68">
        <v>1.9986600000000001</v>
      </c>
      <c r="DG68">
        <v>1.6581999999999999</v>
      </c>
      <c r="DH68">
        <v>-0.12157900000000001</v>
      </c>
      <c r="DI68">
        <v>0</v>
      </c>
      <c r="DJ68">
        <v>32.922199999999997</v>
      </c>
      <c r="DK68">
        <v>999.9</v>
      </c>
      <c r="DL68">
        <v>60.2</v>
      </c>
      <c r="DM68">
        <v>40</v>
      </c>
      <c r="DN68">
        <v>44.482199999999999</v>
      </c>
      <c r="DO68">
        <v>30.753699999999998</v>
      </c>
      <c r="DP68">
        <v>9.6153899999999997</v>
      </c>
      <c r="DQ68">
        <v>1</v>
      </c>
      <c r="DR68">
        <v>0.91059800000000002</v>
      </c>
      <c r="DS68">
        <v>3.9026100000000001</v>
      </c>
      <c r="DT68">
        <v>20.305499999999999</v>
      </c>
      <c r="DU68">
        <v>5.2096200000000001</v>
      </c>
      <c r="DV68">
        <v>11.854200000000001</v>
      </c>
      <c r="DW68">
        <v>4.96732</v>
      </c>
      <c r="DX68">
        <v>3.29298</v>
      </c>
      <c r="DY68">
        <v>894.7</v>
      </c>
      <c r="DZ68">
        <v>6</v>
      </c>
      <c r="EA68">
        <v>9999</v>
      </c>
      <c r="EB68">
        <v>116.6</v>
      </c>
      <c r="EC68">
        <v>4.9715999999999996</v>
      </c>
      <c r="ED68">
        <v>1.8721699999999999</v>
      </c>
      <c r="EE68">
        <v>1.86951</v>
      </c>
      <c r="EF68">
        <v>1.87181</v>
      </c>
      <c r="EG68">
        <v>1.8695299999999999</v>
      </c>
      <c r="EH68">
        <v>1.8684400000000001</v>
      </c>
      <c r="EI68">
        <v>1.8702700000000001</v>
      </c>
      <c r="EJ68">
        <v>1.8719600000000001</v>
      </c>
      <c r="EK68">
        <v>0</v>
      </c>
      <c r="EL68">
        <v>0</v>
      </c>
      <c r="EM68">
        <v>0</v>
      </c>
      <c r="EN68">
        <v>0</v>
      </c>
      <c r="EO68" t="s">
        <v>320</v>
      </c>
      <c r="EP68" t="s">
        <v>321</v>
      </c>
      <c r="EQ68" t="s">
        <v>322</v>
      </c>
      <c r="ER68" t="s">
        <v>322</v>
      </c>
      <c r="ES68" t="s">
        <v>322</v>
      </c>
      <c r="ET68" t="s">
        <v>322</v>
      </c>
      <c r="EU68">
        <v>0</v>
      </c>
      <c r="EV68">
        <v>100</v>
      </c>
      <c r="EW68">
        <v>100</v>
      </c>
      <c r="EX68">
        <v>6.9219999999999997</v>
      </c>
      <c r="EY68">
        <v>-1.589</v>
      </c>
      <c r="EZ68">
        <v>6.9282509999999986</v>
      </c>
      <c r="FA68">
        <v>0</v>
      </c>
      <c r="FB68">
        <v>0</v>
      </c>
      <c r="FC68">
        <v>0</v>
      </c>
      <c r="FD68">
        <v>-1.5823665</v>
      </c>
      <c r="FE68">
        <v>0</v>
      </c>
      <c r="FF68">
        <v>0</v>
      </c>
      <c r="FG68">
        <v>0</v>
      </c>
      <c r="FH68">
        <v>-1</v>
      </c>
      <c r="FI68">
        <v>-1</v>
      </c>
      <c r="FJ68">
        <v>-1</v>
      </c>
      <c r="FK68">
        <v>-1</v>
      </c>
      <c r="FL68">
        <v>0.7</v>
      </c>
      <c r="FM68">
        <v>0.4</v>
      </c>
      <c r="FN68">
        <v>0.142822</v>
      </c>
      <c r="FO68">
        <v>4.99756</v>
      </c>
      <c r="FP68">
        <v>1.5979000000000001</v>
      </c>
      <c r="FQ68">
        <v>2.1301299999999999</v>
      </c>
      <c r="FR68">
        <v>1.5478499999999999</v>
      </c>
      <c r="FS68">
        <v>2.52441</v>
      </c>
      <c r="FT68">
        <v>46.414999999999999</v>
      </c>
      <c r="FU68">
        <v>15.5768</v>
      </c>
      <c r="FV68">
        <v>2</v>
      </c>
      <c r="FW68">
        <v>503.80200000000002</v>
      </c>
      <c r="FX68">
        <v>372.30799999999999</v>
      </c>
      <c r="FY68">
        <v>28.469000000000001</v>
      </c>
      <c r="FZ68">
        <v>38.133600000000001</v>
      </c>
      <c r="GA68">
        <v>30.001000000000001</v>
      </c>
      <c r="GB68">
        <v>38.250399999999999</v>
      </c>
      <c r="GC68">
        <v>38.2742</v>
      </c>
      <c r="GD68">
        <v>-1</v>
      </c>
      <c r="GE68">
        <v>0</v>
      </c>
      <c r="GF68">
        <v>100</v>
      </c>
      <c r="GG68">
        <v>28.4603</v>
      </c>
      <c r="GH68">
        <v>432.1</v>
      </c>
      <c r="GI68">
        <v>37.187100000000001</v>
      </c>
      <c r="GJ68">
        <v>101.03100000000001</v>
      </c>
      <c r="GK68">
        <v>95.425799999999995</v>
      </c>
    </row>
    <row r="69" spans="1:193" x14ac:dyDescent="0.35">
      <c r="A69">
        <v>53</v>
      </c>
      <c r="B69">
        <v>1775535146.5</v>
      </c>
      <c r="C69">
        <v>3120.400000095367</v>
      </c>
      <c r="D69" t="s">
        <v>476</v>
      </c>
      <c r="E69" t="s">
        <v>477</v>
      </c>
      <c r="F69">
        <v>60</v>
      </c>
      <c r="G69">
        <v>1775535138.5</v>
      </c>
      <c r="H69">
        <f t="shared" si="0"/>
        <v>3.9198520421388217E-3</v>
      </c>
      <c r="I69">
        <f t="shared" si="1"/>
        <v>3.9198520421388219</v>
      </c>
      <c r="J69">
        <f t="shared" si="2"/>
        <v>-3.5918925864833349</v>
      </c>
      <c r="K69">
        <f t="shared" si="3"/>
        <v>1.133704193548388</v>
      </c>
      <c r="L69">
        <f t="shared" si="4"/>
        <v>63.154860882916772</v>
      </c>
      <c r="M69">
        <f t="shared" si="5"/>
        <v>6.3391330954189717</v>
      </c>
      <c r="N69">
        <f t="shared" si="6"/>
        <v>0.11379491100552558</v>
      </c>
      <c r="O69">
        <f t="shared" si="7"/>
        <v>9.1025439760115859E-2</v>
      </c>
      <c r="P69">
        <f t="shared" si="8"/>
        <v>2.3959370838257898</v>
      </c>
      <c r="Q69">
        <f t="shared" si="9"/>
        <v>8.914698900241437E-2</v>
      </c>
      <c r="R69">
        <f t="shared" si="10"/>
        <v>5.5882410776238831E-2</v>
      </c>
      <c r="S69">
        <f t="shared" si="11"/>
        <v>0.31633041909677423</v>
      </c>
      <c r="T69">
        <f t="shared" si="12"/>
        <v>29.956549361745743</v>
      </c>
      <c r="U69">
        <f t="shared" si="13"/>
        <v>30.889977419354839</v>
      </c>
      <c r="V69">
        <f t="shared" si="14"/>
        <v>4.4831546451890469</v>
      </c>
      <c r="W69">
        <f t="shared" si="15"/>
        <v>3.773488897869548</v>
      </c>
      <c r="X69">
        <f t="shared" si="16"/>
        <v>0.17196908067603447</v>
      </c>
      <c r="Y69">
        <f t="shared" si="17"/>
        <v>4.5572965849488911</v>
      </c>
      <c r="Z69">
        <f t="shared" si="18"/>
        <v>4.3111855645130124</v>
      </c>
      <c r="AA69">
        <f t="shared" si="19"/>
        <v>-172.86547505832203</v>
      </c>
      <c r="AB69">
        <f t="shared" si="20"/>
        <v>37.168390119867105</v>
      </c>
      <c r="AC69">
        <f t="shared" si="21"/>
        <v>3.4847808414165748</v>
      </c>
      <c r="AD69">
        <f t="shared" si="22"/>
        <v>-131.89597367794158</v>
      </c>
      <c r="AE69">
        <v>8</v>
      </c>
      <c r="AF69">
        <v>2</v>
      </c>
      <c r="AG69">
        <f t="shared" si="23"/>
        <v>1</v>
      </c>
      <c r="AH69">
        <f t="shared" si="24"/>
        <v>0</v>
      </c>
      <c r="AI69">
        <f t="shared" si="25"/>
        <v>25278.244992722743</v>
      </c>
      <c r="AJ69">
        <f t="shared" si="26"/>
        <v>1.6553135483870971</v>
      </c>
      <c r="AK69">
        <f t="shared" si="27"/>
        <v>1.3242508387096779</v>
      </c>
      <c r="AL69">
        <f t="shared" si="28"/>
        <v>0.8</v>
      </c>
      <c r="AM69">
        <f t="shared" si="29"/>
        <v>0.19109999999999999</v>
      </c>
      <c r="AN69">
        <v>3</v>
      </c>
      <c r="AO69">
        <v>0.5</v>
      </c>
      <c r="AP69" t="s">
        <v>317</v>
      </c>
      <c r="AQ69">
        <v>2</v>
      </c>
      <c r="AR69">
        <v>1775535138.5</v>
      </c>
      <c r="AS69">
        <v>1.133704193548388</v>
      </c>
      <c r="AT69">
        <v>-1.018779290322581</v>
      </c>
      <c r="AU69">
        <v>1.7132758064516129</v>
      </c>
      <c r="AV69">
        <v>-0.63462154838709683</v>
      </c>
      <c r="AW69">
        <v>-5.8062958064516126</v>
      </c>
      <c r="AX69">
        <v>0.96537845161290325</v>
      </c>
      <c r="AY69">
        <v>499.9966774193548</v>
      </c>
      <c r="AZ69">
        <v>100.32545161290319</v>
      </c>
      <c r="BA69">
        <v>4.8977319354838719E-2</v>
      </c>
      <c r="BB69">
        <v>31.177725806451608</v>
      </c>
      <c r="BC69">
        <v>30.889977419354839</v>
      </c>
      <c r="BD69">
        <v>999.90000000000032</v>
      </c>
      <c r="BE69">
        <v>0</v>
      </c>
      <c r="BF69">
        <v>0</v>
      </c>
      <c r="BG69">
        <v>5004.0967741935483</v>
      </c>
      <c r="BH69">
        <v>1.6553135483870971</v>
      </c>
      <c r="BI69">
        <v>1745.188387096774</v>
      </c>
      <c r="BJ69">
        <v>2.134617419354838</v>
      </c>
      <c r="BK69">
        <v>1.1151486774193551</v>
      </c>
      <c r="BL69">
        <v>-1.020526483870968</v>
      </c>
      <c r="BM69">
        <v>-2.336886451612902</v>
      </c>
      <c r="BN69">
        <v>-1.018779290322581</v>
      </c>
      <c r="BO69">
        <v>1.7132758064516129</v>
      </c>
      <c r="BP69">
        <v>-6.2564061290322576E-2</v>
      </c>
      <c r="BQ69">
        <v>0.1718852258064516</v>
      </c>
      <c r="BR69">
        <v>-99.900000000000034</v>
      </c>
      <c r="BS69">
        <v>-16.333751612903232</v>
      </c>
      <c r="BT69">
        <v>1775535173.5</v>
      </c>
      <c r="BU69" t="s">
        <v>478</v>
      </c>
      <c r="BV69">
        <v>1775535166</v>
      </c>
      <c r="BW69">
        <v>1775535173.5</v>
      </c>
      <c r="BX69">
        <v>54</v>
      </c>
      <c r="BY69">
        <v>1.7999999999999999E-2</v>
      </c>
      <c r="BZ69">
        <v>-1.0999999999999999E-2</v>
      </c>
      <c r="CA69">
        <v>6.94</v>
      </c>
      <c r="CB69">
        <v>-1.6</v>
      </c>
      <c r="CC69">
        <v>-2</v>
      </c>
      <c r="CD69">
        <v>2</v>
      </c>
      <c r="CE69">
        <v>0.26</v>
      </c>
      <c r="CF69">
        <v>0.03</v>
      </c>
      <c r="CG69">
        <v>-0.99653104999999997</v>
      </c>
      <c r="CH69">
        <v>-0.54777078188385908</v>
      </c>
      <c r="CI69">
        <v>0.49366888075316318</v>
      </c>
      <c r="CJ69">
        <v>-1</v>
      </c>
      <c r="CK69">
        <v>501.00346666666672</v>
      </c>
      <c r="CL69">
        <v>-7.3335637677135033</v>
      </c>
      <c r="CM69">
        <v>1.9190344835069759</v>
      </c>
      <c r="CN69">
        <v>-1</v>
      </c>
      <c r="CO69">
        <v>0</v>
      </c>
      <c r="CP69">
        <v>0</v>
      </c>
      <c r="CQ69" t="s">
        <v>319</v>
      </c>
      <c r="CR69">
        <v>3.1682999999999999</v>
      </c>
      <c r="CS69">
        <v>2.6703100000000002</v>
      </c>
      <c r="CT69">
        <v>-1.68797E-3</v>
      </c>
      <c r="CU69">
        <v>-5.0852799999999995E-4</v>
      </c>
      <c r="CV69">
        <v>7.7874600000000004E-3</v>
      </c>
      <c r="CW69">
        <v>1.27422E-2</v>
      </c>
      <c r="CX69">
        <v>21313.8</v>
      </c>
      <c r="CY69">
        <v>21725.8</v>
      </c>
      <c r="CZ69">
        <v>22816.7</v>
      </c>
      <c r="DA69">
        <v>22086.3</v>
      </c>
      <c r="DB69">
        <v>29219.599999999999</v>
      </c>
      <c r="DC69">
        <v>25957.4</v>
      </c>
      <c r="DD69">
        <v>40152.9</v>
      </c>
      <c r="DE69">
        <v>36546.699999999997</v>
      </c>
      <c r="DF69">
        <v>1.9977799999999999</v>
      </c>
      <c r="DG69">
        <v>1.6575599999999999</v>
      </c>
      <c r="DH69">
        <v>-0.12554199999999999</v>
      </c>
      <c r="DI69">
        <v>0</v>
      </c>
      <c r="DJ69">
        <v>32.938099999999999</v>
      </c>
      <c r="DK69">
        <v>999.9</v>
      </c>
      <c r="DL69">
        <v>59.8</v>
      </c>
      <c r="DM69">
        <v>40.200000000000003</v>
      </c>
      <c r="DN69">
        <v>44.6648</v>
      </c>
      <c r="DO69">
        <v>30.963699999999999</v>
      </c>
      <c r="DP69">
        <v>9.5753199999999996</v>
      </c>
      <c r="DQ69">
        <v>1</v>
      </c>
      <c r="DR69">
        <v>0.91379299999999997</v>
      </c>
      <c r="DS69">
        <v>3.6933600000000002</v>
      </c>
      <c r="DT69">
        <v>20.311199999999999</v>
      </c>
      <c r="DU69">
        <v>5.20974</v>
      </c>
      <c r="DV69">
        <v>11.854200000000001</v>
      </c>
      <c r="DW69">
        <v>4.9673999999999996</v>
      </c>
      <c r="DX69">
        <v>3.29298</v>
      </c>
      <c r="DY69">
        <v>894.7</v>
      </c>
      <c r="DZ69">
        <v>6</v>
      </c>
      <c r="EA69">
        <v>9999</v>
      </c>
      <c r="EB69">
        <v>116.6</v>
      </c>
      <c r="EC69">
        <v>4.9715999999999996</v>
      </c>
      <c r="ED69">
        <v>1.87218</v>
      </c>
      <c r="EE69">
        <v>1.86951</v>
      </c>
      <c r="EF69">
        <v>1.8717999999999999</v>
      </c>
      <c r="EG69">
        <v>1.86954</v>
      </c>
      <c r="EH69">
        <v>1.8684400000000001</v>
      </c>
      <c r="EI69">
        <v>1.8702700000000001</v>
      </c>
      <c r="EJ69">
        <v>1.87195</v>
      </c>
      <c r="EK69">
        <v>0</v>
      </c>
      <c r="EL69">
        <v>0</v>
      </c>
      <c r="EM69">
        <v>0</v>
      </c>
      <c r="EN69">
        <v>0</v>
      </c>
      <c r="EO69" t="s">
        <v>320</v>
      </c>
      <c r="EP69" t="s">
        <v>321</v>
      </c>
      <c r="EQ69" t="s">
        <v>322</v>
      </c>
      <c r="ER69" t="s">
        <v>322</v>
      </c>
      <c r="ES69" t="s">
        <v>322</v>
      </c>
      <c r="ET69" t="s">
        <v>322</v>
      </c>
      <c r="EU69">
        <v>0</v>
      </c>
      <c r="EV69">
        <v>100</v>
      </c>
      <c r="EW69">
        <v>100</v>
      </c>
      <c r="EX69">
        <v>6.94</v>
      </c>
      <c r="EY69">
        <v>-1.6</v>
      </c>
      <c r="EZ69">
        <v>6.9221358044999999</v>
      </c>
      <c r="FA69">
        <v>0</v>
      </c>
      <c r="FB69">
        <v>0</v>
      </c>
      <c r="FC69">
        <v>0</v>
      </c>
      <c r="FD69">
        <v>-1.588989</v>
      </c>
      <c r="FE69">
        <v>0</v>
      </c>
      <c r="FF69">
        <v>0</v>
      </c>
      <c r="FG69">
        <v>0</v>
      </c>
      <c r="FH69">
        <v>-1</v>
      </c>
      <c r="FI69">
        <v>-1</v>
      </c>
      <c r="FJ69">
        <v>-1</v>
      </c>
      <c r="FK69">
        <v>-1</v>
      </c>
      <c r="FL69">
        <v>0.5</v>
      </c>
      <c r="FM69">
        <v>0.6</v>
      </c>
      <c r="FN69">
        <v>0.142822</v>
      </c>
      <c r="FO69">
        <v>4.99756</v>
      </c>
      <c r="FP69">
        <v>1.5979000000000001</v>
      </c>
      <c r="FQ69">
        <v>2.1289099999999999</v>
      </c>
      <c r="FR69">
        <v>1.5478499999999999</v>
      </c>
      <c r="FS69">
        <v>2.5109900000000001</v>
      </c>
      <c r="FT69">
        <v>46.590800000000002</v>
      </c>
      <c r="FU69">
        <v>15.568</v>
      </c>
      <c r="FV69">
        <v>2</v>
      </c>
      <c r="FW69">
        <v>503.72899999999998</v>
      </c>
      <c r="FX69">
        <v>372.27</v>
      </c>
      <c r="FY69">
        <v>28.4588</v>
      </c>
      <c r="FZ69">
        <v>38.206699999999998</v>
      </c>
      <c r="GA69">
        <v>30.000399999999999</v>
      </c>
      <c r="GB69">
        <v>38.318800000000003</v>
      </c>
      <c r="GC69">
        <v>38.3367</v>
      </c>
      <c r="GD69">
        <v>-1</v>
      </c>
      <c r="GE69">
        <v>0</v>
      </c>
      <c r="GF69">
        <v>100</v>
      </c>
      <c r="GG69">
        <v>28.455200000000001</v>
      </c>
      <c r="GH69">
        <v>432.1</v>
      </c>
      <c r="GI69">
        <v>37.187100000000001</v>
      </c>
      <c r="GJ69">
        <v>101.02200000000001</v>
      </c>
      <c r="GK69">
        <v>95.418999999999997</v>
      </c>
    </row>
    <row r="70" spans="1:193" x14ac:dyDescent="0.35">
      <c r="A70">
        <v>54</v>
      </c>
      <c r="B70">
        <v>1775535206.5</v>
      </c>
      <c r="C70">
        <v>3180.400000095367</v>
      </c>
      <c r="D70" t="s">
        <v>479</v>
      </c>
      <c r="E70" t="s">
        <v>480</v>
      </c>
      <c r="F70">
        <v>60</v>
      </c>
      <c r="G70">
        <v>1775535198.5</v>
      </c>
      <c r="H70">
        <f t="shared" si="0"/>
        <v>3.653363528875683E-3</v>
      </c>
      <c r="I70">
        <f t="shared" si="1"/>
        <v>3.6533635288756829</v>
      </c>
      <c r="J70">
        <f t="shared" si="2"/>
        <v>-3.8800758334082843</v>
      </c>
      <c r="K70">
        <f t="shared" si="3"/>
        <v>-0.15839322580645021</v>
      </c>
      <c r="L70">
        <f t="shared" si="4"/>
        <v>71.813255291032434</v>
      </c>
      <c r="M70">
        <f t="shared" si="5"/>
        <v>7.2079038893984126</v>
      </c>
      <c r="N70">
        <f t="shared" si="6"/>
        <v>-1.5897944518986865E-2</v>
      </c>
      <c r="O70">
        <f t="shared" si="7"/>
        <v>8.4750265897711771E-2</v>
      </c>
      <c r="P70">
        <f t="shared" si="8"/>
        <v>2.3931547944986771</v>
      </c>
      <c r="Q70">
        <f t="shared" si="9"/>
        <v>8.3117526392462351E-2</v>
      </c>
      <c r="R70">
        <f t="shared" si="10"/>
        <v>5.2092529222298511E-2</v>
      </c>
      <c r="S70">
        <f t="shared" si="11"/>
        <v>0.32833569096774196</v>
      </c>
      <c r="T70">
        <f t="shared" si="12"/>
        <v>30.017542322732073</v>
      </c>
      <c r="U70">
        <f t="shared" si="13"/>
        <v>30.917458064516129</v>
      </c>
      <c r="V70">
        <f t="shared" si="14"/>
        <v>4.4901896982878018</v>
      </c>
      <c r="W70">
        <f t="shared" si="15"/>
        <v>3.9800588258263008</v>
      </c>
      <c r="X70">
        <f t="shared" si="16"/>
        <v>0.18116593286532306</v>
      </c>
      <c r="Y70">
        <f t="shared" si="17"/>
        <v>4.5518405831027176</v>
      </c>
      <c r="Z70">
        <f t="shared" si="18"/>
        <v>4.309023765422479</v>
      </c>
      <c r="AA70">
        <f t="shared" si="19"/>
        <v>-161.11333162341762</v>
      </c>
      <c r="AB70">
        <f t="shared" si="20"/>
        <v>30.865688826202259</v>
      </c>
      <c r="AC70">
        <f t="shared" si="21"/>
        <v>2.8973175137386065</v>
      </c>
      <c r="AD70">
        <f t="shared" si="22"/>
        <v>-127.021989592509</v>
      </c>
      <c r="AE70">
        <v>8</v>
      </c>
      <c r="AF70">
        <v>2</v>
      </c>
      <c r="AG70">
        <f t="shared" si="23"/>
        <v>1</v>
      </c>
      <c r="AH70">
        <f t="shared" si="24"/>
        <v>0</v>
      </c>
      <c r="AI70">
        <f t="shared" si="25"/>
        <v>25238.388375403934</v>
      </c>
      <c r="AJ70">
        <f t="shared" si="26"/>
        <v>1.7181354838709679</v>
      </c>
      <c r="AK70">
        <f t="shared" si="27"/>
        <v>1.3745083870967745</v>
      </c>
      <c r="AL70">
        <f t="shared" si="28"/>
        <v>0.8</v>
      </c>
      <c r="AM70">
        <f t="shared" si="29"/>
        <v>0.19109999999999999</v>
      </c>
      <c r="AN70">
        <v>3</v>
      </c>
      <c r="AO70">
        <v>0.5</v>
      </c>
      <c r="AP70" t="s">
        <v>317</v>
      </c>
      <c r="AQ70">
        <v>2</v>
      </c>
      <c r="AR70">
        <v>1775535198.5</v>
      </c>
      <c r="AS70">
        <v>-0.15839322580645021</v>
      </c>
      <c r="AT70">
        <v>-2.4869277419354838</v>
      </c>
      <c r="AU70">
        <v>1.804979032258065</v>
      </c>
      <c r="AV70">
        <v>-0.38321580645161307</v>
      </c>
      <c r="AW70">
        <v>-7.1123932258064499</v>
      </c>
      <c r="AX70">
        <v>1.228784193548387</v>
      </c>
      <c r="AY70">
        <v>499.96954838709678</v>
      </c>
      <c r="AZ70">
        <v>100.321064516129</v>
      </c>
      <c r="BA70">
        <v>4.9039306451612898E-2</v>
      </c>
      <c r="BB70">
        <v>31.156690322580651</v>
      </c>
      <c r="BC70">
        <v>30.917458064516129</v>
      </c>
      <c r="BD70">
        <v>999.90000000000032</v>
      </c>
      <c r="BE70">
        <v>0</v>
      </c>
      <c r="BF70">
        <v>0</v>
      </c>
      <c r="BG70">
        <v>4997.1612903225796</v>
      </c>
      <c r="BH70">
        <v>1.7181354838709679</v>
      </c>
      <c r="BI70">
        <v>1831.4761290322581</v>
      </c>
      <c r="BJ70">
        <v>2.3148254838709672</v>
      </c>
      <c r="BK70">
        <v>-0.1720412451612903</v>
      </c>
      <c r="BL70">
        <v>-2.4914261290322579</v>
      </c>
      <c r="BM70">
        <v>-2.176035161290323</v>
      </c>
      <c r="BN70">
        <v>-2.4869277419354838</v>
      </c>
      <c r="BO70">
        <v>1.804979032258065</v>
      </c>
      <c r="BP70">
        <v>-3.7224700000000013E-2</v>
      </c>
      <c r="BQ70">
        <v>0.1810776129032258</v>
      </c>
      <c r="BR70">
        <v>-99.900000000000034</v>
      </c>
      <c r="BS70">
        <v>-15.708680645161291</v>
      </c>
      <c r="BT70">
        <v>1775535237.5</v>
      </c>
      <c r="BU70" t="s">
        <v>481</v>
      </c>
      <c r="BV70">
        <v>1775535224.5</v>
      </c>
      <c r="BW70">
        <v>1775535237.5</v>
      </c>
      <c r="BX70">
        <v>55</v>
      </c>
      <c r="BY70">
        <v>1.4E-2</v>
      </c>
      <c r="BZ70">
        <v>-1.2E-2</v>
      </c>
      <c r="CA70">
        <v>6.9539999999999997</v>
      </c>
      <c r="CB70">
        <v>-1.6120000000000001</v>
      </c>
      <c r="CC70">
        <v>-2</v>
      </c>
      <c r="CD70">
        <v>2</v>
      </c>
      <c r="CE70">
        <v>0.19</v>
      </c>
      <c r="CF70">
        <v>0.04</v>
      </c>
      <c r="CG70">
        <v>-2.2542055737704909</v>
      </c>
      <c r="CH70">
        <v>-1.689443384452668</v>
      </c>
      <c r="CI70">
        <v>0.27755317183408768</v>
      </c>
      <c r="CJ70">
        <v>-1</v>
      </c>
      <c r="CK70">
        <v>500.93350819672128</v>
      </c>
      <c r="CL70">
        <v>-9.0869254362777916</v>
      </c>
      <c r="CM70">
        <v>1.9210848849487929</v>
      </c>
      <c r="CN70">
        <v>-1</v>
      </c>
      <c r="CO70">
        <v>0</v>
      </c>
      <c r="CP70">
        <v>0</v>
      </c>
      <c r="CQ70" t="s">
        <v>319</v>
      </c>
      <c r="CR70">
        <v>3.1684899999999998</v>
      </c>
      <c r="CS70">
        <v>2.6697600000000001</v>
      </c>
      <c r="CT70">
        <v>-2.14065E-3</v>
      </c>
      <c r="CU70">
        <v>-7.4050199999999998E-4</v>
      </c>
      <c r="CV70">
        <v>9.6499600000000008E-3</v>
      </c>
      <c r="CW70">
        <v>1.33765E-2</v>
      </c>
      <c r="CX70">
        <v>21324.3</v>
      </c>
      <c r="CY70">
        <v>21733.3</v>
      </c>
      <c r="CZ70">
        <v>22817.7</v>
      </c>
      <c r="DA70">
        <v>22088.799999999999</v>
      </c>
      <c r="DB70">
        <v>29165.8</v>
      </c>
      <c r="DC70">
        <v>25943.5</v>
      </c>
      <c r="DD70">
        <v>40154.6</v>
      </c>
      <c r="DE70">
        <v>36550.800000000003</v>
      </c>
      <c r="DF70">
        <v>1.9983599999999999</v>
      </c>
      <c r="DG70">
        <v>1.65584</v>
      </c>
      <c r="DH70">
        <v>-0.11450100000000001</v>
      </c>
      <c r="DI70">
        <v>0</v>
      </c>
      <c r="DJ70">
        <v>32.781799999999997</v>
      </c>
      <c r="DK70">
        <v>999.9</v>
      </c>
      <c r="DL70">
        <v>59.4</v>
      </c>
      <c r="DM70">
        <v>40.4</v>
      </c>
      <c r="DN70">
        <v>44.8474</v>
      </c>
      <c r="DO70">
        <v>30.9937</v>
      </c>
      <c r="DP70">
        <v>9.3629800000000003</v>
      </c>
      <c r="DQ70">
        <v>1</v>
      </c>
      <c r="DR70">
        <v>0.90847999999999995</v>
      </c>
      <c r="DS70">
        <v>3.2558699999999998</v>
      </c>
      <c r="DT70">
        <v>20.321999999999999</v>
      </c>
      <c r="DU70">
        <v>5.20627</v>
      </c>
      <c r="DV70">
        <v>11.854200000000001</v>
      </c>
      <c r="DW70">
        <v>4.9665600000000003</v>
      </c>
      <c r="DX70">
        <v>3.2922600000000002</v>
      </c>
      <c r="DY70">
        <v>894.7</v>
      </c>
      <c r="DZ70">
        <v>6</v>
      </c>
      <c r="EA70">
        <v>9999</v>
      </c>
      <c r="EB70">
        <v>116.6</v>
      </c>
      <c r="EC70">
        <v>4.9716300000000002</v>
      </c>
      <c r="ED70">
        <v>1.87219</v>
      </c>
      <c r="EE70">
        <v>1.86951</v>
      </c>
      <c r="EF70">
        <v>1.87181</v>
      </c>
      <c r="EG70">
        <v>1.8695999999999999</v>
      </c>
      <c r="EH70">
        <v>1.8684499999999999</v>
      </c>
      <c r="EI70">
        <v>1.8702700000000001</v>
      </c>
      <c r="EJ70">
        <v>1.87195</v>
      </c>
      <c r="EK70">
        <v>0</v>
      </c>
      <c r="EL70">
        <v>0</v>
      </c>
      <c r="EM70">
        <v>0</v>
      </c>
      <c r="EN70">
        <v>0</v>
      </c>
      <c r="EO70" t="s">
        <v>320</v>
      </c>
      <c r="EP70" t="s">
        <v>321</v>
      </c>
      <c r="EQ70" t="s">
        <v>322</v>
      </c>
      <c r="ER70" t="s">
        <v>322</v>
      </c>
      <c r="ES70" t="s">
        <v>322</v>
      </c>
      <c r="ET70" t="s">
        <v>322</v>
      </c>
      <c r="EU70">
        <v>0</v>
      </c>
      <c r="EV70">
        <v>100</v>
      </c>
      <c r="EW70">
        <v>100</v>
      </c>
      <c r="EX70">
        <v>6.9539999999999997</v>
      </c>
      <c r="EY70">
        <v>-1.6120000000000001</v>
      </c>
      <c r="EZ70">
        <v>6.9402909523809528</v>
      </c>
      <c r="FA70">
        <v>0</v>
      </c>
      <c r="FB70">
        <v>0</v>
      </c>
      <c r="FC70">
        <v>0</v>
      </c>
      <c r="FD70">
        <v>-1.5998405</v>
      </c>
      <c r="FE70">
        <v>0</v>
      </c>
      <c r="FF70">
        <v>0</v>
      </c>
      <c r="FG70">
        <v>0</v>
      </c>
      <c r="FH70">
        <v>-1</v>
      </c>
      <c r="FI70">
        <v>-1</v>
      </c>
      <c r="FJ70">
        <v>-1</v>
      </c>
      <c r="FK70">
        <v>-1</v>
      </c>
      <c r="FL70">
        <v>0.7</v>
      </c>
      <c r="FM70">
        <v>0.6</v>
      </c>
      <c r="FN70">
        <v>0.142822</v>
      </c>
      <c r="FO70">
        <v>4.99756</v>
      </c>
      <c r="FP70">
        <v>1.5979000000000001</v>
      </c>
      <c r="FQ70">
        <v>2.1301299999999999</v>
      </c>
      <c r="FR70">
        <v>1.5478499999999999</v>
      </c>
      <c r="FS70">
        <v>2.4536099999999998</v>
      </c>
      <c r="FT70">
        <v>46.767400000000002</v>
      </c>
      <c r="FU70">
        <v>15.568</v>
      </c>
      <c r="FV70">
        <v>2</v>
      </c>
      <c r="FW70">
        <v>504.18900000000002</v>
      </c>
      <c r="FX70">
        <v>371.392</v>
      </c>
      <c r="FY70">
        <v>28.767099999999999</v>
      </c>
      <c r="FZ70">
        <v>38.203099999999999</v>
      </c>
      <c r="GA70">
        <v>29.999700000000001</v>
      </c>
      <c r="GB70">
        <v>38.334000000000003</v>
      </c>
      <c r="GC70">
        <v>38.353900000000003</v>
      </c>
      <c r="GD70">
        <v>-1</v>
      </c>
      <c r="GE70">
        <v>0</v>
      </c>
      <c r="GF70">
        <v>100</v>
      </c>
      <c r="GG70">
        <v>28.7774</v>
      </c>
      <c r="GH70">
        <v>432.1</v>
      </c>
      <c r="GI70">
        <v>37.187100000000001</v>
      </c>
      <c r="GJ70">
        <v>101.027</v>
      </c>
      <c r="GK70">
        <v>95.429699999999997</v>
      </c>
    </row>
    <row r="71" spans="1:193" x14ac:dyDescent="0.35">
      <c r="A71">
        <v>55</v>
      </c>
      <c r="B71">
        <v>1775535266.5</v>
      </c>
      <c r="C71">
        <v>3240.400000095367</v>
      </c>
      <c r="D71" t="s">
        <v>482</v>
      </c>
      <c r="E71" t="s">
        <v>483</v>
      </c>
      <c r="F71">
        <v>60</v>
      </c>
      <c r="G71">
        <v>1775535258.5</v>
      </c>
      <c r="H71">
        <f t="shared" si="0"/>
        <v>3.9417457821890999E-3</v>
      </c>
      <c r="I71">
        <f t="shared" si="1"/>
        <v>3.9417457821890998</v>
      </c>
      <c r="J71">
        <f t="shared" si="2"/>
        <v>-3.635528951181926</v>
      </c>
      <c r="K71">
        <f t="shared" si="3"/>
        <v>-0.21157741935483901</v>
      </c>
      <c r="L71">
        <f t="shared" si="4"/>
        <v>62.260033898980787</v>
      </c>
      <c r="M71">
        <f t="shared" si="5"/>
        <v>6.2487815321901223</v>
      </c>
      <c r="N71">
        <f t="shared" si="6"/>
        <v>-2.1235148584051868E-2</v>
      </c>
      <c r="O71">
        <f t="shared" si="7"/>
        <v>9.1616658438796877E-2</v>
      </c>
      <c r="P71">
        <f t="shared" si="8"/>
        <v>2.392276758854337</v>
      </c>
      <c r="Q71">
        <f t="shared" si="9"/>
        <v>8.9711155901522219E-2</v>
      </c>
      <c r="R71">
        <f t="shared" si="10"/>
        <v>5.6237373364192766E-2</v>
      </c>
      <c r="S71">
        <f t="shared" si="11"/>
        <v>0.32773495887096771</v>
      </c>
      <c r="T71">
        <f t="shared" si="12"/>
        <v>29.979412184664717</v>
      </c>
      <c r="U71">
        <f t="shared" si="13"/>
        <v>30.950461290322579</v>
      </c>
      <c r="V71">
        <f t="shared" si="14"/>
        <v>4.4986512411130128</v>
      </c>
      <c r="W71">
        <f t="shared" si="15"/>
        <v>4.2011920109958343</v>
      </c>
      <c r="X71">
        <f t="shared" si="16"/>
        <v>0.19180228931100352</v>
      </c>
      <c r="Y71">
        <f t="shared" si="17"/>
        <v>4.5654254508957672</v>
      </c>
      <c r="Z71">
        <f t="shared" si="18"/>
        <v>4.3068489518020092</v>
      </c>
      <c r="AA71">
        <f t="shared" si="19"/>
        <v>-173.8309889945393</v>
      </c>
      <c r="AB71">
        <f t="shared" si="20"/>
        <v>33.347692566725698</v>
      </c>
      <c r="AC71">
        <f t="shared" si="21"/>
        <v>3.1327672156815995</v>
      </c>
      <c r="AD71">
        <f t="shared" si="22"/>
        <v>-137.02279425326103</v>
      </c>
      <c r="AE71">
        <v>8</v>
      </c>
      <c r="AF71">
        <v>2</v>
      </c>
      <c r="AG71">
        <f t="shared" si="23"/>
        <v>1</v>
      </c>
      <c r="AH71">
        <f t="shared" si="24"/>
        <v>0</v>
      </c>
      <c r="AI71">
        <f t="shared" si="25"/>
        <v>25221.031015570516</v>
      </c>
      <c r="AJ71">
        <f t="shared" si="26"/>
        <v>1.714991935483871</v>
      </c>
      <c r="AK71">
        <f t="shared" si="27"/>
        <v>1.3719935483870969</v>
      </c>
      <c r="AL71">
        <f t="shared" si="28"/>
        <v>0.8</v>
      </c>
      <c r="AM71">
        <f t="shared" si="29"/>
        <v>0.19109999999999999</v>
      </c>
      <c r="AN71">
        <v>3</v>
      </c>
      <c r="AO71">
        <v>0.5</v>
      </c>
      <c r="AP71" t="s">
        <v>317</v>
      </c>
      <c r="AQ71">
        <v>2</v>
      </c>
      <c r="AR71">
        <v>1775535258.5</v>
      </c>
      <c r="AS71">
        <v>-0.21157741935483901</v>
      </c>
      <c r="AT71">
        <v>-2.3934893548387088</v>
      </c>
      <c r="AU71">
        <v>1.9110312903225799</v>
      </c>
      <c r="AV71">
        <v>-0.44959838709677441</v>
      </c>
      <c r="AW71">
        <v>-7.1235774193548389</v>
      </c>
      <c r="AX71">
        <v>1.170401612903226</v>
      </c>
      <c r="AY71">
        <v>499.97841935483882</v>
      </c>
      <c r="AZ71">
        <v>100.31687096774191</v>
      </c>
      <c r="BA71">
        <v>4.8983993548387103E-2</v>
      </c>
      <c r="BB71">
        <v>31.20902580645161</v>
      </c>
      <c r="BC71">
        <v>30.950461290322579</v>
      </c>
      <c r="BD71">
        <v>999.90000000000032</v>
      </c>
      <c r="BE71">
        <v>0</v>
      </c>
      <c r="BF71">
        <v>0</v>
      </c>
      <c r="BG71">
        <v>4995.1129032258068</v>
      </c>
      <c r="BH71">
        <v>1.714991935483871</v>
      </c>
      <c r="BI71">
        <v>1807.6922580645171</v>
      </c>
      <c r="BJ71">
        <v>2.223701935483871</v>
      </c>
      <c r="BK71">
        <v>-0.16971090322580651</v>
      </c>
      <c r="BL71">
        <v>-2.3980719354838711</v>
      </c>
      <c r="BM71">
        <v>-2.352583870967742</v>
      </c>
      <c r="BN71">
        <v>-2.3934893548387088</v>
      </c>
      <c r="BO71">
        <v>1.9110312903225799</v>
      </c>
      <c r="BP71">
        <v>-4.4295161290322578E-2</v>
      </c>
      <c r="BQ71">
        <v>0.19170867741935479</v>
      </c>
      <c r="BR71">
        <v>-99.900000000000034</v>
      </c>
      <c r="BS71">
        <v>-15.02013870967742</v>
      </c>
      <c r="BT71">
        <v>1775535293.5</v>
      </c>
      <c r="BU71" t="s">
        <v>484</v>
      </c>
      <c r="BV71">
        <v>1775535284.5</v>
      </c>
      <c r="BW71">
        <v>1775535293.5</v>
      </c>
      <c r="BX71">
        <v>56</v>
      </c>
      <c r="BY71">
        <v>-4.2000000000000003E-2</v>
      </c>
      <c r="BZ71">
        <v>-8.0000000000000002E-3</v>
      </c>
      <c r="CA71">
        <v>6.9119999999999999</v>
      </c>
      <c r="CB71">
        <v>-1.62</v>
      </c>
      <c r="CC71">
        <v>-3</v>
      </c>
      <c r="CD71">
        <v>2</v>
      </c>
      <c r="CE71">
        <v>0.2</v>
      </c>
      <c r="CF71">
        <v>0.04</v>
      </c>
      <c r="CG71">
        <v>-2.3879433333333329</v>
      </c>
      <c r="CH71">
        <v>-6.0085623784387893E-2</v>
      </c>
      <c r="CI71">
        <v>5.6125779687729527E-2</v>
      </c>
      <c r="CJ71">
        <v>-1</v>
      </c>
      <c r="CK71">
        <v>500.97891666666658</v>
      </c>
      <c r="CL71">
        <v>-6.3796021116968644</v>
      </c>
      <c r="CM71">
        <v>1.932572993806156</v>
      </c>
      <c r="CN71">
        <v>-1</v>
      </c>
      <c r="CO71">
        <v>0</v>
      </c>
      <c r="CP71">
        <v>0</v>
      </c>
      <c r="CQ71" t="s">
        <v>319</v>
      </c>
      <c r="CR71">
        <v>3.1685300000000001</v>
      </c>
      <c r="CS71">
        <v>2.6702300000000001</v>
      </c>
      <c r="CT71">
        <v>-2.0834600000000001E-3</v>
      </c>
      <c r="CU71">
        <v>-7.4540999999999995E-4</v>
      </c>
      <c r="CV71">
        <v>8.9249399999999993E-3</v>
      </c>
      <c r="CW71">
        <v>1.4078500000000001E-2</v>
      </c>
      <c r="CX71">
        <v>21322</v>
      </c>
      <c r="CY71">
        <v>21732.400000000001</v>
      </c>
      <c r="CZ71">
        <v>22816.6</v>
      </c>
      <c r="DA71">
        <v>22087.9</v>
      </c>
      <c r="DB71">
        <v>29186.1</v>
      </c>
      <c r="DC71">
        <v>25923.5</v>
      </c>
      <c r="DD71">
        <v>40153.1</v>
      </c>
      <c r="DE71">
        <v>36548.800000000003</v>
      </c>
      <c r="DF71">
        <v>1.9974400000000001</v>
      </c>
      <c r="DG71">
        <v>1.65462</v>
      </c>
      <c r="DH71">
        <v>-0.11369600000000001</v>
      </c>
      <c r="DI71">
        <v>0</v>
      </c>
      <c r="DJ71">
        <v>32.808700000000002</v>
      </c>
      <c r="DK71">
        <v>999.9</v>
      </c>
      <c r="DL71">
        <v>59.1</v>
      </c>
      <c r="DM71">
        <v>40.6</v>
      </c>
      <c r="DN71">
        <v>45.099400000000003</v>
      </c>
      <c r="DO71">
        <v>30.7837</v>
      </c>
      <c r="DP71">
        <v>9.4390999999999998</v>
      </c>
      <c r="DQ71">
        <v>1</v>
      </c>
      <c r="DR71">
        <v>0.91341700000000003</v>
      </c>
      <c r="DS71">
        <v>3.7403499999999998</v>
      </c>
      <c r="DT71">
        <v>20.309899999999999</v>
      </c>
      <c r="DU71">
        <v>5.2099799999999998</v>
      </c>
      <c r="DV71">
        <v>11.854200000000001</v>
      </c>
      <c r="DW71">
        <v>4.9671599999999998</v>
      </c>
      <c r="DX71">
        <v>3.2930000000000001</v>
      </c>
      <c r="DY71">
        <v>894.7</v>
      </c>
      <c r="DZ71">
        <v>6</v>
      </c>
      <c r="EA71">
        <v>9999</v>
      </c>
      <c r="EB71">
        <v>116.6</v>
      </c>
      <c r="EC71">
        <v>4.9716100000000001</v>
      </c>
      <c r="ED71">
        <v>1.87219</v>
      </c>
      <c r="EE71">
        <v>1.86951</v>
      </c>
      <c r="EF71">
        <v>1.8717999999999999</v>
      </c>
      <c r="EG71">
        <v>1.86957</v>
      </c>
      <c r="EH71">
        <v>1.8684400000000001</v>
      </c>
      <c r="EI71">
        <v>1.8702700000000001</v>
      </c>
      <c r="EJ71">
        <v>1.87195</v>
      </c>
      <c r="EK71">
        <v>0</v>
      </c>
      <c r="EL71">
        <v>0</v>
      </c>
      <c r="EM71">
        <v>0</v>
      </c>
      <c r="EN71">
        <v>0</v>
      </c>
      <c r="EO71" t="s">
        <v>320</v>
      </c>
      <c r="EP71" t="s">
        <v>321</v>
      </c>
      <c r="EQ71" t="s">
        <v>322</v>
      </c>
      <c r="ER71" t="s">
        <v>322</v>
      </c>
      <c r="ES71" t="s">
        <v>322</v>
      </c>
      <c r="ET71" t="s">
        <v>322</v>
      </c>
      <c r="EU71">
        <v>0</v>
      </c>
      <c r="EV71">
        <v>100</v>
      </c>
      <c r="EW71">
        <v>100</v>
      </c>
      <c r="EX71">
        <v>6.9119999999999999</v>
      </c>
      <c r="EY71">
        <v>-1.62</v>
      </c>
      <c r="EZ71">
        <v>6.9537919999999973</v>
      </c>
      <c r="FA71">
        <v>0</v>
      </c>
      <c r="FB71">
        <v>0</v>
      </c>
      <c r="FC71">
        <v>0</v>
      </c>
      <c r="FD71">
        <v>-1.6119535</v>
      </c>
      <c r="FE71">
        <v>0</v>
      </c>
      <c r="FF71">
        <v>0</v>
      </c>
      <c r="FG71">
        <v>0</v>
      </c>
      <c r="FH71">
        <v>-1</v>
      </c>
      <c r="FI71">
        <v>-1</v>
      </c>
      <c r="FJ71">
        <v>-1</v>
      </c>
      <c r="FK71">
        <v>-1</v>
      </c>
      <c r="FL71">
        <v>0.7</v>
      </c>
      <c r="FM71">
        <v>0.5</v>
      </c>
      <c r="FN71">
        <v>0.142822</v>
      </c>
      <c r="FO71">
        <v>4.99756</v>
      </c>
      <c r="FP71">
        <v>1.5979000000000001</v>
      </c>
      <c r="FQ71">
        <v>2.1301299999999999</v>
      </c>
      <c r="FR71">
        <v>1.5478499999999999</v>
      </c>
      <c r="FS71">
        <v>2.4182100000000002</v>
      </c>
      <c r="FT71">
        <v>46.915100000000002</v>
      </c>
      <c r="FU71">
        <v>15.5505</v>
      </c>
      <c r="FV71">
        <v>2</v>
      </c>
      <c r="FW71">
        <v>503.85500000000002</v>
      </c>
      <c r="FX71">
        <v>370.93900000000002</v>
      </c>
      <c r="FY71">
        <v>28.610399999999998</v>
      </c>
      <c r="FZ71">
        <v>38.218800000000002</v>
      </c>
      <c r="GA71">
        <v>30.000499999999999</v>
      </c>
      <c r="GB71">
        <v>38.368000000000002</v>
      </c>
      <c r="GC71">
        <v>38.399299999999997</v>
      </c>
      <c r="GD71">
        <v>-1</v>
      </c>
      <c r="GE71">
        <v>0</v>
      </c>
      <c r="GF71">
        <v>100</v>
      </c>
      <c r="GG71">
        <v>28.601299999999998</v>
      </c>
      <c r="GH71">
        <v>432.1</v>
      </c>
      <c r="GI71">
        <v>37.187100000000001</v>
      </c>
      <c r="GJ71">
        <v>101.02200000000001</v>
      </c>
      <c r="GK71">
        <v>95.424899999999994</v>
      </c>
    </row>
    <row r="72" spans="1:193" x14ac:dyDescent="0.35">
      <c r="A72">
        <v>56</v>
      </c>
      <c r="B72">
        <v>1775535326.5</v>
      </c>
      <c r="C72">
        <v>3300.400000095367</v>
      </c>
      <c r="D72" t="s">
        <v>485</v>
      </c>
      <c r="E72" t="s">
        <v>486</v>
      </c>
      <c r="F72">
        <v>60</v>
      </c>
      <c r="G72">
        <v>1775535318.5</v>
      </c>
      <c r="H72">
        <f t="shared" si="0"/>
        <v>4.589213783414146E-3</v>
      </c>
      <c r="I72">
        <f t="shared" si="1"/>
        <v>4.589213783414146</v>
      </c>
      <c r="J72">
        <f t="shared" si="2"/>
        <v>-3.9930358367027257</v>
      </c>
      <c r="K72">
        <f t="shared" si="3"/>
        <v>-0.2320503225806432</v>
      </c>
      <c r="L72">
        <f t="shared" si="4"/>
        <v>58.472794681146311</v>
      </c>
      <c r="M72">
        <f t="shared" si="5"/>
        <v>5.868399111775263</v>
      </c>
      <c r="N72">
        <f t="shared" si="6"/>
        <v>-2.3288845938442725E-2</v>
      </c>
      <c r="O72">
        <f t="shared" si="7"/>
        <v>0.10742753111577188</v>
      </c>
      <c r="P72">
        <f t="shared" si="8"/>
        <v>2.3959928458604263</v>
      </c>
      <c r="Q72">
        <f t="shared" si="9"/>
        <v>0.10482162298193015</v>
      </c>
      <c r="R72">
        <f t="shared" si="10"/>
        <v>6.5742379918972485E-2</v>
      </c>
      <c r="S72">
        <f t="shared" si="11"/>
        <v>0.36303797148387101</v>
      </c>
      <c r="T72">
        <f t="shared" si="12"/>
        <v>29.809694698359419</v>
      </c>
      <c r="U72">
        <f t="shared" si="13"/>
        <v>30.92667419354839</v>
      </c>
      <c r="V72">
        <f t="shared" si="14"/>
        <v>4.4925511822490813</v>
      </c>
      <c r="W72">
        <f t="shared" si="15"/>
        <v>4.4032255687746913</v>
      </c>
      <c r="X72">
        <f t="shared" si="16"/>
        <v>0.20137326590163776</v>
      </c>
      <c r="Y72">
        <f t="shared" si="17"/>
        <v>4.5733125127558463</v>
      </c>
      <c r="Z72">
        <f t="shared" si="18"/>
        <v>4.2911779163474435</v>
      </c>
      <c r="AA72">
        <f t="shared" si="19"/>
        <v>-202.38432784856383</v>
      </c>
      <c r="AB72">
        <f t="shared" si="20"/>
        <v>40.388990533151635</v>
      </c>
      <c r="AC72">
        <f t="shared" si="21"/>
        <v>3.7884824214895545</v>
      </c>
      <c r="AD72">
        <f t="shared" si="22"/>
        <v>-157.84381692243878</v>
      </c>
      <c r="AE72">
        <v>8</v>
      </c>
      <c r="AF72">
        <v>2</v>
      </c>
      <c r="AG72">
        <f t="shared" si="23"/>
        <v>1</v>
      </c>
      <c r="AH72">
        <f t="shared" si="24"/>
        <v>0</v>
      </c>
      <c r="AI72">
        <f t="shared" si="25"/>
        <v>25274.471091964238</v>
      </c>
      <c r="AJ72">
        <f t="shared" si="26"/>
        <v>1.8997277419354841</v>
      </c>
      <c r="AK72">
        <f t="shared" si="27"/>
        <v>1.5197821935483873</v>
      </c>
      <c r="AL72">
        <f t="shared" si="28"/>
        <v>0.8</v>
      </c>
      <c r="AM72">
        <f t="shared" si="29"/>
        <v>0.19109999999999999</v>
      </c>
      <c r="AN72">
        <v>3</v>
      </c>
      <c r="AO72">
        <v>0.5</v>
      </c>
      <c r="AP72" t="s">
        <v>317</v>
      </c>
      <c r="AQ72">
        <v>2</v>
      </c>
      <c r="AR72">
        <v>1775535318.5</v>
      </c>
      <c r="AS72">
        <v>-0.2320503225806432</v>
      </c>
      <c r="AT72">
        <v>-2.6285512903225809</v>
      </c>
      <c r="AU72">
        <v>2.0064854838709678</v>
      </c>
      <c r="AV72">
        <v>-0.74156432258064509</v>
      </c>
      <c r="AW72">
        <v>-7.1630503225806432</v>
      </c>
      <c r="AX72">
        <v>0.89243567741935481</v>
      </c>
      <c r="AY72">
        <v>499.99154838709683</v>
      </c>
      <c r="AZ72">
        <v>100.3124838709678</v>
      </c>
      <c r="BA72">
        <v>4.8703648387096773E-2</v>
      </c>
      <c r="BB72">
        <v>31.239348387096779</v>
      </c>
      <c r="BC72">
        <v>30.92667419354839</v>
      </c>
      <c r="BD72">
        <v>999.90000000000032</v>
      </c>
      <c r="BE72">
        <v>0</v>
      </c>
      <c r="BF72">
        <v>0</v>
      </c>
      <c r="BG72">
        <v>5004.8870967741932</v>
      </c>
      <c r="BH72">
        <v>1.8997277419354841</v>
      </c>
      <c r="BI72">
        <v>2107.36064516129</v>
      </c>
      <c r="BJ72">
        <v>2.377748064516128</v>
      </c>
      <c r="BK72">
        <v>-0.25062087096774188</v>
      </c>
      <c r="BL72">
        <v>-2.6338361290322578</v>
      </c>
      <c r="BM72">
        <v>-2.734103225806451</v>
      </c>
      <c r="BN72">
        <v>-2.6285512903225809</v>
      </c>
      <c r="BO72">
        <v>2.0064854838709678</v>
      </c>
      <c r="BP72">
        <v>-7.298909677419356E-2</v>
      </c>
      <c r="BQ72">
        <v>0.20127577419354839</v>
      </c>
      <c r="BR72">
        <v>-99.900000000000034</v>
      </c>
      <c r="BS72">
        <v>-14.429083870967739</v>
      </c>
      <c r="BT72">
        <v>1775535360.5</v>
      </c>
      <c r="BU72" t="s">
        <v>487</v>
      </c>
      <c r="BV72">
        <v>1775535350</v>
      </c>
      <c r="BW72">
        <v>1775535360.5</v>
      </c>
      <c r="BX72">
        <v>57</v>
      </c>
      <c r="BY72">
        <v>1.9E-2</v>
      </c>
      <c r="BZ72">
        <v>-1.4E-2</v>
      </c>
      <c r="CA72">
        <v>6.931</v>
      </c>
      <c r="CB72">
        <v>-1.6339999999999999</v>
      </c>
      <c r="CC72">
        <v>-2</v>
      </c>
      <c r="CD72">
        <v>2</v>
      </c>
      <c r="CE72">
        <v>0.25</v>
      </c>
      <c r="CF72">
        <v>0.03</v>
      </c>
      <c r="CG72">
        <v>-2.6072511666666669</v>
      </c>
      <c r="CH72">
        <v>-9.6582528480135071E-2</v>
      </c>
      <c r="CI72">
        <v>4.12514214741612E-2</v>
      </c>
      <c r="CJ72">
        <v>-1</v>
      </c>
      <c r="CK72">
        <v>500.94889999999998</v>
      </c>
      <c r="CL72">
        <v>-9.2658938594044002</v>
      </c>
      <c r="CM72">
        <v>1.940297173974477</v>
      </c>
      <c r="CN72">
        <v>-1</v>
      </c>
      <c r="CO72">
        <v>0</v>
      </c>
      <c r="CP72">
        <v>0</v>
      </c>
      <c r="CQ72" t="s">
        <v>319</v>
      </c>
      <c r="CR72">
        <v>3.1685400000000001</v>
      </c>
      <c r="CS72">
        <v>2.66981</v>
      </c>
      <c r="CT72">
        <v>-2.0772400000000002E-3</v>
      </c>
      <c r="CU72">
        <v>-7.4160700000000003E-4</v>
      </c>
      <c r="CV72">
        <v>6.5077900000000003E-3</v>
      </c>
      <c r="CW72">
        <v>1.47297E-2</v>
      </c>
      <c r="CX72">
        <v>21318.5</v>
      </c>
      <c r="CY72">
        <v>21728.400000000001</v>
      </c>
      <c r="CZ72">
        <v>22813.3</v>
      </c>
      <c r="DA72">
        <v>22084</v>
      </c>
      <c r="DB72">
        <v>29253.7</v>
      </c>
      <c r="DC72">
        <v>25901.7</v>
      </c>
      <c r="DD72">
        <v>40148</v>
      </c>
      <c r="DE72">
        <v>36542.5</v>
      </c>
      <c r="DF72">
        <v>1.99596</v>
      </c>
      <c r="DG72">
        <v>1.6525000000000001</v>
      </c>
      <c r="DH72">
        <v>-0.125393</v>
      </c>
      <c r="DI72">
        <v>0</v>
      </c>
      <c r="DJ72">
        <v>32.953699999999998</v>
      </c>
      <c r="DK72">
        <v>999.9</v>
      </c>
      <c r="DL72">
        <v>58.7</v>
      </c>
      <c r="DM72">
        <v>40.799999999999997</v>
      </c>
      <c r="DN72">
        <v>45.270800000000001</v>
      </c>
      <c r="DO72">
        <v>30.633700000000001</v>
      </c>
      <c r="DP72">
        <v>9.4030500000000004</v>
      </c>
      <c r="DQ72">
        <v>1</v>
      </c>
      <c r="DR72">
        <v>0.92556099999999997</v>
      </c>
      <c r="DS72">
        <v>4.3714399999999998</v>
      </c>
      <c r="DT72">
        <v>20.2898</v>
      </c>
      <c r="DU72">
        <v>5.2043499999999998</v>
      </c>
      <c r="DV72">
        <v>11.854200000000001</v>
      </c>
      <c r="DW72">
        <v>4.9665600000000003</v>
      </c>
      <c r="DX72">
        <v>3.2923399999999998</v>
      </c>
      <c r="DY72">
        <v>894.7</v>
      </c>
      <c r="DZ72">
        <v>6</v>
      </c>
      <c r="EA72">
        <v>9999</v>
      </c>
      <c r="EB72">
        <v>116.7</v>
      </c>
      <c r="EC72">
        <v>4.97159</v>
      </c>
      <c r="ED72">
        <v>1.87219</v>
      </c>
      <c r="EE72">
        <v>1.86951</v>
      </c>
      <c r="EF72">
        <v>1.87181</v>
      </c>
      <c r="EG72">
        <v>1.86958</v>
      </c>
      <c r="EH72">
        <v>1.8684400000000001</v>
      </c>
      <c r="EI72">
        <v>1.8702700000000001</v>
      </c>
      <c r="EJ72">
        <v>1.87195</v>
      </c>
      <c r="EK72">
        <v>0</v>
      </c>
      <c r="EL72">
        <v>0</v>
      </c>
      <c r="EM72">
        <v>0</v>
      </c>
      <c r="EN72">
        <v>0</v>
      </c>
      <c r="EO72" t="s">
        <v>320</v>
      </c>
      <c r="EP72" t="s">
        <v>321</v>
      </c>
      <c r="EQ72" t="s">
        <v>322</v>
      </c>
      <c r="ER72" t="s">
        <v>322</v>
      </c>
      <c r="ES72" t="s">
        <v>322</v>
      </c>
      <c r="ET72" t="s">
        <v>322</v>
      </c>
      <c r="EU72">
        <v>0</v>
      </c>
      <c r="EV72">
        <v>100</v>
      </c>
      <c r="EW72">
        <v>100</v>
      </c>
      <c r="EX72">
        <v>6.931</v>
      </c>
      <c r="EY72">
        <v>-1.6339999999999999</v>
      </c>
      <c r="EZ72">
        <v>6.9122474999999977</v>
      </c>
      <c r="FA72">
        <v>0</v>
      </c>
      <c r="FB72">
        <v>0</v>
      </c>
      <c r="FC72">
        <v>0</v>
      </c>
      <c r="FD72">
        <v>-1.6200524999999999</v>
      </c>
      <c r="FE72">
        <v>0</v>
      </c>
      <c r="FF72">
        <v>0</v>
      </c>
      <c r="FG72">
        <v>0</v>
      </c>
      <c r="FH72">
        <v>-1</v>
      </c>
      <c r="FI72">
        <v>-1</v>
      </c>
      <c r="FJ72">
        <v>-1</v>
      </c>
      <c r="FK72">
        <v>-1</v>
      </c>
      <c r="FL72">
        <v>0.7</v>
      </c>
      <c r="FM72">
        <v>0.6</v>
      </c>
      <c r="FN72">
        <v>0.14160200000000001</v>
      </c>
      <c r="FO72">
        <v>4.99756</v>
      </c>
      <c r="FP72">
        <v>1.5979000000000001</v>
      </c>
      <c r="FQ72">
        <v>2.1289099999999999</v>
      </c>
      <c r="FR72">
        <v>1.5478499999999999</v>
      </c>
      <c r="FS72">
        <v>2.4658199999999999</v>
      </c>
      <c r="FT72">
        <v>47.122900000000001</v>
      </c>
      <c r="FU72">
        <v>15.532999999999999</v>
      </c>
      <c r="FV72">
        <v>2</v>
      </c>
      <c r="FW72">
        <v>503.41300000000001</v>
      </c>
      <c r="FX72">
        <v>370.12</v>
      </c>
      <c r="FY72">
        <v>28.1951</v>
      </c>
      <c r="FZ72">
        <v>38.294699999999999</v>
      </c>
      <c r="GA72">
        <v>30.001100000000001</v>
      </c>
      <c r="GB72">
        <v>38.436700000000002</v>
      </c>
      <c r="GC72">
        <v>38.471699999999998</v>
      </c>
      <c r="GD72">
        <v>-1</v>
      </c>
      <c r="GE72">
        <v>0</v>
      </c>
      <c r="GF72">
        <v>100</v>
      </c>
      <c r="GG72">
        <v>28.179300000000001</v>
      </c>
      <c r="GH72">
        <v>432.1</v>
      </c>
      <c r="GI72">
        <v>37.187100000000001</v>
      </c>
      <c r="GJ72">
        <v>101.009</v>
      </c>
      <c r="GK72">
        <v>95.4084</v>
      </c>
    </row>
    <row r="73" spans="1:193" x14ac:dyDescent="0.35">
      <c r="A73">
        <v>57</v>
      </c>
      <c r="B73">
        <v>1775535386.5</v>
      </c>
      <c r="C73">
        <v>3360.400000095367</v>
      </c>
      <c r="D73" t="s">
        <v>488</v>
      </c>
      <c r="E73" t="s">
        <v>489</v>
      </c>
      <c r="F73">
        <v>60</v>
      </c>
      <c r="G73">
        <v>1775535378.5</v>
      </c>
      <c r="H73">
        <f t="shared" si="0"/>
        <v>5.348523449781312E-3</v>
      </c>
      <c r="I73">
        <f t="shared" si="1"/>
        <v>5.3485234497813119</v>
      </c>
      <c r="J73">
        <f t="shared" si="2"/>
        <v>-4.1144365270714678</v>
      </c>
      <c r="K73">
        <f t="shared" si="3"/>
        <v>0.28049387096774142</v>
      </c>
      <c r="L73">
        <f t="shared" si="4"/>
        <v>51.786698198061551</v>
      </c>
      <c r="M73">
        <f t="shared" si="5"/>
        <v>5.1970617492346527</v>
      </c>
      <c r="N73">
        <f t="shared" si="6"/>
        <v>2.8149003864389534E-2</v>
      </c>
      <c r="O73">
        <f t="shared" si="7"/>
        <v>0.12658671472530858</v>
      </c>
      <c r="P73">
        <f t="shared" si="8"/>
        <v>2.3936601062113128</v>
      </c>
      <c r="Q73">
        <f t="shared" si="9"/>
        <v>0.12298179583218723</v>
      </c>
      <c r="R73">
        <f t="shared" si="10"/>
        <v>7.7178958926073696E-2</v>
      </c>
      <c r="S73">
        <f t="shared" si="11"/>
        <v>0.36754990412903227</v>
      </c>
      <c r="T73">
        <f t="shared" si="12"/>
        <v>29.549012767398601</v>
      </c>
      <c r="U73">
        <f t="shared" si="13"/>
        <v>30.85879677419355</v>
      </c>
      <c r="V73">
        <f t="shared" si="14"/>
        <v>4.4751840201106106</v>
      </c>
      <c r="W73">
        <f t="shared" si="15"/>
        <v>4.6554572672380932</v>
      </c>
      <c r="X73">
        <f t="shared" si="16"/>
        <v>0.21263938242594677</v>
      </c>
      <c r="Y73">
        <f t="shared" si="17"/>
        <v>4.567529465308521</v>
      </c>
      <c r="Z73">
        <f t="shared" si="18"/>
        <v>4.2625446376846634</v>
      </c>
      <c r="AA73">
        <f t="shared" si="19"/>
        <v>-235.86988413535585</v>
      </c>
      <c r="AB73">
        <f t="shared" si="20"/>
        <v>46.240455370983341</v>
      </c>
      <c r="AC73">
        <f t="shared" si="21"/>
        <v>4.3396469647635003</v>
      </c>
      <c r="AD73">
        <f t="shared" si="22"/>
        <v>-184.92223189547997</v>
      </c>
      <c r="AE73">
        <v>9</v>
      </c>
      <c r="AF73">
        <v>2</v>
      </c>
      <c r="AG73">
        <f t="shared" si="23"/>
        <v>1</v>
      </c>
      <c r="AH73">
        <f t="shared" si="24"/>
        <v>0</v>
      </c>
      <c r="AI73">
        <f t="shared" si="25"/>
        <v>25241.51332973197</v>
      </c>
      <c r="AJ73">
        <f t="shared" si="26"/>
        <v>1.9233380645161291</v>
      </c>
      <c r="AK73">
        <f t="shared" si="27"/>
        <v>1.5386704516129033</v>
      </c>
      <c r="AL73">
        <f t="shared" si="28"/>
        <v>0.8</v>
      </c>
      <c r="AM73">
        <f t="shared" si="29"/>
        <v>0.19109999999999999</v>
      </c>
      <c r="AN73">
        <v>3</v>
      </c>
      <c r="AO73">
        <v>0.5</v>
      </c>
      <c r="AP73" t="s">
        <v>317</v>
      </c>
      <c r="AQ73">
        <v>2</v>
      </c>
      <c r="AR73">
        <v>1775535378.5</v>
      </c>
      <c r="AS73">
        <v>0.28049387096774142</v>
      </c>
      <c r="AT73">
        <v>-2.187392258064516</v>
      </c>
      <c r="AU73">
        <v>2.118868709677419</v>
      </c>
      <c r="AV73">
        <v>-1.083607032258064</v>
      </c>
      <c r="AW73">
        <v>-6.5985061290322582</v>
      </c>
      <c r="AX73">
        <v>0.56239296774193548</v>
      </c>
      <c r="AY73">
        <v>499.97480645161289</v>
      </c>
      <c r="AZ73">
        <v>100.307</v>
      </c>
      <c r="BA73">
        <v>4.8147751612903217E-2</v>
      </c>
      <c r="BB73">
        <v>31.217119354838712</v>
      </c>
      <c r="BC73">
        <v>30.85879677419355</v>
      </c>
      <c r="BD73">
        <v>999.90000000000032</v>
      </c>
      <c r="BE73">
        <v>0</v>
      </c>
      <c r="BF73">
        <v>0</v>
      </c>
      <c r="BG73">
        <v>4999.1612903225796</v>
      </c>
      <c r="BH73">
        <v>1.9233380645161291</v>
      </c>
      <c r="BI73">
        <v>2163.871290322581</v>
      </c>
      <c r="BJ73">
        <v>2.5200925806451608</v>
      </c>
      <c r="BK73">
        <v>0.33234329032258059</v>
      </c>
      <c r="BL73">
        <v>-2.1920332258064521</v>
      </c>
      <c r="BM73">
        <v>-3.1903161290322579</v>
      </c>
      <c r="BN73">
        <v>-2.187392258064516</v>
      </c>
      <c r="BO73">
        <v>2.118868709677419</v>
      </c>
      <c r="BP73">
        <v>-0.1074735483870968</v>
      </c>
      <c r="BQ73">
        <v>0.21253738709677419</v>
      </c>
      <c r="BR73">
        <v>-99.900000000000034</v>
      </c>
      <c r="BS73">
        <v>-13.764674193548389</v>
      </c>
      <c r="BT73">
        <v>1775535427</v>
      </c>
      <c r="BU73" t="s">
        <v>490</v>
      </c>
      <c r="BV73">
        <v>1775535427</v>
      </c>
      <c r="BW73">
        <v>1775535421</v>
      </c>
      <c r="BX73">
        <v>58</v>
      </c>
      <c r="BY73">
        <v>-5.1999999999999998E-2</v>
      </c>
      <c r="BZ73">
        <v>-1.2E-2</v>
      </c>
      <c r="CA73">
        <v>6.8789999999999996</v>
      </c>
      <c r="CB73">
        <v>-1.6459999999999999</v>
      </c>
      <c r="CC73">
        <v>-2</v>
      </c>
      <c r="CD73">
        <v>2</v>
      </c>
      <c r="CE73">
        <v>0.5</v>
      </c>
      <c r="CF73">
        <v>0.03</v>
      </c>
      <c r="CG73">
        <v>-2.0975157377049181</v>
      </c>
      <c r="CH73">
        <v>-0.60779790586990678</v>
      </c>
      <c r="CI73">
        <v>0.41179656715763968</v>
      </c>
      <c r="CJ73">
        <v>-1</v>
      </c>
      <c r="CK73">
        <v>500.95434426229502</v>
      </c>
      <c r="CL73">
        <v>-4.1647995769436559</v>
      </c>
      <c r="CM73">
        <v>1.8964930783521401</v>
      </c>
      <c r="CN73">
        <v>-1</v>
      </c>
      <c r="CO73">
        <v>0</v>
      </c>
      <c r="CP73">
        <v>0</v>
      </c>
      <c r="CQ73" t="s">
        <v>319</v>
      </c>
      <c r="CR73">
        <v>3.1685099999999999</v>
      </c>
      <c r="CS73">
        <v>2.6694900000000001</v>
      </c>
      <c r="CT73">
        <v>-1.8387900000000001E-3</v>
      </c>
      <c r="CU73">
        <v>-5.5154599999999998E-4</v>
      </c>
      <c r="CV73">
        <v>4.1643799999999996E-3</v>
      </c>
      <c r="CW73">
        <v>1.54837E-2</v>
      </c>
      <c r="CX73">
        <v>21306.7</v>
      </c>
      <c r="CY73">
        <v>21718.7</v>
      </c>
      <c r="CZ73">
        <v>22806.6</v>
      </c>
      <c r="DA73">
        <v>22078.7</v>
      </c>
      <c r="DB73">
        <v>29314.7</v>
      </c>
      <c r="DC73">
        <v>25875</v>
      </c>
      <c r="DD73">
        <v>40137</v>
      </c>
      <c r="DE73">
        <v>36533.199999999997</v>
      </c>
      <c r="DF73">
        <v>1.9936</v>
      </c>
      <c r="DG73">
        <v>1.64818</v>
      </c>
      <c r="DH73">
        <v>-0.13974300000000001</v>
      </c>
      <c r="DI73">
        <v>0</v>
      </c>
      <c r="DJ73">
        <v>33.1175</v>
      </c>
      <c r="DK73">
        <v>999.9</v>
      </c>
      <c r="DL73">
        <v>58.4</v>
      </c>
      <c r="DM73">
        <v>41</v>
      </c>
      <c r="DN73">
        <v>45.523099999999999</v>
      </c>
      <c r="DO73">
        <v>31.023700000000002</v>
      </c>
      <c r="DP73">
        <v>9.4871800000000004</v>
      </c>
      <c r="DQ73">
        <v>1</v>
      </c>
      <c r="DR73">
        <v>0.94108700000000001</v>
      </c>
      <c r="DS73">
        <v>4.73583</v>
      </c>
      <c r="DT73">
        <v>20.279199999999999</v>
      </c>
      <c r="DU73">
        <v>5.20974</v>
      </c>
      <c r="DV73">
        <v>11.854200000000001</v>
      </c>
      <c r="DW73">
        <v>4.9667599999999998</v>
      </c>
      <c r="DX73">
        <v>3.2930000000000001</v>
      </c>
      <c r="DY73">
        <v>894.7</v>
      </c>
      <c r="DZ73">
        <v>6</v>
      </c>
      <c r="EA73">
        <v>9999</v>
      </c>
      <c r="EB73">
        <v>116.7</v>
      </c>
      <c r="EC73">
        <v>4.9716199999999997</v>
      </c>
      <c r="ED73">
        <v>1.87222</v>
      </c>
      <c r="EE73">
        <v>1.86951</v>
      </c>
      <c r="EF73">
        <v>1.87181</v>
      </c>
      <c r="EG73">
        <v>1.86964</v>
      </c>
      <c r="EH73">
        <v>1.8684400000000001</v>
      </c>
      <c r="EI73">
        <v>1.8702700000000001</v>
      </c>
      <c r="EJ73">
        <v>1.87195</v>
      </c>
      <c r="EK73">
        <v>0</v>
      </c>
      <c r="EL73">
        <v>0</v>
      </c>
      <c r="EM73">
        <v>0</v>
      </c>
      <c r="EN73">
        <v>0</v>
      </c>
      <c r="EO73" t="s">
        <v>320</v>
      </c>
      <c r="EP73" t="s">
        <v>321</v>
      </c>
      <c r="EQ73" t="s">
        <v>322</v>
      </c>
      <c r="ER73" t="s">
        <v>322</v>
      </c>
      <c r="ES73" t="s">
        <v>322</v>
      </c>
      <c r="ET73" t="s">
        <v>322</v>
      </c>
      <c r="EU73">
        <v>0</v>
      </c>
      <c r="EV73">
        <v>100</v>
      </c>
      <c r="EW73">
        <v>100</v>
      </c>
      <c r="EX73">
        <v>6.8789999999999996</v>
      </c>
      <c r="EY73">
        <v>-1.6459999999999999</v>
      </c>
      <c r="EZ73">
        <v>6.9312080952380946</v>
      </c>
      <c r="FA73">
        <v>0</v>
      </c>
      <c r="FB73">
        <v>0</v>
      </c>
      <c r="FC73">
        <v>0</v>
      </c>
      <c r="FD73">
        <v>-1.633839</v>
      </c>
      <c r="FE73">
        <v>0</v>
      </c>
      <c r="FF73">
        <v>0</v>
      </c>
      <c r="FG73">
        <v>0</v>
      </c>
      <c r="FH73">
        <v>-1</v>
      </c>
      <c r="FI73">
        <v>-1</v>
      </c>
      <c r="FJ73">
        <v>-1</v>
      </c>
      <c r="FK73">
        <v>-1</v>
      </c>
      <c r="FL73">
        <v>0.6</v>
      </c>
      <c r="FM73">
        <v>0.4</v>
      </c>
      <c r="FN73">
        <v>0.14160200000000001</v>
      </c>
      <c r="FO73">
        <v>4.99756</v>
      </c>
      <c r="FP73">
        <v>1.5979000000000001</v>
      </c>
      <c r="FQ73">
        <v>2.1276899999999999</v>
      </c>
      <c r="FR73">
        <v>1.5478499999999999</v>
      </c>
      <c r="FS73">
        <v>2.4536099999999998</v>
      </c>
      <c r="FT73">
        <v>47.3917</v>
      </c>
      <c r="FU73">
        <v>15.515499999999999</v>
      </c>
      <c r="FV73">
        <v>2</v>
      </c>
      <c r="FW73">
        <v>502.72300000000001</v>
      </c>
      <c r="FX73">
        <v>368.26900000000001</v>
      </c>
      <c r="FY73">
        <v>27.835699999999999</v>
      </c>
      <c r="FZ73">
        <v>38.4328</v>
      </c>
      <c r="GA73">
        <v>30.001300000000001</v>
      </c>
      <c r="GB73">
        <v>38.5486</v>
      </c>
      <c r="GC73">
        <v>38.583500000000001</v>
      </c>
      <c r="GD73">
        <v>-1</v>
      </c>
      <c r="GE73">
        <v>0</v>
      </c>
      <c r="GF73">
        <v>100</v>
      </c>
      <c r="GG73">
        <v>27.8324</v>
      </c>
      <c r="GH73">
        <v>432.1</v>
      </c>
      <c r="GI73">
        <v>39.168700000000001</v>
      </c>
      <c r="GJ73">
        <v>100.98099999999999</v>
      </c>
      <c r="GK73">
        <v>95.384600000000006</v>
      </c>
    </row>
    <row r="74" spans="1:193" x14ac:dyDescent="0.35">
      <c r="A74">
        <v>58</v>
      </c>
      <c r="B74">
        <v>1775535446.5</v>
      </c>
      <c r="C74">
        <v>3420.400000095367</v>
      </c>
      <c r="D74" t="s">
        <v>491</v>
      </c>
      <c r="E74" t="s">
        <v>492</v>
      </c>
      <c r="F74">
        <v>60</v>
      </c>
      <c r="G74">
        <v>1775535438.75</v>
      </c>
      <c r="H74">
        <f t="shared" si="0"/>
        <v>4.9590697928374753E-3</v>
      </c>
      <c r="I74">
        <f t="shared" si="1"/>
        <v>4.9590697928374752</v>
      </c>
      <c r="J74">
        <f t="shared" si="2"/>
        <v>-4.6058600210558041</v>
      </c>
      <c r="K74">
        <f t="shared" si="3"/>
        <v>-4.0088666666665773E-2</v>
      </c>
      <c r="L74">
        <f t="shared" si="4"/>
        <v>62.268936149562137</v>
      </c>
      <c r="M74">
        <f t="shared" si="5"/>
        <v>6.248899726408399</v>
      </c>
      <c r="N74">
        <f t="shared" si="6"/>
        <v>-4.0230341749168744E-3</v>
      </c>
      <c r="O74">
        <f t="shared" si="7"/>
        <v>0.11695863190150387</v>
      </c>
      <c r="P74">
        <f t="shared" si="8"/>
        <v>2.3961028216239706</v>
      </c>
      <c r="Q74">
        <f t="shared" si="9"/>
        <v>0.11387709370469622</v>
      </c>
      <c r="R74">
        <f t="shared" si="10"/>
        <v>7.1443285066445247E-2</v>
      </c>
      <c r="S74">
        <f t="shared" si="11"/>
        <v>0.37842150709999989</v>
      </c>
      <c r="T74">
        <f t="shared" si="12"/>
        <v>29.687060667179452</v>
      </c>
      <c r="U74">
        <f t="shared" si="13"/>
        <v>30.921646666666671</v>
      </c>
      <c r="V74">
        <f t="shared" si="14"/>
        <v>4.4912628257525409</v>
      </c>
      <c r="W74">
        <f t="shared" si="15"/>
        <v>4.8952478603045213</v>
      </c>
      <c r="X74">
        <f t="shared" si="16"/>
        <v>0.22378106691016378</v>
      </c>
      <c r="Y74">
        <f t="shared" si="17"/>
        <v>4.5713939987554157</v>
      </c>
      <c r="Z74">
        <f t="shared" si="18"/>
        <v>4.2674817588423775</v>
      </c>
      <c r="AA74">
        <f t="shared" si="19"/>
        <v>-218.69497786413265</v>
      </c>
      <c r="AB74">
        <f t="shared" si="20"/>
        <v>40.088024518465453</v>
      </c>
      <c r="AC74">
        <f t="shared" si="21"/>
        <v>3.7598492677658943</v>
      </c>
      <c r="AD74">
        <f t="shared" si="22"/>
        <v>-174.46868257080129</v>
      </c>
      <c r="AE74">
        <v>9</v>
      </c>
      <c r="AF74">
        <v>2</v>
      </c>
      <c r="AG74">
        <f t="shared" si="23"/>
        <v>1</v>
      </c>
      <c r="AH74">
        <f t="shared" si="24"/>
        <v>0</v>
      </c>
      <c r="AI74">
        <f t="shared" si="25"/>
        <v>25277.059633074983</v>
      </c>
      <c r="AJ74">
        <f t="shared" si="26"/>
        <v>1.9802276666666661</v>
      </c>
      <c r="AK74">
        <f t="shared" si="27"/>
        <v>1.584182133333333</v>
      </c>
      <c r="AL74">
        <f t="shared" si="28"/>
        <v>0.8</v>
      </c>
      <c r="AM74">
        <f t="shared" si="29"/>
        <v>0.19109999999999999</v>
      </c>
      <c r="AN74">
        <v>3</v>
      </c>
      <c r="AO74">
        <v>0.5</v>
      </c>
      <c r="AP74" t="s">
        <v>317</v>
      </c>
      <c r="AQ74">
        <v>2</v>
      </c>
      <c r="AR74">
        <v>1775535438.75</v>
      </c>
      <c r="AS74">
        <v>-4.0088666666665773E-2</v>
      </c>
      <c r="AT74">
        <v>-2.797639333333334</v>
      </c>
      <c r="AU74">
        <v>2.22993</v>
      </c>
      <c r="AV74">
        <v>-0.73234049999999995</v>
      </c>
      <c r="AW74">
        <v>-6.9150886666666658</v>
      </c>
      <c r="AX74">
        <v>0.92665950000000008</v>
      </c>
      <c r="AY74">
        <v>501.10326666666668</v>
      </c>
      <c r="AZ74">
        <v>100.30419999999999</v>
      </c>
      <c r="BA74">
        <v>4.9204326666666659E-2</v>
      </c>
      <c r="BB74">
        <v>31.231976666666661</v>
      </c>
      <c r="BC74">
        <v>30.921646666666671</v>
      </c>
      <c r="BD74">
        <v>999.9000000000002</v>
      </c>
      <c r="BE74">
        <v>0</v>
      </c>
      <c r="BF74">
        <v>0</v>
      </c>
      <c r="BG74">
        <v>5005.583333333333</v>
      </c>
      <c r="BH74">
        <v>1.9802276666666661</v>
      </c>
      <c r="BI74">
        <v>2235.967666666666</v>
      </c>
      <c r="BJ74">
        <v>2.7613513333333328</v>
      </c>
      <c r="BK74">
        <v>-3.6294823333333337E-2</v>
      </c>
      <c r="BL74">
        <v>-2.8038906666666672</v>
      </c>
      <c r="BM74">
        <v>-2.949024666666666</v>
      </c>
      <c r="BN74">
        <v>-2.797639333333334</v>
      </c>
      <c r="BO74">
        <v>2.22993</v>
      </c>
      <c r="BP74">
        <v>-7.2128093733333329E-2</v>
      </c>
      <c r="BQ74">
        <v>0.2236715</v>
      </c>
      <c r="BR74">
        <v>-96.709346666666704</v>
      </c>
      <c r="BS74">
        <v>-13.137926666666671</v>
      </c>
      <c r="BT74">
        <v>1775535481.0999999</v>
      </c>
      <c r="BU74" t="s">
        <v>493</v>
      </c>
      <c r="BV74">
        <v>1775535466</v>
      </c>
      <c r="BW74">
        <v>1775535481.0999999</v>
      </c>
      <c r="BX74">
        <v>59</v>
      </c>
      <c r="BY74">
        <v>-3.0000000000000001E-3</v>
      </c>
      <c r="BZ74">
        <v>-1.2999999999999999E-2</v>
      </c>
      <c r="CA74">
        <v>6.875</v>
      </c>
      <c r="CB74">
        <v>-1.659</v>
      </c>
      <c r="CC74">
        <v>-2</v>
      </c>
      <c r="CD74">
        <v>2</v>
      </c>
      <c r="CE74">
        <v>0.3</v>
      </c>
      <c r="CF74">
        <v>0.03</v>
      </c>
      <c r="CG74">
        <v>-2.226609933333334</v>
      </c>
      <c r="CH74">
        <v>-4.5702813626007197</v>
      </c>
      <c r="CI74">
        <v>0.72822006695189945</v>
      </c>
      <c r="CJ74">
        <v>-1</v>
      </c>
      <c r="CK74">
        <v>500.9862</v>
      </c>
      <c r="CL74">
        <v>0.97190997499369236</v>
      </c>
      <c r="CM74">
        <v>1.9246021649508089</v>
      </c>
      <c r="CN74">
        <v>-1</v>
      </c>
      <c r="CO74">
        <v>0</v>
      </c>
      <c r="CP74">
        <v>0</v>
      </c>
      <c r="CQ74" t="s">
        <v>319</v>
      </c>
      <c r="CR74">
        <v>3.1686800000000002</v>
      </c>
      <c r="CS74">
        <v>2.6701600000000001</v>
      </c>
      <c r="CT74">
        <v>-2.0417899999999999E-3</v>
      </c>
      <c r="CU74">
        <v>-6.5771199999999997E-4</v>
      </c>
      <c r="CV74">
        <v>6.4300900000000003E-3</v>
      </c>
      <c r="CW74">
        <v>1.6216299999999999E-2</v>
      </c>
      <c r="CX74">
        <v>21306.3</v>
      </c>
      <c r="CY74">
        <v>21717.200000000001</v>
      </c>
      <c r="CZ74">
        <v>22802</v>
      </c>
      <c r="DA74">
        <v>22075.3</v>
      </c>
      <c r="DB74">
        <v>29242.3</v>
      </c>
      <c r="DC74">
        <v>25851</v>
      </c>
      <c r="DD74">
        <v>40129.800000000003</v>
      </c>
      <c r="DE74">
        <v>36526.9</v>
      </c>
      <c r="DF74">
        <v>1.99238</v>
      </c>
      <c r="DG74">
        <v>1.6450199999999999</v>
      </c>
      <c r="DH74">
        <v>-0.136822</v>
      </c>
      <c r="DI74">
        <v>0</v>
      </c>
      <c r="DJ74">
        <v>33.163600000000002</v>
      </c>
      <c r="DK74">
        <v>999.9</v>
      </c>
      <c r="DL74">
        <v>58</v>
      </c>
      <c r="DM74">
        <v>41.3</v>
      </c>
      <c r="DN74">
        <v>45.941400000000002</v>
      </c>
      <c r="DO74">
        <v>30.2437</v>
      </c>
      <c r="DP74">
        <v>9.3549699999999998</v>
      </c>
      <c r="DQ74">
        <v>1</v>
      </c>
      <c r="DR74">
        <v>0.94825599999999999</v>
      </c>
      <c r="DS74">
        <v>4.4262800000000002</v>
      </c>
      <c r="DT74">
        <v>20.288499999999999</v>
      </c>
      <c r="DU74">
        <v>5.2096200000000001</v>
      </c>
      <c r="DV74">
        <v>11.854200000000001</v>
      </c>
      <c r="DW74">
        <v>4.9671200000000004</v>
      </c>
      <c r="DX74">
        <v>3.29298</v>
      </c>
      <c r="DY74">
        <v>894.7</v>
      </c>
      <c r="DZ74">
        <v>6</v>
      </c>
      <c r="EA74">
        <v>9999</v>
      </c>
      <c r="EB74">
        <v>116.7</v>
      </c>
      <c r="EC74">
        <v>4.9715999999999996</v>
      </c>
      <c r="ED74">
        <v>1.8722300000000001</v>
      </c>
      <c r="EE74">
        <v>1.86951</v>
      </c>
      <c r="EF74">
        <v>1.8717999999999999</v>
      </c>
      <c r="EG74">
        <v>1.8695999999999999</v>
      </c>
      <c r="EH74">
        <v>1.8684400000000001</v>
      </c>
      <c r="EI74">
        <v>1.8702700000000001</v>
      </c>
      <c r="EJ74">
        <v>1.87195</v>
      </c>
      <c r="EK74">
        <v>0</v>
      </c>
      <c r="EL74">
        <v>0</v>
      </c>
      <c r="EM74">
        <v>0</v>
      </c>
      <c r="EN74">
        <v>0</v>
      </c>
      <c r="EO74" t="s">
        <v>320</v>
      </c>
      <c r="EP74" t="s">
        <v>321</v>
      </c>
      <c r="EQ74" t="s">
        <v>322</v>
      </c>
      <c r="ER74" t="s">
        <v>322</v>
      </c>
      <c r="ES74" t="s">
        <v>322</v>
      </c>
      <c r="ET74" t="s">
        <v>322</v>
      </c>
      <c r="EU74">
        <v>0</v>
      </c>
      <c r="EV74">
        <v>100</v>
      </c>
      <c r="EW74">
        <v>100</v>
      </c>
      <c r="EX74">
        <v>6.875</v>
      </c>
      <c r="EY74">
        <v>-1.659</v>
      </c>
      <c r="EZ74">
        <v>6.8788015714285722</v>
      </c>
      <c r="FA74">
        <v>0</v>
      </c>
      <c r="FB74">
        <v>0</v>
      </c>
      <c r="FC74">
        <v>0</v>
      </c>
      <c r="FD74">
        <v>-1.645753333333333</v>
      </c>
      <c r="FE74">
        <v>0</v>
      </c>
      <c r="FF74">
        <v>0</v>
      </c>
      <c r="FG74">
        <v>0</v>
      </c>
      <c r="FH74">
        <v>-1</v>
      </c>
      <c r="FI74">
        <v>-1</v>
      </c>
      <c r="FJ74">
        <v>-1</v>
      </c>
      <c r="FK74">
        <v>-1</v>
      </c>
      <c r="FL74">
        <v>0.3</v>
      </c>
      <c r="FM74">
        <v>0.4</v>
      </c>
      <c r="FN74">
        <v>0.142822</v>
      </c>
      <c r="FO74">
        <v>4.99756</v>
      </c>
      <c r="FP74">
        <v>1.5979000000000001</v>
      </c>
      <c r="FQ74">
        <v>2.1289099999999999</v>
      </c>
      <c r="FR74">
        <v>1.5478499999999999</v>
      </c>
      <c r="FS74">
        <v>2.3791500000000001</v>
      </c>
      <c r="FT74">
        <v>47.632100000000001</v>
      </c>
      <c r="FU74">
        <v>15.5067</v>
      </c>
      <c r="FV74">
        <v>2</v>
      </c>
      <c r="FW74">
        <v>502.666</v>
      </c>
      <c r="FX74">
        <v>366.97399999999999</v>
      </c>
      <c r="FY74">
        <v>28.227900000000002</v>
      </c>
      <c r="FZ74">
        <v>38.558799999999998</v>
      </c>
      <c r="GA74">
        <v>30.001999999999999</v>
      </c>
      <c r="GB74">
        <v>38.650799999999997</v>
      </c>
      <c r="GC74">
        <v>38.676400000000001</v>
      </c>
      <c r="GD74">
        <v>-1</v>
      </c>
      <c r="GE74">
        <v>0</v>
      </c>
      <c r="GF74">
        <v>100</v>
      </c>
      <c r="GG74">
        <v>28.191400000000002</v>
      </c>
      <c r="GH74">
        <v>432.1</v>
      </c>
      <c r="GI74">
        <v>39.168700000000001</v>
      </c>
      <c r="GJ74">
        <v>100.962</v>
      </c>
      <c r="GK74">
        <v>95.368799999999993</v>
      </c>
    </row>
    <row r="75" spans="1:193" x14ac:dyDescent="0.35">
      <c r="A75">
        <v>59</v>
      </c>
      <c r="B75">
        <v>1775535506.5999999</v>
      </c>
      <c r="C75">
        <v>3480.5</v>
      </c>
      <c r="D75" t="s">
        <v>494</v>
      </c>
      <c r="E75" t="s">
        <v>495</v>
      </c>
      <c r="F75">
        <v>60</v>
      </c>
      <c r="G75">
        <v>1775535498.849999</v>
      </c>
      <c r="H75">
        <f t="shared" si="0"/>
        <v>5.9121147599254693E-3</v>
      </c>
      <c r="I75">
        <f t="shared" si="1"/>
        <v>5.9121147599254691</v>
      </c>
      <c r="J75">
        <f t="shared" si="2"/>
        <v>-4.4526055463299112</v>
      </c>
      <c r="K75">
        <f t="shared" si="3"/>
        <v>1.2672613333333349</v>
      </c>
      <c r="L75">
        <f t="shared" si="4"/>
        <v>51.326833988996782</v>
      </c>
      <c r="M75">
        <f t="shared" si="5"/>
        <v>5.150550401379034</v>
      </c>
      <c r="N75">
        <f t="shared" si="6"/>
        <v>0.12716727025188007</v>
      </c>
      <c r="O75">
        <f t="shared" si="7"/>
        <v>0.14118404287226016</v>
      </c>
      <c r="P75">
        <f t="shared" si="8"/>
        <v>2.3972373434405059</v>
      </c>
      <c r="Q75">
        <f t="shared" si="9"/>
        <v>0.13672202447677526</v>
      </c>
      <c r="R75">
        <f t="shared" si="10"/>
        <v>8.5840412827090345E-2</v>
      </c>
      <c r="S75">
        <f t="shared" si="11"/>
        <v>0.37162165949999998</v>
      </c>
      <c r="T75">
        <f t="shared" si="12"/>
        <v>29.371012813098218</v>
      </c>
      <c r="U75">
        <f t="shared" si="13"/>
        <v>30.852156666666659</v>
      </c>
      <c r="V75">
        <f t="shared" si="14"/>
        <v>4.4734882223650194</v>
      </c>
      <c r="W75">
        <f t="shared" si="15"/>
        <v>5.1698627720883312</v>
      </c>
      <c r="X75">
        <f t="shared" si="16"/>
        <v>0.23607466457145543</v>
      </c>
      <c r="Y75">
        <f t="shared" si="17"/>
        <v>4.5663622997113844</v>
      </c>
      <c r="Z75">
        <f t="shared" si="18"/>
        <v>4.2374135577935643</v>
      </c>
      <c r="AA75">
        <f t="shared" si="19"/>
        <v>-260.72426091271319</v>
      </c>
      <c r="AB75">
        <f t="shared" si="20"/>
        <v>46.587523011016565</v>
      </c>
      <c r="AC75">
        <f t="shared" si="21"/>
        <v>4.3654550537363663</v>
      </c>
      <c r="AD75">
        <f t="shared" si="22"/>
        <v>-209.39966118846024</v>
      </c>
      <c r="AE75">
        <v>9</v>
      </c>
      <c r="AF75">
        <v>2</v>
      </c>
      <c r="AG75">
        <f t="shared" si="23"/>
        <v>1</v>
      </c>
      <c r="AH75">
        <f t="shared" si="24"/>
        <v>0</v>
      </c>
      <c r="AI75">
        <f t="shared" si="25"/>
        <v>25295.882616612416</v>
      </c>
      <c r="AJ75">
        <f t="shared" si="26"/>
        <v>1.944645</v>
      </c>
      <c r="AK75">
        <f t="shared" si="27"/>
        <v>1.5557160000000001</v>
      </c>
      <c r="AL75">
        <f t="shared" si="28"/>
        <v>0.8</v>
      </c>
      <c r="AM75">
        <f t="shared" si="29"/>
        <v>0.19109999999999999</v>
      </c>
      <c r="AN75">
        <v>3</v>
      </c>
      <c r="AO75">
        <v>0.5</v>
      </c>
      <c r="AP75" t="s">
        <v>317</v>
      </c>
      <c r="AQ75">
        <v>2</v>
      </c>
      <c r="AR75">
        <v>1775535498.849999</v>
      </c>
      <c r="AS75">
        <v>1.2672613333333349</v>
      </c>
      <c r="AT75">
        <v>-1.3998065</v>
      </c>
      <c r="AU75">
        <v>2.3525573333333338</v>
      </c>
      <c r="AV75">
        <v>-1.1863661333333331</v>
      </c>
      <c r="AW75">
        <v>-5.6377386666666656</v>
      </c>
      <c r="AX75">
        <v>0.48463386666666669</v>
      </c>
      <c r="AY75">
        <v>500.00003333333342</v>
      </c>
      <c r="AZ75">
        <v>100.29956666666671</v>
      </c>
      <c r="BA75">
        <v>4.8535896666666661E-2</v>
      </c>
      <c r="BB75">
        <v>31.212630000000001</v>
      </c>
      <c r="BC75">
        <v>30.852156666666659</v>
      </c>
      <c r="BD75">
        <v>999.9000000000002</v>
      </c>
      <c r="BE75">
        <v>0</v>
      </c>
      <c r="BF75">
        <v>0</v>
      </c>
      <c r="BG75">
        <v>5008.7333333333336</v>
      </c>
      <c r="BH75">
        <v>1.944645</v>
      </c>
      <c r="BI75">
        <v>2220.349666666667</v>
      </c>
      <c r="BJ75">
        <v>2.6375639999999998</v>
      </c>
      <c r="BK75">
        <v>1.236305</v>
      </c>
      <c r="BL75">
        <v>-1.4031051333333331</v>
      </c>
      <c r="BM75">
        <v>-3.526602</v>
      </c>
      <c r="BN75">
        <v>-1.3998065</v>
      </c>
      <c r="BO75">
        <v>2.3525573333333338</v>
      </c>
      <c r="BP75">
        <v>-0.1177564</v>
      </c>
      <c r="BQ75">
        <v>0.23596063333333331</v>
      </c>
      <c r="BR75">
        <v>-99.900000000000034</v>
      </c>
      <c r="BS75">
        <v>-12.477693333333329</v>
      </c>
      <c r="BT75">
        <v>1775535543.5999999</v>
      </c>
      <c r="BU75" t="s">
        <v>496</v>
      </c>
      <c r="BV75">
        <v>1775535531.0999999</v>
      </c>
      <c r="BW75">
        <v>1775535543.5999999</v>
      </c>
      <c r="BX75">
        <v>60</v>
      </c>
      <c r="BY75">
        <v>2.9000000000000001E-2</v>
      </c>
      <c r="BZ75">
        <v>-1.2999999999999999E-2</v>
      </c>
      <c r="CA75">
        <v>6.9050000000000002</v>
      </c>
      <c r="CB75">
        <v>-1.671</v>
      </c>
      <c r="CC75">
        <v>-3</v>
      </c>
      <c r="CD75">
        <v>2</v>
      </c>
      <c r="CE75">
        <v>0.26</v>
      </c>
      <c r="CF75">
        <v>0.02</v>
      </c>
      <c r="CG75">
        <v>-1.3698000819672129</v>
      </c>
      <c r="CH75">
        <v>0.51603737882280998</v>
      </c>
      <c r="CI75">
        <v>0.35897984621060097</v>
      </c>
      <c r="CJ75">
        <v>-1</v>
      </c>
      <c r="CK75">
        <v>500.9748524590164</v>
      </c>
      <c r="CL75">
        <v>-4.1787766711686043</v>
      </c>
      <c r="CM75">
        <v>1.915957055168007</v>
      </c>
      <c r="CN75">
        <v>-1</v>
      </c>
      <c r="CO75">
        <v>0</v>
      </c>
      <c r="CP75">
        <v>0</v>
      </c>
      <c r="CQ75" t="s">
        <v>319</v>
      </c>
      <c r="CR75">
        <v>3.16873</v>
      </c>
      <c r="CS75">
        <v>2.6699000000000002</v>
      </c>
      <c r="CT75">
        <v>-1.5462799999999999E-3</v>
      </c>
      <c r="CU75">
        <v>-3.7011100000000001E-4</v>
      </c>
      <c r="CV75">
        <v>3.59041E-3</v>
      </c>
      <c r="CW75">
        <v>1.70002E-2</v>
      </c>
      <c r="CX75">
        <v>21290.2</v>
      </c>
      <c r="CY75">
        <v>21706.3</v>
      </c>
      <c r="CZ75">
        <v>22796.5</v>
      </c>
      <c r="DA75">
        <v>22070.799999999999</v>
      </c>
      <c r="DB75">
        <v>29319.599999999999</v>
      </c>
      <c r="DC75">
        <v>25824.5</v>
      </c>
      <c r="DD75">
        <v>40121</v>
      </c>
      <c r="DE75">
        <v>36519</v>
      </c>
      <c r="DF75">
        <v>1.9910000000000001</v>
      </c>
      <c r="DG75">
        <v>1.64272</v>
      </c>
      <c r="DH75">
        <v>-0.14677000000000001</v>
      </c>
      <c r="DI75">
        <v>0</v>
      </c>
      <c r="DJ75">
        <v>33.221800000000002</v>
      </c>
      <c r="DK75">
        <v>999.9</v>
      </c>
      <c r="DL75">
        <v>57.7</v>
      </c>
      <c r="DM75">
        <v>41.5</v>
      </c>
      <c r="DN75">
        <v>46.186799999999998</v>
      </c>
      <c r="DO75">
        <v>30.7346</v>
      </c>
      <c r="DP75">
        <v>9.4310899999999993</v>
      </c>
      <c r="DQ75">
        <v>1</v>
      </c>
      <c r="DR75">
        <v>0.96293099999999998</v>
      </c>
      <c r="DS75">
        <v>4.7840800000000003</v>
      </c>
      <c r="DT75">
        <v>20.276499999999999</v>
      </c>
      <c r="DU75">
        <v>5.2099799999999998</v>
      </c>
      <c r="DV75">
        <v>11.854200000000001</v>
      </c>
      <c r="DW75">
        <v>4.9672799999999997</v>
      </c>
      <c r="DX75">
        <v>3.2930000000000001</v>
      </c>
      <c r="DY75">
        <v>894.7</v>
      </c>
      <c r="DZ75">
        <v>6</v>
      </c>
      <c r="EA75">
        <v>9999</v>
      </c>
      <c r="EB75">
        <v>116.7</v>
      </c>
      <c r="EC75">
        <v>4.9715800000000003</v>
      </c>
      <c r="ED75">
        <v>1.8722099999999999</v>
      </c>
      <c r="EE75">
        <v>1.86951</v>
      </c>
      <c r="EF75">
        <v>1.87181</v>
      </c>
      <c r="EG75">
        <v>1.8696200000000001</v>
      </c>
      <c r="EH75">
        <v>1.8684400000000001</v>
      </c>
      <c r="EI75">
        <v>1.8702700000000001</v>
      </c>
      <c r="EJ75">
        <v>1.87195</v>
      </c>
      <c r="EK75">
        <v>0</v>
      </c>
      <c r="EL75">
        <v>0</v>
      </c>
      <c r="EM75">
        <v>0</v>
      </c>
      <c r="EN75">
        <v>0</v>
      </c>
      <c r="EO75" t="s">
        <v>320</v>
      </c>
      <c r="EP75" t="s">
        <v>321</v>
      </c>
      <c r="EQ75" t="s">
        <v>322</v>
      </c>
      <c r="ER75" t="s">
        <v>322</v>
      </c>
      <c r="ES75" t="s">
        <v>322</v>
      </c>
      <c r="ET75" t="s">
        <v>322</v>
      </c>
      <c r="EU75">
        <v>0</v>
      </c>
      <c r="EV75">
        <v>100</v>
      </c>
      <c r="EW75">
        <v>100</v>
      </c>
      <c r="EX75">
        <v>6.9050000000000002</v>
      </c>
      <c r="EY75">
        <v>-1.671</v>
      </c>
      <c r="EZ75">
        <v>6.8754952380952368</v>
      </c>
      <c r="FA75">
        <v>0</v>
      </c>
      <c r="FB75">
        <v>0</v>
      </c>
      <c r="FC75">
        <v>0</v>
      </c>
      <c r="FD75">
        <v>-1.658679523809524</v>
      </c>
      <c r="FE75">
        <v>0</v>
      </c>
      <c r="FF75">
        <v>0</v>
      </c>
      <c r="FG75">
        <v>0</v>
      </c>
      <c r="FH75">
        <v>-1</v>
      </c>
      <c r="FI75">
        <v>-1</v>
      </c>
      <c r="FJ75">
        <v>-1</v>
      </c>
      <c r="FK75">
        <v>-1</v>
      </c>
      <c r="FL75">
        <v>0.7</v>
      </c>
      <c r="FM75">
        <v>0.4</v>
      </c>
      <c r="FN75">
        <v>0.14160200000000001</v>
      </c>
      <c r="FO75">
        <v>4.99756</v>
      </c>
      <c r="FP75">
        <v>1.5979000000000001</v>
      </c>
      <c r="FQ75">
        <v>2.1276899999999999</v>
      </c>
      <c r="FR75">
        <v>1.5478499999999999</v>
      </c>
      <c r="FS75">
        <v>2.50366</v>
      </c>
      <c r="FT75">
        <v>47.874000000000002</v>
      </c>
      <c r="FU75">
        <v>15.497999999999999</v>
      </c>
      <c r="FV75">
        <v>2</v>
      </c>
      <c r="FW75">
        <v>502.577</v>
      </c>
      <c r="FX75">
        <v>366.24299999999999</v>
      </c>
      <c r="FY75">
        <v>27.773099999999999</v>
      </c>
      <c r="FZ75">
        <v>38.683700000000002</v>
      </c>
      <c r="GA75">
        <v>30.000800000000002</v>
      </c>
      <c r="GB75">
        <v>38.763300000000001</v>
      </c>
      <c r="GC75">
        <v>38.786099999999998</v>
      </c>
      <c r="GD75">
        <v>-1</v>
      </c>
      <c r="GE75">
        <v>0</v>
      </c>
      <c r="GF75">
        <v>100</v>
      </c>
      <c r="GG75">
        <v>27.775700000000001</v>
      </c>
      <c r="GH75">
        <v>432.1</v>
      </c>
      <c r="GI75">
        <v>39.168700000000001</v>
      </c>
      <c r="GJ75">
        <v>100.93899999999999</v>
      </c>
      <c r="GK75">
        <v>95.348600000000005</v>
      </c>
    </row>
    <row r="76" spans="1:193" x14ac:dyDescent="0.35">
      <c r="A76">
        <v>60</v>
      </c>
      <c r="B76">
        <v>1775535566.5999999</v>
      </c>
      <c r="C76">
        <v>3540.5</v>
      </c>
      <c r="D76" t="s">
        <v>497</v>
      </c>
      <c r="E76" t="s">
        <v>498</v>
      </c>
      <c r="F76">
        <v>60</v>
      </c>
      <c r="G76">
        <v>1775535558.599999</v>
      </c>
      <c r="H76">
        <f t="shared" si="0"/>
        <v>5.8582582161648732E-3</v>
      </c>
      <c r="I76">
        <f t="shared" si="1"/>
        <v>5.8582582161648729</v>
      </c>
      <c r="J76">
        <f t="shared" si="2"/>
        <v>-3.7512355412975587</v>
      </c>
      <c r="K76">
        <f t="shared" si="3"/>
        <v>-0.29498838709677327</v>
      </c>
      <c r="L76">
        <f t="shared" si="4"/>
        <v>42.383162683329402</v>
      </c>
      <c r="M76">
        <f t="shared" si="5"/>
        <v>4.2529455120169599</v>
      </c>
      <c r="N76">
        <f t="shared" si="6"/>
        <v>-2.9600658789293327E-2</v>
      </c>
      <c r="O76">
        <f t="shared" si="7"/>
        <v>0.13978499397770322</v>
      </c>
      <c r="P76">
        <f t="shared" si="8"/>
        <v>2.3916271446174973</v>
      </c>
      <c r="Q76">
        <f t="shared" si="9"/>
        <v>0.13539957698869939</v>
      </c>
      <c r="R76">
        <f t="shared" si="10"/>
        <v>8.5007287191839184E-2</v>
      </c>
      <c r="S76">
        <f t="shared" si="11"/>
        <v>0.37310542770967725</v>
      </c>
      <c r="T76">
        <f t="shared" si="12"/>
        <v>29.390210174413806</v>
      </c>
      <c r="U76">
        <f t="shared" si="13"/>
        <v>30.899038709677409</v>
      </c>
      <c r="V76">
        <f t="shared" si="14"/>
        <v>4.485473276391887</v>
      </c>
      <c r="W76">
        <f t="shared" si="15"/>
        <v>5.3909252619990147</v>
      </c>
      <c r="X76">
        <f t="shared" si="16"/>
        <v>0.24625733181750808</v>
      </c>
      <c r="Y76">
        <f t="shared" si="17"/>
        <v>4.5679975115476399</v>
      </c>
      <c r="Z76">
        <f t="shared" si="18"/>
        <v>4.2392159445743793</v>
      </c>
      <c r="AA76">
        <f t="shared" si="19"/>
        <v>-258.34918733287088</v>
      </c>
      <c r="AB76">
        <f t="shared" si="20"/>
        <v>41.244579535705959</v>
      </c>
      <c r="AC76">
        <f t="shared" si="21"/>
        <v>3.8748797839545768</v>
      </c>
      <c r="AD76">
        <f t="shared" si="22"/>
        <v>-212.85662258550067</v>
      </c>
      <c r="AE76">
        <v>9</v>
      </c>
      <c r="AF76">
        <v>2</v>
      </c>
      <c r="AG76">
        <f t="shared" si="23"/>
        <v>1</v>
      </c>
      <c r="AH76">
        <f t="shared" si="24"/>
        <v>0</v>
      </c>
      <c r="AI76">
        <f t="shared" si="25"/>
        <v>25211.257259684928</v>
      </c>
      <c r="AJ76">
        <f t="shared" si="26"/>
        <v>1.9524093548387089</v>
      </c>
      <c r="AK76">
        <f t="shared" si="27"/>
        <v>1.5619274838709671</v>
      </c>
      <c r="AL76">
        <f t="shared" si="28"/>
        <v>0.8</v>
      </c>
      <c r="AM76">
        <f t="shared" si="29"/>
        <v>0.19109999999999999</v>
      </c>
      <c r="AN76">
        <v>3</v>
      </c>
      <c r="AO76">
        <v>0.5</v>
      </c>
      <c r="AP76" t="s">
        <v>317</v>
      </c>
      <c r="AQ76">
        <v>2</v>
      </c>
      <c r="AR76">
        <v>1775535558.599999</v>
      </c>
      <c r="AS76">
        <v>-0.29498838709677327</v>
      </c>
      <c r="AT76">
        <v>-2.546329967741936</v>
      </c>
      <c r="AU76">
        <v>2.4541025806451611</v>
      </c>
      <c r="AV76">
        <v>-1.0515464193548389</v>
      </c>
      <c r="AW76">
        <v>-7.192988387096773</v>
      </c>
      <c r="AX76">
        <v>0.6304535806451611</v>
      </c>
      <c r="AY76">
        <v>500.09696774193571</v>
      </c>
      <c r="AZ76">
        <v>100.29661290322581</v>
      </c>
      <c r="BA76">
        <v>4.8553496774193537E-2</v>
      </c>
      <c r="BB76">
        <v>31.218919354838711</v>
      </c>
      <c r="BC76">
        <v>30.899038709677409</v>
      </c>
      <c r="BD76">
        <v>999.90000000000032</v>
      </c>
      <c r="BE76">
        <v>0</v>
      </c>
      <c r="BF76">
        <v>0</v>
      </c>
      <c r="BG76">
        <v>4994.4516129032254</v>
      </c>
      <c r="BH76">
        <v>1.9524093548387089</v>
      </c>
      <c r="BI76">
        <v>2166.3812903225798</v>
      </c>
      <c r="BJ76">
        <v>2.2578685483870968</v>
      </c>
      <c r="BK76">
        <v>-0.28816365258064508</v>
      </c>
      <c r="BL76">
        <v>-2.5525869999999999</v>
      </c>
      <c r="BM76">
        <v>-3.4949012903225798</v>
      </c>
      <c r="BN76">
        <v>-2.546329967741936</v>
      </c>
      <c r="BO76">
        <v>2.4541025806451611</v>
      </c>
      <c r="BP76">
        <v>-0.1043885483870968</v>
      </c>
      <c r="BQ76">
        <v>0.24613816129032251</v>
      </c>
      <c r="BR76">
        <v>-99.900000000000034</v>
      </c>
      <c r="BS76">
        <v>-11.953754838709679</v>
      </c>
      <c r="BT76">
        <v>1775535602.0999999</v>
      </c>
      <c r="BU76" t="s">
        <v>499</v>
      </c>
      <c r="BV76">
        <v>1775535600.5999999</v>
      </c>
      <c r="BW76">
        <v>1775535602.0999999</v>
      </c>
      <c r="BX76">
        <v>61</v>
      </c>
      <c r="BY76">
        <v>-6.0000000000000001E-3</v>
      </c>
      <c r="BZ76">
        <v>-1.0999999999999999E-2</v>
      </c>
      <c r="CA76">
        <v>6.8979999999999997</v>
      </c>
      <c r="CB76">
        <v>-1.6819999999999999</v>
      </c>
      <c r="CC76">
        <v>-1</v>
      </c>
      <c r="CD76">
        <v>3</v>
      </c>
      <c r="CE76">
        <v>0.69</v>
      </c>
      <c r="CF76">
        <v>0.03</v>
      </c>
      <c r="CG76">
        <v>-2.8535994833333329</v>
      </c>
      <c r="CH76">
        <v>3.3448211136426709</v>
      </c>
      <c r="CI76">
        <v>0.80158349265682638</v>
      </c>
      <c r="CJ76">
        <v>-1</v>
      </c>
      <c r="CK76">
        <v>500.99106666666671</v>
      </c>
      <c r="CL76">
        <v>-2.7682889691580401</v>
      </c>
      <c r="CM76">
        <v>1.934885714684174</v>
      </c>
      <c r="CN76">
        <v>-1</v>
      </c>
      <c r="CO76">
        <v>0</v>
      </c>
      <c r="CP76">
        <v>0</v>
      </c>
      <c r="CQ76" t="s">
        <v>319</v>
      </c>
      <c r="CR76">
        <v>3.1686100000000001</v>
      </c>
      <c r="CS76">
        <v>2.67021</v>
      </c>
      <c r="CT76">
        <v>-1.86075E-3</v>
      </c>
      <c r="CU76">
        <v>-9.3879200000000001E-5</v>
      </c>
      <c r="CV76">
        <v>4.7061799999999999E-3</v>
      </c>
      <c r="CW76">
        <v>1.7663100000000001E-2</v>
      </c>
      <c r="CX76">
        <v>21292</v>
      </c>
      <c r="CY76">
        <v>21696.2</v>
      </c>
      <c r="CZ76">
        <v>22791.7</v>
      </c>
      <c r="DA76">
        <v>22067</v>
      </c>
      <c r="DB76">
        <v>29280.9</v>
      </c>
      <c r="DC76">
        <v>25802.3</v>
      </c>
      <c r="DD76">
        <v>40113.4</v>
      </c>
      <c r="DE76">
        <v>36512.6</v>
      </c>
      <c r="DF76">
        <v>1.98986</v>
      </c>
      <c r="DG76">
        <v>1.6400600000000001</v>
      </c>
      <c r="DH76">
        <v>-0.144869</v>
      </c>
      <c r="DI76">
        <v>0</v>
      </c>
      <c r="DJ76">
        <v>33.2455</v>
      </c>
      <c r="DK76">
        <v>999.9</v>
      </c>
      <c r="DL76">
        <v>57.3</v>
      </c>
      <c r="DM76">
        <v>41.7</v>
      </c>
      <c r="DN76">
        <v>46.357799999999997</v>
      </c>
      <c r="DO76">
        <v>30.8246</v>
      </c>
      <c r="DP76">
        <v>9.8237199999999998</v>
      </c>
      <c r="DQ76">
        <v>1</v>
      </c>
      <c r="DR76">
        <v>0.97178900000000001</v>
      </c>
      <c r="DS76">
        <v>4.6599399999999997</v>
      </c>
      <c r="DT76">
        <v>20.2806</v>
      </c>
      <c r="DU76">
        <v>5.2056699999999996</v>
      </c>
      <c r="DV76">
        <v>11.8544</v>
      </c>
      <c r="DW76">
        <v>4.9672000000000001</v>
      </c>
      <c r="DX76">
        <v>3.2930000000000001</v>
      </c>
      <c r="DY76">
        <v>894.7</v>
      </c>
      <c r="DZ76">
        <v>6</v>
      </c>
      <c r="EA76">
        <v>9999</v>
      </c>
      <c r="EB76">
        <v>116.7</v>
      </c>
      <c r="EC76">
        <v>4.9715800000000003</v>
      </c>
      <c r="ED76">
        <v>1.8722000000000001</v>
      </c>
      <c r="EE76">
        <v>1.86951</v>
      </c>
      <c r="EF76">
        <v>1.87182</v>
      </c>
      <c r="EG76">
        <v>1.8696299999999999</v>
      </c>
      <c r="EH76">
        <v>1.8684400000000001</v>
      </c>
      <c r="EI76">
        <v>1.8702700000000001</v>
      </c>
      <c r="EJ76">
        <v>1.87195</v>
      </c>
      <c r="EK76">
        <v>0</v>
      </c>
      <c r="EL76">
        <v>0</v>
      </c>
      <c r="EM76">
        <v>0</v>
      </c>
      <c r="EN76">
        <v>0</v>
      </c>
      <c r="EO76" t="s">
        <v>320</v>
      </c>
      <c r="EP76" t="s">
        <v>321</v>
      </c>
      <c r="EQ76" t="s">
        <v>322</v>
      </c>
      <c r="ER76" t="s">
        <v>322</v>
      </c>
      <c r="ES76" t="s">
        <v>322</v>
      </c>
      <c r="ET76" t="s">
        <v>322</v>
      </c>
      <c r="EU76">
        <v>0</v>
      </c>
      <c r="EV76">
        <v>100</v>
      </c>
      <c r="EW76">
        <v>100</v>
      </c>
      <c r="EX76">
        <v>6.8979999999999997</v>
      </c>
      <c r="EY76">
        <v>-1.6819999999999999</v>
      </c>
      <c r="EZ76">
        <v>6.9045261904761901</v>
      </c>
      <c r="FA76">
        <v>0</v>
      </c>
      <c r="FB76">
        <v>0</v>
      </c>
      <c r="FC76">
        <v>0</v>
      </c>
      <c r="FD76">
        <v>-1.671252</v>
      </c>
      <c r="FE76">
        <v>0</v>
      </c>
      <c r="FF76">
        <v>0</v>
      </c>
      <c r="FG76">
        <v>0</v>
      </c>
      <c r="FH76">
        <v>-1</v>
      </c>
      <c r="FI76">
        <v>-1</v>
      </c>
      <c r="FJ76">
        <v>-1</v>
      </c>
      <c r="FK76">
        <v>-1</v>
      </c>
      <c r="FL76">
        <v>0.6</v>
      </c>
      <c r="FM76">
        <v>0.4</v>
      </c>
      <c r="FN76">
        <v>0.14160200000000001</v>
      </c>
      <c r="FO76">
        <v>4.99756</v>
      </c>
      <c r="FP76">
        <v>1.5979000000000001</v>
      </c>
      <c r="FQ76">
        <v>2.1276899999999999</v>
      </c>
      <c r="FR76">
        <v>1.5478499999999999</v>
      </c>
      <c r="FS76">
        <v>2.47437</v>
      </c>
      <c r="FT76">
        <v>48.0869</v>
      </c>
      <c r="FU76">
        <v>15.4892</v>
      </c>
      <c r="FV76">
        <v>2</v>
      </c>
      <c r="FW76">
        <v>502.59399999999999</v>
      </c>
      <c r="FX76">
        <v>365.28899999999999</v>
      </c>
      <c r="FY76">
        <v>27.963000000000001</v>
      </c>
      <c r="FZ76">
        <v>38.799700000000001</v>
      </c>
      <c r="GA76">
        <v>30.001200000000001</v>
      </c>
      <c r="GB76">
        <v>38.869700000000002</v>
      </c>
      <c r="GC76">
        <v>38.891399999999997</v>
      </c>
      <c r="GD76">
        <v>-1</v>
      </c>
      <c r="GE76">
        <v>0</v>
      </c>
      <c r="GF76">
        <v>100</v>
      </c>
      <c r="GG76">
        <v>27.9557</v>
      </c>
      <c r="GH76">
        <v>432.1</v>
      </c>
      <c r="GI76">
        <v>39.168700000000001</v>
      </c>
      <c r="GJ76">
        <v>100.919</v>
      </c>
      <c r="GK76">
        <v>95.331999999999994</v>
      </c>
    </row>
    <row r="77" spans="1:193" x14ac:dyDescent="0.35">
      <c r="A77">
        <v>61</v>
      </c>
      <c r="B77">
        <v>1775535626.5999999</v>
      </c>
      <c r="C77">
        <v>3600.5</v>
      </c>
      <c r="D77" t="s">
        <v>500</v>
      </c>
      <c r="E77" t="s">
        <v>501</v>
      </c>
      <c r="F77">
        <v>60</v>
      </c>
      <c r="G77">
        <v>1775535618.849999</v>
      </c>
      <c r="H77">
        <f t="shared" si="0"/>
        <v>6.2641890973460885E-3</v>
      </c>
      <c r="I77">
        <f t="shared" si="1"/>
        <v>6.2641890973460885</v>
      </c>
      <c r="J77">
        <f t="shared" si="2"/>
        <v>-5.6082317730878897</v>
      </c>
      <c r="K77">
        <f t="shared" si="3"/>
        <v>0.24474266666666539</v>
      </c>
      <c r="L77">
        <f t="shared" si="4"/>
        <v>59.50334015784324</v>
      </c>
      <c r="M77">
        <f t="shared" si="5"/>
        <v>5.9706357237878329</v>
      </c>
      <c r="N77">
        <f t="shared" si="6"/>
        <v>2.455776944384655E-2</v>
      </c>
      <c r="O77">
        <f t="shared" si="7"/>
        <v>0.15074314299919192</v>
      </c>
      <c r="P77">
        <f t="shared" si="8"/>
        <v>2.395135330979512</v>
      </c>
      <c r="Q77">
        <f t="shared" si="9"/>
        <v>0.14566384824504552</v>
      </c>
      <c r="R77">
        <f t="shared" si="10"/>
        <v>9.1482001905069749E-2</v>
      </c>
      <c r="S77">
        <f t="shared" si="11"/>
        <v>0.37219992809999997</v>
      </c>
      <c r="T77">
        <f t="shared" si="12"/>
        <v>29.233370714302254</v>
      </c>
      <c r="U77">
        <f t="shared" si="13"/>
        <v>30.840636666666668</v>
      </c>
      <c r="V77">
        <f t="shared" si="14"/>
        <v>4.4705474910388361</v>
      </c>
      <c r="W77">
        <f t="shared" si="15"/>
        <v>5.638441228154023</v>
      </c>
      <c r="X77">
        <f t="shared" si="16"/>
        <v>0.25708773154601727</v>
      </c>
      <c r="Y77">
        <f t="shared" si="17"/>
        <v>4.5595532726725887</v>
      </c>
      <c r="Z77">
        <f t="shared" si="18"/>
        <v>4.2134597594928191</v>
      </c>
      <c r="AA77">
        <f t="shared" si="19"/>
        <v>-276.2507391929625</v>
      </c>
      <c r="AB77">
        <f t="shared" si="20"/>
        <v>44.649804027337595</v>
      </c>
      <c r="AC77">
        <f t="shared" si="21"/>
        <v>4.1867745682987341</v>
      </c>
      <c r="AD77">
        <f t="shared" si="22"/>
        <v>-227.04196066922617</v>
      </c>
      <c r="AE77">
        <v>9</v>
      </c>
      <c r="AF77">
        <v>2</v>
      </c>
      <c r="AG77">
        <f t="shared" si="23"/>
        <v>1</v>
      </c>
      <c r="AH77">
        <f t="shared" si="24"/>
        <v>0</v>
      </c>
      <c r="AI77">
        <f t="shared" si="25"/>
        <v>25266.808474629579</v>
      </c>
      <c r="AJ77">
        <f t="shared" si="26"/>
        <v>1.9476709999999999</v>
      </c>
      <c r="AK77">
        <f t="shared" si="27"/>
        <v>1.5581368</v>
      </c>
      <c r="AL77">
        <f t="shared" si="28"/>
        <v>0.8</v>
      </c>
      <c r="AM77">
        <f t="shared" si="29"/>
        <v>0.19109999999999999</v>
      </c>
      <c r="AN77">
        <v>3</v>
      </c>
      <c r="AO77">
        <v>0.5</v>
      </c>
      <c r="AP77" t="s">
        <v>317</v>
      </c>
      <c r="AQ77">
        <v>2</v>
      </c>
      <c r="AR77">
        <v>1775535618.849999</v>
      </c>
      <c r="AS77">
        <v>0.24474266666666539</v>
      </c>
      <c r="AT77">
        <v>-3.1191939999999998</v>
      </c>
      <c r="AU77">
        <v>2.5621356666666659</v>
      </c>
      <c r="AV77">
        <v>-1.1866559999999999</v>
      </c>
      <c r="AW77">
        <v>-6.6612573333333343</v>
      </c>
      <c r="AX77">
        <v>0.50734399999999991</v>
      </c>
      <c r="AY77">
        <v>500.01226666666662</v>
      </c>
      <c r="AZ77">
        <v>100.2917333333334</v>
      </c>
      <c r="BA77">
        <v>4.9452689999999987E-2</v>
      </c>
      <c r="BB77">
        <v>31.186419999999998</v>
      </c>
      <c r="BC77">
        <v>30.840636666666668</v>
      </c>
      <c r="BD77">
        <v>999.9000000000002</v>
      </c>
      <c r="BE77">
        <v>0</v>
      </c>
      <c r="BF77">
        <v>0</v>
      </c>
      <c r="BG77">
        <v>5003.7166666666662</v>
      </c>
      <c r="BH77">
        <v>1.9476709999999999</v>
      </c>
      <c r="BI77">
        <v>2159.4389999999999</v>
      </c>
      <c r="BJ77">
        <v>3.356269666666666</v>
      </c>
      <c r="BK77">
        <v>0.23679146400000001</v>
      </c>
      <c r="BL77">
        <v>-3.1272076666666671</v>
      </c>
      <c r="BM77">
        <v>-3.7366686666666671</v>
      </c>
      <c r="BN77">
        <v>-3.1191939999999998</v>
      </c>
      <c r="BO77">
        <v>2.5621356666666659</v>
      </c>
      <c r="BP77">
        <v>-0.1177959333333333</v>
      </c>
      <c r="BQ77">
        <v>0.25696103333333331</v>
      </c>
      <c r="BR77">
        <v>-99.900000000000034</v>
      </c>
      <c r="BS77">
        <v>-11.41736</v>
      </c>
      <c r="BT77">
        <v>1775535662.5999999</v>
      </c>
      <c r="BU77" t="s">
        <v>502</v>
      </c>
      <c r="BV77">
        <v>1775535645.0999999</v>
      </c>
      <c r="BW77">
        <v>1775535662.5999999</v>
      </c>
      <c r="BX77">
        <v>62</v>
      </c>
      <c r="BY77">
        <v>8.0000000000000002E-3</v>
      </c>
      <c r="BZ77">
        <v>-1.2E-2</v>
      </c>
      <c r="CA77">
        <v>6.9059999999999997</v>
      </c>
      <c r="CB77">
        <v>-1.694</v>
      </c>
      <c r="CC77">
        <v>-3</v>
      </c>
      <c r="CD77">
        <v>3</v>
      </c>
      <c r="CE77">
        <v>0.21</v>
      </c>
      <c r="CF77">
        <v>0.02</v>
      </c>
      <c r="CG77">
        <v>-2.569901166666666</v>
      </c>
      <c r="CH77">
        <v>-4.4233980883578772</v>
      </c>
      <c r="CI77">
        <v>0.69644835211495681</v>
      </c>
      <c r="CJ77">
        <v>-1</v>
      </c>
      <c r="CK77">
        <v>500.98444999999998</v>
      </c>
      <c r="CL77">
        <v>-2.8699272019994782</v>
      </c>
      <c r="CM77">
        <v>1.8981580231459501</v>
      </c>
      <c r="CN77">
        <v>-1</v>
      </c>
      <c r="CO77">
        <v>0</v>
      </c>
      <c r="CP77">
        <v>0</v>
      </c>
      <c r="CQ77" t="s">
        <v>319</v>
      </c>
      <c r="CR77">
        <v>3.16873</v>
      </c>
      <c r="CS77">
        <v>2.67083</v>
      </c>
      <c r="CT77">
        <v>-2.0409500000000001E-3</v>
      </c>
      <c r="CU77">
        <v>-9.3029500000000004E-4</v>
      </c>
      <c r="CV77">
        <v>4.3484600000000002E-3</v>
      </c>
      <c r="CW77">
        <v>1.83596E-2</v>
      </c>
      <c r="CX77">
        <v>21291.3</v>
      </c>
      <c r="CY77">
        <v>21710.5</v>
      </c>
      <c r="CZ77">
        <v>22787.4</v>
      </c>
      <c r="DA77">
        <v>22063.4</v>
      </c>
      <c r="DB77">
        <v>29286.3</v>
      </c>
      <c r="DC77">
        <v>25779.200000000001</v>
      </c>
      <c r="DD77">
        <v>40106.6</v>
      </c>
      <c r="DE77">
        <v>36506.1</v>
      </c>
      <c r="DF77">
        <v>1.9887999999999999</v>
      </c>
      <c r="DG77">
        <v>1.6366000000000001</v>
      </c>
      <c r="DH77">
        <v>-0.147897</v>
      </c>
      <c r="DI77">
        <v>0</v>
      </c>
      <c r="DJ77">
        <v>33.248100000000001</v>
      </c>
      <c r="DK77">
        <v>999.9</v>
      </c>
      <c r="DL77">
        <v>56.9</v>
      </c>
      <c r="DM77">
        <v>42</v>
      </c>
      <c r="DN77">
        <v>46.771500000000003</v>
      </c>
      <c r="DO77">
        <v>30.794599999999999</v>
      </c>
      <c r="DP77">
        <v>9.8277199999999993</v>
      </c>
      <c r="DQ77">
        <v>1</v>
      </c>
      <c r="DR77">
        <v>0.98017699999999996</v>
      </c>
      <c r="DS77">
        <v>4.45364</v>
      </c>
      <c r="DT77">
        <v>20.288</v>
      </c>
      <c r="DU77">
        <v>5.2099799999999998</v>
      </c>
      <c r="DV77">
        <v>11.8546</v>
      </c>
      <c r="DW77">
        <v>4.9660799999999998</v>
      </c>
      <c r="DX77">
        <v>3.2930000000000001</v>
      </c>
      <c r="DY77">
        <v>894.7</v>
      </c>
      <c r="DZ77">
        <v>6</v>
      </c>
      <c r="EA77">
        <v>9999</v>
      </c>
      <c r="EB77">
        <v>116.7</v>
      </c>
      <c r="EC77">
        <v>4.9716199999999997</v>
      </c>
      <c r="ED77">
        <v>1.8722300000000001</v>
      </c>
      <c r="EE77">
        <v>1.8695200000000001</v>
      </c>
      <c r="EF77">
        <v>1.8718600000000001</v>
      </c>
      <c r="EG77">
        <v>1.86964</v>
      </c>
      <c r="EH77">
        <v>1.8684499999999999</v>
      </c>
      <c r="EI77">
        <v>1.8702700000000001</v>
      </c>
      <c r="EJ77">
        <v>1.87195</v>
      </c>
      <c r="EK77">
        <v>0</v>
      </c>
      <c r="EL77">
        <v>0</v>
      </c>
      <c r="EM77">
        <v>0</v>
      </c>
      <c r="EN77">
        <v>0</v>
      </c>
      <c r="EO77" t="s">
        <v>320</v>
      </c>
      <c r="EP77" t="s">
        <v>321</v>
      </c>
      <c r="EQ77" t="s">
        <v>322</v>
      </c>
      <c r="ER77" t="s">
        <v>322</v>
      </c>
      <c r="ES77" t="s">
        <v>322</v>
      </c>
      <c r="ET77" t="s">
        <v>322</v>
      </c>
      <c r="EU77">
        <v>0</v>
      </c>
      <c r="EV77">
        <v>100</v>
      </c>
      <c r="EW77">
        <v>100</v>
      </c>
      <c r="EX77">
        <v>6.9059999999999997</v>
      </c>
      <c r="EY77">
        <v>-1.694</v>
      </c>
      <c r="EZ77">
        <v>6.8983325000000013</v>
      </c>
      <c r="FA77">
        <v>0</v>
      </c>
      <c r="FB77">
        <v>0</v>
      </c>
      <c r="FC77">
        <v>0</v>
      </c>
      <c r="FD77">
        <v>-1.6818766666666669</v>
      </c>
      <c r="FE77">
        <v>0</v>
      </c>
      <c r="FF77">
        <v>0</v>
      </c>
      <c r="FG77">
        <v>0</v>
      </c>
      <c r="FH77">
        <v>-1</v>
      </c>
      <c r="FI77">
        <v>-1</v>
      </c>
      <c r="FJ77">
        <v>-1</v>
      </c>
      <c r="FK77">
        <v>-1</v>
      </c>
      <c r="FL77">
        <v>0.4</v>
      </c>
      <c r="FM77">
        <v>0.4</v>
      </c>
      <c r="FN77">
        <v>0.14160200000000001</v>
      </c>
      <c r="FO77">
        <v>4.99756</v>
      </c>
      <c r="FP77">
        <v>1.5979000000000001</v>
      </c>
      <c r="FQ77">
        <v>2.1264599999999998</v>
      </c>
      <c r="FR77">
        <v>1.5478499999999999</v>
      </c>
      <c r="FS77">
        <v>2.4169900000000002</v>
      </c>
      <c r="FT77">
        <v>48.300899999999999</v>
      </c>
      <c r="FU77">
        <v>15.4892</v>
      </c>
      <c r="FV77">
        <v>2</v>
      </c>
      <c r="FW77">
        <v>502.721</v>
      </c>
      <c r="FX77">
        <v>363.92500000000001</v>
      </c>
      <c r="FY77">
        <v>27.959099999999999</v>
      </c>
      <c r="FZ77">
        <v>38.918999999999997</v>
      </c>
      <c r="GA77">
        <v>30.001000000000001</v>
      </c>
      <c r="GB77">
        <v>38.985500000000002</v>
      </c>
      <c r="GC77">
        <v>39.003900000000002</v>
      </c>
      <c r="GD77">
        <v>-1</v>
      </c>
      <c r="GE77">
        <v>0</v>
      </c>
      <c r="GF77">
        <v>100</v>
      </c>
      <c r="GG77">
        <v>27.9496</v>
      </c>
      <c r="GH77">
        <v>432.1</v>
      </c>
      <c r="GI77">
        <v>39.168700000000001</v>
      </c>
      <c r="GJ77">
        <v>100.901</v>
      </c>
      <c r="GK77">
        <v>95.315600000000003</v>
      </c>
    </row>
    <row r="78" spans="1:193" x14ac:dyDescent="0.35">
      <c r="A78">
        <v>62</v>
      </c>
      <c r="B78">
        <v>1775535686.5999999</v>
      </c>
      <c r="C78">
        <v>3660.5</v>
      </c>
      <c r="D78" t="s">
        <v>503</v>
      </c>
      <c r="E78" t="s">
        <v>504</v>
      </c>
      <c r="F78">
        <v>60</v>
      </c>
      <c r="G78">
        <v>1775535678.599999</v>
      </c>
      <c r="H78">
        <f t="shared" si="0"/>
        <v>6.2796605875449149E-3</v>
      </c>
      <c r="I78">
        <f t="shared" si="1"/>
        <v>6.2796605875449147</v>
      </c>
      <c r="J78">
        <f t="shared" si="2"/>
        <v>-5.4221659439419723</v>
      </c>
      <c r="K78">
        <f t="shared" si="3"/>
        <v>0.32729193548387148</v>
      </c>
      <c r="L78">
        <f t="shared" si="4"/>
        <v>57.514856511204052</v>
      </c>
      <c r="M78">
        <f t="shared" si="5"/>
        <v>5.770671979969543</v>
      </c>
      <c r="N78">
        <f t="shared" si="6"/>
        <v>3.2838374568470913E-2</v>
      </c>
      <c r="O78">
        <f t="shared" si="7"/>
        <v>0.15101210395757378</v>
      </c>
      <c r="P78">
        <f t="shared" si="8"/>
        <v>2.3928455230821024</v>
      </c>
      <c r="Q78">
        <f t="shared" si="9"/>
        <v>0.14591029720660814</v>
      </c>
      <c r="R78">
        <f t="shared" si="10"/>
        <v>9.1637954035502511E-2</v>
      </c>
      <c r="S78">
        <f t="shared" si="11"/>
        <v>0.377681779548387</v>
      </c>
      <c r="T78">
        <f t="shared" si="12"/>
        <v>29.256440989240264</v>
      </c>
      <c r="U78">
        <f t="shared" si="13"/>
        <v>30.892312903225811</v>
      </c>
      <c r="V78">
        <f t="shared" si="14"/>
        <v>4.4837521561894569</v>
      </c>
      <c r="W78">
        <f t="shared" si="15"/>
        <v>5.8649002080341255</v>
      </c>
      <c r="X78">
        <f t="shared" si="16"/>
        <v>0.26786313969128422</v>
      </c>
      <c r="Y78">
        <f t="shared" si="17"/>
        <v>4.5672241673327658</v>
      </c>
      <c r="Z78">
        <f t="shared" si="18"/>
        <v>4.2158890164981724</v>
      </c>
      <c r="AA78">
        <f t="shared" si="19"/>
        <v>-276.93303191073073</v>
      </c>
      <c r="AB78">
        <f t="shared" si="20"/>
        <v>41.749560615083752</v>
      </c>
      <c r="AC78">
        <f t="shared" si="21"/>
        <v>3.9201374434432097</v>
      </c>
      <c r="AD78">
        <f t="shared" si="22"/>
        <v>-230.88565207265538</v>
      </c>
      <c r="AE78">
        <v>9</v>
      </c>
      <c r="AF78">
        <v>2</v>
      </c>
      <c r="AG78">
        <f t="shared" si="23"/>
        <v>1</v>
      </c>
      <c r="AH78">
        <f t="shared" si="24"/>
        <v>0</v>
      </c>
      <c r="AI78">
        <f t="shared" si="25"/>
        <v>25230.272103830226</v>
      </c>
      <c r="AJ78">
        <f t="shared" si="26"/>
        <v>1.9763567741935479</v>
      </c>
      <c r="AK78">
        <f t="shared" si="27"/>
        <v>1.5810854193548385</v>
      </c>
      <c r="AL78">
        <f t="shared" si="28"/>
        <v>0.8</v>
      </c>
      <c r="AM78">
        <f t="shared" si="29"/>
        <v>0.19109999999999999</v>
      </c>
      <c r="AN78">
        <v>3</v>
      </c>
      <c r="AO78">
        <v>0.5</v>
      </c>
      <c r="AP78" t="s">
        <v>317</v>
      </c>
      <c r="AQ78">
        <v>2</v>
      </c>
      <c r="AR78">
        <v>1775535678.599999</v>
      </c>
      <c r="AS78">
        <v>0.32729193548387148</v>
      </c>
      <c r="AT78">
        <v>-2.924378387096775</v>
      </c>
      <c r="AU78">
        <v>2.669725483870967</v>
      </c>
      <c r="AV78">
        <v>-1.0875542258064519</v>
      </c>
      <c r="AW78">
        <v>-6.5517080645161281</v>
      </c>
      <c r="AX78">
        <v>0.61444577419354818</v>
      </c>
      <c r="AY78">
        <v>500.0609032258065</v>
      </c>
      <c r="AZ78">
        <v>100.2843870967742</v>
      </c>
      <c r="BA78">
        <v>4.9201996774193547E-2</v>
      </c>
      <c r="BB78">
        <v>31.215945161290321</v>
      </c>
      <c r="BC78">
        <v>30.892312903225811</v>
      </c>
      <c r="BD78">
        <v>999.90000000000032</v>
      </c>
      <c r="BE78">
        <v>0</v>
      </c>
      <c r="BF78">
        <v>0</v>
      </c>
      <c r="BG78">
        <v>4998.1935483870966</v>
      </c>
      <c r="BH78">
        <v>1.9763567741935479</v>
      </c>
      <c r="BI78">
        <v>2179.5916129032262</v>
      </c>
      <c r="BJ78">
        <v>3.2786048387096778</v>
      </c>
      <c r="BK78">
        <v>0.35384762903225803</v>
      </c>
      <c r="BL78">
        <v>-2.932209032258065</v>
      </c>
      <c r="BM78">
        <v>-3.7490358064516132</v>
      </c>
      <c r="BN78">
        <v>-2.924378387096775</v>
      </c>
      <c r="BO78">
        <v>2.669725483870967</v>
      </c>
      <c r="BP78">
        <v>-0.108238</v>
      </c>
      <c r="BQ78">
        <v>0.26773180645161287</v>
      </c>
      <c r="BR78">
        <v>-99.900000000000034</v>
      </c>
      <c r="BS78">
        <v>-10.903138709677419</v>
      </c>
      <c r="BT78">
        <v>1775535719.5999999</v>
      </c>
      <c r="BU78" t="s">
        <v>505</v>
      </c>
      <c r="BV78">
        <v>1775535704.5999999</v>
      </c>
      <c r="BW78">
        <v>1775535719.5999999</v>
      </c>
      <c r="BX78">
        <v>63</v>
      </c>
      <c r="BY78">
        <v>-2.7E-2</v>
      </c>
      <c r="BZ78">
        <v>-8.0000000000000002E-3</v>
      </c>
      <c r="CA78">
        <v>6.8789999999999996</v>
      </c>
      <c r="CB78">
        <v>-1.702</v>
      </c>
      <c r="CC78">
        <v>-3</v>
      </c>
      <c r="CD78">
        <v>3</v>
      </c>
      <c r="CE78">
        <v>0.43</v>
      </c>
      <c r="CF78">
        <v>0.02</v>
      </c>
      <c r="CG78">
        <v>-2.5656340000000002</v>
      </c>
      <c r="CH78">
        <v>-2.001376537927209</v>
      </c>
      <c r="CI78">
        <v>0.39541657385682089</v>
      </c>
      <c r="CJ78">
        <v>-1</v>
      </c>
      <c r="CK78">
        <v>501.01108333333332</v>
      </c>
      <c r="CL78">
        <v>-2.4943562100577128</v>
      </c>
      <c r="CM78">
        <v>1.928686680029241</v>
      </c>
      <c r="CN78">
        <v>-1</v>
      </c>
      <c r="CO78">
        <v>0</v>
      </c>
      <c r="CP78">
        <v>0</v>
      </c>
      <c r="CQ78" t="s">
        <v>319</v>
      </c>
      <c r="CR78">
        <v>3.1686299999999998</v>
      </c>
      <c r="CS78">
        <v>2.6707399999999999</v>
      </c>
      <c r="CT78">
        <v>-1.9838199999999999E-3</v>
      </c>
      <c r="CU78">
        <v>-9.1081199999999999E-4</v>
      </c>
      <c r="CV78">
        <v>4.5848399999999997E-3</v>
      </c>
      <c r="CW78">
        <v>1.90029E-2</v>
      </c>
      <c r="CX78">
        <v>21283.7</v>
      </c>
      <c r="CY78">
        <v>21704.400000000001</v>
      </c>
      <c r="CZ78">
        <v>22781</v>
      </c>
      <c r="DA78">
        <v>22058</v>
      </c>
      <c r="DB78">
        <v>29271.7</v>
      </c>
      <c r="DC78">
        <v>25755.3</v>
      </c>
      <c r="DD78">
        <v>40096.400000000001</v>
      </c>
      <c r="DE78">
        <v>36496.699999999997</v>
      </c>
      <c r="DF78">
        <v>1.98688</v>
      </c>
      <c r="DG78">
        <v>1.6351800000000001</v>
      </c>
      <c r="DH78">
        <v>-0.14312900000000001</v>
      </c>
      <c r="DI78">
        <v>0</v>
      </c>
      <c r="DJ78">
        <v>33.226100000000002</v>
      </c>
      <c r="DK78">
        <v>999.9</v>
      </c>
      <c r="DL78">
        <v>56.5</v>
      </c>
      <c r="DM78">
        <v>42.2</v>
      </c>
      <c r="DN78">
        <v>46.934899999999999</v>
      </c>
      <c r="DO78">
        <v>30.884599999999999</v>
      </c>
      <c r="DP78">
        <v>9.7676300000000005</v>
      </c>
      <c r="DQ78">
        <v>1</v>
      </c>
      <c r="DR78">
        <v>0.99465700000000001</v>
      </c>
      <c r="DS78">
        <v>4.7204899999999999</v>
      </c>
      <c r="DT78">
        <v>20.277799999999999</v>
      </c>
      <c r="DU78">
        <v>5.2110599999999998</v>
      </c>
      <c r="DV78">
        <v>11.854699999999999</v>
      </c>
      <c r="DW78">
        <v>4.9676400000000003</v>
      </c>
      <c r="DX78">
        <v>3.2930000000000001</v>
      </c>
      <c r="DY78">
        <v>894.7</v>
      </c>
      <c r="DZ78">
        <v>6</v>
      </c>
      <c r="EA78">
        <v>9999</v>
      </c>
      <c r="EB78">
        <v>116.8</v>
      </c>
      <c r="EC78">
        <v>4.9715999999999996</v>
      </c>
      <c r="ED78">
        <v>1.87225</v>
      </c>
      <c r="EE78">
        <v>1.8695200000000001</v>
      </c>
      <c r="EF78">
        <v>1.8718399999999999</v>
      </c>
      <c r="EG78">
        <v>1.86964</v>
      </c>
      <c r="EH78">
        <v>1.8684400000000001</v>
      </c>
      <c r="EI78">
        <v>1.8702700000000001</v>
      </c>
      <c r="EJ78">
        <v>1.87195</v>
      </c>
      <c r="EK78">
        <v>0</v>
      </c>
      <c r="EL78">
        <v>0</v>
      </c>
      <c r="EM78">
        <v>0</v>
      </c>
      <c r="EN78">
        <v>0</v>
      </c>
      <c r="EO78" t="s">
        <v>320</v>
      </c>
      <c r="EP78" t="s">
        <v>321</v>
      </c>
      <c r="EQ78" t="s">
        <v>322</v>
      </c>
      <c r="ER78" t="s">
        <v>322</v>
      </c>
      <c r="ES78" t="s">
        <v>322</v>
      </c>
      <c r="ET78" t="s">
        <v>322</v>
      </c>
      <c r="EU78">
        <v>0</v>
      </c>
      <c r="EV78">
        <v>100</v>
      </c>
      <c r="EW78">
        <v>100</v>
      </c>
      <c r="EX78">
        <v>6.8789999999999996</v>
      </c>
      <c r="EY78">
        <v>-1.702</v>
      </c>
      <c r="EZ78">
        <v>6.9059357142857154</v>
      </c>
      <c r="FA78">
        <v>0</v>
      </c>
      <c r="FB78">
        <v>0</v>
      </c>
      <c r="FC78">
        <v>0</v>
      </c>
      <c r="FD78">
        <v>-1.693757</v>
      </c>
      <c r="FE78">
        <v>0</v>
      </c>
      <c r="FF78">
        <v>0</v>
      </c>
      <c r="FG78">
        <v>0</v>
      </c>
      <c r="FH78">
        <v>-1</v>
      </c>
      <c r="FI78">
        <v>-1</v>
      </c>
      <c r="FJ78">
        <v>-1</v>
      </c>
      <c r="FK78">
        <v>-1</v>
      </c>
      <c r="FL78">
        <v>0.7</v>
      </c>
      <c r="FM78">
        <v>0.4</v>
      </c>
      <c r="FN78">
        <v>0.14160200000000001</v>
      </c>
      <c r="FO78">
        <v>4.99634</v>
      </c>
      <c r="FP78">
        <v>1.5979000000000001</v>
      </c>
      <c r="FQ78">
        <v>2.1264599999999998</v>
      </c>
      <c r="FR78">
        <v>1.5478499999999999</v>
      </c>
      <c r="FS78">
        <v>2.4450699999999999</v>
      </c>
      <c r="FT78">
        <v>48.546999999999997</v>
      </c>
      <c r="FU78">
        <v>15.480399999999999</v>
      </c>
      <c r="FV78">
        <v>2</v>
      </c>
      <c r="FW78">
        <v>502.36700000000002</v>
      </c>
      <c r="FX78">
        <v>363.74799999999999</v>
      </c>
      <c r="FY78">
        <v>27.9573</v>
      </c>
      <c r="FZ78">
        <v>39.047600000000003</v>
      </c>
      <c r="GA78">
        <v>30.0014</v>
      </c>
      <c r="GB78">
        <v>39.108699999999999</v>
      </c>
      <c r="GC78">
        <v>39.127200000000002</v>
      </c>
      <c r="GD78">
        <v>-1</v>
      </c>
      <c r="GE78">
        <v>0</v>
      </c>
      <c r="GF78">
        <v>100</v>
      </c>
      <c r="GG78">
        <v>27.950700000000001</v>
      </c>
      <c r="GH78">
        <v>432.1</v>
      </c>
      <c r="GI78">
        <v>39.168700000000001</v>
      </c>
      <c r="GJ78">
        <v>100.874</v>
      </c>
      <c r="GK78">
        <v>95.291300000000007</v>
      </c>
    </row>
    <row r="79" spans="1:193" x14ac:dyDescent="0.35">
      <c r="A79">
        <v>63</v>
      </c>
      <c r="B79">
        <v>1775535746.5999999</v>
      </c>
      <c r="C79">
        <v>3720.5</v>
      </c>
      <c r="D79" t="s">
        <v>506</v>
      </c>
      <c r="E79" t="s">
        <v>507</v>
      </c>
      <c r="F79">
        <v>60</v>
      </c>
      <c r="G79">
        <v>1775535738.599999</v>
      </c>
      <c r="H79">
        <f t="shared" si="0"/>
        <v>6.6262156946620392E-3</v>
      </c>
      <c r="I79">
        <f t="shared" si="1"/>
        <v>6.6262156946620392</v>
      </c>
      <c r="J79">
        <f t="shared" si="2"/>
        <v>-4.9496046394819295</v>
      </c>
      <c r="K79">
        <f t="shared" si="3"/>
        <v>-0.15277225806451519</v>
      </c>
      <c r="L79">
        <f t="shared" si="4"/>
        <v>49.034318134353576</v>
      </c>
      <c r="M79">
        <f t="shared" si="5"/>
        <v>4.9194570696193072</v>
      </c>
      <c r="N79">
        <f t="shared" si="6"/>
        <v>-1.5327154400677634E-2</v>
      </c>
      <c r="O79">
        <f t="shared" si="7"/>
        <v>0.16069718972249078</v>
      </c>
      <c r="P79">
        <f t="shared" si="8"/>
        <v>2.3941026004377921</v>
      </c>
      <c r="Q79">
        <f t="shared" si="9"/>
        <v>0.15493634153224259</v>
      </c>
      <c r="R79">
        <f t="shared" si="10"/>
        <v>9.7335596963619431E-2</v>
      </c>
      <c r="S79">
        <f t="shared" si="11"/>
        <v>0.36775635377419347</v>
      </c>
      <c r="T79">
        <f t="shared" si="12"/>
        <v>29.105758818997995</v>
      </c>
      <c r="U79">
        <f t="shared" si="13"/>
        <v>30.821696774193551</v>
      </c>
      <c r="V79">
        <f t="shared" si="14"/>
        <v>4.4657163304107099</v>
      </c>
      <c r="W79">
        <f t="shared" si="15"/>
        <v>6.0669306580602571</v>
      </c>
      <c r="X79">
        <f t="shared" si="16"/>
        <v>0.27640895757738554</v>
      </c>
      <c r="Y79">
        <f t="shared" si="17"/>
        <v>4.5559933540720587</v>
      </c>
      <c r="Z79">
        <f t="shared" si="18"/>
        <v>4.1893073728333245</v>
      </c>
      <c r="AA79">
        <f t="shared" si="19"/>
        <v>-292.2161121345959</v>
      </c>
      <c r="AB79">
        <f t="shared" si="20"/>
        <v>45.304704362797061</v>
      </c>
      <c r="AC79">
        <f t="shared" si="21"/>
        <v>4.2493318204867006</v>
      </c>
      <c r="AD79">
        <f t="shared" si="22"/>
        <v>-242.29431959753794</v>
      </c>
      <c r="AE79">
        <v>9</v>
      </c>
      <c r="AF79">
        <v>2</v>
      </c>
      <c r="AG79">
        <f t="shared" si="23"/>
        <v>1</v>
      </c>
      <c r="AH79">
        <f t="shared" si="24"/>
        <v>0</v>
      </c>
      <c r="AI79">
        <f t="shared" si="25"/>
        <v>25253.004877804095</v>
      </c>
      <c r="AJ79">
        <f t="shared" si="26"/>
        <v>1.9244183870967739</v>
      </c>
      <c r="AK79">
        <f t="shared" si="27"/>
        <v>1.5395347096774192</v>
      </c>
      <c r="AL79">
        <f t="shared" si="28"/>
        <v>0.8</v>
      </c>
      <c r="AM79">
        <f t="shared" si="29"/>
        <v>0.19109999999999999</v>
      </c>
      <c r="AN79">
        <v>3</v>
      </c>
      <c r="AO79">
        <v>0.5</v>
      </c>
      <c r="AP79" t="s">
        <v>317</v>
      </c>
      <c r="AQ79">
        <v>2</v>
      </c>
      <c r="AR79">
        <v>1775535738.599999</v>
      </c>
      <c r="AS79">
        <v>-0.15277225806451519</v>
      </c>
      <c r="AT79">
        <v>-3.123334838709678</v>
      </c>
      <c r="AU79">
        <v>2.755085483870968</v>
      </c>
      <c r="AV79">
        <v>-1.209947290322581</v>
      </c>
      <c r="AW79">
        <v>-6.9967722580645164</v>
      </c>
      <c r="AX79">
        <v>0.50105270967741944</v>
      </c>
      <c r="AY79">
        <v>499.9676129032257</v>
      </c>
      <c r="AZ79">
        <v>100.2774193548387</v>
      </c>
      <c r="BA79">
        <v>4.939779677419355E-2</v>
      </c>
      <c r="BB79">
        <v>31.172703225806451</v>
      </c>
      <c r="BC79">
        <v>30.821696774193551</v>
      </c>
      <c r="BD79">
        <v>999.90000000000032</v>
      </c>
      <c r="BE79">
        <v>0</v>
      </c>
      <c r="BF79">
        <v>0</v>
      </c>
      <c r="BG79">
        <v>5001.7741935483873</v>
      </c>
      <c r="BH79">
        <v>1.9244183870967739</v>
      </c>
      <c r="BI79">
        <v>2075.7816129032258</v>
      </c>
      <c r="BJ79">
        <v>3.0052958064516129</v>
      </c>
      <c r="BK79">
        <v>-0.1178967741935484</v>
      </c>
      <c r="BL79">
        <v>-3.1319641935483871</v>
      </c>
      <c r="BM79">
        <v>-3.9559100000000011</v>
      </c>
      <c r="BN79">
        <v>-3.123334838709678</v>
      </c>
      <c r="BO79">
        <v>2.755085483870968</v>
      </c>
      <c r="BP79">
        <v>-0.12041558064516129</v>
      </c>
      <c r="BQ79">
        <v>0.27627296774193549</v>
      </c>
      <c r="BR79">
        <v>-99.900000000000034</v>
      </c>
      <c r="BS79">
        <v>-10.50834838709677</v>
      </c>
      <c r="BT79">
        <v>1775535779.0999999</v>
      </c>
      <c r="BU79" t="s">
        <v>508</v>
      </c>
      <c r="BV79">
        <v>1775535764.5999999</v>
      </c>
      <c r="BW79">
        <v>1775535779.0999999</v>
      </c>
      <c r="BX79">
        <v>64</v>
      </c>
      <c r="BY79">
        <v>-3.5000000000000003E-2</v>
      </c>
      <c r="BZ79">
        <v>-8.9999999999999993E-3</v>
      </c>
      <c r="CA79">
        <v>6.8440000000000003</v>
      </c>
      <c r="CB79">
        <v>-1.7110000000000001</v>
      </c>
      <c r="CC79">
        <v>-3</v>
      </c>
      <c r="CD79">
        <v>3</v>
      </c>
      <c r="CE79">
        <v>0.2</v>
      </c>
      <c r="CF79">
        <v>0.02</v>
      </c>
      <c r="CG79">
        <v>-3.153705833333333</v>
      </c>
      <c r="CH79">
        <v>0.26999816615725719</v>
      </c>
      <c r="CI79">
        <v>5.4395472369541509E-2</v>
      </c>
      <c r="CJ79">
        <v>-1</v>
      </c>
      <c r="CK79">
        <v>500.99871666666672</v>
      </c>
      <c r="CL79">
        <v>-5.0654904140033654</v>
      </c>
      <c r="CM79">
        <v>1.966503200197979</v>
      </c>
      <c r="CN79">
        <v>-1</v>
      </c>
      <c r="CO79">
        <v>0</v>
      </c>
      <c r="CP79">
        <v>0</v>
      </c>
      <c r="CQ79" t="s">
        <v>319</v>
      </c>
      <c r="CR79">
        <v>3.1686999999999999</v>
      </c>
      <c r="CS79">
        <v>2.6706099999999999</v>
      </c>
      <c r="CT79">
        <v>-2.0327700000000001E-3</v>
      </c>
      <c r="CU79">
        <v>-9.0523700000000003E-4</v>
      </c>
      <c r="CV79">
        <v>4.0937200000000003E-3</v>
      </c>
      <c r="CW79">
        <v>1.95526E-2</v>
      </c>
      <c r="CX79">
        <v>21278.799999999999</v>
      </c>
      <c r="CY79">
        <v>21699.9</v>
      </c>
      <c r="CZ79">
        <v>22775.1</v>
      </c>
      <c r="DA79">
        <v>22053.9</v>
      </c>
      <c r="DB79">
        <v>29279.3</v>
      </c>
      <c r="DC79">
        <v>25735.5</v>
      </c>
      <c r="DD79">
        <v>40087.300000000003</v>
      </c>
      <c r="DE79">
        <v>36489.5</v>
      </c>
      <c r="DF79">
        <v>1.9855</v>
      </c>
      <c r="DG79">
        <v>1.6319399999999999</v>
      </c>
      <c r="DH79">
        <v>-0.14702699999999999</v>
      </c>
      <c r="DI79">
        <v>0</v>
      </c>
      <c r="DJ79">
        <v>33.196899999999999</v>
      </c>
      <c r="DK79">
        <v>999.9</v>
      </c>
      <c r="DL79">
        <v>56.1</v>
      </c>
      <c r="DM79">
        <v>42.5</v>
      </c>
      <c r="DN79">
        <v>47.343299999999999</v>
      </c>
      <c r="DO79">
        <v>30.764600000000002</v>
      </c>
      <c r="DP79">
        <v>9.7676300000000005</v>
      </c>
      <c r="DQ79">
        <v>1</v>
      </c>
      <c r="DR79">
        <v>1.0039899999999999</v>
      </c>
      <c r="DS79">
        <v>4.4038500000000003</v>
      </c>
      <c r="DT79">
        <v>20.2881</v>
      </c>
      <c r="DU79">
        <v>5.2109399999999999</v>
      </c>
      <c r="DV79">
        <v>11.854699999999999</v>
      </c>
      <c r="DW79">
        <v>4.9676400000000003</v>
      </c>
      <c r="DX79">
        <v>3.2930000000000001</v>
      </c>
      <c r="DY79">
        <v>894.7</v>
      </c>
      <c r="DZ79">
        <v>6</v>
      </c>
      <c r="EA79">
        <v>9999</v>
      </c>
      <c r="EB79">
        <v>116.8</v>
      </c>
      <c r="EC79">
        <v>4.9716199999999997</v>
      </c>
      <c r="ED79">
        <v>1.87225</v>
      </c>
      <c r="EE79">
        <v>1.8695200000000001</v>
      </c>
      <c r="EF79">
        <v>1.87182</v>
      </c>
      <c r="EG79">
        <v>1.86965</v>
      </c>
      <c r="EH79">
        <v>1.8684499999999999</v>
      </c>
      <c r="EI79">
        <v>1.8702700000000001</v>
      </c>
      <c r="EJ79">
        <v>1.87195</v>
      </c>
      <c r="EK79">
        <v>0</v>
      </c>
      <c r="EL79">
        <v>0</v>
      </c>
      <c r="EM79">
        <v>0</v>
      </c>
      <c r="EN79">
        <v>0</v>
      </c>
      <c r="EO79" t="s">
        <v>320</v>
      </c>
      <c r="EP79" t="s">
        <v>321</v>
      </c>
      <c r="EQ79" t="s">
        <v>322</v>
      </c>
      <c r="ER79" t="s">
        <v>322</v>
      </c>
      <c r="ES79" t="s">
        <v>322</v>
      </c>
      <c r="ET79" t="s">
        <v>322</v>
      </c>
      <c r="EU79">
        <v>0</v>
      </c>
      <c r="EV79">
        <v>100</v>
      </c>
      <c r="EW79">
        <v>100</v>
      </c>
      <c r="EX79">
        <v>6.8440000000000003</v>
      </c>
      <c r="EY79">
        <v>-1.7110000000000001</v>
      </c>
      <c r="EZ79">
        <v>6.8787324999999981</v>
      </c>
      <c r="FA79">
        <v>0</v>
      </c>
      <c r="FB79">
        <v>0</v>
      </c>
      <c r="FC79">
        <v>0</v>
      </c>
      <c r="FD79">
        <v>-1.701877000000001</v>
      </c>
      <c r="FE79">
        <v>0</v>
      </c>
      <c r="FF79">
        <v>0</v>
      </c>
      <c r="FG79">
        <v>0</v>
      </c>
      <c r="FH79">
        <v>-1</v>
      </c>
      <c r="FI79">
        <v>-1</v>
      </c>
      <c r="FJ79">
        <v>-1</v>
      </c>
      <c r="FK79">
        <v>-1</v>
      </c>
      <c r="FL79">
        <v>0.7</v>
      </c>
      <c r="FM79">
        <v>0.5</v>
      </c>
      <c r="FN79">
        <v>0.14160200000000001</v>
      </c>
      <c r="FO79">
        <v>4.99634</v>
      </c>
      <c r="FP79">
        <v>1.5979000000000001</v>
      </c>
      <c r="FQ79">
        <v>2.1264599999999998</v>
      </c>
      <c r="FR79">
        <v>1.5478499999999999</v>
      </c>
      <c r="FS79">
        <v>2.4462899999999999</v>
      </c>
      <c r="FT79">
        <v>48.794699999999999</v>
      </c>
      <c r="FU79">
        <v>15.4717</v>
      </c>
      <c r="FV79">
        <v>2</v>
      </c>
      <c r="FW79">
        <v>502.33699999999999</v>
      </c>
      <c r="FX79">
        <v>362.53300000000002</v>
      </c>
      <c r="FY79">
        <v>27.928799999999999</v>
      </c>
      <c r="FZ79">
        <v>39.170200000000001</v>
      </c>
      <c r="GA79">
        <v>30.000699999999998</v>
      </c>
      <c r="GB79">
        <v>39.231000000000002</v>
      </c>
      <c r="GC79">
        <v>39.2453</v>
      </c>
      <c r="GD79">
        <v>-1</v>
      </c>
      <c r="GE79">
        <v>0</v>
      </c>
      <c r="GF79">
        <v>100</v>
      </c>
      <c r="GG79">
        <v>27.937200000000001</v>
      </c>
      <c r="GH79">
        <v>432.1</v>
      </c>
      <c r="GI79">
        <v>39.168700000000001</v>
      </c>
      <c r="GJ79">
        <v>100.85</v>
      </c>
      <c r="GK79">
        <v>95.272900000000007</v>
      </c>
    </row>
    <row r="80" spans="1:193" x14ac:dyDescent="0.35">
      <c r="A80">
        <v>64</v>
      </c>
      <c r="B80">
        <v>1775535806.5999999</v>
      </c>
      <c r="C80">
        <v>3780.5</v>
      </c>
      <c r="D80" t="s">
        <v>509</v>
      </c>
      <c r="E80" t="s">
        <v>510</v>
      </c>
      <c r="F80">
        <v>60</v>
      </c>
      <c r="G80">
        <v>1775535798.849999</v>
      </c>
      <c r="H80">
        <f t="shared" si="0"/>
        <v>6.3810859188782919E-3</v>
      </c>
      <c r="I80">
        <f t="shared" si="1"/>
        <v>6.3810859188782922</v>
      </c>
      <c r="J80">
        <f t="shared" si="2"/>
        <v>-4.8447197309450321</v>
      </c>
      <c r="K80">
        <f t="shared" si="3"/>
        <v>-0.63626000000000005</v>
      </c>
      <c r="L80">
        <f t="shared" si="4"/>
        <v>49.513439081489338</v>
      </c>
      <c r="M80">
        <f t="shared" si="5"/>
        <v>4.9672792833447685</v>
      </c>
      <c r="N80">
        <f t="shared" si="6"/>
        <v>-6.3830773532402296E-2</v>
      </c>
      <c r="O80">
        <f t="shared" si="7"/>
        <v>0.15416435918121968</v>
      </c>
      <c r="P80">
        <f t="shared" si="8"/>
        <v>2.3940334318830305</v>
      </c>
      <c r="Q80">
        <f t="shared" si="9"/>
        <v>0.14885390764078227</v>
      </c>
      <c r="R80">
        <f t="shared" si="10"/>
        <v>9.34955757906034E-2</v>
      </c>
      <c r="S80">
        <f t="shared" si="11"/>
        <v>0.30527294979999992</v>
      </c>
      <c r="T80">
        <f t="shared" si="12"/>
        <v>29.186769571081733</v>
      </c>
      <c r="U80">
        <f t="shared" si="13"/>
        <v>30.89007333333333</v>
      </c>
      <c r="V80">
        <f t="shared" si="14"/>
        <v>4.4831791824886231</v>
      </c>
      <c r="W80">
        <f t="shared" si="15"/>
        <v>6.2486434141918572</v>
      </c>
      <c r="X80">
        <f t="shared" si="16"/>
        <v>0.28476782151645758</v>
      </c>
      <c r="Y80">
        <f t="shared" si="17"/>
        <v>4.5572743176494228</v>
      </c>
      <c r="Z80">
        <f t="shared" si="18"/>
        <v>4.1984113609721652</v>
      </c>
      <c r="AA80">
        <f t="shared" si="19"/>
        <v>-281.40588902253268</v>
      </c>
      <c r="AB80">
        <f t="shared" si="20"/>
        <v>37.115404459516526</v>
      </c>
      <c r="AC80">
        <f t="shared" si="21"/>
        <v>3.4825802863041408</v>
      </c>
      <c r="AD80">
        <f t="shared" si="22"/>
        <v>-240.50263132691202</v>
      </c>
      <c r="AE80">
        <v>9</v>
      </c>
      <c r="AF80">
        <v>2</v>
      </c>
      <c r="AG80">
        <f t="shared" si="23"/>
        <v>1</v>
      </c>
      <c r="AH80">
        <f t="shared" si="24"/>
        <v>0</v>
      </c>
      <c r="AI80">
        <f t="shared" si="25"/>
        <v>25251.743307736422</v>
      </c>
      <c r="AJ80">
        <f t="shared" si="26"/>
        <v>1.5974513333333329</v>
      </c>
      <c r="AK80">
        <f t="shared" si="27"/>
        <v>1.2779610666666663</v>
      </c>
      <c r="AL80">
        <f t="shared" si="28"/>
        <v>0.8</v>
      </c>
      <c r="AM80">
        <f t="shared" si="29"/>
        <v>0.19109999999999999</v>
      </c>
      <c r="AN80">
        <v>3</v>
      </c>
      <c r="AO80">
        <v>0.5</v>
      </c>
      <c r="AP80" t="s">
        <v>317</v>
      </c>
      <c r="AQ80">
        <v>2</v>
      </c>
      <c r="AR80">
        <v>1775535798.849999</v>
      </c>
      <c r="AS80">
        <v>-0.63626000000000005</v>
      </c>
      <c r="AT80">
        <v>-3.5455809999999999</v>
      </c>
      <c r="AU80">
        <v>2.8385426666666671</v>
      </c>
      <c r="AV80">
        <v>-0.97931083333333346</v>
      </c>
      <c r="AW80">
        <v>-7.4522599999999999</v>
      </c>
      <c r="AX80">
        <v>0.73968916666666662</v>
      </c>
      <c r="AY80">
        <v>499.9908666666667</v>
      </c>
      <c r="AZ80">
        <v>100.27266666666669</v>
      </c>
      <c r="BA80">
        <v>4.9172726666666652E-2</v>
      </c>
      <c r="BB80">
        <v>31.17764</v>
      </c>
      <c r="BC80">
        <v>30.89007333333333</v>
      </c>
      <c r="BD80">
        <v>999.9000000000002</v>
      </c>
      <c r="BE80">
        <v>0</v>
      </c>
      <c r="BF80">
        <v>0</v>
      </c>
      <c r="BG80">
        <v>5001.833333333333</v>
      </c>
      <c r="BH80">
        <v>1.5974513333333329</v>
      </c>
      <c r="BI80">
        <v>1535.406666666667</v>
      </c>
      <c r="BJ80">
        <v>2.9369770000000002</v>
      </c>
      <c r="BK80">
        <v>-0.60801206666666674</v>
      </c>
      <c r="BL80">
        <v>-3.5556729999999992</v>
      </c>
      <c r="BM80">
        <v>-3.8100233333333331</v>
      </c>
      <c r="BN80">
        <v>-3.5455809999999999</v>
      </c>
      <c r="BO80">
        <v>2.8385426666666671</v>
      </c>
      <c r="BP80">
        <v>-9.7412983333333356E-2</v>
      </c>
      <c r="BQ80">
        <v>0.28462840000000011</v>
      </c>
      <c r="BR80">
        <v>-99.900000000000034</v>
      </c>
      <c r="BS80">
        <v>-10.13251333333333</v>
      </c>
      <c r="BT80">
        <v>1775535836.5999999</v>
      </c>
      <c r="BU80" t="s">
        <v>511</v>
      </c>
      <c r="BV80">
        <v>1775535826.0999999</v>
      </c>
      <c r="BW80">
        <v>1775535836.5999999</v>
      </c>
      <c r="BX80">
        <v>65</v>
      </c>
      <c r="BY80">
        <v>-2.7E-2</v>
      </c>
      <c r="BZ80">
        <v>-8.0000000000000002E-3</v>
      </c>
      <c r="CA80">
        <v>6.8159999999999998</v>
      </c>
      <c r="CB80">
        <v>-1.7190000000000001</v>
      </c>
      <c r="CC80">
        <v>-4</v>
      </c>
      <c r="CD80">
        <v>3</v>
      </c>
      <c r="CE80">
        <v>0.41</v>
      </c>
      <c r="CF80">
        <v>0.02</v>
      </c>
      <c r="CG80">
        <v>-3.5301661666666662</v>
      </c>
      <c r="CH80">
        <v>-0.28796669074743442</v>
      </c>
      <c r="CI80">
        <v>0.1175310587900303</v>
      </c>
      <c r="CJ80">
        <v>-1</v>
      </c>
      <c r="CK80">
        <v>500.99630000000008</v>
      </c>
      <c r="CL80">
        <v>-6.1612581272568807</v>
      </c>
      <c r="CM80">
        <v>1.956924664705656</v>
      </c>
      <c r="CN80">
        <v>-1</v>
      </c>
      <c r="CO80">
        <v>0</v>
      </c>
      <c r="CP80">
        <v>0</v>
      </c>
      <c r="CQ80" t="s">
        <v>319</v>
      </c>
      <c r="CR80">
        <v>3.1687799999999999</v>
      </c>
      <c r="CS80">
        <v>2.6704500000000002</v>
      </c>
      <c r="CT80">
        <v>-2.1662299999999999E-3</v>
      </c>
      <c r="CU80">
        <v>-1.03597E-3</v>
      </c>
      <c r="CV80">
        <v>5.9273900000000003E-3</v>
      </c>
      <c r="CW80">
        <v>2.0089900000000001E-2</v>
      </c>
      <c r="CX80">
        <v>21277.5</v>
      </c>
      <c r="CY80">
        <v>21699.3</v>
      </c>
      <c r="CZ80">
        <v>22771.1</v>
      </c>
      <c r="DA80">
        <v>22050.6</v>
      </c>
      <c r="DB80">
        <v>29220.2</v>
      </c>
      <c r="DC80">
        <v>25717.200000000001</v>
      </c>
      <c r="DD80">
        <v>40080.5</v>
      </c>
      <c r="DE80">
        <v>36483.699999999997</v>
      </c>
      <c r="DF80">
        <v>1.98536</v>
      </c>
      <c r="DG80">
        <v>1.62934</v>
      </c>
      <c r="DH80">
        <v>-0.13880100000000001</v>
      </c>
      <c r="DI80">
        <v>0</v>
      </c>
      <c r="DJ80">
        <v>33.150599999999997</v>
      </c>
      <c r="DK80">
        <v>999.9</v>
      </c>
      <c r="DL80">
        <v>55.7</v>
      </c>
      <c r="DM80">
        <v>42.7</v>
      </c>
      <c r="DN80">
        <v>47.505600000000001</v>
      </c>
      <c r="DO80">
        <v>30.704599999999999</v>
      </c>
      <c r="DP80">
        <v>9.5031999999999996</v>
      </c>
      <c r="DQ80">
        <v>1</v>
      </c>
      <c r="DR80">
        <v>1.0095799999999999</v>
      </c>
      <c r="DS80">
        <v>4.1421299999999999</v>
      </c>
      <c r="DT80">
        <v>20.296299999999999</v>
      </c>
      <c r="DU80">
        <v>5.2102199999999996</v>
      </c>
      <c r="DV80">
        <v>11.855600000000001</v>
      </c>
      <c r="DW80">
        <v>4.9677199999999999</v>
      </c>
      <c r="DX80">
        <v>3.2930000000000001</v>
      </c>
      <c r="DY80">
        <v>894.7</v>
      </c>
      <c r="DZ80">
        <v>6</v>
      </c>
      <c r="EA80">
        <v>9999</v>
      </c>
      <c r="EB80">
        <v>116.8</v>
      </c>
      <c r="EC80">
        <v>4.9715999999999996</v>
      </c>
      <c r="ED80">
        <v>1.8722399999999999</v>
      </c>
      <c r="EE80">
        <v>1.8695200000000001</v>
      </c>
      <c r="EF80">
        <v>1.8718300000000001</v>
      </c>
      <c r="EG80">
        <v>1.86965</v>
      </c>
      <c r="EH80">
        <v>1.8684400000000001</v>
      </c>
      <c r="EI80">
        <v>1.8702700000000001</v>
      </c>
      <c r="EJ80">
        <v>1.87195</v>
      </c>
      <c r="EK80">
        <v>0</v>
      </c>
      <c r="EL80">
        <v>0</v>
      </c>
      <c r="EM80">
        <v>0</v>
      </c>
      <c r="EN80">
        <v>0</v>
      </c>
      <c r="EO80" t="s">
        <v>320</v>
      </c>
      <c r="EP80" t="s">
        <v>321</v>
      </c>
      <c r="EQ80" t="s">
        <v>322</v>
      </c>
      <c r="ER80" t="s">
        <v>322</v>
      </c>
      <c r="ES80" t="s">
        <v>322</v>
      </c>
      <c r="ET80" t="s">
        <v>322</v>
      </c>
      <c r="EU80">
        <v>0</v>
      </c>
      <c r="EV80">
        <v>100</v>
      </c>
      <c r="EW80">
        <v>100</v>
      </c>
      <c r="EX80">
        <v>6.8159999999999998</v>
      </c>
      <c r="EY80">
        <v>-1.7190000000000001</v>
      </c>
      <c r="EZ80">
        <v>6.8436569999999994</v>
      </c>
      <c r="FA80">
        <v>0</v>
      </c>
      <c r="FB80">
        <v>0</v>
      </c>
      <c r="FC80">
        <v>0</v>
      </c>
      <c r="FD80">
        <v>-1.711169523809525</v>
      </c>
      <c r="FE80">
        <v>0</v>
      </c>
      <c r="FF80">
        <v>0</v>
      </c>
      <c r="FG80">
        <v>0</v>
      </c>
      <c r="FH80">
        <v>-1</v>
      </c>
      <c r="FI80">
        <v>-1</v>
      </c>
      <c r="FJ80">
        <v>-1</v>
      </c>
      <c r="FK80">
        <v>-1</v>
      </c>
      <c r="FL80">
        <v>0.7</v>
      </c>
      <c r="FM80">
        <v>0.5</v>
      </c>
      <c r="FN80">
        <v>0.14160200000000001</v>
      </c>
      <c r="FO80">
        <v>4.99756</v>
      </c>
      <c r="FP80">
        <v>1.5979000000000001</v>
      </c>
      <c r="FQ80">
        <v>2.1264599999999998</v>
      </c>
      <c r="FR80">
        <v>1.5478499999999999</v>
      </c>
      <c r="FS80">
        <v>2.4572799999999999</v>
      </c>
      <c r="FT80">
        <v>49.012700000000002</v>
      </c>
      <c r="FU80">
        <v>15.462899999999999</v>
      </c>
      <c r="FV80">
        <v>2</v>
      </c>
      <c r="FW80">
        <v>502.899</v>
      </c>
      <c r="FX80">
        <v>361.55799999999999</v>
      </c>
      <c r="FY80">
        <v>28.23</v>
      </c>
      <c r="FZ80">
        <v>39.256</v>
      </c>
      <c r="GA80">
        <v>30.000699999999998</v>
      </c>
      <c r="GB80">
        <v>39.327800000000003</v>
      </c>
      <c r="GC80">
        <v>39.340299999999999</v>
      </c>
      <c r="GD80">
        <v>-1</v>
      </c>
      <c r="GE80">
        <v>0</v>
      </c>
      <c r="GF80">
        <v>100</v>
      </c>
      <c r="GG80">
        <v>28.227499999999999</v>
      </c>
      <c r="GH80">
        <v>432.1</v>
      </c>
      <c r="GI80">
        <v>39.168700000000001</v>
      </c>
      <c r="GJ80">
        <v>100.833</v>
      </c>
      <c r="GK80">
        <v>95.258300000000006</v>
      </c>
    </row>
    <row r="81" spans="1:193" x14ac:dyDescent="0.35">
      <c r="A81">
        <v>65</v>
      </c>
      <c r="B81">
        <v>1775535866.5999999</v>
      </c>
      <c r="C81">
        <v>3840.5</v>
      </c>
      <c r="D81" t="s">
        <v>512</v>
      </c>
      <c r="E81" t="s">
        <v>513</v>
      </c>
      <c r="F81">
        <v>60</v>
      </c>
      <c r="G81">
        <v>1775535858.599999</v>
      </c>
      <c r="H81">
        <f t="shared" ref="H81:H144" si="30">(I81)/1000</f>
        <v>6.6502843882189199E-3</v>
      </c>
      <c r="I81">
        <f t="shared" ref="I81:I144" si="31">1000*AY81*AG81*(AU81-AV81)/(100*AN81*(1000-AG81*AU81))</f>
        <v>6.6502843882189202</v>
      </c>
      <c r="J81">
        <f t="shared" ref="J81:J144" si="32">AY81*AG81*(AT81-AS81*(1000-AG81*AV81)/(1000-AG81*AU81))/(100*AN81)</f>
        <v>-4.8632999011932245</v>
      </c>
      <c r="K81">
        <f t="shared" ref="K81:K144" si="33">AS81 - IF(AG81&gt;1, J81*AN81*100/(AI81), 0)</f>
        <v>-0.95142354838709764</v>
      </c>
      <c r="L81">
        <f t="shared" ref="L81:L144" si="34">((R81-H81/2)*K81-J81)/(R81+H81/2)</f>
        <v>47.186581400112523</v>
      </c>
      <c r="M81">
        <f t="shared" ref="M81:M144" si="35">L81*(AZ81+BA81)/1000</f>
        <v>4.7336669660734447</v>
      </c>
      <c r="N81">
        <f t="shared" ref="N81:N144" si="36">(AS81 - IF(AG81&gt;1, J81*AN81*100/(AI81), 0))*(AZ81+BA81)/1000</f>
        <v>-9.5444977960061433E-2</v>
      </c>
      <c r="O81">
        <f t="shared" ref="O81:O144" si="37">2/((1/Q81-1/P81)+SIGN(Q81)*SQRT((1/Q81-1/P81)*(1/Q81-1/P81) + 4*AO81/((AO81+1)*(AO81+1))*(2*1/Q81*1/P81-1/P81*1/P81)))</f>
        <v>0.1615507337646617</v>
      </c>
      <c r="P81">
        <f t="shared" ref="P81:P144" si="38">IF(LEFT(AP81,1)&lt;&gt;"0",IF(LEFT(AP81,1)="1",3,AQ81),$D$5+$E$5*(BG81*AZ81/($K$5*1000))+$F$5*(BG81*AZ81/($K$5*1000))*MAX(MIN(AN81,$J$5),$I$5)*MAX(MIN(AN81,$J$5),$I$5)+$G$5*MAX(MIN(AN81,$J$5),$I$5)*(BG81*AZ81/($K$5*1000))+$H$5*(BG81*AZ81/($K$5*1000))*(BG81*AZ81/($K$5*1000)))</f>
        <v>2.392509724751354</v>
      </c>
      <c r="Q81">
        <f t="shared" ref="Q81:Q144" si="39">H81*(1000-(1000*0.61365*EXP(17.502*U81/(240.97+U81))/(AZ81+BA81)+AU81)/2)/(1000*0.61365*EXP(17.502*U81/(240.97+U81))/(AZ81+BA81)-AU81)</f>
        <v>0.1557259928083998</v>
      </c>
      <c r="R81">
        <f t="shared" ref="R81:R144" si="40">1/((AO81+1)/(O81/1.6)+1/(P81/1.37)) + AO81/((AO81+1)/(O81/1.6) + AO81/(P81/1.37))</f>
        <v>9.7834578562357527E-2</v>
      </c>
      <c r="S81">
        <f t="shared" ref="S81:S144" si="41">(AJ81*AM81)</f>
        <v>0.29875285616129027</v>
      </c>
      <c r="T81">
        <f t="shared" ref="T81:T144" si="42">(BB81+(S81+2*0.95*0.0000000567*(((BB81+$B$7)+273)^4-(BB81+273)^4)-44100*H81)/(1.84*29.3*P81+8*0.95*0.0000000567*(BB81+273)^3))</f>
        <v>29.075530675868155</v>
      </c>
      <c r="U81">
        <f t="shared" ref="U81:U144" si="43">($C$7*BC81+$D$7*BD81+$E$7*T81)</f>
        <v>30.858022580645159</v>
      </c>
      <c r="V81">
        <f t="shared" ref="V81:V144" si="44">0.61365*EXP(17.502*U81/(240.97+U81))</f>
        <v>4.4749862722383327</v>
      </c>
      <c r="W81">
        <f t="shared" ref="W81:W144" si="45">(X81/Y81*100)</f>
        <v>6.4321922543051055</v>
      </c>
      <c r="X81">
        <f t="shared" ref="X81:X144" si="46">AU81*(AZ81+BA81)/1000</f>
        <v>0.2927012806614116</v>
      </c>
      <c r="Y81">
        <f t="shared" ref="Y81:Y144" si="47">0.61365*EXP(17.502*BB81/(240.97+BB81))</f>
        <v>4.5505679726146999</v>
      </c>
      <c r="Z81">
        <f t="shared" ref="Z81:Z144" si="48">(V81-AU81*(AZ81+BA81)/1000)</f>
        <v>4.1822849915769211</v>
      </c>
      <c r="AA81">
        <f t="shared" ref="AA81:AA144" si="49">(-H81*44100)</f>
        <v>-293.27754152045435</v>
      </c>
      <c r="AB81">
        <f t="shared" ref="AB81:AB144" si="50">2*29.3*P81*0.92*(BB81-U81)</f>
        <v>37.890379333968845</v>
      </c>
      <c r="AC81">
        <f t="shared" ref="AC81:AC144" si="51">2*0.95*0.0000000567*(((BB81+$B$7)+273)^4-(U81+273)^4)</f>
        <v>3.5565450045877269</v>
      </c>
      <c r="AD81">
        <f t="shared" ref="AD81:AD144" si="52">S81+AC81+AA81+AB81</f>
        <v>-251.53186432573648</v>
      </c>
      <c r="AE81">
        <v>9</v>
      </c>
      <c r="AF81">
        <v>2</v>
      </c>
      <c r="AG81">
        <f t="shared" ref="AG81:AG144" si="53">IF(AE81*$H$13&gt;=AI81,1,(AI81/(AI81-AE81*$H$13)))</f>
        <v>1</v>
      </c>
      <c r="AH81">
        <f t="shared" ref="AH81:AH144" si="54">(AG81-1)*100</f>
        <v>0</v>
      </c>
      <c r="AI81">
        <f t="shared" ref="AI81:AI144" si="55">MAX(0,($B$13+$C$13*BG81)/(1+$D$13*BG81)*AZ81/(BB81+273)*$E$13)</f>
        <v>25231.183798010978</v>
      </c>
      <c r="AJ81">
        <f t="shared" ref="AJ81:AJ144" si="56">$B$11*BH81+$C$11*BI81</f>
        <v>1.563332580645161</v>
      </c>
      <c r="AK81">
        <f t="shared" ref="AK81:AK144" si="57">AJ81*AL81</f>
        <v>1.2506660645161289</v>
      </c>
      <c r="AL81">
        <f t="shared" ref="AL81:AL144" si="58">($B$11*$D$9+$C$11*$D$9)/($B$11+$C$11)</f>
        <v>0.8</v>
      </c>
      <c r="AM81">
        <f t="shared" ref="AM81:AM144" si="59">($B$11*$K$9+$C$11*$K$9)/($B$11+$C$11)</f>
        <v>0.19109999999999999</v>
      </c>
      <c r="AN81">
        <v>3</v>
      </c>
      <c r="AO81">
        <v>0.5</v>
      </c>
      <c r="AP81" t="s">
        <v>317</v>
      </c>
      <c r="AQ81">
        <v>2</v>
      </c>
      <c r="AR81">
        <v>1775535858.599999</v>
      </c>
      <c r="AS81">
        <v>-0.95142354838709764</v>
      </c>
      <c r="AT81">
        <v>-3.873234516129032</v>
      </c>
      <c r="AU81">
        <v>2.917732258064516</v>
      </c>
      <c r="AV81">
        <v>-1.06084335483871</v>
      </c>
      <c r="AW81">
        <v>-7.7934235483870973</v>
      </c>
      <c r="AX81">
        <v>0.66615664516129036</v>
      </c>
      <c r="AY81">
        <v>499.99406451612907</v>
      </c>
      <c r="AZ81">
        <v>100.2683548387097</v>
      </c>
      <c r="BA81">
        <v>4.9719190322580653E-2</v>
      </c>
      <c r="BB81">
        <v>31.151780645161281</v>
      </c>
      <c r="BC81">
        <v>30.858022580645159</v>
      </c>
      <c r="BD81">
        <v>999.90000000000032</v>
      </c>
      <c r="BE81">
        <v>0</v>
      </c>
      <c r="BF81">
        <v>0</v>
      </c>
      <c r="BG81">
        <v>4998.1290322580644</v>
      </c>
      <c r="BH81">
        <v>1.563332580645161</v>
      </c>
      <c r="BI81">
        <v>1521.2438709677419</v>
      </c>
      <c r="BJ81">
        <v>2.8959829032258062</v>
      </c>
      <c r="BK81">
        <v>-0.97622412903225819</v>
      </c>
      <c r="BL81">
        <v>-3.884569354838709</v>
      </c>
      <c r="BM81">
        <v>-3.970661935483871</v>
      </c>
      <c r="BN81">
        <v>-3.873234516129032</v>
      </c>
      <c r="BO81">
        <v>2.917732258064516</v>
      </c>
      <c r="BP81">
        <v>-0.1055754193548387</v>
      </c>
      <c r="BQ81">
        <v>0.29255612903225808</v>
      </c>
      <c r="BR81">
        <v>-99.900000000000034</v>
      </c>
      <c r="BS81">
        <v>-9.7848877419354849</v>
      </c>
      <c r="BT81">
        <v>1775535899.5999999</v>
      </c>
      <c r="BU81" t="s">
        <v>514</v>
      </c>
      <c r="BV81">
        <v>1775535886.5999999</v>
      </c>
      <c r="BW81">
        <v>1775535899.5999999</v>
      </c>
      <c r="BX81">
        <v>66</v>
      </c>
      <c r="BY81">
        <v>2.5999999999999999E-2</v>
      </c>
      <c r="BZ81">
        <v>-8.0000000000000002E-3</v>
      </c>
      <c r="CA81">
        <v>6.8419999999999996</v>
      </c>
      <c r="CB81">
        <v>-1.7270000000000001</v>
      </c>
      <c r="CC81">
        <v>-4</v>
      </c>
      <c r="CD81">
        <v>3</v>
      </c>
      <c r="CE81">
        <v>0.16</v>
      </c>
      <c r="CF81">
        <v>0.02</v>
      </c>
      <c r="CG81">
        <v>-3.9890829999999999</v>
      </c>
      <c r="CH81">
        <v>0.76567702139482352</v>
      </c>
      <c r="CI81">
        <v>0.1502751063583054</v>
      </c>
      <c r="CJ81">
        <v>-1</v>
      </c>
      <c r="CK81">
        <v>500.98351666666667</v>
      </c>
      <c r="CL81">
        <v>-8.0592286746303827</v>
      </c>
      <c r="CM81">
        <v>1.8890417631845939</v>
      </c>
      <c r="CN81">
        <v>-1</v>
      </c>
      <c r="CO81">
        <v>0</v>
      </c>
      <c r="CP81">
        <v>0</v>
      </c>
      <c r="CQ81" t="s">
        <v>319</v>
      </c>
      <c r="CR81">
        <v>3.16893</v>
      </c>
      <c r="CS81">
        <v>2.67103</v>
      </c>
      <c r="CT81">
        <v>-2.2493399999999998E-3</v>
      </c>
      <c r="CU81">
        <v>-1.0863400000000001E-3</v>
      </c>
      <c r="CV81">
        <v>5.4917100000000003E-3</v>
      </c>
      <c r="CW81">
        <v>2.0564300000000001E-2</v>
      </c>
      <c r="CX81">
        <v>21276.7</v>
      </c>
      <c r="CY81">
        <v>21699</v>
      </c>
      <c r="CZ81">
        <v>22768.6</v>
      </c>
      <c r="DA81">
        <v>22049.4</v>
      </c>
      <c r="DB81">
        <v>29229.9</v>
      </c>
      <c r="DC81">
        <v>25703.1</v>
      </c>
      <c r="DD81">
        <v>40076.300000000003</v>
      </c>
      <c r="DE81">
        <v>36481.800000000003</v>
      </c>
      <c r="DF81">
        <v>1.9849000000000001</v>
      </c>
      <c r="DG81">
        <v>1.6274599999999999</v>
      </c>
      <c r="DH81">
        <v>-0.13721</v>
      </c>
      <c r="DI81">
        <v>0</v>
      </c>
      <c r="DJ81">
        <v>33.088299999999997</v>
      </c>
      <c r="DK81">
        <v>999.9</v>
      </c>
      <c r="DL81">
        <v>55.3</v>
      </c>
      <c r="DM81">
        <v>43</v>
      </c>
      <c r="DN81">
        <v>47.915700000000001</v>
      </c>
      <c r="DO81">
        <v>30.644600000000001</v>
      </c>
      <c r="DP81">
        <v>9.6834900000000008</v>
      </c>
      <c r="DQ81">
        <v>1</v>
      </c>
      <c r="DR81">
        <v>1.0136000000000001</v>
      </c>
      <c r="DS81">
        <v>4.0322500000000003</v>
      </c>
      <c r="DT81">
        <v>20.299800000000001</v>
      </c>
      <c r="DU81">
        <v>5.2109399999999999</v>
      </c>
      <c r="DV81">
        <v>11.854200000000001</v>
      </c>
      <c r="DW81">
        <v>4.9666800000000002</v>
      </c>
      <c r="DX81">
        <v>3.2930000000000001</v>
      </c>
      <c r="DY81">
        <v>894.7</v>
      </c>
      <c r="DZ81">
        <v>6</v>
      </c>
      <c r="EA81">
        <v>9999</v>
      </c>
      <c r="EB81">
        <v>116.8</v>
      </c>
      <c r="EC81">
        <v>4.9716100000000001</v>
      </c>
      <c r="ED81">
        <v>1.87225</v>
      </c>
      <c r="EE81">
        <v>1.8695299999999999</v>
      </c>
      <c r="EF81">
        <v>1.8718399999999999</v>
      </c>
      <c r="EG81">
        <v>1.86965</v>
      </c>
      <c r="EH81">
        <v>1.8684400000000001</v>
      </c>
      <c r="EI81">
        <v>1.8702700000000001</v>
      </c>
      <c r="EJ81">
        <v>1.8719600000000001</v>
      </c>
      <c r="EK81">
        <v>0</v>
      </c>
      <c r="EL81">
        <v>0</v>
      </c>
      <c r="EM81">
        <v>0</v>
      </c>
      <c r="EN81">
        <v>0</v>
      </c>
      <c r="EO81" t="s">
        <v>320</v>
      </c>
      <c r="EP81" t="s">
        <v>321</v>
      </c>
      <c r="EQ81" t="s">
        <v>322</v>
      </c>
      <c r="ER81" t="s">
        <v>322</v>
      </c>
      <c r="ES81" t="s">
        <v>322</v>
      </c>
      <c r="ET81" t="s">
        <v>322</v>
      </c>
      <c r="EU81">
        <v>0</v>
      </c>
      <c r="EV81">
        <v>100</v>
      </c>
      <c r="EW81">
        <v>100</v>
      </c>
      <c r="EX81">
        <v>6.8419999999999996</v>
      </c>
      <c r="EY81">
        <v>-1.7270000000000001</v>
      </c>
      <c r="EZ81">
        <v>6.8161704761904751</v>
      </c>
      <c r="FA81">
        <v>0</v>
      </c>
      <c r="FB81">
        <v>0</v>
      </c>
      <c r="FC81">
        <v>0</v>
      </c>
      <c r="FD81">
        <v>-1.7190854999999989</v>
      </c>
      <c r="FE81">
        <v>0</v>
      </c>
      <c r="FF81">
        <v>0</v>
      </c>
      <c r="FG81">
        <v>0</v>
      </c>
      <c r="FH81">
        <v>-1</v>
      </c>
      <c r="FI81">
        <v>-1</v>
      </c>
      <c r="FJ81">
        <v>-1</v>
      </c>
      <c r="FK81">
        <v>-1</v>
      </c>
      <c r="FL81">
        <v>0.7</v>
      </c>
      <c r="FM81">
        <v>0.5</v>
      </c>
      <c r="FN81">
        <v>0.14160200000000001</v>
      </c>
      <c r="FO81">
        <v>4.99756</v>
      </c>
      <c r="FP81">
        <v>1.5979000000000001</v>
      </c>
      <c r="FQ81">
        <v>2.1252399999999998</v>
      </c>
      <c r="FR81">
        <v>1.5478499999999999</v>
      </c>
      <c r="FS81">
        <v>2.5524900000000001</v>
      </c>
      <c r="FT81">
        <v>49.169199999999996</v>
      </c>
      <c r="FU81">
        <v>15.462899999999999</v>
      </c>
      <c r="FV81">
        <v>2</v>
      </c>
      <c r="FW81">
        <v>503.101</v>
      </c>
      <c r="FX81">
        <v>360.86500000000001</v>
      </c>
      <c r="FY81">
        <v>28.184200000000001</v>
      </c>
      <c r="FZ81">
        <v>39.3127</v>
      </c>
      <c r="GA81">
        <v>29.999700000000001</v>
      </c>
      <c r="GB81">
        <v>39.400300000000001</v>
      </c>
      <c r="GC81">
        <v>39.411299999999997</v>
      </c>
      <c r="GD81">
        <v>-1</v>
      </c>
      <c r="GE81">
        <v>0</v>
      </c>
      <c r="GF81">
        <v>100</v>
      </c>
      <c r="GG81">
        <v>28.2</v>
      </c>
      <c r="GH81">
        <v>432.1</v>
      </c>
      <c r="GI81">
        <v>39.168700000000001</v>
      </c>
      <c r="GJ81">
        <v>100.822</v>
      </c>
      <c r="GK81">
        <v>95.253100000000003</v>
      </c>
    </row>
    <row r="82" spans="1:193" x14ac:dyDescent="0.35">
      <c r="A82">
        <v>66</v>
      </c>
      <c r="B82">
        <v>1775535926.5999999</v>
      </c>
      <c r="C82">
        <v>3900.5</v>
      </c>
      <c r="D82" t="s">
        <v>515</v>
      </c>
      <c r="E82" t="s">
        <v>516</v>
      </c>
      <c r="F82">
        <v>60</v>
      </c>
      <c r="G82">
        <v>1775535918.599999</v>
      </c>
      <c r="H82">
        <f t="shared" si="30"/>
        <v>6.3124717513977271E-3</v>
      </c>
      <c r="I82">
        <f t="shared" si="31"/>
        <v>6.3124717513977266</v>
      </c>
      <c r="J82">
        <f t="shared" si="32"/>
        <v>-4.9491110658976956</v>
      </c>
      <c r="K82">
        <f t="shared" si="33"/>
        <v>-0.77012677419354869</v>
      </c>
      <c r="L82">
        <f t="shared" si="34"/>
        <v>50.929037706149558</v>
      </c>
      <c r="M82">
        <f t="shared" si="35"/>
        <v>5.1090787776256379</v>
      </c>
      <c r="N82">
        <f t="shared" si="36"/>
        <v>-7.7257268845636426E-2</v>
      </c>
      <c r="O82">
        <f t="shared" si="37"/>
        <v>0.15275636672714038</v>
      </c>
      <c r="P82">
        <f t="shared" si="38"/>
        <v>2.3941369000325388</v>
      </c>
      <c r="Q82">
        <f t="shared" si="39"/>
        <v>0.14754092505184163</v>
      </c>
      <c r="R82">
        <f t="shared" si="40"/>
        <v>9.2666830496841268E-2</v>
      </c>
      <c r="S82">
        <f t="shared" si="41"/>
        <v>0.33623539509677419</v>
      </c>
      <c r="T82">
        <f t="shared" si="42"/>
        <v>29.211413687663477</v>
      </c>
      <c r="U82">
        <f t="shared" si="43"/>
        <v>30.91341612903226</v>
      </c>
      <c r="V82">
        <f t="shared" si="44"/>
        <v>4.4891543588512857</v>
      </c>
      <c r="W82">
        <f t="shared" si="45"/>
        <v>6.5719750141640931</v>
      </c>
      <c r="X82">
        <f t="shared" si="46"/>
        <v>0.299552589581496</v>
      </c>
      <c r="Y82">
        <f t="shared" si="47"/>
        <v>4.5580299519686607</v>
      </c>
      <c r="Z82">
        <f t="shared" si="48"/>
        <v>4.1896017692697898</v>
      </c>
      <c r="AA82">
        <f t="shared" si="49"/>
        <v>-278.38000423663976</v>
      </c>
      <c r="AB82">
        <f t="shared" si="50"/>
        <v>34.479900454257489</v>
      </c>
      <c r="AC82">
        <f t="shared" si="51"/>
        <v>3.2355671195584268</v>
      </c>
      <c r="AD82">
        <f t="shared" si="52"/>
        <v>-240.32830126772708</v>
      </c>
      <c r="AE82">
        <v>9</v>
      </c>
      <c r="AF82">
        <v>2</v>
      </c>
      <c r="AG82">
        <f t="shared" si="53"/>
        <v>1</v>
      </c>
      <c r="AH82">
        <f t="shared" si="54"/>
        <v>0</v>
      </c>
      <c r="AI82">
        <f t="shared" si="55"/>
        <v>25253.255970495276</v>
      </c>
      <c r="AJ82">
        <f t="shared" si="56"/>
        <v>1.7594735483870969</v>
      </c>
      <c r="AK82">
        <f t="shared" si="57"/>
        <v>1.4075788387096777</v>
      </c>
      <c r="AL82">
        <f t="shared" si="58"/>
        <v>0.8</v>
      </c>
      <c r="AM82">
        <f t="shared" si="59"/>
        <v>0.19109999999999999</v>
      </c>
      <c r="AN82">
        <v>3</v>
      </c>
      <c r="AO82">
        <v>0.5</v>
      </c>
      <c r="AP82" t="s">
        <v>317</v>
      </c>
      <c r="AQ82">
        <v>2</v>
      </c>
      <c r="AR82">
        <v>1775535918.599999</v>
      </c>
      <c r="AS82">
        <v>-0.77012677419354869</v>
      </c>
      <c r="AT82">
        <v>-3.742819032258065</v>
      </c>
      <c r="AU82">
        <v>2.9860422580645158</v>
      </c>
      <c r="AV82">
        <v>-0.79052348387096794</v>
      </c>
      <c r="AW82">
        <v>-7.6021267741935494</v>
      </c>
      <c r="AX82">
        <v>0.94247651612903216</v>
      </c>
      <c r="AY82">
        <v>499.94806451612902</v>
      </c>
      <c r="AZ82">
        <v>100.2675483870968</v>
      </c>
      <c r="BA82">
        <v>5.0050525806451633E-2</v>
      </c>
      <c r="BB82">
        <v>31.18055161290323</v>
      </c>
      <c r="BC82">
        <v>30.91341612903226</v>
      </c>
      <c r="BD82">
        <v>999.90000000000032</v>
      </c>
      <c r="BE82">
        <v>0</v>
      </c>
      <c r="BF82">
        <v>0</v>
      </c>
      <c r="BG82">
        <v>5002.3548387096771</v>
      </c>
      <c r="BH82">
        <v>1.7594735483870969</v>
      </c>
      <c r="BI82">
        <v>1842.984516129032</v>
      </c>
      <c r="BJ82">
        <v>2.9823867741935479</v>
      </c>
      <c r="BK82">
        <v>-0.75983774193548381</v>
      </c>
      <c r="BL82">
        <v>-3.7540299999999989</v>
      </c>
      <c r="BM82">
        <v>-3.7702854838709681</v>
      </c>
      <c r="BN82">
        <v>-3.742819032258065</v>
      </c>
      <c r="BO82">
        <v>2.9860422580645158</v>
      </c>
      <c r="BP82">
        <v>-7.8634170967741918E-2</v>
      </c>
      <c r="BQ82">
        <v>0.29940299999999997</v>
      </c>
      <c r="BR82">
        <v>-99.900000000000034</v>
      </c>
      <c r="BS82">
        <v>-9.4913477419354848</v>
      </c>
      <c r="BT82">
        <v>1775535957.5999999</v>
      </c>
      <c r="BU82" t="s">
        <v>517</v>
      </c>
      <c r="BV82">
        <v>1775535944.5999999</v>
      </c>
      <c r="BW82">
        <v>1775535957.5999999</v>
      </c>
      <c r="BX82">
        <v>67</v>
      </c>
      <c r="BY82">
        <v>-0.01</v>
      </c>
      <c r="BZ82">
        <v>-6.0000000000000001E-3</v>
      </c>
      <c r="CA82">
        <v>6.8319999999999999</v>
      </c>
      <c r="CB82">
        <v>-1.7330000000000001</v>
      </c>
      <c r="CC82">
        <v>-4</v>
      </c>
      <c r="CD82">
        <v>3</v>
      </c>
      <c r="CE82">
        <v>0.22</v>
      </c>
      <c r="CF82">
        <v>0.03</v>
      </c>
      <c r="CG82">
        <v>-3.6596420000000012</v>
      </c>
      <c r="CH82">
        <v>-0.55254335093081619</v>
      </c>
      <c r="CI82">
        <v>8.6827827044866981E-2</v>
      </c>
      <c r="CJ82">
        <v>-1</v>
      </c>
      <c r="CK82">
        <v>500.97793333333328</v>
      </c>
      <c r="CL82">
        <v>-5.0875265351475267</v>
      </c>
      <c r="CM82">
        <v>1.929074725238906</v>
      </c>
      <c r="CN82">
        <v>-1</v>
      </c>
      <c r="CO82">
        <v>0</v>
      </c>
      <c r="CP82">
        <v>0</v>
      </c>
      <c r="CQ82" t="s">
        <v>319</v>
      </c>
      <c r="CR82">
        <v>3.1688399999999999</v>
      </c>
      <c r="CS82">
        <v>2.6716199999999999</v>
      </c>
      <c r="CT82">
        <v>-2.2296E-3</v>
      </c>
      <c r="CU82">
        <v>-1.1244600000000001E-3</v>
      </c>
      <c r="CV82">
        <v>7.4105300000000002E-3</v>
      </c>
      <c r="CW82">
        <v>2.09962E-2</v>
      </c>
      <c r="CX82">
        <v>21275.1</v>
      </c>
      <c r="CY82">
        <v>21699.5</v>
      </c>
      <c r="CZ82">
        <v>22767.3</v>
      </c>
      <c r="DA82">
        <v>22049.1</v>
      </c>
      <c r="DB82">
        <v>29171.599999999999</v>
      </c>
      <c r="DC82">
        <v>25691.200000000001</v>
      </c>
      <c r="DD82">
        <v>40074.1</v>
      </c>
      <c r="DE82">
        <v>36480.9</v>
      </c>
      <c r="DF82">
        <v>1.98472</v>
      </c>
      <c r="DG82">
        <v>1.62574</v>
      </c>
      <c r="DH82">
        <v>-0.12598000000000001</v>
      </c>
      <c r="DI82">
        <v>0</v>
      </c>
      <c r="DJ82">
        <v>32.969099999999997</v>
      </c>
      <c r="DK82">
        <v>999.9</v>
      </c>
      <c r="DL82">
        <v>54.9</v>
      </c>
      <c r="DM82">
        <v>43.1</v>
      </c>
      <c r="DN82">
        <v>47.818399999999997</v>
      </c>
      <c r="DO82">
        <v>30.944600000000001</v>
      </c>
      <c r="DP82">
        <v>9.5913500000000003</v>
      </c>
      <c r="DQ82">
        <v>1</v>
      </c>
      <c r="DR82">
        <v>1.01268</v>
      </c>
      <c r="DS82">
        <v>3.7856399999999999</v>
      </c>
      <c r="DT82">
        <v>20.306999999999999</v>
      </c>
      <c r="DU82">
        <v>5.2107000000000001</v>
      </c>
      <c r="DV82">
        <v>11.855</v>
      </c>
      <c r="DW82">
        <v>4.9670800000000002</v>
      </c>
      <c r="DX82">
        <v>3.2930000000000001</v>
      </c>
      <c r="DY82">
        <v>894.7</v>
      </c>
      <c r="DZ82">
        <v>6</v>
      </c>
      <c r="EA82">
        <v>9999</v>
      </c>
      <c r="EB82">
        <v>116.8</v>
      </c>
      <c r="EC82">
        <v>4.9716199999999997</v>
      </c>
      <c r="ED82">
        <v>1.87225</v>
      </c>
      <c r="EE82">
        <v>1.86954</v>
      </c>
      <c r="EF82">
        <v>1.87188</v>
      </c>
      <c r="EG82">
        <v>1.86964</v>
      </c>
      <c r="EH82">
        <v>1.8684400000000001</v>
      </c>
      <c r="EI82">
        <v>1.87029</v>
      </c>
      <c r="EJ82">
        <v>1.87195</v>
      </c>
      <c r="EK82">
        <v>0</v>
      </c>
      <c r="EL82">
        <v>0</v>
      </c>
      <c r="EM82">
        <v>0</v>
      </c>
      <c r="EN82">
        <v>0</v>
      </c>
      <c r="EO82" t="s">
        <v>320</v>
      </c>
      <c r="EP82" t="s">
        <v>321</v>
      </c>
      <c r="EQ82" t="s">
        <v>322</v>
      </c>
      <c r="ER82" t="s">
        <v>322</v>
      </c>
      <c r="ES82" t="s">
        <v>322</v>
      </c>
      <c r="ET82" t="s">
        <v>322</v>
      </c>
      <c r="EU82">
        <v>0</v>
      </c>
      <c r="EV82">
        <v>100</v>
      </c>
      <c r="EW82">
        <v>100</v>
      </c>
      <c r="EX82">
        <v>6.8319999999999999</v>
      </c>
      <c r="EY82">
        <v>-1.7330000000000001</v>
      </c>
      <c r="EZ82">
        <v>6.8416935000000008</v>
      </c>
      <c r="FA82">
        <v>0</v>
      </c>
      <c r="FB82">
        <v>0</v>
      </c>
      <c r="FC82">
        <v>0</v>
      </c>
      <c r="FD82">
        <v>-1.7267200000000009</v>
      </c>
      <c r="FE82">
        <v>0</v>
      </c>
      <c r="FF82">
        <v>0</v>
      </c>
      <c r="FG82">
        <v>0</v>
      </c>
      <c r="FH82">
        <v>-1</v>
      </c>
      <c r="FI82">
        <v>-1</v>
      </c>
      <c r="FJ82">
        <v>-1</v>
      </c>
      <c r="FK82">
        <v>-1</v>
      </c>
      <c r="FL82">
        <v>0.7</v>
      </c>
      <c r="FM82">
        <v>0.5</v>
      </c>
      <c r="FN82">
        <v>0.14160200000000001</v>
      </c>
      <c r="FO82">
        <v>4.99634</v>
      </c>
      <c r="FP82">
        <v>1.5979000000000001</v>
      </c>
      <c r="FQ82">
        <v>2.1252399999999998</v>
      </c>
      <c r="FR82">
        <v>1.5478499999999999</v>
      </c>
      <c r="FS82">
        <v>2.5293000000000001</v>
      </c>
      <c r="FT82">
        <v>49.263500000000001</v>
      </c>
      <c r="FU82">
        <v>15.462899999999999</v>
      </c>
      <c r="FV82">
        <v>2</v>
      </c>
      <c r="FW82">
        <v>503.19299999999998</v>
      </c>
      <c r="FX82">
        <v>360.07499999999999</v>
      </c>
      <c r="FY82">
        <v>28.4816</v>
      </c>
      <c r="FZ82">
        <v>39.319499999999998</v>
      </c>
      <c r="GA82">
        <v>29.9998</v>
      </c>
      <c r="GB82">
        <v>39.430500000000002</v>
      </c>
      <c r="GC82">
        <v>39.444099999999999</v>
      </c>
      <c r="GD82">
        <v>-1</v>
      </c>
      <c r="GE82">
        <v>0</v>
      </c>
      <c r="GF82">
        <v>100</v>
      </c>
      <c r="GG82">
        <v>28.485700000000001</v>
      </c>
      <c r="GH82">
        <v>432.1</v>
      </c>
      <c r="GI82">
        <v>40.881999999999998</v>
      </c>
      <c r="GJ82">
        <v>100.81699999999999</v>
      </c>
      <c r="GK82">
        <v>95.251300000000001</v>
      </c>
    </row>
    <row r="83" spans="1:193" x14ac:dyDescent="0.35">
      <c r="A83">
        <v>67</v>
      </c>
      <c r="B83">
        <v>1775535986.5999999</v>
      </c>
      <c r="C83">
        <v>3960.5</v>
      </c>
      <c r="D83" t="s">
        <v>518</v>
      </c>
      <c r="E83" t="s">
        <v>519</v>
      </c>
      <c r="F83">
        <v>60</v>
      </c>
      <c r="G83">
        <v>1775535978.599999</v>
      </c>
      <c r="H83">
        <f t="shared" si="30"/>
        <v>6.6593442472304004E-3</v>
      </c>
      <c r="I83">
        <f t="shared" si="31"/>
        <v>6.6593442472304005</v>
      </c>
      <c r="J83">
        <f t="shared" si="32"/>
        <v>-5.1315933992185725</v>
      </c>
      <c r="K83">
        <f t="shared" si="33"/>
        <v>-0.66672935483870965</v>
      </c>
      <c r="L83">
        <f t="shared" si="34"/>
        <v>49.917580034842658</v>
      </c>
      <c r="M83">
        <f t="shared" si="35"/>
        <v>5.0075617779273456</v>
      </c>
      <c r="N83">
        <f t="shared" si="36"/>
        <v>-6.6884020242609185E-2</v>
      </c>
      <c r="O83">
        <f t="shared" si="37"/>
        <v>0.162181230588334</v>
      </c>
      <c r="P83">
        <f t="shared" si="38"/>
        <v>2.3924414648546444</v>
      </c>
      <c r="Q83">
        <f t="shared" si="39"/>
        <v>0.15631166316776746</v>
      </c>
      <c r="R83">
        <f t="shared" si="40"/>
        <v>9.8204448663647553E-2</v>
      </c>
      <c r="S83">
        <f t="shared" si="41"/>
        <v>0.35652324919354844</v>
      </c>
      <c r="T83">
        <f t="shared" si="42"/>
        <v>29.107631394312321</v>
      </c>
      <c r="U83">
        <f t="shared" si="43"/>
        <v>30.875625806451609</v>
      </c>
      <c r="V83">
        <f t="shared" si="44"/>
        <v>4.4794844460254488</v>
      </c>
      <c r="W83">
        <f t="shared" si="45"/>
        <v>6.7478795505327733</v>
      </c>
      <c r="X83">
        <f t="shared" si="46"/>
        <v>0.30767100412686466</v>
      </c>
      <c r="Y83">
        <f t="shared" si="47"/>
        <v>4.5595212810604</v>
      </c>
      <c r="Z83">
        <f t="shared" si="48"/>
        <v>4.1718134418985837</v>
      </c>
      <c r="AA83">
        <f t="shared" si="49"/>
        <v>-293.67708130286064</v>
      </c>
      <c r="AB83">
        <f t="shared" si="50"/>
        <v>40.070746612971632</v>
      </c>
      <c r="AC83">
        <f t="shared" si="51"/>
        <v>3.7622779112821751</v>
      </c>
      <c r="AD83">
        <f t="shared" si="52"/>
        <v>-249.48753352941333</v>
      </c>
      <c r="AE83">
        <v>9</v>
      </c>
      <c r="AF83">
        <v>2</v>
      </c>
      <c r="AG83">
        <f t="shared" si="53"/>
        <v>1</v>
      </c>
      <c r="AH83">
        <f t="shared" si="54"/>
        <v>0</v>
      </c>
      <c r="AI83">
        <f t="shared" si="55"/>
        <v>25227.358311033851</v>
      </c>
      <c r="AJ83">
        <f t="shared" si="56"/>
        <v>1.865637096774194</v>
      </c>
      <c r="AK83">
        <f t="shared" si="57"/>
        <v>1.4925096774193554</v>
      </c>
      <c r="AL83">
        <f t="shared" si="58"/>
        <v>0.8</v>
      </c>
      <c r="AM83">
        <f t="shared" si="59"/>
        <v>0.19109999999999999</v>
      </c>
      <c r="AN83">
        <v>3</v>
      </c>
      <c r="AO83">
        <v>0.5</v>
      </c>
      <c r="AP83" t="s">
        <v>317</v>
      </c>
      <c r="AQ83">
        <v>2</v>
      </c>
      <c r="AR83">
        <v>1775535978.599999</v>
      </c>
      <c r="AS83">
        <v>-0.66672935483870965</v>
      </c>
      <c r="AT83">
        <v>-3.7485354838709681</v>
      </c>
      <c r="AU83">
        <v>3.0670000000000011</v>
      </c>
      <c r="AV83">
        <v>-0.91659258064516136</v>
      </c>
      <c r="AW83">
        <v>-7.4967293548387097</v>
      </c>
      <c r="AX83">
        <v>0.82340741935483863</v>
      </c>
      <c r="AY83">
        <v>499.96980645161301</v>
      </c>
      <c r="AZ83">
        <v>100.2667741935484</v>
      </c>
      <c r="BA83">
        <v>4.9823174193548377E-2</v>
      </c>
      <c r="BB83">
        <v>31.18629677419354</v>
      </c>
      <c r="BC83">
        <v>30.875625806451609</v>
      </c>
      <c r="BD83">
        <v>999.90000000000032</v>
      </c>
      <c r="BE83">
        <v>0</v>
      </c>
      <c r="BF83">
        <v>0</v>
      </c>
      <c r="BG83">
        <v>4998.0322580645161</v>
      </c>
      <c r="BH83">
        <v>1.865637096774194</v>
      </c>
      <c r="BI83">
        <v>2040.020645161291</v>
      </c>
      <c r="BJ83">
        <v>3.0838377419354841</v>
      </c>
      <c r="BK83">
        <v>-0.66409383870967753</v>
      </c>
      <c r="BL83">
        <v>-3.7600661290322579</v>
      </c>
      <c r="BM83">
        <v>-3.976766451612904</v>
      </c>
      <c r="BN83">
        <v>-3.7485354838709681</v>
      </c>
      <c r="BO83">
        <v>3.0670000000000011</v>
      </c>
      <c r="BP83">
        <v>-9.1219409677419344E-2</v>
      </c>
      <c r="BQ83">
        <v>0.30751800000000001</v>
      </c>
      <c r="BR83">
        <v>-99.900000000000034</v>
      </c>
      <c r="BS83">
        <v>-9.1510574193548386</v>
      </c>
      <c r="BT83">
        <v>1775536017.0999999</v>
      </c>
      <c r="BU83" t="s">
        <v>520</v>
      </c>
      <c r="BV83">
        <v>1775536004.5999999</v>
      </c>
      <c r="BW83">
        <v>1775536017.0999999</v>
      </c>
      <c r="BX83">
        <v>68</v>
      </c>
      <c r="BY83">
        <v>-2E-3</v>
      </c>
      <c r="BZ83">
        <v>-7.0000000000000001E-3</v>
      </c>
      <c r="CA83">
        <v>6.83</v>
      </c>
      <c r="CB83">
        <v>-1.74</v>
      </c>
      <c r="CC83">
        <v>-4</v>
      </c>
      <c r="CD83">
        <v>3</v>
      </c>
      <c r="CE83">
        <v>0.15</v>
      </c>
      <c r="CF83">
        <v>0.02</v>
      </c>
      <c r="CG83">
        <v>-3.6576170000000001</v>
      </c>
      <c r="CH83">
        <v>-0.59336575715476902</v>
      </c>
      <c r="CI83">
        <v>9.0028242426103883E-2</v>
      </c>
      <c r="CJ83">
        <v>-1</v>
      </c>
      <c r="CK83">
        <v>500.98253333333338</v>
      </c>
      <c r="CL83">
        <v>-6.5903839955541716</v>
      </c>
      <c r="CM83">
        <v>1.950522754431633</v>
      </c>
      <c r="CN83">
        <v>-1</v>
      </c>
      <c r="CO83">
        <v>0</v>
      </c>
      <c r="CP83">
        <v>0</v>
      </c>
      <c r="CQ83" t="s">
        <v>319</v>
      </c>
      <c r="CR83">
        <v>3.1689099999999999</v>
      </c>
      <c r="CS83">
        <v>2.6712799999999999</v>
      </c>
      <c r="CT83">
        <v>-2.1965999999999999E-3</v>
      </c>
      <c r="CU83">
        <v>-1.1113900000000001E-3</v>
      </c>
      <c r="CV83">
        <v>6.45658E-3</v>
      </c>
      <c r="CW83">
        <v>2.1470199999999998E-2</v>
      </c>
      <c r="CX83">
        <v>21276.1</v>
      </c>
      <c r="CY83">
        <v>21701.4</v>
      </c>
      <c r="CZ83">
        <v>22769</v>
      </c>
      <c r="DA83">
        <v>22051.200000000001</v>
      </c>
      <c r="DB83">
        <v>29202.1</v>
      </c>
      <c r="DC83">
        <v>25681.1</v>
      </c>
      <c r="DD83">
        <v>40077.199999999997</v>
      </c>
      <c r="DE83">
        <v>36484.300000000003</v>
      </c>
      <c r="DF83">
        <v>1.9845200000000001</v>
      </c>
      <c r="DG83">
        <v>1.62602</v>
      </c>
      <c r="DH83">
        <v>-0.124073</v>
      </c>
      <c r="DI83">
        <v>0</v>
      </c>
      <c r="DJ83">
        <v>32.894100000000002</v>
      </c>
      <c r="DK83">
        <v>999.9</v>
      </c>
      <c r="DL83">
        <v>54.5</v>
      </c>
      <c r="DM83">
        <v>43.3</v>
      </c>
      <c r="DN83">
        <v>47.968800000000002</v>
      </c>
      <c r="DO83">
        <v>30.974599999999999</v>
      </c>
      <c r="DP83">
        <v>9.7515999999999998</v>
      </c>
      <c r="DQ83">
        <v>1</v>
      </c>
      <c r="DR83">
        <v>1.0087299999999999</v>
      </c>
      <c r="DS83">
        <v>3.8932500000000001</v>
      </c>
      <c r="DT83">
        <v>20.304099999999998</v>
      </c>
      <c r="DU83">
        <v>5.2093800000000003</v>
      </c>
      <c r="DV83">
        <v>11.854799999999999</v>
      </c>
      <c r="DW83">
        <v>4.96732</v>
      </c>
      <c r="DX83">
        <v>3.2930000000000001</v>
      </c>
      <c r="DY83">
        <v>894.7</v>
      </c>
      <c r="DZ83">
        <v>6</v>
      </c>
      <c r="EA83">
        <v>9999</v>
      </c>
      <c r="EB83">
        <v>116.8</v>
      </c>
      <c r="EC83">
        <v>4.9716199999999997</v>
      </c>
      <c r="ED83">
        <v>1.87222</v>
      </c>
      <c r="EE83">
        <v>1.8695999999999999</v>
      </c>
      <c r="EF83">
        <v>1.8718999999999999</v>
      </c>
      <c r="EG83">
        <v>1.86965</v>
      </c>
      <c r="EH83">
        <v>1.8684499999999999</v>
      </c>
      <c r="EI83">
        <v>1.8702700000000001</v>
      </c>
      <c r="EJ83">
        <v>1.8719600000000001</v>
      </c>
      <c r="EK83">
        <v>0</v>
      </c>
      <c r="EL83">
        <v>0</v>
      </c>
      <c r="EM83">
        <v>0</v>
      </c>
      <c r="EN83">
        <v>0</v>
      </c>
      <c r="EO83" t="s">
        <v>320</v>
      </c>
      <c r="EP83" t="s">
        <v>321</v>
      </c>
      <c r="EQ83" t="s">
        <v>322</v>
      </c>
      <c r="ER83" t="s">
        <v>322</v>
      </c>
      <c r="ES83" t="s">
        <v>322</v>
      </c>
      <c r="ET83" t="s">
        <v>322</v>
      </c>
      <c r="EU83">
        <v>0</v>
      </c>
      <c r="EV83">
        <v>100</v>
      </c>
      <c r="EW83">
        <v>100</v>
      </c>
      <c r="EX83">
        <v>6.83</v>
      </c>
      <c r="EY83">
        <v>-1.74</v>
      </c>
      <c r="EZ83">
        <v>6.8320319999999972</v>
      </c>
      <c r="FA83">
        <v>0</v>
      </c>
      <c r="FB83">
        <v>0</v>
      </c>
      <c r="FC83">
        <v>0</v>
      </c>
      <c r="FD83">
        <v>-1.733175000000001</v>
      </c>
      <c r="FE83">
        <v>0</v>
      </c>
      <c r="FF83">
        <v>0</v>
      </c>
      <c r="FG83">
        <v>0</v>
      </c>
      <c r="FH83">
        <v>-1</v>
      </c>
      <c r="FI83">
        <v>-1</v>
      </c>
      <c r="FJ83">
        <v>-1</v>
      </c>
      <c r="FK83">
        <v>-1</v>
      </c>
      <c r="FL83">
        <v>0.7</v>
      </c>
      <c r="FM83">
        <v>0.5</v>
      </c>
      <c r="FN83">
        <v>0.14160200000000001</v>
      </c>
      <c r="FO83">
        <v>4.99756</v>
      </c>
      <c r="FP83">
        <v>1.5979000000000001</v>
      </c>
      <c r="FQ83">
        <v>2.1252399999999998</v>
      </c>
      <c r="FR83">
        <v>1.5478499999999999</v>
      </c>
      <c r="FS83">
        <v>2.50366</v>
      </c>
      <c r="FT83">
        <v>49.3264</v>
      </c>
      <c r="FU83">
        <v>15.4542</v>
      </c>
      <c r="FV83">
        <v>2</v>
      </c>
      <c r="FW83">
        <v>503.01799999999997</v>
      </c>
      <c r="FX83">
        <v>360.22899999999998</v>
      </c>
      <c r="FY83">
        <v>28.3247</v>
      </c>
      <c r="FZ83">
        <v>39.278100000000002</v>
      </c>
      <c r="GA83">
        <v>29.999700000000001</v>
      </c>
      <c r="GB83">
        <v>39.422899999999998</v>
      </c>
      <c r="GC83">
        <v>39.444099999999999</v>
      </c>
      <c r="GD83">
        <v>-1</v>
      </c>
      <c r="GE83">
        <v>0</v>
      </c>
      <c r="GF83">
        <v>100</v>
      </c>
      <c r="GG83">
        <v>28.3262</v>
      </c>
      <c r="GH83">
        <v>432.1</v>
      </c>
      <c r="GI83">
        <v>40.881999999999998</v>
      </c>
      <c r="GJ83">
        <v>100.824</v>
      </c>
      <c r="GK83">
        <v>95.260199999999998</v>
      </c>
    </row>
    <row r="84" spans="1:193" x14ac:dyDescent="0.35">
      <c r="A84">
        <v>68</v>
      </c>
      <c r="B84">
        <v>1775536046.5999999</v>
      </c>
      <c r="C84">
        <v>4020.5</v>
      </c>
      <c r="D84" t="s">
        <v>521</v>
      </c>
      <c r="E84" t="s">
        <v>522</v>
      </c>
      <c r="F84">
        <v>60</v>
      </c>
      <c r="G84">
        <v>1775536038.849999</v>
      </c>
      <c r="H84">
        <f t="shared" si="30"/>
        <v>6.6530901511270358E-3</v>
      </c>
      <c r="I84">
        <f t="shared" si="31"/>
        <v>6.6530901511270359</v>
      </c>
      <c r="J84">
        <f t="shared" si="32"/>
        <v>-5.0730404341558382</v>
      </c>
      <c r="K84">
        <f t="shared" si="33"/>
        <v>-1.0917179999999991</v>
      </c>
      <c r="L84">
        <f t="shared" si="34"/>
        <v>49.012513214594293</v>
      </c>
      <c r="M84">
        <f t="shared" si="35"/>
        <v>4.9166715499811042</v>
      </c>
      <c r="N84">
        <f t="shared" si="36"/>
        <v>-0.10951527434842841</v>
      </c>
      <c r="O84">
        <f t="shared" si="37"/>
        <v>0.16194653067430892</v>
      </c>
      <c r="P84">
        <f t="shared" si="38"/>
        <v>2.3935543343056547</v>
      </c>
      <c r="Q84">
        <f t="shared" si="39"/>
        <v>0.15609622493513364</v>
      </c>
      <c r="R84">
        <f t="shared" si="40"/>
        <v>9.8068159708364244E-2</v>
      </c>
      <c r="S84">
        <f t="shared" si="41"/>
        <v>0.35510813520000001</v>
      </c>
      <c r="T84">
        <f t="shared" si="42"/>
        <v>29.120652970964379</v>
      </c>
      <c r="U84">
        <f t="shared" si="43"/>
        <v>30.91285666666667</v>
      </c>
      <c r="V84">
        <f t="shared" si="44"/>
        <v>4.4890110692746106</v>
      </c>
      <c r="W84">
        <f t="shared" si="45"/>
        <v>6.9226868542706459</v>
      </c>
      <c r="X84">
        <f t="shared" si="46"/>
        <v>0.315824324424057</v>
      </c>
      <c r="Y84">
        <f t="shared" si="47"/>
        <v>4.5621639555922302</v>
      </c>
      <c r="Z84">
        <f t="shared" si="48"/>
        <v>4.173186744850554</v>
      </c>
      <c r="AA84">
        <f t="shared" si="49"/>
        <v>-293.40127566470227</v>
      </c>
      <c r="AB84">
        <f t="shared" si="50"/>
        <v>36.59826372883515</v>
      </c>
      <c r="AC84">
        <f t="shared" si="51"/>
        <v>3.4354490115022962</v>
      </c>
      <c r="AD84">
        <f t="shared" si="52"/>
        <v>-253.01245478916485</v>
      </c>
      <c r="AE84">
        <v>9</v>
      </c>
      <c r="AF84">
        <v>2</v>
      </c>
      <c r="AG84">
        <f t="shared" si="53"/>
        <v>1</v>
      </c>
      <c r="AH84">
        <f t="shared" si="54"/>
        <v>0</v>
      </c>
      <c r="AI84">
        <f t="shared" si="55"/>
        <v>25243.27602397621</v>
      </c>
      <c r="AJ84">
        <f t="shared" si="56"/>
        <v>1.8582320000000001</v>
      </c>
      <c r="AK84">
        <f t="shared" si="57"/>
        <v>1.4865856000000002</v>
      </c>
      <c r="AL84">
        <f t="shared" si="58"/>
        <v>0.8</v>
      </c>
      <c r="AM84">
        <f t="shared" si="59"/>
        <v>0.19109999999999999</v>
      </c>
      <c r="AN84">
        <v>3</v>
      </c>
      <c r="AO84">
        <v>0.5</v>
      </c>
      <c r="AP84" t="s">
        <v>317</v>
      </c>
      <c r="AQ84">
        <v>2</v>
      </c>
      <c r="AR84">
        <v>1775536038.849999</v>
      </c>
      <c r="AS84">
        <v>-1.0917179999999991</v>
      </c>
      <c r="AT84">
        <v>-4.1401369999999993</v>
      </c>
      <c r="AU84">
        <v>3.1483379999999999</v>
      </c>
      <c r="AV84">
        <v>-0.83125746666666689</v>
      </c>
      <c r="AW84">
        <v>-7.9447179999999991</v>
      </c>
      <c r="AX84">
        <v>0.91674253333333311</v>
      </c>
      <c r="AY84">
        <v>499.96116666666683</v>
      </c>
      <c r="AZ84">
        <v>100.2653333333333</v>
      </c>
      <c r="BA84">
        <v>4.9284863333333331E-2</v>
      </c>
      <c r="BB84">
        <v>31.196473333333341</v>
      </c>
      <c r="BC84">
        <v>30.91285666666667</v>
      </c>
      <c r="BD84">
        <v>999.9000000000002</v>
      </c>
      <c r="BE84">
        <v>0</v>
      </c>
      <c r="BF84">
        <v>0</v>
      </c>
      <c r="BG84">
        <v>5000.9666666666662</v>
      </c>
      <c r="BH84">
        <v>1.8582320000000001</v>
      </c>
      <c r="BI84">
        <v>2014.2223333333329</v>
      </c>
      <c r="BJ84">
        <v>3.025017000000001</v>
      </c>
      <c r="BK84">
        <v>-1.1142019999999999</v>
      </c>
      <c r="BL84">
        <v>-4.1532119999999999</v>
      </c>
      <c r="BM84">
        <v>-3.9717043333333319</v>
      </c>
      <c r="BN84">
        <v>-4.1401369999999993</v>
      </c>
      <c r="BO84">
        <v>3.1483379999999999</v>
      </c>
      <c r="BP84">
        <v>-8.2555206666666658E-2</v>
      </c>
      <c r="BQ84">
        <v>0.31566923333333341</v>
      </c>
      <c r="BR84">
        <v>-99.900000000000034</v>
      </c>
      <c r="BS84">
        <v>-8.8172446666666691</v>
      </c>
      <c r="BT84">
        <v>1775536077.5999999</v>
      </c>
      <c r="BU84" t="s">
        <v>523</v>
      </c>
      <c r="BV84">
        <v>1775536065.0999999</v>
      </c>
      <c r="BW84">
        <v>1775536077.5999999</v>
      </c>
      <c r="BX84">
        <v>69</v>
      </c>
      <c r="BY84">
        <v>2.4E-2</v>
      </c>
      <c r="BZ84">
        <v>-8.0000000000000002E-3</v>
      </c>
      <c r="CA84">
        <v>6.8529999999999998</v>
      </c>
      <c r="CB84">
        <v>-1.748</v>
      </c>
      <c r="CC84">
        <v>-4</v>
      </c>
      <c r="CD84">
        <v>3</v>
      </c>
      <c r="CE84">
        <v>0.31</v>
      </c>
      <c r="CF84">
        <v>0.02</v>
      </c>
      <c r="CG84">
        <v>-4.0612916666666674</v>
      </c>
      <c r="CH84">
        <v>-0.74296091136427334</v>
      </c>
      <c r="CI84">
        <v>0.14937727538201909</v>
      </c>
      <c r="CJ84">
        <v>-1</v>
      </c>
      <c r="CK84">
        <v>500.98876666666672</v>
      </c>
      <c r="CL84">
        <v>-7.9154720755770933</v>
      </c>
      <c r="CM84">
        <v>1.9727219382253449</v>
      </c>
      <c r="CN84">
        <v>-1</v>
      </c>
      <c r="CO84">
        <v>0</v>
      </c>
      <c r="CP84">
        <v>0</v>
      </c>
      <c r="CQ84" t="s">
        <v>319</v>
      </c>
      <c r="CR84">
        <v>3.1688800000000001</v>
      </c>
      <c r="CS84">
        <v>2.6709299999999998</v>
      </c>
      <c r="CT84">
        <v>-2.3090300000000001E-3</v>
      </c>
      <c r="CU84">
        <v>-1.19984E-3</v>
      </c>
      <c r="CV84">
        <v>7.0894E-3</v>
      </c>
      <c r="CW84">
        <v>2.2020600000000001E-2</v>
      </c>
      <c r="CX84">
        <v>21281.7</v>
      </c>
      <c r="CY84">
        <v>21707</v>
      </c>
      <c r="CZ84">
        <v>22772.2</v>
      </c>
      <c r="DA84">
        <v>22054.7</v>
      </c>
      <c r="DB84">
        <v>29187.5</v>
      </c>
      <c r="DC84">
        <v>25671.200000000001</v>
      </c>
      <c r="DD84">
        <v>40082.6</v>
      </c>
      <c r="DE84">
        <v>36490.699999999997</v>
      </c>
      <c r="DF84">
        <v>1.9853000000000001</v>
      </c>
      <c r="DG84">
        <v>1.6262399999999999</v>
      </c>
      <c r="DH84">
        <v>-0.120211</v>
      </c>
      <c r="DI84">
        <v>0</v>
      </c>
      <c r="DJ84">
        <v>32.870899999999999</v>
      </c>
      <c r="DK84">
        <v>999.9</v>
      </c>
      <c r="DL84">
        <v>54.2</v>
      </c>
      <c r="DM84">
        <v>43.5</v>
      </c>
      <c r="DN84">
        <v>48.205500000000001</v>
      </c>
      <c r="DO84">
        <v>30.794599999999999</v>
      </c>
      <c r="DP84">
        <v>9.6434300000000004</v>
      </c>
      <c r="DQ84">
        <v>1</v>
      </c>
      <c r="DR84">
        <v>1.0005299999999999</v>
      </c>
      <c r="DS84">
        <v>3.7597100000000001</v>
      </c>
      <c r="DT84">
        <v>20.307400000000001</v>
      </c>
      <c r="DU84">
        <v>5.2063899999999999</v>
      </c>
      <c r="DV84">
        <v>11.8546</v>
      </c>
      <c r="DW84">
        <v>4.9666399999999999</v>
      </c>
      <c r="DX84">
        <v>3.2930000000000001</v>
      </c>
      <c r="DY84">
        <v>894.7</v>
      </c>
      <c r="DZ84">
        <v>6</v>
      </c>
      <c r="EA84">
        <v>9999</v>
      </c>
      <c r="EB84">
        <v>116.9</v>
      </c>
      <c r="EC84">
        <v>4.9716399999999998</v>
      </c>
      <c r="ED84">
        <v>1.8722399999999999</v>
      </c>
      <c r="EE84">
        <v>1.8695900000000001</v>
      </c>
      <c r="EF84">
        <v>1.8718900000000001</v>
      </c>
      <c r="EG84">
        <v>1.8696600000000001</v>
      </c>
      <c r="EH84">
        <v>1.86846</v>
      </c>
      <c r="EI84">
        <v>1.8702799999999999</v>
      </c>
      <c r="EJ84">
        <v>1.8719699999999999</v>
      </c>
      <c r="EK84">
        <v>0</v>
      </c>
      <c r="EL84">
        <v>0</v>
      </c>
      <c r="EM84">
        <v>0</v>
      </c>
      <c r="EN84">
        <v>0</v>
      </c>
      <c r="EO84" t="s">
        <v>320</v>
      </c>
      <c r="EP84" t="s">
        <v>321</v>
      </c>
      <c r="EQ84" t="s">
        <v>322</v>
      </c>
      <c r="ER84" t="s">
        <v>322</v>
      </c>
      <c r="ES84" t="s">
        <v>322</v>
      </c>
      <c r="ET84" t="s">
        <v>322</v>
      </c>
      <c r="EU84">
        <v>0</v>
      </c>
      <c r="EV84">
        <v>100</v>
      </c>
      <c r="EW84">
        <v>100</v>
      </c>
      <c r="EX84">
        <v>6.8529999999999998</v>
      </c>
      <c r="EY84">
        <v>-1.748</v>
      </c>
      <c r="EZ84">
        <v>6.8295969999999979</v>
      </c>
      <c r="FA84">
        <v>0</v>
      </c>
      <c r="FB84">
        <v>0</v>
      </c>
      <c r="FC84">
        <v>0</v>
      </c>
      <c r="FD84">
        <v>-1.7401095238095241</v>
      </c>
      <c r="FE84">
        <v>0</v>
      </c>
      <c r="FF84">
        <v>0</v>
      </c>
      <c r="FG84">
        <v>0</v>
      </c>
      <c r="FH84">
        <v>-1</v>
      </c>
      <c r="FI84">
        <v>-1</v>
      </c>
      <c r="FJ84">
        <v>-1</v>
      </c>
      <c r="FK84">
        <v>-1</v>
      </c>
      <c r="FL84">
        <v>0.7</v>
      </c>
      <c r="FM84">
        <v>0.5</v>
      </c>
      <c r="FN84">
        <v>0.14160200000000001</v>
      </c>
      <c r="FO84">
        <v>4.99756</v>
      </c>
      <c r="FP84">
        <v>1.5979000000000001</v>
      </c>
      <c r="FQ84">
        <v>2.1240199999999998</v>
      </c>
      <c r="FR84">
        <v>1.5478499999999999</v>
      </c>
      <c r="FS84">
        <v>2.5280800000000001</v>
      </c>
      <c r="FT84">
        <v>49.389400000000002</v>
      </c>
      <c r="FU84">
        <v>15.462899999999999</v>
      </c>
      <c r="FV84">
        <v>2</v>
      </c>
      <c r="FW84">
        <v>503.274</v>
      </c>
      <c r="FX84">
        <v>360.22300000000001</v>
      </c>
      <c r="FY84">
        <v>28.414999999999999</v>
      </c>
      <c r="FZ84">
        <v>39.208799999999997</v>
      </c>
      <c r="GA84">
        <v>29.999600000000001</v>
      </c>
      <c r="GB84">
        <v>39.389200000000002</v>
      </c>
      <c r="GC84">
        <v>39.4178</v>
      </c>
      <c r="GD84">
        <v>-1</v>
      </c>
      <c r="GE84">
        <v>0</v>
      </c>
      <c r="GF84">
        <v>100</v>
      </c>
      <c r="GG84">
        <v>28.414200000000001</v>
      </c>
      <c r="GH84">
        <v>432.1</v>
      </c>
      <c r="GI84">
        <v>40.881999999999998</v>
      </c>
      <c r="GJ84">
        <v>100.83799999999999</v>
      </c>
      <c r="GK84">
        <v>95.276399999999995</v>
      </c>
    </row>
    <row r="85" spans="1:193" x14ac:dyDescent="0.35">
      <c r="A85">
        <v>69</v>
      </c>
      <c r="B85">
        <v>1775536106.5999999</v>
      </c>
      <c r="C85">
        <v>4080.5</v>
      </c>
      <c r="D85" t="s">
        <v>524</v>
      </c>
      <c r="E85" t="s">
        <v>525</v>
      </c>
      <c r="F85">
        <v>60</v>
      </c>
      <c r="G85">
        <v>1775536098.599999</v>
      </c>
      <c r="H85">
        <f t="shared" si="30"/>
        <v>7.0984150035214135E-3</v>
      </c>
      <c r="I85">
        <f t="shared" si="31"/>
        <v>7.0984150035214135</v>
      </c>
      <c r="J85">
        <f t="shared" si="32"/>
        <v>-5.2321562782640587</v>
      </c>
      <c r="K85">
        <f t="shared" si="33"/>
        <v>-1.0133561290322579</v>
      </c>
      <c r="L85">
        <f t="shared" si="34"/>
        <v>47.2232544594481</v>
      </c>
      <c r="M85">
        <f t="shared" si="35"/>
        <v>4.7371663429097026</v>
      </c>
      <c r="N85">
        <f t="shared" si="36"/>
        <v>-0.10165408129495057</v>
      </c>
      <c r="O85">
        <f t="shared" si="37"/>
        <v>0.17390823362576455</v>
      </c>
      <c r="P85">
        <f t="shared" si="38"/>
        <v>2.3918985371285681</v>
      </c>
      <c r="Q85">
        <f t="shared" si="39"/>
        <v>0.16717662520725882</v>
      </c>
      <c r="R85">
        <f t="shared" si="40"/>
        <v>0.10506848840794172</v>
      </c>
      <c r="S85">
        <f t="shared" si="41"/>
        <v>0.35532141512903226</v>
      </c>
      <c r="T85">
        <f t="shared" si="42"/>
        <v>28.982612771358163</v>
      </c>
      <c r="U85">
        <f t="shared" si="43"/>
        <v>30.883283870967741</v>
      </c>
      <c r="V85">
        <f t="shared" si="44"/>
        <v>4.4814425496972108</v>
      </c>
      <c r="W85">
        <f t="shared" si="45"/>
        <v>7.1022880603776972</v>
      </c>
      <c r="X85">
        <f t="shared" si="46"/>
        <v>0.32406356960776772</v>
      </c>
      <c r="Y85">
        <f t="shared" si="47"/>
        <v>4.5628052094318203</v>
      </c>
      <c r="Z85">
        <f t="shared" si="48"/>
        <v>4.157378980089443</v>
      </c>
      <c r="AA85">
        <f t="shared" si="49"/>
        <v>-313.04010165529434</v>
      </c>
      <c r="AB85">
        <f t="shared" si="50"/>
        <v>40.704749446922087</v>
      </c>
      <c r="AC85">
        <f t="shared" si="51"/>
        <v>3.8230554586915662</v>
      </c>
      <c r="AD85">
        <f t="shared" si="52"/>
        <v>-268.15697533455165</v>
      </c>
      <c r="AE85">
        <v>9</v>
      </c>
      <c r="AF85">
        <v>2</v>
      </c>
      <c r="AG85">
        <f t="shared" si="53"/>
        <v>1</v>
      </c>
      <c r="AH85">
        <f t="shared" si="54"/>
        <v>0</v>
      </c>
      <c r="AI85">
        <f t="shared" si="55"/>
        <v>25218.256732429862</v>
      </c>
      <c r="AJ85">
        <f t="shared" si="56"/>
        <v>1.8593480645161291</v>
      </c>
      <c r="AK85">
        <f t="shared" si="57"/>
        <v>1.4874784516129034</v>
      </c>
      <c r="AL85">
        <f t="shared" si="58"/>
        <v>0.8</v>
      </c>
      <c r="AM85">
        <f t="shared" si="59"/>
        <v>0.19109999999999999</v>
      </c>
      <c r="AN85">
        <v>3</v>
      </c>
      <c r="AO85">
        <v>0.5</v>
      </c>
      <c r="AP85" t="s">
        <v>317</v>
      </c>
      <c r="AQ85">
        <v>2</v>
      </c>
      <c r="AR85">
        <v>1775536098.599999</v>
      </c>
      <c r="AS85">
        <v>-1.0133561290322579</v>
      </c>
      <c r="AT85">
        <v>-4.1571641935483878</v>
      </c>
      <c r="AU85">
        <v>3.2304832258064509</v>
      </c>
      <c r="AV85">
        <v>-1.015074870967742</v>
      </c>
      <c r="AW85">
        <v>-7.8533561290322584</v>
      </c>
      <c r="AX85">
        <v>0.74192512903225805</v>
      </c>
      <c r="AY85">
        <v>499.96845161290321</v>
      </c>
      <c r="AZ85">
        <v>100.2643225806451</v>
      </c>
      <c r="BA85">
        <v>4.9948367741935493E-2</v>
      </c>
      <c r="BB85">
        <v>31.19894193548387</v>
      </c>
      <c r="BC85">
        <v>30.883283870967741</v>
      </c>
      <c r="BD85">
        <v>999.90000000000032</v>
      </c>
      <c r="BE85">
        <v>0</v>
      </c>
      <c r="BF85">
        <v>0</v>
      </c>
      <c r="BG85">
        <v>4996.7580645161288</v>
      </c>
      <c r="BH85">
        <v>1.8593480645161291</v>
      </c>
      <c r="BI85">
        <v>2028.262903225806</v>
      </c>
      <c r="BJ85">
        <v>3.157194193548388</v>
      </c>
      <c r="BK85">
        <v>-0.9989644838709677</v>
      </c>
      <c r="BL85">
        <v>-4.1706380645161296</v>
      </c>
      <c r="BM85">
        <v>-4.2367258064516129</v>
      </c>
      <c r="BN85">
        <v>-4.1571641935483878</v>
      </c>
      <c r="BO85">
        <v>3.2304832258064509</v>
      </c>
      <c r="BP85">
        <v>-0.1008904387096774</v>
      </c>
      <c r="BQ85">
        <v>0.32390229032258061</v>
      </c>
      <c r="BR85">
        <v>-99.900000000000034</v>
      </c>
      <c r="BS85">
        <v>-8.4877477419354825</v>
      </c>
      <c r="BT85">
        <v>1775536140.5999999</v>
      </c>
      <c r="BU85" t="s">
        <v>526</v>
      </c>
      <c r="BV85">
        <v>1775536124.5999999</v>
      </c>
      <c r="BW85">
        <v>1775536140.5999999</v>
      </c>
      <c r="BX85">
        <v>70</v>
      </c>
      <c r="BY85">
        <v>-1.2999999999999999E-2</v>
      </c>
      <c r="BZ85">
        <v>-8.9999999999999993E-3</v>
      </c>
      <c r="CA85">
        <v>6.84</v>
      </c>
      <c r="CB85">
        <v>-1.7569999999999999</v>
      </c>
      <c r="CC85">
        <v>-4</v>
      </c>
      <c r="CD85">
        <v>3</v>
      </c>
      <c r="CE85">
        <v>0.09</v>
      </c>
      <c r="CF85">
        <v>0.01</v>
      </c>
      <c r="CG85">
        <v>-4.1478443333333326</v>
      </c>
      <c r="CH85">
        <v>-1.3560566824121861E-2</v>
      </c>
      <c r="CI85">
        <v>2.372724849665931E-2</v>
      </c>
      <c r="CJ85">
        <v>-1</v>
      </c>
      <c r="CK85">
        <v>500.9875833333333</v>
      </c>
      <c r="CL85">
        <v>-7.43624895804325</v>
      </c>
      <c r="CM85">
        <v>1.937263226751136</v>
      </c>
      <c r="CN85">
        <v>-1</v>
      </c>
      <c r="CO85">
        <v>0</v>
      </c>
      <c r="CP85">
        <v>0</v>
      </c>
      <c r="CQ85" t="s">
        <v>319</v>
      </c>
      <c r="CR85">
        <v>3.1688700000000001</v>
      </c>
      <c r="CS85">
        <v>2.6707000000000001</v>
      </c>
      <c r="CT85">
        <v>-2.27897E-3</v>
      </c>
      <c r="CU85">
        <v>-1.20239E-3</v>
      </c>
      <c r="CV85">
        <v>5.6984799999999997E-3</v>
      </c>
      <c r="CW85">
        <v>2.25308E-2</v>
      </c>
      <c r="CX85">
        <v>21282.799999999999</v>
      </c>
      <c r="CY85">
        <v>21708.6</v>
      </c>
      <c r="CZ85">
        <v>22773.8</v>
      </c>
      <c r="DA85">
        <v>22056.1</v>
      </c>
      <c r="DB85">
        <v>29230.400000000001</v>
      </c>
      <c r="DC85">
        <v>25659.5</v>
      </c>
      <c r="DD85">
        <v>40085.1</v>
      </c>
      <c r="DE85">
        <v>36493.1</v>
      </c>
      <c r="DF85">
        <v>1.98508</v>
      </c>
      <c r="DG85">
        <v>1.62592</v>
      </c>
      <c r="DH85">
        <v>-0.126362</v>
      </c>
      <c r="DI85">
        <v>0</v>
      </c>
      <c r="DJ85">
        <v>32.923499999999997</v>
      </c>
      <c r="DK85">
        <v>999.9</v>
      </c>
      <c r="DL85">
        <v>53.9</v>
      </c>
      <c r="DM85">
        <v>43.7</v>
      </c>
      <c r="DN85">
        <v>48.439900000000002</v>
      </c>
      <c r="DO85">
        <v>30.674600000000002</v>
      </c>
      <c r="DP85">
        <v>9.9719499999999996</v>
      </c>
      <c r="DQ85">
        <v>1</v>
      </c>
      <c r="DR85">
        <v>0.99717100000000003</v>
      </c>
      <c r="DS85">
        <v>3.6627299999999998</v>
      </c>
      <c r="DT85">
        <v>20.3111</v>
      </c>
      <c r="DU85">
        <v>5.2068700000000003</v>
      </c>
      <c r="DV85">
        <v>11.8546</v>
      </c>
      <c r="DW85">
        <v>4.9658800000000003</v>
      </c>
      <c r="DX85">
        <v>3.2930000000000001</v>
      </c>
      <c r="DY85">
        <v>894.7</v>
      </c>
      <c r="DZ85">
        <v>6</v>
      </c>
      <c r="EA85">
        <v>9999</v>
      </c>
      <c r="EB85">
        <v>116.9</v>
      </c>
      <c r="EC85">
        <v>4.9716500000000003</v>
      </c>
      <c r="ED85">
        <v>1.87225</v>
      </c>
      <c r="EE85">
        <v>1.86961</v>
      </c>
      <c r="EF85">
        <v>1.87185</v>
      </c>
      <c r="EG85">
        <v>1.8696600000000001</v>
      </c>
      <c r="EH85">
        <v>1.8684799999999999</v>
      </c>
      <c r="EI85">
        <v>1.87029</v>
      </c>
      <c r="EJ85">
        <v>1.87198</v>
      </c>
      <c r="EK85">
        <v>0</v>
      </c>
      <c r="EL85">
        <v>0</v>
      </c>
      <c r="EM85">
        <v>0</v>
      </c>
      <c r="EN85">
        <v>0</v>
      </c>
      <c r="EO85" t="s">
        <v>320</v>
      </c>
      <c r="EP85" t="s">
        <v>321</v>
      </c>
      <c r="EQ85" t="s">
        <v>322</v>
      </c>
      <c r="ER85" t="s">
        <v>322</v>
      </c>
      <c r="ES85" t="s">
        <v>322</v>
      </c>
      <c r="ET85" t="s">
        <v>322</v>
      </c>
      <c r="EU85">
        <v>0</v>
      </c>
      <c r="EV85">
        <v>100</v>
      </c>
      <c r="EW85">
        <v>100</v>
      </c>
      <c r="EX85">
        <v>6.84</v>
      </c>
      <c r="EY85">
        <v>-1.7569999999999999</v>
      </c>
      <c r="EZ85">
        <v>6.8533866666666672</v>
      </c>
      <c r="FA85">
        <v>0</v>
      </c>
      <c r="FB85">
        <v>0</v>
      </c>
      <c r="FC85">
        <v>0</v>
      </c>
      <c r="FD85">
        <v>-1.7481685</v>
      </c>
      <c r="FE85">
        <v>0</v>
      </c>
      <c r="FF85">
        <v>0</v>
      </c>
      <c r="FG85">
        <v>0</v>
      </c>
      <c r="FH85">
        <v>-1</v>
      </c>
      <c r="FI85">
        <v>-1</v>
      </c>
      <c r="FJ85">
        <v>-1</v>
      </c>
      <c r="FK85">
        <v>-1</v>
      </c>
      <c r="FL85">
        <v>0.7</v>
      </c>
      <c r="FM85">
        <v>0.5</v>
      </c>
      <c r="FN85">
        <v>0.14160200000000001</v>
      </c>
      <c r="FO85">
        <v>4.99634</v>
      </c>
      <c r="FP85">
        <v>1.5979000000000001</v>
      </c>
      <c r="FQ85">
        <v>2.1252399999999998</v>
      </c>
      <c r="FR85">
        <v>1.5478499999999999</v>
      </c>
      <c r="FS85">
        <v>2.4230999999999998</v>
      </c>
      <c r="FT85">
        <v>49.484200000000001</v>
      </c>
      <c r="FU85">
        <v>15.445399999999999</v>
      </c>
      <c r="FV85">
        <v>2</v>
      </c>
      <c r="FW85">
        <v>502.98399999999998</v>
      </c>
      <c r="FX85">
        <v>359.99099999999999</v>
      </c>
      <c r="FY85">
        <v>28.192900000000002</v>
      </c>
      <c r="FZ85">
        <v>39.158200000000001</v>
      </c>
      <c r="GA85">
        <v>29.998699999999999</v>
      </c>
      <c r="GB85">
        <v>39.366199999999999</v>
      </c>
      <c r="GC85">
        <v>39.406500000000001</v>
      </c>
      <c r="GD85">
        <v>-1</v>
      </c>
      <c r="GE85">
        <v>0</v>
      </c>
      <c r="GF85">
        <v>100</v>
      </c>
      <c r="GG85">
        <v>28.255299999999998</v>
      </c>
      <c r="GH85">
        <v>432.1</v>
      </c>
      <c r="GI85">
        <v>40.881999999999998</v>
      </c>
      <c r="GJ85">
        <v>100.845</v>
      </c>
      <c r="GK85">
        <v>95.282499999999999</v>
      </c>
    </row>
    <row r="86" spans="1:193" x14ac:dyDescent="0.35">
      <c r="A86">
        <v>70</v>
      </c>
      <c r="B86">
        <v>1775536166.5999999</v>
      </c>
      <c r="C86">
        <v>4140.5</v>
      </c>
      <c r="D86" t="s">
        <v>527</v>
      </c>
      <c r="E86" t="s">
        <v>528</v>
      </c>
      <c r="F86">
        <v>60</v>
      </c>
      <c r="G86">
        <v>1775536158.599999</v>
      </c>
      <c r="H86">
        <f t="shared" si="30"/>
        <v>7.2922677214591778E-3</v>
      </c>
      <c r="I86">
        <f t="shared" si="31"/>
        <v>7.2922677214591776</v>
      </c>
      <c r="J86">
        <f t="shared" si="32"/>
        <v>-5.2502734166887821</v>
      </c>
      <c r="K86">
        <f t="shared" si="33"/>
        <v>-1.2891951612903221</v>
      </c>
      <c r="L86">
        <f t="shared" si="34"/>
        <v>45.742755397498655</v>
      </c>
      <c r="M86">
        <f t="shared" si="35"/>
        <v>4.5887063184360777</v>
      </c>
      <c r="N86">
        <f t="shared" si="36"/>
        <v>-0.12932622730972629</v>
      </c>
      <c r="O86">
        <f t="shared" si="37"/>
        <v>0.17924676812573864</v>
      </c>
      <c r="P86">
        <f t="shared" si="38"/>
        <v>2.3934648254136515</v>
      </c>
      <c r="Q86">
        <f t="shared" si="39"/>
        <v>0.17210913091304433</v>
      </c>
      <c r="R86">
        <f t="shared" si="40"/>
        <v>0.1081858125174168</v>
      </c>
      <c r="S86">
        <f t="shared" si="41"/>
        <v>0.36920519999999996</v>
      </c>
      <c r="T86">
        <f t="shared" si="42"/>
        <v>28.927925209658248</v>
      </c>
      <c r="U86">
        <f t="shared" si="43"/>
        <v>30.887080645161291</v>
      </c>
      <c r="V86">
        <f t="shared" si="44"/>
        <v>4.4824136298463486</v>
      </c>
      <c r="W86">
        <f t="shared" si="45"/>
        <v>7.3200086926863168</v>
      </c>
      <c r="X86">
        <f t="shared" si="46"/>
        <v>0.33408215334207919</v>
      </c>
      <c r="Y86">
        <f t="shared" si="47"/>
        <v>4.5639584236542321</v>
      </c>
      <c r="Z86">
        <f t="shared" si="48"/>
        <v>4.1483314765042696</v>
      </c>
      <c r="AA86">
        <f t="shared" si="49"/>
        <v>-321.58900651634974</v>
      </c>
      <c r="AB86">
        <f t="shared" si="50"/>
        <v>40.814237253693534</v>
      </c>
      <c r="AC86">
        <f t="shared" si="51"/>
        <v>3.8309858380333242</v>
      </c>
      <c r="AD86">
        <f t="shared" si="52"/>
        <v>-276.57457822462288</v>
      </c>
      <c r="AE86">
        <v>9</v>
      </c>
      <c r="AF86">
        <v>2</v>
      </c>
      <c r="AG86">
        <f t="shared" si="53"/>
        <v>1</v>
      </c>
      <c r="AH86">
        <f t="shared" si="54"/>
        <v>0</v>
      </c>
      <c r="AI86">
        <f t="shared" si="55"/>
        <v>25241.312766811283</v>
      </c>
      <c r="AJ86">
        <f t="shared" si="56"/>
        <v>1.9319999999999999</v>
      </c>
      <c r="AK86">
        <f t="shared" si="57"/>
        <v>1.5456000000000001</v>
      </c>
      <c r="AL86">
        <f t="shared" si="58"/>
        <v>0.8</v>
      </c>
      <c r="AM86">
        <f t="shared" si="59"/>
        <v>0.19109999999999999</v>
      </c>
      <c r="AN86">
        <v>3</v>
      </c>
      <c r="AO86">
        <v>0.5</v>
      </c>
      <c r="AP86" t="s">
        <v>317</v>
      </c>
      <c r="AQ86">
        <v>2</v>
      </c>
      <c r="AR86">
        <v>1775536158.599999</v>
      </c>
      <c r="AS86">
        <v>-1.2891951612903221</v>
      </c>
      <c r="AT86">
        <v>-4.4449848387096766</v>
      </c>
      <c r="AU86">
        <v>3.3303151612903221</v>
      </c>
      <c r="AV86">
        <v>-1.0304533225806449</v>
      </c>
      <c r="AW86">
        <v>-8.1361951612903223</v>
      </c>
      <c r="AX86">
        <v>0.73554667741935498</v>
      </c>
      <c r="AY86">
        <v>500.00238709677421</v>
      </c>
      <c r="AZ86">
        <v>100.2665161290322</v>
      </c>
      <c r="BA86">
        <v>4.8960683870967747E-2</v>
      </c>
      <c r="BB86">
        <v>31.203380645161289</v>
      </c>
      <c r="BC86">
        <v>30.887080645161291</v>
      </c>
      <c r="BD86">
        <v>999.90000000000032</v>
      </c>
      <c r="BE86">
        <v>0</v>
      </c>
      <c r="BF86">
        <v>0</v>
      </c>
      <c r="BG86">
        <v>5000.677419354839</v>
      </c>
      <c r="BH86">
        <v>1.9319999999999999</v>
      </c>
      <c r="BI86">
        <v>2159.9464516129042</v>
      </c>
      <c r="BJ86">
        <v>3.1490816129032262</v>
      </c>
      <c r="BK86">
        <v>-1.2945816129032259</v>
      </c>
      <c r="BL86">
        <v>-4.4598367741935494</v>
      </c>
      <c r="BM86">
        <v>-4.351534193548388</v>
      </c>
      <c r="BN86">
        <v>-4.4449848387096766</v>
      </c>
      <c r="BO86">
        <v>3.3303151612903221</v>
      </c>
      <c r="BP86">
        <v>-0.102393935483871</v>
      </c>
      <c r="BQ86">
        <v>0.33391912903225812</v>
      </c>
      <c r="BR86">
        <v>-99.900000000000034</v>
      </c>
      <c r="BS86">
        <v>-8.0967654838709695</v>
      </c>
      <c r="BT86">
        <v>1775536202.0999999</v>
      </c>
      <c r="BU86" t="s">
        <v>529</v>
      </c>
      <c r="BV86">
        <v>1775536184.5999999</v>
      </c>
      <c r="BW86">
        <v>1775536202.0999999</v>
      </c>
      <c r="BX86">
        <v>71</v>
      </c>
      <c r="BY86">
        <v>7.0000000000000001E-3</v>
      </c>
      <c r="BZ86">
        <v>-8.9999999999999993E-3</v>
      </c>
      <c r="CA86">
        <v>6.8470000000000004</v>
      </c>
      <c r="CB86">
        <v>-1.766</v>
      </c>
      <c r="CC86">
        <v>-4</v>
      </c>
      <c r="CD86">
        <v>3</v>
      </c>
      <c r="CE86">
        <v>0.14000000000000001</v>
      </c>
      <c r="CF86">
        <v>0.02</v>
      </c>
      <c r="CG86">
        <v>-4.4832391666666664</v>
      </c>
      <c r="CH86">
        <v>0.24123691025283961</v>
      </c>
      <c r="CI86">
        <v>5.4189819963152579E-2</v>
      </c>
      <c r="CJ86">
        <v>-1</v>
      </c>
      <c r="CK86">
        <v>500.9920166666667</v>
      </c>
      <c r="CL86">
        <v>-4.1294303973313902</v>
      </c>
      <c r="CM86">
        <v>1.916716336965095</v>
      </c>
      <c r="CN86">
        <v>-1</v>
      </c>
      <c r="CO86">
        <v>0</v>
      </c>
      <c r="CP86">
        <v>0</v>
      </c>
      <c r="CQ86" t="s">
        <v>319</v>
      </c>
      <c r="CR86">
        <v>3.1689400000000001</v>
      </c>
      <c r="CS86">
        <v>2.6699299999999999</v>
      </c>
      <c r="CT86">
        <v>-2.3425899999999999E-3</v>
      </c>
      <c r="CU86">
        <v>-1.26012E-3</v>
      </c>
      <c r="CV86">
        <v>5.6164199999999996E-3</v>
      </c>
      <c r="CW86">
        <v>2.3108199999999999E-2</v>
      </c>
      <c r="CX86">
        <v>21284.9</v>
      </c>
      <c r="CY86">
        <v>21710.799999999999</v>
      </c>
      <c r="CZ86">
        <v>22774.400000000001</v>
      </c>
      <c r="DA86">
        <v>22057</v>
      </c>
      <c r="DB86">
        <v>29233.7</v>
      </c>
      <c r="DC86">
        <v>25645.5</v>
      </c>
      <c r="DD86">
        <v>40086.199999999997</v>
      </c>
      <c r="DE86">
        <v>36494.699999999997</v>
      </c>
      <c r="DF86">
        <v>1.98502</v>
      </c>
      <c r="DG86">
        <v>1.6254999999999999</v>
      </c>
      <c r="DH86">
        <v>-0.12839999999999999</v>
      </c>
      <c r="DI86">
        <v>0</v>
      </c>
      <c r="DJ86">
        <v>32.959499999999998</v>
      </c>
      <c r="DK86">
        <v>999.9</v>
      </c>
      <c r="DL86">
        <v>53.6</v>
      </c>
      <c r="DM86">
        <v>43.9</v>
      </c>
      <c r="DN86">
        <v>48.6753</v>
      </c>
      <c r="DO86">
        <v>30.644600000000001</v>
      </c>
      <c r="DP86">
        <v>9.8838100000000004</v>
      </c>
      <c r="DQ86">
        <v>1</v>
      </c>
      <c r="DR86">
        <v>0.99571100000000001</v>
      </c>
      <c r="DS86">
        <v>4.0730300000000002</v>
      </c>
      <c r="DT86">
        <v>20.299099999999999</v>
      </c>
      <c r="DU86">
        <v>5.21082</v>
      </c>
      <c r="DV86">
        <v>11.8543</v>
      </c>
      <c r="DW86">
        <v>4.9676</v>
      </c>
      <c r="DX86">
        <v>3.2930000000000001</v>
      </c>
      <c r="DY86">
        <v>894.7</v>
      </c>
      <c r="DZ86">
        <v>6</v>
      </c>
      <c r="EA86">
        <v>9999</v>
      </c>
      <c r="EB86">
        <v>116.9</v>
      </c>
      <c r="EC86">
        <v>4.9716199999999997</v>
      </c>
      <c r="ED86">
        <v>1.8722399999999999</v>
      </c>
      <c r="EE86">
        <v>1.86961</v>
      </c>
      <c r="EF86">
        <v>1.87185</v>
      </c>
      <c r="EG86">
        <v>1.8696600000000001</v>
      </c>
      <c r="EH86">
        <v>1.8684499999999999</v>
      </c>
      <c r="EI86">
        <v>1.8702799999999999</v>
      </c>
      <c r="EJ86">
        <v>1.8719600000000001</v>
      </c>
      <c r="EK86">
        <v>0</v>
      </c>
      <c r="EL86">
        <v>0</v>
      </c>
      <c r="EM86">
        <v>0</v>
      </c>
      <c r="EN86">
        <v>0</v>
      </c>
      <c r="EO86" t="s">
        <v>320</v>
      </c>
      <c r="EP86" t="s">
        <v>321</v>
      </c>
      <c r="EQ86" t="s">
        <v>322</v>
      </c>
      <c r="ER86" t="s">
        <v>322</v>
      </c>
      <c r="ES86" t="s">
        <v>322</v>
      </c>
      <c r="ET86" t="s">
        <v>322</v>
      </c>
      <c r="EU86">
        <v>0</v>
      </c>
      <c r="EV86">
        <v>100</v>
      </c>
      <c r="EW86">
        <v>100</v>
      </c>
      <c r="EX86">
        <v>6.8470000000000004</v>
      </c>
      <c r="EY86">
        <v>-1.766</v>
      </c>
      <c r="EZ86">
        <v>6.8402920000000007</v>
      </c>
      <c r="FA86">
        <v>0</v>
      </c>
      <c r="FB86">
        <v>0</v>
      </c>
      <c r="FC86">
        <v>0</v>
      </c>
      <c r="FD86">
        <v>-1.7567655000000011</v>
      </c>
      <c r="FE86">
        <v>0</v>
      </c>
      <c r="FF86">
        <v>0</v>
      </c>
      <c r="FG86">
        <v>0</v>
      </c>
      <c r="FH86">
        <v>-1</v>
      </c>
      <c r="FI86">
        <v>-1</v>
      </c>
      <c r="FJ86">
        <v>-1</v>
      </c>
      <c r="FK86">
        <v>-1</v>
      </c>
      <c r="FL86">
        <v>0.7</v>
      </c>
      <c r="FM86">
        <v>0.4</v>
      </c>
      <c r="FN86">
        <v>0.14160200000000001</v>
      </c>
      <c r="FO86">
        <v>4.99756</v>
      </c>
      <c r="FP86">
        <v>1.5979000000000001</v>
      </c>
      <c r="FQ86">
        <v>2.1240199999999998</v>
      </c>
      <c r="FR86">
        <v>1.5478499999999999</v>
      </c>
      <c r="FS86">
        <v>2.5134300000000001</v>
      </c>
      <c r="FT86">
        <v>49.5792</v>
      </c>
      <c r="FU86">
        <v>15.427899999999999</v>
      </c>
      <c r="FV86">
        <v>2</v>
      </c>
      <c r="FW86">
        <v>502.79500000000002</v>
      </c>
      <c r="FX86">
        <v>359.68599999999998</v>
      </c>
      <c r="FY86">
        <v>28.161300000000001</v>
      </c>
      <c r="FZ86">
        <v>39.120899999999999</v>
      </c>
      <c r="GA86">
        <v>29.9999</v>
      </c>
      <c r="GB86">
        <v>39.343400000000003</v>
      </c>
      <c r="GC86">
        <v>39.391500000000001</v>
      </c>
      <c r="GD86">
        <v>-1</v>
      </c>
      <c r="GE86">
        <v>0</v>
      </c>
      <c r="GF86">
        <v>100</v>
      </c>
      <c r="GG86">
        <v>28.161999999999999</v>
      </c>
      <c r="GH86">
        <v>432.1</v>
      </c>
      <c r="GI86">
        <v>40.881999999999998</v>
      </c>
      <c r="GJ86">
        <v>100.84699999999999</v>
      </c>
      <c r="GK86">
        <v>95.286600000000007</v>
      </c>
    </row>
    <row r="87" spans="1:193" x14ac:dyDescent="0.35">
      <c r="A87">
        <v>71</v>
      </c>
      <c r="B87">
        <v>1775536226.5999999</v>
      </c>
      <c r="C87">
        <v>4200.5</v>
      </c>
      <c r="D87" t="s">
        <v>530</v>
      </c>
      <c r="E87" t="s">
        <v>531</v>
      </c>
      <c r="F87">
        <v>60</v>
      </c>
      <c r="G87">
        <v>1775536218.849999</v>
      </c>
      <c r="H87">
        <f t="shared" si="30"/>
        <v>7.4136882607308986E-3</v>
      </c>
      <c r="I87">
        <f t="shared" si="31"/>
        <v>7.4136882607308987</v>
      </c>
      <c r="J87">
        <f t="shared" si="32"/>
        <v>-5.4198509133716701</v>
      </c>
      <c r="K87">
        <f t="shared" si="33"/>
        <v>-0.98186099999999943</v>
      </c>
      <c r="L87">
        <f t="shared" si="34"/>
        <v>46.729008594878444</v>
      </c>
      <c r="M87">
        <f t="shared" si="35"/>
        <v>4.6875943002899572</v>
      </c>
      <c r="N87">
        <f t="shared" si="36"/>
        <v>-9.8494835770631825E-2</v>
      </c>
      <c r="O87">
        <f t="shared" si="37"/>
        <v>0.18243373227842993</v>
      </c>
      <c r="P87">
        <f t="shared" si="38"/>
        <v>2.3941879179637029</v>
      </c>
      <c r="Q87">
        <f t="shared" si="39"/>
        <v>0.17504778697161771</v>
      </c>
      <c r="R87">
        <f t="shared" si="40"/>
        <v>0.11004354798832314</v>
      </c>
      <c r="S87">
        <f t="shared" si="41"/>
        <v>0.35018355189999989</v>
      </c>
      <c r="T87">
        <f t="shared" si="42"/>
        <v>28.897724772328516</v>
      </c>
      <c r="U87">
        <f t="shared" si="43"/>
        <v>30.911339999999999</v>
      </c>
      <c r="V87">
        <f t="shared" si="44"/>
        <v>4.4886226404424283</v>
      </c>
      <c r="W87">
        <f t="shared" si="45"/>
        <v>7.4985356607853575</v>
      </c>
      <c r="X87">
        <f t="shared" si="46"/>
        <v>0.34237060688941556</v>
      </c>
      <c r="Y87">
        <f t="shared" si="47"/>
        <v>4.5658328822771441</v>
      </c>
      <c r="Z87">
        <f t="shared" si="48"/>
        <v>4.1462520335530124</v>
      </c>
      <c r="AA87">
        <f t="shared" si="49"/>
        <v>-326.94365229823262</v>
      </c>
      <c r="AB87">
        <f t="shared" si="50"/>
        <v>38.626261367233752</v>
      </c>
      <c r="AC87">
        <f t="shared" si="51"/>
        <v>3.6250814471118744</v>
      </c>
      <c r="AD87">
        <f t="shared" si="52"/>
        <v>-284.34212593198697</v>
      </c>
      <c r="AE87">
        <v>9</v>
      </c>
      <c r="AF87">
        <v>2</v>
      </c>
      <c r="AG87">
        <f t="shared" si="53"/>
        <v>1</v>
      </c>
      <c r="AH87">
        <f t="shared" si="54"/>
        <v>0</v>
      </c>
      <c r="AI87">
        <f t="shared" si="55"/>
        <v>25251.591397879238</v>
      </c>
      <c r="AJ87">
        <f t="shared" si="56"/>
        <v>1.832462333333333</v>
      </c>
      <c r="AK87">
        <f t="shared" si="57"/>
        <v>1.4659698666666665</v>
      </c>
      <c r="AL87">
        <f t="shared" si="58"/>
        <v>0.8</v>
      </c>
      <c r="AM87">
        <f t="shared" si="59"/>
        <v>0.19109999999999999</v>
      </c>
      <c r="AN87">
        <v>3</v>
      </c>
      <c r="AO87">
        <v>0.5</v>
      </c>
      <c r="AP87" t="s">
        <v>317</v>
      </c>
      <c r="AQ87">
        <v>2</v>
      </c>
      <c r="AR87">
        <v>1775536218.849999</v>
      </c>
      <c r="AS87">
        <v>-0.98186099999999943</v>
      </c>
      <c r="AT87">
        <v>-4.2382033333333338</v>
      </c>
      <c r="AU87">
        <v>3.4129743333333331</v>
      </c>
      <c r="AV87">
        <v>-1.020144466666667</v>
      </c>
      <c r="AW87">
        <v>-7.8418609999999997</v>
      </c>
      <c r="AX87">
        <v>0.75085553333333332</v>
      </c>
      <c r="AY87">
        <v>499.9901333333334</v>
      </c>
      <c r="AZ87">
        <v>100.26593333333329</v>
      </c>
      <c r="BA87">
        <v>4.850605333333334E-2</v>
      </c>
      <c r="BB87">
        <v>31.210593333333339</v>
      </c>
      <c r="BC87">
        <v>30.911339999999999</v>
      </c>
      <c r="BD87">
        <v>999.9000000000002</v>
      </c>
      <c r="BE87">
        <v>0</v>
      </c>
      <c r="BF87">
        <v>0</v>
      </c>
      <c r="BG87">
        <v>5002.5666666666666</v>
      </c>
      <c r="BH87">
        <v>1.832462333333333</v>
      </c>
      <c r="BI87">
        <v>2042.0636666666669</v>
      </c>
      <c r="BJ87">
        <v>3.2436739999999999</v>
      </c>
      <c r="BK87">
        <v>-0.99352066666666661</v>
      </c>
      <c r="BL87">
        <v>-4.2527186666666674</v>
      </c>
      <c r="BM87">
        <v>-4.4277863333333336</v>
      </c>
      <c r="BN87">
        <v>-4.2382033333333338</v>
      </c>
      <c r="BO87">
        <v>3.4129743333333331</v>
      </c>
      <c r="BP87">
        <v>-0.10175099999999999</v>
      </c>
      <c r="BQ87">
        <v>0.34220476666666672</v>
      </c>
      <c r="BR87">
        <v>-99.900000000000034</v>
      </c>
      <c r="BS87">
        <v>-7.7811873333333343</v>
      </c>
      <c r="BT87">
        <v>1775536255.0999999</v>
      </c>
      <c r="BU87" t="s">
        <v>532</v>
      </c>
      <c r="BV87">
        <v>1775536247.5999999</v>
      </c>
      <c r="BW87">
        <v>1775536255.0999999</v>
      </c>
      <c r="BX87">
        <v>72</v>
      </c>
      <c r="BY87">
        <v>1.2999999999999999E-2</v>
      </c>
      <c r="BZ87">
        <v>-5.0000000000000001E-3</v>
      </c>
      <c r="CA87">
        <v>6.86</v>
      </c>
      <c r="CB87">
        <v>-1.7709999999999999</v>
      </c>
      <c r="CC87">
        <v>-4</v>
      </c>
      <c r="CD87">
        <v>3</v>
      </c>
      <c r="CE87">
        <v>0.26</v>
      </c>
      <c r="CF87">
        <v>0.02</v>
      </c>
      <c r="CG87">
        <v>-4.2102169999999992</v>
      </c>
      <c r="CH87">
        <v>-0.23376660183384471</v>
      </c>
      <c r="CI87">
        <v>4.3437289598531159E-2</v>
      </c>
      <c r="CJ87">
        <v>-1</v>
      </c>
      <c r="CK87">
        <v>500.98854999999998</v>
      </c>
      <c r="CL87">
        <v>-3.797024729090611</v>
      </c>
      <c r="CM87">
        <v>1.9426446614945669</v>
      </c>
      <c r="CN87">
        <v>-1</v>
      </c>
      <c r="CO87">
        <v>0</v>
      </c>
      <c r="CP87">
        <v>0</v>
      </c>
      <c r="CQ87" t="s">
        <v>319</v>
      </c>
      <c r="CR87">
        <v>3.1690200000000002</v>
      </c>
      <c r="CS87">
        <v>2.6697500000000001</v>
      </c>
      <c r="CT87">
        <v>-2.28495E-3</v>
      </c>
      <c r="CU87">
        <v>-1.2145299999999999E-3</v>
      </c>
      <c r="CV87">
        <v>5.72034E-3</v>
      </c>
      <c r="CW87">
        <v>2.3652200000000002E-2</v>
      </c>
      <c r="CX87">
        <v>21283.7</v>
      </c>
      <c r="CY87">
        <v>21709.200000000001</v>
      </c>
      <c r="CZ87">
        <v>22774.5</v>
      </c>
      <c r="DA87">
        <v>22056.3</v>
      </c>
      <c r="DB87">
        <v>29230.799999999999</v>
      </c>
      <c r="DC87">
        <v>25630.6</v>
      </c>
      <c r="DD87">
        <v>40086.5</v>
      </c>
      <c r="DE87">
        <v>36493.9</v>
      </c>
      <c r="DF87">
        <v>1.9854400000000001</v>
      </c>
      <c r="DG87">
        <v>1.6246</v>
      </c>
      <c r="DH87">
        <v>-0.13067100000000001</v>
      </c>
      <c r="DI87">
        <v>0</v>
      </c>
      <c r="DJ87">
        <v>33.045299999999997</v>
      </c>
      <c r="DK87">
        <v>999.9</v>
      </c>
      <c r="DL87">
        <v>53.4</v>
      </c>
      <c r="DM87">
        <v>44</v>
      </c>
      <c r="DN87">
        <v>48.743899999999996</v>
      </c>
      <c r="DO87">
        <v>30.614599999999999</v>
      </c>
      <c r="DP87">
        <v>10.0801</v>
      </c>
      <c r="DQ87">
        <v>1</v>
      </c>
      <c r="DR87">
        <v>0.996228</v>
      </c>
      <c r="DS87">
        <v>4.2412000000000001</v>
      </c>
      <c r="DT87">
        <v>20.2942</v>
      </c>
      <c r="DU87">
        <v>5.2081799999999996</v>
      </c>
      <c r="DV87">
        <v>11.854900000000001</v>
      </c>
      <c r="DW87">
        <v>4.9676799999999997</v>
      </c>
      <c r="DX87">
        <v>3.2930000000000001</v>
      </c>
      <c r="DY87">
        <v>894.7</v>
      </c>
      <c r="DZ87">
        <v>6</v>
      </c>
      <c r="EA87">
        <v>9999</v>
      </c>
      <c r="EB87">
        <v>116.9</v>
      </c>
      <c r="EC87">
        <v>4.9715999999999996</v>
      </c>
      <c r="ED87">
        <v>1.8722399999999999</v>
      </c>
      <c r="EE87">
        <v>1.86961</v>
      </c>
      <c r="EF87">
        <v>1.87188</v>
      </c>
      <c r="EG87">
        <v>1.8696600000000001</v>
      </c>
      <c r="EH87">
        <v>1.86846</v>
      </c>
      <c r="EI87">
        <v>1.8702700000000001</v>
      </c>
      <c r="EJ87">
        <v>1.8719600000000001</v>
      </c>
      <c r="EK87">
        <v>0</v>
      </c>
      <c r="EL87">
        <v>0</v>
      </c>
      <c r="EM87">
        <v>0</v>
      </c>
      <c r="EN87">
        <v>0</v>
      </c>
      <c r="EO87" t="s">
        <v>320</v>
      </c>
      <c r="EP87" t="s">
        <v>321</v>
      </c>
      <c r="EQ87" t="s">
        <v>322</v>
      </c>
      <c r="ER87" t="s">
        <v>322</v>
      </c>
      <c r="ES87" t="s">
        <v>322</v>
      </c>
      <c r="ET87" t="s">
        <v>322</v>
      </c>
      <c r="EU87">
        <v>0</v>
      </c>
      <c r="EV87">
        <v>100</v>
      </c>
      <c r="EW87">
        <v>100</v>
      </c>
      <c r="EX87">
        <v>6.86</v>
      </c>
      <c r="EY87">
        <v>-1.7709999999999999</v>
      </c>
      <c r="EZ87">
        <v>6.8473315000000001</v>
      </c>
      <c r="FA87">
        <v>0</v>
      </c>
      <c r="FB87">
        <v>0</v>
      </c>
      <c r="FC87">
        <v>0</v>
      </c>
      <c r="FD87">
        <v>-1.765667142857144</v>
      </c>
      <c r="FE87">
        <v>0</v>
      </c>
      <c r="FF87">
        <v>0</v>
      </c>
      <c r="FG87">
        <v>0</v>
      </c>
      <c r="FH87">
        <v>-1</v>
      </c>
      <c r="FI87">
        <v>-1</v>
      </c>
      <c r="FJ87">
        <v>-1</v>
      </c>
      <c r="FK87">
        <v>-1</v>
      </c>
      <c r="FL87">
        <v>0.7</v>
      </c>
      <c r="FM87">
        <v>0.4</v>
      </c>
      <c r="FN87">
        <v>0.14160200000000001</v>
      </c>
      <c r="FO87">
        <v>4.99756</v>
      </c>
      <c r="FP87">
        <v>1.5979000000000001</v>
      </c>
      <c r="FQ87">
        <v>2.1227999999999998</v>
      </c>
      <c r="FR87">
        <v>1.5478499999999999</v>
      </c>
      <c r="FS87">
        <v>2.4450699999999999</v>
      </c>
      <c r="FT87">
        <v>49.706200000000003</v>
      </c>
      <c r="FU87">
        <v>15.4192</v>
      </c>
      <c r="FV87">
        <v>2</v>
      </c>
      <c r="FW87">
        <v>503.03699999999998</v>
      </c>
      <c r="FX87">
        <v>359.20499999999998</v>
      </c>
      <c r="FY87">
        <v>28.1648</v>
      </c>
      <c r="FZ87">
        <v>39.114199999999997</v>
      </c>
      <c r="GA87">
        <v>30.000599999999999</v>
      </c>
      <c r="GB87">
        <v>39.340899999999998</v>
      </c>
      <c r="GC87">
        <v>39.394799999999996</v>
      </c>
      <c r="GD87">
        <v>-1</v>
      </c>
      <c r="GE87">
        <v>0</v>
      </c>
      <c r="GF87">
        <v>100</v>
      </c>
      <c r="GG87">
        <v>28.156700000000001</v>
      </c>
      <c r="GH87">
        <v>432.1</v>
      </c>
      <c r="GI87">
        <v>40.881999999999998</v>
      </c>
      <c r="GJ87">
        <v>100.848</v>
      </c>
      <c r="GK87">
        <v>95.284199999999998</v>
      </c>
    </row>
    <row r="88" spans="1:193" x14ac:dyDescent="0.35">
      <c r="A88">
        <v>72</v>
      </c>
      <c r="B88">
        <v>1775536286.5999999</v>
      </c>
      <c r="C88">
        <v>4260.5</v>
      </c>
      <c r="D88" t="s">
        <v>533</v>
      </c>
      <c r="E88" t="s">
        <v>534</v>
      </c>
      <c r="F88">
        <v>60</v>
      </c>
      <c r="G88">
        <v>1775536278.849999</v>
      </c>
      <c r="H88">
        <f t="shared" si="30"/>
        <v>8.1785021209077255E-3</v>
      </c>
      <c r="I88">
        <f t="shared" si="31"/>
        <v>8.1785021209077247</v>
      </c>
      <c r="J88">
        <f t="shared" si="32"/>
        <v>-5.9631358805206771</v>
      </c>
      <c r="K88">
        <f t="shared" si="33"/>
        <v>-0.77501266666666702</v>
      </c>
      <c r="L88">
        <f t="shared" si="34"/>
        <v>46.570199312669182</v>
      </c>
      <c r="M88">
        <f t="shared" si="35"/>
        <v>4.6716722466365113</v>
      </c>
      <c r="N88">
        <f t="shared" si="36"/>
        <v>-7.7745107796295274E-2</v>
      </c>
      <c r="O88">
        <f t="shared" si="37"/>
        <v>0.20304441478773622</v>
      </c>
      <c r="P88">
        <f t="shared" si="38"/>
        <v>2.3932912962710264</v>
      </c>
      <c r="Q88">
        <f t="shared" si="39"/>
        <v>0.19393684764470051</v>
      </c>
      <c r="R88">
        <f t="shared" si="40"/>
        <v>0.12199476195155168</v>
      </c>
      <c r="S88">
        <f t="shared" si="41"/>
        <v>0.32017422710000004</v>
      </c>
      <c r="T88">
        <f t="shared" si="42"/>
        <v>28.670629197500723</v>
      </c>
      <c r="U88">
        <f t="shared" si="43"/>
        <v>30.876186666666669</v>
      </c>
      <c r="V88">
        <f t="shared" si="44"/>
        <v>4.4796278280407105</v>
      </c>
      <c r="W88">
        <f t="shared" si="45"/>
        <v>7.6846142679004119</v>
      </c>
      <c r="X88">
        <f t="shared" si="46"/>
        <v>0.35112280109001937</v>
      </c>
      <c r="Y88">
        <f t="shared" si="47"/>
        <v>4.5691662437333109</v>
      </c>
      <c r="Z88">
        <f t="shared" si="48"/>
        <v>4.1285050269506911</v>
      </c>
      <c r="AA88">
        <f t="shared" si="49"/>
        <v>-360.6719435320307</v>
      </c>
      <c r="AB88">
        <f t="shared" si="50"/>
        <v>44.801656913785415</v>
      </c>
      <c r="AC88">
        <f t="shared" si="51"/>
        <v>4.2057555836205687</v>
      </c>
      <c r="AD88">
        <f t="shared" si="52"/>
        <v>-311.34435680752472</v>
      </c>
      <c r="AE88">
        <v>9</v>
      </c>
      <c r="AF88">
        <v>2</v>
      </c>
      <c r="AG88">
        <f t="shared" si="53"/>
        <v>1</v>
      </c>
      <c r="AH88">
        <f t="shared" si="54"/>
        <v>0</v>
      </c>
      <c r="AI88">
        <f t="shared" si="55"/>
        <v>25237.10035761154</v>
      </c>
      <c r="AJ88">
        <f t="shared" si="56"/>
        <v>1.675427666666667</v>
      </c>
      <c r="AK88">
        <f t="shared" si="57"/>
        <v>1.3403421333333336</v>
      </c>
      <c r="AL88">
        <f t="shared" si="58"/>
        <v>0.8</v>
      </c>
      <c r="AM88">
        <f t="shared" si="59"/>
        <v>0.19109999999999999</v>
      </c>
      <c r="AN88">
        <v>3</v>
      </c>
      <c r="AO88">
        <v>0.5</v>
      </c>
      <c r="AP88" t="s">
        <v>317</v>
      </c>
      <c r="AQ88">
        <v>2</v>
      </c>
      <c r="AR88">
        <v>1775536278.849999</v>
      </c>
      <c r="AS88">
        <v>-0.77501266666666702</v>
      </c>
      <c r="AT88">
        <v>-4.3567720000000003</v>
      </c>
      <c r="AU88">
        <v>3.5002153333333341</v>
      </c>
      <c r="AV88">
        <v>-1.3898120666666669</v>
      </c>
      <c r="AW88">
        <v>-7.6200126666666668</v>
      </c>
      <c r="AX88">
        <v>0.39218793333333329</v>
      </c>
      <c r="AY88">
        <v>499.98956666666669</v>
      </c>
      <c r="AZ88">
        <v>100.2651333333333</v>
      </c>
      <c r="BA88">
        <v>4.9495240000000003E-2</v>
      </c>
      <c r="BB88">
        <v>31.22341333333333</v>
      </c>
      <c r="BC88">
        <v>30.876186666666669</v>
      </c>
      <c r="BD88">
        <v>999.9000000000002</v>
      </c>
      <c r="BE88">
        <v>0</v>
      </c>
      <c r="BF88">
        <v>0</v>
      </c>
      <c r="BG88">
        <v>5000.3</v>
      </c>
      <c r="BH88">
        <v>1.675427666666667</v>
      </c>
      <c r="BI88">
        <v>1755.496333333333</v>
      </c>
      <c r="BJ88">
        <v>3.597248</v>
      </c>
      <c r="BK88">
        <v>-0.75847606666666689</v>
      </c>
      <c r="BL88">
        <v>-4.372074333333333</v>
      </c>
      <c r="BM88">
        <v>-4.8790710000000006</v>
      </c>
      <c r="BN88">
        <v>-4.3567720000000003</v>
      </c>
      <c r="BO88">
        <v>3.5002153333333341</v>
      </c>
      <c r="BP88">
        <v>-0.13825116666666659</v>
      </c>
      <c r="BQ88">
        <v>0.35094916666666659</v>
      </c>
      <c r="BR88">
        <v>-99.900000000000034</v>
      </c>
      <c r="BS88">
        <v>-7.4553940000000001</v>
      </c>
      <c r="BT88">
        <v>1775536325.0999999</v>
      </c>
      <c r="BU88" t="s">
        <v>535</v>
      </c>
      <c r="BV88">
        <v>1775536304.5999999</v>
      </c>
      <c r="BW88">
        <v>1775536325.0999999</v>
      </c>
      <c r="BX88">
        <v>73</v>
      </c>
      <c r="BY88">
        <v>-1.4999999999999999E-2</v>
      </c>
      <c r="BZ88">
        <v>-1.0999999999999999E-2</v>
      </c>
      <c r="CA88">
        <v>6.8449999999999998</v>
      </c>
      <c r="CB88">
        <v>-1.782</v>
      </c>
      <c r="CC88">
        <v>-4</v>
      </c>
      <c r="CD88">
        <v>4</v>
      </c>
      <c r="CE88">
        <v>0.16</v>
      </c>
      <c r="CF88">
        <v>0.02</v>
      </c>
      <c r="CG88">
        <v>-4.2619760000000007</v>
      </c>
      <c r="CH88">
        <v>-0.82148632397887855</v>
      </c>
      <c r="CI88">
        <v>0.12925156588606579</v>
      </c>
      <c r="CJ88">
        <v>-1</v>
      </c>
      <c r="CK88">
        <v>500.97341666666671</v>
      </c>
      <c r="CL88">
        <v>-9.2180772436782341</v>
      </c>
      <c r="CM88">
        <v>1.913943148682552</v>
      </c>
      <c r="CN88">
        <v>-1</v>
      </c>
      <c r="CO88">
        <v>0</v>
      </c>
      <c r="CP88">
        <v>0</v>
      </c>
      <c r="CQ88" t="s">
        <v>319</v>
      </c>
      <c r="CR88">
        <v>3.1689799999999999</v>
      </c>
      <c r="CS88">
        <v>2.6705000000000001</v>
      </c>
      <c r="CT88">
        <v>-2.23471E-3</v>
      </c>
      <c r="CU88">
        <v>-1.3009199999999999E-3</v>
      </c>
      <c r="CV88">
        <v>2.7150099999999999E-3</v>
      </c>
      <c r="CW88">
        <v>2.4161800000000001E-2</v>
      </c>
      <c r="CX88">
        <v>21278.9</v>
      </c>
      <c r="CY88">
        <v>21706.9</v>
      </c>
      <c r="CZ88">
        <v>22770.799999999999</v>
      </c>
      <c r="DA88">
        <v>22052.3</v>
      </c>
      <c r="DB88">
        <v>29314.5</v>
      </c>
      <c r="DC88">
        <v>25612.3</v>
      </c>
      <c r="DD88">
        <v>40079.800000000003</v>
      </c>
      <c r="DE88">
        <v>36487.199999999997</v>
      </c>
      <c r="DF88">
        <v>1.98366</v>
      </c>
      <c r="DG88">
        <v>1.62246</v>
      </c>
      <c r="DH88">
        <v>-0.14586399999999999</v>
      </c>
      <c r="DI88">
        <v>0</v>
      </c>
      <c r="DJ88">
        <v>33.226700000000001</v>
      </c>
      <c r="DK88">
        <v>999.9</v>
      </c>
      <c r="DL88">
        <v>53.1</v>
      </c>
      <c r="DM88">
        <v>44.2</v>
      </c>
      <c r="DN88">
        <v>48.978200000000001</v>
      </c>
      <c r="DO88">
        <v>31.2746</v>
      </c>
      <c r="DP88">
        <v>10.012</v>
      </c>
      <c r="DQ88">
        <v>1</v>
      </c>
      <c r="DR88">
        <v>1.00922</v>
      </c>
      <c r="DS88">
        <v>4.9673499999999997</v>
      </c>
      <c r="DT88">
        <v>20.269600000000001</v>
      </c>
      <c r="DU88">
        <v>5.2084200000000003</v>
      </c>
      <c r="DV88">
        <v>11.855499999999999</v>
      </c>
      <c r="DW88">
        <v>4.96692</v>
      </c>
      <c r="DX88">
        <v>3.2925</v>
      </c>
      <c r="DY88">
        <v>894.7</v>
      </c>
      <c r="DZ88">
        <v>6</v>
      </c>
      <c r="EA88">
        <v>9999</v>
      </c>
      <c r="EB88">
        <v>116.9</v>
      </c>
      <c r="EC88">
        <v>4.9716100000000001</v>
      </c>
      <c r="ED88">
        <v>1.8722300000000001</v>
      </c>
      <c r="EE88">
        <v>1.8696299999999999</v>
      </c>
      <c r="EF88">
        <v>1.87191</v>
      </c>
      <c r="EG88">
        <v>1.8696600000000001</v>
      </c>
      <c r="EH88">
        <v>1.8684400000000001</v>
      </c>
      <c r="EI88">
        <v>1.8702700000000001</v>
      </c>
      <c r="EJ88">
        <v>1.8719600000000001</v>
      </c>
      <c r="EK88">
        <v>0</v>
      </c>
      <c r="EL88">
        <v>0</v>
      </c>
      <c r="EM88">
        <v>0</v>
      </c>
      <c r="EN88">
        <v>0</v>
      </c>
      <c r="EO88" t="s">
        <v>320</v>
      </c>
      <c r="EP88" t="s">
        <v>321</v>
      </c>
      <c r="EQ88" t="s">
        <v>322</v>
      </c>
      <c r="ER88" t="s">
        <v>322</v>
      </c>
      <c r="ES88" t="s">
        <v>322</v>
      </c>
      <c r="ET88" t="s">
        <v>322</v>
      </c>
      <c r="EU88">
        <v>0</v>
      </c>
      <c r="EV88">
        <v>100</v>
      </c>
      <c r="EW88">
        <v>100</v>
      </c>
      <c r="EX88">
        <v>6.8449999999999998</v>
      </c>
      <c r="EY88">
        <v>-1.782</v>
      </c>
      <c r="EZ88">
        <v>6.8604910000000006</v>
      </c>
      <c r="FA88">
        <v>0</v>
      </c>
      <c r="FB88">
        <v>0</v>
      </c>
      <c r="FC88">
        <v>0</v>
      </c>
      <c r="FD88">
        <v>-1.771044761904764</v>
      </c>
      <c r="FE88">
        <v>0</v>
      </c>
      <c r="FF88">
        <v>0</v>
      </c>
      <c r="FG88">
        <v>0</v>
      </c>
      <c r="FH88">
        <v>-1</v>
      </c>
      <c r="FI88">
        <v>-1</v>
      </c>
      <c r="FJ88">
        <v>-1</v>
      </c>
      <c r="FK88">
        <v>-1</v>
      </c>
      <c r="FL88">
        <v>0.7</v>
      </c>
      <c r="FM88">
        <v>0.5</v>
      </c>
      <c r="FN88">
        <v>0.14160200000000001</v>
      </c>
      <c r="FO88">
        <v>4.99756</v>
      </c>
      <c r="FP88">
        <v>1.5979000000000001</v>
      </c>
      <c r="FQ88">
        <v>2.1227999999999998</v>
      </c>
      <c r="FR88">
        <v>1.5478499999999999</v>
      </c>
      <c r="FS88">
        <v>2.4218799999999998</v>
      </c>
      <c r="FT88">
        <v>49.865600000000001</v>
      </c>
      <c r="FU88">
        <v>15.4016</v>
      </c>
      <c r="FV88">
        <v>2</v>
      </c>
      <c r="FW88">
        <v>502.27300000000002</v>
      </c>
      <c r="FX88">
        <v>358.26400000000001</v>
      </c>
      <c r="FY88">
        <v>27.664300000000001</v>
      </c>
      <c r="FZ88">
        <v>39.186199999999999</v>
      </c>
      <c r="GA88">
        <v>30.000599999999999</v>
      </c>
      <c r="GB88">
        <v>39.390799999999999</v>
      </c>
      <c r="GC88">
        <v>39.444000000000003</v>
      </c>
      <c r="GD88">
        <v>-1</v>
      </c>
      <c r="GE88">
        <v>0</v>
      </c>
      <c r="GF88">
        <v>100</v>
      </c>
      <c r="GG88">
        <v>27.664999999999999</v>
      </c>
      <c r="GH88">
        <v>432.1</v>
      </c>
      <c r="GI88">
        <v>40.881999999999998</v>
      </c>
      <c r="GJ88">
        <v>100.831</v>
      </c>
      <c r="GK88">
        <v>95.2667</v>
      </c>
    </row>
    <row r="89" spans="1:193" x14ac:dyDescent="0.35">
      <c r="A89">
        <v>73</v>
      </c>
      <c r="B89">
        <v>1775536346.5999999</v>
      </c>
      <c r="C89">
        <v>4320.5</v>
      </c>
      <c r="D89" t="s">
        <v>536</v>
      </c>
      <c r="E89" t="s">
        <v>537</v>
      </c>
      <c r="F89">
        <v>60</v>
      </c>
      <c r="G89">
        <v>1775536338.849999</v>
      </c>
      <c r="H89">
        <f t="shared" si="30"/>
        <v>8.0301371017290468E-3</v>
      </c>
      <c r="I89">
        <f t="shared" si="31"/>
        <v>8.0301371017290464</v>
      </c>
      <c r="J89">
        <f t="shared" si="32"/>
        <v>-5.2232485837723948</v>
      </c>
      <c r="K89">
        <f t="shared" si="33"/>
        <v>-1.0398599999999989</v>
      </c>
      <c r="L89">
        <f t="shared" si="34"/>
        <v>41.183934294235989</v>
      </c>
      <c r="M89">
        <f t="shared" si="35"/>
        <v>4.1311582748176434</v>
      </c>
      <c r="N89">
        <f t="shared" si="36"/>
        <v>-0.10430830170232436</v>
      </c>
      <c r="O89">
        <f t="shared" si="37"/>
        <v>0.19939595757080295</v>
      </c>
      <c r="P89">
        <f t="shared" si="38"/>
        <v>2.3937514787662333</v>
      </c>
      <c r="Q89">
        <f t="shared" si="39"/>
        <v>0.19060674731202484</v>
      </c>
      <c r="R89">
        <f t="shared" si="40"/>
        <v>0.11988660560192874</v>
      </c>
      <c r="S89">
        <f t="shared" si="41"/>
        <v>0.36434794759999989</v>
      </c>
      <c r="T89">
        <f t="shared" si="42"/>
        <v>28.689089320088119</v>
      </c>
      <c r="U89">
        <f t="shared" si="43"/>
        <v>30.896826666666659</v>
      </c>
      <c r="V89">
        <f t="shared" si="44"/>
        <v>4.4849071555808067</v>
      </c>
      <c r="W89">
        <f t="shared" si="45"/>
        <v>7.9134816094107761</v>
      </c>
      <c r="X89">
        <f t="shared" si="46"/>
        <v>0.36099222808904152</v>
      </c>
      <c r="Y89">
        <f t="shared" si="47"/>
        <v>4.5617371203560602</v>
      </c>
      <c r="Z89">
        <f t="shared" si="48"/>
        <v>4.1239149274917652</v>
      </c>
      <c r="AA89">
        <f t="shared" si="49"/>
        <v>-354.12904618625095</v>
      </c>
      <c r="AB89">
        <f t="shared" si="50"/>
        <v>38.457905230628498</v>
      </c>
      <c r="AC89">
        <f t="shared" si="51"/>
        <v>3.609400087572427</v>
      </c>
      <c r="AD89">
        <f t="shared" si="52"/>
        <v>-311.69739292045</v>
      </c>
      <c r="AE89">
        <v>9</v>
      </c>
      <c r="AF89">
        <v>2</v>
      </c>
      <c r="AG89">
        <f t="shared" si="53"/>
        <v>1</v>
      </c>
      <c r="AH89">
        <f t="shared" si="54"/>
        <v>0</v>
      </c>
      <c r="AI89">
        <f t="shared" si="55"/>
        <v>25246.536798590598</v>
      </c>
      <c r="AJ89">
        <f t="shared" si="56"/>
        <v>1.9065826666666661</v>
      </c>
      <c r="AK89">
        <f t="shared" si="57"/>
        <v>1.5252661333333331</v>
      </c>
      <c r="AL89">
        <f t="shared" si="58"/>
        <v>0.8</v>
      </c>
      <c r="AM89">
        <f t="shared" si="59"/>
        <v>0.19109999999999999</v>
      </c>
      <c r="AN89">
        <v>3</v>
      </c>
      <c r="AO89">
        <v>0.5</v>
      </c>
      <c r="AP89" t="s">
        <v>317</v>
      </c>
      <c r="AQ89">
        <v>2</v>
      </c>
      <c r="AR89">
        <v>1775536338.849999</v>
      </c>
      <c r="AS89">
        <v>-1.0398599999999989</v>
      </c>
      <c r="AT89">
        <v>-4.1767829999999986</v>
      </c>
      <c r="AU89">
        <v>3.5987679999999989</v>
      </c>
      <c r="AV89">
        <v>-1.1988608000000001</v>
      </c>
      <c r="AW89">
        <v>-7.879859999999999</v>
      </c>
      <c r="AX89">
        <v>0.59213919999999998</v>
      </c>
      <c r="AY89">
        <v>500.32456666666661</v>
      </c>
      <c r="AZ89">
        <v>100.2611333333334</v>
      </c>
      <c r="BA89">
        <v>4.8813873333333327E-2</v>
      </c>
      <c r="BB89">
        <v>31.19483000000001</v>
      </c>
      <c r="BC89">
        <v>30.896826666666659</v>
      </c>
      <c r="BD89">
        <v>999.9000000000002</v>
      </c>
      <c r="BE89">
        <v>0</v>
      </c>
      <c r="BF89">
        <v>0</v>
      </c>
      <c r="BG89">
        <v>5001.6833333333334</v>
      </c>
      <c r="BH89">
        <v>1.9065826666666661</v>
      </c>
      <c r="BI89">
        <v>2189.2713333333331</v>
      </c>
      <c r="BJ89">
        <v>3.1422310000000002</v>
      </c>
      <c r="BK89">
        <v>-1.0333226</v>
      </c>
      <c r="BL89">
        <v>-4.1918653333333333</v>
      </c>
      <c r="BM89">
        <v>-4.7881980000000004</v>
      </c>
      <c r="BN89">
        <v>-4.1767829999999986</v>
      </c>
      <c r="BO89">
        <v>3.5987679999999989</v>
      </c>
      <c r="BP89">
        <v>-0.1192535</v>
      </c>
      <c r="BQ89">
        <v>0.36081649999999998</v>
      </c>
      <c r="BR89">
        <v>-99.900000000000034</v>
      </c>
      <c r="BS89">
        <v>-7.0963610000000008</v>
      </c>
      <c r="BT89">
        <v>1775536383.5999999</v>
      </c>
      <c r="BU89" t="s">
        <v>538</v>
      </c>
      <c r="BV89">
        <v>1775536364.5999999</v>
      </c>
      <c r="BW89">
        <v>1775536383.5999999</v>
      </c>
      <c r="BX89">
        <v>74</v>
      </c>
      <c r="BY89">
        <v>-6.0000000000000001E-3</v>
      </c>
      <c r="BZ89">
        <v>-0.01</v>
      </c>
      <c r="CA89">
        <v>6.84</v>
      </c>
      <c r="CB89">
        <v>-1.7909999999999999</v>
      </c>
      <c r="CC89">
        <v>-5</v>
      </c>
      <c r="CD89">
        <v>4</v>
      </c>
      <c r="CE89">
        <v>0.23</v>
      </c>
      <c r="CF89">
        <v>0.02</v>
      </c>
      <c r="CG89">
        <v>-4.3662509836065579</v>
      </c>
      <c r="CH89">
        <v>1.394216922263356</v>
      </c>
      <c r="CI89">
        <v>0.30040322907448369</v>
      </c>
      <c r="CJ89">
        <v>-1</v>
      </c>
      <c r="CK89">
        <v>500.96765573770489</v>
      </c>
      <c r="CL89">
        <v>-0.69484505552537201</v>
      </c>
      <c r="CM89">
        <v>1.947423652286133</v>
      </c>
      <c r="CN89">
        <v>-1</v>
      </c>
      <c r="CO89">
        <v>0</v>
      </c>
      <c r="CP89">
        <v>0</v>
      </c>
      <c r="CQ89" t="s">
        <v>319</v>
      </c>
      <c r="CR89">
        <v>3.1689600000000002</v>
      </c>
      <c r="CS89">
        <v>2.6703899999999998</v>
      </c>
      <c r="CT89">
        <v>-2.1860899999999999E-3</v>
      </c>
      <c r="CU89">
        <v>-1.0892E-3</v>
      </c>
      <c r="CV89">
        <v>4.6419199999999999E-3</v>
      </c>
      <c r="CW89">
        <v>2.4780699999999999E-2</v>
      </c>
      <c r="CX89">
        <v>21273.599999999999</v>
      </c>
      <c r="CY89">
        <v>21698.7</v>
      </c>
      <c r="CZ89">
        <v>22766.5</v>
      </c>
      <c r="DA89">
        <v>22048.9</v>
      </c>
      <c r="DB89">
        <v>29252.5</v>
      </c>
      <c r="DC89">
        <v>25591.8</v>
      </c>
      <c r="DD89">
        <v>40072.9</v>
      </c>
      <c r="DE89">
        <v>36481.4</v>
      </c>
      <c r="DF89">
        <v>1.98298</v>
      </c>
      <c r="DG89">
        <v>1.6196200000000001</v>
      </c>
      <c r="DH89">
        <v>-0.145811</v>
      </c>
      <c r="DI89">
        <v>0</v>
      </c>
      <c r="DJ89">
        <v>33.276699999999998</v>
      </c>
      <c r="DK89">
        <v>999.9</v>
      </c>
      <c r="DL89">
        <v>52.9</v>
      </c>
      <c r="DM89">
        <v>44.4</v>
      </c>
      <c r="DN89">
        <v>49.302300000000002</v>
      </c>
      <c r="DO89">
        <v>30.674600000000002</v>
      </c>
      <c r="DP89">
        <v>10.1442</v>
      </c>
      <c r="DQ89">
        <v>1</v>
      </c>
      <c r="DR89">
        <v>1.0149300000000001</v>
      </c>
      <c r="DS89">
        <v>4.6370500000000003</v>
      </c>
      <c r="DT89">
        <v>20.282</v>
      </c>
      <c r="DU89">
        <v>5.2104600000000003</v>
      </c>
      <c r="DV89">
        <v>11.854699999999999</v>
      </c>
      <c r="DW89">
        <v>4.9674399999999999</v>
      </c>
      <c r="DX89">
        <v>3.2930000000000001</v>
      </c>
      <c r="DY89">
        <v>894.7</v>
      </c>
      <c r="DZ89">
        <v>6</v>
      </c>
      <c r="EA89">
        <v>9999</v>
      </c>
      <c r="EB89">
        <v>116.9</v>
      </c>
      <c r="EC89">
        <v>4.9715999999999996</v>
      </c>
      <c r="ED89">
        <v>1.8722399999999999</v>
      </c>
      <c r="EE89">
        <v>1.86958</v>
      </c>
      <c r="EF89">
        <v>1.8718399999999999</v>
      </c>
      <c r="EG89">
        <v>1.8696600000000001</v>
      </c>
      <c r="EH89">
        <v>1.8684499999999999</v>
      </c>
      <c r="EI89">
        <v>1.87029</v>
      </c>
      <c r="EJ89">
        <v>1.87195</v>
      </c>
      <c r="EK89">
        <v>0</v>
      </c>
      <c r="EL89">
        <v>0</v>
      </c>
      <c r="EM89">
        <v>0</v>
      </c>
      <c r="EN89">
        <v>0</v>
      </c>
      <c r="EO89" t="s">
        <v>320</v>
      </c>
      <c r="EP89" t="s">
        <v>321</v>
      </c>
      <c r="EQ89" t="s">
        <v>322</v>
      </c>
      <c r="ER89" t="s">
        <v>322</v>
      </c>
      <c r="ES89" t="s">
        <v>322</v>
      </c>
      <c r="ET89" t="s">
        <v>322</v>
      </c>
      <c r="EU89">
        <v>0</v>
      </c>
      <c r="EV89">
        <v>100</v>
      </c>
      <c r="EW89">
        <v>100</v>
      </c>
      <c r="EX89">
        <v>6.84</v>
      </c>
      <c r="EY89">
        <v>-1.7909999999999999</v>
      </c>
      <c r="EZ89">
        <v>6.8453094999999999</v>
      </c>
      <c r="FA89">
        <v>0</v>
      </c>
      <c r="FB89">
        <v>0</v>
      </c>
      <c r="FC89">
        <v>0</v>
      </c>
      <c r="FD89">
        <v>-1.7815685714285701</v>
      </c>
      <c r="FE89">
        <v>0</v>
      </c>
      <c r="FF89">
        <v>0</v>
      </c>
      <c r="FG89">
        <v>0</v>
      </c>
      <c r="FH89">
        <v>-1</v>
      </c>
      <c r="FI89">
        <v>-1</v>
      </c>
      <c r="FJ89">
        <v>-1</v>
      </c>
      <c r="FK89">
        <v>-1</v>
      </c>
      <c r="FL89">
        <v>0.7</v>
      </c>
      <c r="FM89">
        <v>0.4</v>
      </c>
      <c r="FN89">
        <v>0.14160200000000001</v>
      </c>
      <c r="FO89">
        <v>4.99634</v>
      </c>
      <c r="FP89">
        <v>1.5979000000000001</v>
      </c>
      <c r="FQ89">
        <v>2.1227999999999998</v>
      </c>
      <c r="FR89">
        <v>1.5478499999999999</v>
      </c>
      <c r="FS89">
        <v>2.3974600000000001</v>
      </c>
      <c r="FT89">
        <v>49.993600000000001</v>
      </c>
      <c r="FU89">
        <v>15.392899999999999</v>
      </c>
      <c r="FV89">
        <v>2</v>
      </c>
      <c r="FW89">
        <v>502.27600000000001</v>
      </c>
      <c r="FX89">
        <v>356.97500000000002</v>
      </c>
      <c r="FY89">
        <v>27.972000000000001</v>
      </c>
      <c r="FZ89">
        <v>39.280999999999999</v>
      </c>
      <c r="GA89">
        <v>30.000599999999999</v>
      </c>
      <c r="GB89">
        <v>39.4542</v>
      </c>
      <c r="GC89">
        <v>39.500500000000002</v>
      </c>
      <c r="GD89">
        <v>-1</v>
      </c>
      <c r="GE89">
        <v>0</v>
      </c>
      <c r="GF89">
        <v>100</v>
      </c>
      <c r="GG89">
        <v>27.971599999999999</v>
      </c>
      <c r="GH89">
        <v>432.1</v>
      </c>
      <c r="GI89">
        <v>40.881999999999998</v>
      </c>
      <c r="GJ89">
        <v>100.813</v>
      </c>
      <c r="GK89">
        <v>95.251900000000006</v>
      </c>
    </row>
    <row r="90" spans="1:193" x14ac:dyDescent="0.35">
      <c r="A90">
        <v>74</v>
      </c>
      <c r="B90">
        <v>1775536406.5999999</v>
      </c>
      <c r="C90">
        <v>4380.5</v>
      </c>
      <c r="D90" t="s">
        <v>539</v>
      </c>
      <c r="E90" t="s">
        <v>540</v>
      </c>
      <c r="F90">
        <v>60</v>
      </c>
      <c r="G90">
        <v>1775536398.599999</v>
      </c>
      <c r="H90">
        <f t="shared" si="30"/>
        <v>8.2625314884000912E-3</v>
      </c>
      <c r="I90">
        <f t="shared" si="31"/>
        <v>8.2625314884000911</v>
      </c>
      <c r="J90">
        <f t="shared" si="32"/>
        <v>-5.1591626576009908</v>
      </c>
      <c r="K90">
        <f t="shared" si="33"/>
        <v>-1.036516774193549</v>
      </c>
      <c r="L90">
        <f t="shared" si="34"/>
        <v>39.476517814997173</v>
      </c>
      <c r="M90">
        <f t="shared" si="35"/>
        <v>3.9596744981344885</v>
      </c>
      <c r="N90">
        <f t="shared" si="36"/>
        <v>-0.10396735236114478</v>
      </c>
      <c r="O90">
        <f t="shared" si="37"/>
        <v>0.20550796173505062</v>
      </c>
      <c r="P90">
        <f t="shared" si="38"/>
        <v>2.3976150924609563</v>
      </c>
      <c r="Q90">
        <f t="shared" si="39"/>
        <v>0.19619949993700517</v>
      </c>
      <c r="R90">
        <f t="shared" si="40"/>
        <v>0.12342587635803144</v>
      </c>
      <c r="S90">
        <f t="shared" si="41"/>
        <v>0.30864320583870952</v>
      </c>
      <c r="T90">
        <f t="shared" si="42"/>
        <v>28.619555332048652</v>
      </c>
      <c r="U90">
        <f t="shared" si="43"/>
        <v>30.92446774193548</v>
      </c>
      <c r="V90">
        <f t="shared" si="44"/>
        <v>4.4919857162465417</v>
      </c>
      <c r="W90">
        <f t="shared" si="45"/>
        <v>8.1166017152581489</v>
      </c>
      <c r="X90">
        <f t="shared" si="46"/>
        <v>0.37025073667402403</v>
      </c>
      <c r="Y90">
        <f t="shared" si="47"/>
        <v>4.5616472221126871</v>
      </c>
      <c r="Z90">
        <f t="shared" si="48"/>
        <v>4.1217349795725173</v>
      </c>
      <c r="AA90">
        <f t="shared" si="49"/>
        <v>-364.37763863844401</v>
      </c>
      <c r="AB90">
        <f t="shared" si="50"/>
        <v>34.902345555820709</v>
      </c>
      <c r="AC90">
        <f t="shared" si="51"/>
        <v>3.2708608682795903</v>
      </c>
      <c r="AD90">
        <f t="shared" si="52"/>
        <v>-325.89578900850501</v>
      </c>
      <c r="AE90">
        <v>10</v>
      </c>
      <c r="AF90">
        <v>2</v>
      </c>
      <c r="AG90">
        <f t="shared" si="53"/>
        <v>1</v>
      </c>
      <c r="AH90">
        <f t="shared" si="54"/>
        <v>0</v>
      </c>
      <c r="AI90">
        <f t="shared" si="55"/>
        <v>25304.749936093627</v>
      </c>
      <c r="AJ90">
        <f t="shared" si="56"/>
        <v>1.6150874193548379</v>
      </c>
      <c r="AK90">
        <f t="shared" si="57"/>
        <v>1.2920699354838705</v>
      </c>
      <c r="AL90">
        <f t="shared" si="58"/>
        <v>0.8</v>
      </c>
      <c r="AM90">
        <f t="shared" si="59"/>
        <v>0.19109999999999999</v>
      </c>
      <c r="AN90">
        <v>3</v>
      </c>
      <c r="AO90">
        <v>0.5</v>
      </c>
      <c r="AP90" t="s">
        <v>317</v>
      </c>
      <c r="AQ90">
        <v>2</v>
      </c>
      <c r="AR90">
        <v>1775536398.599999</v>
      </c>
      <c r="AS90">
        <v>-1.036516774193549</v>
      </c>
      <c r="AT90">
        <v>-4.1363167741935483</v>
      </c>
      <c r="AU90">
        <v>3.6912654838709682</v>
      </c>
      <c r="AV90">
        <v>-1.246621935483871</v>
      </c>
      <c r="AW90">
        <v>-7.8935167741935492</v>
      </c>
      <c r="AX90">
        <v>0.54437806451612902</v>
      </c>
      <c r="AY90">
        <v>500.1348709677419</v>
      </c>
      <c r="AZ90">
        <v>100.2565483870968</v>
      </c>
      <c r="BA90">
        <v>4.800523870967742E-2</v>
      </c>
      <c r="BB90">
        <v>31.194483870967741</v>
      </c>
      <c r="BC90">
        <v>30.92446774193548</v>
      </c>
      <c r="BD90">
        <v>999.90000000000032</v>
      </c>
      <c r="BE90">
        <v>0</v>
      </c>
      <c r="BF90">
        <v>0</v>
      </c>
      <c r="BG90">
        <v>5011.8548387096771</v>
      </c>
      <c r="BH90">
        <v>1.6150874193548379</v>
      </c>
      <c r="BI90">
        <v>1777.3883870967741</v>
      </c>
      <c r="BJ90">
        <v>3.082413548387096</v>
      </c>
      <c r="BK90">
        <v>-1.052593903225806</v>
      </c>
      <c r="BL90">
        <v>-4.1516429032258069</v>
      </c>
      <c r="BM90">
        <v>-4.9381919354838724</v>
      </c>
      <c r="BN90">
        <v>-4.1363167741935483</v>
      </c>
      <c r="BO90">
        <v>3.6912654838709682</v>
      </c>
      <c r="BP90">
        <v>-0.12501277419354839</v>
      </c>
      <c r="BQ90">
        <v>0.37007393548387102</v>
      </c>
      <c r="BR90">
        <v>-99.900000000000034</v>
      </c>
      <c r="BS90">
        <v>-6.7673248387096772</v>
      </c>
      <c r="BT90">
        <v>1775536447.0999999</v>
      </c>
      <c r="BU90" t="s">
        <v>541</v>
      </c>
      <c r="BV90">
        <v>1775536443.0999999</v>
      </c>
      <c r="BW90">
        <v>1775536383.5999999</v>
      </c>
      <c r="BX90">
        <v>75</v>
      </c>
      <c r="BY90">
        <v>1.7999999999999999E-2</v>
      </c>
      <c r="BZ90">
        <v>-0.01</v>
      </c>
      <c r="CA90">
        <v>6.8570000000000002</v>
      </c>
      <c r="CB90">
        <v>-1.7909999999999999</v>
      </c>
      <c r="CC90">
        <v>-3</v>
      </c>
      <c r="CD90">
        <v>4</v>
      </c>
      <c r="CE90">
        <v>1.73</v>
      </c>
      <c r="CF90">
        <v>0.02</v>
      </c>
      <c r="CG90">
        <v>-4.6340478688524582</v>
      </c>
      <c r="CH90">
        <v>2.8135379587519829</v>
      </c>
      <c r="CI90">
        <v>0.61423607127829338</v>
      </c>
      <c r="CJ90">
        <v>-1</v>
      </c>
      <c r="CK90">
        <v>500.97688524590171</v>
      </c>
      <c r="CL90">
        <v>-1.827084082495753</v>
      </c>
      <c r="CM90">
        <v>1.879630004560632</v>
      </c>
      <c r="CN90">
        <v>-1</v>
      </c>
      <c r="CO90">
        <v>0</v>
      </c>
      <c r="CP90">
        <v>0</v>
      </c>
      <c r="CQ90" t="s">
        <v>319</v>
      </c>
      <c r="CR90">
        <v>3.16899</v>
      </c>
      <c r="CS90">
        <v>2.6697700000000002</v>
      </c>
      <c r="CT90">
        <v>-2.2215099999999999E-3</v>
      </c>
      <c r="CU90">
        <v>-1.2543000000000001E-3</v>
      </c>
      <c r="CV90">
        <v>4.2919500000000001E-3</v>
      </c>
      <c r="CW90">
        <v>2.5311199999999999E-2</v>
      </c>
      <c r="CX90">
        <v>21270.2</v>
      </c>
      <c r="CY90">
        <v>21698.3</v>
      </c>
      <c r="CZ90">
        <v>22762.6</v>
      </c>
      <c r="DA90">
        <v>22045.200000000001</v>
      </c>
      <c r="DB90">
        <v>29257.7</v>
      </c>
      <c r="DC90">
        <v>25573.1</v>
      </c>
      <c r="DD90">
        <v>40066.1</v>
      </c>
      <c r="DE90">
        <v>36475</v>
      </c>
      <c r="DF90">
        <v>1.98176</v>
      </c>
      <c r="DG90">
        <v>1.6174599999999999</v>
      </c>
      <c r="DH90">
        <v>-0.15215300000000001</v>
      </c>
      <c r="DI90">
        <v>0</v>
      </c>
      <c r="DJ90">
        <v>33.3767</v>
      </c>
      <c r="DK90">
        <v>999.9</v>
      </c>
      <c r="DL90">
        <v>52.6</v>
      </c>
      <c r="DM90">
        <v>44.5</v>
      </c>
      <c r="DN90">
        <v>49.278399999999998</v>
      </c>
      <c r="DO90">
        <v>30.494599999999998</v>
      </c>
      <c r="DP90">
        <v>10.2003</v>
      </c>
      <c r="DQ90">
        <v>1</v>
      </c>
      <c r="DR90">
        <v>1.02379</v>
      </c>
      <c r="DS90">
        <v>4.6654</v>
      </c>
      <c r="DT90">
        <v>20.281099999999999</v>
      </c>
      <c r="DU90">
        <v>5.2107000000000001</v>
      </c>
      <c r="DV90">
        <v>11.855600000000001</v>
      </c>
      <c r="DW90">
        <v>4.9674399999999999</v>
      </c>
      <c r="DX90">
        <v>3.2930000000000001</v>
      </c>
      <c r="DY90">
        <v>894.7</v>
      </c>
      <c r="DZ90">
        <v>6</v>
      </c>
      <c r="EA90">
        <v>9999</v>
      </c>
      <c r="EB90">
        <v>117</v>
      </c>
      <c r="EC90">
        <v>4.9715800000000003</v>
      </c>
      <c r="ED90">
        <v>1.87225</v>
      </c>
      <c r="EE90">
        <v>1.86957</v>
      </c>
      <c r="EF90">
        <v>1.87185</v>
      </c>
      <c r="EG90">
        <v>1.8696600000000001</v>
      </c>
      <c r="EH90">
        <v>1.8684499999999999</v>
      </c>
      <c r="EI90">
        <v>1.8702700000000001</v>
      </c>
      <c r="EJ90">
        <v>1.87195</v>
      </c>
      <c r="EK90">
        <v>0</v>
      </c>
      <c r="EL90">
        <v>0</v>
      </c>
      <c r="EM90">
        <v>0</v>
      </c>
      <c r="EN90">
        <v>0</v>
      </c>
      <c r="EO90" t="s">
        <v>320</v>
      </c>
      <c r="EP90" t="s">
        <v>321</v>
      </c>
      <c r="EQ90" t="s">
        <v>322</v>
      </c>
      <c r="ER90" t="s">
        <v>322</v>
      </c>
      <c r="ES90" t="s">
        <v>322</v>
      </c>
      <c r="ET90" t="s">
        <v>322</v>
      </c>
      <c r="EU90">
        <v>0</v>
      </c>
      <c r="EV90">
        <v>100</v>
      </c>
      <c r="EW90">
        <v>100</v>
      </c>
      <c r="EX90">
        <v>6.8570000000000002</v>
      </c>
      <c r="EY90">
        <v>-1.7909999999999999</v>
      </c>
      <c r="EZ90">
        <v>6.8396130000000008</v>
      </c>
      <c r="FA90">
        <v>0</v>
      </c>
      <c r="FB90">
        <v>0</v>
      </c>
      <c r="FC90">
        <v>0</v>
      </c>
      <c r="FD90">
        <v>-1.7913049999999999</v>
      </c>
      <c r="FE90">
        <v>0</v>
      </c>
      <c r="FF90">
        <v>0</v>
      </c>
      <c r="FG90">
        <v>0</v>
      </c>
      <c r="FH90">
        <v>-1</v>
      </c>
      <c r="FI90">
        <v>-1</v>
      </c>
      <c r="FJ90">
        <v>-1</v>
      </c>
      <c r="FK90">
        <v>-1</v>
      </c>
      <c r="FL90">
        <v>0.7</v>
      </c>
      <c r="FM90">
        <v>0.4</v>
      </c>
      <c r="FN90">
        <v>0.14160200000000001</v>
      </c>
      <c r="FO90">
        <v>4.99756</v>
      </c>
      <c r="FP90">
        <v>1.5979000000000001</v>
      </c>
      <c r="FQ90">
        <v>2.1215799999999998</v>
      </c>
      <c r="FR90">
        <v>1.5478499999999999</v>
      </c>
      <c r="FS90">
        <v>2.4475099999999999</v>
      </c>
      <c r="FT90">
        <v>50.122</v>
      </c>
      <c r="FU90">
        <v>15.3841</v>
      </c>
      <c r="FV90">
        <v>2</v>
      </c>
      <c r="FW90">
        <v>502.03100000000001</v>
      </c>
      <c r="FX90">
        <v>356.11799999999999</v>
      </c>
      <c r="FY90">
        <v>27.919</v>
      </c>
      <c r="FZ90">
        <v>39.383800000000001</v>
      </c>
      <c r="GA90">
        <v>29.9999</v>
      </c>
      <c r="GB90">
        <v>39.530200000000001</v>
      </c>
      <c r="GC90">
        <v>39.5687</v>
      </c>
      <c r="GD90">
        <v>-1</v>
      </c>
      <c r="GE90">
        <v>0</v>
      </c>
      <c r="GF90">
        <v>100</v>
      </c>
      <c r="GG90">
        <v>27.927900000000001</v>
      </c>
      <c r="GH90">
        <v>432.1</v>
      </c>
      <c r="GI90">
        <v>40.881999999999998</v>
      </c>
      <c r="GJ90">
        <v>100.79600000000001</v>
      </c>
      <c r="GK90">
        <v>95.235299999999995</v>
      </c>
    </row>
    <row r="91" spans="1:193" x14ac:dyDescent="0.35">
      <c r="A91">
        <v>75</v>
      </c>
      <c r="B91">
        <v>1775536466.5999999</v>
      </c>
      <c r="C91">
        <v>4440.5</v>
      </c>
      <c r="D91" t="s">
        <v>542</v>
      </c>
      <c r="E91" t="s">
        <v>543</v>
      </c>
      <c r="F91">
        <v>60</v>
      </c>
      <c r="G91">
        <v>1775536458.849999</v>
      </c>
      <c r="H91">
        <f t="shared" si="30"/>
        <v>8.1011430068850653E-3</v>
      </c>
      <c r="I91">
        <f t="shared" si="31"/>
        <v>8.1011430068850654</v>
      </c>
      <c r="J91">
        <f t="shared" si="32"/>
        <v>-6.1103726217237755</v>
      </c>
      <c r="K91">
        <f t="shared" si="33"/>
        <v>-0.92182433333333158</v>
      </c>
      <c r="L91">
        <f t="shared" si="34"/>
        <v>47.918722886492269</v>
      </c>
      <c r="M91">
        <f t="shared" si="35"/>
        <v>4.806287659526598</v>
      </c>
      <c r="N91">
        <f t="shared" si="36"/>
        <v>-9.2459745391091086E-2</v>
      </c>
      <c r="O91">
        <f t="shared" si="37"/>
        <v>0.20168732681670473</v>
      </c>
      <c r="P91">
        <f t="shared" si="38"/>
        <v>2.393451286344928</v>
      </c>
      <c r="Q91">
        <f t="shared" si="39"/>
        <v>0.19269877277267933</v>
      </c>
      <c r="R91">
        <f t="shared" si="40"/>
        <v>0.121210933551766</v>
      </c>
      <c r="S91">
        <f t="shared" si="41"/>
        <v>0.36349538679999993</v>
      </c>
      <c r="T91">
        <f t="shared" si="42"/>
        <v>28.653843182046135</v>
      </c>
      <c r="U91">
        <f t="shared" si="43"/>
        <v>30.935929999999999</v>
      </c>
      <c r="V91">
        <f t="shared" si="44"/>
        <v>4.4949239216477244</v>
      </c>
      <c r="W91">
        <f t="shared" si="45"/>
        <v>8.3519811854846235</v>
      </c>
      <c r="X91">
        <f t="shared" si="46"/>
        <v>0.38071908062306148</v>
      </c>
      <c r="Y91">
        <f t="shared" si="47"/>
        <v>4.5584283796607989</v>
      </c>
      <c r="Z91">
        <f t="shared" si="48"/>
        <v>4.1142048410246632</v>
      </c>
      <c r="AA91">
        <f t="shared" si="49"/>
        <v>-357.2604066036314</v>
      </c>
      <c r="AB91">
        <f t="shared" si="50"/>
        <v>31.763009054527235</v>
      </c>
      <c r="AC91">
        <f t="shared" si="51"/>
        <v>2.98182360795471</v>
      </c>
      <c r="AD91">
        <f t="shared" si="52"/>
        <v>-322.15207855434943</v>
      </c>
      <c r="AE91">
        <v>10</v>
      </c>
      <c r="AF91">
        <v>2</v>
      </c>
      <c r="AG91">
        <f t="shared" si="53"/>
        <v>1</v>
      </c>
      <c r="AH91">
        <f t="shared" si="54"/>
        <v>0</v>
      </c>
      <c r="AI91">
        <f t="shared" si="55"/>
        <v>25243.446850790966</v>
      </c>
      <c r="AJ91">
        <f t="shared" si="56"/>
        <v>1.9021213333333331</v>
      </c>
      <c r="AK91">
        <f t="shared" si="57"/>
        <v>1.5216970666666665</v>
      </c>
      <c r="AL91">
        <f t="shared" si="58"/>
        <v>0.8</v>
      </c>
      <c r="AM91">
        <f t="shared" si="59"/>
        <v>0.19109999999999999</v>
      </c>
      <c r="AN91">
        <v>3</v>
      </c>
      <c r="AO91">
        <v>0.5</v>
      </c>
      <c r="AP91" t="s">
        <v>317</v>
      </c>
      <c r="AQ91">
        <v>2</v>
      </c>
      <c r="AR91">
        <v>1775536458.849999</v>
      </c>
      <c r="AS91">
        <v>-0.92182433333333158</v>
      </c>
      <c r="AT91">
        <v>-4.5853356666666656</v>
      </c>
      <c r="AU91">
        <v>3.7957719999999999</v>
      </c>
      <c r="AV91">
        <v>-1.036975133333333</v>
      </c>
      <c r="AW91">
        <v>-7.7238243333333312</v>
      </c>
      <c r="AX91">
        <v>0.7720248666666667</v>
      </c>
      <c r="AY91">
        <v>500.9817000000001</v>
      </c>
      <c r="AZ91">
        <v>100.252</v>
      </c>
      <c r="BA91">
        <v>4.8829613333333341E-2</v>
      </c>
      <c r="BB91">
        <v>31.18208666666667</v>
      </c>
      <c r="BC91">
        <v>30.935929999999999</v>
      </c>
      <c r="BD91">
        <v>999.9000000000002</v>
      </c>
      <c r="BE91">
        <v>0</v>
      </c>
      <c r="BF91">
        <v>0</v>
      </c>
      <c r="BG91">
        <v>5001.3666666666668</v>
      </c>
      <c r="BH91">
        <v>1.9021213333333331</v>
      </c>
      <c r="BI91">
        <v>2242.6563333333329</v>
      </c>
      <c r="BJ91">
        <v>3.718966</v>
      </c>
      <c r="BK91">
        <v>-0.86554359999999997</v>
      </c>
      <c r="BL91">
        <v>-4.6028079999999996</v>
      </c>
      <c r="BM91">
        <v>-4.8150526666666646</v>
      </c>
      <c r="BN91">
        <v>-4.5853356666666656</v>
      </c>
      <c r="BO91">
        <v>3.7957719999999999</v>
      </c>
      <c r="BP91">
        <v>-0.1021849266666667</v>
      </c>
      <c r="BQ91">
        <v>0.38053403333333341</v>
      </c>
      <c r="BR91">
        <v>-97.684896666666688</v>
      </c>
      <c r="BS91">
        <v>-6.4042500000000002</v>
      </c>
      <c r="BT91">
        <v>1775536507.0999999</v>
      </c>
      <c r="BU91" t="s">
        <v>544</v>
      </c>
      <c r="BV91">
        <v>1775536507.0999999</v>
      </c>
      <c r="BW91">
        <v>1775536505.0999999</v>
      </c>
      <c r="BX91">
        <v>76</v>
      </c>
      <c r="BY91">
        <v>-5.6000000000000001E-2</v>
      </c>
      <c r="BZ91">
        <v>-1.7000000000000001E-2</v>
      </c>
      <c r="CA91">
        <v>6.8019999999999996</v>
      </c>
      <c r="CB91">
        <v>-1.8089999999999999</v>
      </c>
      <c r="CC91">
        <v>-5</v>
      </c>
      <c r="CD91">
        <v>4</v>
      </c>
      <c r="CE91">
        <v>1.1299999999999999</v>
      </c>
      <c r="CF91">
        <v>0.02</v>
      </c>
      <c r="CG91">
        <v>-4.0993231666666663</v>
      </c>
      <c r="CH91">
        <v>-3.930483767713262</v>
      </c>
      <c r="CI91">
        <v>0.7257232733406761</v>
      </c>
      <c r="CJ91">
        <v>-1</v>
      </c>
      <c r="CK91">
        <v>501.00596666666672</v>
      </c>
      <c r="CL91">
        <v>-0.1246346207278127</v>
      </c>
      <c r="CM91">
        <v>1.9356288639325729</v>
      </c>
      <c r="CN91">
        <v>-1</v>
      </c>
      <c r="CO91">
        <v>0</v>
      </c>
      <c r="CP91">
        <v>0</v>
      </c>
      <c r="CQ91" t="s">
        <v>319</v>
      </c>
      <c r="CR91">
        <v>3.16906</v>
      </c>
      <c r="CS91">
        <v>2.6701000000000001</v>
      </c>
      <c r="CT91">
        <v>-2.2704800000000001E-3</v>
      </c>
      <c r="CU91">
        <v>-1.1222000000000001E-3</v>
      </c>
      <c r="CV91">
        <v>5.2654199999999998E-3</v>
      </c>
      <c r="CW91">
        <v>2.5912500000000002E-2</v>
      </c>
      <c r="CX91">
        <v>21269.1</v>
      </c>
      <c r="CY91">
        <v>21694.1</v>
      </c>
      <c r="CZ91">
        <v>22760.5</v>
      </c>
      <c r="DA91">
        <v>22043.9</v>
      </c>
      <c r="DB91">
        <v>29226.5</v>
      </c>
      <c r="DC91">
        <v>25555.7</v>
      </c>
      <c r="DD91">
        <v>40062.800000000003</v>
      </c>
      <c r="DE91">
        <v>36472.9</v>
      </c>
      <c r="DF91">
        <v>1.98116</v>
      </c>
      <c r="DG91">
        <v>1.61578</v>
      </c>
      <c r="DH91">
        <v>-0.149339</v>
      </c>
      <c r="DI91">
        <v>0</v>
      </c>
      <c r="DJ91">
        <v>33.356000000000002</v>
      </c>
      <c r="DK91">
        <v>999.9</v>
      </c>
      <c r="DL91">
        <v>52.4</v>
      </c>
      <c r="DM91">
        <v>44.7</v>
      </c>
      <c r="DN91">
        <v>49.601999999999997</v>
      </c>
      <c r="DO91">
        <v>30.854700000000001</v>
      </c>
      <c r="DP91">
        <v>9.7996800000000004</v>
      </c>
      <c r="DQ91">
        <v>1</v>
      </c>
      <c r="DR91">
        <v>1.0257799999999999</v>
      </c>
      <c r="DS91">
        <v>4.4894600000000002</v>
      </c>
      <c r="DT91">
        <v>20.2864</v>
      </c>
      <c r="DU91">
        <v>5.2074699999999998</v>
      </c>
      <c r="DV91">
        <v>11.855499999999999</v>
      </c>
      <c r="DW91">
        <v>4.9673999999999996</v>
      </c>
      <c r="DX91">
        <v>3.2930000000000001</v>
      </c>
      <c r="DY91">
        <v>894.7</v>
      </c>
      <c r="DZ91">
        <v>6</v>
      </c>
      <c r="EA91">
        <v>9999</v>
      </c>
      <c r="EB91">
        <v>117</v>
      </c>
      <c r="EC91">
        <v>4.9716100000000001</v>
      </c>
      <c r="ED91">
        <v>1.8722399999999999</v>
      </c>
      <c r="EE91">
        <v>1.8695999999999999</v>
      </c>
      <c r="EF91">
        <v>1.8718600000000001</v>
      </c>
      <c r="EG91">
        <v>1.8696600000000001</v>
      </c>
      <c r="EH91">
        <v>1.8684400000000001</v>
      </c>
      <c r="EI91">
        <v>1.8702700000000001</v>
      </c>
      <c r="EJ91">
        <v>1.87195</v>
      </c>
      <c r="EK91">
        <v>0</v>
      </c>
      <c r="EL91">
        <v>0</v>
      </c>
      <c r="EM91">
        <v>0</v>
      </c>
      <c r="EN91">
        <v>0</v>
      </c>
      <c r="EO91" t="s">
        <v>320</v>
      </c>
      <c r="EP91" t="s">
        <v>321</v>
      </c>
      <c r="EQ91" t="s">
        <v>322</v>
      </c>
      <c r="ER91" t="s">
        <v>322</v>
      </c>
      <c r="ES91" t="s">
        <v>322</v>
      </c>
      <c r="ET91" t="s">
        <v>322</v>
      </c>
      <c r="EU91">
        <v>0</v>
      </c>
      <c r="EV91">
        <v>100</v>
      </c>
      <c r="EW91">
        <v>100</v>
      </c>
      <c r="EX91">
        <v>6.8019999999999996</v>
      </c>
      <c r="EY91">
        <v>-1.8089999999999999</v>
      </c>
      <c r="EZ91">
        <v>6.8574547619047621</v>
      </c>
      <c r="FA91">
        <v>0</v>
      </c>
      <c r="FB91">
        <v>0</v>
      </c>
      <c r="FC91">
        <v>0</v>
      </c>
      <c r="FD91">
        <v>-1.7913049999999999</v>
      </c>
      <c r="FE91">
        <v>0</v>
      </c>
      <c r="FF91">
        <v>0</v>
      </c>
      <c r="FG91">
        <v>0</v>
      </c>
      <c r="FH91">
        <v>-1</v>
      </c>
      <c r="FI91">
        <v>-1</v>
      </c>
      <c r="FJ91">
        <v>-1</v>
      </c>
      <c r="FK91">
        <v>-1</v>
      </c>
      <c r="FL91">
        <v>0.4</v>
      </c>
      <c r="FM91">
        <v>1.4</v>
      </c>
      <c r="FN91">
        <v>0.14160200000000001</v>
      </c>
      <c r="FO91">
        <v>4.99756</v>
      </c>
      <c r="FP91">
        <v>1.5979000000000001</v>
      </c>
      <c r="FQ91">
        <v>2.1203599999999998</v>
      </c>
      <c r="FR91">
        <v>1.5478499999999999</v>
      </c>
      <c r="FS91">
        <v>2.5402800000000001</v>
      </c>
      <c r="FT91">
        <v>50.154200000000003</v>
      </c>
      <c r="FU91">
        <v>15.3841</v>
      </c>
      <c r="FV91">
        <v>2</v>
      </c>
      <c r="FW91">
        <v>501.92700000000002</v>
      </c>
      <c r="FX91">
        <v>355.36099999999999</v>
      </c>
      <c r="FY91">
        <v>28.081499999999998</v>
      </c>
      <c r="FZ91">
        <v>39.434399999999997</v>
      </c>
      <c r="GA91">
        <v>30</v>
      </c>
      <c r="GB91">
        <v>39.570099999999996</v>
      </c>
      <c r="GC91">
        <v>39.602800000000002</v>
      </c>
      <c r="GD91">
        <v>-1</v>
      </c>
      <c r="GE91">
        <v>0</v>
      </c>
      <c r="GF91">
        <v>100</v>
      </c>
      <c r="GG91">
        <v>28.0885</v>
      </c>
      <c r="GH91">
        <v>432.1</v>
      </c>
      <c r="GI91">
        <v>40.881999999999998</v>
      </c>
      <c r="GJ91">
        <v>100.78700000000001</v>
      </c>
      <c r="GK91">
        <v>95.229799999999997</v>
      </c>
    </row>
    <row r="92" spans="1:193" x14ac:dyDescent="0.35">
      <c r="A92">
        <v>76</v>
      </c>
      <c r="B92">
        <v>1775536526.5999999</v>
      </c>
      <c r="C92">
        <v>4500.5</v>
      </c>
      <c r="D92" t="s">
        <v>545</v>
      </c>
      <c r="E92" t="s">
        <v>546</v>
      </c>
      <c r="F92">
        <v>60</v>
      </c>
      <c r="G92">
        <v>1775536518.849999</v>
      </c>
      <c r="H92">
        <f t="shared" si="30"/>
        <v>-6.044562730462005E-3</v>
      </c>
      <c r="I92">
        <f t="shared" si="31"/>
        <v>-6.0445627304620047</v>
      </c>
      <c r="J92">
        <f t="shared" si="32"/>
        <v>-0.40622328604181435</v>
      </c>
      <c r="K92">
        <f t="shared" si="33"/>
        <v>-5.1457166666666669</v>
      </c>
      <c r="L92">
        <f t="shared" si="34"/>
        <v>-9.8499427105087918</v>
      </c>
      <c r="M92">
        <f t="shared" si="35"/>
        <v>-0.98791525800159274</v>
      </c>
      <c r="N92">
        <f t="shared" si="36"/>
        <v>-0.51609762186023012</v>
      </c>
      <c r="O92">
        <f t="shared" si="37"/>
        <v>-0.11982844258095328</v>
      </c>
      <c r="P92">
        <f t="shared" si="38"/>
        <v>2.399624776644631</v>
      </c>
      <c r="Q92">
        <f t="shared" si="39"/>
        <v>-0.12325561062912214</v>
      </c>
      <c r="R92">
        <f t="shared" si="40"/>
        <v>-7.6718716486689598E-2</v>
      </c>
      <c r="S92">
        <f t="shared" si="41"/>
        <v>0.37216342800000002</v>
      </c>
      <c r="T92">
        <f t="shared" si="42"/>
        <v>34.812378593941794</v>
      </c>
      <c r="U92">
        <f t="shared" si="43"/>
        <v>33.411823333333331</v>
      </c>
      <c r="V92">
        <f t="shared" si="44"/>
        <v>5.1701941291891247</v>
      </c>
      <c r="W92">
        <f t="shared" si="45"/>
        <v>7.7078320280281361</v>
      </c>
      <c r="X92">
        <f t="shared" si="46"/>
        <v>0.3878494949654257</v>
      </c>
      <c r="Y92">
        <f t="shared" si="47"/>
        <v>5.0318882606040356</v>
      </c>
      <c r="Z92">
        <f t="shared" si="48"/>
        <v>4.7823446342236986</v>
      </c>
      <c r="AA92">
        <f t="shared" si="49"/>
        <v>266.5652164133744</v>
      </c>
      <c r="AB92">
        <f t="shared" si="50"/>
        <v>-62.50744365857156</v>
      </c>
      <c r="AC92">
        <f t="shared" si="51"/>
        <v>-5.9757000305353101</v>
      </c>
      <c r="AD92">
        <f t="shared" si="52"/>
        <v>198.45423615226753</v>
      </c>
      <c r="AE92">
        <v>0</v>
      </c>
      <c r="AF92">
        <v>0</v>
      </c>
      <c r="AG92">
        <f t="shared" si="53"/>
        <v>1</v>
      </c>
      <c r="AH92">
        <f t="shared" si="54"/>
        <v>0</v>
      </c>
      <c r="AI92">
        <f t="shared" si="55"/>
        <v>25191.732825221901</v>
      </c>
      <c r="AJ92">
        <f t="shared" si="56"/>
        <v>1.9474800000000001</v>
      </c>
      <c r="AK92">
        <f t="shared" si="57"/>
        <v>1.5579840000000003</v>
      </c>
      <c r="AL92">
        <f t="shared" si="58"/>
        <v>0.8</v>
      </c>
      <c r="AM92">
        <f t="shared" si="59"/>
        <v>0.19109999999999999</v>
      </c>
      <c r="AN92">
        <v>3</v>
      </c>
      <c r="AO92">
        <v>0.5</v>
      </c>
      <c r="AP92" t="s">
        <v>317</v>
      </c>
      <c r="AQ92">
        <v>2</v>
      </c>
      <c r="AR92">
        <v>1775536518.849999</v>
      </c>
      <c r="AS92">
        <v>-5.1457166666666669</v>
      </c>
      <c r="AT92">
        <v>-5.3703143333333339</v>
      </c>
      <c r="AU92">
        <v>3.8670273333333332</v>
      </c>
      <c r="AV92">
        <v>7.4721296666666657</v>
      </c>
      <c r="AW92">
        <v>-11.98271666666667</v>
      </c>
      <c r="AX92">
        <v>9.292129666666666</v>
      </c>
      <c r="AY92">
        <v>501.05553333333341</v>
      </c>
      <c r="AZ92">
        <v>100.2458</v>
      </c>
      <c r="BA92">
        <v>5.074862333333334E-2</v>
      </c>
      <c r="BB92">
        <v>32.928649999999998</v>
      </c>
      <c r="BC92">
        <v>33.411823333333331</v>
      </c>
      <c r="BD92">
        <v>999.9000000000002</v>
      </c>
      <c r="BE92">
        <v>0</v>
      </c>
      <c r="BF92">
        <v>0</v>
      </c>
      <c r="BG92">
        <v>5017.5666666666666</v>
      </c>
      <c r="BH92">
        <v>1.9474800000000001</v>
      </c>
      <c r="BI92">
        <v>2282.1456666666659</v>
      </c>
      <c r="BJ92">
        <v>0.18926065666666661</v>
      </c>
      <c r="BK92">
        <v>-5.2203879999999998</v>
      </c>
      <c r="BL92">
        <v>-5.3911626666666654</v>
      </c>
      <c r="BM92">
        <v>3.6164696666666658</v>
      </c>
      <c r="BN92">
        <v>-5.3703143333333339</v>
      </c>
      <c r="BO92">
        <v>3.8670273333333332</v>
      </c>
      <c r="BP92">
        <v>0.75018973333333316</v>
      </c>
      <c r="BQ92">
        <v>0.38765329999999998</v>
      </c>
      <c r="BR92">
        <v>2.757656001</v>
      </c>
      <c r="BS92">
        <v>-6.1621896666666673</v>
      </c>
      <c r="BT92">
        <v>1775536553.0999999</v>
      </c>
      <c r="BU92" t="s">
        <v>547</v>
      </c>
      <c r="BV92">
        <v>1775536543.5999999</v>
      </c>
      <c r="BW92">
        <v>1775536553.0999999</v>
      </c>
      <c r="BX92">
        <v>77</v>
      </c>
      <c r="BY92">
        <v>3.5000000000000003E-2</v>
      </c>
      <c r="BZ92">
        <v>-1.2E-2</v>
      </c>
      <c r="CA92">
        <v>6.8369999999999997</v>
      </c>
      <c r="CB92">
        <v>-1.82</v>
      </c>
      <c r="CC92">
        <v>-5</v>
      </c>
      <c r="CD92">
        <v>4</v>
      </c>
      <c r="CE92">
        <v>0.19</v>
      </c>
      <c r="CF92">
        <v>0.02</v>
      </c>
      <c r="CG92">
        <v>-4.8312830000000009</v>
      </c>
      <c r="CH92">
        <v>-4.7781566657404824</v>
      </c>
      <c r="CI92">
        <v>0.76105650544774495</v>
      </c>
      <c r="CJ92">
        <v>-1</v>
      </c>
      <c r="CK92">
        <v>500.95248333333342</v>
      </c>
      <c r="CL92">
        <v>0.11069408169024469</v>
      </c>
      <c r="CM92">
        <v>1.9136510435261951</v>
      </c>
      <c r="CN92">
        <v>-1</v>
      </c>
      <c r="CO92">
        <v>0</v>
      </c>
      <c r="CP92">
        <v>0</v>
      </c>
      <c r="CQ92" t="s">
        <v>319</v>
      </c>
      <c r="CR92">
        <v>3.1690499999999999</v>
      </c>
      <c r="CS92">
        <v>2.6707399999999999</v>
      </c>
      <c r="CT92">
        <v>-3.7151599999999999E-3</v>
      </c>
      <c r="CU92">
        <v>-1.6205799999999999E-3</v>
      </c>
      <c r="CV92">
        <v>5.8401500000000002E-2</v>
      </c>
      <c r="CW92">
        <v>2.63812E-2</v>
      </c>
      <c r="CX92">
        <v>21297.9</v>
      </c>
      <c r="CY92">
        <v>21706.6</v>
      </c>
      <c r="CZ92">
        <v>22758.5</v>
      </c>
      <c r="DA92">
        <v>22045.7</v>
      </c>
      <c r="DB92">
        <v>27661.1</v>
      </c>
      <c r="DC92">
        <v>25545.3</v>
      </c>
      <c r="DD92">
        <v>40057.599999999999</v>
      </c>
      <c r="DE92">
        <v>36475.599999999999</v>
      </c>
      <c r="DF92">
        <v>1.99908</v>
      </c>
      <c r="DG92">
        <v>1.6145</v>
      </c>
      <c r="DH92">
        <v>2.1129800000000001E-2</v>
      </c>
      <c r="DI92">
        <v>0</v>
      </c>
      <c r="DJ92">
        <v>33.433799999999998</v>
      </c>
      <c r="DK92">
        <v>999.9</v>
      </c>
      <c r="DL92">
        <v>52.2</v>
      </c>
      <c r="DM92">
        <v>44.8</v>
      </c>
      <c r="DN92">
        <v>49.669600000000003</v>
      </c>
      <c r="DO92">
        <v>30.794599999999999</v>
      </c>
      <c r="DP92">
        <v>10.100199999999999</v>
      </c>
      <c r="DQ92">
        <v>1</v>
      </c>
      <c r="DR92">
        <v>1.0144200000000001</v>
      </c>
      <c r="DS92">
        <v>-3.62887</v>
      </c>
      <c r="DT92">
        <v>20.3034</v>
      </c>
      <c r="DU92">
        <v>5.2056699999999996</v>
      </c>
      <c r="DV92">
        <v>11.8558</v>
      </c>
      <c r="DW92">
        <v>4.9654800000000003</v>
      </c>
      <c r="DX92">
        <v>3.2921399999999998</v>
      </c>
      <c r="DY92">
        <v>894.7</v>
      </c>
      <c r="DZ92">
        <v>6</v>
      </c>
      <c r="EA92">
        <v>9999</v>
      </c>
      <c r="EB92">
        <v>117</v>
      </c>
      <c r="EC92">
        <v>4.9716199999999997</v>
      </c>
      <c r="ED92">
        <v>1.8722399999999999</v>
      </c>
      <c r="EE92">
        <v>1.86957</v>
      </c>
      <c r="EF92">
        <v>1.8718399999999999</v>
      </c>
      <c r="EG92">
        <v>1.8696600000000001</v>
      </c>
      <c r="EH92">
        <v>1.8684499999999999</v>
      </c>
      <c r="EI92">
        <v>1.8702700000000001</v>
      </c>
      <c r="EJ92">
        <v>1.87195</v>
      </c>
      <c r="EK92">
        <v>0</v>
      </c>
      <c r="EL92">
        <v>0</v>
      </c>
      <c r="EM92">
        <v>0</v>
      </c>
      <c r="EN92">
        <v>0</v>
      </c>
      <c r="EO92" t="s">
        <v>320</v>
      </c>
      <c r="EP92" t="s">
        <v>321</v>
      </c>
      <c r="EQ92" t="s">
        <v>322</v>
      </c>
      <c r="ER92" t="s">
        <v>322</v>
      </c>
      <c r="ES92" t="s">
        <v>322</v>
      </c>
      <c r="ET92" t="s">
        <v>322</v>
      </c>
      <c r="EU92">
        <v>0</v>
      </c>
      <c r="EV92">
        <v>100</v>
      </c>
      <c r="EW92">
        <v>100</v>
      </c>
      <c r="EX92">
        <v>6.8369999999999997</v>
      </c>
      <c r="EY92">
        <v>-1.82</v>
      </c>
      <c r="EZ92">
        <v>6.8016628571428566</v>
      </c>
      <c r="FA92">
        <v>0</v>
      </c>
      <c r="FB92">
        <v>0</v>
      </c>
      <c r="FC92">
        <v>0</v>
      </c>
      <c r="FD92">
        <v>-1.8086314285714289</v>
      </c>
      <c r="FE92">
        <v>0</v>
      </c>
      <c r="FF92">
        <v>0</v>
      </c>
      <c r="FG92">
        <v>0</v>
      </c>
      <c r="FH92">
        <v>-1</v>
      </c>
      <c r="FI92">
        <v>-1</v>
      </c>
      <c r="FJ92">
        <v>-1</v>
      </c>
      <c r="FK92">
        <v>-1</v>
      </c>
      <c r="FL92">
        <v>0.3</v>
      </c>
      <c r="FM92">
        <v>0.4</v>
      </c>
      <c r="FN92">
        <v>0.14160200000000001</v>
      </c>
      <c r="FO92">
        <v>4.99756</v>
      </c>
      <c r="FP92">
        <v>1.5979000000000001</v>
      </c>
      <c r="FQ92">
        <v>2.1203599999999998</v>
      </c>
      <c r="FR92">
        <v>1.5478499999999999</v>
      </c>
      <c r="FS92">
        <v>2.5134300000000001</v>
      </c>
      <c r="FT92">
        <v>50.122</v>
      </c>
      <c r="FU92">
        <v>15.3841</v>
      </c>
      <c r="FV92">
        <v>2</v>
      </c>
      <c r="FW92">
        <v>513.40700000000004</v>
      </c>
      <c r="FX92">
        <v>354.73200000000003</v>
      </c>
      <c r="FY92">
        <v>38.378799999999998</v>
      </c>
      <c r="FZ92">
        <v>39.422499999999999</v>
      </c>
      <c r="GA92">
        <v>29.997599999999998</v>
      </c>
      <c r="GB92">
        <v>39.619799999999998</v>
      </c>
      <c r="GC92">
        <v>39.617899999999999</v>
      </c>
      <c r="GD92">
        <v>-1</v>
      </c>
      <c r="GE92">
        <v>0</v>
      </c>
      <c r="GF92">
        <v>100</v>
      </c>
      <c r="GG92">
        <v>38.271500000000003</v>
      </c>
      <c r="GH92">
        <v>432.1</v>
      </c>
      <c r="GI92">
        <v>40.881999999999998</v>
      </c>
      <c r="GJ92">
        <v>100.776</v>
      </c>
      <c r="GK92">
        <v>95.237099999999998</v>
      </c>
    </row>
    <row r="93" spans="1:193" x14ac:dyDescent="0.35">
      <c r="A93">
        <v>77</v>
      </c>
      <c r="B93">
        <v>1775536586.5999999</v>
      </c>
      <c r="C93">
        <v>4560.5</v>
      </c>
      <c r="D93" t="s">
        <v>548</v>
      </c>
      <c r="E93" t="s">
        <v>549</v>
      </c>
      <c r="F93">
        <v>60</v>
      </c>
      <c r="G93">
        <v>1775536578.849999</v>
      </c>
      <c r="H93">
        <f t="shared" si="30"/>
        <v>2.6158185098095277E-3</v>
      </c>
      <c r="I93">
        <f t="shared" si="31"/>
        <v>2.6158185098095279</v>
      </c>
      <c r="J93">
        <f t="shared" si="32"/>
        <v>-2.5546773710431276</v>
      </c>
      <c r="K93">
        <f t="shared" si="33"/>
        <v>-3.6192933333333328</v>
      </c>
      <c r="L93">
        <f t="shared" si="34"/>
        <v>68.407720813180134</v>
      </c>
      <c r="M93">
        <f t="shared" si="35"/>
        <v>6.861026153558706</v>
      </c>
      <c r="N93">
        <f t="shared" si="36"/>
        <v>-0.36300092916728577</v>
      </c>
      <c r="O93">
        <f t="shared" si="37"/>
        <v>5.5471089779824657E-2</v>
      </c>
      <c r="P93">
        <f t="shared" si="38"/>
        <v>2.3944321895462903</v>
      </c>
      <c r="Q93">
        <f t="shared" si="39"/>
        <v>5.4766936402266507E-2</v>
      </c>
      <c r="R93">
        <f t="shared" si="40"/>
        <v>3.4291855859904047E-2</v>
      </c>
      <c r="S93">
        <f t="shared" si="41"/>
        <v>0.29357355299999999</v>
      </c>
      <c r="T93">
        <f t="shared" si="42"/>
        <v>32.226587768252642</v>
      </c>
      <c r="U93">
        <f t="shared" si="43"/>
        <v>33.002503333333337</v>
      </c>
      <c r="V93">
        <f t="shared" si="44"/>
        <v>5.0528176475725575</v>
      </c>
      <c r="W93">
        <f t="shared" si="45"/>
        <v>7.7504296429352539</v>
      </c>
      <c r="X93">
        <f t="shared" si="46"/>
        <v>0.39244317740363227</v>
      </c>
      <c r="Y93">
        <f t="shared" si="47"/>
        <v>5.0635022248264114</v>
      </c>
      <c r="Z93">
        <f t="shared" si="48"/>
        <v>4.6603744701689251</v>
      </c>
      <c r="AA93">
        <f t="shared" si="49"/>
        <v>-115.35759628260017</v>
      </c>
      <c r="AB93">
        <f t="shared" si="50"/>
        <v>4.8537324204247954</v>
      </c>
      <c r="AC93">
        <f t="shared" si="51"/>
        <v>0.46434361607833124</v>
      </c>
      <c r="AD93">
        <f t="shared" si="52"/>
        <v>-109.74594669309705</v>
      </c>
      <c r="AE93">
        <v>5</v>
      </c>
      <c r="AF93">
        <v>1</v>
      </c>
      <c r="AG93">
        <f t="shared" si="53"/>
        <v>1</v>
      </c>
      <c r="AH93">
        <f t="shared" si="54"/>
        <v>0</v>
      </c>
      <c r="AI93">
        <f t="shared" si="55"/>
        <v>25105.041814500131</v>
      </c>
      <c r="AJ93">
        <f t="shared" si="56"/>
        <v>1.53623</v>
      </c>
      <c r="AK93">
        <f t="shared" si="57"/>
        <v>1.2289840000000001</v>
      </c>
      <c r="AL93">
        <f t="shared" si="58"/>
        <v>0.8</v>
      </c>
      <c r="AM93">
        <f t="shared" si="59"/>
        <v>0.19109999999999999</v>
      </c>
      <c r="AN93">
        <v>3</v>
      </c>
      <c r="AO93">
        <v>0.5</v>
      </c>
      <c r="AP93" t="s">
        <v>317</v>
      </c>
      <c r="AQ93">
        <v>2</v>
      </c>
      <c r="AR93">
        <v>1775536578.849999</v>
      </c>
      <c r="AS93">
        <v>-3.6192933333333328</v>
      </c>
      <c r="AT93">
        <v>-5.1577973333333338</v>
      </c>
      <c r="AU93">
        <v>3.9128466666666659</v>
      </c>
      <c r="AV93">
        <v>2.349479333333333</v>
      </c>
      <c r="AW93">
        <v>-10.472293333333329</v>
      </c>
      <c r="AX93">
        <v>4.1674793333333344</v>
      </c>
      <c r="AY93">
        <v>499.9944333333334</v>
      </c>
      <c r="AZ93">
        <v>100.24646666666671</v>
      </c>
      <c r="BA93">
        <v>4.9612080000000003E-2</v>
      </c>
      <c r="BB93">
        <v>33.040103333333327</v>
      </c>
      <c r="BC93">
        <v>33.002503333333337</v>
      </c>
      <c r="BD93">
        <v>999.9000000000002</v>
      </c>
      <c r="BE93">
        <v>0</v>
      </c>
      <c r="BF93">
        <v>0</v>
      </c>
      <c r="BG93">
        <v>5004.166666666667</v>
      </c>
      <c r="BH93">
        <v>1.53623</v>
      </c>
      <c r="BI93">
        <v>1668.8876666666661</v>
      </c>
      <c r="BJ93">
        <v>1.5224249999999999</v>
      </c>
      <c r="BK93">
        <v>-3.643982666666667</v>
      </c>
      <c r="BL93">
        <v>-5.1780576666666649</v>
      </c>
      <c r="BM93">
        <v>-1.565514333333333</v>
      </c>
      <c r="BN93">
        <v>-5.1577973333333338</v>
      </c>
      <c r="BO93">
        <v>3.9128466666666659</v>
      </c>
      <c r="BP93">
        <v>0.23531196666666671</v>
      </c>
      <c r="BQ93">
        <v>0.39224910000000007</v>
      </c>
      <c r="BR93">
        <v>-12.599219333333339</v>
      </c>
      <c r="BS93">
        <v>-6.008006</v>
      </c>
      <c r="BT93">
        <v>1775536610.5999999</v>
      </c>
      <c r="BU93" t="s">
        <v>550</v>
      </c>
      <c r="BV93">
        <v>1775536603.5999999</v>
      </c>
      <c r="BW93">
        <v>1775536610.5999999</v>
      </c>
      <c r="BX93">
        <v>78</v>
      </c>
      <c r="BY93">
        <v>1.6E-2</v>
      </c>
      <c r="BZ93">
        <v>2E-3</v>
      </c>
      <c r="CA93">
        <v>6.8529999999999998</v>
      </c>
      <c r="CB93">
        <v>-1.8180000000000001</v>
      </c>
      <c r="CC93">
        <v>-5</v>
      </c>
      <c r="CD93">
        <v>4</v>
      </c>
      <c r="CE93">
        <v>0.12</v>
      </c>
      <c r="CF93">
        <v>0.09</v>
      </c>
      <c r="CG93">
        <v>-5.0548649180327869</v>
      </c>
      <c r="CH93">
        <v>-0.70897707033316437</v>
      </c>
      <c r="CI93">
        <v>0.1070665137778113</v>
      </c>
      <c r="CJ93">
        <v>-1</v>
      </c>
      <c r="CK93">
        <v>500.86796721311481</v>
      </c>
      <c r="CL93">
        <v>-8.4649687995773899</v>
      </c>
      <c r="CM93">
        <v>1.850203834293189</v>
      </c>
      <c r="CN93">
        <v>-1</v>
      </c>
      <c r="CO93">
        <v>0</v>
      </c>
      <c r="CP93">
        <v>0</v>
      </c>
      <c r="CQ93" t="s">
        <v>319</v>
      </c>
      <c r="CR93">
        <v>3.1690800000000001</v>
      </c>
      <c r="CS93">
        <v>2.6712199999999999</v>
      </c>
      <c r="CT93">
        <v>-3.1205400000000002E-3</v>
      </c>
      <c r="CU93">
        <v>-1.49117E-3</v>
      </c>
      <c r="CV93">
        <v>3.1440500000000003E-2</v>
      </c>
      <c r="CW93">
        <v>2.6609500000000001E-2</v>
      </c>
      <c r="CX93">
        <v>21291.8</v>
      </c>
      <c r="CY93">
        <v>21708.3</v>
      </c>
      <c r="CZ93">
        <v>22765.4</v>
      </c>
      <c r="DA93">
        <v>22050.2</v>
      </c>
      <c r="DB93">
        <v>28461.4</v>
      </c>
      <c r="DC93">
        <v>25544.9</v>
      </c>
      <c r="DD93">
        <v>40070.699999999997</v>
      </c>
      <c r="DE93">
        <v>36483.599999999999</v>
      </c>
      <c r="DF93">
        <v>1.99034</v>
      </c>
      <c r="DG93">
        <v>1.61426</v>
      </c>
      <c r="DH93">
        <v>-4.2125599999999999E-2</v>
      </c>
      <c r="DI93">
        <v>0</v>
      </c>
      <c r="DJ93">
        <v>33.721600000000002</v>
      </c>
      <c r="DK93">
        <v>999.9</v>
      </c>
      <c r="DL93">
        <v>52</v>
      </c>
      <c r="DM93">
        <v>44.9</v>
      </c>
      <c r="DN93">
        <v>49.737900000000003</v>
      </c>
      <c r="DO93">
        <v>30.584599999999998</v>
      </c>
      <c r="DP93">
        <v>9.9759600000000006</v>
      </c>
      <c r="DQ93">
        <v>1</v>
      </c>
      <c r="DR93">
        <v>1.00709</v>
      </c>
      <c r="DS93">
        <v>2.3180399999999999</v>
      </c>
      <c r="DT93">
        <v>20.3416</v>
      </c>
      <c r="DU93">
        <v>5.2065099999999997</v>
      </c>
      <c r="DV93">
        <v>11.856999999999999</v>
      </c>
      <c r="DW93">
        <v>4.9664799999999998</v>
      </c>
      <c r="DX93">
        <v>3.2924000000000002</v>
      </c>
      <c r="DY93">
        <v>894.7</v>
      </c>
      <c r="DZ93">
        <v>6</v>
      </c>
      <c r="EA93">
        <v>9999</v>
      </c>
      <c r="EB93">
        <v>117</v>
      </c>
      <c r="EC93">
        <v>4.9716199999999997</v>
      </c>
      <c r="ED93">
        <v>1.8722399999999999</v>
      </c>
      <c r="EE93">
        <v>1.8696200000000001</v>
      </c>
      <c r="EF93">
        <v>1.8718699999999999</v>
      </c>
      <c r="EG93">
        <v>1.8696699999999999</v>
      </c>
      <c r="EH93">
        <v>1.8684700000000001</v>
      </c>
      <c r="EI93">
        <v>1.8702799999999999</v>
      </c>
      <c r="EJ93">
        <v>1.8719600000000001</v>
      </c>
      <c r="EK93">
        <v>0</v>
      </c>
      <c r="EL93">
        <v>0</v>
      </c>
      <c r="EM93">
        <v>0</v>
      </c>
      <c r="EN93">
        <v>0</v>
      </c>
      <c r="EO93" t="s">
        <v>320</v>
      </c>
      <c r="EP93" t="s">
        <v>321</v>
      </c>
      <c r="EQ93" t="s">
        <v>322</v>
      </c>
      <c r="ER93" t="s">
        <v>322</v>
      </c>
      <c r="ES93" t="s">
        <v>322</v>
      </c>
      <c r="ET93" t="s">
        <v>322</v>
      </c>
      <c r="EU93">
        <v>0</v>
      </c>
      <c r="EV93">
        <v>100</v>
      </c>
      <c r="EW93">
        <v>100</v>
      </c>
      <c r="EX93">
        <v>6.8529999999999998</v>
      </c>
      <c r="EY93">
        <v>-1.8180000000000001</v>
      </c>
      <c r="EZ93">
        <v>6.8369224999999991</v>
      </c>
      <c r="FA93">
        <v>0</v>
      </c>
      <c r="FB93">
        <v>0</v>
      </c>
      <c r="FC93">
        <v>0</v>
      </c>
      <c r="FD93">
        <v>-1.8201476190476189</v>
      </c>
      <c r="FE93">
        <v>0</v>
      </c>
      <c r="FF93">
        <v>0</v>
      </c>
      <c r="FG93">
        <v>0</v>
      </c>
      <c r="FH93">
        <v>-1</v>
      </c>
      <c r="FI93">
        <v>-1</v>
      </c>
      <c r="FJ93">
        <v>-1</v>
      </c>
      <c r="FK93">
        <v>-1</v>
      </c>
      <c r="FL93">
        <v>0.7</v>
      </c>
      <c r="FM93">
        <v>0.6</v>
      </c>
      <c r="FN93">
        <v>0.14160200000000001</v>
      </c>
      <c r="FO93">
        <v>4.99756</v>
      </c>
      <c r="FP93">
        <v>1.5979000000000001</v>
      </c>
      <c r="FQ93">
        <v>2.1191399999999998</v>
      </c>
      <c r="FR93">
        <v>1.5478499999999999</v>
      </c>
      <c r="FS93">
        <v>2.49512</v>
      </c>
      <c r="FT93">
        <v>50.0578</v>
      </c>
      <c r="FU93">
        <v>15.3841</v>
      </c>
      <c r="FV93">
        <v>2</v>
      </c>
      <c r="FW93">
        <v>507.84699999999998</v>
      </c>
      <c r="FX93">
        <v>354.65600000000001</v>
      </c>
      <c r="FY93">
        <v>31.912199999999999</v>
      </c>
      <c r="FZ93">
        <v>39.4268</v>
      </c>
      <c r="GA93">
        <v>29.997800000000002</v>
      </c>
      <c r="GB93">
        <v>39.605200000000004</v>
      </c>
      <c r="GC93">
        <v>39.629300000000001</v>
      </c>
      <c r="GD93">
        <v>-1</v>
      </c>
      <c r="GE93">
        <v>0</v>
      </c>
      <c r="GF93">
        <v>97.1327</v>
      </c>
      <c r="GG93">
        <v>31.794799999999999</v>
      </c>
      <c r="GH93">
        <v>432.1</v>
      </c>
      <c r="GI93">
        <v>33.232599999999998</v>
      </c>
      <c r="GJ93">
        <v>100.80800000000001</v>
      </c>
      <c r="GK93">
        <v>95.257499999999993</v>
      </c>
    </row>
    <row r="94" spans="1:193" x14ac:dyDescent="0.35">
      <c r="A94">
        <v>78</v>
      </c>
      <c r="B94">
        <v>1775536646.5999999</v>
      </c>
      <c r="C94">
        <v>4620.5</v>
      </c>
      <c r="D94" t="s">
        <v>551</v>
      </c>
      <c r="E94" t="s">
        <v>552</v>
      </c>
      <c r="F94">
        <v>60</v>
      </c>
      <c r="G94">
        <v>1775536638.599999</v>
      </c>
      <c r="H94">
        <f t="shared" si="30"/>
        <v>4.1638899679077309E-4</v>
      </c>
      <c r="I94">
        <f t="shared" si="31"/>
        <v>0.41638899679077307</v>
      </c>
      <c r="J94">
        <f t="shared" si="32"/>
        <v>-1.7037515554738143</v>
      </c>
      <c r="K94">
        <f t="shared" si="33"/>
        <v>-4.1717483870967751</v>
      </c>
      <c r="L94">
        <f t="shared" si="34"/>
        <v>301.60240098493233</v>
      </c>
      <c r="M94">
        <f t="shared" si="35"/>
        <v>30.249647037381241</v>
      </c>
      <c r="N94">
        <f t="shared" si="36"/>
        <v>-0.41841151073842553</v>
      </c>
      <c r="O94">
        <f t="shared" si="37"/>
        <v>8.605752815241844E-3</v>
      </c>
      <c r="P94">
        <f t="shared" si="38"/>
        <v>2.3938160983691721</v>
      </c>
      <c r="Q94">
        <f t="shared" si="39"/>
        <v>8.5886022363472099E-3</v>
      </c>
      <c r="R94">
        <f t="shared" si="40"/>
        <v>5.369414429966142E-3</v>
      </c>
      <c r="S94">
        <f t="shared" si="41"/>
        <v>0.33237677787096775</v>
      </c>
      <c r="T94">
        <f t="shared" si="42"/>
        <v>33.050485737024758</v>
      </c>
      <c r="U94">
        <f t="shared" si="43"/>
        <v>33.260348387096762</v>
      </c>
      <c r="V94">
        <f t="shared" si="44"/>
        <v>5.1264836939735714</v>
      </c>
      <c r="W94">
        <f t="shared" si="45"/>
        <v>7.7969887203738404</v>
      </c>
      <c r="X94">
        <f t="shared" si="46"/>
        <v>0.39786859982768003</v>
      </c>
      <c r="Y94">
        <f t="shared" si="47"/>
        <v>5.1028494986536739</v>
      </c>
      <c r="Z94">
        <f t="shared" si="48"/>
        <v>4.7286150941458915</v>
      </c>
      <c r="AA94">
        <f t="shared" si="49"/>
        <v>-18.362754758473095</v>
      </c>
      <c r="AB94">
        <f t="shared" si="50"/>
        <v>-10.630419301938323</v>
      </c>
      <c r="AC94">
        <f t="shared" si="51"/>
        <v>-1.0192199649351028</v>
      </c>
      <c r="AD94">
        <f t="shared" si="52"/>
        <v>-29.680017247475554</v>
      </c>
      <c r="AE94">
        <v>4</v>
      </c>
      <c r="AF94">
        <v>1</v>
      </c>
      <c r="AG94">
        <f t="shared" si="53"/>
        <v>1</v>
      </c>
      <c r="AH94">
        <f t="shared" si="54"/>
        <v>0</v>
      </c>
      <c r="AI94">
        <f t="shared" si="55"/>
        <v>25084.497349911413</v>
      </c>
      <c r="AJ94">
        <f t="shared" si="56"/>
        <v>1.7392819354838711</v>
      </c>
      <c r="AK94">
        <f t="shared" si="57"/>
        <v>1.391425548387097</v>
      </c>
      <c r="AL94">
        <f t="shared" si="58"/>
        <v>0.8</v>
      </c>
      <c r="AM94">
        <f t="shared" si="59"/>
        <v>0.19109999999999999</v>
      </c>
      <c r="AN94">
        <v>3</v>
      </c>
      <c r="AO94">
        <v>0.5</v>
      </c>
      <c r="AP94" t="s">
        <v>317</v>
      </c>
      <c r="AQ94">
        <v>2</v>
      </c>
      <c r="AR94">
        <v>1775536638.599999</v>
      </c>
      <c r="AS94">
        <v>-4.1717483870967751</v>
      </c>
      <c r="AT94">
        <v>-5.1950890322580641</v>
      </c>
      <c r="AU94">
        <v>3.966926451612903</v>
      </c>
      <c r="AV94">
        <v>3.718072580645162</v>
      </c>
      <c r="AW94">
        <v>-11.005748387096769</v>
      </c>
      <c r="AX94">
        <v>5.5410725806451619</v>
      </c>
      <c r="AY94">
        <v>499.97680645161302</v>
      </c>
      <c r="AZ94">
        <v>100.24777419354839</v>
      </c>
      <c r="BA94">
        <v>4.866555161290323E-2</v>
      </c>
      <c r="BB94">
        <v>33.177977419354853</v>
      </c>
      <c r="BC94">
        <v>33.260348387096762</v>
      </c>
      <c r="BD94">
        <v>999.90000000000032</v>
      </c>
      <c r="BE94">
        <v>0</v>
      </c>
      <c r="BF94">
        <v>0</v>
      </c>
      <c r="BG94">
        <v>5002.5161290322594</v>
      </c>
      <c r="BH94">
        <v>1.7392819354838711</v>
      </c>
      <c r="BI94">
        <v>1981.2080645161291</v>
      </c>
      <c r="BJ94">
        <v>1.0426106774193551</v>
      </c>
      <c r="BK94">
        <v>-4.1679961290322574</v>
      </c>
      <c r="BL94">
        <v>-5.2157796774193548</v>
      </c>
      <c r="BM94">
        <v>-0.2440983548387097</v>
      </c>
      <c r="BN94">
        <v>-5.1950890322580641</v>
      </c>
      <c r="BO94">
        <v>3.966926451612903</v>
      </c>
      <c r="BP94">
        <v>0.37320522580645171</v>
      </c>
      <c r="BQ94">
        <v>0.39767541935483869</v>
      </c>
      <c r="BR94">
        <v>-6.6584703225806452</v>
      </c>
      <c r="BS94">
        <v>-5.8280177419354846</v>
      </c>
      <c r="BT94">
        <v>1775536670.5999999</v>
      </c>
      <c r="BU94" t="s">
        <v>553</v>
      </c>
      <c r="BV94">
        <v>1775536664.5999999</v>
      </c>
      <c r="BW94">
        <v>1775536670.5999999</v>
      </c>
      <c r="BX94">
        <v>79</v>
      </c>
      <c r="BY94">
        <v>-1.9E-2</v>
      </c>
      <c r="BZ94">
        <v>-5.0000000000000001E-3</v>
      </c>
      <c r="CA94">
        <v>6.8339999999999996</v>
      </c>
      <c r="CB94">
        <v>-1.823</v>
      </c>
      <c r="CC94">
        <v>-6</v>
      </c>
      <c r="CD94">
        <v>4</v>
      </c>
      <c r="CE94">
        <v>0.16</v>
      </c>
      <c r="CF94">
        <v>0.16</v>
      </c>
      <c r="CG94">
        <v>-5.1665378333333338</v>
      </c>
      <c r="CH94">
        <v>-0.2275681800500213</v>
      </c>
      <c r="CI94">
        <v>3.7362510314113327E-2</v>
      </c>
      <c r="CJ94">
        <v>-1</v>
      </c>
      <c r="CK94">
        <v>500.43813333333333</v>
      </c>
      <c r="CL94">
        <v>-5.046441789385498</v>
      </c>
      <c r="CM94">
        <v>1.3560759008583869</v>
      </c>
      <c r="CN94">
        <v>-1</v>
      </c>
      <c r="CO94">
        <v>0</v>
      </c>
      <c r="CP94">
        <v>0</v>
      </c>
      <c r="CQ94" t="s">
        <v>319</v>
      </c>
      <c r="CR94">
        <v>3.1691500000000001</v>
      </c>
      <c r="CS94">
        <v>2.6691400000000001</v>
      </c>
      <c r="CT94">
        <v>-3.2016800000000002E-3</v>
      </c>
      <c r="CU94">
        <v>-1.4638299999999999E-3</v>
      </c>
      <c r="CV94">
        <v>3.6387500000000003E-2</v>
      </c>
      <c r="CW94">
        <v>2.69041E-2</v>
      </c>
      <c r="CX94">
        <v>21286.3</v>
      </c>
      <c r="CY94">
        <v>21701.3</v>
      </c>
      <c r="CZ94">
        <v>22757.9</v>
      </c>
      <c r="DA94">
        <v>22043.9</v>
      </c>
      <c r="DB94">
        <v>28306.7</v>
      </c>
      <c r="DC94">
        <v>25529.5</v>
      </c>
      <c r="DD94">
        <v>40057.699999999997</v>
      </c>
      <c r="DE94">
        <v>36472.9</v>
      </c>
      <c r="DF94">
        <v>1.9910600000000001</v>
      </c>
      <c r="DG94">
        <v>1.61172</v>
      </c>
      <c r="DH94">
        <v>-3.2767699999999997E-2</v>
      </c>
      <c r="DI94">
        <v>0</v>
      </c>
      <c r="DJ94">
        <v>33.830300000000001</v>
      </c>
      <c r="DK94">
        <v>999.9</v>
      </c>
      <c r="DL94">
        <v>51.8</v>
      </c>
      <c r="DM94">
        <v>45</v>
      </c>
      <c r="DN94">
        <v>49.798499999999997</v>
      </c>
      <c r="DO94">
        <v>30.9146</v>
      </c>
      <c r="DP94">
        <v>10.0481</v>
      </c>
      <c r="DQ94">
        <v>1</v>
      </c>
      <c r="DR94">
        <v>1.01383</v>
      </c>
      <c r="DS94">
        <v>2.1545100000000001</v>
      </c>
      <c r="DT94">
        <v>20.341899999999999</v>
      </c>
      <c r="DU94">
        <v>5.2038700000000002</v>
      </c>
      <c r="DV94">
        <v>11.856</v>
      </c>
      <c r="DW94">
        <v>4.9660399999999996</v>
      </c>
      <c r="DX94">
        <v>3.2918799999999999</v>
      </c>
      <c r="DY94">
        <v>894.7</v>
      </c>
      <c r="DZ94">
        <v>6</v>
      </c>
      <c r="EA94">
        <v>9999</v>
      </c>
      <c r="EB94">
        <v>117</v>
      </c>
      <c r="EC94">
        <v>4.9716100000000001</v>
      </c>
      <c r="ED94">
        <v>1.8722399999999999</v>
      </c>
      <c r="EE94">
        <v>1.86954</v>
      </c>
      <c r="EF94">
        <v>1.8718900000000001</v>
      </c>
      <c r="EG94">
        <v>1.8696600000000001</v>
      </c>
      <c r="EH94">
        <v>1.8684400000000001</v>
      </c>
      <c r="EI94">
        <v>1.8702799999999999</v>
      </c>
      <c r="EJ94">
        <v>1.87195</v>
      </c>
      <c r="EK94">
        <v>0</v>
      </c>
      <c r="EL94">
        <v>0</v>
      </c>
      <c r="EM94">
        <v>0</v>
      </c>
      <c r="EN94">
        <v>0</v>
      </c>
      <c r="EO94" t="s">
        <v>320</v>
      </c>
      <c r="EP94" t="s">
        <v>321</v>
      </c>
      <c r="EQ94" t="s">
        <v>322</v>
      </c>
      <c r="ER94" t="s">
        <v>322</v>
      </c>
      <c r="ES94" t="s">
        <v>322</v>
      </c>
      <c r="ET94" t="s">
        <v>322</v>
      </c>
      <c r="EU94">
        <v>0</v>
      </c>
      <c r="EV94">
        <v>100</v>
      </c>
      <c r="EW94">
        <v>100</v>
      </c>
      <c r="EX94">
        <v>6.8339999999999996</v>
      </c>
      <c r="EY94">
        <v>-1.823</v>
      </c>
      <c r="EZ94">
        <v>6.8532680000000026</v>
      </c>
      <c r="FA94">
        <v>0</v>
      </c>
      <c r="FB94">
        <v>0</v>
      </c>
      <c r="FC94">
        <v>0</v>
      </c>
      <c r="FD94">
        <v>-1.818244999999999</v>
      </c>
      <c r="FE94">
        <v>0</v>
      </c>
      <c r="FF94">
        <v>0</v>
      </c>
      <c r="FG94">
        <v>0</v>
      </c>
      <c r="FH94">
        <v>-1</v>
      </c>
      <c r="FI94">
        <v>-1</v>
      </c>
      <c r="FJ94">
        <v>-1</v>
      </c>
      <c r="FK94">
        <v>-1</v>
      </c>
      <c r="FL94">
        <v>0.7</v>
      </c>
      <c r="FM94">
        <v>0.6</v>
      </c>
      <c r="FN94">
        <v>0.14160200000000001</v>
      </c>
      <c r="FO94">
        <v>4.99756</v>
      </c>
      <c r="FP94">
        <v>1.5979000000000001</v>
      </c>
      <c r="FQ94">
        <v>2.1191399999999998</v>
      </c>
      <c r="FR94">
        <v>1.5478499999999999</v>
      </c>
      <c r="FS94">
        <v>2.4902299999999999</v>
      </c>
      <c r="FT94">
        <v>49.929600000000001</v>
      </c>
      <c r="FU94">
        <v>15.3841</v>
      </c>
      <c r="FV94">
        <v>2</v>
      </c>
      <c r="FW94">
        <v>508.45100000000002</v>
      </c>
      <c r="FX94">
        <v>353.34</v>
      </c>
      <c r="FY94">
        <v>32.540599999999998</v>
      </c>
      <c r="FZ94">
        <v>39.481900000000003</v>
      </c>
      <c r="GA94">
        <v>30.000299999999999</v>
      </c>
      <c r="GB94">
        <v>39.628100000000003</v>
      </c>
      <c r="GC94">
        <v>39.644399999999997</v>
      </c>
      <c r="GD94">
        <v>-1</v>
      </c>
      <c r="GE94">
        <v>0</v>
      </c>
      <c r="GF94">
        <v>100</v>
      </c>
      <c r="GG94">
        <v>32.533000000000001</v>
      </c>
      <c r="GH94">
        <v>432.1</v>
      </c>
      <c r="GI94">
        <v>42.4801</v>
      </c>
      <c r="GJ94">
        <v>100.77500000000001</v>
      </c>
      <c r="GK94">
        <v>95.229799999999997</v>
      </c>
    </row>
    <row r="95" spans="1:193" x14ac:dyDescent="0.35">
      <c r="A95">
        <v>79</v>
      </c>
      <c r="B95">
        <v>1775536706.5999999</v>
      </c>
      <c r="C95">
        <v>4680.5</v>
      </c>
      <c r="D95" t="s">
        <v>554</v>
      </c>
      <c r="E95" t="s">
        <v>555</v>
      </c>
      <c r="F95">
        <v>60</v>
      </c>
      <c r="G95">
        <v>1775536698.599999</v>
      </c>
      <c r="H95">
        <f t="shared" si="30"/>
        <v>1.2514843546741227E-3</v>
      </c>
      <c r="I95">
        <f t="shared" si="31"/>
        <v>1.2514843546741228</v>
      </c>
      <c r="J95">
        <f t="shared" si="32"/>
        <v>-2.2442935073910322</v>
      </c>
      <c r="K95">
        <f t="shared" si="33"/>
        <v>-4.3352741935483872</v>
      </c>
      <c r="L95">
        <f t="shared" si="34"/>
        <v>128.62436276876753</v>
      </c>
      <c r="M95">
        <f t="shared" si="35"/>
        <v>12.900149346244593</v>
      </c>
      <c r="N95">
        <f t="shared" si="36"/>
        <v>-0.43479853543946273</v>
      </c>
      <c r="O95">
        <f t="shared" si="37"/>
        <v>2.620712908839555E-2</v>
      </c>
      <c r="P95">
        <f t="shared" si="38"/>
        <v>2.3921800400781708</v>
      </c>
      <c r="Q95">
        <f t="shared" si="39"/>
        <v>2.6048666012439371E-2</v>
      </c>
      <c r="R95">
        <f t="shared" si="40"/>
        <v>1.6294573541147543E-2</v>
      </c>
      <c r="S95">
        <f t="shared" si="41"/>
        <v>0.35879678438709672</v>
      </c>
      <c r="T95">
        <f t="shared" si="42"/>
        <v>32.82300288690665</v>
      </c>
      <c r="U95">
        <f t="shared" si="43"/>
        <v>33.125074193548393</v>
      </c>
      <c r="V95">
        <f t="shared" si="44"/>
        <v>5.087720343056013</v>
      </c>
      <c r="W95">
        <f t="shared" si="45"/>
        <v>7.8453413892375714</v>
      </c>
      <c r="X95">
        <f t="shared" si="46"/>
        <v>0.40107717821014993</v>
      </c>
      <c r="Y95">
        <f t="shared" si="47"/>
        <v>5.1122973279449289</v>
      </c>
      <c r="Z95">
        <f t="shared" si="48"/>
        <v>4.6866431648458633</v>
      </c>
      <c r="AA95">
        <f t="shared" si="49"/>
        <v>-55.190460041128816</v>
      </c>
      <c r="AB95">
        <f t="shared" si="50"/>
        <v>11.074539157214478</v>
      </c>
      <c r="AC95">
        <f t="shared" si="51"/>
        <v>1.0619949459010829</v>
      </c>
      <c r="AD95">
        <f t="shared" si="52"/>
        <v>-42.695129153626155</v>
      </c>
      <c r="AE95">
        <v>5</v>
      </c>
      <c r="AF95">
        <v>1</v>
      </c>
      <c r="AG95">
        <f t="shared" si="53"/>
        <v>1</v>
      </c>
      <c r="AH95">
        <f t="shared" si="54"/>
        <v>0</v>
      </c>
      <c r="AI95">
        <f t="shared" si="55"/>
        <v>25057.564189226461</v>
      </c>
      <c r="AJ95">
        <f t="shared" si="56"/>
        <v>1.8775341935483869</v>
      </c>
      <c r="AK95">
        <f t="shared" si="57"/>
        <v>1.5020273548387095</v>
      </c>
      <c r="AL95">
        <f t="shared" si="58"/>
        <v>0.8</v>
      </c>
      <c r="AM95">
        <f t="shared" si="59"/>
        <v>0.19109999999999999</v>
      </c>
      <c r="AN95">
        <v>3</v>
      </c>
      <c r="AO95">
        <v>0.5</v>
      </c>
      <c r="AP95" t="s">
        <v>317</v>
      </c>
      <c r="AQ95">
        <v>2</v>
      </c>
      <c r="AR95">
        <v>1775536698.599999</v>
      </c>
      <c r="AS95">
        <v>-4.3352741935483872</v>
      </c>
      <c r="AT95">
        <v>-5.685121290322579</v>
      </c>
      <c r="AU95">
        <v>3.999046451612903</v>
      </c>
      <c r="AV95">
        <v>3.2511499999999991</v>
      </c>
      <c r="AW95">
        <v>-11.202274193548391</v>
      </c>
      <c r="AX95">
        <v>5.0781499999999991</v>
      </c>
      <c r="AY95">
        <v>499.99419354838722</v>
      </c>
      <c r="AZ95">
        <v>100.2435806451613</v>
      </c>
      <c r="BA95">
        <v>4.9622512903225807E-2</v>
      </c>
      <c r="BB95">
        <v>33.210945161290319</v>
      </c>
      <c r="BC95">
        <v>33.125074193548393</v>
      </c>
      <c r="BD95">
        <v>999.90000000000032</v>
      </c>
      <c r="BE95">
        <v>0</v>
      </c>
      <c r="BF95">
        <v>0</v>
      </c>
      <c r="BG95">
        <v>4998.5161290322594</v>
      </c>
      <c r="BH95">
        <v>1.8775341935483869</v>
      </c>
      <c r="BI95">
        <v>2182.4506451612901</v>
      </c>
      <c r="BJ95">
        <v>1.3166887096774189</v>
      </c>
      <c r="BK95">
        <v>-4.3826980645161289</v>
      </c>
      <c r="BL95">
        <v>-5.7079480645161276</v>
      </c>
      <c r="BM95">
        <v>-0.74425948387096785</v>
      </c>
      <c r="BN95">
        <v>-5.685121290322579</v>
      </c>
      <c r="BO95">
        <v>3.999046451612903</v>
      </c>
      <c r="BP95">
        <v>0.32627193548387101</v>
      </c>
      <c r="BQ95">
        <v>0.40087925806451608</v>
      </c>
      <c r="BR95">
        <v>-8.3943090322580627</v>
      </c>
      <c r="BS95">
        <v>-5.7227725806451613</v>
      </c>
      <c r="BT95">
        <v>1775536729.5999999</v>
      </c>
      <c r="BU95" t="s">
        <v>556</v>
      </c>
      <c r="BV95">
        <v>1775536723.5999999</v>
      </c>
      <c r="BW95">
        <v>1775536729.5999999</v>
      </c>
      <c r="BX95">
        <v>80</v>
      </c>
      <c r="BY95">
        <v>3.3000000000000002E-2</v>
      </c>
      <c r="BZ95">
        <v>-3.0000000000000001E-3</v>
      </c>
      <c r="CA95">
        <v>6.867</v>
      </c>
      <c r="CB95">
        <v>-1.827</v>
      </c>
      <c r="CC95">
        <v>-5</v>
      </c>
      <c r="CD95">
        <v>4</v>
      </c>
      <c r="CE95">
        <v>0.19</v>
      </c>
      <c r="CF95">
        <v>0.11</v>
      </c>
      <c r="CG95">
        <v>-5.7741457377049192</v>
      </c>
      <c r="CH95">
        <v>0.64085698572186089</v>
      </c>
      <c r="CI95">
        <v>0.11693077338938369</v>
      </c>
      <c r="CJ95">
        <v>-1</v>
      </c>
      <c r="CK95">
        <v>500.43299999999999</v>
      </c>
      <c r="CL95">
        <v>-4.9176901110526456</v>
      </c>
      <c r="CM95">
        <v>1.3662983496761869</v>
      </c>
      <c r="CN95">
        <v>-1</v>
      </c>
      <c r="CO95">
        <v>0</v>
      </c>
      <c r="CP95">
        <v>0</v>
      </c>
      <c r="CQ95" t="s">
        <v>319</v>
      </c>
      <c r="CR95">
        <v>3.1691699999999998</v>
      </c>
      <c r="CS95">
        <v>2.6707399999999999</v>
      </c>
      <c r="CT95">
        <v>-3.20573E-3</v>
      </c>
      <c r="CU95">
        <v>-1.6052200000000001E-3</v>
      </c>
      <c r="CV95">
        <v>3.3476100000000002E-2</v>
      </c>
      <c r="CW95">
        <v>2.71075E-2</v>
      </c>
      <c r="CX95">
        <v>21288</v>
      </c>
      <c r="CY95">
        <v>21706.1</v>
      </c>
      <c r="CZ95">
        <v>22759.599999999999</v>
      </c>
      <c r="DA95">
        <v>22045.599999999999</v>
      </c>
      <c r="DB95">
        <v>28394.7</v>
      </c>
      <c r="DC95">
        <v>25526.400000000001</v>
      </c>
      <c r="DD95">
        <v>40061.199999999997</v>
      </c>
      <c r="DE95">
        <v>36476.1</v>
      </c>
      <c r="DF95">
        <v>1.9897800000000001</v>
      </c>
      <c r="DG95">
        <v>1.6121799999999999</v>
      </c>
      <c r="DH95">
        <v>-4.6640599999999997E-2</v>
      </c>
      <c r="DI95">
        <v>0</v>
      </c>
      <c r="DJ95">
        <v>33.893900000000002</v>
      </c>
      <c r="DK95">
        <v>999.9</v>
      </c>
      <c r="DL95">
        <v>51.6</v>
      </c>
      <c r="DM95">
        <v>45.1</v>
      </c>
      <c r="DN95">
        <v>49.866500000000002</v>
      </c>
      <c r="DO95">
        <v>30.854600000000001</v>
      </c>
      <c r="DP95">
        <v>10.1843</v>
      </c>
      <c r="DQ95">
        <v>1</v>
      </c>
      <c r="DR95">
        <v>1.0129699999999999</v>
      </c>
      <c r="DS95">
        <v>2.7072500000000002</v>
      </c>
      <c r="DT95">
        <v>20.3324</v>
      </c>
      <c r="DU95">
        <v>5.2057900000000004</v>
      </c>
      <c r="DV95">
        <v>11.856199999999999</v>
      </c>
      <c r="DW95">
        <v>4.96652</v>
      </c>
      <c r="DX95">
        <v>3.2923800000000001</v>
      </c>
      <c r="DY95">
        <v>894.7</v>
      </c>
      <c r="DZ95">
        <v>6</v>
      </c>
      <c r="EA95">
        <v>9999</v>
      </c>
      <c r="EB95">
        <v>117</v>
      </c>
      <c r="EC95">
        <v>4.9716300000000002</v>
      </c>
      <c r="ED95">
        <v>1.87225</v>
      </c>
      <c r="EE95">
        <v>1.86958</v>
      </c>
      <c r="EF95">
        <v>1.8718699999999999</v>
      </c>
      <c r="EG95">
        <v>1.8696600000000001</v>
      </c>
      <c r="EH95">
        <v>1.8684400000000001</v>
      </c>
      <c r="EI95">
        <v>1.87029</v>
      </c>
      <c r="EJ95">
        <v>1.87195</v>
      </c>
      <c r="EK95">
        <v>0</v>
      </c>
      <c r="EL95">
        <v>0</v>
      </c>
      <c r="EM95">
        <v>0</v>
      </c>
      <c r="EN95">
        <v>0</v>
      </c>
      <c r="EO95" t="s">
        <v>320</v>
      </c>
      <c r="EP95" t="s">
        <v>321</v>
      </c>
      <c r="EQ95" t="s">
        <v>322</v>
      </c>
      <c r="ER95" t="s">
        <v>322</v>
      </c>
      <c r="ES95" t="s">
        <v>322</v>
      </c>
      <c r="ET95" t="s">
        <v>322</v>
      </c>
      <c r="EU95">
        <v>0</v>
      </c>
      <c r="EV95">
        <v>100</v>
      </c>
      <c r="EW95">
        <v>100</v>
      </c>
      <c r="EX95">
        <v>6.867</v>
      </c>
      <c r="EY95">
        <v>-1.827</v>
      </c>
      <c r="EZ95">
        <v>6.8338389999999984</v>
      </c>
      <c r="FA95">
        <v>0</v>
      </c>
      <c r="FB95">
        <v>0</v>
      </c>
      <c r="FC95">
        <v>0</v>
      </c>
      <c r="FD95">
        <v>-1.8233624999999991</v>
      </c>
      <c r="FE95">
        <v>0</v>
      </c>
      <c r="FF95">
        <v>0</v>
      </c>
      <c r="FG95">
        <v>0</v>
      </c>
      <c r="FH95">
        <v>-1</v>
      </c>
      <c r="FI95">
        <v>-1</v>
      </c>
      <c r="FJ95">
        <v>-1</v>
      </c>
      <c r="FK95">
        <v>-1</v>
      </c>
      <c r="FL95">
        <v>0.7</v>
      </c>
      <c r="FM95">
        <v>0.6</v>
      </c>
      <c r="FN95">
        <v>0.14038100000000001</v>
      </c>
      <c r="FO95">
        <v>4.99634</v>
      </c>
      <c r="FP95">
        <v>1.5979000000000001</v>
      </c>
      <c r="FQ95">
        <v>2.1191399999999998</v>
      </c>
      <c r="FR95">
        <v>1.5478499999999999</v>
      </c>
      <c r="FS95">
        <v>2.5366200000000001</v>
      </c>
      <c r="FT95">
        <v>49.8337</v>
      </c>
      <c r="FU95">
        <v>15.392899999999999</v>
      </c>
      <c r="FV95">
        <v>2</v>
      </c>
      <c r="FW95">
        <v>507.57900000000001</v>
      </c>
      <c r="FX95">
        <v>353.55500000000001</v>
      </c>
      <c r="FY95">
        <v>32.130299999999998</v>
      </c>
      <c r="FZ95">
        <v>39.472999999999999</v>
      </c>
      <c r="GA95">
        <v>30.000900000000001</v>
      </c>
      <c r="GB95">
        <v>39.617100000000001</v>
      </c>
      <c r="GC95">
        <v>39.636899999999997</v>
      </c>
      <c r="GD95">
        <v>-1</v>
      </c>
      <c r="GE95">
        <v>0</v>
      </c>
      <c r="GF95">
        <v>100</v>
      </c>
      <c r="GG95">
        <v>32.07</v>
      </c>
      <c r="GH95">
        <v>432.1</v>
      </c>
      <c r="GI95">
        <v>42.4801</v>
      </c>
      <c r="GJ95">
        <v>100.78400000000001</v>
      </c>
      <c r="GK95">
        <v>95.237700000000004</v>
      </c>
    </row>
    <row r="96" spans="1:193" x14ac:dyDescent="0.35">
      <c r="A96">
        <v>80</v>
      </c>
      <c r="B96">
        <v>1775536766.5999999</v>
      </c>
      <c r="C96">
        <v>4740.5</v>
      </c>
      <c r="D96" t="s">
        <v>557</v>
      </c>
      <c r="E96" t="s">
        <v>558</v>
      </c>
      <c r="F96">
        <v>60</v>
      </c>
      <c r="G96">
        <v>1775536758.599999</v>
      </c>
      <c r="H96">
        <f t="shared" si="30"/>
        <v>3.0055529804400025E-3</v>
      </c>
      <c r="I96">
        <f t="shared" si="31"/>
        <v>3.0055529804400023</v>
      </c>
      <c r="J96">
        <f t="shared" si="32"/>
        <v>-3.3034708662787478</v>
      </c>
      <c r="K96">
        <f t="shared" si="33"/>
        <v>-3.244487096774193</v>
      </c>
      <c r="L96">
        <f t="shared" si="34"/>
        <v>77.716185738684743</v>
      </c>
      <c r="M96">
        <f t="shared" si="35"/>
        <v>7.7944560418745441</v>
      </c>
      <c r="N96">
        <f t="shared" si="36"/>
        <v>-0.32540212587462986</v>
      </c>
      <c r="O96">
        <f t="shared" si="37"/>
        <v>6.3874088312100993E-2</v>
      </c>
      <c r="P96">
        <f t="shared" si="38"/>
        <v>2.3920596110821197</v>
      </c>
      <c r="Q96">
        <f t="shared" si="39"/>
        <v>6.2941462618611943E-2</v>
      </c>
      <c r="R96">
        <f t="shared" si="40"/>
        <v>3.9421072436728891E-2</v>
      </c>
      <c r="S96">
        <f t="shared" si="41"/>
        <v>0.35694712132258055</v>
      </c>
      <c r="T96">
        <f t="shared" si="42"/>
        <v>32.361669967518843</v>
      </c>
      <c r="U96">
        <f t="shared" si="43"/>
        <v>33.042487096774202</v>
      </c>
      <c r="V96">
        <f t="shared" si="44"/>
        <v>5.0641802673976759</v>
      </c>
      <c r="W96">
        <f t="shared" si="45"/>
        <v>7.8954092875412396</v>
      </c>
      <c r="X96">
        <f t="shared" si="46"/>
        <v>0.40558716183939336</v>
      </c>
      <c r="Y96">
        <f t="shared" si="47"/>
        <v>5.1369998320340384</v>
      </c>
      <c r="Z96">
        <f t="shared" si="48"/>
        <v>4.6585931055582828</v>
      </c>
      <c r="AA96">
        <f t="shared" si="49"/>
        <v>-132.5448864374041</v>
      </c>
      <c r="AB96">
        <f t="shared" si="50"/>
        <v>32.808438600906001</v>
      </c>
      <c r="AC96">
        <f t="shared" si="51"/>
        <v>3.1463818742574841</v>
      </c>
      <c r="AD96">
        <f t="shared" si="52"/>
        <v>-96.233118840918038</v>
      </c>
      <c r="AE96">
        <v>6</v>
      </c>
      <c r="AF96">
        <v>1</v>
      </c>
      <c r="AG96">
        <f t="shared" si="53"/>
        <v>1</v>
      </c>
      <c r="AH96">
        <f t="shared" si="54"/>
        <v>0</v>
      </c>
      <c r="AI96">
        <f t="shared" si="55"/>
        <v>25048.702467041676</v>
      </c>
      <c r="AJ96">
        <f t="shared" si="56"/>
        <v>1.867855161290322</v>
      </c>
      <c r="AK96">
        <f t="shared" si="57"/>
        <v>1.4942841290322577</v>
      </c>
      <c r="AL96">
        <f t="shared" si="58"/>
        <v>0.8</v>
      </c>
      <c r="AM96">
        <f t="shared" si="59"/>
        <v>0.19109999999999999</v>
      </c>
      <c r="AN96">
        <v>3</v>
      </c>
      <c r="AO96">
        <v>0.5</v>
      </c>
      <c r="AP96" t="s">
        <v>317</v>
      </c>
      <c r="AQ96">
        <v>2</v>
      </c>
      <c r="AR96">
        <v>1775536758.599999</v>
      </c>
      <c r="AS96">
        <v>-3.244487096774193</v>
      </c>
      <c r="AT96">
        <v>-5.2324932258064516</v>
      </c>
      <c r="AU96">
        <v>4.043988064516129</v>
      </c>
      <c r="AV96">
        <v>2.2478832258064521</v>
      </c>
      <c r="AW96">
        <v>-10.10348709677419</v>
      </c>
      <c r="AX96">
        <v>4.078883225806452</v>
      </c>
      <c r="AY96">
        <v>499.9817096774193</v>
      </c>
      <c r="AZ96">
        <v>100.2444838709677</v>
      </c>
      <c r="BA96">
        <v>4.9373422580645171E-2</v>
      </c>
      <c r="BB96">
        <v>33.296893548387096</v>
      </c>
      <c r="BC96">
        <v>33.042487096774202</v>
      </c>
      <c r="BD96">
        <v>999.90000000000032</v>
      </c>
      <c r="BE96">
        <v>0</v>
      </c>
      <c r="BF96">
        <v>0</v>
      </c>
      <c r="BG96">
        <v>4998.1612903225796</v>
      </c>
      <c r="BH96">
        <v>1.867855161290322</v>
      </c>
      <c r="BI96">
        <v>2148.1183870967739</v>
      </c>
      <c r="BJ96">
        <v>1.99599935483871</v>
      </c>
      <c r="BK96">
        <v>-3.2438054838709678</v>
      </c>
      <c r="BL96">
        <v>-5.253740967741936</v>
      </c>
      <c r="BM96">
        <v>-1.791610322580645</v>
      </c>
      <c r="BN96">
        <v>-5.2324932258064516</v>
      </c>
      <c r="BO96">
        <v>4.043988064516129</v>
      </c>
      <c r="BP96">
        <v>0.22578838709677421</v>
      </c>
      <c r="BQ96">
        <v>0.40538748387096768</v>
      </c>
      <c r="BR96">
        <v>-13.034045161290321</v>
      </c>
      <c r="BS96">
        <v>-5.5759419354838711</v>
      </c>
      <c r="BT96">
        <v>1775536792.5999999</v>
      </c>
      <c r="BU96" t="s">
        <v>559</v>
      </c>
      <c r="BV96">
        <v>1775536784.5999999</v>
      </c>
      <c r="BW96">
        <v>1775536792.5999999</v>
      </c>
      <c r="BX96">
        <v>81</v>
      </c>
      <c r="BY96">
        <v>-8.0000000000000002E-3</v>
      </c>
      <c r="BZ96">
        <v>-4.0000000000000001E-3</v>
      </c>
      <c r="CA96">
        <v>6.859</v>
      </c>
      <c r="CB96">
        <v>-1.831</v>
      </c>
      <c r="CC96">
        <v>-6</v>
      </c>
      <c r="CD96">
        <v>4</v>
      </c>
      <c r="CE96">
        <v>0.14000000000000001</v>
      </c>
      <c r="CF96">
        <v>0.04</v>
      </c>
      <c r="CG96">
        <v>-5.209110166666667</v>
      </c>
      <c r="CH96">
        <v>-0.1876162823006359</v>
      </c>
      <c r="CI96">
        <v>7.2900451427309818E-2</v>
      </c>
      <c r="CJ96">
        <v>-1</v>
      </c>
      <c r="CK96">
        <v>500.08841666666672</v>
      </c>
      <c r="CL96">
        <v>-1.1941150319526881</v>
      </c>
      <c r="CM96">
        <v>0.38753031243446862</v>
      </c>
      <c r="CN96">
        <v>-1</v>
      </c>
      <c r="CO96">
        <v>0</v>
      </c>
      <c r="CP96">
        <v>0</v>
      </c>
      <c r="CQ96" t="s">
        <v>319</v>
      </c>
      <c r="CR96">
        <v>3.1691500000000001</v>
      </c>
      <c r="CS96">
        <v>2.6692999999999998</v>
      </c>
      <c r="CT96">
        <v>-2.9205300000000002E-3</v>
      </c>
      <c r="CU96">
        <v>-1.5718799999999999E-3</v>
      </c>
      <c r="CV96">
        <v>2.6622199999999999E-2</v>
      </c>
      <c r="CW96">
        <v>2.7383600000000001E-2</v>
      </c>
      <c r="CX96">
        <v>21279.200000000001</v>
      </c>
      <c r="CY96">
        <v>21702.2</v>
      </c>
      <c r="CZ96">
        <v>22756.799999999999</v>
      </c>
      <c r="DA96">
        <v>22042.400000000001</v>
      </c>
      <c r="DB96">
        <v>28593</v>
      </c>
      <c r="DC96">
        <v>25515.3</v>
      </c>
      <c r="DD96">
        <v>40056.9</v>
      </c>
      <c r="DE96">
        <v>36470.800000000003</v>
      </c>
      <c r="DF96">
        <v>1.9869000000000001</v>
      </c>
      <c r="DG96">
        <v>1.6111599999999999</v>
      </c>
      <c r="DH96">
        <v>-6.8828500000000001E-2</v>
      </c>
      <c r="DI96">
        <v>0</v>
      </c>
      <c r="DJ96">
        <v>34.1295</v>
      </c>
      <c r="DK96">
        <v>999.9</v>
      </c>
      <c r="DL96">
        <v>51.5</v>
      </c>
      <c r="DM96">
        <v>45.2</v>
      </c>
      <c r="DN96">
        <v>50.028599999999997</v>
      </c>
      <c r="DO96">
        <v>30.7346</v>
      </c>
      <c r="DP96">
        <v>10.0601</v>
      </c>
      <c r="DQ96">
        <v>1</v>
      </c>
      <c r="DR96">
        <v>1.02599</v>
      </c>
      <c r="DS96">
        <v>3.9188800000000001</v>
      </c>
      <c r="DT96">
        <v>20.302800000000001</v>
      </c>
      <c r="DU96">
        <v>5.2095000000000002</v>
      </c>
      <c r="DV96">
        <v>11.8559</v>
      </c>
      <c r="DW96">
        <v>4.96692</v>
      </c>
      <c r="DX96">
        <v>3.2930000000000001</v>
      </c>
      <c r="DY96">
        <v>894.7</v>
      </c>
      <c r="DZ96">
        <v>6</v>
      </c>
      <c r="EA96">
        <v>9999</v>
      </c>
      <c r="EB96">
        <v>117.1</v>
      </c>
      <c r="EC96">
        <v>4.9715999999999996</v>
      </c>
      <c r="ED96">
        <v>1.87222</v>
      </c>
      <c r="EE96">
        <v>1.86954</v>
      </c>
      <c r="EF96">
        <v>1.87182</v>
      </c>
      <c r="EG96">
        <v>1.86965</v>
      </c>
      <c r="EH96">
        <v>1.8684400000000001</v>
      </c>
      <c r="EI96">
        <v>1.8702700000000001</v>
      </c>
      <c r="EJ96">
        <v>1.87195</v>
      </c>
      <c r="EK96">
        <v>0</v>
      </c>
      <c r="EL96">
        <v>0</v>
      </c>
      <c r="EM96">
        <v>0</v>
      </c>
      <c r="EN96">
        <v>0</v>
      </c>
      <c r="EO96" t="s">
        <v>320</v>
      </c>
      <c r="EP96" t="s">
        <v>321</v>
      </c>
      <c r="EQ96" t="s">
        <v>322</v>
      </c>
      <c r="ER96" t="s">
        <v>322</v>
      </c>
      <c r="ES96" t="s">
        <v>322</v>
      </c>
      <c r="ET96" t="s">
        <v>322</v>
      </c>
      <c r="EU96">
        <v>0</v>
      </c>
      <c r="EV96">
        <v>100</v>
      </c>
      <c r="EW96">
        <v>100</v>
      </c>
      <c r="EX96">
        <v>6.859</v>
      </c>
      <c r="EY96">
        <v>-1.831</v>
      </c>
      <c r="EZ96">
        <v>6.8669930000000008</v>
      </c>
      <c r="FA96">
        <v>0</v>
      </c>
      <c r="FB96">
        <v>0</v>
      </c>
      <c r="FC96">
        <v>0</v>
      </c>
      <c r="FD96">
        <v>-1.8265060000000011</v>
      </c>
      <c r="FE96">
        <v>0</v>
      </c>
      <c r="FF96">
        <v>0</v>
      </c>
      <c r="FG96">
        <v>0</v>
      </c>
      <c r="FH96">
        <v>-1</v>
      </c>
      <c r="FI96">
        <v>-1</v>
      </c>
      <c r="FJ96">
        <v>-1</v>
      </c>
      <c r="FK96">
        <v>-1</v>
      </c>
      <c r="FL96">
        <v>0.7</v>
      </c>
      <c r="FM96">
        <v>0.6</v>
      </c>
      <c r="FN96">
        <v>0.14038100000000001</v>
      </c>
      <c r="FO96">
        <v>4.99756</v>
      </c>
      <c r="FP96">
        <v>1.5979000000000001</v>
      </c>
      <c r="FQ96">
        <v>2.1179199999999998</v>
      </c>
      <c r="FR96">
        <v>1.5478499999999999</v>
      </c>
      <c r="FS96">
        <v>2.49634</v>
      </c>
      <c r="FT96">
        <v>49.7699</v>
      </c>
      <c r="FU96">
        <v>15.357900000000001</v>
      </c>
      <c r="FV96">
        <v>2</v>
      </c>
      <c r="FW96">
        <v>506.02</v>
      </c>
      <c r="FX96">
        <v>353.21600000000001</v>
      </c>
      <c r="FY96">
        <v>31.026800000000001</v>
      </c>
      <c r="FZ96">
        <v>39.507800000000003</v>
      </c>
      <c r="GA96">
        <v>30.001100000000001</v>
      </c>
      <c r="GB96">
        <v>39.651499999999999</v>
      </c>
      <c r="GC96">
        <v>39.682899999999997</v>
      </c>
      <c r="GD96">
        <v>-1</v>
      </c>
      <c r="GE96">
        <v>0</v>
      </c>
      <c r="GF96">
        <v>100</v>
      </c>
      <c r="GG96">
        <v>30.999700000000001</v>
      </c>
      <c r="GH96">
        <v>432.1</v>
      </c>
      <c r="GI96">
        <v>42.4801</v>
      </c>
      <c r="GJ96">
        <v>100.77200000000001</v>
      </c>
      <c r="GK96">
        <v>95.224000000000004</v>
      </c>
    </row>
    <row r="97" spans="1:193" x14ac:dyDescent="0.35">
      <c r="A97">
        <v>81</v>
      </c>
      <c r="B97">
        <v>1775536826.5999999</v>
      </c>
      <c r="C97">
        <v>4800.5</v>
      </c>
      <c r="D97" t="s">
        <v>560</v>
      </c>
      <c r="E97" t="s">
        <v>561</v>
      </c>
      <c r="F97">
        <v>60</v>
      </c>
      <c r="G97">
        <v>1775536818.599999</v>
      </c>
      <c r="H97">
        <f t="shared" si="30"/>
        <v>3.0865370133614095E-3</v>
      </c>
      <c r="I97">
        <f t="shared" si="31"/>
        <v>3.0865370133614096</v>
      </c>
      <c r="J97">
        <f t="shared" si="32"/>
        <v>-3.3922058857764927</v>
      </c>
      <c r="K97">
        <f t="shared" si="33"/>
        <v>-3.7563258064516121</v>
      </c>
      <c r="L97">
        <f t="shared" si="34"/>
        <v>76.869562938419122</v>
      </c>
      <c r="M97">
        <f t="shared" si="35"/>
        <v>7.7096816072439038</v>
      </c>
      <c r="N97">
        <f t="shared" si="36"/>
        <v>-0.37674308105557708</v>
      </c>
      <c r="O97">
        <f t="shared" si="37"/>
        <v>6.5930598444904787E-2</v>
      </c>
      <c r="P97">
        <f t="shared" si="38"/>
        <v>2.3922708235304313</v>
      </c>
      <c r="Q97">
        <f t="shared" si="39"/>
        <v>6.4937541459405154E-2</v>
      </c>
      <c r="R97">
        <f t="shared" si="40"/>
        <v>4.0673939606003739E-2</v>
      </c>
      <c r="S97">
        <f t="shared" si="41"/>
        <v>0.33723614264516144</v>
      </c>
      <c r="T97">
        <f t="shared" si="42"/>
        <v>32.256461766484975</v>
      </c>
      <c r="U97">
        <f t="shared" si="43"/>
        <v>32.990216129032262</v>
      </c>
      <c r="V97">
        <f t="shared" si="44"/>
        <v>5.0493303181748495</v>
      </c>
      <c r="W97">
        <f t="shared" si="45"/>
        <v>8.0558987619496989</v>
      </c>
      <c r="X97">
        <f t="shared" si="46"/>
        <v>0.41198327881280922</v>
      </c>
      <c r="Y97">
        <f t="shared" si="47"/>
        <v>5.1140573012004991</v>
      </c>
      <c r="Z97">
        <f t="shared" si="48"/>
        <v>4.63734703936204</v>
      </c>
      <c r="AA97">
        <f t="shared" si="49"/>
        <v>-136.11628228923817</v>
      </c>
      <c r="AB97">
        <f t="shared" si="50"/>
        <v>29.259194112883051</v>
      </c>
      <c r="AC97">
        <f t="shared" si="51"/>
        <v>2.8039405523378527</v>
      </c>
      <c r="AD97">
        <f t="shared" si="52"/>
        <v>-103.7159114813721</v>
      </c>
      <c r="AE97">
        <v>6</v>
      </c>
      <c r="AF97">
        <v>1</v>
      </c>
      <c r="AG97">
        <f t="shared" si="53"/>
        <v>1</v>
      </c>
      <c r="AH97">
        <f t="shared" si="54"/>
        <v>0</v>
      </c>
      <c r="AI97">
        <f t="shared" si="55"/>
        <v>25058.321281271328</v>
      </c>
      <c r="AJ97">
        <f t="shared" si="56"/>
        <v>1.764710322580646</v>
      </c>
      <c r="AK97">
        <f t="shared" si="57"/>
        <v>1.4117682580645168</v>
      </c>
      <c r="AL97">
        <f t="shared" si="58"/>
        <v>0.8</v>
      </c>
      <c r="AM97">
        <f t="shared" si="59"/>
        <v>0.19109999999999999</v>
      </c>
      <c r="AN97">
        <v>3</v>
      </c>
      <c r="AO97">
        <v>0.5</v>
      </c>
      <c r="AP97" t="s">
        <v>317</v>
      </c>
      <c r="AQ97">
        <v>2</v>
      </c>
      <c r="AR97">
        <v>1775536818.599999</v>
      </c>
      <c r="AS97">
        <v>-3.7563258064516121</v>
      </c>
      <c r="AT97">
        <v>-5.7985954838709679</v>
      </c>
      <c r="AU97">
        <v>4.1076890322580644</v>
      </c>
      <c r="AV97">
        <v>2.2633832258064519</v>
      </c>
      <c r="AW97">
        <v>-10.63132580645161</v>
      </c>
      <c r="AX97">
        <v>4.1003832258064516</v>
      </c>
      <c r="AY97">
        <v>500.00251612903219</v>
      </c>
      <c r="AZ97">
        <v>100.246</v>
      </c>
      <c r="BA97">
        <v>4.9634741935483867E-2</v>
      </c>
      <c r="BB97">
        <v>33.217080645161303</v>
      </c>
      <c r="BC97">
        <v>32.990216129032262</v>
      </c>
      <c r="BD97">
        <v>999.90000000000032</v>
      </c>
      <c r="BE97">
        <v>0</v>
      </c>
      <c r="BF97">
        <v>0</v>
      </c>
      <c r="BG97">
        <v>4998.6290322580644</v>
      </c>
      <c r="BH97">
        <v>1.764710322580646</v>
      </c>
      <c r="BI97">
        <v>2011.5703225806451</v>
      </c>
      <c r="BJ97">
        <v>2.025913870967742</v>
      </c>
      <c r="BK97">
        <v>-3.781272903225807</v>
      </c>
      <c r="BL97">
        <v>-5.822512580645161</v>
      </c>
      <c r="BM97">
        <v>-1.837988709677419</v>
      </c>
      <c r="BN97">
        <v>-5.7985954838709679</v>
      </c>
      <c r="BO97">
        <v>4.1076890322580644</v>
      </c>
      <c r="BP97">
        <v>0.22752803225806451</v>
      </c>
      <c r="BQ97">
        <v>0.4117790967741935</v>
      </c>
      <c r="BR97">
        <v>-12.942938709677421</v>
      </c>
      <c r="BS97">
        <v>-5.3702309677419358</v>
      </c>
      <c r="BT97">
        <v>1775536856.0999999</v>
      </c>
      <c r="BU97" t="s">
        <v>562</v>
      </c>
      <c r="BV97">
        <v>1775536844.5999999</v>
      </c>
      <c r="BW97">
        <v>1775536856.0999999</v>
      </c>
      <c r="BX97">
        <v>82</v>
      </c>
      <c r="BY97">
        <v>1.7000000000000001E-2</v>
      </c>
      <c r="BZ97">
        <v>-6.0000000000000001E-3</v>
      </c>
      <c r="CA97">
        <v>6.875</v>
      </c>
      <c r="CB97">
        <v>-1.837</v>
      </c>
      <c r="CC97">
        <v>-6</v>
      </c>
      <c r="CD97">
        <v>4</v>
      </c>
      <c r="CE97">
        <v>0.23</v>
      </c>
      <c r="CF97">
        <v>0.06</v>
      </c>
      <c r="CG97">
        <v>-5.7442975000000001</v>
      </c>
      <c r="CH97">
        <v>-0.36632058905253112</v>
      </c>
      <c r="CI97">
        <v>6.4614514974707243E-2</v>
      </c>
      <c r="CJ97">
        <v>-1</v>
      </c>
      <c r="CK97">
        <v>500.82855000000001</v>
      </c>
      <c r="CL97">
        <v>-8.405971658794007</v>
      </c>
      <c r="CM97">
        <v>1.8664903287989469</v>
      </c>
      <c r="CN97">
        <v>-1</v>
      </c>
      <c r="CO97">
        <v>0</v>
      </c>
      <c r="CP97">
        <v>0</v>
      </c>
      <c r="CQ97" t="s">
        <v>319</v>
      </c>
      <c r="CR97">
        <v>3.1690900000000002</v>
      </c>
      <c r="CS97">
        <v>2.6709900000000002</v>
      </c>
      <c r="CT97">
        <v>-3.1119400000000001E-3</v>
      </c>
      <c r="CU97">
        <v>-1.6934999999999999E-3</v>
      </c>
      <c r="CV97">
        <v>2.8478400000000001E-2</v>
      </c>
      <c r="CW97">
        <v>2.7739300000000001E-2</v>
      </c>
      <c r="CX97">
        <v>21281.200000000001</v>
      </c>
      <c r="CY97">
        <v>21703.1</v>
      </c>
      <c r="CZ97">
        <v>22754.799999999999</v>
      </c>
      <c r="DA97">
        <v>22040.9</v>
      </c>
      <c r="DB97">
        <v>28536</v>
      </c>
      <c r="DC97">
        <v>25503.9</v>
      </c>
      <c r="DD97">
        <v>40053.5</v>
      </c>
      <c r="DE97">
        <v>36468</v>
      </c>
      <c r="DF97">
        <v>1.98702</v>
      </c>
      <c r="DG97">
        <v>1.61128</v>
      </c>
      <c r="DH97">
        <v>-7.6741000000000004E-2</v>
      </c>
      <c r="DI97">
        <v>0</v>
      </c>
      <c r="DJ97">
        <v>34.292000000000002</v>
      </c>
      <c r="DK97">
        <v>999.9</v>
      </c>
      <c r="DL97">
        <v>51.3</v>
      </c>
      <c r="DM97">
        <v>45.3</v>
      </c>
      <c r="DN97">
        <v>50.093600000000002</v>
      </c>
      <c r="DO97">
        <v>30.794599999999999</v>
      </c>
      <c r="DP97">
        <v>10.3125</v>
      </c>
      <c r="DQ97">
        <v>1</v>
      </c>
      <c r="DR97">
        <v>1.02325</v>
      </c>
      <c r="DS97">
        <v>3.0226899999999999</v>
      </c>
      <c r="DT97">
        <v>20.3263</v>
      </c>
      <c r="DU97">
        <v>5.2061500000000001</v>
      </c>
      <c r="DV97">
        <v>11.855399999999999</v>
      </c>
      <c r="DW97">
        <v>4.9661999999999997</v>
      </c>
      <c r="DX97">
        <v>3.2923399999999998</v>
      </c>
      <c r="DY97">
        <v>894.7</v>
      </c>
      <c r="DZ97">
        <v>6</v>
      </c>
      <c r="EA97">
        <v>9999</v>
      </c>
      <c r="EB97">
        <v>117.1</v>
      </c>
      <c r="EC97">
        <v>4.9716199999999997</v>
      </c>
      <c r="ED97">
        <v>1.8722399999999999</v>
      </c>
      <c r="EE97">
        <v>1.86955</v>
      </c>
      <c r="EF97">
        <v>1.8718699999999999</v>
      </c>
      <c r="EG97">
        <v>1.8696600000000001</v>
      </c>
      <c r="EH97">
        <v>1.8684400000000001</v>
      </c>
      <c r="EI97">
        <v>1.8702700000000001</v>
      </c>
      <c r="EJ97">
        <v>1.8719600000000001</v>
      </c>
      <c r="EK97">
        <v>0</v>
      </c>
      <c r="EL97">
        <v>0</v>
      </c>
      <c r="EM97">
        <v>0</v>
      </c>
      <c r="EN97">
        <v>0</v>
      </c>
      <c r="EO97" t="s">
        <v>320</v>
      </c>
      <c r="EP97" t="s">
        <v>321</v>
      </c>
      <c r="EQ97" t="s">
        <v>322</v>
      </c>
      <c r="ER97" t="s">
        <v>322</v>
      </c>
      <c r="ES97" t="s">
        <v>322</v>
      </c>
      <c r="ET97" t="s">
        <v>322</v>
      </c>
      <c r="EU97">
        <v>0</v>
      </c>
      <c r="EV97">
        <v>100</v>
      </c>
      <c r="EW97">
        <v>100</v>
      </c>
      <c r="EX97">
        <v>6.875</v>
      </c>
      <c r="EY97">
        <v>-1.837</v>
      </c>
      <c r="EZ97">
        <v>6.8586505000000004</v>
      </c>
      <c r="FA97">
        <v>0</v>
      </c>
      <c r="FB97">
        <v>0</v>
      </c>
      <c r="FC97">
        <v>0</v>
      </c>
      <c r="FD97">
        <v>-1.8306839999999991</v>
      </c>
      <c r="FE97">
        <v>0</v>
      </c>
      <c r="FF97">
        <v>0</v>
      </c>
      <c r="FG97">
        <v>0</v>
      </c>
      <c r="FH97">
        <v>-1</v>
      </c>
      <c r="FI97">
        <v>-1</v>
      </c>
      <c r="FJ97">
        <v>-1</v>
      </c>
      <c r="FK97">
        <v>-1</v>
      </c>
      <c r="FL97">
        <v>0.7</v>
      </c>
      <c r="FM97">
        <v>0.6</v>
      </c>
      <c r="FN97">
        <v>0.14038100000000001</v>
      </c>
      <c r="FO97">
        <v>4.99756</v>
      </c>
      <c r="FP97">
        <v>1.5979000000000001</v>
      </c>
      <c r="FQ97">
        <v>2.1179199999999998</v>
      </c>
      <c r="FR97">
        <v>1.5478499999999999</v>
      </c>
      <c r="FS97">
        <v>2.3840300000000001</v>
      </c>
      <c r="FT97">
        <v>49.7699</v>
      </c>
      <c r="FU97">
        <v>15.357900000000001</v>
      </c>
      <c r="FV97">
        <v>2</v>
      </c>
      <c r="FW97">
        <v>506.404</v>
      </c>
      <c r="FX97">
        <v>353.45499999999998</v>
      </c>
      <c r="FY97">
        <v>31.468299999999999</v>
      </c>
      <c r="FZ97">
        <v>39.561999999999998</v>
      </c>
      <c r="GA97">
        <v>30.0017</v>
      </c>
      <c r="GB97">
        <v>39.697400000000002</v>
      </c>
      <c r="GC97">
        <v>39.719200000000001</v>
      </c>
      <c r="GD97">
        <v>-1</v>
      </c>
      <c r="GE97">
        <v>0</v>
      </c>
      <c r="GF97">
        <v>100</v>
      </c>
      <c r="GG97">
        <v>31.413399999999999</v>
      </c>
      <c r="GH97">
        <v>432.1</v>
      </c>
      <c r="GI97">
        <v>42.4801</v>
      </c>
      <c r="GJ97">
        <v>100.764</v>
      </c>
      <c r="GK97">
        <v>95.216899999999995</v>
      </c>
    </row>
    <row r="98" spans="1:193" x14ac:dyDescent="0.35">
      <c r="A98">
        <v>82</v>
      </c>
      <c r="B98">
        <v>1775536886.5999999</v>
      </c>
      <c r="C98">
        <v>4860.5</v>
      </c>
      <c r="D98" t="s">
        <v>563</v>
      </c>
      <c r="E98" t="s">
        <v>564</v>
      </c>
      <c r="F98">
        <v>60</v>
      </c>
      <c r="G98">
        <v>1775536878.849999</v>
      </c>
      <c r="H98">
        <f t="shared" si="30"/>
        <v>3.5217416376106554E-3</v>
      </c>
      <c r="I98">
        <f t="shared" si="31"/>
        <v>3.5217416376106554</v>
      </c>
      <c r="J98">
        <f t="shared" si="32"/>
        <v>-3.5146285993951354</v>
      </c>
      <c r="K98">
        <f t="shared" si="33"/>
        <v>-4.0756833333333322</v>
      </c>
      <c r="L98">
        <f t="shared" si="34"/>
        <v>69.153669904470291</v>
      </c>
      <c r="M98">
        <f t="shared" si="35"/>
        <v>6.9357456595291893</v>
      </c>
      <c r="N98">
        <f t="shared" si="36"/>
        <v>-0.40876938314093436</v>
      </c>
      <c r="O98">
        <f t="shared" si="37"/>
        <v>7.5400174506997958E-2</v>
      </c>
      <c r="P98">
        <f t="shared" si="38"/>
        <v>2.3927364011545933</v>
      </c>
      <c r="Q98">
        <f t="shared" si="39"/>
        <v>7.4104636638931534E-2</v>
      </c>
      <c r="R98">
        <f t="shared" si="40"/>
        <v>4.642994266048215E-2</v>
      </c>
      <c r="S98">
        <f t="shared" si="41"/>
        <v>0.26450800739999997</v>
      </c>
      <c r="T98">
        <f t="shared" si="42"/>
        <v>32.110937906208605</v>
      </c>
      <c r="U98">
        <f t="shared" si="43"/>
        <v>33.00192666666667</v>
      </c>
      <c r="V98">
        <f t="shared" si="44"/>
        <v>5.0526539323536745</v>
      </c>
      <c r="W98">
        <f t="shared" si="45"/>
        <v>8.1428407032797363</v>
      </c>
      <c r="X98">
        <f t="shared" si="46"/>
        <v>0.41620974447624676</v>
      </c>
      <c r="Y98">
        <f t="shared" si="47"/>
        <v>5.1113580584796123</v>
      </c>
      <c r="Z98">
        <f t="shared" si="48"/>
        <v>4.6364441878774274</v>
      </c>
      <c r="AA98">
        <f t="shared" si="49"/>
        <v>-155.30880621862991</v>
      </c>
      <c r="AB98">
        <f t="shared" si="50"/>
        <v>26.540314918381828</v>
      </c>
      <c r="AC98">
        <f t="shared" si="51"/>
        <v>2.542921093076663</v>
      </c>
      <c r="AD98">
        <f t="shared" si="52"/>
        <v>-125.96106219977142</v>
      </c>
      <c r="AE98">
        <v>6</v>
      </c>
      <c r="AF98">
        <v>1</v>
      </c>
      <c r="AG98">
        <f t="shared" si="53"/>
        <v>1</v>
      </c>
      <c r="AH98">
        <f t="shared" si="54"/>
        <v>0</v>
      </c>
      <c r="AI98">
        <f t="shared" si="55"/>
        <v>25066.06499363649</v>
      </c>
      <c r="AJ98">
        <f t="shared" si="56"/>
        <v>1.384134</v>
      </c>
      <c r="AK98">
        <f t="shared" si="57"/>
        <v>1.1073071999999999</v>
      </c>
      <c r="AL98">
        <f t="shared" si="58"/>
        <v>0.8</v>
      </c>
      <c r="AM98">
        <f t="shared" si="59"/>
        <v>0.19109999999999999</v>
      </c>
      <c r="AN98">
        <v>3</v>
      </c>
      <c r="AO98">
        <v>0.5</v>
      </c>
      <c r="AP98" t="s">
        <v>317</v>
      </c>
      <c r="AQ98">
        <v>2</v>
      </c>
      <c r="AR98">
        <v>1775536878.849999</v>
      </c>
      <c r="AS98">
        <v>-4.0756833333333322</v>
      </c>
      <c r="AT98">
        <v>-6.1931579999999986</v>
      </c>
      <c r="AU98">
        <v>4.149868333333333</v>
      </c>
      <c r="AV98">
        <v>2.045507333333334</v>
      </c>
      <c r="AW98">
        <v>-10.914683333333331</v>
      </c>
      <c r="AX98">
        <v>3.884507333333334</v>
      </c>
      <c r="AY98">
        <v>499.97983333333332</v>
      </c>
      <c r="AZ98">
        <v>100.2452</v>
      </c>
      <c r="BA98">
        <v>4.9486733333333338E-2</v>
      </c>
      <c r="BB98">
        <v>33.207669999999993</v>
      </c>
      <c r="BC98">
        <v>33.00192666666667</v>
      </c>
      <c r="BD98">
        <v>999.9000000000002</v>
      </c>
      <c r="BE98">
        <v>0</v>
      </c>
      <c r="BF98">
        <v>0</v>
      </c>
      <c r="BG98">
        <v>4999.8666666666668</v>
      </c>
      <c r="BH98">
        <v>1.384134</v>
      </c>
      <c r="BI98">
        <v>1399.308666666667</v>
      </c>
      <c r="BJ98">
        <v>2.153654</v>
      </c>
      <c r="BK98">
        <v>-4.0477913333333344</v>
      </c>
      <c r="BL98">
        <v>-6.2189656666666657</v>
      </c>
      <c r="BM98">
        <v>-2.102100666666666</v>
      </c>
      <c r="BN98">
        <v>-6.1931579999999986</v>
      </c>
      <c r="BO98">
        <v>4.149868333333333</v>
      </c>
      <c r="BP98">
        <v>0.20527913333333339</v>
      </c>
      <c r="BQ98">
        <v>0.41600473333333338</v>
      </c>
      <c r="BR98">
        <v>-14.189653333333331</v>
      </c>
      <c r="BS98">
        <v>-5.2357779999999998</v>
      </c>
      <c r="BT98">
        <v>1775536912.5999999</v>
      </c>
      <c r="BU98" t="s">
        <v>565</v>
      </c>
      <c r="BV98">
        <v>1775536904.5999999</v>
      </c>
      <c r="BW98">
        <v>1775536912.5999999</v>
      </c>
      <c r="BX98">
        <v>83</v>
      </c>
      <c r="BY98">
        <v>-3.5999999999999997E-2</v>
      </c>
      <c r="BZ98">
        <v>-2E-3</v>
      </c>
      <c r="CA98">
        <v>6.8390000000000004</v>
      </c>
      <c r="CB98">
        <v>-1.839</v>
      </c>
      <c r="CC98">
        <v>-7</v>
      </c>
      <c r="CD98">
        <v>4</v>
      </c>
      <c r="CE98">
        <v>0.11</v>
      </c>
      <c r="CF98">
        <v>0.04</v>
      </c>
      <c r="CG98">
        <v>-6.1496596666666674</v>
      </c>
      <c r="CH98">
        <v>-0.48156816893582333</v>
      </c>
      <c r="CI98">
        <v>0.1104435538931791</v>
      </c>
      <c r="CJ98">
        <v>-1</v>
      </c>
      <c r="CK98">
        <v>500.9715333333333</v>
      </c>
      <c r="CL98">
        <v>-7.5824795776600933</v>
      </c>
      <c r="CM98">
        <v>1.8953202496910391</v>
      </c>
      <c r="CN98">
        <v>-1</v>
      </c>
      <c r="CO98">
        <v>0</v>
      </c>
      <c r="CP98">
        <v>0</v>
      </c>
      <c r="CQ98" t="s">
        <v>319</v>
      </c>
      <c r="CR98">
        <v>3.1692499999999999</v>
      </c>
      <c r="CS98">
        <v>2.6709399999999999</v>
      </c>
      <c r="CT98">
        <v>-3.1643999999999999E-3</v>
      </c>
      <c r="CU98">
        <v>-1.85086E-3</v>
      </c>
      <c r="CV98">
        <v>2.6347300000000001E-2</v>
      </c>
      <c r="CW98">
        <v>2.7979500000000001E-2</v>
      </c>
      <c r="CX98">
        <v>21279.7</v>
      </c>
      <c r="CY98">
        <v>21704.1</v>
      </c>
      <c r="CZ98">
        <v>22752.1</v>
      </c>
      <c r="DA98">
        <v>22038.6</v>
      </c>
      <c r="DB98">
        <v>28595.3</v>
      </c>
      <c r="DC98">
        <v>25494.799999999999</v>
      </c>
      <c r="DD98">
        <v>40049</v>
      </c>
      <c r="DE98">
        <v>36464.1</v>
      </c>
      <c r="DF98">
        <v>1.98546</v>
      </c>
      <c r="DG98">
        <v>1.61012</v>
      </c>
      <c r="DH98">
        <v>-8.7171799999999994E-2</v>
      </c>
      <c r="DI98">
        <v>0</v>
      </c>
      <c r="DJ98">
        <v>34.3992</v>
      </c>
      <c r="DK98">
        <v>999.9</v>
      </c>
      <c r="DL98">
        <v>51.2</v>
      </c>
      <c r="DM98">
        <v>45.4</v>
      </c>
      <c r="DN98">
        <v>50.252699999999997</v>
      </c>
      <c r="DO98">
        <v>30.494599999999998</v>
      </c>
      <c r="DP98">
        <v>9.9959900000000008</v>
      </c>
      <c r="DQ98">
        <v>1</v>
      </c>
      <c r="DR98">
        <v>1.0297000000000001</v>
      </c>
      <c r="DS98">
        <v>3.1777299999999999</v>
      </c>
      <c r="DT98">
        <v>20.322600000000001</v>
      </c>
      <c r="DU98">
        <v>5.2098599999999999</v>
      </c>
      <c r="DV98">
        <v>11.8546</v>
      </c>
      <c r="DW98">
        <v>4.9671200000000004</v>
      </c>
      <c r="DX98">
        <v>3.2930000000000001</v>
      </c>
      <c r="DY98">
        <v>894.7</v>
      </c>
      <c r="DZ98">
        <v>6</v>
      </c>
      <c r="EA98">
        <v>9999</v>
      </c>
      <c r="EB98">
        <v>117.1</v>
      </c>
      <c r="EC98">
        <v>4.9716199999999997</v>
      </c>
      <c r="ED98">
        <v>1.87225</v>
      </c>
      <c r="EE98">
        <v>1.8695600000000001</v>
      </c>
      <c r="EF98">
        <v>1.87188</v>
      </c>
      <c r="EG98">
        <v>1.8696600000000001</v>
      </c>
      <c r="EH98">
        <v>1.8684499999999999</v>
      </c>
      <c r="EI98">
        <v>1.8702799999999999</v>
      </c>
      <c r="EJ98">
        <v>1.8719600000000001</v>
      </c>
      <c r="EK98">
        <v>0</v>
      </c>
      <c r="EL98">
        <v>0</v>
      </c>
      <c r="EM98">
        <v>0</v>
      </c>
      <c r="EN98">
        <v>0</v>
      </c>
      <c r="EO98" t="s">
        <v>320</v>
      </c>
      <c r="EP98" t="s">
        <v>321</v>
      </c>
      <c r="EQ98" t="s">
        <v>322</v>
      </c>
      <c r="ER98" t="s">
        <v>322</v>
      </c>
      <c r="ES98" t="s">
        <v>322</v>
      </c>
      <c r="ET98" t="s">
        <v>322</v>
      </c>
      <c r="EU98">
        <v>0</v>
      </c>
      <c r="EV98">
        <v>100</v>
      </c>
      <c r="EW98">
        <v>100</v>
      </c>
      <c r="EX98">
        <v>6.8390000000000004</v>
      </c>
      <c r="EY98">
        <v>-1.839</v>
      </c>
      <c r="EZ98">
        <v>6.8751744999999982</v>
      </c>
      <c r="FA98">
        <v>0</v>
      </c>
      <c r="FB98">
        <v>0</v>
      </c>
      <c r="FC98">
        <v>0</v>
      </c>
      <c r="FD98">
        <v>-1.836738571428572</v>
      </c>
      <c r="FE98">
        <v>0</v>
      </c>
      <c r="FF98">
        <v>0</v>
      </c>
      <c r="FG98">
        <v>0</v>
      </c>
      <c r="FH98">
        <v>-1</v>
      </c>
      <c r="FI98">
        <v>-1</v>
      </c>
      <c r="FJ98">
        <v>-1</v>
      </c>
      <c r="FK98">
        <v>-1</v>
      </c>
      <c r="FL98">
        <v>0.7</v>
      </c>
      <c r="FM98">
        <v>0.5</v>
      </c>
      <c r="FN98">
        <v>0.14038100000000001</v>
      </c>
      <c r="FO98">
        <v>4.99756</v>
      </c>
      <c r="FP98">
        <v>1.5979000000000001</v>
      </c>
      <c r="FQ98">
        <v>2.1166999999999998</v>
      </c>
      <c r="FR98">
        <v>1.5478499999999999</v>
      </c>
      <c r="FS98">
        <v>2.4706999999999999</v>
      </c>
      <c r="FT98">
        <v>49.8018</v>
      </c>
      <c r="FU98">
        <v>15.357900000000001</v>
      </c>
      <c r="FV98">
        <v>2</v>
      </c>
      <c r="FW98">
        <v>505.726</v>
      </c>
      <c r="FX98">
        <v>353.04500000000002</v>
      </c>
      <c r="FY98">
        <v>31.117699999999999</v>
      </c>
      <c r="FZ98">
        <v>39.605699999999999</v>
      </c>
      <c r="GA98">
        <v>30.000299999999999</v>
      </c>
      <c r="GB98">
        <v>39.7408</v>
      </c>
      <c r="GC98">
        <v>39.766300000000001</v>
      </c>
      <c r="GD98">
        <v>-1</v>
      </c>
      <c r="GE98">
        <v>0</v>
      </c>
      <c r="GF98">
        <v>100</v>
      </c>
      <c r="GG98">
        <v>31.124400000000001</v>
      </c>
      <c r="GH98">
        <v>432.1</v>
      </c>
      <c r="GI98">
        <v>42.4801</v>
      </c>
      <c r="GJ98">
        <v>100.752</v>
      </c>
      <c r="GK98">
        <v>95.206800000000001</v>
      </c>
    </row>
    <row r="99" spans="1:193" x14ac:dyDescent="0.35">
      <c r="A99">
        <v>83</v>
      </c>
      <c r="B99">
        <v>1775536946.5999999</v>
      </c>
      <c r="C99">
        <v>4920.5</v>
      </c>
      <c r="D99" t="s">
        <v>566</v>
      </c>
      <c r="E99" t="s">
        <v>567</v>
      </c>
      <c r="F99">
        <v>60</v>
      </c>
      <c r="G99">
        <v>1775536938.599999</v>
      </c>
      <c r="H99">
        <f t="shared" si="30"/>
        <v>2.9514510587721802E-3</v>
      </c>
      <c r="I99">
        <f t="shared" si="31"/>
        <v>2.9514510587721801</v>
      </c>
      <c r="J99">
        <f t="shared" si="32"/>
        <v>-3.2603996322503552</v>
      </c>
      <c r="K99">
        <f t="shared" si="33"/>
        <v>-5.0688387096774177</v>
      </c>
      <c r="L99">
        <f t="shared" si="34"/>
        <v>76.022303807580059</v>
      </c>
      <c r="M99">
        <f t="shared" si="35"/>
        <v>7.6244099906465941</v>
      </c>
      <c r="N99">
        <f t="shared" si="36"/>
        <v>-0.50836271151239798</v>
      </c>
      <c r="O99">
        <f t="shared" si="37"/>
        <v>6.3044834165467703E-2</v>
      </c>
      <c r="P99">
        <f t="shared" si="38"/>
        <v>2.3908777774815109</v>
      </c>
      <c r="Q99">
        <f t="shared" si="39"/>
        <v>6.2135639186600998E-2</v>
      </c>
      <c r="R99">
        <f t="shared" si="40"/>
        <v>3.8915369724077997E-2</v>
      </c>
      <c r="S99">
        <f t="shared" si="41"/>
        <v>0.22865910222580649</v>
      </c>
      <c r="T99">
        <f t="shared" si="42"/>
        <v>32.205579606598512</v>
      </c>
      <c r="U99">
        <f t="shared" si="43"/>
        <v>33.00466451612904</v>
      </c>
      <c r="V99">
        <f t="shared" si="44"/>
        <v>5.0534312467525639</v>
      </c>
      <c r="W99">
        <f t="shared" si="45"/>
        <v>8.2460530036471269</v>
      </c>
      <c r="X99">
        <f t="shared" si="46"/>
        <v>0.41954333359789625</v>
      </c>
      <c r="Y99">
        <f t="shared" si="47"/>
        <v>5.087807868956669</v>
      </c>
      <c r="Z99">
        <f t="shared" si="48"/>
        <v>4.633887913154668</v>
      </c>
      <c r="AA99">
        <f t="shared" si="49"/>
        <v>-130.15899169185315</v>
      </c>
      <c r="AB99">
        <f t="shared" si="50"/>
        <v>15.559947214582216</v>
      </c>
      <c r="AC99">
        <f t="shared" si="51"/>
        <v>1.4914306747645194</v>
      </c>
      <c r="AD99">
        <f t="shared" si="52"/>
        <v>-112.87895470028059</v>
      </c>
      <c r="AE99">
        <v>6</v>
      </c>
      <c r="AF99">
        <v>1</v>
      </c>
      <c r="AG99">
        <f t="shared" si="53"/>
        <v>1</v>
      </c>
      <c r="AH99">
        <f t="shared" si="54"/>
        <v>0</v>
      </c>
      <c r="AI99">
        <f t="shared" si="55"/>
        <v>25045.192157553593</v>
      </c>
      <c r="AJ99">
        <f t="shared" si="56"/>
        <v>1.196541612903226</v>
      </c>
      <c r="AK99">
        <f t="shared" si="57"/>
        <v>0.95723329032258087</v>
      </c>
      <c r="AL99">
        <f t="shared" si="58"/>
        <v>0.8</v>
      </c>
      <c r="AM99">
        <f t="shared" si="59"/>
        <v>0.19109999999999999</v>
      </c>
      <c r="AN99">
        <v>3</v>
      </c>
      <c r="AO99">
        <v>0.5</v>
      </c>
      <c r="AP99" t="s">
        <v>317</v>
      </c>
      <c r="AQ99">
        <v>2</v>
      </c>
      <c r="AR99">
        <v>1775536938.599999</v>
      </c>
      <c r="AS99">
        <v>-5.0688387096774177</v>
      </c>
      <c r="AT99">
        <v>-7.0341225806451613</v>
      </c>
      <c r="AU99">
        <v>4.1832287096774197</v>
      </c>
      <c r="AV99">
        <v>2.419705161290322</v>
      </c>
      <c r="AW99">
        <v>-11.89683870967742</v>
      </c>
      <c r="AX99">
        <v>4.262705161290322</v>
      </c>
      <c r="AY99">
        <v>499.98274193548377</v>
      </c>
      <c r="AZ99">
        <v>100.24238709677419</v>
      </c>
      <c r="BA99">
        <v>4.9364254838709681E-2</v>
      </c>
      <c r="BB99">
        <v>33.125380645161293</v>
      </c>
      <c r="BC99">
        <v>33.00466451612904</v>
      </c>
      <c r="BD99">
        <v>999.90000000000032</v>
      </c>
      <c r="BE99">
        <v>0</v>
      </c>
      <c r="BF99">
        <v>0</v>
      </c>
      <c r="BG99">
        <v>4995.2258064516127</v>
      </c>
      <c r="BH99">
        <v>1.196541612903226</v>
      </c>
      <c r="BI99">
        <v>1072.3503225806451</v>
      </c>
      <c r="BJ99">
        <v>1.976058064516129</v>
      </c>
      <c r="BK99">
        <v>-5.0703551612903244</v>
      </c>
      <c r="BL99">
        <v>-7.0636709677419338</v>
      </c>
      <c r="BM99">
        <v>-1.759541612903226</v>
      </c>
      <c r="BN99">
        <v>-7.0341225806451613</v>
      </c>
      <c r="BO99">
        <v>4.1832287096774197</v>
      </c>
      <c r="BP99">
        <v>0.24295609677419361</v>
      </c>
      <c r="BQ99">
        <v>0.41933687096774203</v>
      </c>
      <c r="BR99">
        <v>-12.117406451612901</v>
      </c>
      <c r="BS99">
        <v>-5.1306119354838726</v>
      </c>
      <c r="BT99">
        <v>1775536976.0999999</v>
      </c>
      <c r="BU99" t="s">
        <v>568</v>
      </c>
      <c r="BV99">
        <v>1775536964.5999999</v>
      </c>
      <c r="BW99">
        <v>1775536976.0999999</v>
      </c>
      <c r="BX99">
        <v>84</v>
      </c>
      <c r="BY99">
        <v>-0.01</v>
      </c>
      <c r="BZ99">
        <v>-4.0000000000000001E-3</v>
      </c>
      <c r="CA99">
        <v>6.8280000000000003</v>
      </c>
      <c r="CB99">
        <v>-1.843</v>
      </c>
      <c r="CC99">
        <v>-8</v>
      </c>
      <c r="CD99">
        <v>4</v>
      </c>
      <c r="CE99">
        <v>0.17</v>
      </c>
      <c r="CF99">
        <v>0.06</v>
      </c>
      <c r="CG99">
        <v>-6.9560422950819678</v>
      </c>
      <c r="CH99">
        <v>-0.51661751454257787</v>
      </c>
      <c r="CI99">
        <v>8.6396868822160286E-2</v>
      </c>
      <c r="CJ99">
        <v>-1</v>
      </c>
      <c r="CK99">
        <v>500.80549180327858</v>
      </c>
      <c r="CL99">
        <v>-8.1083447911153872</v>
      </c>
      <c r="CM99">
        <v>1.8333170119557209</v>
      </c>
      <c r="CN99">
        <v>-1</v>
      </c>
      <c r="CO99">
        <v>0</v>
      </c>
      <c r="CP99">
        <v>0</v>
      </c>
      <c r="CQ99" t="s">
        <v>319</v>
      </c>
      <c r="CR99">
        <v>3.16913</v>
      </c>
      <c r="CS99">
        <v>2.6706099999999999</v>
      </c>
      <c r="CT99">
        <v>-3.4731800000000002E-3</v>
      </c>
      <c r="CU99">
        <v>-2.0477E-3</v>
      </c>
      <c r="CV99">
        <v>2.9296699999999998E-2</v>
      </c>
      <c r="CW99">
        <v>2.81777E-2</v>
      </c>
      <c r="CX99">
        <v>21287.1</v>
      </c>
      <c r="CY99">
        <v>21709.8</v>
      </c>
      <c r="CZ99">
        <v>22753</v>
      </c>
      <c r="DA99">
        <v>22040</v>
      </c>
      <c r="DB99">
        <v>28509.5</v>
      </c>
      <c r="DC99">
        <v>25491.4</v>
      </c>
      <c r="DD99">
        <v>40050.1</v>
      </c>
      <c r="DE99">
        <v>36466.699999999997</v>
      </c>
      <c r="DF99">
        <v>1.9866200000000001</v>
      </c>
      <c r="DG99">
        <v>1.61</v>
      </c>
      <c r="DH99">
        <v>-7.9542399999999999E-2</v>
      </c>
      <c r="DI99">
        <v>0</v>
      </c>
      <c r="DJ99">
        <v>34.303699999999999</v>
      </c>
      <c r="DK99">
        <v>999.9</v>
      </c>
      <c r="DL99">
        <v>51.1</v>
      </c>
      <c r="DM99">
        <v>45.5</v>
      </c>
      <c r="DN99">
        <v>50.4133</v>
      </c>
      <c r="DO99">
        <v>30.554600000000001</v>
      </c>
      <c r="DP99">
        <v>10.2644</v>
      </c>
      <c r="DQ99">
        <v>1</v>
      </c>
      <c r="DR99">
        <v>1.0210399999999999</v>
      </c>
      <c r="DS99">
        <v>2.1934900000000002</v>
      </c>
      <c r="DT99">
        <v>20.341200000000001</v>
      </c>
      <c r="DU99">
        <v>5.2057900000000004</v>
      </c>
      <c r="DV99">
        <v>11.854799999999999</v>
      </c>
      <c r="DW99">
        <v>4.9664799999999998</v>
      </c>
      <c r="DX99">
        <v>3.2923399999999998</v>
      </c>
      <c r="DY99">
        <v>894.7</v>
      </c>
      <c r="DZ99">
        <v>6</v>
      </c>
      <c r="EA99">
        <v>9999</v>
      </c>
      <c r="EB99">
        <v>117.1</v>
      </c>
      <c r="EC99">
        <v>4.9716399999999998</v>
      </c>
      <c r="ED99">
        <v>1.87225</v>
      </c>
      <c r="EE99">
        <v>1.86958</v>
      </c>
      <c r="EF99">
        <v>1.8718999999999999</v>
      </c>
      <c r="EG99">
        <v>1.8696600000000001</v>
      </c>
      <c r="EH99">
        <v>1.8684400000000001</v>
      </c>
      <c r="EI99">
        <v>1.8702700000000001</v>
      </c>
      <c r="EJ99">
        <v>1.87195</v>
      </c>
      <c r="EK99">
        <v>0</v>
      </c>
      <c r="EL99">
        <v>0</v>
      </c>
      <c r="EM99">
        <v>0</v>
      </c>
      <c r="EN99">
        <v>0</v>
      </c>
      <c r="EO99" t="s">
        <v>320</v>
      </c>
      <c r="EP99" t="s">
        <v>321</v>
      </c>
      <c r="EQ99" t="s">
        <v>322</v>
      </c>
      <c r="ER99" t="s">
        <v>322</v>
      </c>
      <c r="ES99" t="s">
        <v>322</v>
      </c>
      <c r="ET99" t="s">
        <v>322</v>
      </c>
      <c r="EU99">
        <v>0</v>
      </c>
      <c r="EV99">
        <v>100</v>
      </c>
      <c r="EW99">
        <v>100</v>
      </c>
      <c r="EX99">
        <v>6.8280000000000003</v>
      </c>
      <c r="EY99">
        <v>-1.843</v>
      </c>
      <c r="EZ99">
        <v>6.8387735000000012</v>
      </c>
      <c r="FA99">
        <v>0</v>
      </c>
      <c r="FB99">
        <v>0</v>
      </c>
      <c r="FC99">
        <v>0</v>
      </c>
      <c r="FD99">
        <v>-1.8390200000000001</v>
      </c>
      <c r="FE99">
        <v>0</v>
      </c>
      <c r="FF99">
        <v>0</v>
      </c>
      <c r="FG99">
        <v>0</v>
      </c>
      <c r="FH99">
        <v>-1</v>
      </c>
      <c r="FI99">
        <v>-1</v>
      </c>
      <c r="FJ99">
        <v>-1</v>
      </c>
      <c r="FK99">
        <v>-1</v>
      </c>
      <c r="FL99">
        <v>0.7</v>
      </c>
      <c r="FM99">
        <v>0.6</v>
      </c>
      <c r="FN99">
        <v>0.14038100000000001</v>
      </c>
      <c r="FO99">
        <v>4.99756</v>
      </c>
      <c r="FP99">
        <v>1.5979000000000001</v>
      </c>
      <c r="FQ99">
        <v>2.1166999999999998</v>
      </c>
      <c r="FR99">
        <v>1.5478499999999999</v>
      </c>
      <c r="FS99">
        <v>2.4316399999999998</v>
      </c>
      <c r="FT99">
        <v>49.8018</v>
      </c>
      <c r="FU99">
        <v>15.357900000000001</v>
      </c>
      <c r="FV99">
        <v>2</v>
      </c>
      <c r="FW99">
        <v>506.42700000000002</v>
      </c>
      <c r="FX99">
        <v>352.928</v>
      </c>
      <c r="FY99">
        <v>31.6448</v>
      </c>
      <c r="FZ99">
        <v>39.5852</v>
      </c>
      <c r="GA99">
        <v>29.999099999999999</v>
      </c>
      <c r="GB99">
        <v>39.7378</v>
      </c>
      <c r="GC99">
        <v>39.755299999999998</v>
      </c>
      <c r="GD99">
        <v>-1</v>
      </c>
      <c r="GE99">
        <v>0</v>
      </c>
      <c r="GF99">
        <v>100</v>
      </c>
      <c r="GG99">
        <v>31.666799999999999</v>
      </c>
      <c r="GH99">
        <v>432.1</v>
      </c>
      <c r="GI99">
        <v>42.4801</v>
      </c>
      <c r="GJ99">
        <v>100.755</v>
      </c>
      <c r="GK99">
        <v>95.213300000000004</v>
      </c>
    </row>
    <row r="100" spans="1:193" x14ac:dyDescent="0.35">
      <c r="A100">
        <v>84</v>
      </c>
      <c r="B100">
        <v>1775537006.5999999</v>
      </c>
      <c r="C100">
        <v>4980.5</v>
      </c>
      <c r="D100" t="s">
        <v>569</v>
      </c>
      <c r="E100" t="s">
        <v>570</v>
      </c>
      <c r="F100">
        <v>60</v>
      </c>
      <c r="G100">
        <v>1775536998.849999</v>
      </c>
      <c r="H100">
        <f t="shared" si="30"/>
        <v>1.988893747545884E-3</v>
      </c>
      <c r="I100">
        <f t="shared" si="31"/>
        <v>1.9888937475458839</v>
      </c>
      <c r="J100">
        <f t="shared" si="32"/>
        <v>-2.81267287544456</v>
      </c>
      <c r="K100">
        <f t="shared" si="33"/>
        <v>-6.7692600000000001</v>
      </c>
      <c r="L100">
        <f t="shared" si="34"/>
        <v>97.961048174561242</v>
      </c>
      <c r="M100">
        <f t="shared" si="35"/>
        <v>9.8242820838789164</v>
      </c>
      <c r="N100">
        <f t="shared" si="36"/>
        <v>-0.67887309270735097</v>
      </c>
      <c r="O100">
        <f t="shared" si="37"/>
        <v>4.1931182682321613E-2</v>
      </c>
      <c r="P100">
        <f t="shared" si="38"/>
        <v>2.3924776401165713</v>
      </c>
      <c r="Q100">
        <f t="shared" si="39"/>
        <v>4.1527153185442145E-2</v>
      </c>
      <c r="R100">
        <f t="shared" si="40"/>
        <v>2.5990446645527659E-2</v>
      </c>
      <c r="S100">
        <f t="shared" si="41"/>
        <v>0.31112271189999996</v>
      </c>
      <c r="T100">
        <f t="shared" si="42"/>
        <v>32.576389833600075</v>
      </c>
      <c r="U100">
        <f t="shared" si="43"/>
        <v>33.139146666666683</v>
      </c>
      <c r="V100">
        <f t="shared" si="44"/>
        <v>5.0917409452314546</v>
      </c>
      <c r="W100">
        <f t="shared" si="45"/>
        <v>8.2344671413834494</v>
      </c>
      <c r="X100">
        <f t="shared" si="46"/>
        <v>0.42058669510233904</v>
      </c>
      <c r="Y100">
        <f t="shared" si="47"/>
        <v>5.1076370563023161</v>
      </c>
      <c r="Z100">
        <f t="shared" si="48"/>
        <v>4.6711542501291152</v>
      </c>
      <c r="AA100">
        <f t="shared" si="49"/>
        <v>-87.710214266773477</v>
      </c>
      <c r="AB100">
        <f t="shared" si="50"/>
        <v>7.164159900996248</v>
      </c>
      <c r="AC100">
        <f t="shared" si="51"/>
        <v>0.68691560579389344</v>
      </c>
      <c r="AD100">
        <f t="shared" si="52"/>
        <v>-79.548016048083326</v>
      </c>
      <c r="AE100">
        <v>5</v>
      </c>
      <c r="AF100">
        <v>1</v>
      </c>
      <c r="AG100">
        <f t="shared" si="53"/>
        <v>1</v>
      </c>
      <c r="AH100">
        <f t="shared" si="54"/>
        <v>0</v>
      </c>
      <c r="AI100">
        <f t="shared" si="55"/>
        <v>25063.568288621776</v>
      </c>
      <c r="AJ100">
        <f t="shared" si="56"/>
        <v>1.6280623333333331</v>
      </c>
      <c r="AK100">
        <f t="shared" si="57"/>
        <v>1.3024498666666666</v>
      </c>
      <c r="AL100">
        <f t="shared" si="58"/>
        <v>0.8</v>
      </c>
      <c r="AM100">
        <f t="shared" si="59"/>
        <v>0.19109999999999999</v>
      </c>
      <c r="AN100">
        <v>3</v>
      </c>
      <c r="AO100">
        <v>0.5</v>
      </c>
      <c r="AP100" t="s">
        <v>317</v>
      </c>
      <c r="AQ100">
        <v>2</v>
      </c>
      <c r="AR100">
        <v>1775536998.849999</v>
      </c>
      <c r="AS100">
        <v>-6.7692600000000001</v>
      </c>
      <c r="AT100">
        <v>-8.4650416666666661</v>
      </c>
      <c r="AU100">
        <v>4.1938040000000001</v>
      </c>
      <c r="AV100">
        <v>3.005402333333334</v>
      </c>
      <c r="AW100">
        <v>-13.59126</v>
      </c>
      <c r="AX100">
        <v>4.8484023333333344</v>
      </c>
      <c r="AY100">
        <v>499.97053333333332</v>
      </c>
      <c r="AZ100">
        <v>100.2375333333333</v>
      </c>
      <c r="BA100">
        <v>5.0104120000000002E-2</v>
      </c>
      <c r="BB100">
        <v>33.194690000000001</v>
      </c>
      <c r="BC100">
        <v>33.139146666666683</v>
      </c>
      <c r="BD100">
        <v>999.9000000000002</v>
      </c>
      <c r="BE100">
        <v>0</v>
      </c>
      <c r="BF100">
        <v>0</v>
      </c>
      <c r="BG100">
        <v>4999.583333333333</v>
      </c>
      <c r="BH100">
        <v>1.6280623333333331</v>
      </c>
      <c r="BI100">
        <v>1761.1593333333331</v>
      </c>
      <c r="BJ100">
        <v>1.702070666666667</v>
      </c>
      <c r="BK100">
        <v>-6.7833569999999987</v>
      </c>
      <c r="BL100">
        <v>-8.500691999999999</v>
      </c>
      <c r="BM100">
        <v>-1.1887516666666671</v>
      </c>
      <c r="BN100">
        <v>-8.4650416666666661</v>
      </c>
      <c r="BO100">
        <v>4.1938040000000001</v>
      </c>
      <c r="BP100">
        <v>0.30121923333333339</v>
      </c>
      <c r="BQ100">
        <v>0.42037666666666668</v>
      </c>
      <c r="BR100">
        <v>-9.4145256666666661</v>
      </c>
      <c r="BS100">
        <v>-5.0979409999999996</v>
      </c>
      <c r="BT100">
        <v>1775537030.5999999</v>
      </c>
      <c r="BU100" t="s">
        <v>571</v>
      </c>
      <c r="BV100">
        <v>1775537023.5999999</v>
      </c>
      <c r="BW100">
        <v>1775537030.5999999</v>
      </c>
      <c r="BX100">
        <v>85</v>
      </c>
      <c r="BY100">
        <v>-7.0000000000000001E-3</v>
      </c>
      <c r="BZ100">
        <v>0</v>
      </c>
      <c r="CA100">
        <v>6.8220000000000001</v>
      </c>
      <c r="CB100">
        <v>-1.843</v>
      </c>
      <c r="CC100">
        <v>-9</v>
      </c>
      <c r="CD100">
        <v>4</v>
      </c>
      <c r="CE100">
        <v>0.3</v>
      </c>
      <c r="CF100">
        <v>0.06</v>
      </c>
      <c r="CG100">
        <v>-8.4308126229508211</v>
      </c>
      <c r="CH100">
        <v>-0.44438506610257661</v>
      </c>
      <c r="CI100">
        <v>0.22511293436706309</v>
      </c>
      <c r="CJ100">
        <v>-1</v>
      </c>
      <c r="CK100">
        <v>500.93532786885248</v>
      </c>
      <c r="CL100">
        <v>-7.4418212585936301</v>
      </c>
      <c r="CM100">
        <v>1.8730980799446111</v>
      </c>
      <c r="CN100">
        <v>-1</v>
      </c>
      <c r="CO100">
        <v>0</v>
      </c>
      <c r="CP100">
        <v>0</v>
      </c>
      <c r="CQ100" t="s">
        <v>319</v>
      </c>
      <c r="CR100">
        <v>3.1691699999999998</v>
      </c>
      <c r="CS100">
        <v>2.67137</v>
      </c>
      <c r="CT100">
        <v>-3.9907600000000003E-3</v>
      </c>
      <c r="CU100">
        <v>-2.3433899999999999E-3</v>
      </c>
      <c r="CV100">
        <v>3.2225499999999997E-2</v>
      </c>
      <c r="CW100">
        <v>2.8207800000000002E-2</v>
      </c>
      <c r="CX100">
        <v>21300.3</v>
      </c>
      <c r="CY100">
        <v>21718.9</v>
      </c>
      <c r="CZ100">
        <v>22755.200000000001</v>
      </c>
      <c r="DA100">
        <v>22042.5</v>
      </c>
      <c r="DB100">
        <v>28426</v>
      </c>
      <c r="DC100">
        <v>25493.7</v>
      </c>
      <c r="DD100">
        <v>40053.599999999999</v>
      </c>
      <c r="DE100">
        <v>36470.9</v>
      </c>
      <c r="DF100">
        <v>1.9880800000000001</v>
      </c>
      <c r="DG100">
        <v>1.6106400000000001</v>
      </c>
      <c r="DH100">
        <v>-6.53416E-2</v>
      </c>
      <c r="DI100">
        <v>0</v>
      </c>
      <c r="DJ100">
        <v>34.1982</v>
      </c>
      <c r="DK100">
        <v>999.9</v>
      </c>
      <c r="DL100">
        <v>50.9</v>
      </c>
      <c r="DM100">
        <v>45.5</v>
      </c>
      <c r="DN100">
        <v>50.221800000000002</v>
      </c>
      <c r="DO100">
        <v>30.854600000000001</v>
      </c>
      <c r="DP100">
        <v>10.0601</v>
      </c>
      <c r="DQ100">
        <v>1</v>
      </c>
      <c r="DR100">
        <v>1.01444</v>
      </c>
      <c r="DS100">
        <v>2.1019199999999998</v>
      </c>
      <c r="DT100">
        <v>20.343800000000002</v>
      </c>
      <c r="DU100">
        <v>5.2099799999999998</v>
      </c>
      <c r="DV100">
        <v>11.8544</v>
      </c>
      <c r="DW100">
        <v>4.9673999999999996</v>
      </c>
      <c r="DX100">
        <v>3.2930000000000001</v>
      </c>
      <c r="DY100">
        <v>894.7</v>
      </c>
      <c r="DZ100">
        <v>6</v>
      </c>
      <c r="EA100">
        <v>9999</v>
      </c>
      <c r="EB100">
        <v>117.1</v>
      </c>
      <c r="EC100">
        <v>4.9716199999999997</v>
      </c>
      <c r="ED100">
        <v>1.87225</v>
      </c>
      <c r="EE100">
        <v>1.8695999999999999</v>
      </c>
      <c r="EF100">
        <v>1.8718999999999999</v>
      </c>
      <c r="EG100">
        <v>1.8696600000000001</v>
      </c>
      <c r="EH100">
        <v>1.8684400000000001</v>
      </c>
      <c r="EI100">
        <v>1.8703000000000001</v>
      </c>
      <c r="EJ100">
        <v>1.87195</v>
      </c>
      <c r="EK100">
        <v>0</v>
      </c>
      <c r="EL100">
        <v>0</v>
      </c>
      <c r="EM100">
        <v>0</v>
      </c>
      <c r="EN100">
        <v>0</v>
      </c>
      <c r="EO100" t="s">
        <v>320</v>
      </c>
      <c r="EP100" t="s">
        <v>321</v>
      </c>
      <c r="EQ100" t="s">
        <v>322</v>
      </c>
      <c r="ER100" t="s">
        <v>322</v>
      </c>
      <c r="ES100" t="s">
        <v>322</v>
      </c>
      <c r="ET100" t="s">
        <v>322</v>
      </c>
      <c r="EU100">
        <v>0</v>
      </c>
      <c r="EV100">
        <v>100</v>
      </c>
      <c r="EW100">
        <v>100</v>
      </c>
      <c r="EX100">
        <v>6.8220000000000001</v>
      </c>
      <c r="EY100">
        <v>-1.843</v>
      </c>
      <c r="EZ100">
        <v>6.8282904999999987</v>
      </c>
      <c r="FA100">
        <v>0</v>
      </c>
      <c r="FB100">
        <v>0</v>
      </c>
      <c r="FC100">
        <v>0</v>
      </c>
      <c r="FD100">
        <v>-1.8433490476190479</v>
      </c>
      <c r="FE100">
        <v>0</v>
      </c>
      <c r="FF100">
        <v>0</v>
      </c>
      <c r="FG100">
        <v>0</v>
      </c>
      <c r="FH100">
        <v>-1</v>
      </c>
      <c r="FI100">
        <v>-1</v>
      </c>
      <c r="FJ100">
        <v>-1</v>
      </c>
      <c r="FK100">
        <v>-1</v>
      </c>
      <c r="FL100">
        <v>0.7</v>
      </c>
      <c r="FM100">
        <v>0.5</v>
      </c>
      <c r="FN100">
        <v>0.14038100000000001</v>
      </c>
      <c r="FO100">
        <v>4.99756</v>
      </c>
      <c r="FP100">
        <v>1.5979000000000001</v>
      </c>
      <c r="FQ100">
        <v>2.1166999999999998</v>
      </c>
      <c r="FR100">
        <v>1.5478499999999999</v>
      </c>
      <c r="FS100">
        <v>2.4487299999999999</v>
      </c>
      <c r="FT100">
        <v>49.8018</v>
      </c>
      <c r="FU100">
        <v>15.3666</v>
      </c>
      <c r="FV100">
        <v>2</v>
      </c>
      <c r="FW100">
        <v>507.08100000000002</v>
      </c>
      <c r="FX100">
        <v>353.13299999999998</v>
      </c>
      <c r="FY100">
        <v>32.031999999999996</v>
      </c>
      <c r="FZ100">
        <v>39.513599999999997</v>
      </c>
      <c r="GA100">
        <v>29.999700000000001</v>
      </c>
      <c r="GB100">
        <v>39.700099999999999</v>
      </c>
      <c r="GC100">
        <v>39.724800000000002</v>
      </c>
      <c r="GD100">
        <v>-1</v>
      </c>
      <c r="GE100">
        <v>0</v>
      </c>
      <c r="GF100">
        <v>100</v>
      </c>
      <c r="GG100">
        <v>32.032400000000003</v>
      </c>
      <c r="GH100">
        <v>432.1</v>
      </c>
      <c r="GI100">
        <v>42.4801</v>
      </c>
      <c r="GJ100">
        <v>100.764</v>
      </c>
      <c r="GK100">
        <v>95.224199999999996</v>
      </c>
    </row>
    <row r="101" spans="1:193" x14ac:dyDescent="0.35">
      <c r="A101">
        <v>85</v>
      </c>
      <c r="B101">
        <v>1775537066.5999999</v>
      </c>
      <c r="C101">
        <v>5040.5</v>
      </c>
      <c r="D101" t="s">
        <v>572</v>
      </c>
      <c r="E101" t="s">
        <v>573</v>
      </c>
      <c r="F101">
        <v>60</v>
      </c>
      <c r="G101">
        <v>1775537058.599999</v>
      </c>
      <c r="H101">
        <f t="shared" si="30"/>
        <v>1.8735595807617203E-3</v>
      </c>
      <c r="I101">
        <f t="shared" si="31"/>
        <v>1.8735595807617202</v>
      </c>
      <c r="J101">
        <f t="shared" si="32"/>
        <v>-2.2992436643535354</v>
      </c>
      <c r="K101">
        <f t="shared" si="33"/>
        <v>-7.5655387096774209</v>
      </c>
      <c r="L101">
        <f t="shared" si="34"/>
        <v>83.33252493543273</v>
      </c>
      <c r="M101">
        <f t="shared" si="35"/>
        <v>8.3568758670641987</v>
      </c>
      <c r="N101">
        <f t="shared" si="36"/>
        <v>-0.75869857433493515</v>
      </c>
      <c r="O101">
        <f t="shared" si="37"/>
        <v>3.9529996561647372E-2</v>
      </c>
      <c r="P101">
        <f t="shared" si="38"/>
        <v>2.3951063662630951</v>
      </c>
      <c r="Q101">
        <f t="shared" si="39"/>
        <v>3.9171092161830665E-2</v>
      </c>
      <c r="R101">
        <f t="shared" si="40"/>
        <v>2.45139070462372E-2</v>
      </c>
      <c r="S101">
        <f t="shared" si="41"/>
        <v>0.26716698512903225</v>
      </c>
      <c r="T101">
        <f t="shared" si="42"/>
        <v>32.618405989873963</v>
      </c>
      <c r="U101">
        <f t="shared" si="43"/>
        <v>33.120254838709677</v>
      </c>
      <c r="V101">
        <f t="shared" si="44"/>
        <v>5.0863440553855588</v>
      </c>
      <c r="W101">
        <f t="shared" si="45"/>
        <v>8.2494739665901964</v>
      </c>
      <c r="X101">
        <f t="shared" si="46"/>
        <v>0.4214893449574732</v>
      </c>
      <c r="Y101">
        <f t="shared" si="47"/>
        <v>5.109287533538212</v>
      </c>
      <c r="Z101">
        <f t="shared" si="48"/>
        <v>4.6648547104280853</v>
      </c>
      <c r="AA101">
        <f t="shared" si="49"/>
        <v>-82.62397751159186</v>
      </c>
      <c r="AB101">
        <f t="shared" si="50"/>
        <v>10.354989883970163</v>
      </c>
      <c r="AC101">
        <f t="shared" si="51"/>
        <v>0.99170598230897644</v>
      </c>
      <c r="AD101">
        <f t="shared" si="52"/>
        <v>-71.010114660183689</v>
      </c>
      <c r="AE101">
        <v>5</v>
      </c>
      <c r="AF101">
        <v>1</v>
      </c>
      <c r="AG101">
        <f t="shared" si="53"/>
        <v>1</v>
      </c>
      <c r="AH101">
        <f t="shared" si="54"/>
        <v>0</v>
      </c>
      <c r="AI101">
        <f t="shared" si="55"/>
        <v>25102.429403882295</v>
      </c>
      <c r="AJ101">
        <f t="shared" si="56"/>
        <v>1.3980480645161291</v>
      </c>
      <c r="AK101">
        <f t="shared" si="57"/>
        <v>1.1184384516129033</v>
      </c>
      <c r="AL101">
        <f t="shared" si="58"/>
        <v>0.8</v>
      </c>
      <c r="AM101">
        <f t="shared" si="59"/>
        <v>0.19109999999999999</v>
      </c>
      <c r="AN101">
        <v>3</v>
      </c>
      <c r="AO101">
        <v>0.5</v>
      </c>
      <c r="AP101" t="s">
        <v>317</v>
      </c>
      <c r="AQ101">
        <v>2</v>
      </c>
      <c r="AR101">
        <v>1775537058.599999</v>
      </c>
      <c r="AS101">
        <v>-7.5655387096774209</v>
      </c>
      <c r="AT101">
        <v>-8.9536803225806434</v>
      </c>
      <c r="AU101">
        <v>4.2029787096774189</v>
      </c>
      <c r="AV101">
        <v>3.0834945161290319</v>
      </c>
      <c r="AW101">
        <v>-14.402538709677421</v>
      </c>
      <c r="AX101">
        <v>4.929494516129032</v>
      </c>
      <c r="AY101">
        <v>499.96732258064532</v>
      </c>
      <c r="AZ101">
        <v>100.2341612903226</v>
      </c>
      <c r="BA101">
        <v>4.9321941935483872E-2</v>
      </c>
      <c r="BB101">
        <v>33.20044838709677</v>
      </c>
      <c r="BC101">
        <v>33.120254838709677</v>
      </c>
      <c r="BD101">
        <v>999.90000000000032</v>
      </c>
      <c r="BE101">
        <v>0</v>
      </c>
      <c r="BF101">
        <v>0</v>
      </c>
      <c r="BG101">
        <v>5006.5161290322594</v>
      </c>
      <c r="BH101">
        <v>1.3980480645161291</v>
      </c>
      <c r="BI101">
        <v>1441.230645161291</v>
      </c>
      <c r="BJ101">
        <v>1.372708387096774</v>
      </c>
      <c r="BK101">
        <v>-7.6044432258064516</v>
      </c>
      <c r="BL101">
        <v>-8.9914706451612911</v>
      </c>
      <c r="BM101">
        <v>-1.116376129032258</v>
      </c>
      <c r="BN101">
        <v>-8.9536803225806434</v>
      </c>
      <c r="BO101">
        <v>4.2029787096774189</v>
      </c>
      <c r="BP101">
        <v>0.30938306451612912</v>
      </c>
      <c r="BQ101">
        <v>0.42128196774193549</v>
      </c>
      <c r="BR101">
        <v>-9.0739980645161289</v>
      </c>
      <c r="BS101">
        <v>-5.0695619354838701</v>
      </c>
      <c r="BT101">
        <v>1775537093.5999999</v>
      </c>
      <c r="BU101" t="s">
        <v>574</v>
      </c>
      <c r="BV101">
        <v>1775537084.0999999</v>
      </c>
      <c r="BW101">
        <v>1775537093.5999999</v>
      </c>
      <c r="BX101">
        <v>86</v>
      </c>
      <c r="BY101">
        <v>1.6E-2</v>
      </c>
      <c r="BZ101">
        <v>-3.0000000000000001E-3</v>
      </c>
      <c r="CA101">
        <v>6.8369999999999997</v>
      </c>
      <c r="CB101">
        <v>-1.8460000000000001</v>
      </c>
      <c r="CC101">
        <v>-8</v>
      </c>
      <c r="CD101">
        <v>4</v>
      </c>
      <c r="CE101">
        <v>0.19</v>
      </c>
      <c r="CF101">
        <v>7.0000000000000007E-2</v>
      </c>
      <c r="CG101">
        <v>-9.1115065573770497</v>
      </c>
      <c r="CH101">
        <v>1.132352934955055</v>
      </c>
      <c r="CI101">
        <v>0.16875421529535689</v>
      </c>
      <c r="CJ101">
        <v>-1</v>
      </c>
      <c r="CK101">
        <v>500.4290327868851</v>
      </c>
      <c r="CL101">
        <v>-4.9426229508197856</v>
      </c>
      <c r="CM101">
        <v>1.3526119112781669</v>
      </c>
      <c r="CN101">
        <v>-1</v>
      </c>
      <c r="CO101">
        <v>0</v>
      </c>
      <c r="CP101">
        <v>0</v>
      </c>
      <c r="CQ101" t="s">
        <v>319</v>
      </c>
      <c r="CR101">
        <v>3.1690200000000002</v>
      </c>
      <c r="CS101">
        <v>2.6708099999999999</v>
      </c>
      <c r="CT101">
        <v>-4.1257100000000003E-3</v>
      </c>
      <c r="CU101">
        <v>-2.4865199999999999E-3</v>
      </c>
      <c r="CV101">
        <v>3.24727E-2</v>
      </c>
      <c r="CW101">
        <v>2.8283900000000001E-2</v>
      </c>
      <c r="CX101">
        <v>21306.1</v>
      </c>
      <c r="CY101">
        <v>21724.799999999999</v>
      </c>
      <c r="CZ101">
        <v>22758</v>
      </c>
      <c r="DA101">
        <v>22045.200000000001</v>
      </c>
      <c r="DB101">
        <v>28422.2</v>
      </c>
      <c r="DC101">
        <v>25495</v>
      </c>
      <c r="DD101">
        <v>40058.300000000003</v>
      </c>
      <c r="DE101">
        <v>36475.4</v>
      </c>
      <c r="DF101">
        <v>1.98854</v>
      </c>
      <c r="DG101">
        <v>1.6115999999999999</v>
      </c>
      <c r="DH101">
        <v>-5.5328000000000002E-2</v>
      </c>
      <c r="DI101">
        <v>0</v>
      </c>
      <c r="DJ101">
        <v>34.026299999999999</v>
      </c>
      <c r="DK101">
        <v>999.9</v>
      </c>
      <c r="DL101">
        <v>50.7</v>
      </c>
      <c r="DM101">
        <v>45.6</v>
      </c>
      <c r="DN101">
        <v>50.282699999999998</v>
      </c>
      <c r="DO101">
        <v>30.7347</v>
      </c>
      <c r="DP101">
        <v>10.384600000000001</v>
      </c>
      <c r="DQ101">
        <v>1</v>
      </c>
      <c r="DR101">
        <v>1.0123899999999999</v>
      </c>
      <c r="DS101">
        <v>3.73265</v>
      </c>
      <c r="DT101">
        <v>20.304300000000001</v>
      </c>
      <c r="DU101">
        <v>5.2065099999999997</v>
      </c>
      <c r="DV101">
        <v>11.8544</v>
      </c>
      <c r="DW101">
        <v>4.9665999999999997</v>
      </c>
      <c r="DX101">
        <v>3.29244</v>
      </c>
      <c r="DY101">
        <v>894.7</v>
      </c>
      <c r="DZ101">
        <v>6</v>
      </c>
      <c r="EA101">
        <v>9999</v>
      </c>
      <c r="EB101">
        <v>117.1</v>
      </c>
      <c r="EC101">
        <v>4.97159</v>
      </c>
      <c r="ED101">
        <v>1.8722399999999999</v>
      </c>
      <c r="EE101">
        <v>1.8695600000000001</v>
      </c>
      <c r="EF101">
        <v>1.8718399999999999</v>
      </c>
      <c r="EG101">
        <v>1.86965</v>
      </c>
      <c r="EH101">
        <v>1.8684400000000001</v>
      </c>
      <c r="EI101">
        <v>1.8702700000000001</v>
      </c>
      <c r="EJ101">
        <v>1.87195</v>
      </c>
      <c r="EK101">
        <v>0</v>
      </c>
      <c r="EL101">
        <v>0</v>
      </c>
      <c r="EM101">
        <v>0</v>
      </c>
      <c r="EN101">
        <v>0</v>
      </c>
      <c r="EO101" t="s">
        <v>320</v>
      </c>
      <c r="EP101" t="s">
        <v>321</v>
      </c>
      <c r="EQ101" t="s">
        <v>322</v>
      </c>
      <c r="ER101" t="s">
        <v>322</v>
      </c>
      <c r="ES101" t="s">
        <v>322</v>
      </c>
      <c r="ET101" t="s">
        <v>322</v>
      </c>
      <c r="EU101">
        <v>0</v>
      </c>
      <c r="EV101">
        <v>100</v>
      </c>
      <c r="EW101">
        <v>100</v>
      </c>
      <c r="EX101">
        <v>6.8369999999999997</v>
      </c>
      <c r="EY101">
        <v>-1.8460000000000001</v>
      </c>
      <c r="EZ101">
        <v>6.8215684999999997</v>
      </c>
      <c r="FA101">
        <v>0</v>
      </c>
      <c r="FB101">
        <v>0</v>
      </c>
      <c r="FC101">
        <v>0</v>
      </c>
      <c r="FD101">
        <v>-1.8428910000000021</v>
      </c>
      <c r="FE101">
        <v>0</v>
      </c>
      <c r="FF101">
        <v>0</v>
      </c>
      <c r="FG101">
        <v>0</v>
      </c>
      <c r="FH101">
        <v>-1</v>
      </c>
      <c r="FI101">
        <v>-1</v>
      </c>
      <c r="FJ101">
        <v>-1</v>
      </c>
      <c r="FK101">
        <v>-1</v>
      </c>
      <c r="FL101">
        <v>0.7</v>
      </c>
      <c r="FM101">
        <v>0.6</v>
      </c>
      <c r="FN101">
        <v>0.14038100000000001</v>
      </c>
      <c r="FO101">
        <v>4.99756</v>
      </c>
      <c r="FP101">
        <v>1.5979000000000001</v>
      </c>
      <c r="FQ101">
        <v>2.1166999999999998</v>
      </c>
      <c r="FR101">
        <v>1.5478499999999999</v>
      </c>
      <c r="FS101">
        <v>2.4939</v>
      </c>
      <c r="FT101">
        <v>49.8018</v>
      </c>
      <c r="FU101">
        <v>15.3316</v>
      </c>
      <c r="FV101">
        <v>2</v>
      </c>
      <c r="FW101">
        <v>507.02100000000002</v>
      </c>
      <c r="FX101">
        <v>353.447</v>
      </c>
      <c r="FY101">
        <v>31.981300000000001</v>
      </c>
      <c r="FZ101">
        <v>39.4298</v>
      </c>
      <c r="GA101">
        <v>30.003499999999999</v>
      </c>
      <c r="GB101">
        <v>39.648400000000002</v>
      </c>
      <c r="GC101">
        <v>39.680700000000002</v>
      </c>
      <c r="GD101">
        <v>-1</v>
      </c>
      <c r="GE101">
        <v>0</v>
      </c>
      <c r="GF101">
        <v>100</v>
      </c>
      <c r="GG101">
        <v>31.6813</v>
      </c>
      <c r="GH101">
        <v>432.1</v>
      </c>
      <c r="GI101">
        <v>42.4801</v>
      </c>
      <c r="GJ101">
        <v>100.776</v>
      </c>
      <c r="GK101">
        <v>95.235900000000001</v>
      </c>
    </row>
    <row r="102" spans="1:193" x14ac:dyDescent="0.35">
      <c r="A102">
        <v>86</v>
      </c>
      <c r="B102">
        <v>1775537126.5999999</v>
      </c>
      <c r="C102">
        <v>5100.5</v>
      </c>
      <c r="D102" t="s">
        <v>575</v>
      </c>
      <c r="E102" t="s">
        <v>576</v>
      </c>
      <c r="F102">
        <v>60</v>
      </c>
      <c r="G102">
        <v>1775537118.599999</v>
      </c>
      <c r="H102">
        <f t="shared" si="30"/>
        <v>2.5077764302789771E-3</v>
      </c>
      <c r="I102">
        <f t="shared" si="31"/>
        <v>2.5077764302789771</v>
      </c>
      <c r="J102">
        <f t="shared" si="32"/>
        <v>-2.8020782408311153</v>
      </c>
      <c r="K102">
        <f t="shared" si="33"/>
        <v>-6.2299516129032231</v>
      </c>
      <c r="L102">
        <f t="shared" si="34"/>
        <v>75.943557151158956</v>
      </c>
      <c r="M102">
        <f t="shared" si="35"/>
        <v>7.6155421934215806</v>
      </c>
      <c r="N102">
        <f t="shared" si="36"/>
        <v>-0.62473317225061387</v>
      </c>
      <c r="O102">
        <f t="shared" si="37"/>
        <v>5.3418415798749008E-2</v>
      </c>
      <c r="P102">
        <f t="shared" si="38"/>
        <v>2.3914026775841162</v>
      </c>
      <c r="Q102">
        <f t="shared" si="39"/>
        <v>5.2764264000753139E-2</v>
      </c>
      <c r="R102">
        <f t="shared" si="40"/>
        <v>3.3035770447702326E-2</v>
      </c>
      <c r="S102">
        <f t="shared" si="41"/>
        <v>0.336636027</v>
      </c>
      <c r="T102">
        <f t="shared" si="42"/>
        <v>32.418454715797949</v>
      </c>
      <c r="U102">
        <f t="shared" si="43"/>
        <v>33.045958064516121</v>
      </c>
      <c r="V102">
        <f t="shared" si="44"/>
        <v>5.0651676978517095</v>
      </c>
      <c r="W102">
        <f t="shared" si="45"/>
        <v>8.4108647025003727</v>
      </c>
      <c r="X102">
        <f t="shared" si="46"/>
        <v>0.42969489732795924</v>
      </c>
      <c r="Y102">
        <f t="shared" si="47"/>
        <v>5.1088076259295905</v>
      </c>
      <c r="Z102">
        <f t="shared" si="48"/>
        <v>4.6354728005237504</v>
      </c>
      <c r="AA102">
        <f t="shared" si="49"/>
        <v>-110.59294057530289</v>
      </c>
      <c r="AB102">
        <f t="shared" si="50"/>
        <v>19.70186545666056</v>
      </c>
      <c r="AC102">
        <f t="shared" si="51"/>
        <v>1.8890830753607555</v>
      </c>
      <c r="AD102">
        <f t="shared" si="52"/>
        <v>-88.665356016281578</v>
      </c>
      <c r="AE102">
        <v>5</v>
      </c>
      <c r="AF102">
        <v>1</v>
      </c>
      <c r="AG102">
        <f t="shared" si="53"/>
        <v>1</v>
      </c>
      <c r="AH102">
        <f t="shared" si="54"/>
        <v>0</v>
      </c>
      <c r="AI102">
        <f t="shared" si="55"/>
        <v>25047.474267503741</v>
      </c>
      <c r="AJ102">
        <f t="shared" si="56"/>
        <v>1.7615700000000001</v>
      </c>
      <c r="AK102">
        <f t="shared" si="57"/>
        <v>1.4092560000000001</v>
      </c>
      <c r="AL102">
        <f t="shared" si="58"/>
        <v>0.8</v>
      </c>
      <c r="AM102">
        <f t="shared" si="59"/>
        <v>0.19109999999999999</v>
      </c>
      <c r="AN102">
        <v>3</v>
      </c>
      <c r="AO102">
        <v>0.5</v>
      </c>
      <c r="AP102" t="s">
        <v>317</v>
      </c>
      <c r="AQ102">
        <v>2</v>
      </c>
      <c r="AR102">
        <v>1775537118.599999</v>
      </c>
      <c r="AS102">
        <v>-6.2299516129032231</v>
      </c>
      <c r="AT102">
        <v>-7.9205896774193549</v>
      </c>
      <c r="AU102">
        <v>4.2849948387096779</v>
      </c>
      <c r="AV102">
        <v>2.78676129032258</v>
      </c>
      <c r="AW102">
        <v>-13.10495161290322</v>
      </c>
      <c r="AX102">
        <v>4.6387612903225808</v>
      </c>
      <c r="AY102">
        <v>499.99493548387102</v>
      </c>
      <c r="AZ102">
        <v>100.2306451612903</v>
      </c>
      <c r="BA102">
        <v>4.8331477419354833E-2</v>
      </c>
      <c r="BB102">
        <v>33.198774193548388</v>
      </c>
      <c r="BC102">
        <v>33.045958064516121</v>
      </c>
      <c r="BD102">
        <v>999.90000000000032</v>
      </c>
      <c r="BE102">
        <v>0</v>
      </c>
      <c r="BF102">
        <v>0</v>
      </c>
      <c r="BG102">
        <v>4997.1612903225796</v>
      </c>
      <c r="BH102">
        <v>1.7615700000000001</v>
      </c>
      <c r="BI102">
        <v>1921.6535483870971</v>
      </c>
      <c r="BJ102">
        <v>1.6531219354838711</v>
      </c>
      <c r="BK102">
        <v>-6.2850199999999976</v>
      </c>
      <c r="BL102">
        <v>-7.9546745161290344</v>
      </c>
      <c r="BM102">
        <v>-1.4920780645161289</v>
      </c>
      <c r="BN102">
        <v>-7.9205896774193549</v>
      </c>
      <c r="BO102">
        <v>4.2849948387096779</v>
      </c>
      <c r="BP102">
        <v>0.27993570967741932</v>
      </c>
      <c r="BQ102">
        <v>0.4294876451612904</v>
      </c>
      <c r="BR102">
        <v>-10.34261612903226</v>
      </c>
      <c r="BS102">
        <v>-4.8147580645161279</v>
      </c>
      <c r="BT102">
        <v>1775537152.5999999</v>
      </c>
      <c r="BU102" t="s">
        <v>577</v>
      </c>
      <c r="BV102">
        <v>1775537145.5999999</v>
      </c>
      <c r="BW102">
        <v>1775537152.5999999</v>
      </c>
      <c r="BX102">
        <v>87</v>
      </c>
      <c r="BY102">
        <v>3.7999999999999999E-2</v>
      </c>
      <c r="BZ102">
        <v>-6.0000000000000001E-3</v>
      </c>
      <c r="CA102">
        <v>6.875</v>
      </c>
      <c r="CB102">
        <v>-1.8520000000000001</v>
      </c>
      <c r="CC102">
        <v>-8</v>
      </c>
      <c r="CD102">
        <v>4</v>
      </c>
      <c r="CE102">
        <v>0.17</v>
      </c>
      <c r="CF102">
        <v>0.06</v>
      </c>
      <c r="CG102">
        <v>-7.9161035000000002</v>
      </c>
      <c r="CH102">
        <v>4.4594820783523073E-2</v>
      </c>
      <c r="CI102">
        <v>9.4920577727294467E-2</v>
      </c>
      <c r="CJ102">
        <v>-1</v>
      </c>
      <c r="CK102">
        <v>500.91621666666663</v>
      </c>
      <c r="CL102">
        <v>-8.8293826062792604</v>
      </c>
      <c r="CM102">
        <v>1.8626346849885009</v>
      </c>
      <c r="CN102">
        <v>-1</v>
      </c>
      <c r="CO102">
        <v>0</v>
      </c>
      <c r="CP102">
        <v>0</v>
      </c>
      <c r="CQ102" t="s">
        <v>319</v>
      </c>
      <c r="CR102">
        <v>3.1692399999999998</v>
      </c>
      <c r="CS102">
        <v>2.66988</v>
      </c>
      <c r="CT102">
        <v>-3.7755900000000001E-3</v>
      </c>
      <c r="CU102">
        <v>-2.2314399999999999E-3</v>
      </c>
      <c r="CV102">
        <v>3.1094199999999999E-2</v>
      </c>
      <c r="CW102">
        <v>2.8798199999999999E-2</v>
      </c>
      <c r="CX102">
        <v>21299.599999999999</v>
      </c>
      <c r="CY102">
        <v>21719.4</v>
      </c>
      <c r="CZ102">
        <v>22758.799999999999</v>
      </c>
      <c r="DA102">
        <v>22045.200000000001</v>
      </c>
      <c r="DB102">
        <v>28463.8</v>
      </c>
      <c r="DC102">
        <v>25481.8</v>
      </c>
      <c r="DD102">
        <v>40059.599999999999</v>
      </c>
      <c r="DE102">
        <v>36475.9</v>
      </c>
      <c r="DF102">
        <v>1.98882</v>
      </c>
      <c r="DG102">
        <v>1.6102000000000001</v>
      </c>
      <c r="DH102">
        <v>-5.5253499999999997E-2</v>
      </c>
      <c r="DI102">
        <v>0</v>
      </c>
      <c r="DJ102">
        <v>33.966799999999999</v>
      </c>
      <c r="DK102">
        <v>999.9</v>
      </c>
      <c r="DL102">
        <v>50.7</v>
      </c>
      <c r="DM102">
        <v>45.7</v>
      </c>
      <c r="DN102">
        <v>50.542700000000004</v>
      </c>
      <c r="DO102">
        <v>30.854700000000001</v>
      </c>
      <c r="DP102">
        <v>10.256399999999999</v>
      </c>
      <c r="DQ102">
        <v>1</v>
      </c>
      <c r="DR102">
        <v>1.00648</v>
      </c>
      <c r="DS102">
        <v>2.5615299999999999</v>
      </c>
      <c r="DT102">
        <v>20.334499999999998</v>
      </c>
      <c r="DU102">
        <v>5.2061500000000001</v>
      </c>
      <c r="DV102">
        <v>11.8544</v>
      </c>
      <c r="DW102">
        <v>4.9652399999999997</v>
      </c>
      <c r="DX102">
        <v>3.2923399999999998</v>
      </c>
      <c r="DY102">
        <v>894.7</v>
      </c>
      <c r="DZ102">
        <v>6</v>
      </c>
      <c r="EA102">
        <v>9999</v>
      </c>
      <c r="EB102">
        <v>117.2</v>
      </c>
      <c r="EC102">
        <v>4.9716399999999998</v>
      </c>
      <c r="ED102">
        <v>1.8722399999999999</v>
      </c>
      <c r="EE102">
        <v>1.8695900000000001</v>
      </c>
      <c r="EF102">
        <v>1.8718399999999999</v>
      </c>
      <c r="EG102">
        <v>1.8696600000000001</v>
      </c>
      <c r="EH102">
        <v>1.8684400000000001</v>
      </c>
      <c r="EI102">
        <v>1.8702700000000001</v>
      </c>
      <c r="EJ102">
        <v>1.87195</v>
      </c>
      <c r="EK102">
        <v>0</v>
      </c>
      <c r="EL102">
        <v>0</v>
      </c>
      <c r="EM102">
        <v>0</v>
      </c>
      <c r="EN102">
        <v>0</v>
      </c>
      <c r="EO102" t="s">
        <v>320</v>
      </c>
      <c r="EP102" t="s">
        <v>321</v>
      </c>
      <c r="EQ102" t="s">
        <v>322</v>
      </c>
      <c r="ER102" t="s">
        <v>322</v>
      </c>
      <c r="ES102" t="s">
        <v>322</v>
      </c>
      <c r="ET102" t="s">
        <v>322</v>
      </c>
      <c r="EU102">
        <v>0</v>
      </c>
      <c r="EV102">
        <v>100</v>
      </c>
      <c r="EW102">
        <v>100</v>
      </c>
      <c r="EX102">
        <v>6.875</v>
      </c>
      <c r="EY102">
        <v>-1.8520000000000001</v>
      </c>
      <c r="EZ102">
        <v>6.8374785714285728</v>
      </c>
      <c r="FA102">
        <v>0</v>
      </c>
      <c r="FB102">
        <v>0</v>
      </c>
      <c r="FC102">
        <v>0</v>
      </c>
      <c r="FD102">
        <v>-1.845845</v>
      </c>
      <c r="FE102">
        <v>0</v>
      </c>
      <c r="FF102">
        <v>0</v>
      </c>
      <c r="FG102">
        <v>0</v>
      </c>
      <c r="FH102">
        <v>-1</v>
      </c>
      <c r="FI102">
        <v>-1</v>
      </c>
      <c r="FJ102">
        <v>-1</v>
      </c>
      <c r="FK102">
        <v>-1</v>
      </c>
      <c r="FL102">
        <v>0.7</v>
      </c>
      <c r="FM102">
        <v>0.6</v>
      </c>
      <c r="FN102">
        <v>0.14038100000000001</v>
      </c>
      <c r="FO102">
        <v>4.99756</v>
      </c>
      <c r="FP102">
        <v>1.5979000000000001</v>
      </c>
      <c r="FQ102">
        <v>2.1154799999999998</v>
      </c>
      <c r="FR102">
        <v>1.5478499999999999</v>
      </c>
      <c r="FS102">
        <v>2.3974600000000001</v>
      </c>
      <c r="FT102">
        <v>49.8018</v>
      </c>
      <c r="FU102">
        <v>15.3491</v>
      </c>
      <c r="FV102">
        <v>2</v>
      </c>
      <c r="FW102">
        <v>507.00799999999998</v>
      </c>
      <c r="FX102">
        <v>352.60199999999998</v>
      </c>
      <c r="FY102">
        <v>31.831399999999999</v>
      </c>
      <c r="FZ102">
        <v>39.384399999999999</v>
      </c>
      <c r="GA102">
        <v>30.001200000000001</v>
      </c>
      <c r="GB102">
        <v>39.620899999999999</v>
      </c>
      <c r="GC102">
        <v>39.663499999999999</v>
      </c>
      <c r="GD102">
        <v>-1</v>
      </c>
      <c r="GE102">
        <v>0</v>
      </c>
      <c r="GF102">
        <v>100</v>
      </c>
      <c r="GG102">
        <v>31.756900000000002</v>
      </c>
      <c r="GH102">
        <v>432.1</v>
      </c>
      <c r="GI102">
        <v>42.4801</v>
      </c>
      <c r="GJ102">
        <v>100.78</v>
      </c>
      <c r="GK102">
        <v>95.236599999999996</v>
      </c>
    </row>
    <row r="103" spans="1:193" x14ac:dyDescent="0.35">
      <c r="A103">
        <v>87</v>
      </c>
      <c r="B103">
        <v>1775537186.5999999</v>
      </c>
      <c r="C103">
        <v>5160.5</v>
      </c>
      <c r="D103" t="s">
        <v>578</v>
      </c>
      <c r="E103" t="s">
        <v>579</v>
      </c>
      <c r="F103">
        <v>60</v>
      </c>
      <c r="G103">
        <v>1775537178.599999</v>
      </c>
      <c r="H103">
        <f t="shared" si="30"/>
        <v>3.3436219405545381E-3</v>
      </c>
      <c r="I103">
        <f t="shared" si="31"/>
        <v>3.343621940554538</v>
      </c>
      <c r="J103">
        <f t="shared" si="32"/>
        <v>-2.9108488463798445</v>
      </c>
      <c r="K103">
        <f t="shared" si="33"/>
        <v>-5.6149322580645142</v>
      </c>
      <c r="L103">
        <f t="shared" si="34"/>
        <v>58.278022236303123</v>
      </c>
      <c r="M103">
        <f t="shared" si="35"/>
        <v>5.8440515975042011</v>
      </c>
      <c r="N103">
        <f t="shared" si="36"/>
        <v>-0.56305880970989786</v>
      </c>
      <c r="O103">
        <f t="shared" si="37"/>
        <v>7.1694776085923298E-2</v>
      </c>
      <c r="P103">
        <f t="shared" si="38"/>
        <v>2.3928038307607609</v>
      </c>
      <c r="Q103">
        <f t="shared" si="39"/>
        <v>7.0522408148663229E-2</v>
      </c>
      <c r="R103">
        <f t="shared" si="40"/>
        <v>4.4180240797510234E-2</v>
      </c>
      <c r="S103">
        <f t="shared" si="41"/>
        <v>0.33221150719354825</v>
      </c>
      <c r="T103">
        <f t="shared" si="42"/>
        <v>32.190268221859171</v>
      </c>
      <c r="U103">
        <f t="shared" si="43"/>
        <v>33.032296774193547</v>
      </c>
      <c r="V103">
        <f t="shared" si="44"/>
        <v>5.0612822639701704</v>
      </c>
      <c r="W103">
        <f t="shared" si="45"/>
        <v>8.5421741686527906</v>
      </c>
      <c r="X103">
        <f t="shared" si="46"/>
        <v>0.4371907046612396</v>
      </c>
      <c r="Y103">
        <f t="shared" si="47"/>
        <v>5.1180261140729018</v>
      </c>
      <c r="Z103">
        <f t="shared" si="48"/>
        <v>4.6240915593089307</v>
      </c>
      <c r="AA103">
        <f t="shared" si="49"/>
        <v>-147.45372757845513</v>
      </c>
      <c r="AB103">
        <f t="shared" si="50"/>
        <v>25.621231375589854</v>
      </c>
      <c r="AC103">
        <f t="shared" si="51"/>
        <v>2.4554362006746033</v>
      </c>
      <c r="AD103">
        <f t="shared" si="52"/>
        <v>-119.04484849499711</v>
      </c>
      <c r="AE103">
        <v>6</v>
      </c>
      <c r="AF103">
        <v>1</v>
      </c>
      <c r="AG103">
        <f t="shared" si="53"/>
        <v>1</v>
      </c>
      <c r="AH103">
        <f t="shared" si="54"/>
        <v>0</v>
      </c>
      <c r="AI103">
        <f t="shared" si="55"/>
        <v>25065.767732305641</v>
      </c>
      <c r="AJ103">
        <f t="shared" si="56"/>
        <v>1.738417096774193</v>
      </c>
      <c r="AK103">
        <f t="shared" si="57"/>
        <v>1.3907336774193544</v>
      </c>
      <c r="AL103">
        <f t="shared" si="58"/>
        <v>0.8</v>
      </c>
      <c r="AM103">
        <f t="shared" si="59"/>
        <v>0.19109999999999999</v>
      </c>
      <c r="AN103">
        <v>3</v>
      </c>
      <c r="AO103">
        <v>0.5</v>
      </c>
      <c r="AP103" t="s">
        <v>317</v>
      </c>
      <c r="AQ103">
        <v>2</v>
      </c>
      <c r="AR103">
        <v>1775537178.599999</v>
      </c>
      <c r="AS103">
        <v>-5.6149322580645142</v>
      </c>
      <c r="AT103">
        <v>-7.3727793548387099</v>
      </c>
      <c r="AU103">
        <v>4.3597509677419364</v>
      </c>
      <c r="AV103">
        <v>2.3622409677419358</v>
      </c>
      <c r="AW103">
        <v>-12.452932258064511</v>
      </c>
      <c r="AX103">
        <v>4.2242409677419364</v>
      </c>
      <c r="AY103">
        <v>499.97916129032262</v>
      </c>
      <c r="AZ103">
        <v>100.2298387096774</v>
      </c>
      <c r="BA103">
        <v>4.898636451612904E-2</v>
      </c>
      <c r="BB103">
        <v>33.230909677419348</v>
      </c>
      <c r="BC103">
        <v>33.032296774193547</v>
      </c>
      <c r="BD103">
        <v>999.90000000000032</v>
      </c>
      <c r="BE103">
        <v>0</v>
      </c>
      <c r="BF103">
        <v>0</v>
      </c>
      <c r="BG103">
        <v>5000.8064516129034</v>
      </c>
      <c r="BH103">
        <v>1.738417096774193</v>
      </c>
      <c r="BI103">
        <v>1929.9590322580641</v>
      </c>
      <c r="BJ103">
        <v>1.795155161290322</v>
      </c>
      <c r="BK103">
        <v>-5.5908941935483876</v>
      </c>
      <c r="BL103">
        <v>-7.4050625806451613</v>
      </c>
      <c r="BM103">
        <v>-1.987171612903226</v>
      </c>
      <c r="BN103">
        <v>-7.3727793548387099</v>
      </c>
      <c r="BO103">
        <v>4.3597509677419364</v>
      </c>
      <c r="BP103">
        <v>0.23780306451612901</v>
      </c>
      <c r="BQ103">
        <v>0.436977064516129</v>
      </c>
      <c r="BR103">
        <v>-12.38253225806451</v>
      </c>
      <c r="BS103">
        <v>-4.5859338709677422</v>
      </c>
      <c r="BT103">
        <v>1775537219</v>
      </c>
      <c r="BU103" t="s">
        <v>580</v>
      </c>
      <c r="BV103">
        <v>1775537203.5</v>
      </c>
      <c r="BW103">
        <v>1775537219</v>
      </c>
      <c r="BX103">
        <v>88</v>
      </c>
      <c r="BY103">
        <v>-3.6999999999999998E-2</v>
      </c>
      <c r="BZ103">
        <v>-1.0999999999999999E-2</v>
      </c>
      <c r="CA103">
        <v>6.8380000000000001</v>
      </c>
      <c r="CB103">
        <v>-1.8620000000000001</v>
      </c>
      <c r="CC103">
        <v>-7</v>
      </c>
      <c r="CD103">
        <v>4</v>
      </c>
      <c r="CE103">
        <v>0.22</v>
      </c>
      <c r="CF103">
        <v>0.04</v>
      </c>
      <c r="CG103">
        <v>-7.5271840000000001</v>
      </c>
      <c r="CH103">
        <v>1.070914276187821</v>
      </c>
      <c r="CI103">
        <v>0.17280711907788979</v>
      </c>
      <c r="CJ103">
        <v>-1</v>
      </c>
      <c r="CK103">
        <v>500.78373333333332</v>
      </c>
      <c r="CL103">
        <v>-8.1314053903852788</v>
      </c>
      <c r="CM103">
        <v>1.792000370783692</v>
      </c>
      <c r="CN103">
        <v>-1</v>
      </c>
      <c r="CO103">
        <v>0</v>
      </c>
      <c r="CP103">
        <v>0</v>
      </c>
      <c r="CQ103" t="s">
        <v>319</v>
      </c>
      <c r="CR103">
        <v>3.1692900000000002</v>
      </c>
      <c r="CS103">
        <v>2.6697600000000001</v>
      </c>
      <c r="CT103">
        <v>-3.54514E-3</v>
      </c>
      <c r="CU103">
        <v>-2.02826E-3</v>
      </c>
      <c r="CV103">
        <v>2.8220700000000001E-2</v>
      </c>
      <c r="CW103">
        <v>2.9246000000000001E-2</v>
      </c>
      <c r="CX103">
        <v>21293.599999999999</v>
      </c>
      <c r="CY103">
        <v>21713.8</v>
      </c>
      <c r="CZ103">
        <v>22757.599999999999</v>
      </c>
      <c r="DA103">
        <v>22043.9</v>
      </c>
      <c r="DB103">
        <v>28547.200000000001</v>
      </c>
      <c r="DC103">
        <v>25468.400000000001</v>
      </c>
      <c r="DD103">
        <v>40058.199999999997</v>
      </c>
      <c r="DE103">
        <v>36473.5</v>
      </c>
      <c r="DF103">
        <v>1.9878199999999999</v>
      </c>
      <c r="DG103">
        <v>1.609</v>
      </c>
      <c r="DH103">
        <v>-6.7353200000000002E-2</v>
      </c>
      <c r="DI103">
        <v>0</v>
      </c>
      <c r="DJ103">
        <v>34.115699999999997</v>
      </c>
      <c r="DK103">
        <v>999.9</v>
      </c>
      <c r="DL103">
        <v>50.6</v>
      </c>
      <c r="DM103">
        <v>45.7</v>
      </c>
      <c r="DN103">
        <v>50.442300000000003</v>
      </c>
      <c r="DO103">
        <v>30.5547</v>
      </c>
      <c r="DP103">
        <v>10.2925</v>
      </c>
      <c r="DQ103">
        <v>1</v>
      </c>
      <c r="DR103">
        <v>1.01</v>
      </c>
      <c r="DS103">
        <v>2.7562700000000002</v>
      </c>
      <c r="DT103">
        <v>20.331</v>
      </c>
      <c r="DU103">
        <v>5.2063899999999999</v>
      </c>
      <c r="DV103">
        <v>11.8543</v>
      </c>
      <c r="DW103">
        <v>4.9665600000000003</v>
      </c>
      <c r="DX103">
        <v>3.2923800000000001</v>
      </c>
      <c r="DY103">
        <v>894.7</v>
      </c>
      <c r="DZ103">
        <v>6</v>
      </c>
      <c r="EA103">
        <v>9999</v>
      </c>
      <c r="EB103">
        <v>117.2</v>
      </c>
      <c r="EC103">
        <v>4.9716100000000001</v>
      </c>
      <c r="ED103">
        <v>1.8722399999999999</v>
      </c>
      <c r="EE103">
        <v>1.8695999999999999</v>
      </c>
      <c r="EF103">
        <v>1.8718300000000001</v>
      </c>
      <c r="EG103">
        <v>1.86965</v>
      </c>
      <c r="EH103">
        <v>1.8684400000000001</v>
      </c>
      <c r="EI103">
        <v>1.8702700000000001</v>
      </c>
      <c r="EJ103">
        <v>1.87195</v>
      </c>
      <c r="EK103">
        <v>0</v>
      </c>
      <c r="EL103">
        <v>0</v>
      </c>
      <c r="EM103">
        <v>0</v>
      </c>
      <c r="EN103">
        <v>0</v>
      </c>
      <c r="EO103" t="s">
        <v>320</v>
      </c>
      <c r="EP103" t="s">
        <v>321</v>
      </c>
      <c r="EQ103" t="s">
        <v>322</v>
      </c>
      <c r="ER103" t="s">
        <v>322</v>
      </c>
      <c r="ES103" t="s">
        <v>322</v>
      </c>
      <c r="ET103" t="s">
        <v>322</v>
      </c>
      <c r="EU103">
        <v>0</v>
      </c>
      <c r="EV103">
        <v>100</v>
      </c>
      <c r="EW103">
        <v>100</v>
      </c>
      <c r="EX103">
        <v>6.8380000000000001</v>
      </c>
      <c r="EY103">
        <v>-1.8620000000000001</v>
      </c>
      <c r="EZ103">
        <v>6.8752994999999988</v>
      </c>
      <c r="FA103">
        <v>0</v>
      </c>
      <c r="FB103">
        <v>0</v>
      </c>
      <c r="FC103">
        <v>0</v>
      </c>
      <c r="FD103">
        <v>-1.851664</v>
      </c>
      <c r="FE103">
        <v>0</v>
      </c>
      <c r="FF103">
        <v>0</v>
      </c>
      <c r="FG103">
        <v>0</v>
      </c>
      <c r="FH103">
        <v>-1</v>
      </c>
      <c r="FI103">
        <v>-1</v>
      </c>
      <c r="FJ103">
        <v>-1</v>
      </c>
      <c r="FK103">
        <v>-1</v>
      </c>
      <c r="FL103">
        <v>0.7</v>
      </c>
      <c r="FM103">
        <v>0.6</v>
      </c>
      <c r="FN103">
        <v>0.14038100000000001</v>
      </c>
      <c r="FO103">
        <v>4.99756</v>
      </c>
      <c r="FP103">
        <v>1.5979000000000001</v>
      </c>
      <c r="FQ103">
        <v>2.1154799999999998</v>
      </c>
      <c r="FR103">
        <v>1.5478499999999999</v>
      </c>
      <c r="FS103">
        <v>2.3706100000000001</v>
      </c>
      <c r="FT103">
        <v>49.8018</v>
      </c>
      <c r="FU103">
        <v>15.340400000000001</v>
      </c>
      <c r="FV103">
        <v>2</v>
      </c>
      <c r="FW103">
        <v>506.36099999999999</v>
      </c>
      <c r="FX103">
        <v>351.94799999999998</v>
      </c>
      <c r="FY103">
        <v>31.3764</v>
      </c>
      <c r="FZ103">
        <v>39.389000000000003</v>
      </c>
      <c r="GA103">
        <v>30.0002</v>
      </c>
      <c r="GB103">
        <v>39.617100000000001</v>
      </c>
      <c r="GC103">
        <v>39.663499999999999</v>
      </c>
      <c r="GD103">
        <v>-1</v>
      </c>
      <c r="GE103">
        <v>0</v>
      </c>
      <c r="GF103">
        <v>100</v>
      </c>
      <c r="GG103">
        <v>31.367100000000001</v>
      </c>
      <c r="GH103">
        <v>432.1</v>
      </c>
      <c r="GI103">
        <v>42.4801</v>
      </c>
      <c r="GJ103">
        <v>100.77500000000001</v>
      </c>
      <c r="GK103">
        <v>95.230900000000005</v>
      </c>
    </row>
    <row r="104" spans="1:193" x14ac:dyDescent="0.35">
      <c r="A104">
        <v>88</v>
      </c>
      <c r="B104">
        <v>1775537247</v>
      </c>
      <c r="C104">
        <v>5220.9000000953674</v>
      </c>
      <c r="D104" t="s">
        <v>581</v>
      </c>
      <c r="E104" t="s">
        <v>582</v>
      </c>
      <c r="F104">
        <v>60</v>
      </c>
      <c r="G104">
        <v>1775537239</v>
      </c>
      <c r="H104">
        <f t="shared" si="30"/>
        <v>4.1731956198854028E-3</v>
      </c>
      <c r="I104">
        <f t="shared" si="31"/>
        <v>4.1731956198854023</v>
      </c>
      <c r="J104">
        <f t="shared" si="32"/>
        <v>-4.1355484498057544</v>
      </c>
      <c r="K104">
        <f t="shared" si="33"/>
        <v>-4.8844741935483853</v>
      </c>
      <c r="L104">
        <f t="shared" si="34"/>
        <v>67.405968501113406</v>
      </c>
      <c r="M104">
        <f t="shared" si="35"/>
        <v>6.7591391692060796</v>
      </c>
      <c r="N104">
        <f t="shared" si="36"/>
        <v>-0.48979106118835508</v>
      </c>
      <c r="O104">
        <f t="shared" si="37"/>
        <v>9.0233650468766316E-2</v>
      </c>
      <c r="P104">
        <f t="shared" si="38"/>
        <v>2.3908480406844808</v>
      </c>
      <c r="Q104">
        <f t="shared" si="39"/>
        <v>8.838353697373473E-2</v>
      </c>
      <c r="R104">
        <f t="shared" si="40"/>
        <v>5.5402776458650688E-2</v>
      </c>
      <c r="S104">
        <f t="shared" si="41"/>
        <v>0.33974602538709675</v>
      </c>
      <c r="T104">
        <f t="shared" si="42"/>
        <v>31.92186928217501</v>
      </c>
      <c r="U104">
        <f t="shared" si="43"/>
        <v>32.993658064516133</v>
      </c>
      <c r="V104">
        <f t="shared" si="44"/>
        <v>5.0503069901071465</v>
      </c>
      <c r="W104">
        <f t="shared" si="45"/>
        <v>8.706313427774564</v>
      </c>
      <c r="X104">
        <f t="shared" si="46"/>
        <v>0.44537398620006713</v>
      </c>
      <c r="Y104">
        <f t="shared" si="47"/>
        <v>5.1155289766992684</v>
      </c>
      <c r="Z104">
        <f t="shared" si="48"/>
        <v>4.604933003907079</v>
      </c>
      <c r="AA104">
        <f t="shared" si="49"/>
        <v>-184.03792683694627</v>
      </c>
      <c r="AB104">
        <f t="shared" si="50"/>
        <v>29.459251467387794</v>
      </c>
      <c r="AC104">
        <f t="shared" si="51"/>
        <v>2.8249109382392024</v>
      </c>
      <c r="AD104">
        <f t="shared" si="52"/>
        <v>-151.41401840593218</v>
      </c>
      <c r="AE104">
        <v>7</v>
      </c>
      <c r="AF104">
        <v>1</v>
      </c>
      <c r="AG104">
        <f t="shared" si="53"/>
        <v>1</v>
      </c>
      <c r="AH104">
        <f t="shared" si="54"/>
        <v>0</v>
      </c>
      <c r="AI104">
        <f t="shared" si="55"/>
        <v>25037.445811739392</v>
      </c>
      <c r="AJ104">
        <f t="shared" si="56"/>
        <v>1.7778441935483871</v>
      </c>
      <c r="AK104">
        <f t="shared" si="57"/>
        <v>1.4222753548387097</v>
      </c>
      <c r="AL104">
        <f t="shared" si="58"/>
        <v>0.8</v>
      </c>
      <c r="AM104">
        <f t="shared" si="59"/>
        <v>0.19109999999999999</v>
      </c>
      <c r="AN104">
        <v>3</v>
      </c>
      <c r="AO104">
        <v>0.5</v>
      </c>
      <c r="AP104" t="s">
        <v>317</v>
      </c>
      <c r="AQ104">
        <v>2</v>
      </c>
      <c r="AR104">
        <v>1775537239</v>
      </c>
      <c r="AS104">
        <v>-4.8844741935483853</v>
      </c>
      <c r="AT104">
        <v>-7.3780470967741927</v>
      </c>
      <c r="AU104">
        <v>4.4415219354838724</v>
      </c>
      <c r="AV104">
        <v>1.948712258064516</v>
      </c>
      <c r="AW104">
        <v>-11.752474193548389</v>
      </c>
      <c r="AX104">
        <v>3.8167122580645159</v>
      </c>
      <c r="AY104">
        <v>499.99729032258068</v>
      </c>
      <c r="AZ104">
        <v>100.2266129032258</v>
      </c>
      <c r="BA104">
        <v>4.8471329032258058E-2</v>
      </c>
      <c r="BB104">
        <v>33.222209677419357</v>
      </c>
      <c r="BC104">
        <v>32.993658064516133</v>
      </c>
      <c r="BD104">
        <v>999.90000000000032</v>
      </c>
      <c r="BE104">
        <v>0</v>
      </c>
      <c r="BF104">
        <v>0</v>
      </c>
      <c r="BG104">
        <v>4995.9354838709678</v>
      </c>
      <c r="BH104">
        <v>1.7778441935483871</v>
      </c>
      <c r="BI104">
        <v>1973.308064516129</v>
      </c>
      <c r="BJ104">
        <v>2.4638667741935478</v>
      </c>
      <c r="BK104">
        <v>-4.9237987096774214</v>
      </c>
      <c r="BL104">
        <v>-7.4109641935483861</v>
      </c>
      <c r="BM104">
        <v>-2.4871003225806452</v>
      </c>
      <c r="BN104">
        <v>-7.3780470967741927</v>
      </c>
      <c r="BO104">
        <v>4.4415219354838724</v>
      </c>
      <c r="BP104">
        <v>0.195885064516129</v>
      </c>
      <c r="BQ104">
        <v>0.44515851612903229</v>
      </c>
      <c r="BR104">
        <v>-14.76046774193548</v>
      </c>
      <c r="BS104">
        <v>-4.3399064516129036</v>
      </c>
      <c r="BT104">
        <v>1775537280</v>
      </c>
      <c r="BU104" t="s">
        <v>583</v>
      </c>
      <c r="BV104">
        <v>1775537272</v>
      </c>
      <c r="BW104">
        <v>1775537280</v>
      </c>
      <c r="BX104">
        <v>89</v>
      </c>
      <c r="BY104">
        <v>0.03</v>
      </c>
      <c r="BZ104">
        <v>-5.0000000000000001E-3</v>
      </c>
      <c r="CA104">
        <v>6.8680000000000003</v>
      </c>
      <c r="CB104">
        <v>-1.8680000000000001</v>
      </c>
      <c r="CC104">
        <v>-8</v>
      </c>
      <c r="CD104">
        <v>4</v>
      </c>
      <c r="CE104">
        <v>0.23</v>
      </c>
      <c r="CF104">
        <v>0.03</v>
      </c>
      <c r="CG104">
        <v>-7.1450277049180331</v>
      </c>
      <c r="CH104">
        <v>-2.0817989635113698</v>
      </c>
      <c r="CI104">
        <v>0.36999269469258461</v>
      </c>
      <c r="CJ104">
        <v>-1</v>
      </c>
      <c r="CK104">
        <v>500.95044262295067</v>
      </c>
      <c r="CL104">
        <v>-5.7159280803817829</v>
      </c>
      <c r="CM104">
        <v>1.9176857853407701</v>
      </c>
      <c r="CN104">
        <v>-1</v>
      </c>
      <c r="CO104">
        <v>0</v>
      </c>
      <c r="CP104">
        <v>0</v>
      </c>
      <c r="CQ104" t="s">
        <v>319</v>
      </c>
      <c r="CR104">
        <v>3.1692499999999999</v>
      </c>
      <c r="CS104">
        <v>2.6701999999999999</v>
      </c>
      <c r="CT104">
        <v>-3.4972100000000002E-3</v>
      </c>
      <c r="CU104">
        <v>-2.2533599999999998E-3</v>
      </c>
      <c r="CV104">
        <v>2.5835799999999999E-2</v>
      </c>
      <c r="CW104">
        <v>2.9682400000000001E-2</v>
      </c>
      <c r="CX104">
        <v>21290.1</v>
      </c>
      <c r="CY104">
        <v>21715.5</v>
      </c>
      <c r="CZ104">
        <v>22755.1</v>
      </c>
      <c r="DA104">
        <v>22040.9</v>
      </c>
      <c r="DB104">
        <v>28614.2</v>
      </c>
      <c r="DC104">
        <v>25453.599999999999</v>
      </c>
      <c r="DD104">
        <v>40054</v>
      </c>
      <c r="DE104">
        <v>36468.800000000003</v>
      </c>
      <c r="DF104">
        <v>1.9862</v>
      </c>
      <c r="DG104">
        <v>1.60808</v>
      </c>
      <c r="DH104">
        <v>-8.56817E-2</v>
      </c>
      <c r="DI104">
        <v>0</v>
      </c>
      <c r="DJ104">
        <v>34.368699999999997</v>
      </c>
      <c r="DK104">
        <v>999.9</v>
      </c>
      <c r="DL104">
        <v>50.6</v>
      </c>
      <c r="DM104">
        <v>45.8</v>
      </c>
      <c r="DN104">
        <v>50.704799999999999</v>
      </c>
      <c r="DO104">
        <v>30.8947</v>
      </c>
      <c r="DP104">
        <v>10.2684</v>
      </c>
      <c r="DQ104">
        <v>1</v>
      </c>
      <c r="DR104">
        <v>1.01773</v>
      </c>
      <c r="DS104">
        <v>3.1845599999999998</v>
      </c>
      <c r="DT104">
        <v>20.322600000000001</v>
      </c>
      <c r="DU104">
        <v>5.2095000000000002</v>
      </c>
      <c r="DV104">
        <v>11.855</v>
      </c>
      <c r="DW104">
        <v>4.9672799999999997</v>
      </c>
      <c r="DX104">
        <v>3.2930000000000001</v>
      </c>
      <c r="DY104">
        <v>894.7</v>
      </c>
      <c r="DZ104">
        <v>6</v>
      </c>
      <c r="EA104">
        <v>9999</v>
      </c>
      <c r="EB104">
        <v>117.2</v>
      </c>
      <c r="EC104">
        <v>4.9716100000000001</v>
      </c>
      <c r="ED104">
        <v>1.8722399999999999</v>
      </c>
      <c r="EE104">
        <v>1.86955</v>
      </c>
      <c r="EF104">
        <v>1.8717999999999999</v>
      </c>
      <c r="EG104">
        <v>1.8696600000000001</v>
      </c>
      <c r="EH104">
        <v>1.8684499999999999</v>
      </c>
      <c r="EI104">
        <v>1.8702700000000001</v>
      </c>
      <c r="EJ104">
        <v>1.87195</v>
      </c>
      <c r="EK104">
        <v>0</v>
      </c>
      <c r="EL104">
        <v>0</v>
      </c>
      <c r="EM104">
        <v>0</v>
      </c>
      <c r="EN104">
        <v>0</v>
      </c>
      <c r="EO104" t="s">
        <v>320</v>
      </c>
      <c r="EP104" t="s">
        <v>321</v>
      </c>
      <c r="EQ104" t="s">
        <v>322</v>
      </c>
      <c r="ER104" t="s">
        <v>322</v>
      </c>
      <c r="ES104" t="s">
        <v>322</v>
      </c>
      <c r="ET104" t="s">
        <v>322</v>
      </c>
      <c r="EU104">
        <v>0</v>
      </c>
      <c r="EV104">
        <v>100</v>
      </c>
      <c r="EW104">
        <v>100</v>
      </c>
      <c r="EX104">
        <v>6.8680000000000003</v>
      </c>
      <c r="EY104">
        <v>-1.8680000000000001</v>
      </c>
      <c r="EZ104">
        <v>6.8382971428571446</v>
      </c>
      <c r="FA104">
        <v>0</v>
      </c>
      <c r="FB104">
        <v>0</v>
      </c>
      <c r="FC104">
        <v>0</v>
      </c>
      <c r="FD104">
        <v>-1.8622894999999999</v>
      </c>
      <c r="FE104">
        <v>0</v>
      </c>
      <c r="FF104">
        <v>0</v>
      </c>
      <c r="FG104">
        <v>0</v>
      </c>
      <c r="FH104">
        <v>-1</v>
      </c>
      <c r="FI104">
        <v>-1</v>
      </c>
      <c r="FJ104">
        <v>-1</v>
      </c>
      <c r="FK104">
        <v>-1</v>
      </c>
      <c r="FL104">
        <v>0.7</v>
      </c>
      <c r="FM104">
        <v>0.5</v>
      </c>
      <c r="FN104">
        <v>0.14038100000000001</v>
      </c>
      <c r="FO104">
        <v>4.99756</v>
      </c>
      <c r="FP104">
        <v>1.5979000000000001</v>
      </c>
      <c r="FQ104">
        <v>2.1154799999999998</v>
      </c>
      <c r="FR104">
        <v>1.5478499999999999</v>
      </c>
      <c r="FS104">
        <v>2.3925800000000002</v>
      </c>
      <c r="FT104">
        <v>49.865600000000001</v>
      </c>
      <c r="FU104">
        <v>15.322800000000001</v>
      </c>
      <c r="FV104">
        <v>2</v>
      </c>
      <c r="FW104">
        <v>505.60199999999998</v>
      </c>
      <c r="FX104">
        <v>351.63</v>
      </c>
      <c r="FY104">
        <v>31.019100000000002</v>
      </c>
      <c r="FZ104">
        <v>39.440600000000003</v>
      </c>
      <c r="GA104">
        <v>30.000599999999999</v>
      </c>
      <c r="GB104">
        <v>39.653799999999997</v>
      </c>
      <c r="GC104">
        <v>39.702100000000002</v>
      </c>
      <c r="GD104">
        <v>-1</v>
      </c>
      <c r="GE104">
        <v>0</v>
      </c>
      <c r="GF104">
        <v>100</v>
      </c>
      <c r="GG104">
        <v>30.999300000000002</v>
      </c>
      <c r="GH104">
        <v>432.1</v>
      </c>
      <c r="GI104">
        <v>42.4801</v>
      </c>
      <c r="GJ104">
        <v>100.765</v>
      </c>
      <c r="GK104">
        <v>95.218199999999996</v>
      </c>
    </row>
    <row r="105" spans="1:193" x14ac:dyDescent="0.35">
      <c r="A105">
        <v>89</v>
      </c>
      <c r="B105">
        <v>1775537307</v>
      </c>
      <c r="C105">
        <v>5280.9000000953674</v>
      </c>
      <c r="D105" t="s">
        <v>584</v>
      </c>
      <c r="E105" t="s">
        <v>585</v>
      </c>
      <c r="F105">
        <v>60</v>
      </c>
      <c r="G105">
        <v>1775537299</v>
      </c>
      <c r="H105">
        <f t="shared" si="30"/>
        <v>3.8437392468267276E-3</v>
      </c>
      <c r="I105">
        <f t="shared" si="31"/>
        <v>3.8437392468267277</v>
      </c>
      <c r="J105">
        <f t="shared" si="32"/>
        <v>-3.2879138674130837</v>
      </c>
      <c r="K105">
        <f t="shared" si="33"/>
        <v>-4.4149354838709689</v>
      </c>
      <c r="L105">
        <f t="shared" si="34"/>
        <v>58.161185235132045</v>
      </c>
      <c r="M105">
        <f t="shared" si="35"/>
        <v>5.8322081578118752</v>
      </c>
      <c r="N105">
        <f t="shared" si="36"/>
        <v>-0.44271489037145523</v>
      </c>
      <c r="O105">
        <f t="shared" si="37"/>
        <v>8.2764602608177154E-2</v>
      </c>
      <c r="P105">
        <f t="shared" si="38"/>
        <v>2.3937973486630826</v>
      </c>
      <c r="Q105">
        <f t="shared" si="39"/>
        <v>8.1207127410943297E-2</v>
      </c>
      <c r="R105">
        <f t="shared" si="40"/>
        <v>5.08919464174558E-2</v>
      </c>
      <c r="S105">
        <f t="shared" si="41"/>
        <v>0.33985260987096771</v>
      </c>
      <c r="T105">
        <f t="shared" si="42"/>
        <v>32.021076893437403</v>
      </c>
      <c r="U105">
        <f t="shared" si="43"/>
        <v>33.055490322580638</v>
      </c>
      <c r="V105">
        <f t="shared" si="44"/>
        <v>5.0678803226263485</v>
      </c>
      <c r="W105">
        <f t="shared" si="45"/>
        <v>8.841669058667291</v>
      </c>
      <c r="X105">
        <f t="shared" si="46"/>
        <v>0.45217178608282682</v>
      </c>
      <c r="Y105">
        <f t="shared" si="47"/>
        <v>5.1140998728014244</v>
      </c>
      <c r="Z105">
        <f t="shared" si="48"/>
        <v>4.6157085365435213</v>
      </c>
      <c r="AA105">
        <f t="shared" si="49"/>
        <v>-169.50890078505867</v>
      </c>
      <c r="AB105">
        <f t="shared" si="50"/>
        <v>20.873092564600714</v>
      </c>
      <c r="AC105">
        <f t="shared" si="51"/>
        <v>1.9996564872219038</v>
      </c>
      <c r="AD105">
        <f t="shared" si="52"/>
        <v>-146.29629912336509</v>
      </c>
      <c r="AE105">
        <v>6</v>
      </c>
      <c r="AF105">
        <v>1</v>
      </c>
      <c r="AG105">
        <f t="shared" si="53"/>
        <v>1</v>
      </c>
      <c r="AH105">
        <f t="shared" si="54"/>
        <v>0</v>
      </c>
      <c r="AI105">
        <f t="shared" si="55"/>
        <v>25081.771260537083</v>
      </c>
      <c r="AJ105">
        <f t="shared" si="56"/>
        <v>1.7784019354838709</v>
      </c>
      <c r="AK105">
        <f t="shared" si="57"/>
        <v>1.4227215483870967</v>
      </c>
      <c r="AL105">
        <f t="shared" si="58"/>
        <v>0.8</v>
      </c>
      <c r="AM105">
        <f t="shared" si="59"/>
        <v>0.19109999999999999</v>
      </c>
      <c r="AN105">
        <v>3</v>
      </c>
      <c r="AO105">
        <v>0.5</v>
      </c>
      <c r="AP105" t="s">
        <v>317</v>
      </c>
      <c r="AQ105">
        <v>2</v>
      </c>
      <c r="AR105">
        <v>1775537299</v>
      </c>
      <c r="AS105">
        <v>-4.4149354838709689</v>
      </c>
      <c r="AT105">
        <v>-6.397930967741936</v>
      </c>
      <c r="AU105">
        <v>4.5092435483870972</v>
      </c>
      <c r="AV105">
        <v>2.2133238709677419</v>
      </c>
      <c r="AW105">
        <v>-11.277935483870969</v>
      </c>
      <c r="AX105">
        <v>4.0903238709677421</v>
      </c>
      <c r="AY105">
        <v>499.98354838709668</v>
      </c>
      <c r="AZ105">
        <v>100.228064516129</v>
      </c>
      <c r="BA105">
        <v>4.8574177419354853E-2</v>
      </c>
      <c r="BB105">
        <v>33.217229032258061</v>
      </c>
      <c r="BC105">
        <v>33.055490322580638</v>
      </c>
      <c r="BD105">
        <v>999.90000000000032</v>
      </c>
      <c r="BE105">
        <v>0</v>
      </c>
      <c r="BF105">
        <v>0</v>
      </c>
      <c r="BG105">
        <v>5003.4516129032254</v>
      </c>
      <c r="BH105">
        <v>1.7784019354838709</v>
      </c>
      <c r="BI105">
        <v>1982.636774193548</v>
      </c>
      <c r="BJ105">
        <v>1.988182903225806</v>
      </c>
      <c r="BK105">
        <v>-4.4195683870967741</v>
      </c>
      <c r="BL105">
        <v>-6.4269119354838713</v>
      </c>
      <c r="BM105">
        <v>-2.286437741935484</v>
      </c>
      <c r="BN105">
        <v>-6.397930967741936</v>
      </c>
      <c r="BO105">
        <v>4.5092435483870972</v>
      </c>
      <c r="BP105">
        <v>0.22278748387096781</v>
      </c>
      <c r="BQ105">
        <v>0.4519526451612903</v>
      </c>
      <c r="BR105">
        <v>-13.19061290322581</v>
      </c>
      <c r="BS105">
        <v>-4.1386425806451612</v>
      </c>
      <c r="BT105">
        <v>1775537344.5</v>
      </c>
      <c r="BU105" t="s">
        <v>586</v>
      </c>
      <c r="BV105">
        <v>1775537325.5</v>
      </c>
      <c r="BW105">
        <v>1775537344.5</v>
      </c>
      <c r="BX105">
        <v>90</v>
      </c>
      <c r="BY105">
        <v>-5.0000000000000001E-3</v>
      </c>
      <c r="BZ105">
        <v>-8.9999999999999993E-3</v>
      </c>
      <c r="CA105">
        <v>6.8630000000000004</v>
      </c>
      <c r="CB105">
        <v>-1.877</v>
      </c>
      <c r="CC105">
        <v>-6</v>
      </c>
      <c r="CD105">
        <v>5</v>
      </c>
      <c r="CE105">
        <v>0.23</v>
      </c>
      <c r="CF105">
        <v>0.04</v>
      </c>
      <c r="CG105">
        <v>-6.5130981967213124</v>
      </c>
      <c r="CH105">
        <v>0.51674049709148617</v>
      </c>
      <c r="CI105">
        <v>0.27796339156595162</v>
      </c>
      <c r="CJ105">
        <v>-1</v>
      </c>
      <c r="CK105">
        <v>500.94159016393439</v>
      </c>
      <c r="CL105">
        <v>-5.1516932839771039</v>
      </c>
      <c r="CM105">
        <v>1.8756571340448731</v>
      </c>
      <c r="CN105">
        <v>-1</v>
      </c>
      <c r="CO105">
        <v>0</v>
      </c>
      <c r="CP105">
        <v>0</v>
      </c>
      <c r="CQ105" t="s">
        <v>319</v>
      </c>
      <c r="CR105">
        <v>3.16919</v>
      </c>
      <c r="CS105">
        <v>2.6697600000000001</v>
      </c>
      <c r="CT105">
        <v>-3.2861000000000001E-3</v>
      </c>
      <c r="CU105">
        <v>-1.85257E-3</v>
      </c>
      <c r="CV105">
        <v>2.80877E-2</v>
      </c>
      <c r="CW105">
        <v>3.0086499999999999E-2</v>
      </c>
      <c r="CX105">
        <v>21281.8</v>
      </c>
      <c r="CY105">
        <v>21703.200000000001</v>
      </c>
      <c r="CZ105">
        <v>22751.3</v>
      </c>
      <c r="DA105">
        <v>22037.3</v>
      </c>
      <c r="DB105">
        <v>28543.5</v>
      </c>
      <c r="DC105">
        <v>25438.400000000001</v>
      </c>
      <c r="DD105">
        <v>40047.9</v>
      </c>
      <c r="DE105">
        <v>36462.6</v>
      </c>
      <c r="DF105">
        <v>1.9858800000000001</v>
      </c>
      <c r="DG105">
        <v>1.6049</v>
      </c>
      <c r="DH105">
        <v>-8.9794399999999996E-2</v>
      </c>
      <c r="DI105">
        <v>0</v>
      </c>
      <c r="DJ105">
        <v>34.532200000000003</v>
      </c>
      <c r="DK105">
        <v>999.9</v>
      </c>
      <c r="DL105">
        <v>50.5</v>
      </c>
      <c r="DM105">
        <v>45.9</v>
      </c>
      <c r="DN105">
        <v>50.8626</v>
      </c>
      <c r="DO105">
        <v>30.264700000000001</v>
      </c>
      <c r="DP105">
        <v>10.3005</v>
      </c>
      <c r="DQ105">
        <v>1</v>
      </c>
      <c r="DR105">
        <v>1.02335</v>
      </c>
      <c r="DS105">
        <v>2.9018799999999998</v>
      </c>
      <c r="DT105">
        <v>20.329000000000001</v>
      </c>
      <c r="DU105">
        <v>5.2092599999999996</v>
      </c>
      <c r="DV105">
        <v>11.8546</v>
      </c>
      <c r="DW105">
        <v>4.9667199999999996</v>
      </c>
      <c r="DX105">
        <v>3.2930000000000001</v>
      </c>
      <c r="DY105">
        <v>894.7</v>
      </c>
      <c r="DZ105">
        <v>6</v>
      </c>
      <c r="EA105">
        <v>9999</v>
      </c>
      <c r="EB105">
        <v>117.2</v>
      </c>
      <c r="EC105">
        <v>4.9716199999999997</v>
      </c>
      <c r="ED105">
        <v>1.87225</v>
      </c>
      <c r="EE105">
        <v>1.8695200000000001</v>
      </c>
      <c r="EF105">
        <v>1.8718399999999999</v>
      </c>
      <c r="EG105">
        <v>1.8696600000000001</v>
      </c>
      <c r="EH105">
        <v>1.8684400000000001</v>
      </c>
      <c r="EI105">
        <v>1.8702700000000001</v>
      </c>
      <c r="EJ105">
        <v>1.87195</v>
      </c>
      <c r="EK105">
        <v>0</v>
      </c>
      <c r="EL105">
        <v>0</v>
      </c>
      <c r="EM105">
        <v>0</v>
      </c>
      <c r="EN105">
        <v>0</v>
      </c>
      <c r="EO105" t="s">
        <v>320</v>
      </c>
      <c r="EP105" t="s">
        <v>321</v>
      </c>
      <c r="EQ105" t="s">
        <v>322</v>
      </c>
      <c r="ER105" t="s">
        <v>322</v>
      </c>
      <c r="ES105" t="s">
        <v>322</v>
      </c>
      <c r="ET105" t="s">
        <v>322</v>
      </c>
      <c r="EU105">
        <v>0</v>
      </c>
      <c r="EV105">
        <v>100</v>
      </c>
      <c r="EW105">
        <v>100</v>
      </c>
      <c r="EX105">
        <v>6.8630000000000004</v>
      </c>
      <c r="EY105">
        <v>-1.877</v>
      </c>
      <c r="EZ105">
        <v>6.8681954999999952</v>
      </c>
      <c r="FA105">
        <v>0</v>
      </c>
      <c r="FB105">
        <v>0</v>
      </c>
      <c r="FC105">
        <v>0</v>
      </c>
      <c r="FD105">
        <v>-1.867518</v>
      </c>
      <c r="FE105">
        <v>0</v>
      </c>
      <c r="FF105">
        <v>0</v>
      </c>
      <c r="FG105">
        <v>0</v>
      </c>
      <c r="FH105">
        <v>-1</v>
      </c>
      <c r="FI105">
        <v>-1</v>
      </c>
      <c r="FJ105">
        <v>-1</v>
      </c>
      <c r="FK105">
        <v>-1</v>
      </c>
      <c r="FL105">
        <v>0.6</v>
      </c>
      <c r="FM105">
        <v>0.5</v>
      </c>
      <c r="FN105">
        <v>0.14038100000000001</v>
      </c>
      <c r="FO105">
        <v>4.99756</v>
      </c>
      <c r="FP105">
        <v>1.5979000000000001</v>
      </c>
      <c r="FQ105">
        <v>2.1154799999999998</v>
      </c>
      <c r="FR105">
        <v>1.5478499999999999</v>
      </c>
      <c r="FS105">
        <v>2.5524900000000001</v>
      </c>
      <c r="FT105">
        <v>49.929600000000001</v>
      </c>
      <c r="FU105">
        <v>15.322800000000001</v>
      </c>
      <c r="FV105">
        <v>2</v>
      </c>
      <c r="FW105">
        <v>505.82</v>
      </c>
      <c r="FX105">
        <v>350.154</v>
      </c>
      <c r="FY105">
        <v>31.407399999999999</v>
      </c>
      <c r="FZ105">
        <v>39.529400000000003</v>
      </c>
      <c r="GA105">
        <v>30.0015</v>
      </c>
      <c r="GB105">
        <v>39.715899999999998</v>
      </c>
      <c r="GC105">
        <v>39.755400000000002</v>
      </c>
      <c r="GD105">
        <v>-1</v>
      </c>
      <c r="GE105">
        <v>0</v>
      </c>
      <c r="GF105">
        <v>100</v>
      </c>
      <c r="GG105">
        <v>31.349799999999998</v>
      </c>
      <c r="GH105">
        <v>432.1</v>
      </c>
      <c r="GI105">
        <v>42.4801</v>
      </c>
      <c r="GJ105">
        <v>100.749</v>
      </c>
      <c r="GK105">
        <v>95.202299999999994</v>
      </c>
    </row>
    <row r="106" spans="1:193" x14ac:dyDescent="0.35">
      <c r="A106">
        <v>90</v>
      </c>
      <c r="B106">
        <v>1775537367</v>
      </c>
      <c r="C106">
        <v>5340.9000000953674</v>
      </c>
      <c r="D106" t="s">
        <v>587</v>
      </c>
      <c r="E106" t="s">
        <v>588</v>
      </c>
      <c r="F106">
        <v>60</v>
      </c>
      <c r="G106">
        <v>1775537359.25</v>
      </c>
      <c r="H106">
        <f t="shared" si="30"/>
        <v>4.359018365228823E-3</v>
      </c>
      <c r="I106">
        <f t="shared" si="31"/>
        <v>4.359018365228823</v>
      </c>
      <c r="J106">
        <f t="shared" si="32"/>
        <v>-4.3485671951401246</v>
      </c>
      <c r="K106">
        <f t="shared" si="33"/>
        <v>-4.6292000000000026</v>
      </c>
      <c r="L106">
        <f t="shared" si="34"/>
        <v>68.081274256167319</v>
      </c>
      <c r="M106">
        <f t="shared" si="35"/>
        <v>6.8269203513554455</v>
      </c>
      <c r="N106">
        <f t="shared" si="36"/>
        <v>-0.46419782878302679</v>
      </c>
      <c r="O106">
        <f t="shared" si="37"/>
        <v>9.4382562015041749E-2</v>
      </c>
      <c r="P106">
        <f t="shared" si="38"/>
        <v>2.3937067312165006</v>
      </c>
      <c r="Q106">
        <f t="shared" si="39"/>
        <v>9.2362815465404258E-2</v>
      </c>
      <c r="R106">
        <f t="shared" si="40"/>
        <v>5.7904625980152502E-2</v>
      </c>
      <c r="S106">
        <f t="shared" si="41"/>
        <v>0.33156276789999994</v>
      </c>
      <c r="T106">
        <f t="shared" si="42"/>
        <v>31.851167381267906</v>
      </c>
      <c r="U106">
        <f t="shared" si="43"/>
        <v>33.035273333333329</v>
      </c>
      <c r="V106">
        <f t="shared" si="44"/>
        <v>5.0621286118600164</v>
      </c>
      <c r="W106">
        <f t="shared" si="45"/>
        <v>8.9984753912014153</v>
      </c>
      <c r="X106">
        <f t="shared" si="46"/>
        <v>0.45995565105325342</v>
      </c>
      <c r="Y106">
        <f t="shared" si="47"/>
        <v>5.1114842354627283</v>
      </c>
      <c r="Z106">
        <f t="shared" si="48"/>
        <v>4.6021729608067634</v>
      </c>
      <c r="AA106">
        <f t="shared" si="49"/>
        <v>-192.23270990659108</v>
      </c>
      <c r="AB106">
        <f t="shared" si="50"/>
        <v>22.304488403924196</v>
      </c>
      <c r="AC106">
        <f t="shared" si="51"/>
        <v>2.1365589578574036</v>
      </c>
      <c r="AD106">
        <f t="shared" si="52"/>
        <v>-167.46009977690949</v>
      </c>
      <c r="AE106">
        <v>7</v>
      </c>
      <c r="AF106">
        <v>1</v>
      </c>
      <c r="AG106">
        <f t="shared" si="53"/>
        <v>1</v>
      </c>
      <c r="AH106">
        <f t="shared" si="54"/>
        <v>0</v>
      </c>
      <c r="AI106">
        <f t="shared" si="55"/>
        <v>25081.152540622552</v>
      </c>
      <c r="AJ106">
        <f t="shared" si="56"/>
        <v>1.735022333333333</v>
      </c>
      <c r="AK106">
        <f t="shared" si="57"/>
        <v>1.3880178666666665</v>
      </c>
      <c r="AL106">
        <f t="shared" si="58"/>
        <v>0.8</v>
      </c>
      <c r="AM106">
        <f t="shared" si="59"/>
        <v>0.19109999999999999</v>
      </c>
      <c r="AN106">
        <v>3</v>
      </c>
      <c r="AO106">
        <v>0.5</v>
      </c>
      <c r="AP106" t="s">
        <v>317</v>
      </c>
      <c r="AQ106">
        <v>2</v>
      </c>
      <c r="AR106">
        <v>1775537359.25</v>
      </c>
      <c r="AS106">
        <v>-4.6292000000000026</v>
      </c>
      <c r="AT106">
        <v>-7.2498340000000017</v>
      </c>
      <c r="AU106">
        <v>4.5868950000000002</v>
      </c>
      <c r="AV106">
        <v>1.984089999999999</v>
      </c>
      <c r="AW106">
        <v>-11.452199999999999</v>
      </c>
      <c r="AX106">
        <v>3.861089999999999</v>
      </c>
      <c r="AY106">
        <v>500.11706666666669</v>
      </c>
      <c r="AZ106">
        <v>100.2284333333333</v>
      </c>
      <c r="BA106">
        <v>4.7603300000000001E-2</v>
      </c>
      <c r="BB106">
        <v>33.208109999999998</v>
      </c>
      <c r="BC106">
        <v>33.035273333333329</v>
      </c>
      <c r="BD106">
        <v>999.9000000000002</v>
      </c>
      <c r="BE106">
        <v>0</v>
      </c>
      <c r="BF106">
        <v>0</v>
      </c>
      <c r="BG106">
        <v>5003.2</v>
      </c>
      <c r="BH106">
        <v>1.735022333333333</v>
      </c>
      <c r="BI106">
        <v>1992.860666666666</v>
      </c>
      <c r="BJ106">
        <v>2.6608166666666668</v>
      </c>
      <c r="BK106">
        <v>-4.5981369999999986</v>
      </c>
      <c r="BL106">
        <v>-7.2832430000000006</v>
      </c>
      <c r="BM106">
        <v>-2.6027876666666661</v>
      </c>
      <c r="BN106">
        <v>-7.2498340000000017</v>
      </c>
      <c r="BO106">
        <v>4.5868950000000002</v>
      </c>
      <c r="BP106">
        <v>0.19886393333333341</v>
      </c>
      <c r="BQ106">
        <v>0.45973733333333328</v>
      </c>
      <c r="BR106">
        <v>-14.575986666666671</v>
      </c>
      <c r="BS106">
        <v>-3.911286333333333</v>
      </c>
      <c r="BT106">
        <v>1775537392</v>
      </c>
      <c r="BU106" t="s">
        <v>589</v>
      </c>
      <c r="BV106">
        <v>1775537384</v>
      </c>
      <c r="BW106">
        <v>1775537392</v>
      </c>
      <c r="BX106">
        <v>91</v>
      </c>
      <c r="BY106">
        <v>-0.04</v>
      </c>
      <c r="BZ106">
        <v>0</v>
      </c>
      <c r="CA106">
        <v>6.8230000000000004</v>
      </c>
      <c r="CB106">
        <v>-1.877</v>
      </c>
      <c r="CC106">
        <v>-9</v>
      </c>
      <c r="CD106">
        <v>5</v>
      </c>
      <c r="CE106">
        <v>0.33</v>
      </c>
      <c r="CF106">
        <v>0.03</v>
      </c>
      <c r="CG106">
        <v>-6.9683455737704909</v>
      </c>
      <c r="CH106">
        <v>-2.531803024854574</v>
      </c>
      <c r="CI106">
        <v>0.46353186438483451</v>
      </c>
      <c r="CJ106">
        <v>-1</v>
      </c>
      <c r="CK106">
        <v>500.94970491803281</v>
      </c>
      <c r="CL106">
        <v>-1.8956636700165579</v>
      </c>
      <c r="CM106">
        <v>1.834616039199289</v>
      </c>
      <c r="CN106">
        <v>-1</v>
      </c>
      <c r="CO106">
        <v>0</v>
      </c>
      <c r="CP106">
        <v>0</v>
      </c>
      <c r="CQ106" t="s">
        <v>319</v>
      </c>
      <c r="CR106">
        <v>3.16933</v>
      </c>
      <c r="CS106">
        <v>2.6690200000000002</v>
      </c>
      <c r="CT106">
        <v>-3.4618100000000001E-3</v>
      </c>
      <c r="CU106">
        <v>-2.3727900000000001E-3</v>
      </c>
      <c r="CV106">
        <v>2.6265799999999999E-2</v>
      </c>
      <c r="CW106">
        <v>3.04917E-2</v>
      </c>
      <c r="CX106">
        <v>21282.799999999999</v>
      </c>
      <c r="CY106">
        <v>21712.5</v>
      </c>
      <c r="CZ106">
        <v>22748.7</v>
      </c>
      <c r="DA106">
        <v>22035.5</v>
      </c>
      <c r="DB106">
        <v>28593.8</v>
      </c>
      <c r="DC106">
        <v>25425.599999999999</v>
      </c>
      <c r="DD106">
        <v>40043.4</v>
      </c>
      <c r="DE106">
        <v>36459.699999999997</v>
      </c>
      <c r="DF106">
        <v>1.9845600000000001</v>
      </c>
      <c r="DG106">
        <v>1.6038600000000001</v>
      </c>
      <c r="DH106">
        <v>-9.6768099999999996E-2</v>
      </c>
      <c r="DI106">
        <v>0</v>
      </c>
      <c r="DJ106">
        <v>34.586399999999998</v>
      </c>
      <c r="DK106">
        <v>999.9</v>
      </c>
      <c r="DL106">
        <v>50.4</v>
      </c>
      <c r="DM106">
        <v>45.9</v>
      </c>
      <c r="DN106">
        <v>50.758899999999997</v>
      </c>
      <c r="DO106">
        <v>30.444700000000001</v>
      </c>
      <c r="DP106">
        <v>10.5128</v>
      </c>
      <c r="DQ106">
        <v>1</v>
      </c>
      <c r="DR106">
        <v>1.0296000000000001</v>
      </c>
      <c r="DS106">
        <v>3.0989499999999999</v>
      </c>
      <c r="DT106">
        <v>20.324200000000001</v>
      </c>
      <c r="DU106">
        <v>5.2095000000000002</v>
      </c>
      <c r="DV106">
        <v>11.8546</v>
      </c>
      <c r="DW106">
        <v>4.9663599999999999</v>
      </c>
      <c r="DX106">
        <v>3.2930000000000001</v>
      </c>
      <c r="DY106">
        <v>894.7</v>
      </c>
      <c r="DZ106">
        <v>6</v>
      </c>
      <c r="EA106">
        <v>9999</v>
      </c>
      <c r="EB106">
        <v>117.2</v>
      </c>
      <c r="EC106">
        <v>4.9716300000000002</v>
      </c>
      <c r="ED106">
        <v>1.87225</v>
      </c>
      <c r="EE106">
        <v>1.86958</v>
      </c>
      <c r="EF106">
        <v>1.8718900000000001</v>
      </c>
      <c r="EG106">
        <v>1.8696600000000001</v>
      </c>
      <c r="EH106">
        <v>1.8684799999999999</v>
      </c>
      <c r="EI106">
        <v>1.8702799999999999</v>
      </c>
      <c r="EJ106">
        <v>1.8719600000000001</v>
      </c>
      <c r="EK106">
        <v>0</v>
      </c>
      <c r="EL106">
        <v>0</v>
      </c>
      <c r="EM106">
        <v>0</v>
      </c>
      <c r="EN106">
        <v>0</v>
      </c>
      <c r="EO106" t="s">
        <v>320</v>
      </c>
      <c r="EP106" t="s">
        <v>321</v>
      </c>
      <c r="EQ106" t="s">
        <v>322</v>
      </c>
      <c r="ER106" t="s">
        <v>322</v>
      </c>
      <c r="ES106" t="s">
        <v>322</v>
      </c>
      <c r="ET106" t="s">
        <v>322</v>
      </c>
      <c r="EU106">
        <v>0</v>
      </c>
      <c r="EV106">
        <v>100</v>
      </c>
      <c r="EW106">
        <v>100</v>
      </c>
      <c r="EX106">
        <v>6.8230000000000004</v>
      </c>
      <c r="EY106">
        <v>-1.877</v>
      </c>
      <c r="EZ106">
        <v>6.863184761904761</v>
      </c>
      <c r="FA106">
        <v>0</v>
      </c>
      <c r="FB106">
        <v>0</v>
      </c>
      <c r="FC106">
        <v>0</v>
      </c>
      <c r="FD106">
        <v>-1.8769838095238109</v>
      </c>
      <c r="FE106">
        <v>0</v>
      </c>
      <c r="FF106">
        <v>0</v>
      </c>
      <c r="FG106">
        <v>0</v>
      </c>
      <c r="FH106">
        <v>-1</v>
      </c>
      <c r="FI106">
        <v>-1</v>
      </c>
      <c r="FJ106">
        <v>-1</v>
      </c>
      <c r="FK106">
        <v>-1</v>
      </c>
      <c r="FL106">
        <v>0.7</v>
      </c>
      <c r="FM106">
        <v>0.4</v>
      </c>
      <c r="FN106">
        <v>0.14038100000000001</v>
      </c>
      <c r="FO106">
        <v>4.99756</v>
      </c>
      <c r="FP106">
        <v>1.5979000000000001</v>
      </c>
      <c r="FQ106">
        <v>2.1154799999999998</v>
      </c>
      <c r="FR106">
        <v>1.5478499999999999</v>
      </c>
      <c r="FS106">
        <v>2.4511699999999998</v>
      </c>
      <c r="FT106">
        <v>49.993600000000001</v>
      </c>
      <c r="FU106">
        <v>15.3141</v>
      </c>
      <c r="FV106">
        <v>2</v>
      </c>
      <c r="FW106">
        <v>505.28300000000002</v>
      </c>
      <c r="FX106">
        <v>349.767</v>
      </c>
      <c r="FY106">
        <v>31.113299999999999</v>
      </c>
      <c r="FZ106">
        <v>39.586799999999997</v>
      </c>
      <c r="GA106">
        <v>30.000299999999999</v>
      </c>
      <c r="GB106">
        <v>39.758099999999999</v>
      </c>
      <c r="GC106">
        <v>39.792900000000003</v>
      </c>
      <c r="GD106">
        <v>-1</v>
      </c>
      <c r="GE106">
        <v>0</v>
      </c>
      <c r="GF106">
        <v>100</v>
      </c>
      <c r="GG106">
        <v>31.110199999999999</v>
      </c>
      <c r="GH106">
        <v>432.1</v>
      </c>
      <c r="GI106">
        <v>42.4801</v>
      </c>
      <c r="GJ106">
        <v>100.738</v>
      </c>
      <c r="GK106">
        <v>95.194599999999994</v>
      </c>
    </row>
    <row r="107" spans="1:193" x14ac:dyDescent="0.35">
      <c r="A107">
        <v>91</v>
      </c>
      <c r="B107">
        <v>1775537427</v>
      </c>
      <c r="C107">
        <v>5400.9000000953674</v>
      </c>
      <c r="D107" t="s">
        <v>590</v>
      </c>
      <c r="E107" t="s">
        <v>591</v>
      </c>
      <c r="F107">
        <v>60</v>
      </c>
      <c r="G107">
        <v>1775537419</v>
      </c>
      <c r="H107">
        <f t="shared" si="30"/>
        <v>4.1764648665758367E-3</v>
      </c>
      <c r="I107">
        <f t="shared" si="31"/>
        <v>4.176464866575837</v>
      </c>
      <c r="J107">
        <f t="shared" si="32"/>
        <v>-3.7681011015084378</v>
      </c>
      <c r="K107">
        <f t="shared" si="33"/>
        <v>-6.9852709677419362</v>
      </c>
      <c r="L107">
        <f t="shared" si="34"/>
        <v>58.98875759533756</v>
      </c>
      <c r="M107">
        <f t="shared" si="35"/>
        <v>5.9150589027444216</v>
      </c>
      <c r="N107">
        <f t="shared" si="36"/>
        <v>-0.70044345584064061</v>
      </c>
      <c r="O107">
        <f t="shared" si="37"/>
        <v>9.0344012491904616E-2</v>
      </c>
      <c r="P107">
        <f t="shared" si="38"/>
        <v>2.3897207017043507</v>
      </c>
      <c r="Q107">
        <f t="shared" si="39"/>
        <v>8.8488565182173295E-2</v>
      </c>
      <c r="R107">
        <f t="shared" si="40"/>
        <v>5.5468883950139394E-2</v>
      </c>
      <c r="S107">
        <f t="shared" si="41"/>
        <v>0.33282980816129026</v>
      </c>
      <c r="T107">
        <f t="shared" si="42"/>
        <v>31.89411368792554</v>
      </c>
      <c r="U107">
        <f t="shared" si="43"/>
        <v>33.039177419354843</v>
      </c>
      <c r="V107">
        <f t="shared" si="44"/>
        <v>5.0632388772513268</v>
      </c>
      <c r="W107">
        <f t="shared" si="45"/>
        <v>9.0225187375736535</v>
      </c>
      <c r="X107">
        <f t="shared" si="46"/>
        <v>0.46087430351002545</v>
      </c>
      <c r="Y107">
        <f t="shared" si="47"/>
        <v>5.1080448477291203</v>
      </c>
      <c r="Z107">
        <f t="shared" si="48"/>
        <v>4.6023645737413013</v>
      </c>
      <c r="AA107">
        <f t="shared" si="49"/>
        <v>-184.18210061599439</v>
      </c>
      <c r="AB107">
        <f t="shared" si="50"/>
        <v>20.218723816707541</v>
      </c>
      <c r="AC107">
        <f t="shared" si="51"/>
        <v>1.9399159862313426</v>
      </c>
      <c r="AD107">
        <f t="shared" si="52"/>
        <v>-161.69063100489421</v>
      </c>
      <c r="AE107">
        <v>6</v>
      </c>
      <c r="AF107">
        <v>1</v>
      </c>
      <c r="AG107">
        <f t="shared" si="53"/>
        <v>1</v>
      </c>
      <c r="AH107">
        <f t="shared" si="54"/>
        <v>0</v>
      </c>
      <c r="AI107">
        <f t="shared" si="55"/>
        <v>25022.806976681441</v>
      </c>
      <c r="AJ107">
        <f t="shared" si="56"/>
        <v>1.741652580645161</v>
      </c>
      <c r="AK107">
        <f t="shared" si="57"/>
        <v>1.3933220645161288</v>
      </c>
      <c r="AL107">
        <f t="shared" si="58"/>
        <v>0.8</v>
      </c>
      <c r="AM107">
        <f t="shared" si="59"/>
        <v>0.19109999999999999</v>
      </c>
      <c r="AN107">
        <v>3</v>
      </c>
      <c r="AO107">
        <v>0.5</v>
      </c>
      <c r="AP107" t="s">
        <v>317</v>
      </c>
      <c r="AQ107">
        <v>2</v>
      </c>
      <c r="AR107">
        <v>1775537419</v>
      </c>
      <c r="AS107">
        <v>-6.9852709677419362</v>
      </c>
      <c r="AT107">
        <v>-9.2637493548387084</v>
      </c>
      <c r="AU107">
        <v>4.5961338709677424</v>
      </c>
      <c r="AV107">
        <v>2.101648064516128</v>
      </c>
      <c r="AW107">
        <v>-13.83427096774194</v>
      </c>
      <c r="AX107">
        <v>3.980648064516128</v>
      </c>
      <c r="AY107">
        <v>499.97509677419362</v>
      </c>
      <c r="AZ107">
        <v>100.2257096774194</v>
      </c>
      <c r="BA107">
        <v>4.8633161290322587E-2</v>
      </c>
      <c r="BB107">
        <v>33.19611290322581</v>
      </c>
      <c r="BC107">
        <v>33.039177419354843</v>
      </c>
      <c r="BD107">
        <v>999.90000000000032</v>
      </c>
      <c r="BE107">
        <v>0</v>
      </c>
      <c r="BF107">
        <v>0</v>
      </c>
      <c r="BG107">
        <v>4993.0806451612907</v>
      </c>
      <c r="BH107">
        <v>1.741652580645161</v>
      </c>
      <c r="BI107">
        <v>1988.868709677419</v>
      </c>
      <c r="BJ107">
        <v>2.2528719354838711</v>
      </c>
      <c r="BK107">
        <v>-7.0256567741935498</v>
      </c>
      <c r="BL107">
        <v>-9.3065245161290289</v>
      </c>
      <c r="BM107">
        <v>-2.4924216129032262</v>
      </c>
      <c r="BN107">
        <v>-9.2637493548387084</v>
      </c>
      <c r="BO107">
        <v>4.5961338709677424</v>
      </c>
      <c r="BP107">
        <v>0.2108460967741935</v>
      </c>
      <c r="BQ107">
        <v>0.46065093548387098</v>
      </c>
      <c r="BR107">
        <v>-13.862345161290319</v>
      </c>
      <c r="BS107">
        <v>-3.884829032258065</v>
      </c>
      <c r="BT107">
        <v>1775537455</v>
      </c>
      <c r="BU107" t="s">
        <v>592</v>
      </c>
      <c r="BV107">
        <v>1775537445</v>
      </c>
      <c r="BW107">
        <v>1775537455</v>
      </c>
      <c r="BX107">
        <v>92</v>
      </c>
      <c r="BY107">
        <v>2.5000000000000001E-2</v>
      </c>
      <c r="BZ107">
        <v>-2E-3</v>
      </c>
      <c r="CA107">
        <v>6.8490000000000002</v>
      </c>
      <c r="CB107">
        <v>-1.879</v>
      </c>
      <c r="CC107">
        <v>-9</v>
      </c>
      <c r="CD107">
        <v>5</v>
      </c>
      <c r="CE107">
        <v>0.2</v>
      </c>
      <c r="CF107">
        <v>0.03</v>
      </c>
      <c r="CG107">
        <v>-9.1759901639344275</v>
      </c>
      <c r="CH107">
        <v>-0.26234804865151767</v>
      </c>
      <c r="CI107">
        <v>0.19194023859466361</v>
      </c>
      <c r="CJ107">
        <v>-1</v>
      </c>
      <c r="CK107">
        <v>500.55488524590157</v>
      </c>
      <c r="CL107">
        <v>-6.0907265996827533</v>
      </c>
      <c r="CM107">
        <v>1.558196552116651</v>
      </c>
      <c r="CN107">
        <v>-1</v>
      </c>
      <c r="CO107">
        <v>0</v>
      </c>
      <c r="CP107">
        <v>0</v>
      </c>
      <c r="CQ107" t="s">
        <v>319</v>
      </c>
      <c r="CR107">
        <v>3.16926</v>
      </c>
      <c r="CS107">
        <v>2.6701100000000002</v>
      </c>
      <c r="CT107">
        <v>-4.0036400000000002E-3</v>
      </c>
      <c r="CU107">
        <v>-2.5587100000000001E-3</v>
      </c>
      <c r="CV107">
        <v>2.7167199999999999E-2</v>
      </c>
      <c r="CW107">
        <v>3.0535799999999998E-2</v>
      </c>
      <c r="CX107">
        <v>21293.1</v>
      </c>
      <c r="CY107">
        <v>21716.1</v>
      </c>
      <c r="CZ107">
        <v>22747.599999999999</v>
      </c>
      <c r="DA107">
        <v>22035.200000000001</v>
      </c>
      <c r="DB107">
        <v>28565.8</v>
      </c>
      <c r="DC107">
        <v>25423.9</v>
      </c>
      <c r="DD107">
        <v>40041.4</v>
      </c>
      <c r="DE107">
        <v>36458.9</v>
      </c>
      <c r="DF107">
        <v>1.98516</v>
      </c>
      <c r="DG107">
        <v>1.60426</v>
      </c>
      <c r="DH107">
        <v>-9.4711799999999999E-2</v>
      </c>
      <c r="DI107">
        <v>0</v>
      </c>
      <c r="DJ107">
        <v>34.570700000000002</v>
      </c>
      <c r="DK107">
        <v>999.9</v>
      </c>
      <c r="DL107">
        <v>50.3</v>
      </c>
      <c r="DM107">
        <v>46</v>
      </c>
      <c r="DN107">
        <v>50.924999999999997</v>
      </c>
      <c r="DO107">
        <v>30.774699999999999</v>
      </c>
      <c r="DP107">
        <v>10.536899999999999</v>
      </c>
      <c r="DQ107">
        <v>1</v>
      </c>
      <c r="DR107">
        <v>1.0296099999999999</v>
      </c>
      <c r="DS107">
        <v>2.86408</v>
      </c>
      <c r="DT107">
        <v>20.328600000000002</v>
      </c>
      <c r="DU107">
        <v>5.2078300000000004</v>
      </c>
      <c r="DV107">
        <v>11.854200000000001</v>
      </c>
      <c r="DW107">
        <v>4.9668000000000001</v>
      </c>
      <c r="DX107">
        <v>3.2924600000000002</v>
      </c>
      <c r="DY107">
        <v>894.7</v>
      </c>
      <c r="DZ107">
        <v>6</v>
      </c>
      <c r="EA107">
        <v>9999</v>
      </c>
      <c r="EB107">
        <v>117.2</v>
      </c>
      <c r="EC107">
        <v>4.9716100000000001</v>
      </c>
      <c r="ED107">
        <v>1.87225</v>
      </c>
      <c r="EE107">
        <v>1.86961</v>
      </c>
      <c r="EF107">
        <v>1.87188</v>
      </c>
      <c r="EG107">
        <v>1.8696600000000001</v>
      </c>
      <c r="EH107">
        <v>1.8684499999999999</v>
      </c>
      <c r="EI107">
        <v>1.8702700000000001</v>
      </c>
      <c r="EJ107">
        <v>1.87195</v>
      </c>
      <c r="EK107">
        <v>0</v>
      </c>
      <c r="EL107">
        <v>0</v>
      </c>
      <c r="EM107">
        <v>0</v>
      </c>
      <c r="EN107">
        <v>0</v>
      </c>
      <c r="EO107" t="s">
        <v>320</v>
      </c>
      <c r="EP107" t="s">
        <v>321</v>
      </c>
      <c r="EQ107" t="s">
        <v>322</v>
      </c>
      <c r="ER107" t="s">
        <v>322</v>
      </c>
      <c r="ES107" t="s">
        <v>322</v>
      </c>
      <c r="ET107" t="s">
        <v>322</v>
      </c>
      <c r="EU107">
        <v>0</v>
      </c>
      <c r="EV107">
        <v>100</v>
      </c>
      <c r="EW107">
        <v>100</v>
      </c>
      <c r="EX107">
        <v>6.8490000000000002</v>
      </c>
      <c r="EY107">
        <v>-1.879</v>
      </c>
      <c r="EZ107">
        <v>6.8233855000000014</v>
      </c>
      <c r="FA107">
        <v>0</v>
      </c>
      <c r="FB107">
        <v>0</v>
      </c>
      <c r="FC107">
        <v>0</v>
      </c>
      <c r="FD107">
        <v>-1.8769355000000001</v>
      </c>
      <c r="FE107">
        <v>0</v>
      </c>
      <c r="FF107">
        <v>0</v>
      </c>
      <c r="FG107">
        <v>0</v>
      </c>
      <c r="FH107">
        <v>-1</v>
      </c>
      <c r="FI107">
        <v>-1</v>
      </c>
      <c r="FJ107">
        <v>-1</v>
      </c>
      <c r="FK107">
        <v>-1</v>
      </c>
      <c r="FL107">
        <v>0.7</v>
      </c>
      <c r="FM107">
        <v>0.6</v>
      </c>
      <c r="FN107">
        <v>0.14038100000000001</v>
      </c>
      <c r="FO107">
        <v>4.99756</v>
      </c>
      <c r="FP107">
        <v>1.5979000000000001</v>
      </c>
      <c r="FQ107">
        <v>2.1142599999999998</v>
      </c>
      <c r="FR107">
        <v>1.5478499999999999</v>
      </c>
      <c r="FS107">
        <v>2.5122100000000001</v>
      </c>
      <c r="FT107">
        <v>50.0578</v>
      </c>
      <c r="FU107">
        <v>15.3141</v>
      </c>
      <c r="FV107">
        <v>2</v>
      </c>
      <c r="FW107">
        <v>505.79500000000002</v>
      </c>
      <c r="FX107">
        <v>350.05500000000001</v>
      </c>
      <c r="FY107">
        <v>31.271000000000001</v>
      </c>
      <c r="FZ107">
        <v>39.61</v>
      </c>
      <c r="GA107">
        <v>30.0001</v>
      </c>
      <c r="GB107">
        <v>39.7789</v>
      </c>
      <c r="GC107">
        <v>39.808199999999999</v>
      </c>
      <c r="GD107">
        <v>-1</v>
      </c>
      <c r="GE107">
        <v>0</v>
      </c>
      <c r="GF107">
        <v>100</v>
      </c>
      <c r="GG107">
        <v>31.272300000000001</v>
      </c>
      <c r="GH107">
        <v>432.1</v>
      </c>
      <c r="GI107">
        <v>42.4801</v>
      </c>
      <c r="GJ107">
        <v>100.732</v>
      </c>
      <c r="GK107">
        <v>95.192899999999995</v>
      </c>
    </row>
    <row r="108" spans="1:193" x14ac:dyDescent="0.35">
      <c r="A108">
        <v>92</v>
      </c>
      <c r="B108">
        <v>1775537487</v>
      </c>
      <c r="C108">
        <v>5460.9000000953674</v>
      </c>
      <c r="D108" t="s">
        <v>593</v>
      </c>
      <c r="E108" t="s">
        <v>594</v>
      </c>
      <c r="F108">
        <v>60</v>
      </c>
      <c r="G108">
        <v>1775537479</v>
      </c>
      <c r="H108">
        <f t="shared" si="30"/>
        <v>4.3685829308211747E-3</v>
      </c>
      <c r="I108">
        <f t="shared" si="31"/>
        <v>4.3685829308211748</v>
      </c>
      <c r="J108">
        <f t="shared" si="32"/>
        <v>-3.9228673486291861</v>
      </c>
      <c r="K108">
        <f t="shared" si="33"/>
        <v>-6.8160838709677396</v>
      </c>
      <c r="L108">
        <f t="shared" si="34"/>
        <v>58.775352358462854</v>
      </c>
      <c r="M108">
        <f t="shared" si="35"/>
        <v>5.8934746891713541</v>
      </c>
      <c r="N108">
        <f t="shared" si="36"/>
        <v>-0.68345686007671347</v>
      </c>
      <c r="O108">
        <f t="shared" si="37"/>
        <v>9.4669408828663981E-2</v>
      </c>
      <c r="P108">
        <f t="shared" si="38"/>
        <v>2.393539933869409</v>
      </c>
      <c r="Q108">
        <f t="shared" si="39"/>
        <v>9.2637370898719693E-2</v>
      </c>
      <c r="R108">
        <f t="shared" si="40"/>
        <v>5.8077294551048778E-2</v>
      </c>
      <c r="S108">
        <f t="shared" si="41"/>
        <v>0.33612283103225804</v>
      </c>
      <c r="T108">
        <f t="shared" si="42"/>
        <v>31.841089821982543</v>
      </c>
      <c r="U108">
        <f t="shared" si="43"/>
        <v>33.032364516129043</v>
      </c>
      <c r="V108">
        <f t="shared" si="44"/>
        <v>5.0613015241850876</v>
      </c>
      <c r="W108">
        <f t="shared" si="45"/>
        <v>9.0612254084544581</v>
      </c>
      <c r="X108">
        <f t="shared" si="46"/>
        <v>0.4629803995848788</v>
      </c>
      <c r="Y108">
        <f t="shared" si="47"/>
        <v>5.109467855781415</v>
      </c>
      <c r="Z108">
        <f t="shared" si="48"/>
        <v>4.5983211246002087</v>
      </c>
      <c r="AA108">
        <f t="shared" si="49"/>
        <v>-192.65450724921379</v>
      </c>
      <c r="AB108">
        <f t="shared" si="50"/>
        <v>21.770801592150143</v>
      </c>
      <c r="AC108">
        <f t="shared" si="51"/>
        <v>2.0854805363500812</v>
      </c>
      <c r="AD108">
        <f t="shared" si="52"/>
        <v>-168.4621022896813</v>
      </c>
      <c r="AE108">
        <v>7</v>
      </c>
      <c r="AF108">
        <v>1</v>
      </c>
      <c r="AG108">
        <f t="shared" si="53"/>
        <v>1</v>
      </c>
      <c r="AH108">
        <f t="shared" si="54"/>
        <v>0</v>
      </c>
      <c r="AI108">
        <f t="shared" si="55"/>
        <v>25079.470866993015</v>
      </c>
      <c r="AJ108">
        <f t="shared" si="56"/>
        <v>1.7588845161290321</v>
      </c>
      <c r="AK108">
        <f t="shared" si="57"/>
        <v>1.4071076129032258</v>
      </c>
      <c r="AL108">
        <f t="shared" si="58"/>
        <v>0.8</v>
      </c>
      <c r="AM108">
        <f t="shared" si="59"/>
        <v>0.19109999999999999</v>
      </c>
      <c r="AN108">
        <v>3</v>
      </c>
      <c r="AO108">
        <v>0.5</v>
      </c>
      <c r="AP108" t="s">
        <v>317</v>
      </c>
      <c r="AQ108">
        <v>2</v>
      </c>
      <c r="AR108">
        <v>1775537479</v>
      </c>
      <c r="AS108">
        <v>-6.8160838709677396</v>
      </c>
      <c r="AT108">
        <v>-9.1877912903225827</v>
      </c>
      <c r="AU108">
        <v>4.6172822580645159</v>
      </c>
      <c r="AV108">
        <v>2.0081019354838712</v>
      </c>
      <c r="AW108">
        <v>-13.679083870967739</v>
      </c>
      <c r="AX108">
        <v>3.8911019354838712</v>
      </c>
      <c r="AY108">
        <v>499.97448387096779</v>
      </c>
      <c r="AZ108">
        <v>100.22254838709679</v>
      </c>
      <c r="BA108">
        <v>4.8644429032258053E-2</v>
      </c>
      <c r="BB108">
        <v>33.201077419354831</v>
      </c>
      <c r="BC108">
        <v>33.032364516129043</v>
      </c>
      <c r="BD108">
        <v>999.90000000000032</v>
      </c>
      <c r="BE108">
        <v>0</v>
      </c>
      <c r="BF108">
        <v>0</v>
      </c>
      <c r="BG108">
        <v>5003.0645161290322</v>
      </c>
      <c r="BH108">
        <v>1.7588845161290321</v>
      </c>
      <c r="BI108">
        <v>1997.516129032258</v>
      </c>
      <c r="BJ108">
        <v>2.3574454838709671</v>
      </c>
      <c r="BK108">
        <v>-6.8441119354838698</v>
      </c>
      <c r="BL108">
        <v>-9.2304100000000027</v>
      </c>
      <c r="BM108">
        <v>-2.605537096774194</v>
      </c>
      <c r="BN108">
        <v>-9.1877912903225827</v>
      </c>
      <c r="BO108">
        <v>4.6172822580645159</v>
      </c>
      <c r="BP108">
        <v>0.20162232258064519</v>
      </c>
      <c r="BQ108">
        <v>0.4627558709677419</v>
      </c>
      <c r="BR108">
        <v>-14.408177419354841</v>
      </c>
      <c r="BS108">
        <v>-3.824052258064516</v>
      </c>
      <c r="BT108">
        <v>1775537516</v>
      </c>
      <c r="BU108" t="s">
        <v>595</v>
      </c>
      <c r="BV108">
        <v>1775537505</v>
      </c>
      <c r="BW108">
        <v>1775537516</v>
      </c>
      <c r="BX108">
        <v>93</v>
      </c>
      <c r="BY108">
        <v>1.4E-2</v>
      </c>
      <c r="BZ108">
        <v>-4.0000000000000001E-3</v>
      </c>
      <c r="CA108">
        <v>6.8630000000000004</v>
      </c>
      <c r="CB108">
        <v>-1.883</v>
      </c>
      <c r="CC108">
        <v>-9</v>
      </c>
      <c r="CD108">
        <v>5</v>
      </c>
      <c r="CE108">
        <v>0.18</v>
      </c>
      <c r="CF108">
        <v>0.04</v>
      </c>
      <c r="CG108">
        <v>-9.0682685245901631</v>
      </c>
      <c r="CH108">
        <v>-0.95828408249603247</v>
      </c>
      <c r="CI108">
        <v>0.14557515593566109</v>
      </c>
      <c r="CJ108">
        <v>-1</v>
      </c>
      <c r="CK108">
        <v>500.96163934426221</v>
      </c>
      <c r="CL108">
        <v>-8.9754732945533195</v>
      </c>
      <c r="CM108">
        <v>1.916866774343791</v>
      </c>
      <c r="CN108">
        <v>-1</v>
      </c>
      <c r="CO108">
        <v>0</v>
      </c>
      <c r="CP108">
        <v>0</v>
      </c>
      <c r="CQ108" t="s">
        <v>319</v>
      </c>
      <c r="CR108">
        <v>3.1692399999999998</v>
      </c>
      <c r="CS108">
        <v>2.6693099999999998</v>
      </c>
      <c r="CT108">
        <v>-3.98993E-3</v>
      </c>
      <c r="CU108">
        <v>-2.7213599999999999E-3</v>
      </c>
      <c r="CV108">
        <v>2.6512000000000001E-2</v>
      </c>
      <c r="CW108">
        <v>3.0654399999999998E-2</v>
      </c>
      <c r="CX108">
        <v>21291.200000000001</v>
      </c>
      <c r="CY108">
        <v>21717.8</v>
      </c>
      <c r="CZ108">
        <v>22745.9</v>
      </c>
      <c r="DA108">
        <v>22033.5</v>
      </c>
      <c r="DB108">
        <v>28583.200000000001</v>
      </c>
      <c r="DC108">
        <v>25418.799999999999</v>
      </c>
      <c r="DD108">
        <v>40038.9</v>
      </c>
      <c r="DE108">
        <v>36456.1</v>
      </c>
      <c r="DF108">
        <v>1.9843999999999999</v>
      </c>
      <c r="DG108">
        <v>1.6034999999999999</v>
      </c>
      <c r="DH108">
        <v>-9.6231700000000003E-2</v>
      </c>
      <c r="DI108">
        <v>0</v>
      </c>
      <c r="DJ108">
        <v>34.581400000000002</v>
      </c>
      <c r="DK108">
        <v>999.9</v>
      </c>
      <c r="DL108">
        <v>50.1</v>
      </c>
      <c r="DM108">
        <v>46.1</v>
      </c>
      <c r="DN108">
        <v>50.981699999999996</v>
      </c>
      <c r="DO108">
        <v>30.4147</v>
      </c>
      <c r="DP108">
        <v>10.164300000000001</v>
      </c>
      <c r="DQ108">
        <v>1</v>
      </c>
      <c r="DR108">
        <v>1.03332</v>
      </c>
      <c r="DS108">
        <v>3.0126300000000001</v>
      </c>
      <c r="DT108">
        <v>20.325900000000001</v>
      </c>
      <c r="DU108">
        <v>5.2031499999999999</v>
      </c>
      <c r="DV108">
        <v>11.854900000000001</v>
      </c>
      <c r="DW108">
        <v>4.9668400000000004</v>
      </c>
      <c r="DX108">
        <v>3.2924600000000002</v>
      </c>
      <c r="DY108">
        <v>894.7</v>
      </c>
      <c r="DZ108">
        <v>6</v>
      </c>
      <c r="EA108">
        <v>9999</v>
      </c>
      <c r="EB108">
        <v>117.3</v>
      </c>
      <c r="EC108">
        <v>4.97159</v>
      </c>
      <c r="ED108">
        <v>1.8722300000000001</v>
      </c>
      <c r="EE108">
        <v>1.8695600000000001</v>
      </c>
      <c r="EF108">
        <v>1.8718300000000001</v>
      </c>
      <c r="EG108">
        <v>1.8696600000000001</v>
      </c>
      <c r="EH108">
        <v>1.8684499999999999</v>
      </c>
      <c r="EI108">
        <v>1.8702700000000001</v>
      </c>
      <c r="EJ108">
        <v>1.87195</v>
      </c>
      <c r="EK108">
        <v>0</v>
      </c>
      <c r="EL108">
        <v>0</v>
      </c>
      <c r="EM108">
        <v>0</v>
      </c>
      <c r="EN108">
        <v>0</v>
      </c>
      <c r="EO108" t="s">
        <v>320</v>
      </c>
      <c r="EP108" t="s">
        <v>321</v>
      </c>
      <c r="EQ108" t="s">
        <v>322</v>
      </c>
      <c r="ER108" t="s">
        <v>322</v>
      </c>
      <c r="ES108" t="s">
        <v>322</v>
      </c>
      <c r="ET108" t="s">
        <v>322</v>
      </c>
      <c r="EU108">
        <v>0</v>
      </c>
      <c r="EV108">
        <v>100</v>
      </c>
      <c r="EW108">
        <v>100</v>
      </c>
      <c r="EX108">
        <v>6.8630000000000004</v>
      </c>
      <c r="EY108">
        <v>-1.883</v>
      </c>
      <c r="EZ108">
        <v>6.8487405000000026</v>
      </c>
      <c r="FA108">
        <v>0</v>
      </c>
      <c r="FB108">
        <v>0</v>
      </c>
      <c r="FC108">
        <v>0</v>
      </c>
      <c r="FD108">
        <v>-1.879356</v>
      </c>
      <c r="FE108">
        <v>0</v>
      </c>
      <c r="FF108">
        <v>0</v>
      </c>
      <c r="FG108">
        <v>0</v>
      </c>
      <c r="FH108">
        <v>-1</v>
      </c>
      <c r="FI108">
        <v>-1</v>
      </c>
      <c r="FJ108">
        <v>-1</v>
      </c>
      <c r="FK108">
        <v>-1</v>
      </c>
      <c r="FL108">
        <v>0.7</v>
      </c>
      <c r="FM108">
        <v>0.5</v>
      </c>
      <c r="FN108">
        <v>0.14038100000000001</v>
      </c>
      <c r="FO108">
        <v>4.99756</v>
      </c>
      <c r="FP108">
        <v>1.5979000000000001</v>
      </c>
      <c r="FQ108">
        <v>2.1142599999999998</v>
      </c>
      <c r="FR108">
        <v>1.5478499999999999</v>
      </c>
      <c r="FS108">
        <v>2.51709</v>
      </c>
      <c r="FT108">
        <v>50.0578</v>
      </c>
      <c r="FU108">
        <v>15.305300000000001</v>
      </c>
      <c r="FV108">
        <v>2</v>
      </c>
      <c r="FW108">
        <v>505.49799999999999</v>
      </c>
      <c r="FX108">
        <v>349.76900000000001</v>
      </c>
      <c r="FY108">
        <v>31.164300000000001</v>
      </c>
      <c r="FZ108">
        <v>39.6357</v>
      </c>
      <c r="GA108">
        <v>30.0002</v>
      </c>
      <c r="GB108">
        <v>39.805100000000003</v>
      </c>
      <c r="GC108">
        <v>39.835000000000001</v>
      </c>
      <c r="GD108">
        <v>-1</v>
      </c>
      <c r="GE108">
        <v>0</v>
      </c>
      <c r="GF108">
        <v>100</v>
      </c>
      <c r="GG108">
        <v>31.2163</v>
      </c>
      <c r="GH108">
        <v>432.1</v>
      </c>
      <c r="GI108">
        <v>42.4801</v>
      </c>
      <c r="GJ108">
        <v>100.726</v>
      </c>
      <c r="GK108">
        <v>95.185500000000005</v>
      </c>
    </row>
    <row r="109" spans="1:193" x14ac:dyDescent="0.35">
      <c r="A109">
        <v>93</v>
      </c>
      <c r="B109">
        <v>1775537547</v>
      </c>
      <c r="C109">
        <v>5520.9000000953674</v>
      </c>
      <c r="D109" t="s">
        <v>596</v>
      </c>
      <c r="E109" t="s">
        <v>597</v>
      </c>
      <c r="F109">
        <v>60</v>
      </c>
      <c r="G109">
        <v>1775537539</v>
      </c>
      <c r="H109">
        <f t="shared" si="30"/>
        <v>4.2905392885937898E-3</v>
      </c>
      <c r="I109">
        <f t="shared" si="31"/>
        <v>4.2905392885937896</v>
      </c>
      <c r="J109">
        <f t="shared" si="32"/>
        <v>-3.7556863662657443</v>
      </c>
      <c r="K109">
        <f t="shared" si="33"/>
        <v>-7.068935483870967</v>
      </c>
      <c r="L109">
        <f t="shared" si="34"/>
        <v>56.925456025552521</v>
      </c>
      <c r="M109">
        <f t="shared" si="35"/>
        <v>5.7079076724875382</v>
      </c>
      <c r="N109">
        <f t="shared" si="36"/>
        <v>-0.70880119197630753</v>
      </c>
      <c r="O109">
        <f t="shared" si="37"/>
        <v>9.2908363259470925E-2</v>
      </c>
      <c r="P109">
        <f t="shared" si="38"/>
        <v>2.3934140244969733</v>
      </c>
      <c r="Q109">
        <f t="shared" si="39"/>
        <v>9.0950279248617177E-2</v>
      </c>
      <c r="R109">
        <f t="shared" si="40"/>
        <v>5.7016413471798019E-2</v>
      </c>
      <c r="S109">
        <f t="shared" si="41"/>
        <v>0.33932227654838704</v>
      </c>
      <c r="T109">
        <f t="shared" si="42"/>
        <v>31.865745107259812</v>
      </c>
      <c r="U109">
        <f t="shared" si="43"/>
        <v>33.053645161290312</v>
      </c>
      <c r="V109">
        <f t="shared" si="44"/>
        <v>5.0673551406222632</v>
      </c>
      <c r="W109">
        <f t="shared" si="45"/>
        <v>9.1539222776172089</v>
      </c>
      <c r="X109">
        <f t="shared" si="46"/>
        <v>0.46772611258512742</v>
      </c>
      <c r="Y109">
        <f t="shared" si="47"/>
        <v>5.1095705032234315</v>
      </c>
      <c r="Z109">
        <f t="shared" si="48"/>
        <v>4.5996290280371355</v>
      </c>
      <c r="AA109">
        <f t="shared" si="49"/>
        <v>-189.21278262698613</v>
      </c>
      <c r="AB109">
        <f t="shared" si="50"/>
        <v>19.069937598564493</v>
      </c>
      <c r="AC109">
        <f t="shared" si="51"/>
        <v>1.8270476735505385</v>
      </c>
      <c r="AD109">
        <f t="shared" si="52"/>
        <v>-167.97647507832272</v>
      </c>
      <c r="AE109">
        <v>6</v>
      </c>
      <c r="AF109">
        <v>1</v>
      </c>
      <c r="AG109">
        <f t="shared" si="53"/>
        <v>1</v>
      </c>
      <c r="AH109">
        <f t="shared" si="54"/>
        <v>0</v>
      </c>
      <c r="AI109">
        <f t="shared" si="55"/>
        <v>25077.640764475218</v>
      </c>
      <c r="AJ109">
        <f t="shared" si="56"/>
        <v>1.7756267741935481</v>
      </c>
      <c r="AK109">
        <f t="shared" si="57"/>
        <v>1.4205014193548386</v>
      </c>
      <c r="AL109">
        <f t="shared" si="58"/>
        <v>0.8</v>
      </c>
      <c r="AM109">
        <f t="shared" si="59"/>
        <v>0.19109999999999999</v>
      </c>
      <c r="AN109">
        <v>3</v>
      </c>
      <c r="AO109">
        <v>0.5</v>
      </c>
      <c r="AP109" t="s">
        <v>317</v>
      </c>
      <c r="AQ109">
        <v>2</v>
      </c>
      <c r="AR109">
        <v>1775537539</v>
      </c>
      <c r="AS109">
        <v>-7.068935483870967</v>
      </c>
      <c r="AT109">
        <v>-9.3405790322580646</v>
      </c>
      <c r="AU109">
        <v>4.6646729032258056</v>
      </c>
      <c r="AV109">
        <v>2.10231935483871</v>
      </c>
      <c r="AW109">
        <v>-13.97193548387097</v>
      </c>
      <c r="AX109">
        <v>3.98931935483871</v>
      </c>
      <c r="AY109">
        <v>499.99251612903231</v>
      </c>
      <c r="AZ109">
        <v>100.22058064516121</v>
      </c>
      <c r="BA109">
        <v>4.9282277419354842E-2</v>
      </c>
      <c r="BB109">
        <v>33.201435483870959</v>
      </c>
      <c r="BC109">
        <v>33.053645161290312</v>
      </c>
      <c r="BD109">
        <v>999.90000000000032</v>
      </c>
      <c r="BE109">
        <v>0</v>
      </c>
      <c r="BF109">
        <v>0</v>
      </c>
      <c r="BG109">
        <v>5002.8387096774204</v>
      </c>
      <c r="BH109">
        <v>1.7756267741935481</v>
      </c>
      <c r="BI109">
        <v>2007.4335483870971</v>
      </c>
      <c r="BJ109">
        <v>2.2313835483870972</v>
      </c>
      <c r="BK109">
        <v>-7.1242016129032271</v>
      </c>
      <c r="BL109">
        <v>-9.3843538709677414</v>
      </c>
      <c r="BM109">
        <v>-2.5582232258064521</v>
      </c>
      <c r="BN109">
        <v>-9.3405790322580646</v>
      </c>
      <c r="BO109">
        <v>4.6646729032258056</v>
      </c>
      <c r="BP109">
        <v>0.21110961290322591</v>
      </c>
      <c r="BQ109">
        <v>0.46749625806451622</v>
      </c>
      <c r="BR109">
        <v>-13.847074193548391</v>
      </c>
      <c r="BS109">
        <v>-3.688074838709678</v>
      </c>
      <c r="BT109">
        <v>1775537575</v>
      </c>
      <c r="BU109" t="s">
        <v>598</v>
      </c>
      <c r="BV109">
        <v>1775537568</v>
      </c>
      <c r="BW109">
        <v>1775537575</v>
      </c>
      <c r="BX109">
        <v>94</v>
      </c>
      <c r="BY109">
        <v>0.04</v>
      </c>
      <c r="BZ109">
        <v>-5.0000000000000001E-3</v>
      </c>
      <c r="CA109">
        <v>6.9029999999999996</v>
      </c>
      <c r="CB109">
        <v>-1.887</v>
      </c>
      <c r="CC109">
        <v>-9</v>
      </c>
      <c r="CD109">
        <v>5</v>
      </c>
      <c r="CE109">
        <v>0.19</v>
      </c>
      <c r="CF109">
        <v>0.02</v>
      </c>
      <c r="CG109">
        <v>-9.3259808196721323</v>
      </c>
      <c r="CH109">
        <v>-0.24803771549447171</v>
      </c>
      <c r="CI109">
        <v>7.5821968210160323E-2</v>
      </c>
      <c r="CJ109">
        <v>-1</v>
      </c>
      <c r="CK109">
        <v>500.95229508196718</v>
      </c>
      <c r="CL109">
        <v>-8.2147202538339883</v>
      </c>
      <c r="CM109">
        <v>1.917056361522663</v>
      </c>
      <c r="CN109">
        <v>-1</v>
      </c>
      <c r="CO109">
        <v>0</v>
      </c>
      <c r="CP109">
        <v>0</v>
      </c>
      <c r="CQ109" t="s">
        <v>319</v>
      </c>
      <c r="CR109">
        <v>3.1692800000000001</v>
      </c>
      <c r="CS109">
        <v>2.6705700000000001</v>
      </c>
      <c r="CT109">
        <v>-4.0448200000000002E-3</v>
      </c>
      <c r="CU109">
        <v>-2.69711E-3</v>
      </c>
      <c r="CV109">
        <v>2.70846E-2</v>
      </c>
      <c r="CW109">
        <v>3.09486E-2</v>
      </c>
      <c r="CX109">
        <v>21290.799999999999</v>
      </c>
      <c r="CY109">
        <v>21716.1</v>
      </c>
      <c r="CZ109">
        <v>22744.3</v>
      </c>
      <c r="DA109">
        <v>22032.3</v>
      </c>
      <c r="DB109">
        <v>28564.799999999999</v>
      </c>
      <c r="DC109">
        <v>25409.599999999999</v>
      </c>
      <c r="DD109">
        <v>40036.699999999997</v>
      </c>
      <c r="DE109">
        <v>36454.1</v>
      </c>
      <c r="DF109">
        <v>1.9843200000000001</v>
      </c>
      <c r="DG109">
        <v>1.60182</v>
      </c>
      <c r="DH109">
        <v>-9.5456799999999994E-2</v>
      </c>
      <c r="DI109">
        <v>0</v>
      </c>
      <c r="DJ109">
        <v>34.596899999999998</v>
      </c>
      <c r="DK109">
        <v>999.9</v>
      </c>
      <c r="DL109">
        <v>50</v>
      </c>
      <c r="DM109">
        <v>46.2</v>
      </c>
      <c r="DN109">
        <v>51.143900000000002</v>
      </c>
      <c r="DO109">
        <v>30.744700000000002</v>
      </c>
      <c r="DP109">
        <v>10.588900000000001</v>
      </c>
      <c r="DQ109">
        <v>1</v>
      </c>
      <c r="DR109">
        <v>1.03633</v>
      </c>
      <c r="DS109">
        <v>3.0574499999999998</v>
      </c>
      <c r="DT109">
        <v>20.325500000000002</v>
      </c>
      <c r="DU109">
        <v>5.2100999999999997</v>
      </c>
      <c r="DV109">
        <v>11.8574</v>
      </c>
      <c r="DW109">
        <v>4.9656399999999996</v>
      </c>
      <c r="DX109">
        <v>3.2928199999999999</v>
      </c>
      <c r="DY109">
        <v>894.7</v>
      </c>
      <c r="DZ109">
        <v>6</v>
      </c>
      <c r="EA109">
        <v>9999</v>
      </c>
      <c r="EB109">
        <v>117.3</v>
      </c>
      <c r="EC109">
        <v>4.9716100000000001</v>
      </c>
      <c r="ED109">
        <v>1.87225</v>
      </c>
      <c r="EE109">
        <v>1.8695600000000001</v>
      </c>
      <c r="EF109">
        <v>1.8718399999999999</v>
      </c>
      <c r="EG109">
        <v>1.8696600000000001</v>
      </c>
      <c r="EH109">
        <v>1.86846</v>
      </c>
      <c r="EI109">
        <v>1.8702700000000001</v>
      </c>
      <c r="EJ109">
        <v>1.8719600000000001</v>
      </c>
      <c r="EK109">
        <v>0</v>
      </c>
      <c r="EL109">
        <v>0</v>
      </c>
      <c r="EM109">
        <v>0</v>
      </c>
      <c r="EN109">
        <v>0</v>
      </c>
      <c r="EO109" t="s">
        <v>320</v>
      </c>
      <c r="EP109" t="s">
        <v>321</v>
      </c>
      <c r="EQ109" t="s">
        <v>322</v>
      </c>
      <c r="ER109" t="s">
        <v>322</v>
      </c>
      <c r="ES109" t="s">
        <v>322</v>
      </c>
      <c r="ET109" t="s">
        <v>322</v>
      </c>
      <c r="EU109">
        <v>0</v>
      </c>
      <c r="EV109">
        <v>100</v>
      </c>
      <c r="EW109">
        <v>100</v>
      </c>
      <c r="EX109">
        <v>6.9029999999999996</v>
      </c>
      <c r="EY109">
        <v>-1.887</v>
      </c>
      <c r="EZ109">
        <v>6.8627400000000023</v>
      </c>
      <c r="FA109">
        <v>0</v>
      </c>
      <c r="FB109">
        <v>0</v>
      </c>
      <c r="FC109">
        <v>0</v>
      </c>
      <c r="FD109">
        <v>-1.88287</v>
      </c>
      <c r="FE109">
        <v>0</v>
      </c>
      <c r="FF109">
        <v>0</v>
      </c>
      <c r="FG109">
        <v>0</v>
      </c>
      <c r="FH109">
        <v>-1</v>
      </c>
      <c r="FI109">
        <v>-1</v>
      </c>
      <c r="FJ109">
        <v>-1</v>
      </c>
      <c r="FK109">
        <v>-1</v>
      </c>
      <c r="FL109">
        <v>0.7</v>
      </c>
      <c r="FM109">
        <v>0.5</v>
      </c>
      <c r="FN109">
        <v>0.14038100000000001</v>
      </c>
      <c r="FO109">
        <v>4.99756</v>
      </c>
      <c r="FP109">
        <v>1.5979000000000001</v>
      </c>
      <c r="FQ109">
        <v>2.1142599999999998</v>
      </c>
      <c r="FR109">
        <v>1.5478499999999999</v>
      </c>
      <c r="FS109">
        <v>2.5122100000000001</v>
      </c>
      <c r="FT109">
        <v>50.0899</v>
      </c>
      <c r="FU109">
        <v>15.287800000000001</v>
      </c>
      <c r="FV109">
        <v>2</v>
      </c>
      <c r="FW109">
        <v>505.64400000000001</v>
      </c>
      <c r="FX109">
        <v>349.01499999999999</v>
      </c>
      <c r="FY109">
        <v>31.2437</v>
      </c>
      <c r="FZ109">
        <v>39.664400000000001</v>
      </c>
      <c r="GA109">
        <v>30.000699999999998</v>
      </c>
      <c r="GB109">
        <v>39.834400000000002</v>
      </c>
      <c r="GC109">
        <v>39.868600000000001</v>
      </c>
      <c r="GD109">
        <v>-1</v>
      </c>
      <c r="GE109">
        <v>0</v>
      </c>
      <c r="GF109">
        <v>100</v>
      </c>
      <c r="GG109">
        <v>31.242000000000001</v>
      </c>
      <c r="GH109">
        <v>432.1</v>
      </c>
      <c r="GI109">
        <v>42.4801</v>
      </c>
      <c r="GJ109">
        <v>100.72</v>
      </c>
      <c r="GK109">
        <v>95.180400000000006</v>
      </c>
    </row>
    <row r="110" spans="1:193" x14ac:dyDescent="0.35">
      <c r="A110">
        <v>94</v>
      </c>
      <c r="B110">
        <v>1775537607</v>
      </c>
      <c r="C110">
        <v>5580.9000000953674</v>
      </c>
      <c r="D110" t="s">
        <v>599</v>
      </c>
      <c r="E110" t="s">
        <v>600</v>
      </c>
      <c r="F110">
        <v>60</v>
      </c>
      <c r="G110">
        <v>1775537599</v>
      </c>
      <c r="H110">
        <f t="shared" si="30"/>
        <v>4.4355047909003719E-3</v>
      </c>
      <c r="I110">
        <f t="shared" si="31"/>
        <v>4.4355047909003718</v>
      </c>
      <c r="J110">
        <f t="shared" si="32"/>
        <v>-3.6796373022357383</v>
      </c>
      <c r="K110">
        <f t="shared" si="33"/>
        <v>-7.339487096774195</v>
      </c>
      <c r="L110">
        <f t="shared" si="34"/>
        <v>53.35667765917654</v>
      </c>
      <c r="M110">
        <f t="shared" si="35"/>
        <v>5.3499398634160888</v>
      </c>
      <c r="N110">
        <f t="shared" si="36"/>
        <v>-0.73591191053679028</v>
      </c>
      <c r="O110">
        <f t="shared" si="37"/>
        <v>9.6105117589480857E-2</v>
      </c>
      <c r="P110">
        <f t="shared" si="38"/>
        <v>2.3954424666437979</v>
      </c>
      <c r="Q110">
        <f t="shared" si="39"/>
        <v>9.4013336488663501E-2</v>
      </c>
      <c r="R110">
        <f t="shared" si="40"/>
        <v>5.8942481489875881E-2</v>
      </c>
      <c r="S110">
        <f t="shared" si="41"/>
        <v>0.33627632748387082</v>
      </c>
      <c r="T110">
        <f t="shared" si="42"/>
        <v>31.837738103046679</v>
      </c>
      <c r="U110">
        <f t="shared" si="43"/>
        <v>33.073467741935481</v>
      </c>
      <c r="V110">
        <f t="shared" si="44"/>
        <v>5.0729996534833921</v>
      </c>
      <c r="W110">
        <f t="shared" si="45"/>
        <v>9.2538854444279401</v>
      </c>
      <c r="X110">
        <f t="shared" si="46"/>
        <v>0.47326210753583797</v>
      </c>
      <c r="Y110">
        <f t="shared" si="47"/>
        <v>5.1141988992397156</v>
      </c>
      <c r="Z110">
        <f t="shared" si="48"/>
        <v>4.599737545947554</v>
      </c>
      <c r="AA110">
        <f t="shared" si="49"/>
        <v>-195.60576127870641</v>
      </c>
      <c r="AB110">
        <f t="shared" si="50"/>
        <v>18.610353064364698</v>
      </c>
      <c r="AC110">
        <f t="shared" si="51"/>
        <v>1.7818200005490226</v>
      </c>
      <c r="AD110">
        <f t="shared" si="52"/>
        <v>-174.87731188630883</v>
      </c>
      <c r="AE110">
        <v>6</v>
      </c>
      <c r="AF110">
        <v>1</v>
      </c>
      <c r="AG110">
        <f t="shared" si="53"/>
        <v>1</v>
      </c>
      <c r="AH110">
        <f t="shared" si="54"/>
        <v>0</v>
      </c>
      <c r="AI110">
        <f t="shared" si="55"/>
        <v>25106.65869371183</v>
      </c>
      <c r="AJ110">
        <f t="shared" si="56"/>
        <v>1.7596877419354831</v>
      </c>
      <c r="AK110">
        <f t="shared" si="57"/>
        <v>1.4077501935483865</v>
      </c>
      <c r="AL110">
        <f t="shared" si="58"/>
        <v>0.8</v>
      </c>
      <c r="AM110">
        <f t="shared" si="59"/>
        <v>0.19109999999999999</v>
      </c>
      <c r="AN110">
        <v>3</v>
      </c>
      <c r="AO110">
        <v>0.5</v>
      </c>
      <c r="AP110" t="s">
        <v>317</v>
      </c>
      <c r="AQ110">
        <v>2</v>
      </c>
      <c r="AR110">
        <v>1775537599</v>
      </c>
      <c r="AS110">
        <v>-7.339487096774195</v>
      </c>
      <c r="AT110">
        <v>-9.566803225806451</v>
      </c>
      <c r="AU110">
        <v>4.7199958064516121</v>
      </c>
      <c r="AV110">
        <v>2.071252903225806</v>
      </c>
      <c r="AW110">
        <v>-14.229487096774189</v>
      </c>
      <c r="AX110">
        <v>3.9642529032258058</v>
      </c>
      <c r="AY110">
        <v>499.999741935484</v>
      </c>
      <c r="AZ110">
        <v>100.2182258064516</v>
      </c>
      <c r="BA110">
        <v>4.9258941935483871E-2</v>
      </c>
      <c r="BB110">
        <v>33.217574193548387</v>
      </c>
      <c r="BC110">
        <v>33.073467741935481</v>
      </c>
      <c r="BD110">
        <v>999.90000000000032</v>
      </c>
      <c r="BE110">
        <v>0</v>
      </c>
      <c r="BF110">
        <v>0</v>
      </c>
      <c r="BG110">
        <v>5008.177419354839</v>
      </c>
      <c r="BH110">
        <v>1.7596877419354831</v>
      </c>
      <c r="BI110">
        <v>2002.5061290322581</v>
      </c>
      <c r="BJ110">
        <v>2.2401932258064519</v>
      </c>
      <c r="BK110">
        <v>-7.3418567741935483</v>
      </c>
      <c r="BL110">
        <v>-9.6121719354838735</v>
      </c>
      <c r="BM110">
        <v>-2.6432261290322581</v>
      </c>
      <c r="BN110">
        <v>-9.566803225806451</v>
      </c>
      <c r="BO110">
        <v>4.7199958064516121</v>
      </c>
      <c r="BP110">
        <v>0.20813009677419361</v>
      </c>
      <c r="BQ110">
        <v>0.47302941935483872</v>
      </c>
      <c r="BR110">
        <v>-14.020806451612909</v>
      </c>
      <c r="BS110">
        <v>-3.5308909677419349</v>
      </c>
      <c r="BT110">
        <v>1775537635</v>
      </c>
      <c r="BU110" t="s">
        <v>601</v>
      </c>
      <c r="BV110">
        <v>1775537631</v>
      </c>
      <c r="BW110">
        <v>1775537635</v>
      </c>
      <c r="BX110">
        <v>95</v>
      </c>
      <c r="BY110">
        <v>-1.2999999999999999E-2</v>
      </c>
      <c r="BZ110">
        <v>-5.0000000000000001E-3</v>
      </c>
      <c r="CA110">
        <v>6.89</v>
      </c>
      <c r="CB110">
        <v>-1.893</v>
      </c>
      <c r="CC110">
        <v>-9</v>
      </c>
      <c r="CD110">
        <v>5</v>
      </c>
      <c r="CE110">
        <v>0.14000000000000001</v>
      </c>
      <c r="CF110">
        <v>0.03</v>
      </c>
      <c r="CG110">
        <v>-9.6333896721311465</v>
      </c>
      <c r="CH110">
        <v>0.38646732945531692</v>
      </c>
      <c r="CI110">
        <v>9.1740321273873326E-2</v>
      </c>
      <c r="CJ110">
        <v>-1</v>
      </c>
      <c r="CK110">
        <v>500.95573770491802</v>
      </c>
      <c r="CL110">
        <v>-8.8487847699627444</v>
      </c>
      <c r="CM110">
        <v>1.8981208040951969</v>
      </c>
      <c r="CN110">
        <v>-1</v>
      </c>
      <c r="CO110">
        <v>0</v>
      </c>
      <c r="CP110">
        <v>0</v>
      </c>
      <c r="CQ110" t="s">
        <v>319</v>
      </c>
      <c r="CR110">
        <v>3.1693699999999998</v>
      </c>
      <c r="CS110">
        <v>2.67015</v>
      </c>
      <c r="CT110">
        <v>-4.1078800000000004E-3</v>
      </c>
      <c r="CU110">
        <v>-2.75669E-3</v>
      </c>
      <c r="CV110">
        <v>2.69333E-2</v>
      </c>
      <c r="CW110">
        <v>3.12442E-2</v>
      </c>
      <c r="CX110">
        <v>21286.799999999999</v>
      </c>
      <c r="CY110">
        <v>21711.8</v>
      </c>
      <c r="CZ110">
        <v>22739.1</v>
      </c>
      <c r="DA110">
        <v>22026.9</v>
      </c>
      <c r="DB110">
        <v>28562.799999999999</v>
      </c>
      <c r="DC110">
        <v>25395.3</v>
      </c>
      <c r="DD110">
        <v>40028</v>
      </c>
      <c r="DE110">
        <v>36445.1</v>
      </c>
      <c r="DF110">
        <v>1.98332</v>
      </c>
      <c r="DG110">
        <v>1.59944</v>
      </c>
      <c r="DH110">
        <v>-9.7334400000000001E-2</v>
      </c>
      <c r="DI110">
        <v>0</v>
      </c>
      <c r="DJ110">
        <v>34.6586</v>
      </c>
      <c r="DK110">
        <v>999.9</v>
      </c>
      <c r="DL110">
        <v>49.9</v>
      </c>
      <c r="DM110">
        <v>46.3</v>
      </c>
      <c r="DN110">
        <v>51.304699999999997</v>
      </c>
      <c r="DO110">
        <v>30.744700000000002</v>
      </c>
      <c r="DP110">
        <v>10.3285</v>
      </c>
      <c r="DQ110">
        <v>1</v>
      </c>
      <c r="DR110">
        <v>1.04921</v>
      </c>
      <c r="DS110">
        <v>3.2856900000000002</v>
      </c>
      <c r="DT110">
        <v>20.319900000000001</v>
      </c>
      <c r="DU110">
        <v>5.2069900000000002</v>
      </c>
      <c r="DV110">
        <v>11.857799999999999</v>
      </c>
      <c r="DW110">
        <v>4.9668000000000001</v>
      </c>
      <c r="DX110">
        <v>3.29244</v>
      </c>
      <c r="DY110">
        <v>894.7</v>
      </c>
      <c r="DZ110">
        <v>6</v>
      </c>
      <c r="EA110">
        <v>9999</v>
      </c>
      <c r="EB110">
        <v>117.3</v>
      </c>
      <c r="EC110">
        <v>4.9715999999999996</v>
      </c>
      <c r="ED110">
        <v>1.8722399999999999</v>
      </c>
      <c r="EE110">
        <v>1.8695900000000001</v>
      </c>
      <c r="EF110">
        <v>1.8718300000000001</v>
      </c>
      <c r="EG110">
        <v>1.8696600000000001</v>
      </c>
      <c r="EH110">
        <v>1.8684400000000001</v>
      </c>
      <c r="EI110">
        <v>1.8702700000000001</v>
      </c>
      <c r="EJ110">
        <v>1.87195</v>
      </c>
      <c r="EK110">
        <v>0</v>
      </c>
      <c r="EL110">
        <v>0</v>
      </c>
      <c r="EM110">
        <v>0</v>
      </c>
      <c r="EN110">
        <v>0</v>
      </c>
      <c r="EO110" t="s">
        <v>320</v>
      </c>
      <c r="EP110" t="s">
        <v>321</v>
      </c>
      <c r="EQ110" t="s">
        <v>322</v>
      </c>
      <c r="ER110" t="s">
        <v>322</v>
      </c>
      <c r="ES110" t="s">
        <v>322</v>
      </c>
      <c r="ET110" t="s">
        <v>322</v>
      </c>
      <c r="EU110">
        <v>0</v>
      </c>
      <c r="EV110">
        <v>100</v>
      </c>
      <c r="EW110">
        <v>100</v>
      </c>
      <c r="EX110">
        <v>6.89</v>
      </c>
      <c r="EY110">
        <v>-1.893</v>
      </c>
      <c r="EZ110">
        <v>6.902880500000002</v>
      </c>
      <c r="FA110">
        <v>0</v>
      </c>
      <c r="FB110">
        <v>0</v>
      </c>
      <c r="FC110">
        <v>0</v>
      </c>
      <c r="FD110">
        <v>-1.887484000000001</v>
      </c>
      <c r="FE110">
        <v>0</v>
      </c>
      <c r="FF110">
        <v>0</v>
      </c>
      <c r="FG110">
        <v>0</v>
      </c>
      <c r="FH110">
        <v>-1</v>
      </c>
      <c r="FI110">
        <v>-1</v>
      </c>
      <c r="FJ110">
        <v>-1</v>
      </c>
      <c r="FK110">
        <v>-1</v>
      </c>
      <c r="FL110">
        <v>0.7</v>
      </c>
      <c r="FM110">
        <v>0.5</v>
      </c>
      <c r="FN110">
        <v>0.14038100000000001</v>
      </c>
      <c r="FO110">
        <v>4.99756</v>
      </c>
      <c r="FP110">
        <v>1.5979000000000001</v>
      </c>
      <c r="FQ110">
        <v>2.1142599999999998</v>
      </c>
      <c r="FR110">
        <v>1.5478499999999999</v>
      </c>
      <c r="FS110">
        <v>2.4047900000000002</v>
      </c>
      <c r="FT110">
        <v>50.186399999999999</v>
      </c>
      <c r="FU110">
        <v>15.270300000000001</v>
      </c>
      <c r="FV110">
        <v>2</v>
      </c>
      <c r="FW110">
        <v>505.64600000000002</v>
      </c>
      <c r="FX110">
        <v>348.17200000000003</v>
      </c>
      <c r="FY110">
        <v>31.2194</v>
      </c>
      <c r="FZ110">
        <v>39.7697</v>
      </c>
      <c r="GA110">
        <v>30.0017</v>
      </c>
      <c r="GB110">
        <v>39.927900000000001</v>
      </c>
      <c r="GC110">
        <v>39.964199999999998</v>
      </c>
      <c r="GD110">
        <v>-1</v>
      </c>
      <c r="GE110">
        <v>0</v>
      </c>
      <c r="GF110">
        <v>100</v>
      </c>
      <c r="GG110">
        <v>31.1815</v>
      </c>
      <c r="GH110">
        <v>432.1</v>
      </c>
      <c r="GI110">
        <v>42.4801</v>
      </c>
      <c r="GJ110">
        <v>100.697</v>
      </c>
      <c r="GK110">
        <v>95.156800000000004</v>
      </c>
    </row>
    <row r="111" spans="1:193" x14ac:dyDescent="0.35">
      <c r="A111">
        <v>95</v>
      </c>
      <c r="B111">
        <v>1775537667</v>
      </c>
      <c r="C111">
        <v>5640.9000000953674</v>
      </c>
      <c r="D111" t="s">
        <v>602</v>
      </c>
      <c r="E111" t="s">
        <v>603</v>
      </c>
      <c r="F111">
        <v>60</v>
      </c>
      <c r="G111">
        <v>1775537659</v>
      </c>
      <c r="H111">
        <f t="shared" si="30"/>
        <v>5.0601241733509847E-3</v>
      </c>
      <c r="I111">
        <f t="shared" si="31"/>
        <v>5.0601241733509843</v>
      </c>
      <c r="J111">
        <f t="shared" si="32"/>
        <v>-4.0434098104815765</v>
      </c>
      <c r="K111">
        <f t="shared" si="33"/>
        <v>-7.5448774193548376</v>
      </c>
      <c r="L111">
        <f t="shared" si="34"/>
        <v>50.676036179885052</v>
      </c>
      <c r="M111">
        <f t="shared" si="35"/>
        <v>5.0809193837050586</v>
      </c>
      <c r="N111">
        <f t="shared" si="36"/>
        <v>-0.75647025334816842</v>
      </c>
      <c r="O111">
        <f t="shared" si="37"/>
        <v>0.11049109759852185</v>
      </c>
      <c r="P111">
        <f t="shared" si="38"/>
        <v>2.392751830400198</v>
      </c>
      <c r="Q111">
        <f t="shared" si="39"/>
        <v>0.10773286389710494</v>
      </c>
      <c r="R111">
        <f t="shared" si="40"/>
        <v>6.7575121339190775E-2</v>
      </c>
      <c r="S111">
        <f t="shared" si="41"/>
        <v>0.29855824238709677</v>
      </c>
      <c r="T111">
        <f t="shared" si="42"/>
        <v>31.616149379634276</v>
      </c>
      <c r="U111">
        <f t="shared" si="43"/>
        <v>33.003474193548392</v>
      </c>
      <c r="V111">
        <f t="shared" si="44"/>
        <v>5.0530932844600729</v>
      </c>
      <c r="W111">
        <f t="shared" si="45"/>
        <v>9.2740202775206111</v>
      </c>
      <c r="X111">
        <f t="shared" si="46"/>
        <v>0.47362638035741089</v>
      </c>
      <c r="Y111">
        <f t="shared" si="47"/>
        <v>5.1070233424595646</v>
      </c>
      <c r="Z111">
        <f t="shared" si="48"/>
        <v>4.5794669041026621</v>
      </c>
      <c r="AA111">
        <f t="shared" si="49"/>
        <v>-223.15147604477843</v>
      </c>
      <c r="AB111">
        <f t="shared" si="50"/>
        <v>24.390199754697356</v>
      </c>
      <c r="AC111">
        <f t="shared" si="51"/>
        <v>2.3367404331196138</v>
      </c>
      <c r="AD111">
        <f t="shared" si="52"/>
        <v>-196.12597761457437</v>
      </c>
      <c r="AE111">
        <v>7</v>
      </c>
      <c r="AF111">
        <v>1</v>
      </c>
      <c r="AG111">
        <f t="shared" si="53"/>
        <v>1</v>
      </c>
      <c r="AH111">
        <f t="shared" si="54"/>
        <v>0</v>
      </c>
      <c r="AI111">
        <f t="shared" si="55"/>
        <v>25068.792421146092</v>
      </c>
      <c r="AJ111">
        <f t="shared" si="56"/>
        <v>1.5623141935483871</v>
      </c>
      <c r="AK111">
        <f t="shared" si="57"/>
        <v>1.2498513548387098</v>
      </c>
      <c r="AL111">
        <f t="shared" si="58"/>
        <v>0.8</v>
      </c>
      <c r="AM111">
        <f t="shared" si="59"/>
        <v>0.19109999999999999</v>
      </c>
      <c r="AN111">
        <v>3</v>
      </c>
      <c r="AO111">
        <v>0.5</v>
      </c>
      <c r="AP111" t="s">
        <v>317</v>
      </c>
      <c r="AQ111">
        <v>2</v>
      </c>
      <c r="AR111">
        <v>1775537659</v>
      </c>
      <c r="AS111">
        <v>-7.5448774193548376</v>
      </c>
      <c r="AT111">
        <v>-9.9939287096774212</v>
      </c>
      <c r="AU111">
        <v>4.7238512903225809</v>
      </c>
      <c r="AV111">
        <v>1.701997096774194</v>
      </c>
      <c r="AW111">
        <v>-14.42587741935484</v>
      </c>
      <c r="AX111">
        <v>3.5939970967741939</v>
      </c>
      <c r="AY111">
        <v>499.97987096774187</v>
      </c>
      <c r="AZ111">
        <v>100.21293548387099</v>
      </c>
      <c r="BA111">
        <v>4.9827090322580647E-2</v>
      </c>
      <c r="BB111">
        <v>33.192548387096778</v>
      </c>
      <c r="BC111">
        <v>33.003474193548392</v>
      </c>
      <c r="BD111">
        <v>999.90000000000032</v>
      </c>
      <c r="BE111">
        <v>0</v>
      </c>
      <c r="BF111">
        <v>0</v>
      </c>
      <c r="BG111">
        <v>5001.5161290322594</v>
      </c>
      <c r="BH111">
        <v>1.5623141935483871</v>
      </c>
      <c r="BI111">
        <v>1703.1970967741941</v>
      </c>
      <c r="BJ111">
        <v>2.4583970967741942</v>
      </c>
      <c r="BK111">
        <v>-7.548366774193549</v>
      </c>
      <c r="BL111">
        <v>-10.04135870967742</v>
      </c>
      <c r="BM111">
        <v>-3.0224864516129042</v>
      </c>
      <c r="BN111">
        <v>-9.9939287096774212</v>
      </c>
      <c r="BO111">
        <v>4.7238512903225809</v>
      </c>
      <c r="BP111">
        <v>0.17049890322580641</v>
      </c>
      <c r="BQ111">
        <v>0.47339125806451621</v>
      </c>
      <c r="BR111">
        <v>-16.431058064516129</v>
      </c>
      <c r="BS111">
        <v>-3.52067193548387</v>
      </c>
      <c r="BT111">
        <v>1775537694.5</v>
      </c>
      <c r="BU111" t="s">
        <v>604</v>
      </c>
      <c r="BV111">
        <v>1775537688.5</v>
      </c>
      <c r="BW111">
        <v>1775537694.5</v>
      </c>
      <c r="BX111">
        <v>96</v>
      </c>
      <c r="BY111">
        <v>-8.9999999999999993E-3</v>
      </c>
      <c r="BZ111">
        <v>1E-3</v>
      </c>
      <c r="CA111">
        <v>6.8810000000000002</v>
      </c>
      <c r="CB111">
        <v>-1.8919999999999999</v>
      </c>
      <c r="CC111">
        <v>-9</v>
      </c>
      <c r="CD111">
        <v>5</v>
      </c>
      <c r="CE111">
        <v>0.38</v>
      </c>
      <c r="CF111">
        <v>0.03</v>
      </c>
      <c r="CG111">
        <v>-9.9951488333333334</v>
      </c>
      <c r="CH111">
        <v>7.5929791608782882E-2</v>
      </c>
      <c r="CI111">
        <v>9.4016272919313637E-2</v>
      </c>
      <c r="CJ111">
        <v>-1</v>
      </c>
      <c r="CK111">
        <v>500.99489999999997</v>
      </c>
      <c r="CL111">
        <v>-9.3602267296455111</v>
      </c>
      <c r="CM111">
        <v>1.933309120825395</v>
      </c>
      <c r="CN111">
        <v>-1</v>
      </c>
      <c r="CO111">
        <v>0</v>
      </c>
      <c r="CP111">
        <v>0</v>
      </c>
      <c r="CQ111" t="s">
        <v>319</v>
      </c>
      <c r="CR111">
        <v>3.1692800000000001</v>
      </c>
      <c r="CS111">
        <v>2.67069</v>
      </c>
      <c r="CT111">
        <v>-4.16286E-3</v>
      </c>
      <c r="CU111">
        <v>-2.8138799999999999E-3</v>
      </c>
      <c r="CV111">
        <v>2.4763500000000001E-2</v>
      </c>
      <c r="CW111">
        <v>3.1196999999999999E-2</v>
      </c>
      <c r="CX111">
        <v>21281.5</v>
      </c>
      <c r="CY111">
        <v>21707.1</v>
      </c>
      <c r="CZ111">
        <v>22732.7</v>
      </c>
      <c r="DA111">
        <v>22021.3</v>
      </c>
      <c r="DB111">
        <v>28618.799999999999</v>
      </c>
      <c r="DC111">
        <v>25389.599999999999</v>
      </c>
      <c r="DD111">
        <v>40017.4</v>
      </c>
      <c r="DE111">
        <v>36435.4</v>
      </c>
      <c r="DF111">
        <v>1.9816</v>
      </c>
      <c r="DG111">
        <v>1.5989599999999999</v>
      </c>
      <c r="DH111">
        <v>-0.108778</v>
      </c>
      <c r="DI111">
        <v>0</v>
      </c>
      <c r="DJ111">
        <v>34.738999999999997</v>
      </c>
      <c r="DK111">
        <v>999.9</v>
      </c>
      <c r="DL111">
        <v>49.7</v>
      </c>
      <c r="DM111">
        <v>46.4</v>
      </c>
      <c r="DN111">
        <v>51.362000000000002</v>
      </c>
      <c r="DO111">
        <v>30.924700000000001</v>
      </c>
      <c r="DP111">
        <v>10.3245</v>
      </c>
      <c r="DQ111">
        <v>1</v>
      </c>
      <c r="DR111">
        <v>1.0604</v>
      </c>
      <c r="DS111">
        <v>2.6547700000000001</v>
      </c>
      <c r="DT111">
        <v>20.333400000000001</v>
      </c>
      <c r="DU111">
        <v>5.2039900000000001</v>
      </c>
      <c r="DV111">
        <v>11.857900000000001</v>
      </c>
      <c r="DW111">
        <v>4.9666800000000002</v>
      </c>
      <c r="DX111">
        <v>3.2923800000000001</v>
      </c>
      <c r="DY111">
        <v>894.7</v>
      </c>
      <c r="DZ111">
        <v>6</v>
      </c>
      <c r="EA111">
        <v>9999</v>
      </c>
      <c r="EB111">
        <v>117.3</v>
      </c>
      <c r="EC111">
        <v>4.9716399999999998</v>
      </c>
      <c r="ED111">
        <v>1.87225</v>
      </c>
      <c r="EE111">
        <v>1.86965</v>
      </c>
      <c r="EF111">
        <v>1.8719300000000001</v>
      </c>
      <c r="EG111">
        <v>1.8696600000000001</v>
      </c>
      <c r="EH111">
        <v>1.8684799999999999</v>
      </c>
      <c r="EI111">
        <v>1.8702799999999999</v>
      </c>
      <c r="EJ111">
        <v>1.87198</v>
      </c>
      <c r="EK111">
        <v>0</v>
      </c>
      <c r="EL111">
        <v>0</v>
      </c>
      <c r="EM111">
        <v>0</v>
      </c>
      <c r="EN111">
        <v>0</v>
      </c>
      <c r="EO111" t="s">
        <v>320</v>
      </c>
      <c r="EP111" t="s">
        <v>321</v>
      </c>
      <c r="EQ111" t="s">
        <v>322</v>
      </c>
      <c r="ER111" t="s">
        <v>322</v>
      </c>
      <c r="ES111" t="s">
        <v>322</v>
      </c>
      <c r="ET111" t="s">
        <v>322</v>
      </c>
      <c r="EU111">
        <v>0</v>
      </c>
      <c r="EV111">
        <v>100</v>
      </c>
      <c r="EW111">
        <v>100</v>
      </c>
      <c r="EX111">
        <v>6.8810000000000002</v>
      </c>
      <c r="EY111">
        <v>-1.8919999999999999</v>
      </c>
      <c r="EZ111">
        <v>6.8903569999999981</v>
      </c>
      <c r="FA111">
        <v>0</v>
      </c>
      <c r="FB111">
        <v>0</v>
      </c>
      <c r="FC111">
        <v>0</v>
      </c>
      <c r="FD111">
        <v>-1.892631999999999</v>
      </c>
      <c r="FE111">
        <v>0</v>
      </c>
      <c r="FF111">
        <v>0</v>
      </c>
      <c r="FG111">
        <v>0</v>
      </c>
      <c r="FH111">
        <v>-1</v>
      </c>
      <c r="FI111">
        <v>-1</v>
      </c>
      <c r="FJ111">
        <v>-1</v>
      </c>
      <c r="FK111">
        <v>-1</v>
      </c>
      <c r="FL111">
        <v>0.6</v>
      </c>
      <c r="FM111">
        <v>0.5</v>
      </c>
      <c r="FN111">
        <v>0.14038100000000001</v>
      </c>
      <c r="FO111">
        <v>4.99756</v>
      </c>
      <c r="FP111">
        <v>1.5979000000000001</v>
      </c>
      <c r="FQ111">
        <v>2.1142599999999998</v>
      </c>
      <c r="FR111">
        <v>1.5478499999999999</v>
      </c>
      <c r="FS111">
        <v>2.4035600000000001</v>
      </c>
      <c r="FT111">
        <v>50.250900000000001</v>
      </c>
      <c r="FU111">
        <v>15.270300000000001</v>
      </c>
      <c r="FV111">
        <v>2</v>
      </c>
      <c r="FW111">
        <v>505.27699999999999</v>
      </c>
      <c r="FX111">
        <v>348.35399999999998</v>
      </c>
      <c r="FY111">
        <v>30.953099999999999</v>
      </c>
      <c r="FZ111">
        <v>39.909199999999998</v>
      </c>
      <c r="GA111">
        <v>29.9986</v>
      </c>
      <c r="GB111">
        <v>40.032699999999998</v>
      </c>
      <c r="GC111">
        <v>40.059199999999997</v>
      </c>
      <c r="GD111">
        <v>-1</v>
      </c>
      <c r="GE111">
        <v>0</v>
      </c>
      <c r="GF111">
        <v>100</v>
      </c>
      <c r="GG111">
        <v>31.0869</v>
      </c>
      <c r="GH111">
        <v>432.1</v>
      </c>
      <c r="GI111">
        <v>42.4801</v>
      </c>
      <c r="GJ111">
        <v>100.67</v>
      </c>
      <c r="GK111">
        <v>95.132000000000005</v>
      </c>
    </row>
    <row r="112" spans="1:193" x14ac:dyDescent="0.35">
      <c r="A112">
        <v>96</v>
      </c>
      <c r="B112">
        <v>1775537727</v>
      </c>
      <c r="C112">
        <v>5700.9000000953674</v>
      </c>
      <c r="D112" t="s">
        <v>605</v>
      </c>
      <c r="E112" t="s">
        <v>606</v>
      </c>
      <c r="F112">
        <v>60</v>
      </c>
      <c r="G112">
        <v>1775537719.25</v>
      </c>
      <c r="H112">
        <f t="shared" si="30"/>
        <v>4.3772916971986141E-3</v>
      </c>
      <c r="I112">
        <f t="shared" si="31"/>
        <v>4.377291697198614</v>
      </c>
      <c r="J112">
        <f t="shared" si="32"/>
        <v>-4.2130404927162033</v>
      </c>
      <c r="K112">
        <f t="shared" si="33"/>
        <v>-7.6680433333333324</v>
      </c>
      <c r="L112">
        <f t="shared" si="34"/>
        <v>62.423913287527604</v>
      </c>
      <c r="M112">
        <f t="shared" si="35"/>
        <v>6.2586433743934364</v>
      </c>
      <c r="N112">
        <f t="shared" si="36"/>
        <v>-0.76880070593583261</v>
      </c>
      <c r="O112">
        <f t="shared" si="37"/>
        <v>9.5203007721063312E-2</v>
      </c>
      <c r="P112">
        <f t="shared" si="38"/>
        <v>2.3912785462655868</v>
      </c>
      <c r="Q112">
        <f t="shared" si="39"/>
        <v>9.3146368256395398E-2</v>
      </c>
      <c r="R112">
        <f t="shared" si="40"/>
        <v>5.8397560613057342E-2</v>
      </c>
      <c r="S112">
        <f t="shared" si="41"/>
        <v>0.32563395410000007</v>
      </c>
      <c r="T112">
        <f t="shared" si="42"/>
        <v>31.784665145335463</v>
      </c>
      <c r="U112">
        <f t="shared" si="43"/>
        <v>33.010309999999997</v>
      </c>
      <c r="V112">
        <f t="shared" si="44"/>
        <v>5.0550344083907657</v>
      </c>
      <c r="W112">
        <f t="shared" si="45"/>
        <v>9.2910533718241588</v>
      </c>
      <c r="X112">
        <f t="shared" si="46"/>
        <v>0.47332957870517528</v>
      </c>
      <c r="Y112">
        <f t="shared" si="47"/>
        <v>5.0944662543924668</v>
      </c>
      <c r="Z112">
        <f t="shared" si="48"/>
        <v>4.5817048296855907</v>
      </c>
      <c r="AA112">
        <f t="shared" si="49"/>
        <v>-193.03856384645889</v>
      </c>
      <c r="AB112">
        <f t="shared" si="50"/>
        <v>17.838467925430468</v>
      </c>
      <c r="AC112">
        <f t="shared" si="51"/>
        <v>1.7097842915354518</v>
      </c>
      <c r="AD112">
        <f t="shared" si="52"/>
        <v>-173.16467767539297</v>
      </c>
      <c r="AE112">
        <v>6</v>
      </c>
      <c r="AF112">
        <v>1</v>
      </c>
      <c r="AG112">
        <f t="shared" si="53"/>
        <v>1</v>
      </c>
      <c r="AH112">
        <f t="shared" si="54"/>
        <v>0</v>
      </c>
      <c r="AI112">
        <f t="shared" si="55"/>
        <v>25050.446144827307</v>
      </c>
      <c r="AJ112">
        <f t="shared" si="56"/>
        <v>1.703997666666667</v>
      </c>
      <c r="AK112">
        <f t="shared" si="57"/>
        <v>1.3631981333333336</v>
      </c>
      <c r="AL112">
        <f t="shared" si="58"/>
        <v>0.8</v>
      </c>
      <c r="AM112">
        <f t="shared" si="59"/>
        <v>0.19109999999999999</v>
      </c>
      <c r="AN112">
        <v>3</v>
      </c>
      <c r="AO112">
        <v>0.5</v>
      </c>
      <c r="AP112" t="s">
        <v>317</v>
      </c>
      <c r="AQ112">
        <v>2</v>
      </c>
      <c r="AR112">
        <v>1775537719.25</v>
      </c>
      <c r="AS112">
        <v>-7.6680433333333324</v>
      </c>
      <c r="AT112">
        <v>-10.21608</v>
      </c>
      <c r="AU112">
        <v>4.7210046666666674</v>
      </c>
      <c r="AV112">
        <v>2.1069536666666671</v>
      </c>
      <c r="AW112">
        <v>-14.50504333333333</v>
      </c>
      <c r="AX112">
        <v>4.0009536666666667</v>
      </c>
      <c r="AY112">
        <v>499.98563333333328</v>
      </c>
      <c r="AZ112">
        <v>100.21210000000001</v>
      </c>
      <c r="BA112">
        <v>4.8249676666666658E-2</v>
      </c>
      <c r="BB112">
        <v>33.148679999999999</v>
      </c>
      <c r="BC112">
        <v>33.010309999999997</v>
      </c>
      <c r="BD112">
        <v>999.9000000000002</v>
      </c>
      <c r="BE112">
        <v>0</v>
      </c>
      <c r="BF112">
        <v>0</v>
      </c>
      <c r="BG112">
        <v>4997.7666666666664</v>
      </c>
      <c r="BH112">
        <v>1.703997666666667</v>
      </c>
      <c r="BI112">
        <v>1878.446333333334</v>
      </c>
      <c r="BJ112">
        <v>2.5924373333333328</v>
      </c>
      <c r="BK112">
        <v>-7.6397679999999992</v>
      </c>
      <c r="BL112">
        <v>-10.26454333333333</v>
      </c>
      <c r="BM112">
        <v>-2.6118579999999998</v>
      </c>
      <c r="BN112">
        <v>-10.21608</v>
      </c>
      <c r="BO112">
        <v>4.7210046666666674</v>
      </c>
      <c r="BP112">
        <v>0.2113621</v>
      </c>
      <c r="BQ112">
        <v>0.4731016999999999</v>
      </c>
      <c r="BR112">
        <v>-13.83377333333334</v>
      </c>
      <c r="BS112">
        <v>-3.528848</v>
      </c>
      <c r="BT112">
        <v>1775537755</v>
      </c>
      <c r="BU112" t="s">
        <v>607</v>
      </c>
      <c r="BV112">
        <v>1775537746</v>
      </c>
      <c r="BW112">
        <v>1775537755</v>
      </c>
      <c r="BX112">
        <v>97</v>
      </c>
      <c r="BY112">
        <v>-4.3999999999999997E-2</v>
      </c>
      <c r="BZ112">
        <v>-2E-3</v>
      </c>
      <c r="CA112">
        <v>6.8369999999999997</v>
      </c>
      <c r="CB112">
        <v>-1.8939999999999999</v>
      </c>
      <c r="CC112">
        <v>-11</v>
      </c>
      <c r="CD112">
        <v>5</v>
      </c>
      <c r="CE112">
        <v>0.26</v>
      </c>
      <c r="CF112">
        <v>0.03</v>
      </c>
      <c r="CG112">
        <v>-9.8173471666666678</v>
      </c>
      <c r="CH112">
        <v>-2.943426518477358</v>
      </c>
      <c r="CI112">
        <v>0.44096756704279172</v>
      </c>
      <c r="CJ112">
        <v>-1</v>
      </c>
      <c r="CK112">
        <v>500.93873333333329</v>
      </c>
      <c r="CL112">
        <v>-8.9785273687130402</v>
      </c>
      <c r="CM112">
        <v>1.8752872123727859</v>
      </c>
      <c r="CN112">
        <v>-1</v>
      </c>
      <c r="CO112">
        <v>0</v>
      </c>
      <c r="CP112">
        <v>0</v>
      </c>
      <c r="CQ112" t="s">
        <v>319</v>
      </c>
      <c r="CR112">
        <v>3.1693099999999998</v>
      </c>
      <c r="CS112">
        <v>2.6696499999999999</v>
      </c>
      <c r="CT112">
        <v>-4.29183E-3</v>
      </c>
      <c r="CU112">
        <v>-3.03098E-3</v>
      </c>
      <c r="CV112">
        <v>2.7586800000000002E-2</v>
      </c>
      <c r="CW112">
        <v>3.11921E-2</v>
      </c>
      <c r="CX112">
        <v>21281</v>
      </c>
      <c r="CY112">
        <v>21709.7</v>
      </c>
      <c r="CZ112">
        <v>22729.599999999999</v>
      </c>
      <c r="DA112">
        <v>22019.4</v>
      </c>
      <c r="DB112">
        <v>28532.2</v>
      </c>
      <c r="DC112">
        <v>25386.9</v>
      </c>
      <c r="DD112">
        <v>40012.400000000001</v>
      </c>
      <c r="DE112">
        <v>36431.599999999999</v>
      </c>
      <c r="DF112">
        <v>1.98176</v>
      </c>
      <c r="DG112">
        <v>1.5976600000000001</v>
      </c>
      <c r="DH112">
        <v>-9.6619099999999999E-2</v>
      </c>
      <c r="DI112">
        <v>0</v>
      </c>
      <c r="DJ112">
        <v>34.587800000000001</v>
      </c>
      <c r="DK112">
        <v>999.9</v>
      </c>
      <c r="DL112">
        <v>49.5</v>
      </c>
      <c r="DM112">
        <v>46.5</v>
      </c>
      <c r="DN112">
        <v>51.4223</v>
      </c>
      <c r="DO112">
        <v>30.924700000000001</v>
      </c>
      <c r="DP112">
        <v>10.572900000000001</v>
      </c>
      <c r="DQ112">
        <v>1</v>
      </c>
      <c r="DR112">
        <v>1.0639099999999999</v>
      </c>
      <c r="DS112">
        <v>2.6625299999999998</v>
      </c>
      <c r="DT112">
        <v>20.332999999999998</v>
      </c>
      <c r="DU112">
        <v>5.2074699999999998</v>
      </c>
      <c r="DV112">
        <v>11.8568</v>
      </c>
      <c r="DW112">
        <v>4.9654800000000003</v>
      </c>
      <c r="DX112">
        <v>3.2924199999999999</v>
      </c>
      <c r="DY112">
        <v>894.7</v>
      </c>
      <c r="DZ112">
        <v>6</v>
      </c>
      <c r="EA112">
        <v>9999</v>
      </c>
      <c r="EB112">
        <v>117.3</v>
      </c>
      <c r="EC112">
        <v>4.9715999999999996</v>
      </c>
      <c r="ED112">
        <v>1.87225</v>
      </c>
      <c r="EE112">
        <v>1.8695999999999999</v>
      </c>
      <c r="EF112">
        <v>1.87188</v>
      </c>
      <c r="EG112">
        <v>1.8696600000000001</v>
      </c>
      <c r="EH112">
        <v>1.86846</v>
      </c>
      <c r="EI112">
        <v>1.8702799999999999</v>
      </c>
      <c r="EJ112">
        <v>1.87195</v>
      </c>
      <c r="EK112">
        <v>0</v>
      </c>
      <c r="EL112">
        <v>0</v>
      </c>
      <c r="EM112">
        <v>0</v>
      </c>
      <c r="EN112">
        <v>0</v>
      </c>
      <c r="EO112" t="s">
        <v>320</v>
      </c>
      <c r="EP112" t="s">
        <v>321</v>
      </c>
      <c r="EQ112" t="s">
        <v>322</v>
      </c>
      <c r="ER112" t="s">
        <v>322</v>
      </c>
      <c r="ES112" t="s">
        <v>322</v>
      </c>
      <c r="ET112" t="s">
        <v>322</v>
      </c>
      <c r="EU112">
        <v>0</v>
      </c>
      <c r="EV112">
        <v>100</v>
      </c>
      <c r="EW112">
        <v>100</v>
      </c>
      <c r="EX112">
        <v>6.8369999999999997</v>
      </c>
      <c r="EY112">
        <v>-1.8939999999999999</v>
      </c>
      <c r="EZ112">
        <v>6.8813814285714283</v>
      </c>
      <c r="FA112">
        <v>0</v>
      </c>
      <c r="FB112">
        <v>0</v>
      </c>
      <c r="FC112">
        <v>0</v>
      </c>
      <c r="FD112">
        <v>-1.8918071428571439</v>
      </c>
      <c r="FE112">
        <v>0</v>
      </c>
      <c r="FF112">
        <v>0</v>
      </c>
      <c r="FG112">
        <v>0</v>
      </c>
      <c r="FH112">
        <v>-1</v>
      </c>
      <c r="FI112">
        <v>-1</v>
      </c>
      <c r="FJ112">
        <v>-1</v>
      </c>
      <c r="FK112">
        <v>-1</v>
      </c>
      <c r="FL112">
        <v>0.6</v>
      </c>
      <c r="FM112">
        <v>0.5</v>
      </c>
      <c r="FN112">
        <v>0.14038100000000001</v>
      </c>
      <c r="FO112">
        <v>4.99634</v>
      </c>
      <c r="FP112">
        <v>1.5979000000000001</v>
      </c>
      <c r="FQ112">
        <v>2.1130399999999998</v>
      </c>
      <c r="FR112">
        <v>1.5478499999999999</v>
      </c>
      <c r="FS112">
        <v>2.4475099999999999</v>
      </c>
      <c r="FT112">
        <v>50.283200000000001</v>
      </c>
      <c r="FU112">
        <v>15.2615</v>
      </c>
      <c r="FV112">
        <v>2</v>
      </c>
      <c r="FW112">
        <v>505.84399999999999</v>
      </c>
      <c r="FX112">
        <v>347.93099999999998</v>
      </c>
      <c r="FY112">
        <v>31.4011</v>
      </c>
      <c r="FZ112">
        <v>39.979999999999997</v>
      </c>
      <c r="GA112">
        <v>30</v>
      </c>
      <c r="GB112">
        <v>40.102800000000002</v>
      </c>
      <c r="GC112">
        <v>40.119700000000002</v>
      </c>
      <c r="GD112">
        <v>-1</v>
      </c>
      <c r="GE112">
        <v>0</v>
      </c>
      <c r="GF112">
        <v>100</v>
      </c>
      <c r="GG112">
        <v>31.445900000000002</v>
      </c>
      <c r="GH112">
        <v>432.1</v>
      </c>
      <c r="GI112">
        <v>42.4801</v>
      </c>
      <c r="GJ112">
        <v>100.657</v>
      </c>
      <c r="GK112">
        <v>95.122600000000006</v>
      </c>
    </row>
    <row r="113" spans="1:193" x14ac:dyDescent="0.35">
      <c r="A113">
        <v>97</v>
      </c>
      <c r="B113">
        <v>1775537787</v>
      </c>
      <c r="C113">
        <v>5760.9000000953674</v>
      </c>
      <c r="D113" t="s">
        <v>608</v>
      </c>
      <c r="E113" t="s">
        <v>609</v>
      </c>
      <c r="F113">
        <v>60</v>
      </c>
      <c r="G113">
        <v>1775537779</v>
      </c>
      <c r="H113">
        <f t="shared" si="30"/>
        <v>4.2346314523785591E-3</v>
      </c>
      <c r="I113">
        <f t="shared" si="31"/>
        <v>4.2346314523785589</v>
      </c>
      <c r="J113">
        <f t="shared" si="32"/>
        <v>-4.2611768275972164</v>
      </c>
      <c r="K113">
        <f t="shared" si="33"/>
        <v>-8.9674483870967752</v>
      </c>
      <c r="L113">
        <f t="shared" si="34"/>
        <v>64.64789516072905</v>
      </c>
      <c r="M113">
        <f t="shared" si="35"/>
        <v>6.4815183772457532</v>
      </c>
      <c r="N113">
        <f t="shared" si="36"/>
        <v>-0.89906533497284979</v>
      </c>
      <c r="O113">
        <f t="shared" si="37"/>
        <v>9.1691816901740636E-2</v>
      </c>
      <c r="P113">
        <f t="shared" si="38"/>
        <v>2.3927488035097335</v>
      </c>
      <c r="Q113">
        <f t="shared" si="39"/>
        <v>8.9783589871646433E-2</v>
      </c>
      <c r="R113">
        <f t="shared" si="40"/>
        <v>5.6282882648104257E-2</v>
      </c>
      <c r="S113">
        <f t="shared" si="41"/>
        <v>0.32668014851612903</v>
      </c>
      <c r="T113">
        <f t="shared" si="42"/>
        <v>31.880193043030491</v>
      </c>
      <c r="U113">
        <f t="shared" si="43"/>
        <v>33.065203225806457</v>
      </c>
      <c r="V113">
        <f t="shared" si="44"/>
        <v>5.0706456541866505</v>
      </c>
      <c r="W113">
        <f t="shared" si="45"/>
        <v>9.2521819155365375</v>
      </c>
      <c r="X113">
        <f t="shared" si="46"/>
        <v>0.47267882730201705</v>
      </c>
      <c r="Y113">
        <f t="shared" si="47"/>
        <v>5.108836289829978</v>
      </c>
      <c r="Z113">
        <f t="shared" si="48"/>
        <v>4.5979668268846332</v>
      </c>
      <c r="AA113">
        <f t="shared" si="49"/>
        <v>-186.74724704989447</v>
      </c>
      <c r="AB113">
        <f t="shared" si="50"/>
        <v>17.243270586702028</v>
      </c>
      <c r="AC113">
        <f t="shared" si="51"/>
        <v>1.6525709541946267</v>
      </c>
      <c r="AD113">
        <f t="shared" si="52"/>
        <v>-167.52472536048168</v>
      </c>
      <c r="AE113">
        <v>6</v>
      </c>
      <c r="AF113">
        <v>1</v>
      </c>
      <c r="AG113">
        <f t="shared" si="53"/>
        <v>1</v>
      </c>
      <c r="AH113">
        <f t="shared" si="54"/>
        <v>0</v>
      </c>
      <c r="AI113">
        <f t="shared" si="55"/>
        <v>25068.348982144475</v>
      </c>
      <c r="AJ113">
        <f t="shared" si="56"/>
        <v>1.7094722580645161</v>
      </c>
      <c r="AK113">
        <f t="shared" si="57"/>
        <v>1.3675778064516129</v>
      </c>
      <c r="AL113">
        <f t="shared" si="58"/>
        <v>0.8</v>
      </c>
      <c r="AM113">
        <f t="shared" si="59"/>
        <v>0.19109999999999999</v>
      </c>
      <c r="AN113">
        <v>3</v>
      </c>
      <c r="AO113">
        <v>0.5</v>
      </c>
      <c r="AP113" t="s">
        <v>317</v>
      </c>
      <c r="AQ113">
        <v>2</v>
      </c>
      <c r="AR113">
        <v>1775537779</v>
      </c>
      <c r="AS113">
        <v>-8.9674483870967752</v>
      </c>
      <c r="AT113">
        <v>-11.546925806451609</v>
      </c>
      <c r="AU113">
        <v>4.7145883870967733</v>
      </c>
      <c r="AV113">
        <v>2.1858009677419341</v>
      </c>
      <c r="AW113">
        <v>-15.787448387096781</v>
      </c>
      <c r="AX113">
        <v>4.0798009677419342</v>
      </c>
      <c r="AY113">
        <v>500.0025161290323</v>
      </c>
      <c r="AZ113">
        <v>100.20987096774191</v>
      </c>
      <c r="BA113">
        <v>4.8897877419354828E-2</v>
      </c>
      <c r="BB113">
        <v>33.198874193548377</v>
      </c>
      <c r="BC113">
        <v>33.065203225806457</v>
      </c>
      <c r="BD113">
        <v>999.90000000000032</v>
      </c>
      <c r="BE113">
        <v>0</v>
      </c>
      <c r="BF113">
        <v>0</v>
      </c>
      <c r="BG113">
        <v>5001.6612903225796</v>
      </c>
      <c r="BH113">
        <v>1.7094722580645161</v>
      </c>
      <c r="BI113">
        <v>1922.324516129032</v>
      </c>
      <c r="BJ113">
        <v>2.5964961290322579</v>
      </c>
      <c r="BK113">
        <v>-8.9700203225806447</v>
      </c>
      <c r="BL113">
        <v>-11.601629032258071</v>
      </c>
      <c r="BM113">
        <v>-2.5285961290322581</v>
      </c>
      <c r="BN113">
        <v>-11.546925806451609</v>
      </c>
      <c r="BO113">
        <v>4.7145883870967733</v>
      </c>
      <c r="BP113">
        <v>0.21905777419354841</v>
      </c>
      <c r="BQ113">
        <v>0.47244799999999998</v>
      </c>
      <c r="BR113">
        <v>-13.40389677419355</v>
      </c>
      <c r="BS113">
        <v>-3.5473300000000001</v>
      </c>
      <c r="BT113">
        <v>1775537820</v>
      </c>
      <c r="BU113" t="s">
        <v>610</v>
      </c>
      <c r="BV113">
        <v>1775537804.5</v>
      </c>
      <c r="BW113">
        <v>1775537820</v>
      </c>
      <c r="BX113">
        <v>98</v>
      </c>
      <c r="BY113">
        <v>-1.7000000000000001E-2</v>
      </c>
      <c r="BZ113">
        <v>0</v>
      </c>
      <c r="CA113">
        <v>6.82</v>
      </c>
      <c r="CB113">
        <v>-1.8939999999999999</v>
      </c>
      <c r="CC113">
        <v>-11</v>
      </c>
      <c r="CD113">
        <v>5</v>
      </c>
      <c r="CE113">
        <v>0.26</v>
      </c>
      <c r="CF113">
        <v>0.03</v>
      </c>
      <c r="CG113">
        <v>-11.167542622950821</v>
      </c>
      <c r="CH113">
        <v>-1.904545319936537</v>
      </c>
      <c r="CI113">
        <v>0.46980829381502243</v>
      </c>
      <c r="CJ113">
        <v>-1</v>
      </c>
      <c r="CK113">
        <v>500.96398360655729</v>
      </c>
      <c r="CL113">
        <v>-8.867263881544222</v>
      </c>
      <c r="CM113">
        <v>1.8967294326589821</v>
      </c>
      <c r="CN113">
        <v>-1</v>
      </c>
      <c r="CO113">
        <v>0</v>
      </c>
      <c r="CP113">
        <v>0</v>
      </c>
      <c r="CQ113" t="s">
        <v>319</v>
      </c>
      <c r="CR113">
        <v>3.1693500000000001</v>
      </c>
      <c r="CS113">
        <v>2.6700300000000001</v>
      </c>
      <c r="CT113">
        <v>-4.6330599999999996E-3</v>
      </c>
      <c r="CU113">
        <v>-3.2910399999999999E-3</v>
      </c>
      <c r="CV113">
        <v>2.70566E-2</v>
      </c>
      <c r="CW113">
        <v>3.11436E-2</v>
      </c>
      <c r="CX113">
        <v>21287.4</v>
      </c>
      <c r="CY113">
        <v>21715.1</v>
      </c>
      <c r="CZ113">
        <v>22728.799999999999</v>
      </c>
      <c r="DA113">
        <v>22019.200000000001</v>
      </c>
      <c r="DB113">
        <v>28546.799999999999</v>
      </c>
      <c r="DC113">
        <v>25387.9</v>
      </c>
      <c r="DD113">
        <v>40011.199999999997</v>
      </c>
      <c r="DE113">
        <v>36431.1</v>
      </c>
      <c r="DF113">
        <v>1.9812399999999999</v>
      </c>
      <c r="DG113">
        <v>1.5977399999999999</v>
      </c>
      <c r="DH113">
        <v>-8.9913599999999996E-2</v>
      </c>
      <c r="DI113">
        <v>0</v>
      </c>
      <c r="DJ113">
        <v>34.492400000000004</v>
      </c>
      <c r="DK113">
        <v>999.9</v>
      </c>
      <c r="DL113">
        <v>49.4</v>
      </c>
      <c r="DM113">
        <v>46.5</v>
      </c>
      <c r="DN113">
        <v>51.315800000000003</v>
      </c>
      <c r="DO113">
        <v>30.654699999999998</v>
      </c>
      <c r="DP113">
        <v>10.2484</v>
      </c>
      <c r="DQ113">
        <v>1</v>
      </c>
      <c r="DR113">
        <v>1.0663499999999999</v>
      </c>
      <c r="DS113">
        <v>3.0038800000000001</v>
      </c>
      <c r="DT113">
        <v>20.3261</v>
      </c>
      <c r="DU113">
        <v>5.2067500000000004</v>
      </c>
      <c r="DV113">
        <v>11.8565</v>
      </c>
      <c r="DW113">
        <v>4.9666800000000002</v>
      </c>
      <c r="DX113">
        <v>3.2923399999999998</v>
      </c>
      <c r="DY113">
        <v>894.7</v>
      </c>
      <c r="DZ113">
        <v>6</v>
      </c>
      <c r="EA113">
        <v>9999</v>
      </c>
      <c r="EB113">
        <v>117.3</v>
      </c>
      <c r="EC113">
        <v>4.9716100000000001</v>
      </c>
      <c r="ED113">
        <v>1.8722399999999999</v>
      </c>
      <c r="EE113">
        <v>1.86958</v>
      </c>
      <c r="EF113">
        <v>1.8718600000000001</v>
      </c>
      <c r="EG113">
        <v>1.8696600000000001</v>
      </c>
      <c r="EH113">
        <v>1.8684400000000001</v>
      </c>
      <c r="EI113">
        <v>1.8702700000000001</v>
      </c>
      <c r="EJ113">
        <v>1.87195</v>
      </c>
      <c r="EK113">
        <v>0</v>
      </c>
      <c r="EL113">
        <v>0</v>
      </c>
      <c r="EM113">
        <v>0</v>
      </c>
      <c r="EN113">
        <v>0</v>
      </c>
      <c r="EO113" t="s">
        <v>320</v>
      </c>
      <c r="EP113" t="s">
        <v>321</v>
      </c>
      <c r="EQ113" t="s">
        <v>322</v>
      </c>
      <c r="ER113" t="s">
        <v>322</v>
      </c>
      <c r="ES113" t="s">
        <v>322</v>
      </c>
      <c r="ET113" t="s">
        <v>322</v>
      </c>
      <c r="EU113">
        <v>0</v>
      </c>
      <c r="EV113">
        <v>100</v>
      </c>
      <c r="EW113">
        <v>100</v>
      </c>
      <c r="EX113">
        <v>6.82</v>
      </c>
      <c r="EY113">
        <v>-1.8939999999999999</v>
      </c>
      <c r="EZ113">
        <v>6.8370199999999972</v>
      </c>
      <c r="FA113">
        <v>0</v>
      </c>
      <c r="FB113">
        <v>0</v>
      </c>
      <c r="FC113">
        <v>0</v>
      </c>
      <c r="FD113">
        <v>-1.8938090000000001</v>
      </c>
      <c r="FE113">
        <v>0</v>
      </c>
      <c r="FF113">
        <v>0</v>
      </c>
      <c r="FG113">
        <v>0</v>
      </c>
      <c r="FH113">
        <v>-1</v>
      </c>
      <c r="FI113">
        <v>-1</v>
      </c>
      <c r="FJ113">
        <v>-1</v>
      </c>
      <c r="FK113">
        <v>-1</v>
      </c>
      <c r="FL113">
        <v>0.7</v>
      </c>
      <c r="FM113">
        <v>0.5</v>
      </c>
      <c r="FN113">
        <v>0.14038100000000001</v>
      </c>
      <c r="FO113">
        <v>4.99756</v>
      </c>
      <c r="FP113">
        <v>1.5979000000000001</v>
      </c>
      <c r="FQ113">
        <v>2.1130399999999998</v>
      </c>
      <c r="FR113">
        <v>1.5478499999999999</v>
      </c>
      <c r="FS113">
        <v>2.4328599999999998</v>
      </c>
      <c r="FT113">
        <v>50.283200000000001</v>
      </c>
      <c r="FU113">
        <v>15.252800000000001</v>
      </c>
      <c r="FV113">
        <v>2</v>
      </c>
      <c r="FW113">
        <v>505.65600000000001</v>
      </c>
      <c r="FX113">
        <v>348.065</v>
      </c>
      <c r="FY113">
        <v>31.261399999999998</v>
      </c>
      <c r="FZ113">
        <v>39.990299999999998</v>
      </c>
      <c r="GA113">
        <v>29.998799999999999</v>
      </c>
      <c r="GB113">
        <v>40.123100000000001</v>
      </c>
      <c r="GC113">
        <v>40.139200000000002</v>
      </c>
      <c r="GD113">
        <v>-1</v>
      </c>
      <c r="GE113">
        <v>0</v>
      </c>
      <c r="GF113">
        <v>100</v>
      </c>
      <c r="GG113">
        <v>31.29</v>
      </c>
      <c r="GH113">
        <v>432.1</v>
      </c>
      <c r="GI113">
        <v>42.4801</v>
      </c>
      <c r="GJ113">
        <v>100.654</v>
      </c>
      <c r="GK113">
        <v>95.121499999999997</v>
      </c>
    </row>
    <row r="114" spans="1:193" x14ac:dyDescent="0.35">
      <c r="A114">
        <v>98</v>
      </c>
      <c r="B114">
        <v>1775537847</v>
      </c>
      <c r="C114">
        <v>5820.9000000953674</v>
      </c>
      <c r="D114" t="s">
        <v>611</v>
      </c>
      <c r="E114" t="s">
        <v>612</v>
      </c>
      <c r="F114">
        <v>60</v>
      </c>
      <c r="G114">
        <v>1775537839</v>
      </c>
      <c r="H114">
        <f t="shared" si="30"/>
        <v>4.2183507268760802E-3</v>
      </c>
      <c r="I114">
        <f t="shared" si="31"/>
        <v>4.2183507268760803</v>
      </c>
      <c r="J114">
        <f t="shared" si="32"/>
        <v>-3.3276540984502678</v>
      </c>
      <c r="K114">
        <f t="shared" si="33"/>
        <v>-9.6567806451612892</v>
      </c>
      <c r="L114">
        <f t="shared" si="34"/>
        <v>48.107233041236093</v>
      </c>
      <c r="M114">
        <f t="shared" si="35"/>
        <v>4.8229807680993817</v>
      </c>
      <c r="N114">
        <f t="shared" si="36"/>
        <v>-0.96813856023365519</v>
      </c>
      <c r="O114">
        <f t="shared" si="37"/>
        <v>9.1558829849523959E-2</v>
      </c>
      <c r="P114">
        <f t="shared" si="38"/>
        <v>2.3952909664779738</v>
      </c>
      <c r="Q114">
        <f t="shared" si="39"/>
        <v>8.9658046436959293E-2</v>
      </c>
      <c r="R114">
        <f t="shared" si="40"/>
        <v>5.620377020837003E-2</v>
      </c>
      <c r="S114">
        <f t="shared" si="41"/>
        <v>0.32724555793548399</v>
      </c>
      <c r="T114">
        <f t="shared" si="42"/>
        <v>31.862311182842575</v>
      </c>
      <c r="U114">
        <f t="shared" si="43"/>
        <v>33.027522580645162</v>
      </c>
      <c r="V114">
        <f t="shared" si="44"/>
        <v>5.059925037999534</v>
      </c>
      <c r="W114">
        <f t="shared" si="45"/>
        <v>9.2743590038867971</v>
      </c>
      <c r="X114">
        <f t="shared" si="46"/>
        <v>0.47316860863847232</v>
      </c>
      <c r="Y114">
        <f t="shared" si="47"/>
        <v>5.1019009339639725</v>
      </c>
      <c r="Z114">
        <f t="shared" si="48"/>
        <v>4.5867564293610616</v>
      </c>
      <c r="AA114">
        <f t="shared" si="49"/>
        <v>-186.02926705523512</v>
      </c>
      <c r="AB114">
        <f t="shared" si="50"/>
        <v>19.001163036248592</v>
      </c>
      <c r="AC114">
        <f t="shared" si="51"/>
        <v>1.8185606266402863</v>
      </c>
      <c r="AD114">
        <f t="shared" si="52"/>
        <v>-164.88229783441076</v>
      </c>
      <c r="AE114">
        <v>6</v>
      </c>
      <c r="AF114">
        <v>1</v>
      </c>
      <c r="AG114">
        <f t="shared" si="53"/>
        <v>1</v>
      </c>
      <c r="AH114">
        <f t="shared" si="54"/>
        <v>0</v>
      </c>
      <c r="AI114">
        <f t="shared" si="55"/>
        <v>25108.410530305471</v>
      </c>
      <c r="AJ114">
        <f t="shared" si="56"/>
        <v>1.712430967741936</v>
      </c>
      <c r="AK114">
        <f t="shared" si="57"/>
        <v>1.3699447741935489</v>
      </c>
      <c r="AL114">
        <f t="shared" si="58"/>
        <v>0.8</v>
      </c>
      <c r="AM114">
        <f t="shared" si="59"/>
        <v>0.19109999999999999</v>
      </c>
      <c r="AN114">
        <v>3</v>
      </c>
      <c r="AO114">
        <v>0.5</v>
      </c>
      <c r="AP114" t="s">
        <v>317</v>
      </c>
      <c r="AQ114">
        <v>2</v>
      </c>
      <c r="AR114">
        <v>1775537839</v>
      </c>
      <c r="AS114">
        <v>-9.6567806451612892</v>
      </c>
      <c r="AT114">
        <v>-11.677770967741941</v>
      </c>
      <c r="AU114">
        <v>4.7196606451612908</v>
      </c>
      <c r="AV114">
        <v>2.20065</v>
      </c>
      <c r="AW114">
        <v>-16.49578064516129</v>
      </c>
      <c r="AX114">
        <v>4.09565</v>
      </c>
      <c r="AY114">
        <v>500.01077419354829</v>
      </c>
      <c r="AZ114">
        <v>100.20558064516131</v>
      </c>
      <c r="BA114">
        <v>4.9213970967741931E-2</v>
      </c>
      <c r="BB114">
        <v>33.174664516129027</v>
      </c>
      <c r="BC114">
        <v>33.027522580645162</v>
      </c>
      <c r="BD114">
        <v>999.90000000000032</v>
      </c>
      <c r="BE114">
        <v>0</v>
      </c>
      <c r="BF114">
        <v>0</v>
      </c>
      <c r="BG114">
        <v>5008.4193548387093</v>
      </c>
      <c r="BH114">
        <v>1.712430967741936</v>
      </c>
      <c r="BI114">
        <v>1914.16935483871</v>
      </c>
      <c r="BJ114">
        <v>2.002213225806452</v>
      </c>
      <c r="BK114">
        <v>-9.6968967741935472</v>
      </c>
      <c r="BL114">
        <v>-11.73313870967741</v>
      </c>
      <c r="BM114">
        <v>-2.5179725806451612</v>
      </c>
      <c r="BN114">
        <v>-11.677770967741941</v>
      </c>
      <c r="BO114">
        <v>4.7196606451612908</v>
      </c>
      <c r="BP114">
        <v>0.2206215806451613</v>
      </c>
      <c r="BQ114">
        <v>0.47293648387096782</v>
      </c>
      <c r="BR114">
        <v>-13.307048387096771</v>
      </c>
      <c r="BS114">
        <v>-3.5335154838709681</v>
      </c>
      <c r="BT114">
        <v>1775537875</v>
      </c>
      <c r="BU114" t="s">
        <v>613</v>
      </c>
      <c r="BV114">
        <v>1775537865</v>
      </c>
      <c r="BW114">
        <v>1775537875</v>
      </c>
      <c r="BX114">
        <v>99</v>
      </c>
      <c r="BY114">
        <v>1.9E-2</v>
      </c>
      <c r="BZ114">
        <v>-1E-3</v>
      </c>
      <c r="CA114">
        <v>6.8390000000000004</v>
      </c>
      <c r="CB114">
        <v>-1.895</v>
      </c>
      <c r="CC114">
        <v>-12</v>
      </c>
      <c r="CD114">
        <v>5</v>
      </c>
      <c r="CE114">
        <v>0.11</v>
      </c>
      <c r="CF114">
        <v>0.03</v>
      </c>
      <c r="CG114">
        <v>-11.807640983606561</v>
      </c>
      <c r="CH114">
        <v>0.67624219989425371</v>
      </c>
      <c r="CI114">
        <v>0.2067754324572553</v>
      </c>
      <c r="CJ114">
        <v>-1</v>
      </c>
      <c r="CK114">
        <v>500.94788524590172</v>
      </c>
      <c r="CL114">
        <v>-5.0324547858280431</v>
      </c>
      <c r="CM114">
        <v>1.862236625439039</v>
      </c>
      <c r="CN114">
        <v>-1</v>
      </c>
      <c r="CO114">
        <v>0</v>
      </c>
      <c r="CP114">
        <v>0</v>
      </c>
      <c r="CQ114" t="s">
        <v>319</v>
      </c>
      <c r="CR114">
        <v>3.1694300000000002</v>
      </c>
      <c r="CS114">
        <v>2.67075</v>
      </c>
      <c r="CT114">
        <v>-4.7323799999999996E-3</v>
      </c>
      <c r="CU114">
        <v>-3.3458199999999998E-3</v>
      </c>
      <c r="CV114">
        <v>2.7963600000000002E-2</v>
      </c>
      <c r="CW114">
        <v>3.1201599999999999E-2</v>
      </c>
      <c r="CX114">
        <v>21291</v>
      </c>
      <c r="CY114">
        <v>21717.7</v>
      </c>
      <c r="CZ114">
        <v>22730.2</v>
      </c>
      <c r="DA114">
        <v>22020.6</v>
      </c>
      <c r="DB114">
        <v>28522</v>
      </c>
      <c r="DC114">
        <v>25388.2</v>
      </c>
      <c r="DD114">
        <v>40013.599999999999</v>
      </c>
      <c r="DE114">
        <v>36433.699999999997</v>
      </c>
      <c r="DF114">
        <v>1.9815400000000001</v>
      </c>
      <c r="DG114">
        <v>1.59758</v>
      </c>
      <c r="DH114">
        <v>-8.73506E-2</v>
      </c>
      <c r="DI114">
        <v>0</v>
      </c>
      <c r="DJ114">
        <v>34.454500000000003</v>
      </c>
      <c r="DK114">
        <v>999.9</v>
      </c>
      <c r="DL114">
        <v>49.2</v>
      </c>
      <c r="DM114">
        <v>46.6</v>
      </c>
      <c r="DN114">
        <v>51.374200000000002</v>
      </c>
      <c r="DO114">
        <v>30.564699999999998</v>
      </c>
      <c r="DP114">
        <v>10.160299999999999</v>
      </c>
      <c r="DQ114">
        <v>1</v>
      </c>
      <c r="DR114">
        <v>1.06288</v>
      </c>
      <c r="DS114">
        <v>2.7540399999999998</v>
      </c>
      <c r="DT114">
        <v>20.332000000000001</v>
      </c>
      <c r="DU114">
        <v>5.2100999999999997</v>
      </c>
      <c r="DV114">
        <v>11.857100000000001</v>
      </c>
      <c r="DW114">
        <v>4.96732</v>
      </c>
      <c r="DX114">
        <v>3.2930000000000001</v>
      </c>
      <c r="DY114">
        <v>894.7</v>
      </c>
      <c r="DZ114">
        <v>6</v>
      </c>
      <c r="EA114">
        <v>9999</v>
      </c>
      <c r="EB114">
        <v>117.4</v>
      </c>
      <c r="EC114">
        <v>4.9716300000000002</v>
      </c>
      <c r="ED114">
        <v>1.8722399999999999</v>
      </c>
      <c r="EE114">
        <v>1.86958</v>
      </c>
      <c r="EF114">
        <v>1.8718600000000001</v>
      </c>
      <c r="EG114">
        <v>1.8696600000000001</v>
      </c>
      <c r="EH114">
        <v>1.8684499999999999</v>
      </c>
      <c r="EI114">
        <v>1.8702799999999999</v>
      </c>
      <c r="EJ114">
        <v>1.87195</v>
      </c>
      <c r="EK114">
        <v>0</v>
      </c>
      <c r="EL114">
        <v>0</v>
      </c>
      <c r="EM114">
        <v>0</v>
      </c>
      <c r="EN114">
        <v>0</v>
      </c>
      <c r="EO114" t="s">
        <v>320</v>
      </c>
      <c r="EP114" t="s">
        <v>321</v>
      </c>
      <c r="EQ114" t="s">
        <v>322</v>
      </c>
      <c r="ER114" t="s">
        <v>322</v>
      </c>
      <c r="ES114" t="s">
        <v>322</v>
      </c>
      <c r="ET114" t="s">
        <v>322</v>
      </c>
      <c r="EU114">
        <v>0</v>
      </c>
      <c r="EV114">
        <v>100</v>
      </c>
      <c r="EW114">
        <v>100</v>
      </c>
      <c r="EX114">
        <v>6.8390000000000004</v>
      </c>
      <c r="EY114">
        <v>-1.895</v>
      </c>
      <c r="EZ114">
        <v>6.8202380952380954</v>
      </c>
      <c r="FA114">
        <v>0</v>
      </c>
      <c r="FB114">
        <v>0</v>
      </c>
      <c r="FC114">
        <v>0</v>
      </c>
      <c r="FD114">
        <v>-1.8939625000000011</v>
      </c>
      <c r="FE114">
        <v>0</v>
      </c>
      <c r="FF114">
        <v>0</v>
      </c>
      <c r="FG114">
        <v>0</v>
      </c>
      <c r="FH114">
        <v>-1</v>
      </c>
      <c r="FI114">
        <v>-1</v>
      </c>
      <c r="FJ114">
        <v>-1</v>
      </c>
      <c r="FK114">
        <v>-1</v>
      </c>
      <c r="FL114">
        <v>0.7</v>
      </c>
      <c r="FM114">
        <v>0.5</v>
      </c>
      <c r="FN114">
        <v>0.14038100000000001</v>
      </c>
      <c r="FO114">
        <v>4.99756</v>
      </c>
      <c r="FP114">
        <v>1.5979000000000001</v>
      </c>
      <c r="FQ114">
        <v>2.1130399999999998</v>
      </c>
      <c r="FR114">
        <v>1.5478499999999999</v>
      </c>
      <c r="FS114">
        <v>2.5317400000000001</v>
      </c>
      <c r="FT114">
        <v>50.283200000000001</v>
      </c>
      <c r="FU114">
        <v>15.2615</v>
      </c>
      <c r="FV114">
        <v>2</v>
      </c>
      <c r="FW114">
        <v>505.92099999999999</v>
      </c>
      <c r="FX114">
        <v>348.053</v>
      </c>
      <c r="FY114">
        <v>31.4358</v>
      </c>
      <c r="FZ114">
        <v>39.979999999999997</v>
      </c>
      <c r="GA114">
        <v>30</v>
      </c>
      <c r="GB114">
        <v>40.134799999999998</v>
      </c>
      <c r="GC114">
        <v>40.1554</v>
      </c>
      <c r="GD114">
        <v>-1</v>
      </c>
      <c r="GE114">
        <v>0</v>
      </c>
      <c r="GF114">
        <v>100</v>
      </c>
      <c r="GG114">
        <v>31.4541</v>
      </c>
      <c r="GH114">
        <v>432.1</v>
      </c>
      <c r="GI114">
        <v>42.4801</v>
      </c>
      <c r="GJ114">
        <v>100.66</v>
      </c>
      <c r="GK114">
        <v>95.128</v>
      </c>
    </row>
    <row r="115" spans="1:193" x14ac:dyDescent="0.35">
      <c r="A115">
        <v>99</v>
      </c>
      <c r="B115">
        <v>1775537907</v>
      </c>
      <c r="C115">
        <v>5880.9000000953674</v>
      </c>
      <c r="D115" t="s">
        <v>614</v>
      </c>
      <c r="E115" t="s">
        <v>615</v>
      </c>
      <c r="F115">
        <v>60</v>
      </c>
      <c r="G115">
        <v>1775537899</v>
      </c>
      <c r="H115">
        <f t="shared" si="30"/>
        <v>3.9947138344497545E-3</v>
      </c>
      <c r="I115">
        <f t="shared" si="31"/>
        <v>3.9947138344497541</v>
      </c>
      <c r="J115">
        <f t="shared" si="32"/>
        <v>-3.3107472722225721</v>
      </c>
      <c r="K115">
        <f t="shared" si="33"/>
        <v>-9.7200225806451606</v>
      </c>
      <c r="L115">
        <f t="shared" si="34"/>
        <v>51.044171771868129</v>
      </c>
      <c r="M115">
        <f t="shared" si="35"/>
        <v>5.117315221698866</v>
      </c>
      <c r="N115">
        <f t="shared" si="36"/>
        <v>-0.9744583520621547</v>
      </c>
      <c r="O115">
        <f t="shared" si="37"/>
        <v>8.6462983194309576E-2</v>
      </c>
      <c r="P115">
        <f t="shared" si="38"/>
        <v>2.3912580213348811</v>
      </c>
      <c r="Q115">
        <f t="shared" si="39"/>
        <v>8.4762978753708876E-2</v>
      </c>
      <c r="R115">
        <f t="shared" si="40"/>
        <v>5.3126816398801263E-2</v>
      </c>
      <c r="S115">
        <f t="shared" si="41"/>
        <v>0.32907826858064526</v>
      </c>
      <c r="T115">
        <f t="shared" si="42"/>
        <v>31.949174664435343</v>
      </c>
      <c r="U115">
        <f t="shared" si="43"/>
        <v>33.06144193548387</v>
      </c>
      <c r="V115">
        <f t="shared" si="44"/>
        <v>5.0695746327747448</v>
      </c>
      <c r="W115">
        <f t="shared" si="45"/>
        <v>9.3106117303833553</v>
      </c>
      <c r="X115">
        <f t="shared" si="46"/>
        <v>0.47552609811765817</v>
      </c>
      <c r="Y115">
        <f t="shared" si="47"/>
        <v>5.1073561210363012</v>
      </c>
      <c r="Z115">
        <f t="shared" si="48"/>
        <v>4.5940485346570865</v>
      </c>
      <c r="AA115">
        <f t="shared" si="49"/>
        <v>-176.16688009923416</v>
      </c>
      <c r="AB115">
        <f t="shared" si="50"/>
        <v>17.051626944523104</v>
      </c>
      <c r="AC115">
        <f t="shared" si="51"/>
        <v>1.6351513901618873</v>
      </c>
      <c r="AD115">
        <f t="shared" si="52"/>
        <v>-157.15102349596853</v>
      </c>
      <c r="AE115">
        <v>6</v>
      </c>
      <c r="AF115">
        <v>1</v>
      </c>
      <c r="AG115">
        <f t="shared" si="53"/>
        <v>1</v>
      </c>
      <c r="AH115">
        <f t="shared" si="54"/>
        <v>0</v>
      </c>
      <c r="AI115">
        <f t="shared" si="55"/>
        <v>25046.806532022845</v>
      </c>
      <c r="AJ115">
        <f t="shared" si="56"/>
        <v>1.7220212903225811</v>
      </c>
      <c r="AK115">
        <f t="shared" si="57"/>
        <v>1.377617032258065</v>
      </c>
      <c r="AL115">
        <f t="shared" si="58"/>
        <v>0.8</v>
      </c>
      <c r="AM115">
        <f t="shared" si="59"/>
        <v>0.19109999999999999</v>
      </c>
      <c r="AN115">
        <v>3</v>
      </c>
      <c r="AO115">
        <v>0.5</v>
      </c>
      <c r="AP115" t="s">
        <v>317</v>
      </c>
      <c r="AQ115">
        <v>2</v>
      </c>
      <c r="AR115">
        <v>1775537899</v>
      </c>
      <c r="AS115">
        <v>-9.7200225806451606</v>
      </c>
      <c r="AT115">
        <v>-11.72981290322581</v>
      </c>
      <c r="AU115">
        <v>4.7432754838709688</v>
      </c>
      <c r="AV115">
        <v>2.3577629032258072</v>
      </c>
      <c r="AW115">
        <v>-16.60602258064516</v>
      </c>
      <c r="AX115">
        <v>4.2547629032258074</v>
      </c>
      <c r="AY115">
        <v>499.98887096774189</v>
      </c>
      <c r="AZ115">
        <v>100.2031290322581</v>
      </c>
      <c r="BA115">
        <v>4.9554948387096773E-2</v>
      </c>
      <c r="BB115">
        <v>33.193709677419363</v>
      </c>
      <c r="BC115">
        <v>33.06144193548387</v>
      </c>
      <c r="BD115">
        <v>999.90000000000032</v>
      </c>
      <c r="BE115">
        <v>0</v>
      </c>
      <c r="BF115">
        <v>0</v>
      </c>
      <c r="BG115">
        <v>4998.1612903225796</v>
      </c>
      <c r="BH115">
        <v>1.7220212903225811</v>
      </c>
      <c r="BI115">
        <v>1931.018064516129</v>
      </c>
      <c r="BJ115">
        <v>1.9627761290322581</v>
      </c>
      <c r="BK115">
        <v>-9.7901480645161296</v>
      </c>
      <c r="BL115">
        <v>-11.785735483870971</v>
      </c>
      <c r="BM115">
        <v>-2.383325483870967</v>
      </c>
      <c r="BN115">
        <v>-11.72981290322581</v>
      </c>
      <c r="BO115">
        <v>4.7432754838709688</v>
      </c>
      <c r="BP115">
        <v>0.2364746129032258</v>
      </c>
      <c r="BQ115">
        <v>0.47529135483870971</v>
      </c>
      <c r="BR115">
        <v>-12.450796774193551</v>
      </c>
      <c r="BS115">
        <v>-3.4671067741935491</v>
      </c>
      <c r="BT115">
        <v>1775537936.5</v>
      </c>
      <c r="BU115" t="s">
        <v>616</v>
      </c>
      <c r="BV115">
        <v>1775537926.5</v>
      </c>
      <c r="BW115">
        <v>1775537936.5</v>
      </c>
      <c r="BX115">
        <v>100</v>
      </c>
      <c r="BY115">
        <v>4.7E-2</v>
      </c>
      <c r="BZ115">
        <v>-2E-3</v>
      </c>
      <c r="CA115">
        <v>6.8860000000000001</v>
      </c>
      <c r="CB115">
        <v>-1.897</v>
      </c>
      <c r="CC115">
        <v>-12</v>
      </c>
      <c r="CD115">
        <v>5</v>
      </c>
      <c r="CE115">
        <v>0.41</v>
      </c>
      <c r="CF115">
        <v>0.04</v>
      </c>
      <c r="CG115">
        <v>-11.82037868852459</v>
      </c>
      <c r="CH115">
        <v>0.64337133791644141</v>
      </c>
      <c r="CI115">
        <v>0.1029916121282302</v>
      </c>
      <c r="CJ115">
        <v>-1</v>
      </c>
      <c r="CK115">
        <v>500.93157377049181</v>
      </c>
      <c r="CL115">
        <v>-8.7662887361187778</v>
      </c>
      <c r="CM115">
        <v>1.8873060986844961</v>
      </c>
      <c r="CN115">
        <v>-1</v>
      </c>
      <c r="CO115">
        <v>0</v>
      </c>
      <c r="CP115">
        <v>0</v>
      </c>
      <c r="CQ115" t="s">
        <v>319</v>
      </c>
      <c r="CR115">
        <v>3.1692999999999998</v>
      </c>
      <c r="CS115">
        <v>2.6703199999999998</v>
      </c>
      <c r="CT115">
        <v>-4.7793200000000001E-3</v>
      </c>
      <c r="CU115">
        <v>-3.42224E-3</v>
      </c>
      <c r="CV115">
        <v>2.8804E-2</v>
      </c>
      <c r="CW115">
        <v>3.1346699999999998E-2</v>
      </c>
      <c r="CX115">
        <v>21289.9</v>
      </c>
      <c r="CY115">
        <v>21717.7</v>
      </c>
      <c r="CZ115">
        <v>22728.1</v>
      </c>
      <c r="DA115">
        <v>22019</v>
      </c>
      <c r="DB115">
        <v>28495.1</v>
      </c>
      <c r="DC115">
        <v>25382.3</v>
      </c>
      <c r="DD115">
        <v>40010.6</v>
      </c>
      <c r="DE115">
        <v>36430.800000000003</v>
      </c>
      <c r="DF115">
        <v>1.9816400000000001</v>
      </c>
      <c r="DG115">
        <v>1.59642</v>
      </c>
      <c r="DH115">
        <v>-8.2641800000000001E-2</v>
      </c>
      <c r="DI115">
        <v>0</v>
      </c>
      <c r="DJ115">
        <v>34.410699999999999</v>
      </c>
      <c r="DK115">
        <v>999.9</v>
      </c>
      <c r="DL115">
        <v>49.1</v>
      </c>
      <c r="DM115">
        <v>46.7</v>
      </c>
      <c r="DN115">
        <v>51.529899999999998</v>
      </c>
      <c r="DO115">
        <v>30.654699999999998</v>
      </c>
      <c r="DP115">
        <v>10.1562</v>
      </c>
      <c r="DQ115">
        <v>1</v>
      </c>
      <c r="DR115">
        <v>1.0660000000000001</v>
      </c>
      <c r="DS115">
        <v>2.7247499999999998</v>
      </c>
      <c r="DT115">
        <v>20.331600000000002</v>
      </c>
      <c r="DU115">
        <v>5.2067500000000004</v>
      </c>
      <c r="DV115">
        <v>11.855399999999999</v>
      </c>
      <c r="DW115">
        <v>4.9667199999999996</v>
      </c>
      <c r="DX115">
        <v>3.2923200000000001</v>
      </c>
      <c r="DY115">
        <v>894.7</v>
      </c>
      <c r="DZ115">
        <v>6</v>
      </c>
      <c r="EA115">
        <v>9999</v>
      </c>
      <c r="EB115">
        <v>117.4</v>
      </c>
      <c r="EC115">
        <v>4.9716100000000001</v>
      </c>
      <c r="ED115">
        <v>1.87225</v>
      </c>
      <c r="EE115">
        <v>1.8695600000000001</v>
      </c>
      <c r="EF115">
        <v>1.8718600000000001</v>
      </c>
      <c r="EG115">
        <v>1.8696600000000001</v>
      </c>
      <c r="EH115">
        <v>1.8684400000000001</v>
      </c>
      <c r="EI115">
        <v>1.8702700000000001</v>
      </c>
      <c r="EJ115">
        <v>1.87195</v>
      </c>
      <c r="EK115">
        <v>0</v>
      </c>
      <c r="EL115">
        <v>0</v>
      </c>
      <c r="EM115">
        <v>0</v>
      </c>
      <c r="EN115">
        <v>0</v>
      </c>
      <c r="EO115" t="s">
        <v>320</v>
      </c>
      <c r="EP115" t="s">
        <v>321</v>
      </c>
      <c r="EQ115" t="s">
        <v>322</v>
      </c>
      <c r="ER115" t="s">
        <v>322</v>
      </c>
      <c r="ES115" t="s">
        <v>322</v>
      </c>
      <c r="ET115" t="s">
        <v>322</v>
      </c>
      <c r="EU115">
        <v>0</v>
      </c>
      <c r="EV115">
        <v>100</v>
      </c>
      <c r="EW115">
        <v>100</v>
      </c>
      <c r="EX115">
        <v>6.8860000000000001</v>
      </c>
      <c r="EY115">
        <v>-1.897</v>
      </c>
      <c r="EZ115">
        <v>6.8389750000000014</v>
      </c>
      <c r="FA115">
        <v>0</v>
      </c>
      <c r="FB115">
        <v>0</v>
      </c>
      <c r="FC115">
        <v>0</v>
      </c>
      <c r="FD115">
        <v>-1.8948130000000001</v>
      </c>
      <c r="FE115">
        <v>0</v>
      </c>
      <c r="FF115">
        <v>0</v>
      </c>
      <c r="FG115">
        <v>0</v>
      </c>
      <c r="FH115">
        <v>-1</v>
      </c>
      <c r="FI115">
        <v>-1</v>
      </c>
      <c r="FJ115">
        <v>-1</v>
      </c>
      <c r="FK115">
        <v>-1</v>
      </c>
      <c r="FL115">
        <v>0.7</v>
      </c>
      <c r="FM115">
        <v>0.5</v>
      </c>
      <c r="FN115">
        <v>0.14038100000000001</v>
      </c>
      <c r="FO115">
        <v>4.99634</v>
      </c>
      <c r="FP115">
        <v>1.5979000000000001</v>
      </c>
      <c r="FQ115">
        <v>2.1130399999999998</v>
      </c>
      <c r="FR115">
        <v>1.5478499999999999</v>
      </c>
      <c r="FS115">
        <v>2.4389599999999998</v>
      </c>
      <c r="FT115">
        <v>50.347900000000003</v>
      </c>
      <c r="FU115">
        <v>15.252800000000001</v>
      </c>
      <c r="FV115">
        <v>2</v>
      </c>
      <c r="FW115">
        <v>506.23200000000003</v>
      </c>
      <c r="FX115">
        <v>347.63400000000001</v>
      </c>
      <c r="FY115">
        <v>31.550599999999999</v>
      </c>
      <c r="FZ115">
        <v>40.007599999999996</v>
      </c>
      <c r="GA115">
        <v>30.000499999999999</v>
      </c>
      <c r="GB115">
        <v>40.1723</v>
      </c>
      <c r="GC115">
        <v>40.200400000000002</v>
      </c>
      <c r="GD115">
        <v>-1</v>
      </c>
      <c r="GE115">
        <v>0</v>
      </c>
      <c r="GF115">
        <v>100</v>
      </c>
      <c r="GG115">
        <v>31.416799999999999</v>
      </c>
      <c r="GH115">
        <v>432.1</v>
      </c>
      <c r="GI115">
        <v>42.4801</v>
      </c>
      <c r="GJ115">
        <v>100.652</v>
      </c>
      <c r="GK115">
        <v>95.120699999999999</v>
      </c>
    </row>
    <row r="116" spans="1:193" x14ac:dyDescent="0.35">
      <c r="A116">
        <v>100</v>
      </c>
      <c r="B116">
        <v>1775537967</v>
      </c>
      <c r="C116">
        <v>5940.9000000953674</v>
      </c>
      <c r="D116" t="s">
        <v>617</v>
      </c>
      <c r="E116" t="s">
        <v>618</v>
      </c>
      <c r="F116">
        <v>60</v>
      </c>
      <c r="G116">
        <v>1775537959.25</v>
      </c>
      <c r="H116">
        <f t="shared" si="30"/>
        <v>4.530971496585167E-3</v>
      </c>
      <c r="I116">
        <f t="shared" si="31"/>
        <v>4.5309714965851668</v>
      </c>
      <c r="J116">
        <f t="shared" si="32"/>
        <v>-3.9408176925587592</v>
      </c>
      <c r="K116">
        <f t="shared" si="33"/>
        <v>-9.482289999999999</v>
      </c>
      <c r="L116">
        <f t="shared" si="34"/>
        <v>54.07533256575605</v>
      </c>
      <c r="M116">
        <f t="shared" si="35"/>
        <v>5.4211443723363413</v>
      </c>
      <c r="N116">
        <f t="shared" si="36"/>
        <v>-0.95061575456521541</v>
      </c>
      <c r="O116">
        <f t="shared" si="37"/>
        <v>9.8555780042088925E-2</v>
      </c>
      <c r="P116">
        <f t="shared" si="38"/>
        <v>2.3905153618752673</v>
      </c>
      <c r="Q116">
        <f t="shared" si="39"/>
        <v>9.6352851232411385E-2</v>
      </c>
      <c r="R116">
        <f t="shared" si="40"/>
        <v>6.041435527548919E-2</v>
      </c>
      <c r="S116">
        <f t="shared" si="41"/>
        <v>0.33185502349999985</v>
      </c>
      <c r="T116">
        <f t="shared" si="42"/>
        <v>31.799551731526229</v>
      </c>
      <c r="U116">
        <f t="shared" si="43"/>
        <v>33.037036666666673</v>
      </c>
      <c r="V116">
        <f t="shared" si="44"/>
        <v>5.0626300520294762</v>
      </c>
      <c r="W116">
        <f t="shared" si="45"/>
        <v>9.3613435589876595</v>
      </c>
      <c r="X116">
        <f t="shared" si="46"/>
        <v>0.47860338479777403</v>
      </c>
      <c r="Y116">
        <f t="shared" si="47"/>
        <v>5.1125501567376563</v>
      </c>
      <c r="Z116">
        <f t="shared" si="48"/>
        <v>4.5840266672317025</v>
      </c>
      <c r="AA116">
        <f t="shared" si="49"/>
        <v>-199.81584299940587</v>
      </c>
      <c r="AB116">
        <f t="shared" si="50"/>
        <v>22.526491965667905</v>
      </c>
      <c r="AC116">
        <f t="shared" si="51"/>
        <v>2.1607635468405162</v>
      </c>
      <c r="AD116">
        <f t="shared" si="52"/>
        <v>-174.79673246339746</v>
      </c>
      <c r="AE116">
        <v>6</v>
      </c>
      <c r="AF116">
        <v>1</v>
      </c>
      <c r="AG116">
        <f t="shared" si="53"/>
        <v>1</v>
      </c>
      <c r="AH116">
        <f t="shared" si="54"/>
        <v>0</v>
      </c>
      <c r="AI116">
        <f t="shared" si="55"/>
        <v>25034.291452075046</v>
      </c>
      <c r="AJ116">
        <f t="shared" si="56"/>
        <v>1.736551666666666</v>
      </c>
      <c r="AK116">
        <f t="shared" si="57"/>
        <v>1.3892413333333329</v>
      </c>
      <c r="AL116">
        <f t="shared" si="58"/>
        <v>0.8</v>
      </c>
      <c r="AM116">
        <f t="shared" si="59"/>
        <v>0.19109999999999999</v>
      </c>
      <c r="AN116">
        <v>3</v>
      </c>
      <c r="AO116">
        <v>0.5</v>
      </c>
      <c r="AP116" t="s">
        <v>317</v>
      </c>
      <c r="AQ116">
        <v>2</v>
      </c>
      <c r="AR116">
        <v>1775537959.25</v>
      </c>
      <c r="AS116">
        <v>-9.482289999999999</v>
      </c>
      <c r="AT116">
        <v>-11.87265</v>
      </c>
      <c r="AU116">
        <v>4.7740173333333331</v>
      </c>
      <c r="AV116">
        <v>2.068309999999999</v>
      </c>
      <c r="AW116">
        <v>-16.35829</v>
      </c>
      <c r="AX116">
        <v>3.9683099999999989</v>
      </c>
      <c r="AY116">
        <v>499.98096666666657</v>
      </c>
      <c r="AZ116">
        <v>100.20213333333341</v>
      </c>
      <c r="BA116">
        <v>4.957322333333334E-2</v>
      </c>
      <c r="BB116">
        <v>33.211826666666667</v>
      </c>
      <c r="BC116">
        <v>33.037036666666673</v>
      </c>
      <c r="BD116">
        <v>999.9000000000002</v>
      </c>
      <c r="BE116">
        <v>0</v>
      </c>
      <c r="BF116">
        <v>0</v>
      </c>
      <c r="BG116">
        <v>4996.3</v>
      </c>
      <c r="BH116">
        <v>1.736551666666666</v>
      </c>
      <c r="BI116">
        <v>1916.1003333333331</v>
      </c>
      <c r="BJ116">
        <v>2.4002233333333338</v>
      </c>
      <c r="BK116">
        <v>-9.4920803333333321</v>
      </c>
      <c r="BL116">
        <v>-11.92959666666667</v>
      </c>
      <c r="BM116">
        <v>-2.702758333333334</v>
      </c>
      <c r="BN116">
        <v>-11.87265</v>
      </c>
      <c r="BO116">
        <v>4.7740173333333331</v>
      </c>
      <c r="BP116">
        <v>0.20754476666666671</v>
      </c>
      <c r="BQ116">
        <v>0.47836726666666668</v>
      </c>
      <c r="BR116">
        <v>-14.055466666666669</v>
      </c>
      <c r="BS116">
        <v>-3.380792</v>
      </c>
      <c r="BT116">
        <v>1775537997.5</v>
      </c>
      <c r="BU116" t="s">
        <v>619</v>
      </c>
      <c r="BV116">
        <v>1775537985</v>
      </c>
      <c r="BW116">
        <v>1775537997.5</v>
      </c>
      <c r="BX116">
        <v>101</v>
      </c>
      <c r="BY116">
        <v>-0.01</v>
      </c>
      <c r="BZ116">
        <v>-3.0000000000000001E-3</v>
      </c>
      <c r="CA116">
        <v>6.8760000000000003</v>
      </c>
      <c r="CB116">
        <v>-1.9</v>
      </c>
      <c r="CC116">
        <v>-11</v>
      </c>
      <c r="CD116">
        <v>5</v>
      </c>
      <c r="CE116">
        <v>0.19</v>
      </c>
      <c r="CF116">
        <v>0.03</v>
      </c>
      <c r="CG116">
        <v>-11.739315</v>
      </c>
      <c r="CH116">
        <v>-1.041261572659085</v>
      </c>
      <c r="CI116">
        <v>0.16232080666076051</v>
      </c>
      <c r="CJ116">
        <v>-1</v>
      </c>
      <c r="CK116">
        <v>500.97016666666673</v>
      </c>
      <c r="CL116">
        <v>-7.9146318421761128</v>
      </c>
      <c r="CM116">
        <v>1.8802743342986461</v>
      </c>
      <c r="CN116">
        <v>-1</v>
      </c>
      <c r="CO116">
        <v>0</v>
      </c>
      <c r="CP116">
        <v>0</v>
      </c>
      <c r="CQ116" t="s">
        <v>319</v>
      </c>
      <c r="CR116">
        <v>3.1693699999999998</v>
      </c>
      <c r="CS116">
        <v>2.6709900000000002</v>
      </c>
      <c r="CT116">
        <v>-4.7762999999999998E-3</v>
      </c>
      <c r="CU116">
        <v>-3.4980100000000002E-3</v>
      </c>
      <c r="CV116">
        <v>2.6861599999999999E-2</v>
      </c>
      <c r="CW116">
        <v>3.15041E-2</v>
      </c>
      <c r="CX116">
        <v>21288.3</v>
      </c>
      <c r="CY116">
        <v>21718.5</v>
      </c>
      <c r="CZ116">
        <v>22726.7</v>
      </c>
      <c r="DA116">
        <v>22018.3</v>
      </c>
      <c r="DB116">
        <v>28550.400000000001</v>
      </c>
      <c r="DC116">
        <v>25377.3</v>
      </c>
      <c r="DD116">
        <v>40008.300000000003</v>
      </c>
      <c r="DE116">
        <v>36429.699999999997</v>
      </c>
      <c r="DF116">
        <v>1.9806600000000001</v>
      </c>
      <c r="DG116">
        <v>1.5959000000000001</v>
      </c>
      <c r="DH116">
        <v>-8.92878E-2</v>
      </c>
      <c r="DI116">
        <v>0</v>
      </c>
      <c r="DJ116">
        <v>34.475700000000003</v>
      </c>
      <c r="DK116">
        <v>999.9</v>
      </c>
      <c r="DL116">
        <v>49</v>
      </c>
      <c r="DM116">
        <v>46.7</v>
      </c>
      <c r="DN116">
        <v>51.428100000000001</v>
      </c>
      <c r="DO116">
        <v>30.444700000000001</v>
      </c>
      <c r="DP116">
        <v>10.160299999999999</v>
      </c>
      <c r="DQ116">
        <v>1</v>
      </c>
      <c r="DR116">
        <v>1.0707599999999999</v>
      </c>
      <c r="DS116">
        <v>3.12127</v>
      </c>
      <c r="DT116">
        <v>20.324000000000002</v>
      </c>
      <c r="DU116">
        <v>5.2054299999999998</v>
      </c>
      <c r="DV116">
        <v>11.856</v>
      </c>
      <c r="DW116">
        <v>4.9673600000000002</v>
      </c>
      <c r="DX116">
        <v>3.2930000000000001</v>
      </c>
      <c r="DY116">
        <v>894.7</v>
      </c>
      <c r="DZ116">
        <v>6</v>
      </c>
      <c r="EA116">
        <v>9999</v>
      </c>
      <c r="EB116">
        <v>117.4</v>
      </c>
      <c r="EC116">
        <v>4.97159</v>
      </c>
      <c r="ED116">
        <v>1.87225</v>
      </c>
      <c r="EE116">
        <v>1.86957</v>
      </c>
      <c r="EF116">
        <v>1.87188</v>
      </c>
      <c r="EG116">
        <v>1.8696600000000001</v>
      </c>
      <c r="EH116">
        <v>1.8684499999999999</v>
      </c>
      <c r="EI116">
        <v>1.8702700000000001</v>
      </c>
      <c r="EJ116">
        <v>1.8719699999999999</v>
      </c>
      <c r="EK116">
        <v>0</v>
      </c>
      <c r="EL116">
        <v>0</v>
      </c>
      <c r="EM116">
        <v>0</v>
      </c>
      <c r="EN116">
        <v>0</v>
      </c>
      <c r="EO116" t="s">
        <v>320</v>
      </c>
      <c r="EP116" t="s">
        <v>321</v>
      </c>
      <c r="EQ116" t="s">
        <v>322</v>
      </c>
      <c r="ER116" t="s">
        <v>322</v>
      </c>
      <c r="ES116" t="s">
        <v>322</v>
      </c>
      <c r="ET116" t="s">
        <v>322</v>
      </c>
      <c r="EU116">
        <v>0</v>
      </c>
      <c r="EV116">
        <v>100</v>
      </c>
      <c r="EW116">
        <v>100</v>
      </c>
      <c r="EX116">
        <v>6.8760000000000003</v>
      </c>
      <c r="EY116">
        <v>-1.9</v>
      </c>
      <c r="EZ116">
        <v>6.8858666666666721</v>
      </c>
      <c r="FA116">
        <v>0</v>
      </c>
      <c r="FB116">
        <v>0</v>
      </c>
      <c r="FC116">
        <v>0</v>
      </c>
      <c r="FD116">
        <v>-1.897050000000001</v>
      </c>
      <c r="FE116">
        <v>0</v>
      </c>
      <c r="FF116">
        <v>0</v>
      </c>
      <c r="FG116">
        <v>0</v>
      </c>
      <c r="FH116">
        <v>-1</v>
      </c>
      <c r="FI116">
        <v>-1</v>
      </c>
      <c r="FJ116">
        <v>-1</v>
      </c>
      <c r="FK116">
        <v>-1</v>
      </c>
      <c r="FL116">
        <v>0.7</v>
      </c>
      <c r="FM116">
        <v>0.5</v>
      </c>
      <c r="FN116">
        <v>0.14038100000000001</v>
      </c>
      <c r="FO116">
        <v>4.99756</v>
      </c>
      <c r="FP116">
        <v>1.5979000000000001</v>
      </c>
      <c r="FQ116">
        <v>2.1130399999999998</v>
      </c>
      <c r="FR116">
        <v>1.5478499999999999</v>
      </c>
      <c r="FS116">
        <v>2.4023400000000001</v>
      </c>
      <c r="FT116">
        <v>50.445099999999996</v>
      </c>
      <c r="FU116">
        <v>15.235300000000001</v>
      </c>
      <c r="FV116">
        <v>2</v>
      </c>
      <c r="FW116">
        <v>505.846</v>
      </c>
      <c r="FX116">
        <v>347.51400000000001</v>
      </c>
      <c r="FY116">
        <v>31.243300000000001</v>
      </c>
      <c r="FZ116">
        <v>40.048699999999997</v>
      </c>
      <c r="GA116">
        <v>30.0002</v>
      </c>
      <c r="GB116">
        <v>40.206000000000003</v>
      </c>
      <c r="GC116">
        <v>40.235399999999998</v>
      </c>
      <c r="GD116">
        <v>-1</v>
      </c>
      <c r="GE116">
        <v>0</v>
      </c>
      <c r="GF116">
        <v>100</v>
      </c>
      <c r="GG116">
        <v>31.233599999999999</v>
      </c>
      <c r="GH116">
        <v>432.1</v>
      </c>
      <c r="GI116">
        <v>42.4801</v>
      </c>
      <c r="GJ116">
        <v>100.646</v>
      </c>
      <c r="GK116">
        <v>95.117900000000006</v>
      </c>
    </row>
    <row r="117" spans="1:193" x14ac:dyDescent="0.35">
      <c r="A117">
        <v>101</v>
      </c>
      <c r="B117">
        <v>1775538027</v>
      </c>
      <c r="C117">
        <v>6000.9000000953674</v>
      </c>
      <c r="D117" t="s">
        <v>620</v>
      </c>
      <c r="E117" t="s">
        <v>621</v>
      </c>
      <c r="F117">
        <v>60</v>
      </c>
      <c r="G117">
        <v>1775538019.25</v>
      </c>
      <c r="H117">
        <f t="shared" si="30"/>
        <v>4.7650851556146944E-3</v>
      </c>
      <c r="I117">
        <f t="shared" si="31"/>
        <v>4.7650851556146945</v>
      </c>
      <c r="J117">
        <f t="shared" si="32"/>
        <v>-4.1263972300483278</v>
      </c>
      <c r="K117">
        <f t="shared" si="33"/>
        <v>-8.6866133333333337</v>
      </c>
      <c r="L117">
        <f t="shared" si="34"/>
        <v>54.343651814711549</v>
      </c>
      <c r="M117">
        <f t="shared" si="35"/>
        <v>5.4479818712274533</v>
      </c>
      <c r="N117">
        <f t="shared" si="36"/>
        <v>-0.87083790621430612</v>
      </c>
      <c r="O117">
        <f t="shared" si="37"/>
        <v>0.10409287379594082</v>
      </c>
      <c r="P117">
        <f t="shared" si="38"/>
        <v>2.3926941151631187</v>
      </c>
      <c r="Q117">
        <f t="shared" si="39"/>
        <v>0.1016409583622295</v>
      </c>
      <c r="R117">
        <f t="shared" si="40"/>
        <v>6.374108346923997E-2</v>
      </c>
      <c r="S117">
        <f t="shared" si="41"/>
        <v>0.33002874449999997</v>
      </c>
      <c r="T117">
        <f t="shared" si="42"/>
        <v>31.703252150344838</v>
      </c>
      <c r="U117">
        <f t="shared" si="43"/>
        <v>33.00174333333333</v>
      </c>
      <c r="V117">
        <f t="shared" si="44"/>
        <v>5.0526018851296</v>
      </c>
      <c r="W117">
        <f t="shared" si="45"/>
        <v>9.4494346932427966</v>
      </c>
      <c r="X117">
        <f t="shared" si="46"/>
        <v>0.48244625985769524</v>
      </c>
      <c r="Y117">
        <f t="shared" si="47"/>
        <v>5.1055568456670546</v>
      </c>
      <c r="Z117">
        <f t="shared" si="48"/>
        <v>4.5701556252719051</v>
      </c>
      <c r="AA117">
        <f t="shared" si="49"/>
        <v>-210.14025536260803</v>
      </c>
      <c r="AB117">
        <f t="shared" si="50"/>
        <v>23.952637665545517</v>
      </c>
      <c r="AC117">
        <f t="shared" si="51"/>
        <v>2.294797449482886</v>
      </c>
      <c r="AD117">
        <f t="shared" si="52"/>
        <v>-183.56279150307961</v>
      </c>
      <c r="AE117">
        <v>6</v>
      </c>
      <c r="AF117">
        <v>1</v>
      </c>
      <c r="AG117">
        <f t="shared" si="53"/>
        <v>1</v>
      </c>
      <c r="AH117">
        <f t="shared" si="54"/>
        <v>0</v>
      </c>
      <c r="AI117">
        <f t="shared" si="55"/>
        <v>25068.81925422226</v>
      </c>
      <c r="AJ117">
        <f t="shared" si="56"/>
        <v>1.7269950000000001</v>
      </c>
      <c r="AK117">
        <f t="shared" si="57"/>
        <v>1.381596</v>
      </c>
      <c r="AL117">
        <f t="shared" si="58"/>
        <v>0.8</v>
      </c>
      <c r="AM117">
        <f t="shared" si="59"/>
        <v>0.19109999999999999</v>
      </c>
      <c r="AN117">
        <v>3</v>
      </c>
      <c r="AO117">
        <v>0.5</v>
      </c>
      <c r="AP117" t="s">
        <v>317</v>
      </c>
      <c r="AQ117">
        <v>2</v>
      </c>
      <c r="AR117">
        <v>1775538019.25</v>
      </c>
      <c r="AS117">
        <v>-8.6866133333333337</v>
      </c>
      <c r="AT117">
        <v>-11.187366666666669</v>
      </c>
      <c r="AU117">
        <v>4.8124043333333333</v>
      </c>
      <c r="AV117">
        <v>1.967021666666666</v>
      </c>
      <c r="AW117">
        <v>-15.54361333333333</v>
      </c>
      <c r="AX117">
        <v>3.8690216666666659</v>
      </c>
      <c r="AY117">
        <v>499.98410000000001</v>
      </c>
      <c r="AZ117">
        <v>100.2009333333333</v>
      </c>
      <c r="BA117">
        <v>4.9633003333333342E-2</v>
      </c>
      <c r="BB117">
        <v>33.187429999999999</v>
      </c>
      <c r="BC117">
        <v>33.00174333333333</v>
      </c>
      <c r="BD117">
        <v>999.9000000000002</v>
      </c>
      <c r="BE117">
        <v>0</v>
      </c>
      <c r="BF117">
        <v>0</v>
      </c>
      <c r="BG117">
        <v>5001.9666666666662</v>
      </c>
      <c r="BH117">
        <v>1.7269950000000001</v>
      </c>
      <c r="BI117">
        <v>1924.5143333333331</v>
      </c>
      <c r="BJ117">
        <v>2.519892</v>
      </c>
      <c r="BK117">
        <v>-8.6845776666666659</v>
      </c>
      <c r="BL117">
        <v>-11.24147</v>
      </c>
      <c r="BM117">
        <v>-2.8437813333333328</v>
      </c>
      <c r="BN117">
        <v>-11.187366666666669</v>
      </c>
      <c r="BO117">
        <v>4.8124043333333333</v>
      </c>
      <c r="BP117">
        <v>0.1972578666666667</v>
      </c>
      <c r="BQ117">
        <v>0.48220750000000001</v>
      </c>
      <c r="BR117">
        <v>-14.678280000000001</v>
      </c>
      <c r="BS117">
        <v>-3.2737313333333331</v>
      </c>
      <c r="BT117">
        <v>1775538054</v>
      </c>
      <c r="BU117" t="s">
        <v>622</v>
      </c>
      <c r="BV117">
        <v>1775538045</v>
      </c>
      <c r="BW117">
        <v>1775538054</v>
      </c>
      <c r="BX117">
        <v>102</v>
      </c>
      <c r="BY117">
        <v>-1.9E-2</v>
      </c>
      <c r="BZ117">
        <v>-2E-3</v>
      </c>
      <c r="CA117">
        <v>6.8570000000000002</v>
      </c>
      <c r="CB117">
        <v>-1.9019999999999999</v>
      </c>
      <c r="CC117">
        <v>-11</v>
      </c>
      <c r="CD117">
        <v>5</v>
      </c>
      <c r="CE117">
        <v>0.19</v>
      </c>
      <c r="CF117">
        <v>0.02</v>
      </c>
      <c r="CG117">
        <v>-10.95482</v>
      </c>
      <c r="CH117">
        <v>-1.5853797165879631</v>
      </c>
      <c r="CI117">
        <v>0.24465379062394821</v>
      </c>
      <c r="CJ117">
        <v>-1</v>
      </c>
      <c r="CK117">
        <v>500.95395000000002</v>
      </c>
      <c r="CL117">
        <v>-7.0919533203662084</v>
      </c>
      <c r="CM117">
        <v>1.9143517042330569</v>
      </c>
      <c r="CN117">
        <v>-1</v>
      </c>
      <c r="CO117">
        <v>0</v>
      </c>
      <c r="CP117">
        <v>0</v>
      </c>
      <c r="CQ117" t="s">
        <v>319</v>
      </c>
      <c r="CR117">
        <v>3.1692999999999998</v>
      </c>
      <c r="CS117">
        <v>2.6709800000000001</v>
      </c>
      <c r="CT117">
        <v>-4.5469000000000004E-3</v>
      </c>
      <c r="CU117">
        <v>-3.25362E-3</v>
      </c>
      <c r="CV117">
        <v>2.6985499999999999E-2</v>
      </c>
      <c r="CW117">
        <v>3.1726699999999997E-2</v>
      </c>
      <c r="CX117">
        <v>21282.7</v>
      </c>
      <c r="CY117">
        <v>21712.6</v>
      </c>
      <c r="CZ117">
        <v>22725.9</v>
      </c>
      <c r="DA117">
        <v>22017.7</v>
      </c>
      <c r="DB117">
        <v>28545.8</v>
      </c>
      <c r="DC117">
        <v>25370.6</v>
      </c>
      <c r="DD117">
        <v>40007</v>
      </c>
      <c r="DE117">
        <v>36428.5</v>
      </c>
      <c r="DF117">
        <v>1.9803200000000001</v>
      </c>
      <c r="DG117">
        <v>1.59406</v>
      </c>
      <c r="DH117">
        <v>-9.1999800000000007E-2</v>
      </c>
      <c r="DI117">
        <v>0</v>
      </c>
      <c r="DJ117">
        <v>34.507100000000001</v>
      </c>
      <c r="DK117">
        <v>999.9</v>
      </c>
      <c r="DL117">
        <v>48.8</v>
      </c>
      <c r="DM117">
        <v>46.8</v>
      </c>
      <c r="DN117">
        <v>51.478000000000002</v>
      </c>
      <c r="DO117">
        <v>30.774699999999999</v>
      </c>
      <c r="DP117">
        <v>10.208299999999999</v>
      </c>
      <c r="DQ117">
        <v>1</v>
      </c>
      <c r="DR117">
        <v>1.0711900000000001</v>
      </c>
      <c r="DS117">
        <v>2.89886</v>
      </c>
      <c r="DT117">
        <v>20.328800000000001</v>
      </c>
      <c r="DU117">
        <v>5.2104600000000003</v>
      </c>
      <c r="DV117">
        <v>11.8567</v>
      </c>
      <c r="DW117">
        <v>4.9665999999999997</v>
      </c>
      <c r="DX117">
        <v>3.2930000000000001</v>
      </c>
      <c r="DY117">
        <v>894.7</v>
      </c>
      <c r="DZ117">
        <v>6</v>
      </c>
      <c r="EA117">
        <v>9999</v>
      </c>
      <c r="EB117">
        <v>117.4</v>
      </c>
      <c r="EC117">
        <v>4.9716300000000002</v>
      </c>
      <c r="ED117">
        <v>1.8722399999999999</v>
      </c>
      <c r="EE117">
        <v>1.86961</v>
      </c>
      <c r="EF117">
        <v>1.87191</v>
      </c>
      <c r="EG117">
        <v>1.8696600000000001</v>
      </c>
      <c r="EH117">
        <v>1.8684499999999999</v>
      </c>
      <c r="EI117">
        <v>1.8702700000000001</v>
      </c>
      <c r="EJ117">
        <v>1.8719600000000001</v>
      </c>
      <c r="EK117">
        <v>0</v>
      </c>
      <c r="EL117">
        <v>0</v>
      </c>
      <c r="EM117">
        <v>0</v>
      </c>
      <c r="EN117">
        <v>0</v>
      </c>
      <c r="EO117" t="s">
        <v>320</v>
      </c>
      <c r="EP117" t="s">
        <v>321</v>
      </c>
      <c r="EQ117" t="s">
        <v>322</v>
      </c>
      <c r="ER117" t="s">
        <v>322</v>
      </c>
      <c r="ES117" t="s">
        <v>322</v>
      </c>
      <c r="ET117" t="s">
        <v>322</v>
      </c>
      <c r="EU117">
        <v>0</v>
      </c>
      <c r="EV117">
        <v>100</v>
      </c>
      <c r="EW117">
        <v>100</v>
      </c>
      <c r="EX117">
        <v>6.8570000000000002</v>
      </c>
      <c r="EY117">
        <v>-1.9019999999999999</v>
      </c>
      <c r="EZ117">
        <v>6.8761399999999959</v>
      </c>
      <c r="FA117">
        <v>0</v>
      </c>
      <c r="FB117">
        <v>0</v>
      </c>
      <c r="FC117">
        <v>0</v>
      </c>
      <c r="FD117">
        <v>-1.9003990476190471</v>
      </c>
      <c r="FE117">
        <v>0</v>
      </c>
      <c r="FF117">
        <v>0</v>
      </c>
      <c r="FG117">
        <v>0</v>
      </c>
      <c r="FH117">
        <v>-1</v>
      </c>
      <c r="FI117">
        <v>-1</v>
      </c>
      <c r="FJ117">
        <v>-1</v>
      </c>
      <c r="FK117">
        <v>-1</v>
      </c>
      <c r="FL117">
        <v>0.7</v>
      </c>
      <c r="FM117">
        <v>0.5</v>
      </c>
      <c r="FN117">
        <v>0.14038100000000001</v>
      </c>
      <c r="FO117">
        <v>4.99634</v>
      </c>
      <c r="FP117">
        <v>1.5979000000000001</v>
      </c>
      <c r="FQ117">
        <v>2.1142599999999998</v>
      </c>
      <c r="FR117">
        <v>1.5478499999999999</v>
      </c>
      <c r="FS117">
        <v>2.4157700000000002</v>
      </c>
      <c r="FT117">
        <v>50.51</v>
      </c>
      <c r="FU117">
        <v>15.235300000000001</v>
      </c>
      <c r="FV117">
        <v>2</v>
      </c>
      <c r="FW117">
        <v>505.88400000000001</v>
      </c>
      <c r="FX117">
        <v>346.68599999999998</v>
      </c>
      <c r="FY117">
        <v>31.317900000000002</v>
      </c>
      <c r="FZ117">
        <v>40.078800000000001</v>
      </c>
      <c r="GA117">
        <v>30.000499999999999</v>
      </c>
      <c r="GB117">
        <v>40.243600000000001</v>
      </c>
      <c r="GC117">
        <v>40.271299999999997</v>
      </c>
      <c r="GD117">
        <v>-1</v>
      </c>
      <c r="GE117">
        <v>0</v>
      </c>
      <c r="GF117">
        <v>100</v>
      </c>
      <c r="GG117">
        <v>31.302700000000002</v>
      </c>
      <c r="GH117">
        <v>432.1</v>
      </c>
      <c r="GI117">
        <v>44.267099999999999</v>
      </c>
      <c r="GJ117">
        <v>100.643</v>
      </c>
      <c r="GK117">
        <v>95.114900000000006</v>
      </c>
    </row>
    <row r="118" spans="1:193" x14ac:dyDescent="0.35">
      <c r="A118">
        <v>102</v>
      </c>
      <c r="B118">
        <v>1775538087</v>
      </c>
      <c r="C118">
        <v>6060.9000000953674</v>
      </c>
      <c r="D118" t="s">
        <v>623</v>
      </c>
      <c r="E118" t="s">
        <v>624</v>
      </c>
      <c r="F118">
        <v>60</v>
      </c>
      <c r="G118">
        <v>1775538079</v>
      </c>
      <c r="H118">
        <f t="shared" si="30"/>
        <v>4.7433160883616401E-3</v>
      </c>
      <c r="I118">
        <f t="shared" si="31"/>
        <v>4.7433160883616399</v>
      </c>
      <c r="J118">
        <f t="shared" si="32"/>
        <v>-4.1677234960951397</v>
      </c>
      <c r="K118">
        <f t="shared" si="33"/>
        <v>-8.6539032258064523</v>
      </c>
      <c r="L118">
        <f t="shared" si="34"/>
        <v>55.326845235793144</v>
      </c>
      <c r="M118">
        <f t="shared" si="35"/>
        <v>5.5463522805644061</v>
      </c>
      <c r="N118">
        <f t="shared" si="36"/>
        <v>-0.86752815360568813</v>
      </c>
      <c r="O118">
        <f t="shared" si="37"/>
        <v>0.10354246809680479</v>
      </c>
      <c r="P118">
        <f t="shared" si="38"/>
        <v>2.3915071099845977</v>
      </c>
      <c r="Q118">
        <f t="shared" si="39"/>
        <v>0.10111491434204607</v>
      </c>
      <c r="R118">
        <f t="shared" si="40"/>
        <v>6.3410187209150051E-2</v>
      </c>
      <c r="S118">
        <f t="shared" si="41"/>
        <v>0.32785239290322576</v>
      </c>
      <c r="T118">
        <f t="shared" si="42"/>
        <v>31.715310444130409</v>
      </c>
      <c r="U118">
        <f t="shared" si="43"/>
        <v>33.023548387096767</v>
      </c>
      <c r="V118">
        <f t="shared" si="44"/>
        <v>5.0587954806085689</v>
      </c>
      <c r="W118">
        <f t="shared" si="45"/>
        <v>9.5207834170959913</v>
      </c>
      <c r="X118">
        <f t="shared" si="46"/>
        <v>0.48625116153566472</v>
      </c>
      <c r="Y118">
        <f t="shared" si="47"/>
        <v>5.1072599830653438</v>
      </c>
      <c r="Z118">
        <f t="shared" si="48"/>
        <v>4.5725443190729038</v>
      </c>
      <c r="AA118">
        <f t="shared" si="49"/>
        <v>-209.18023949674833</v>
      </c>
      <c r="AB118">
        <f t="shared" si="50"/>
        <v>21.895799386871751</v>
      </c>
      <c r="AC118">
        <f t="shared" si="51"/>
        <v>2.099067348395514</v>
      </c>
      <c r="AD118">
        <f t="shared" si="52"/>
        <v>-184.85752036857784</v>
      </c>
      <c r="AE118">
        <v>6</v>
      </c>
      <c r="AF118">
        <v>1</v>
      </c>
      <c r="AG118">
        <f t="shared" si="53"/>
        <v>1</v>
      </c>
      <c r="AH118">
        <f t="shared" si="54"/>
        <v>0</v>
      </c>
      <c r="AI118">
        <f t="shared" si="55"/>
        <v>25050.778417875863</v>
      </c>
      <c r="AJ118">
        <f t="shared" si="56"/>
        <v>1.715606451612903</v>
      </c>
      <c r="AK118">
        <f t="shared" si="57"/>
        <v>1.3724851612903226</v>
      </c>
      <c r="AL118">
        <f t="shared" si="58"/>
        <v>0.8</v>
      </c>
      <c r="AM118">
        <f t="shared" si="59"/>
        <v>0.19109999999999999</v>
      </c>
      <c r="AN118">
        <v>3</v>
      </c>
      <c r="AO118">
        <v>0.5</v>
      </c>
      <c r="AP118" t="s">
        <v>317</v>
      </c>
      <c r="AQ118">
        <v>2</v>
      </c>
      <c r="AR118">
        <v>1775538079</v>
      </c>
      <c r="AS118">
        <v>-8.6539032258064523</v>
      </c>
      <c r="AT118">
        <v>-11.17912258064516</v>
      </c>
      <c r="AU118">
        <v>4.8505290322580636</v>
      </c>
      <c r="AV118">
        <v>2.018392903225807</v>
      </c>
      <c r="AW118">
        <v>-15.505903225806451</v>
      </c>
      <c r="AX118">
        <v>3.9243929032258071</v>
      </c>
      <c r="AY118">
        <v>500.00864516129019</v>
      </c>
      <c r="AZ118">
        <v>100.1972258064516</v>
      </c>
      <c r="BA118">
        <v>4.9810816129032251E-2</v>
      </c>
      <c r="BB118">
        <v>33.193374193548387</v>
      </c>
      <c r="BC118">
        <v>33.023548387096767</v>
      </c>
      <c r="BD118">
        <v>999.90000000000032</v>
      </c>
      <c r="BE118">
        <v>0</v>
      </c>
      <c r="BF118">
        <v>0</v>
      </c>
      <c r="BG118">
        <v>4999.0967741935483</v>
      </c>
      <c r="BH118">
        <v>1.715606451612903</v>
      </c>
      <c r="BI118">
        <v>1896.425483870968</v>
      </c>
      <c r="BJ118">
        <v>2.530671290322581</v>
      </c>
      <c r="BK118">
        <v>-8.6659641935483851</v>
      </c>
      <c r="BL118">
        <v>-11.23360322580645</v>
      </c>
      <c r="BM118">
        <v>-2.8284387096774188</v>
      </c>
      <c r="BN118">
        <v>-11.17912258064516</v>
      </c>
      <c r="BO118">
        <v>4.8505290322580636</v>
      </c>
      <c r="BP118">
        <v>0.20260777419354839</v>
      </c>
      <c r="BQ118">
        <v>0.48600932258064522</v>
      </c>
      <c r="BR118">
        <v>-14.348770967741929</v>
      </c>
      <c r="BS118">
        <v>-3.168470967741936</v>
      </c>
      <c r="BT118">
        <v>1775538117</v>
      </c>
      <c r="BU118" t="s">
        <v>625</v>
      </c>
      <c r="BV118">
        <v>1775538117</v>
      </c>
      <c r="BW118">
        <v>1775538117</v>
      </c>
      <c r="BX118">
        <v>103</v>
      </c>
      <c r="BY118">
        <v>-6.0000000000000001E-3</v>
      </c>
      <c r="BZ118">
        <v>-4.0000000000000001E-3</v>
      </c>
      <c r="CA118">
        <v>6.8520000000000003</v>
      </c>
      <c r="CB118">
        <v>-1.9059999999999999</v>
      </c>
      <c r="CC118">
        <v>-11</v>
      </c>
      <c r="CD118">
        <v>5</v>
      </c>
      <c r="CE118">
        <v>0.33</v>
      </c>
      <c r="CF118">
        <v>0.03</v>
      </c>
      <c r="CG118">
        <v>-10.963924590163931</v>
      </c>
      <c r="CH118">
        <v>-1.1327403490216781</v>
      </c>
      <c r="CI118">
        <v>0.25620899425973742</v>
      </c>
      <c r="CJ118">
        <v>-1</v>
      </c>
      <c r="CK118">
        <v>500.96393442622951</v>
      </c>
      <c r="CL118">
        <v>-8.8029931253313976</v>
      </c>
      <c r="CM118">
        <v>1.8879972289925879</v>
      </c>
      <c r="CN118">
        <v>-1</v>
      </c>
      <c r="CO118">
        <v>0</v>
      </c>
      <c r="CP118">
        <v>0</v>
      </c>
      <c r="CQ118" t="s">
        <v>319</v>
      </c>
      <c r="CR118">
        <v>3.16934</v>
      </c>
      <c r="CS118">
        <v>2.6709100000000001</v>
      </c>
      <c r="CT118">
        <v>-4.5358000000000004E-3</v>
      </c>
      <c r="CU118">
        <v>-3.2551500000000001E-3</v>
      </c>
      <c r="CV118">
        <v>2.6769399999999999E-2</v>
      </c>
      <c r="CW118">
        <v>3.1922100000000002E-2</v>
      </c>
      <c r="CX118">
        <v>21280.2</v>
      </c>
      <c r="CY118">
        <v>21710.9</v>
      </c>
      <c r="CZ118">
        <v>22723.599999999999</v>
      </c>
      <c r="DA118">
        <v>22016.1</v>
      </c>
      <c r="DB118">
        <v>28549.5</v>
      </c>
      <c r="DC118">
        <v>25363.4</v>
      </c>
      <c r="DD118">
        <v>40003.300000000003</v>
      </c>
      <c r="DE118">
        <v>36425.699999999997</v>
      </c>
      <c r="DF118">
        <v>1.97966</v>
      </c>
      <c r="DG118">
        <v>1.59328</v>
      </c>
      <c r="DH118">
        <v>-9.3012999999999998E-2</v>
      </c>
      <c r="DI118">
        <v>0</v>
      </c>
      <c r="DJ118">
        <v>34.518099999999997</v>
      </c>
      <c r="DK118">
        <v>999.9</v>
      </c>
      <c r="DL118">
        <v>48.7</v>
      </c>
      <c r="DM118">
        <v>46.9</v>
      </c>
      <c r="DN118">
        <v>51.636800000000001</v>
      </c>
      <c r="DO118">
        <v>30.864699999999999</v>
      </c>
      <c r="DP118">
        <v>10.572900000000001</v>
      </c>
      <c r="DQ118">
        <v>1</v>
      </c>
      <c r="DR118">
        <v>1.07528</v>
      </c>
      <c r="DS118">
        <v>2.9055900000000001</v>
      </c>
      <c r="DT118">
        <v>20.327500000000001</v>
      </c>
      <c r="DU118">
        <v>5.2071100000000001</v>
      </c>
      <c r="DV118">
        <v>11.8558</v>
      </c>
      <c r="DW118">
        <v>4.9654800000000003</v>
      </c>
      <c r="DX118">
        <v>3.2923200000000001</v>
      </c>
      <c r="DY118">
        <v>894.7</v>
      </c>
      <c r="DZ118">
        <v>6</v>
      </c>
      <c r="EA118">
        <v>9999</v>
      </c>
      <c r="EB118">
        <v>117.4</v>
      </c>
      <c r="EC118">
        <v>4.97159</v>
      </c>
      <c r="ED118">
        <v>1.8722399999999999</v>
      </c>
      <c r="EE118">
        <v>1.86957</v>
      </c>
      <c r="EF118">
        <v>1.8718999999999999</v>
      </c>
      <c r="EG118">
        <v>1.8696600000000001</v>
      </c>
      <c r="EH118">
        <v>1.8684499999999999</v>
      </c>
      <c r="EI118">
        <v>1.8702700000000001</v>
      </c>
      <c r="EJ118">
        <v>1.8719600000000001</v>
      </c>
      <c r="EK118">
        <v>0</v>
      </c>
      <c r="EL118">
        <v>0</v>
      </c>
      <c r="EM118">
        <v>0</v>
      </c>
      <c r="EN118">
        <v>0</v>
      </c>
      <c r="EO118" t="s">
        <v>320</v>
      </c>
      <c r="EP118" t="s">
        <v>321</v>
      </c>
      <c r="EQ118" t="s">
        <v>322</v>
      </c>
      <c r="ER118" t="s">
        <v>322</v>
      </c>
      <c r="ES118" t="s">
        <v>322</v>
      </c>
      <c r="ET118" t="s">
        <v>322</v>
      </c>
      <c r="EU118">
        <v>0</v>
      </c>
      <c r="EV118">
        <v>100</v>
      </c>
      <c r="EW118">
        <v>100</v>
      </c>
      <c r="EX118">
        <v>6.8520000000000003</v>
      </c>
      <c r="EY118">
        <v>-1.9059999999999999</v>
      </c>
      <c r="EZ118">
        <v>6.8574600000000032</v>
      </c>
      <c r="FA118">
        <v>0</v>
      </c>
      <c r="FB118">
        <v>0</v>
      </c>
      <c r="FC118">
        <v>0</v>
      </c>
      <c r="FD118">
        <v>-1.9023030000000001</v>
      </c>
      <c r="FE118">
        <v>0</v>
      </c>
      <c r="FF118">
        <v>0</v>
      </c>
      <c r="FG118">
        <v>0</v>
      </c>
      <c r="FH118">
        <v>-1</v>
      </c>
      <c r="FI118">
        <v>-1</v>
      </c>
      <c r="FJ118">
        <v>-1</v>
      </c>
      <c r="FK118">
        <v>-1</v>
      </c>
      <c r="FL118">
        <v>0.7</v>
      </c>
      <c r="FM118">
        <v>0.6</v>
      </c>
      <c r="FN118">
        <v>0.14038100000000001</v>
      </c>
      <c r="FO118">
        <v>4.99756</v>
      </c>
      <c r="FP118">
        <v>1.5979000000000001</v>
      </c>
      <c r="FQ118">
        <v>2.1130399999999998</v>
      </c>
      <c r="FR118">
        <v>1.5478499999999999</v>
      </c>
      <c r="FS118">
        <v>2.50244</v>
      </c>
      <c r="FT118">
        <v>50.542499999999997</v>
      </c>
      <c r="FU118">
        <v>15.2265</v>
      </c>
      <c r="FV118">
        <v>2</v>
      </c>
      <c r="FW118">
        <v>505.70400000000001</v>
      </c>
      <c r="FX118">
        <v>346.42899999999997</v>
      </c>
      <c r="FY118">
        <v>31.2667</v>
      </c>
      <c r="FZ118">
        <v>40.107300000000002</v>
      </c>
      <c r="GA118">
        <v>30.0001</v>
      </c>
      <c r="GB118">
        <v>40.278199999999998</v>
      </c>
      <c r="GC118">
        <v>40.307099999999998</v>
      </c>
      <c r="GD118">
        <v>-1</v>
      </c>
      <c r="GE118">
        <v>0</v>
      </c>
      <c r="GF118">
        <v>100</v>
      </c>
      <c r="GG118">
        <v>31.283799999999999</v>
      </c>
      <c r="GH118">
        <v>432.1</v>
      </c>
      <c r="GI118">
        <v>44.267099999999999</v>
      </c>
      <c r="GJ118">
        <v>100.633</v>
      </c>
      <c r="GK118">
        <v>95.107600000000005</v>
      </c>
    </row>
    <row r="119" spans="1:193" x14ac:dyDescent="0.35">
      <c r="A119">
        <v>103</v>
      </c>
      <c r="B119">
        <v>1775538147</v>
      </c>
      <c r="C119">
        <v>6120.9000000953674</v>
      </c>
      <c r="D119" t="s">
        <v>626</v>
      </c>
      <c r="E119" t="s">
        <v>627</v>
      </c>
      <c r="F119">
        <v>60</v>
      </c>
      <c r="G119">
        <v>1775538139</v>
      </c>
      <c r="H119">
        <f t="shared" si="30"/>
        <v>4.5544695371741543E-3</v>
      </c>
      <c r="I119">
        <f t="shared" si="31"/>
        <v>4.5544695371741541</v>
      </c>
      <c r="J119">
        <f t="shared" si="32"/>
        <v>-3.5052354511592094</v>
      </c>
      <c r="K119">
        <f t="shared" si="33"/>
        <v>-8.7386999999999979</v>
      </c>
      <c r="L119">
        <f t="shared" si="34"/>
        <v>47.419878458177294</v>
      </c>
      <c r="M119">
        <f t="shared" si="35"/>
        <v>4.7535294983752747</v>
      </c>
      <c r="N119">
        <f t="shared" si="36"/>
        <v>-0.87599693584386895</v>
      </c>
      <c r="O119">
        <f t="shared" si="37"/>
        <v>9.927850854258416E-2</v>
      </c>
      <c r="P119">
        <f t="shared" si="38"/>
        <v>2.3892701857394485</v>
      </c>
      <c r="Q119">
        <f t="shared" si="39"/>
        <v>9.7042410472531634E-2</v>
      </c>
      <c r="R119">
        <f t="shared" si="40"/>
        <v>6.08482162565629E-2</v>
      </c>
      <c r="S119">
        <f t="shared" si="41"/>
        <v>0.326857008483871</v>
      </c>
      <c r="T119">
        <f t="shared" si="42"/>
        <v>31.774925840654454</v>
      </c>
      <c r="U119">
        <f t="shared" si="43"/>
        <v>33.037519354838707</v>
      </c>
      <c r="V119">
        <f t="shared" si="44"/>
        <v>5.0627673218916645</v>
      </c>
      <c r="W119">
        <f t="shared" si="45"/>
        <v>9.5604914013013662</v>
      </c>
      <c r="X119">
        <f t="shared" si="46"/>
        <v>0.48833103110220527</v>
      </c>
      <c r="Y119">
        <f t="shared" si="47"/>
        <v>5.1078026285943219</v>
      </c>
      <c r="Z119">
        <f t="shared" si="48"/>
        <v>4.5744362907894596</v>
      </c>
      <c r="AA119">
        <f t="shared" si="49"/>
        <v>-200.85210658938021</v>
      </c>
      <c r="AB119">
        <f t="shared" si="50"/>
        <v>20.31962246990031</v>
      </c>
      <c r="AC119">
        <f t="shared" si="51"/>
        <v>1.9499405550822824</v>
      </c>
      <c r="AD119">
        <f t="shared" si="52"/>
        <v>-178.25568655591374</v>
      </c>
      <c r="AE119">
        <v>6</v>
      </c>
      <c r="AF119">
        <v>1</v>
      </c>
      <c r="AG119">
        <f t="shared" si="53"/>
        <v>1</v>
      </c>
      <c r="AH119">
        <f t="shared" si="54"/>
        <v>0</v>
      </c>
      <c r="AI119">
        <f t="shared" si="55"/>
        <v>25017.436015350264</v>
      </c>
      <c r="AJ119">
        <f t="shared" si="56"/>
        <v>1.7103977419354841</v>
      </c>
      <c r="AK119">
        <f t="shared" si="57"/>
        <v>1.3683181935483875</v>
      </c>
      <c r="AL119">
        <f t="shared" si="58"/>
        <v>0.8</v>
      </c>
      <c r="AM119">
        <f t="shared" si="59"/>
        <v>0.19109999999999999</v>
      </c>
      <c r="AN119">
        <v>3</v>
      </c>
      <c r="AO119">
        <v>0.5</v>
      </c>
      <c r="AP119" t="s">
        <v>317</v>
      </c>
      <c r="AQ119">
        <v>2</v>
      </c>
      <c r="AR119">
        <v>1775538139</v>
      </c>
      <c r="AS119">
        <v>-8.7386999999999979</v>
      </c>
      <c r="AT119">
        <v>-10.865761290322579</v>
      </c>
      <c r="AU119">
        <v>4.8714535483870973</v>
      </c>
      <c r="AV119">
        <v>2.1520329032258059</v>
      </c>
      <c r="AW119">
        <v>-15.5997</v>
      </c>
      <c r="AX119">
        <v>4.0600329032258058</v>
      </c>
      <c r="AY119">
        <v>499.99061290322578</v>
      </c>
      <c r="AZ119">
        <v>100.1930645161291</v>
      </c>
      <c r="BA119">
        <v>5.0328190322580638E-2</v>
      </c>
      <c r="BB119">
        <v>33.195267741935488</v>
      </c>
      <c r="BC119">
        <v>33.037519354838707</v>
      </c>
      <c r="BD119">
        <v>999.90000000000032</v>
      </c>
      <c r="BE119">
        <v>0</v>
      </c>
      <c r="BF119">
        <v>0</v>
      </c>
      <c r="BG119">
        <v>4993.5483870967746</v>
      </c>
      <c r="BH119">
        <v>1.7103977419354841</v>
      </c>
      <c r="BI119">
        <v>1894.657741935484</v>
      </c>
      <c r="BJ119">
        <v>2.1178741935483871</v>
      </c>
      <c r="BK119">
        <v>-8.7667654838709694</v>
      </c>
      <c r="BL119">
        <v>-10.918948387096769</v>
      </c>
      <c r="BM119">
        <v>-2.7177222580645148</v>
      </c>
      <c r="BN119">
        <v>-10.865761290322579</v>
      </c>
      <c r="BO119">
        <v>4.8714535483870973</v>
      </c>
      <c r="BP119">
        <v>0.21578880645161291</v>
      </c>
      <c r="BQ119">
        <v>0.48808551612903228</v>
      </c>
      <c r="BR119">
        <v>-13.578609677419349</v>
      </c>
      <c r="BS119">
        <v>-3.1112993548387098</v>
      </c>
      <c r="BT119">
        <v>1775538174</v>
      </c>
      <c r="BU119" t="s">
        <v>628</v>
      </c>
      <c r="BV119">
        <v>1775538169</v>
      </c>
      <c r="BW119">
        <v>1775538174</v>
      </c>
      <c r="BX119">
        <v>104</v>
      </c>
      <c r="BY119">
        <v>0.01</v>
      </c>
      <c r="BZ119">
        <v>-2E-3</v>
      </c>
      <c r="CA119">
        <v>6.8609999999999998</v>
      </c>
      <c r="CB119">
        <v>-1.9079999999999999</v>
      </c>
      <c r="CC119">
        <v>-10</v>
      </c>
      <c r="CD119">
        <v>5</v>
      </c>
      <c r="CE119">
        <v>0.66</v>
      </c>
      <c r="CF119">
        <v>0.03</v>
      </c>
      <c r="CG119">
        <v>-11.004111475409839</v>
      </c>
      <c r="CH119">
        <v>0.95899672131149483</v>
      </c>
      <c r="CI119">
        <v>0.15824952707396839</v>
      </c>
      <c r="CJ119">
        <v>-1</v>
      </c>
      <c r="CK119">
        <v>500.96913114754102</v>
      </c>
      <c r="CL119">
        <v>-7.1833992596514946</v>
      </c>
      <c r="CM119">
        <v>1.938334095239397</v>
      </c>
      <c r="CN119">
        <v>-1</v>
      </c>
      <c r="CO119">
        <v>0</v>
      </c>
      <c r="CP119">
        <v>0</v>
      </c>
      <c r="CQ119" t="s">
        <v>319</v>
      </c>
      <c r="CR119">
        <v>3.1694200000000001</v>
      </c>
      <c r="CS119">
        <v>2.6708500000000002</v>
      </c>
      <c r="CT119">
        <v>-4.4781400000000002E-3</v>
      </c>
      <c r="CU119">
        <v>-3.1458200000000001E-3</v>
      </c>
      <c r="CV119">
        <v>2.7591500000000001E-2</v>
      </c>
      <c r="CW119">
        <v>3.2029799999999997E-2</v>
      </c>
      <c r="CX119">
        <v>21278.9</v>
      </c>
      <c r="CY119">
        <v>21708.6</v>
      </c>
      <c r="CZ119">
        <v>22723.599999999999</v>
      </c>
      <c r="DA119">
        <v>22016.1</v>
      </c>
      <c r="DB119">
        <v>28525.3</v>
      </c>
      <c r="DC119">
        <v>25360.7</v>
      </c>
      <c r="DD119">
        <v>40003.199999999997</v>
      </c>
      <c r="DE119">
        <v>36425.9</v>
      </c>
      <c r="DF119">
        <v>1.97984</v>
      </c>
      <c r="DG119">
        <v>1.5918399999999999</v>
      </c>
      <c r="DH119">
        <v>-8.7887000000000007E-2</v>
      </c>
      <c r="DI119">
        <v>0</v>
      </c>
      <c r="DJ119">
        <v>34.458500000000001</v>
      </c>
      <c r="DK119">
        <v>999.9</v>
      </c>
      <c r="DL119">
        <v>48.6</v>
      </c>
      <c r="DM119">
        <v>46.9</v>
      </c>
      <c r="DN119">
        <v>51.528700000000001</v>
      </c>
      <c r="DO119">
        <v>30.714700000000001</v>
      </c>
      <c r="DP119">
        <v>10.641</v>
      </c>
      <c r="DQ119">
        <v>1</v>
      </c>
      <c r="DR119">
        <v>1.0745100000000001</v>
      </c>
      <c r="DS119">
        <v>2.8312200000000001</v>
      </c>
      <c r="DT119">
        <v>20.329699999999999</v>
      </c>
      <c r="DU119">
        <v>5.2102199999999996</v>
      </c>
      <c r="DV119">
        <v>11.858499999999999</v>
      </c>
      <c r="DW119">
        <v>4.96732</v>
      </c>
      <c r="DX119">
        <v>3.2930000000000001</v>
      </c>
      <c r="DY119">
        <v>894.7</v>
      </c>
      <c r="DZ119">
        <v>6</v>
      </c>
      <c r="EA119">
        <v>9999</v>
      </c>
      <c r="EB119">
        <v>117.4</v>
      </c>
      <c r="EC119">
        <v>4.97159</v>
      </c>
      <c r="ED119">
        <v>1.87222</v>
      </c>
      <c r="EE119">
        <v>1.86957</v>
      </c>
      <c r="EF119">
        <v>1.8718999999999999</v>
      </c>
      <c r="EG119">
        <v>1.8696600000000001</v>
      </c>
      <c r="EH119">
        <v>1.8684499999999999</v>
      </c>
      <c r="EI119">
        <v>1.8702700000000001</v>
      </c>
      <c r="EJ119">
        <v>1.8719600000000001</v>
      </c>
      <c r="EK119">
        <v>0</v>
      </c>
      <c r="EL119">
        <v>0</v>
      </c>
      <c r="EM119">
        <v>0</v>
      </c>
      <c r="EN119">
        <v>0</v>
      </c>
      <c r="EO119" t="s">
        <v>320</v>
      </c>
      <c r="EP119" t="s">
        <v>321</v>
      </c>
      <c r="EQ119" t="s">
        <v>322</v>
      </c>
      <c r="ER119" t="s">
        <v>322</v>
      </c>
      <c r="ES119" t="s">
        <v>322</v>
      </c>
      <c r="ET119" t="s">
        <v>322</v>
      </c>
      <c r="EU119">
        <v>0</v>
      </c>
      <c r="EV119">
        <v>100</v>
      </c>
      <c r="EW119">
        <v>100</v>
      </c>
      <c r="EX119">
        <v>6.8609999999999998</v>
      </c>
      <c r="EY119">
        <v>-1.9079999999999999</v>
      </c>
      <c r="EZ119">
        <v>6.85182</v>
      </c>
      <c r="FA119">
        <v>0</v>
      </c>
      <c r="FB119">
        <v>0</v>
      </c>
      <c r="FC119">
        <v>0</v>
      </c>
      <c r="FD119">
        <v>-1.9063005000000011</v>
      </c>
      <c r="FE119">
        <v>0</v>
      </c>
      <c r="FF119">
        <v>0</v>
      </c>
      <c r="FG119">
        <v>0</v>
      </c>
      <c r="FH119">
        <v>-1</v>
      </c>
      <c r="FI119">
        <v>-1</v>
      </c>
      <c r="FJ119">
        <v>-1</v>
      </c>
      <c r="FK119">
        <v>-1</v>
      </c>
      <c r="FL119">
        <v>0.5</v>
      </c>
      <c r="FM119">
        <v>0.5</v>
      </c>
      <c r="FN119">
        <v>0.14038100000000001</v>
      </c>
      <c r="FO119">
        <v>4.99756</v>
      </c>
      <c r="FP119">
        <v>1.5979000000000001</v>
      </c>
      <c r="FQ119">
        <v>2.1130399999999998</v>
      </c>
      <c r="FR119">
        <v>1.5478499999999999</v>
      </c>
      <c r="FS119">
        <v>2.5476100000000002</v>
      </c>
      <c r="FT119">
        <v>50.542499999999997</v>
      </c>
      <c r="FU119">
        <v>15.2265</v>
      </c>
      <c r="FV119">
        <v>2</v>
      </c>
      <c r="FW119">
        <v>505.87299999999999</v>
      </c>
      <c r="FX119">
        <v>345.68599999999998</v>
      </c>
      <c r="FY119">
        <v>31.385000000000002</v>
      </c>
      <c r="FZ119">
        <v>40.110399999999998</v>
      </c>
      <c r="GA119">
        <v>30</v>
      </c>
      <c r="GB119">
        <v>40.286799999999999</v>
      </c>
      <c r="GC119">
        <v>40.3142</v>
      </c>
      <c r="GD119">
        <v>-1</v>
      </c>
      <c r="GE119">
        <v>0</v>
      </c>
      <c r="GF119">
        <v>100</v>
      </c>
      <c r="GG119">
        <v>31.388100000000001</v>
      </c>
      <c r="GH119">
        <v>432.1</v>
      </c>
      <c r="GI119">
        <v>44.267099999999999</v>
      </c>
      <c r="GJ119">
        <v>100.633</v>
      </c>
      <c r="GK119">
        <v>95.108000000000004</v>
      </c>
    </row>
    <row r="120" spans="1:193" x14ac:dyDescent="0.35">
      <c r="A120">
        <v>104</v>
      </c>
      <c r="B120">
        <v>1775538207</v>
      </c>
      <c r="C120">
        <v>6180.9000000953674</v>
      </c>
      <c r="D120" t="s">
        <v>629</v>
      </c>
      <c r="E120" t="s">
        <v>630</v>
      </c>
      <c r="F120">
        <v>60</v>
      </c>
      <c r="G120">
        <v>1775538199</v>
      </c>
      <c r="H120">
        <f t="shared" si="30"/>
        <v>4.4943331112507383E-3</v>
      </c>
      <c r="I120">
        <f t="shared" si="31"/>
        <v>4.4943331112507385</v>
      </c>
      <c r="J120">
        <f t="shared" si="32"/>
        <v>-3.825601701929692</v>
      </c>
      <c r="K120">
        <f t="shared" si="33"/>
        <v>-8.6467516129032269</v>
      </c>
      <c r="L120">
        <f t="shared" si="34"/>
        <v>53.382820374950747</v>
      </c>
      <c r="M120">
        <f t="shared" si="35"/>
        <v>5.3512696836926459</v>
      </c>
      <c r="N120">
        <f t="shared" si="36"/>
        <v>-0.86677885213913686</v>
      </c>
      <c r="O120">
        <f t="shared" si="37"/>
        <v>9.7954197274088731E-2</v>
      </c>
      <c r="P120">
        <f t="shared" si="38"/>
        <v>2.3916676991160948</v>
      </c>
      <c r="Q120">
        <f t="shared" si="39"/>
        <v>9.5778783269360943E-2</v>
      </c>
      <c r="R120">
        <f t="shared" si="40"/>
        <v>6.0053167948778838E-2</v>
      </c>
      <c r="S120">
        <f t="shared" si="41"/>
        <v>0.31866929816129047</v>
      </c>
      <c r="T120">
        <f t="shared" si="42"/>
        <v>31.79777975278644</v>
      </c>
      <c r="U120">
        <f t="shared" si="43"/>
        <v>33.045887096774187</v>
      </c>
      <c r="V120">
        <f t="shared" si="44"/>
        <v>5.0651475070758405</v>
      </c>
      <c r="W120">
        <f t="shared" si="45"/>
        <v>9.6248406533069062</v>
      </c>
      <c r="X120">
        <f t="shared" si="46"/>
        <v>0.49169626058707605</v>
      </c>
      <c r="Y120">
        <f t="shared" si="47"/>
        <v>5.1086171532423128</v>
      </c>
      <c r="Z120">
        <f t="shared" si="48"/>
        <v>4.573451246488764</v>
      </c>
      <c r="AA120">
        <f t="shared" si="49"/>
        <v>-198.20009020615757</v>
      </c>
      <c r="AB120">
        <f t="shared" si="50"/>
        <v>19.627516984107395</v>
      </c>
      <c r="AC120">
        <f t="shared" si="51"/>
        <v>1.8817389639066298</v>
      </c>
      <c r="AD120">
        <f t="shared" si="52"/>
        <v>-176.37216495998226</v>
      </c>
      <c r="AE120">
        <v>6</v>
      </c>
      <c r="AF120">
        <v>1</v>
      </c>
      <c r="AG120">
        <f t="shared" si="53"/>
        <v>1</v>
      </c>
      <c r="AH120">
        <f t="shared" si="54"/>
        <v>0</v>
      </c>
      <c r="AI120">
        <f t="shared" si="55"/>
        <v>25052.928935515476</v>
      </c>
      <c r="AJ120">
        <f t="shared" si="56"/>
        <v>1.6675525806451621</v>
      </c>
      <c r="AK120">
        <f t="shared" si="57"/>
        <v>1.3340420645161297</v>
      </c>
      <c r="AL120">
        <f t="shared" si="58"/>
        <v>0.8</v>
      </c>
      <c r="AM120">
        <f t="shared" si="59"/>
        <v>0.19109999999999999</v>
      </c>
      <c r="AN120">
        <v>3</v>
      </c>
      <c r="AO120">
        <v>0.5</v>
      </c>
      <c r="AP120" t="s">
        <v>317</v>
      </c>
      <c r="AQ120">
        <v>2</v>
      </c>
      <c r="AR120">
        <v>1775538199</v>
      </c>
      <c r="AS120">
        <v>-8.6467516129032269</v>
      </c>
      <c r="AT120">
        <v>-10.96557741935484</v>
      </c>
      <c r="AU120">
        <v>4.9050290322580636</v>
      </c>
      <c r="AV120">
        <v>2.2214848387096779</v>
      </c>
      <c r="AW120">
        <v>-15.494751612903229</v>
      </c>
      <c r="AX120">
        <v>4.1354848387096776</v>
      </c>
      <c r="AY120">
        <v>499.9680967741935</v>
      </c>
      <c r="AZ120">
        <v>100.1935483870968</v>
      </c>
      <c r="BA120">
        <v>4.9744232258064507E-2</v>
      </c>
      <c r="BB120">
        <v>33.198109677419353</v>
      </c>
      <c r="BC120">
        <v>33.045887096774187</v>
      </c>
      <c r="BD120">
        <v>999.90000000000032</v>
      </c>
      <c r="BE120">
        <v>0</v>
      </c>
      <c r="BF120">
        <v>0</v>
      </c>
      <c r="BG120">
        <v>4999.6935483870966</v>
      </c>
      <c r="BH120">
        <v>1.6675525806451621</v>
      </c>
      <c r="BI120">
        <v>1836.5854838709679</v>
      </c>
      <c r="BJ120">
        <v>2.332281612903226</v>
      </c>
      <c r="BK120">
        <v>-8.6525783870967725</v>
      </c>
      <c r="BL120">
        <v>-11.01963870967742</v>
      </c>
      <c r="BM120">
        <v>-2.6775199999999999</v>
      </c>
      <c r="BN120">
        <v>-10.96557741935484</v>
      </c>
      <c r="BO120">
        <v>4.9050290322580636</v>
      </c>
      <c r="BP120">
        <v>0.22318203225806449</v>
      </c>
      <c r="BQ120">
        <v>0.49145235483870958</v>
      </c>
      <c r="BR120">
        <v>-13.16485483870968</v>
      </c>
      <c r="BS120">
        <v>-3.0190496774193551</v>
      </c>
      <c r="BT120">
        <v>1775538240.5</v>
      </c>
      <c r="BU120" t="s">
        <v>631</v>
      </c>
      <c r="BV120">
        <v>1775538225.5</v>
      </c>
      <c r="BW120">
        <v>1775538240.5</v>
      </c>
      <c r="BX120">
        <v>105</v>
      </c>
      <c r="BY120">
        <v>-1.2999999999999999E-2</v>
      </c>
      <c r="BZ120">
        <v>-6.0000000000000001E-3</v>
      </c>
      <c r="CA120">
        <v>6.8479999999999999</v>
      </c>
      <c r="CB120">
        <v>-1.9139999999999999</v>
      </c>
      <c r="CC120">
        <v>-11</v>
      </c>
      <c r="CD120">
        <v>5</v>
      </c>
      <c r="CE120">
        <v>0.27</v>
      </c>
      <c r="CF120">
        <v>0.04</v>
      </c>
      <c r="CG120">
        <v>-10.89927333333333</v>
      </c>
      <c r="CH120">
        <v>-0.51042045012503434</v>
      </c>
      <c r="CI120">
        <v>0.1050039520949356</v>
      </c>
      <c r="CJ120">
        <v>-1</v>
      </c>
      <c r="CK120">
        <v>500.87526666666668</v>
      </c>
      <c r="CL120">
        <v>-8.8929969435933991</v>
      </c>
      <c r="CM120">
        <v>1.9033737403766871</v>
      </c>
      <c r="CN120">
        <v>-1</v>
      </c>
      <c r="CO120">
        <v>0</v>
      </c>
      <c r="CP120">
        <v>0</v>
      </c>
      <c r="CQ120" t="s">
        <v>319</v>
      </c>
      <c r="CR120">
        <v>3.1694</v>
      </c>
      <c r="CS120">
        <v>2.6708599999999998</v>
      </c>
      <c r="CT120">
        <v>-4.5108500000000003E-3</v>
      </c>
      <c r="CU120">
        <v>-3.2247399999999998E-3</v>
      </c>
      <c r="CV120">
        <v>2.8040200000000001E-2</v>
      </c>
      <c r="CW120">
        <v>3.2257500000000001E-2</v>
      </c>
      <c r="CX120">
        <v>21279.8</v>
      </c>
      <c r="CY120">
        <v>21710.799999999999</v>
      </c>
      <c r="CZ120">
        <v>22723.8</v>
      </c>
      <c r="DA120">
        <v>22016.6</v>
      </c>
      <c r="DB120">
        <v>28512.3</v>
      </c>
      <c r="DC120">
        <v>25355.200000000001</v>
      </c>
      <c r="DD120">
        <v>40003.599999999999</v>
      </c>
      <c r="DE120">
        <v>36426.5</v>
      </c>
      <c r="DF120">
        <v>1.98014</v>
      </c>
      <c r="DG120">
        <v>1.59104</v>
      </c>
      <c r="DH120">
        <v>-8.5440299999999997E-2</v>
      </c>
      <c r="DI120">
        <v>0</v>
      </c>
      <c r="DJ120">
        <v>34.423200000000001</v>
      </c>
      <c r="DK120">
        <v>999.9</v>
      </c>
      <c r="DL120">
        <v>48.5</v>
      </c>
      <c r="DM120">
        <v>47</v>
      </c>
      <c r="DN120">
        <v>51.694299999999998</v>
      </c>
      <c r="DO120">
        <v>30.714700000000001</v>
      </c>
      <c r="DP120">
        <v>10.2644</v>
      </c>
      <c r="DQ120">
        <v>1</v>
      </c>
      <c r="DR120">
        <v>1.0738399999999999</v>
      </c>
      <c r="DS120">
        <v>2.8127300000000002</v>
      </c>
      <c r="DT120">
        <v>20.329699999999999</v>
      </c>
      <c r="DU120">
        <v>5.20627</v>
      </c>
      <c r="DV120">
        <v>11.856999999999999</v>
      </c>
      <c r="DW120">
        <v>4.9665600000000003</v>
      </c>
      <c r="DX120">
        <v>3.29236</v>
      </c>
      <c r="DY120">
        <v>894.7</v>
      </c>
      <c r="DZ120">
        <v>6</v>
      </c>
      <c r="EA120">
        <v>9999</v>
      </c>
      <c r="EB120">
        <v>117.5</v>
      </c>
      <c r="EC120">
        <v>4.9716100000000001</v>
      </c>
      <c r="ED120">
        <v>1.8722099999999999</v>
      </c>
      <c r="EE120">
        <v>1.8695999999999999</v>
      </c>
      <c r="EF120">
        <v>1.8718399999999999</v>
      </c>
      <c r="EG120">
        <v>1.8696600000000001</v>
      </c>
      <c r="EH120">
        <v>1.8684400000000001</v>
      </c>
      <c r="EI120">
        <v>1.8702700000000001</v>
      </c>
      <c r="EJ120">
        <v>1.87195</v>
      </c>
      <c r="EK120">
        <v>0</v>
      </c>
      <c r="EL120">
        <v>0</v>
      </c>
      <c r="EM120">
        <v>0</v>
      </c>
      <c r="EN120">
        <v>0</v>
      </c>
      <c r="EO120" t="s">
        <v>320</v>
      </c>
      <c r="EP120" t="s">
        <v>321</v>
      </c>
      <c r="EQ120" t="s">
        <v>322</v>
      </c>
      <c r="ER120" t="s">
        <v>322</v>
      </c>
      <c r="ES120" t="s">
        <v>322</v>
      </c>
      <c r="ET120" t="s">
        <v>322</v>
      </c>
      <c r="EU120">
        <v>0</v>
      </c>
      <c r="EV120">
        <v>100</v>
      </c>
      <c r="EW120">
        <v>100</v>
      </c>
      <c r="EX120">
        <v>6.8479999999999999</v>
      </c>
      <c r="EY120">
        <v>-1.9139999999999999</v>
      </c>
      <c r="EZ120">
        <v>6.8614459999999946</v>
      </c>
      <c r="FA120">
        <v>0</v>
      </c>
      <c r="FB120">
        <v>0</v>
      </c>
      <c r="FC120">
        <v>0</v>
      </c>
      <c r="FD120">
        <v>-1.9079755000000009</v>
      </c>
      <c r="FE120">
        <v>0</v>
      </c>
      <c r="FF120">
        <v>0</v>
      </c>
      <c r="FG120">
        <v>0</v>
      </c>
      <c r="FH120">
        <v>-1</v>
      </c>
      <c r="FI120">
        <v>-1</v>
      </c>
      <c r="FJ120">
        <v>-1</v>
      </c>
      <c r="FK120">
        <v>-1</v>
      </c>
      <c r="FL120">
        <v>0.6</v>
      </c>
      <c r="FM120">
        <v>0.6</v>
      </c>
      <c r="FN120">
        <v>0.14038100000000001</v>
      </c>
      <c r="FO120">
        <v>4.99756</v>
      </c>
      <c r="FP120">
        <v>1.5979000000000001</v>
      </c>
      <c r="FQ120">
        <v>2.1130399999999998</v>
      </c>
      <c r="FR120">
        <v>1.5478499999999999</v>
      </c>
      <c r="FS120">
        <v>2.4621599999999999</v>
      </c>
      <c r="FT120">
        <v>50.542499999999997</v>
      </c>
      <c r="FU120">
        <v>15.209</v>
      </c>
      <c r="FV120">
        <v>2</v>
      </c>
      <c r="FW120">
        <v>506.09100000000001</v>
      </c>
      <c r="FX120">
        <v>345.29</v>
      </c>
      <c r="FY120">
        <v>31.447199999999999</v>
      </c>
      <c r="FZ120">
        <v>40.100900000000003</v>
      </c>
      <c r="GA120">
        <v>30.0002</v>
      </c>
      <c r="GB120">
        <v>40.291499999999999</v>
      </c>
      <c r="GC120">
        <v>40.322099999999999</v>
      </c>
      <c r="GD120">
        <v>-1</v>
      </c>
      <c r="GE120">
        <v>0</v>
      </c>
      <c r="GF120">
        <v>100</v>
      </c>
      <c r="GG120">
        <v>31.357600000000001</v>
      </c>
      <c r="GH120">
        <v>432.1</v>
      </c>
      <c r="GI120">
        <v>44.267099999999999</v>
      </c>
      <c r="GJ120">
        <v>100.634</v>
      </c>
      <c r="GK120">
        <v>95.109800000000007</v>
      </c>
    </row>
    <row r="121" spans="1:193" x14ac:dyDescent="0.35">
      <c r="A121">
        <v>105</v>
      </c>
      <c r="B121">
        <v>1775538267</v>
      </c>
      <c r="C121">
        <v>6240.9000000953674</v>
      </c>
      <c r="D121" t="s">
        <v>632</v>
      </c>
      <c r="E121" t="s">
        <v>633</v>
      </c>
      <c r="F121">
        <v>60</v>
      </c>
      <c r="G121">
        <v>1775538259.25</v>
      </c>
      <c r="H121">
        <f t="shared" si="30"/>
        <v>4.6491507822623698E-3</v>
      </c>
      <c r="I121">
        <f t="shared" si="31"/>
        <v>4.6491507822623701</v>
      </c>
      <c r="J121">
        <f t="shared" si="32"/>
        <v>-3.6379035430371665</v>
      </c>
      <c r="K121">
        <f t="shared" si="33"/>
        <v>-8.7872200000000014</v>
      </c>
      <c r="L121">
        <f t="shared" si="34"/>
        <v>48.144039396651394</v>
      </c>
      <c r="M121">
        <f t="shared" si="35"/>
        <v>4.8260158512389397</v>
      </c>
      <c r="N121">
        <f t="shared" si="36"/>
        <v>-0.88084139884767199</v>
      </c>
      <c r="O121">
        <f t="shared" si="37"/>
        <v>0.10168202133876947</v>
      </c>
      <c r="P121">
        <f t="shared" si="38"/>
        <v>2.3907121836784482</v>
      </c>
      <c r="Q121">
        <f t="shared" si="39"/>
        <v>9.9339097823824274E-2</v>
      </c>
      <c r="R121">
        <f t="shared" si="40"/>
        <v>6.2292942168834423E-2</v>
      </c>
      <c r="S121">
        <f t="shared" si="41"/>
        <v>0.31557820839999995</v>
      </c>
      <c r="T121">
        <f t="shared" si="42"/>
        <v>31.736212189559698</v>
      </c>
      <c r="U121">
        <f t="shared" si="43"/>
        <v>33.015063333333337</v>
      </c>
      <c r="V121">
        <f t="shared" si="44"/>
        <v>5.0563845670179512</v>
      </c>
      <c r="W121">
        <f t="shared" si="45"/>
        <v>9.6948005868485634</v>
      </c>
      <c r="X121">
        <f t="shared" si="46"/>
        <v>0.49491782535189105</v>
      </c>
      <c r="Y121">
        <f t="shared" si="47"/>
        <v>5.104982004717761</v>
      </c>
      <c r="Z121">
        <f t="shared" si="48"/>
        <v>4.5614667416660604</v>
      </c>
      <c r="AA121">
        <f t="shared" si="49"/>
        <v>-205.02754949777051</v>
      </c>
      <c r="AB121">
        <f t="shared" si="50"/>
        <v>21.957372498988438</v>
      </c>
      <c r="AC121">
        <f t="shared" si="51"/>
        <v>2.1055004603978538</v>
      </c>
      <c r="AD121">
        <f t="shared" si="52"/>
        <v>-180.64909832998421</v>
      </c>
      <c r="AE121">
        <v>6</v>
      </c>
      <c r="AF121">
        <v>1</v>
      </c>
      <c r="AG121">
        <f t="shared" si="53"/>
        <v>1</v>
      </c>
      <c r="AH121">
        <f t="shared" si="54"/>
        <v>0</v>
      </c>
      <c r="AI121">
        <f t="shared" si="55"/>
        <v>25039.823668370904</v>
      </c>
      <c r="AJ121">
        <f t="shared" si="56"/>
        <v>1.651377333333333</v>
      </c>
      <c r="AK121">
        <f t="shared" si="57"/>
        <v>1.3211018666666665</v>
      </c>
      <c r="AL121">
        <f t="shared" si="58"/>
        <v>0.8</v>
      </c>
      <c r="AM121">
        <f t="shared" si="59"/>
        <v>0.19109999999999999</v>
      </c>
      <c r="AN121">
        <v>3</v>
      </c>
      <c r="AO121">
        <v>0.5</v>
      </c>
      <c r="AP121" t="s">
        <v>317</v>
      </c>
      <c r="AQ121">
        <v>2</v>
      </c>
      <c r="AR121">
        <v>1775538259.25</v>
      </c>
      <c r="AS121">
        <v>-8.7872200000000014</v>
      </c>
      <c r="AT121">
        <v>-10.994516666666669</v>
      </c>
      <c r="AU121">
        <v>4.9372699999999998</v>
      </c>
      <c r="AV121">
        <v>2.1614983333333329</v>
      </c>
      <c r="AW121">
        <v>-15.643219999999999</v>
      </c>
      <c r="AX121">
        <v>4.0744983333333344</v>
      </c>
      <c r="AY121">
        <v>499.9903333333333</v>
      </c>
      <c r="AZ121">
        <v>100.1909</v>
      </c>
      <c r="BA121">
        <v>5.0291053333333328E-2</v>
      </c>
      <c r="BB121">
        <v>33.185423333333333</v>
      </c>
      <c r="BC121">
        <v>33.015063333333337</v>
      </c>
      <c r="BD121">
        <v>999.9000000000002</v>
      </c>
      <c r="BE121">
        <v>0</v>
      </c>
      <c r="BF121">
        <v>0</v>
      </c>
      <c r="BG121">
        <v>4997.3666666666668</v>
      </c>
      <c r="BH121">
        <v>1.651377333333333</v>
      </c>
      <c r="BI121">
        <v>1856.3330000000001</v>
      </c>
      <c r="BJ121">
        <v>2.1995766666666672</v>
      </c>
      <c r="BK121">
        <v>-8.813997333333333</v>
      </c>
      <c r="BL121">
        <v>-11.04908</v>
      </c>
      <c r="BM121">
        <v>-2.776285666666666</v>
      </c>
      <c r="BN121">
        <v>-10.994516666666669</v>
      </c>
      <c r="BO121">
        <v>4.9372699999999998</v>
      </c>
      <c r="BP121">
        <v>0.21651100000000001</v>
      </c>
      <c r="BQ121">
        <v>0.49466953333333341</v>
      </c>
      <c r="BR121">
        <v>-13.537696666666671</v>
      </c>
      <c r="BS121">
        <v>-2.931413333333333</v>
      </c>
      <c r="BT121">
        <v>1775538294</v>
      </c>
      <c r="BU121" t="s">
        <v>634</v>
      </c>
      <c r="BV121">
        <v>1775538288</v>
      </c>
      <c r="BW121">
        <v>1775538294</v>
      </c>
      <c r="BX121">
        <v>106</v>
      </c>
      <c r="BY121">
        <v>7.0000000000000001E-3</v>
      </c>
      <c r="BZ121">
        <v>1E-3</v>
      </c>
      <c r="CA121">
        <v>6.8559999999999999</v>
      </c>
      <c r="CB121">
        <v>-1.913</v>
      </c>
      <c r="CC121">
        <v>-10</v>
      </c>
      <c r="CD121">
        <v>5</v>
      </c>
      <c r="CE121">
        <v>0.21</v>
      </c>
      <c r="CF121">
        <v>0.02</v>
      </c>
      <c r="CG121">
        <v>-11.04865901639344</v>
      </c>
      <c r="CH121">
        <v>0.53057451084081331</v>
      </c>
      <c r="CI121">
        <v>9.3458551130222417E-2</v>
      </c>
      <c r="CJ121">
        <v>-1</v>
      </c>
      <c r="CK121">
        <v>500.9542295081967</v>
      </c>
      <c r="CL121">
        <v>-4.8246980433641653</v>
      </c>
      <c r="CM121">
        <v>1.87486632872978</v>
      </c>
      <c r="CN121">
        <v>-1</v>
      </c>
      <c r="CO121">
        <v>0</v>
      </c>
      <c r="CP121">
        <v>0</v>
      </c>
      <c r="CQ121" t="s">
        <v>319</v>
      </c>
      <c r="CR121">
        <v>3.1693899999999999</v>
      </c>
      <c r="CS121">
        <v>2.67056</v>
      </c>
      <c r="CT121">
        <v>-4.4957799999999996E-3</v>
      </c>
      <c r="CU121">
        <v>-3.1280499999999998E-3</v>
      </c>
      <c r="CV121">
        <v>2.7725300000000001E-2</v>
      </c>
      <c r="CW121">
        <v>3.2379600000000001E-2</v>
      </c>
      <c r="CX121">
        <v>21277.3</v>
      </c>
      <c r="CY121">
        <v>21706.7</v>
      </c>
      <c r="CZ121">
        <v>22721.599999999999</v>
      </c>
      <c r="DA121">
        <v>22014.5</v>
      </c>
      <c r="DB121">
        <v>28519</v>
      </c>
      <c r="DC121">
        <v>25349.599999999999</v>
      </c>
      <c r="DD121">
        <v>40000</v>
      </c>
      <c r="DE121">
        <v>36423.199999999997</v>
      </c>
      <c r="DF121">
        <v>1.9795199999999999</v>
      </c>
      <c r="DG121">
        <v>1.5904400000000001</v>
      </c>
      <c r="DH121">
        <v>-8.4963399999999994E-2</v>
      </c>
      <c r="DI121">
        <v>0</v>
      </c>
      <c r="DJ121">
        <v>34.386600000000001</v>
      </c>
      <c r="DK121">
        <v>999.9</v>
      </c>
      <c r="DL121">
        <v>48.4</v>
      </c>
      <c r="DM121">
        <v>47.1</v>
      </c>
      <c r="DN121">
        <v>51.839599999999997</v>
      </c>
      <c r="DO121">
        <v>30.954699999999999</v>
      </c>
      <c r="DP121">
        <v>10.597</v>
      </c>
      <c r="DQ121">
        <v>1</v>
      </c>
      <c r="DR121">
        <v>1.0767599999999999</v>
      </c>
      <c r="DS121">
        <v>2.7490100000000002</v>
      </c>
      <c r="DT121">
        <v>20.331499999999998</v>
      </c>
      <c r="DU121">
        <v>5.2084200000000003</v>
      </c>
      <c r="DV121">
        <v>11.857100000000001</v>
      </c>
      <c r="DW121">
        <v>4.9668000000000001</v>
      </c>
      <c r="DX121">
        <v>3.2930000000000001</v>
      </c>
      <c r="DY121">
        <v>894.7</v>
      </c>
      <c r="DZ121">
        <v>6</v>
      </c>
      <c r="EA121">
        <v>9999</v>
      </c>
      <c r="EB121">
        <v>117.5</v>
      </c>
      <c r="EC121">
        <v>4.9716199999999997</v>
      </c>
      <c r="ED121">
        <v>1.87225</v>
      </c>
      <c r="EE121">
        <v>1.86961</v>
      </c>
      <c r="EF121">
        <v>1.87191</v>
      </c>
      <c r="EG121">
        <v>1.8696600000000001</v>
      </c>
      <c r="EH121">
        <v>1.8684499999999999</v>
      </c>
      <c r="EI121">
        <v>1.8702700000000001</v>
      </c>
      <c r="EJ121">
        <v>1.87195</v>
      </c>
      <c r="EK121">
        <v>0</v>
      </c>
      <c r="EL121">
        <v>0</v>
      </c>
      <c r="EM121">
        <v>0</v>
      </c>
      <c r="EN121">
        <v>0</v>
      </c>
      <c r="EO121" t="s">
        <v>320</v>
      </c>
      <c r="EP121" t="s">
        <v>321</v>
      </c>
      <c r="EQ121" t="s">
        <v>322</v>
      </c>
      <c r="ER121" t="s">
        <v>322</v>
      </c>
      <c r="ES121" t="s">
        <v>322</v>
      </c>
      <c r="ET121" t="s">
        <v>322</v>
      </c>
      <c r="EU121">
        <v>0</v>
      </c>
      <c r="EV121">
        <v>100</v>
      </c>
      <c r="EW121">
        <v>100</v>
      </c>
      <c r="EX121">
        <v>6.8559999999999999</v>
      </c>
      <c r="EY121">
        <v>-1.913</v>
      </c>
      <c r="EZ121">
        <v>6.848276190476188</v>
      </c>
      <c r="FA121">
        <v>0</v>
      </c>
      <c r="FB121">
        <v>0</v>
      </c>
      <c r="FC121">
        <v>0</v>
      </c>
      <c r="FD121">
        <v>-1.913514761904763</v>
      </c>
      <c r="FE121">
        <v>0</v>
      </c>
      <c r="FF121">
        <v>0</v>
      </c>
      <c r="FG121">
        <v>0</v>
      </c>
      <c r="FH121">
        <v>-1</v>
      </c>
      <c r="FI121">
        <v>-1</v>
      </c>
      <c r="FJ121">
        <v>-1</v>
      </c>
      <c r="FK121">
        <v>-1</v>
      </c>
      <c r="FL121">
        <v>0.7</v>
      </c>
      <c r="FM121">
        <v>0.4</v>
      </c>
      <c r="FN121">
        <v>0.14038100000000001</v>
      </c>
      <c r="FO121">
        <v>4.99756</v>
      </c>
      <c r="FP121">
        <v>1.5979000000000001</v>
      </c>
      <c r="FQ121">
        <v>2.1130399999999998</v>
      </c>
      <c r="FR121">
        <v>1.5478499999999999</v>
      </c>
      <c r="FS121">
        <v>2.50854</v>
      </c>
      <c r="FT121">
        <v>50.542499999999997</v>
      </c>
      <c r="FU121">
        <v>15.209</v>
      </c>
      <c r="FV121">
        <v>2</v>
      </c>
      <c r="FW121">
        <v>505.86200000000002</v>
      </c>
      <c r="FX121">
        <v>345.08699999999999</v>
      </c>
      <c r="FY121">
        <v>31.4116</v>
      </c>
      <c r="FZ121">
        <v>40.122300000000003</v>
      </c>
      <c r="GA121">
        <v>30.000299999999999</v>
      </c>
      <c r="GB121">
        <v>40.315100000000001</v>
      </c>
      <c r="GC121">
        <v>40.348399999999998</v>
      </c>
      <c r="GD121">
        <v>-1</v>
      </c>
      <c r="GE121">
        <v>0</v>
      </c>
      <c r="GF121">
        <v>100</v>
      </c>
      <c r="GG121">
        <v>31.426400000000001</v>
      </c>
      <c r="GH121">
        <v>432.1</v>
      </c>
      <c r="GI121">
        <v>44.267099999999999</v>
      </c>
      <c r="GJ121">
        <v>100.624</v>
      </c>
      <c r="GK121">
        <v>95.101100000000002</v>
      </c>
    </row>
    <row r="122" spans="1:193" x14ac:dyDescent="0.35">
      <c r="A122">
        <v>106</v>
      </c>
      <c r="B122">
        <v>1775538327</v>
      </c>
      <c r="C122">
        <v>6300.9000000953674</v>
      </c>
      <c r="D122" t="s">
        <v>635</v>
      </c>
      <c r="E122" t="s">
        <v>636</v>
      </c>
      <c r="F122">
        <v>60</v>
      </c>
      <c r="G122">
        <v>1775538319</v>
      </c>
      <c r="H122">
        <f t="shared" si="30"/>
        <v>4.714501491995469E-3</v>
      </c>
      <c r="I122">
        <f t="shared" si="31"/>
        <v>4.7145014919954686</v>
      </c>
      <c r="J122">
        <f t="shared" si="32"/>
        <v>-3.4153002193459367</v>
      </c>
      <c r="K122">
        <f t="shared" si="33"/>
        <v>-8.3236064516129069</v>
      </c>
      <c r="L122">
        <f t="shared" si="34"/>
        <v>44.461063703092925</v>
      </c>
      <c r="M122">
        <f t="shared" si="35"/>
        <v>4.4567474089361196</v>
      </c>
      <c r="N122">
        <f t="shared" si="36"/>
        <v>-0.83435276614061749</v>
      </c>
      <c r="O122">
        <f t="shared" si="37"/>
        <v>0.10300459407985986</v>
      </c>
      <c r="P122">
        <f t="shared" si="38"/>
        <v>2.3939692671152559</v>
      </c>
      <c r="Q122">
        <f t="shared" si="39"/>
        <v>0.10060428960062698</v>
      </c>
      <c r="R122">
        <f t="shared" si="40"/>
        <v>6.3088680132342159E-2</v>
      </c>
      <c r="S122">
        <f t="shared" si="41"/>
        <v>0.31286090612903222</v>
      </c>
      <c r="T122">
        <f t="shared" si="42"/>
        <v>31.749922933303278</v>
      </c>
      <c r="U122">
        <f t="shared" si="43"/>
        <v>33.041967741935487</v>
      </c>
      <c r="V122">
        <f t="shared" si="44"/>
        <v>5.0640325343098676</v>
      </c>
      <c r="W122">
        <f t="shared" si="45"/>
        <v>9.7166498183252159</v>
      </c>
      <c r="X122">
        <f t="shared" si="46"/>
        <v>0.49693203541419362</v>
      </c>
      <c r="Y122">
        <f t="shared" si="47"/>
        <v>5.1142322169210992</v>
      </c>
      <c r="Z122">
        <f t="shared" si="48"/>
        <v>4.567100498895674</v>
      </c>
      <c r="AA122">
        <f t="shared" si="49"/>
        <v>-207.90951579700018</v>
      </c>
      <c r="AB122">
        <f t="shared" si="50"/>
        <v>22.679401358277062</v>
      </c>
      <c r="AC122">
        <f t="shared" si="51"/>
        <v>2.1724070646084401</v>
      </c>
      <c r="AD122">
        <f t="shared" si="52"/>
        <v>-182.74484646798564</v>
      </c>
      <c r="AE122">
        <v>6</v>
      </c>
      <c r="AF122">
        <v>1</v>
      </c>
      <c r="AG122">
        <f t="shared" si="53"/>
        <v>1</v>
      </c>
      <c r="AH122">
        <f t="shared" si="54"/>
        <v>0</v>
      </c>
      <c r="AI122">
        <f t="shared" si="55"/>
        <v>25085.764979197167</v>
      </c>
      <c r="AJ122">
        <f t="shared" si="56"/>
        <v>1.637158064516129</v>
      </c>
      <c r="AK122">
        <f t="shared" si="57"/>
        <v>1.3097264516129032</v>
      </c>
      <c r="AL122">
        <f t="shared" si="58"/>
        <v>0.8</v>
      </c>
      <c r="AM122">
        <f t="shared" si="59"/>
        <v>0.19109999999999999</v>
      </c>
      <c r="AN122">
        <v>3</v>
      </c>
      <c r="AO122">
        <v>0.5</v>
      </c>
      <c r="AP122" t="s">
        <v>317</v>
      </c>
      <c r="AQ122">
        <v>2</v>
      </c>
      <c r="AR122">
        <v>1775538319</v>
      </c>
      <c r="AS122">
        <v>-8.3236064516129069</v>
      </c>
      <c r="AT122">
        <v>-10.39627741935484</v>
      </c>
      <c r="AU122">
        <v>4.9574554838709677</v>
      </c>
      <c r="AV122">
        <v>2.14285129032258</v>
      </c>
      <c r="AW122">
        <v>-15.14860645161291</v>
      </c>
      <c r="AX122">
        <v>4.0558512903225807</v>
      </c>
      <c r="AY122">
        <v>500.01306451612902</v>
      </c>
      <c r="AZ122">
        <v>100.1904193548387</v>
      </c>
      <c r="BA122">
        <v>4.8914519354838717E-2</v>
      </c>
      <c r="BB122">
        <v>33.217690322580651</v>
      </c>
      <c r="BC122">
        <v>33.041967741935487</v>
      </c>
      <c r="BD122">
        <v>999.90000000000032</v>
      </c>
      <c r="BE122">
        <v>0</v>
      </c>
      <c r="BF122">
        <v>0</v>
      </c>
      <c r="BG122">
        <v>5005.7741935483873</v>
      </c>
      <c r="BH122">
        <v>1.637158064516129</v>
      </c>
      <c r="BI122">
        <v>1819.232903225806</v>
      </c>
      <c r="BJ122">
        <v>2.1033896774193548</v>
      </c>
      <c r="BK122">
        <v>-8.3107048387096771</v>
      </c>
      <c r="BL122">
        <v>-10.44808193548387</v>
      </c>
      <c r="BM122">
        <v>-2.8143503225806459</v>
      </c>
      <c r="BN122">
        <v>-10.39627741935484</v>
      </c>
      <c r="BO122">
        <v>4.9574554838709677</v>
      </c>
      <c r="BP122">
        <v>0.21471858064516131</v>
      </c>
      <c r="BQ122">
        <v>0.49668935483870968</v>
      </c>
      <c r="BR122">
        <v>-13.63969032258065</v>
      </c>
      <c r="BS122">
        <v>-2.8766580645161288</v>
      </c>
      <c r="BT122">
        <v>1775538356.5</v>
      </c>
      <c r="BU122" t="s">
        <v>637</v>
      </c>
      <c r="BV122">
        <v>1775538345</v>
      </c>
      <c r="BW122">
        <v>1775538356.5</v>
      </c>
      <c r="BX122">
        <v>107</v>
      </c>
      <c r="BY122">
        <v>-0.03</v>
      </c>
      <c r="BZ122">
        <v>-1E-3</v>
      </c>
      <c r="CA122">
        <v>6.8250000000000002</v>
      </c>
      <c r="CB122">
        <v>-1.913</v>
      </c>
      <c r="CC122">
        <v>-10</v>
      </c>
      <c r="CD122">
        <v>5</v>
      </c>
      <c r="CE122">
        <v>0.14000000000000001</v>
      </c>
      <c r="CF122">
        <v>0.04</v>
      </c>
      <c r="CG122">
        <v>-10.54970819672131</v>
      </c>
      <c r="CH122">
        <v>1.444690343733487</v>
      </c>
      <c r="CI122">
        <v>0.25555878695875461</v>
      </c>
      <c r="CJ122">
        <v>-1</v>
      </c>
      <c r="CK122">
        <v>500.88459016393438</v>
      </c>
      <c r="CL122">
        <v>-8.5141173982020391</v>
      </c>
      <c r="CM122">
        <v>1.884150148702078</v>
      </c>
      <c r="CN122">
        <v>-1</v>
      </c>
      <c r="CO122">
        <v>0</v>
      </c>
      <c r="CP122">
        <v>0</v>
      </c>
      <c r="CQ122" t="s">
        <v>319</v>
      </c>
      <c r="CR122">
        <v>3.1694399999999998</v>
      </c>
      <c r="CS122">
        <v>2.6703399999999999</v>
      </c>
      <c r="CT122">
        <v>-4.3041700000000004E-3</v>
      </c>
      <c r="CU122">
        <v>-2.8251399999999999E-3</v>
      </c>
      <c r="CV122">
        <v>2.7387499999999999E-2</v>
      </c>
      <c r="CW122">
        <v>3.2527800000000003E-2</v>
      </c>
      <c r="CX122">
        <v>21273.1</v>
      </c>
      <c r="CY122">
        <v>21700.400000000001</v>
      </c>
      <c r="CZ122">
        <v>22721.3</v>
      </c>
      <c r="DA122">
        <v>22014.799999999999</v>
      </c>
      <c r="DB122">
        <v>28528.400000000001</v>
      </c>
      <c r="DC122">
        <v>25346.1</v>
      </c>
      <c r="DD122">
        <v>39999.4</v>
      </c>
      <c r="DE122">
        <v>36423.699999999997</v>
      </c>
      <c r="DF122">
        <v>1.9795199999999999</v>
      </c>
      <c r="DG122">
        <v>1.5898600000000001</v>
      </c>
      <c r="DH122">
        <v>-8.4251199999999998E-2</v>
      </c>
      <c r="DI122">
        <v>0</v>
      </c>
      <c r="DJ122">
        <v>34.407200000000003</v>
      </c>
      <c r="DK122">
        <v>999.9</v>
      </c>
      <c r="DL122">
        <v>48.3</v>
      </c>
      <c r="DM122">
        <v>47.1</v>
      </c>
      <c r="DN122">
        <v>51.738799999999998</v>
      </c>
      <c r="DO122">
        <v>30.5047</v>
      </c>
      <c r="DP122">
        <v>10.2364</v>
      </c>
      <c r="DQ122">
        <v>1</v>
      </c>
      <c r="DR122">
        <v>1.0775300000000001</v>
      </c>
      <c r="DS122">
        <v>3.0064700000000002</v>
      </c>
      <c r="DT122">
        <v>20.325600000000001</v>
      </c>
      <c r="DU122">
        <v>5.2068700000000003</v>
      </c>
      <c r="DV122">
        <v>11.8561</v>
      </c>
      <c r="DW122">
        <v>4.9653200000000002</v>
      </c>
      <c r="DX122">
        <v>3.2923800000000001</v>
      </c>
      <c r="DY122">
        <v>894.7</v>
      </c>
      <c r="DZ122">
        <v>6</v>
      </c>
      <c r="EA122">
        <v>9999</v>
      </c>
      <c r="EB122">
        <v>117.5</v>
      </c>
      <c r="EC122">
        <v>4.9715999999999996</v>
      </c>
      <c r="ED122">
        <v>1.8722300000000001</v>
      </c>
      <c r="EE122">
        <v>1.8695600000000001</v>
      </c>
      <c r="EF122">
        <v>1.87185</v>
      </c>
      <c r="EG122">
        <v>1.8696600000000001</v>
      </c>
      <c r="EH122">
        <v>1.86846</v>
      </c>
      <c r="EI122">
        <v>1.8702700000000001</v>
      </c>
      <c r="EJ122">
        <v>1.87195</v>
      </c>
      <c r="EK122">
        <v>0</v>
      </c>
      <c r="EL122">
        <v>0</v>
      </c>
      <c r="EM122">
        <v>0</v>
      </c>
      <c r="EN122">
        <v>0</v>
      </c>
      <c r="EO122" t="s">
        <v>320</v>
      </c>
      <c r="EP122" t="s">
        <v>321</v>
      </c>
      <c r="EQ122" t="s">
        <v>322</v>
      </c>
      <c r="ER122" t="s">
        <v>322</v>
      </c>
      <c r="ES122" t="s">
        <v>322</v>
      </c>
      <c r="ET122" t="s">
        <v>322</v>
      </c>
      <c r="EU122">
        <v>0</v>
      </c>
      <c r="EV122">
        <v>100</v>
      </c>
      <c r="EW122">
        <v>100</v>
      </c>
      <c r="EX122">
        <v>6.8250000000000002</v>
      </c>
      <c r="EY122">
        <v>-1.913</v>
      </c>
      <c r="EZ122">
        <v>6.8557100000000002</v>
      </c>
      <c r="FA122">
        <v>0</v>
      </c>
      <c r="FB122">
        <v>0</v>
      </c>
      <c r="FC122">
        <v>0</v>
      </c>
      <c r="FD122">
        <v>-1.9127455</v>
      </c>
      <c r="FE122">
        <v>0</v>
      </c>
      <c r="FF122">
        <v>0</v>
      </c>
      <c r="FG122">
        <v>0</v>
      </c>
      <c r="FH122">
        <v>-1</v>
      </c>
      <c r="FI122">
        <v>-1</v>
      </c>
      <c r="FJ122">
        <v>-1</v>
      </c>
      <c r="FK122">
        <v>-1</v>
      </c>
      <c r="FL122">
        <v>0.7</v>
      </c>
      <c r="FM122">
        <v>0.6</v>
      </c>
      <c r="FN122">
        <v>0.14038100000000001</v>
      </c>
      <c r="FO122">
        <v>4.99634</v>
      </c>
      <c r="FP122">
        <v>1.5979000000000001</v>
      </c>
      <c r="FQ122">
        <v>2.1130399999999998</v>
      </c>
      <c r="FR122">
        <v>1.5478499999999999</v>
      </c>
      <c r="FS122">
        <v>2.4060100000000002</v>
      </c>
      <c r="FT122">
        <v>50.542499999999997</v>
      </c>
      <c r="FU122">
        <v>15.1915</v>
      </c>
      <c r="FV122">
        <v>2</v>
      </c>
      <c r="FW122">
        <v>505.86200000000002</v>
      </c>
      <c r="FX122">
        <v>344.78</v>
      </c>
      <c r="FY122">
        <v>31.334199999999999</v>
      </c>
      <c r="FZ122">
        <v>40.122300000000003</v>
      </c>
      <c r="GA122">
        <v>30.0002</v>
      </c>
      <c r="GB122">
        <v>40.315100000000001</v>
      </c>
      <c r="GC122">
        <v>40.349400000000003</v>
      </c>
      <c r="GD122">
        <v>-1</v>
      </c>
      <c r="GE122">
        <v>0</v>
      </c>
      <c r="GF122">
        <v>100</v>
      </c>
      <c r="GG122">
        <v>31.306699999999999</v>
      </c>
      <c r="GH122">
        <v>432.1</v>
      </c>
      <c r="GI122">
        <v>44.267099999999999</v>
      </c>
      <c r="GJ122">
        <v>100.623</v>
      </c>
      <c r="GK122">
        <v>95.1023</v>
      </c>
    </row>
    <row r="123" spans="1:193" x14ac:dyDescent="0.35">
      <c r="A123">
        <v>107</v>
      </c>
      <c r="B123">
        <v>1775538387</v>
      </c>
      <c r="C123">
        <v>6360.9000000953674</v>
      </c>
      <c r="D123" t="s">
        <v>638</v>
      </c>
      <c r="E123" t="s">
        <v>639</v>
      </c>
      <c r="F123">
        <v>60</v>
      </c>
      <c r="G123">
        <v>1775538379.25</v>
      </c>
      <c r="H123">
        <f t="shared" si="30"/>
        <v>4.7590987369565806E-3</v>
      </c>
      <c r="I123">
        <f t="shared" si="31"/>
        <v>4.7590987369565809</v>
      </c>
      <c r="J123">
        <f t="shared" si="32"/>
        <v>-3.7484207068815643</v>
      </c>
      <c r="K123">
        <f t="shared" si="33"/>
        <v>-8.2720866666666666</v>
      </c>
      <c r="L123">
        <f t="shared" si="34"/>
        <v>48.871541950006105</v>
      </c>
      <c r="M123">
        <f t="shared" si="35"/>
        <v>4.8987575547323585</v>
      </c>
      <c r="N123">
        <f t="shared" si="36"/>
        <v>-0.82917267257881311</v>
      </c>
      <c r="O123">
        <f t="shared" si="37"/>
        <v>0.10436803097886321</v>
      </c>
      <c r="P123">
        <f t="shared" si="38"/>
        <v>2.3921234141830712</v>
      </c>
      <c r="Q123">
        <f t="shared" si="39"/>
        <v>0.10190272798347502</v>
      </c>
      <c r="R123">
        <f t="shared" si="40"/>
        <v>6.3905852447669803E-2</v>
      </c>
      <c r="S123">
        <f t="shared" si="41"/>
        <v>0.28307942390000002</v>
      </c>
      <c r="T123">
        <f t="shared" si="42"/>
        <v>31.667631347226155</v>
      </c>
      <c r="U123">
        <f t="shared" si="43"/>
        <v>32.983699999999999</v>
      </c>
      <c r="V123">
        <f t="shared" si="44"/>
        <v>5.0474817735651687</v>
      </c>
      <c r="W123">
        <f t="shared" si="45"/>
        <v>9.7270125334002664</v>
      </c>
      <c r="X123">
        <f t="shared" si="46"/>
        <v>0.49559398035040408</v>
      </c>
      <c r="Y123">
        <f t="shared" si="47"/>
        <v>5.0950276731797279</v>
      </c>
      <c r="Z123">
        <f t="shared" si="48"/>
        <v>4.5518877932147648</v>
      </c>
      <c r="AA123">
        <f t="shared" si="49"/>
        <v>-209.87625429978522</v>
      </c>
      <c r="AB123">
        <f t="shared" si="50"/>
        <v>21.52970633448221</v>
      </c>
      <c r="AC123">
        <f t="shared" si="51"/>
        <v>2.0626047571685588</v>
      </c>
      <c r="AD123">
        <f t="shared" si="52"/>
        <v>-186.00086378423447</v>
      </c>
      <c r="AE123">
        <v>6</v>
      </c>
      <c r="AF123">
        <v>1</v>
      </c>
      <c r="AG123">
        <f t="shared" si="53"/>
        <v>1</v>
      </c>
      <c r="AH123">
        <f t="shared" si="54"/>
        <v>0</v>
      </c>
      <c r="AI123">
        <f t="shared" si="55"/>
        <v>25063.843784184905</v>
      </c>
      <c r="AJ123">
        <f t="shared" si="56"/>
        <v>1.4813156666666669</v>
      </c>
      <c r="AK123">
        <f t="shared" si="57"/>
        <v>1.1850525333333335</v>
      </c>
      <c r="AL123">
        <f t="shared" si="58"/>
        <v>0.8</v>
      </c>
      <c r="AM123">
        <f t="shared" si="59"/>
        <v>0.19109999999999999</v>
      </c>
      <c r="AN123">
        <v>3</v>
      </c>
      <c r="AO123">
        <v>0.5</v>
      </c>
      <c r="AP123" t="s">
        <v>317</v>
      </c>
      <c r="AQ123">
        <v>2</v>
      </c>
      <c r="AR123">
        <v>1775538379.25</v>
      </c>
      <c r="AS123">
        <v>-8.2720866666666666</v>
      </c>
      <c r="AT123">
        <v>-10.54480666666667</v>
      </c>
      <c r="AU123">
        <v>4.9442009999999987</v>
      </c>
      <c r="AV123">
        <v>2.1028009999999999</v>
      </c>
      <c r="AW123">
        <v>-15.020086666666669</v>
      </c>
      <c r="AX123">
        <v>4.0148010000000003</v>
      </c>
      <c r="AY123">
        <v>499.98966666666672</v>
      </c>
      <c r="AZ123">
        <v>100.18753333333331</v>
      </c>
      <c r="BA123">
        <v>4.9892359999999997E-2</v>
      </c>
      <c r="BB123">
        <v>33.150643333333328</v>
      </c>
      <c r="BC123">
        <v>32.983699999999999</v>
      </c>
      <c r="BD123">
        <v>999.9000000000002</v>
      </c>
      <c r="BE123">
        <v>0</v>
      </c>
      <c r="BF123">
        <v>0</v>
      </c>
      <c r="BG123">
        <v>5001.166666666667</v>
      </c>
      <c r="BH123">
        <v>1.4813156666666669</v>
      </c>
      <c r="BI123">
        <v>1521.125666666667</v>
      </c>
      <c r="BJ123">
        <v>2.3501266666666671</v>
      </c>
      <c r="BK123">
        <v>-8.2119459999999993</v>
      </c>
      <c r="BL123">
        <v>-10.59721</v>
      </c>
      <c r="BM123">
        <v>-2.842785666666666</v>
      </c>
      <c r="BN123">
        <v>-10.54480666666667</v>
      </c>
      <c r="BO123">
        <v>4.9442009999999987</v>
      </c>
      <c r="BP123">
        <v>0.21053546666666659</v>
      </c>
      <c r="BQ123">
        <v>0.49534729999999999</v>
      </c>
      <c r="BR123">
        <v>-13.88085666666667</v>
      </c>
      <c r="BS123">
        <v>-2.913018333333333</v>
      </c>
      <c r="BT123">
        <v>1775538418</v>
      </c>
      <c r="BU123" t="s">
        <v>640</v>
      </c>
      <c r="BV123">
        <v>1775538418</v>
      </c>
      <c r="BW123">
        <v>1775538415.5</v>
      </c>
      <c r="BX123">
        <v>108</v>
      </c>
      <c r="BY123">
        <v>-7.8E-2</v>
      </c>
      <c r="BZ123">
        <v>1E-3</v>
      </c>
      <c r="CA123">
        <v>6.7480000000000002</v>
      </c>
      <c r="CB123">
        <v>-1.9119999999999999</v>
      </c>
      <c r="CC123">
        <v>-10</v>
      </c>
      <c r="CD123">
        <v>5</v>
      </c>
      <c r="CE123">
        <v>0.84</v>
      </c>
      <c r="CF123">
        <v>0.03</v>
      </c>
      <c r="CG123">
        <v>-10.464427868852461</v>
      </c>
      <c r="CH123">
        <v>-0.43761671073506658</v>
      </c>
      <c r="CI123">
        <v>0.1089706489752226</v>
      </c>
      <c r="CJ123">
        <v>-1</v>
      </c>
      <c r="CK123">
        <v>500.94070491803268</v>
      </c>
      <c r="CL123">
        <v>-7.6148725542040809</v>
      </c>
      <c r="CM123">
        <v>1.9046974231048821</v>
      </c>
      <c r="CN123">
        <v>-1</v>
      </c>
      <c r="CO123">
        <v>0</v>
      </c>
      <c r="CP123">
        <v>0</v>
      </c>
      <c r="CQ123" t="s">
        <v>319</v>
      </c>
      <c r="CR123">
        <v>3.1695000000000002</v>
      </c>
      <c r="CS123">
        <v>2.67083</v>
      </c>
      <c r="CT123">
        <v>-4.3515300000000002E-3</v>
      </c>
      <c r="CU123">
        <v>-3.0168899999999999E-3</v>
      </c>
      <c r="CV123">
        <v>2.7522000000000001E-2</v>
      </c>
      <c r="CW123">
        <v>3.2444199999999999E-2</v>
      </c>
      <c r="CX123">
        <v>21275.5</v>
      </c>
      <c r="CY123">
        <v>21705.8</v>
      </c>
      <c r="CZ123">
        <v>22722.799999999999</v>
      </c>
      <c r="DA123">
        <v>22016.1</v>
      </c>
      <c r="DB123">
        <v>28526.3</v>
      </c>
      <c r="DC123">
        <v>25349.7</v>
      </c>
      <c r="DD123">
        <v>40001.800000000003</v>
      </c>
      <c r="DE123">
        <v>36425.599999999999</v>
      </c>
      <c r="DF123">
        <v>1.9801200000000001</v>
      </c>
      <c r="DG123">
        <v>1.5904</v>
      </c>
      <c r="DH123">
        <v>-8.5505899999999996E-2</v>
      </c>
      <c r="DI123">
        <v>0</v>
      </c>
      <c r="DJ123">
        <v>34.363399999999999</v>
      </c>
      <c r="DK123">
        <v>999.9</v>
      </c>
      <c r="DL123">
        <v>48.2</v>
      </c>
      <c r="DM123">
        <v>47.2</v>
      </c>
      <c r="DN123">
        <v>51.8962</v>
      </c>
      <c r="DO123">
        <v>30.684699999999999</v>
      </c>
      <c r="DP123">
        <v>10.2324</v>
      </c>
      <c r="DQ123">
        <v>1</v>
      </c>
      <c r="DR123">
        <v>1.0728</v>
      </c>
      <c r="DS123">
        <v>2.5229699999999999</v>
      </c>
      <c r="DT123">
        <v>20.335699999999999</v>
      </c>
      <c r="DU123">
        <v>5.2069900000000002</v>
      </c>
      <c r="DV123">
        <v>11.855600000000001</v>
      </c>
      <c r="DW123">
        <v>4.9671599999999998</v>
      </c>
      <c r="DX123">
        <v>3.2930000000000001</v>
      </c>
      <c r="DY123">
        <v>894.7</v>
      </c>
      <c r="DZ123">
        <v>6</v>
      </c>
      <c r="EA123">
        <v>9999</v>
      </c>
      <c r="EB123">
        <v>117.5</v>
      </c>
      <c r="EC123">
        <v>4.9715999999999996</v>
      </c>
      <c r="ED123">
        <v>1.8722300000000001</v>
      </c>
      <c r="EE123">
        <v>1.86955</v>
      </c>
      <c r="EF123">
        <v>1.87185</v>
      </c>
      <c r="EG123">
        <v>1.8696600000000001</v>
      </c>
      <c r="EH123">
        <v>1.8684400000000001</v>
      </c>
      <c r="EI123">
        <v>1.8702700000000001</v>
      </c>
      <c r="EJ123">
        <v>1.87195</v>
      </c>
      <c r="EK123">
        <v>0</v>
      </c>
      <c r="EL123">
        <v>0</v>
      </c>
      <c r="EM123">
        <v>0</v>
      </c>
      <c r="EN123">
        <v>0</v>
      </c>
      <c r="EO123" t="s">
        <v>320</v>
      </c>
      <c r="EP123" t="s">
        <v>321</v>
      </c>
      <c r="EQ123" t="s">
        <v>322</v>
      </c>
      <c r="ER123" t="s">
        <v>322</v>
      </c>
      <c r="ES123" t="s">
        <v>322</v>
      </c>
      <c r="ET123" t="s">
        <v>322</v>
      </c>
      <c r="EU123">
        <v>0</v>
      </c>
      <c r="EV123">
        <v>100</v>
      </c>
      <c r="EW123">
        <v>100</v>
      </c>
      <c r="EX123">
        <v>6.7480000000000002</v>
      </c>
      <c r="EY123">
        <v>-1.9119999999999999</v>
      </c>
      <c r="EZ123">
        <v>6.8254000000000001</v>
      </c>
      <c r="FA123">
        <v>0</v>
      </c>
      <c r="FB123">
        <v>0</v>
      </c>
      <c r="FC123">
        <v>0</v>
      </c>
      <c r="FD123">
        <v>-1.9133866666666679</v>
      </c>
      <c r="FE123">
        <v>0</v>
      </c>
      <c r="FF123">
        <v>0</v>
      </c>
      <c r="FG123">
        <v>0</v>
      </c>
      <c r="FH123">
        <v>-1</v>
      </c>
      <c r="FI123">
        <v>-1</v>
      </c>
      <c r="FJ123">
        <v>-1</v>
      </c>
      <c r="FK123">
        <v>-1</v>
      </c>
      <c r="FL123">
        <v>0.7</v>
      </c>
      <c r="FM123">
        <v>0.5</v>
      </c>
      <c r="FN123">
        <v>0.14038100000000001</v>
      </c>
      <c r="FO123">
        <v>4.99756</v>
      </c>
      <c r="FP123">
        <v>1.5979000000000001</v>
      </c>
      <c r="FQ123">
        <v>2.1130399999999998</v>
      </c>
      <c r="FR123">
        <v>1.5478499999999999</v>
      </c>
      <c r="FS123">
        <v>2.4035600000000001</v>
      </c>
      <c r="FT123">
        <v>50.51</v>
      </c>
      <c r="FU123">
        <v>15.1915</v>
      </c>
      <c r="FV123">
        <v>2</v>
      </c>
      <c r="FW123">
        <v>506.15699999999998</v>
      </c>
      <c r="FX123">
        <v>344.99700000000001</v>
      </c>
      <c r="FY123">
        <v>31.411899999999999</v>
      </c>
      <c r="FZ123">
        <v>40.097099999999998</v>
      </c>
      <c r="GA123">
        <v>29.999400000000001</v>
      </c>
      <c r="GB123">
        <v>40.3033</v>
      </c>
      <c r="GC123">
        <v>40.333199999999998</v>
      </c>
      <c r="GD123">
        <v>-1</v>
      </c>
      <c r="GE123">
        <v>0</v>
      </c>
      <c r="GF123">
        <v>100</v>
      </c>
      <c r="GG123">
        <v>31.465699999999998</v>
      </c>
      <c r="GH123">
        <v>432.1</v>
      </c>
      <c r="GI123">
        <v>44.267099999999999</v>
      </c>
      <c r="GJ123">
        <v>100.629</v>
      </c>
      <c r="GK123">
        <v>95.107500000000002</v>
      </c>
    </row>
    <row r="124" spans="1:193" x14ac:dyDescent="0.35">
      <c r="A124">
        <v>108</v>
      </c>
      <c r="B124">
        <v>1775538447</v>
      </c>
      <c r="C124">
        <v>6420.9000000953674</v>
      </c>
      <c r="D124" t="s">
        <v>641</v>
      </c>
      <c r="E124" t="s">
        <v>642</v>
      </c>
      <c r="F124">
        <v>60</v>
      </c>
      <c r="G124">
        <v>1775538439</v>
      </c>
      <c r="H124">
        <f t="shared" si="30"/>
        <v>3.761910822367774E-3</v>
      </c>
      <c r="I124">
        <f t="shared" si="31"/>
        <v>3.7619108223677737</v>
      </c>
      <c r="J124">
        <f t="shared" si="32"/>
        <v>-3.3613382285492905</v>
      </c>
      <c r="K124">
        <f t="shared" si="33"/>
        <v>-8.5049387096774201</v>
      </c>
      <c r="L124">
        <f t="shared" si="34"/>
        <v>56.552291258570492</v>
      </c>
      <c r="M124">
        <f t="shared" si="35"/>
        <v>5.6683626417145376</v>
      </c>
      <c r="N124">
        <f t="shared" si="36"/>
        <v>-0.85246902962046212</v>
      </c>
      <c r="O124">
        <f t="shared" si="37"/>
        <v>8.1751763026799026E-2</v>
      </c>
      <c r="P124">
        <f t="shared" si="38"/>
        <v>2.391298350894449</v>
      </c>
      <c r="Q124">
        <f t="shared" si="39"/>
        <v>8.0230240244332729E-2</v>
      </c>
      <c r="R124">
        <f t="shared" si="40"/>
        <v>5.027824428393015E-2</v>
      </c>
      <c r="S124">
        <f t="shared" si="41"/>
        <v>0.16939257496451612</v>
      </c>
      <c r="T124">
        <f t="shared" si="42"/>
        <v>31.952681153939182</v>
      </c>
      <c r="U124">
        <f t="shared" si="43"/>
        <v>33.050238709677423</v>
      </c>
      <c r="V124">
        <f t="shared" si="44"/>
        <v>5.0663856982487356</v>
      </c>
      <c r="W124">
        <f t="shared" si="45"/>
        <v>9.7689243206595222</v>
      </c>
      <c r="X124">
        <f t="shared" si="46"/>
        <v>0.49703391084554438</v>
      </c>
      <c r="Y124">
        <f t="shared" si="47"/>
        <v>5.0879082950249375</v>
      </c>
      <c r="Z124">
        <f t="shared" si="48"/>
        <v>4.5693517874031908</v>
      </c>
      <c r="AA124">
        <f t="shared" si="49"/>
        <v>-165.90026726641884</v>
      </c>
      <c r="AB124">
        <f t="shared" si="50"/>
        <v>9.7326038505033061</v>
      </c>
      <c r="AC124">
        <f t="shared" si="51"/>
        <v>0.93292202392770018</v>
      </c>
      <c r="AD124">
        <f t="shared" si="52"/>
        <v>-155.06534881702333</v>
      </c>
      <c r="AE124">
        <v>5</v>
      </c>
      <c r="AF124">
        <v>1</v>
      </c>
      <c r="AG124">
        <f t="shared" si="53"/>
        <v>1</v>
      </c>
      <c r="AH124">
        <f t="shared" si="54"/>
        <v>0</v>
      </c>
      <c r="AI124">
        <f t="shared" si="55"/>
        <v>25053.747236433479</v>
      </c>
      <c r="AJ124">
        <f t="shared" si="56"/>
        <v>0.88640803225806453</v>
      </c>
      <c r="AK124">
        <f t="shared" si="57"/>
        <v>0.70912642580645169</v>
      </c>
      <c r="AL124">
        <f t="shared" si="58"/>
        <v>0.8</v>
      </c>
      <c r="AM124">
        <f t="shared" si="59"/>
        <v>0.19109999999999999</v>
      </c>
      <c r="AN124">
        <v>3</v>
      </c>
      <c r="AO124">
        <v>0.5</v>
      </c>
      <c r="AP124" t="s">
        <v>317</v>
      </c>
      <c r="AQ124">
        <v>2</v>
      </c>
      <c r="AR124">
        <v>1775538439</v>
      </c>
      <c r="AS124">
        <v>-8.5049387096774201</v>
      </c>
      <c r="AT124">
        <v>-10.541035483870971</v>
      </c>
      <c r="AU124">
        <v>4.9588229032258067</v>
      </c>
      <c r="AV124">
        <v>2.7127622580645152</v>
      </c>
      <c r="AW124">
        <v>-15.32193870967742</v>
      </c>
      <c r="AX124">
        <v>4.6257622580645146</v>
      </c>
      <c r="AY124">
        <v>499.97619354838702</v>
      </c>
      <c r="AZ124">
        <v>100.1832258064516</v>
      </c>
      <c r="BA124">
        <v>4.9010864516129023E-2</v>
      </c>
      <c r="BB124">
        <v>33.125732258064517</v>
      </c>
      <c r="BC124">
        <v>33.050238709677423</v>
      </c>
      <c r="BD124">
        <v>999.90000000000032</v>
      </c>
      <c r="BE124">
        <v>0</v>
      </c>
      <c r="BF124">
        <v>0</v>
      </c>
      <c r="BG124">
        <v>4999.2580645161288</v>
      </c>
      <c r="BH124">
        <v>0.88640803225806453</v>
      </c>
      <c r="BI124">
        <v>527.06632258064519</v>
      </c>
      <c r="BJ124">
        <v>1.9669258064516131</v>
      </c>
      <c r="BK124">
        <v>-8.5974412903225801</v>
      </c>
      <c r="BL124">
        <v>-10.593558064516129</v>
      </c>
      <c r="BM124">
        <v>-2.2453858064516128</v>
      </c>
      <c r="BN124">
        <v>-10.541035483870971</v>
      </c>
      <c r="BO124">
        <v>4.9588229032258067</v>
      </c>
      <c r="BP124">
        <v>0.27184058064516131</v>
      </c>
      <c r="BQ124">
        <v>0.4967903870967742</v>
      </c>
      <c r="BR124">
        <v>-10.714454838709679</v>
      </c>
      <c r="BS124">
        <v>-2.8739232258064522</v>
      </c>
      <c r="BT124">
        <v>1775538476</v>
      </c>
      <c r="BU124" t="s">
        <v>643</v>
      </c>
      <c r="BV124">
        <v>1775538466</v>
      </c>
      <c r="BW124">
        <v>1775538476</v>
      </c>
      <c r="BX124">
        <v>109</v>
      </c>
      <c r="BY124">
        <v>6.9000000000000006E-2</v>
      </c>
      <c r="BZ124">
        <v>-1E-3</v>
      </c>
      <c r="CA124">
        <v>6.8170000000000002</v>
      </c>
      <c r="CB124">
        <v>-1.913</v>
      </c>
      <c r="CC124">
        <v>-10</v>
      </c>
      <c r="CD124">
        <v>5</v>
      </c>
      <c r="CE124">
        <v>0.22</v>
      </c>
      <c r="CF124">
        <v>0.04</v>
      </c>
      <c r="CG124">
        <v>-10.506381666666661</v>
      </c>
      <c r="CH124">
        <v>-0.21676254515144799</v>
      </c>
      <c r="CI124">
        <v>0.1339597246584045</v>
      </c>
      <c r="CJ124">
        <v>-1</v>
      </c>
      <c r="CK124">
        <v>500.95325000000008</v>
      </c>
      <c r="CL124">
        <v>-6.7543528757982081</v>
      </c>
      <c r="CM124">
        <v>1.8970458141102819</v>
      </c>
      <c r="CN124">
        <v>-1</v>
      </c>
      <c r="CO124">
        <v>0</v>
      </c>
      <c r="CP124">
        <v>0</v>
      </c>
      <c r="CQ124" t="s">
        <v>319</v>
      </c>
      <c r="CR124">
        <v>3.16947</v>
      </c>
      <c r="CS124">
        <v>2.6703000000000001</v>
      </c>
      <c r="CT124">
        <v>-4.4357700000000003E-3</v>
      </c>
      <c r="CU124">
        <v>-2.9996200000000002E-3</v>
      </c>
      <c r="CV124">
        <v>3.1437E-2</v>
      </c>
      <c r="CW124">
        <v>3.2526399999999997E-2</v>
      </c>
      <c r="CX124">
        <v>21278.400000000001</v>
      </c>
      <c r="CY124">
        <v>21707.200000000001</v>
      </c>
      <c r="CZ124">
        <v>22723.8</v>
      </c>
      <c r="DA124">
        <v>22017.599999999999</v>
      </c>
      <c r="DB124">
        <v>28412.5</v>
      </c>
      <c r="DC124">
        <v>25349.599999999999</v>
      </c>
      <c r="DD124">
        <v>40003.199999999997</v>
      </c>
      <c r="DE124">
        <v>36428.5</v>
      </c>
      <c r="DF124">
        <v>1.9817400000000001</v>
      </c>
      <c r="DG124">
        <v>1.5898000000000001</v>
      </c>
      <c r="DH124">
        <v>-7.1609000000000006E-2</v>
      </c>
      <c r="DI124">
        <v>0</v>
      </c>
      <c r="DJ124">
        <v>34.233600000000003</v>
      </c>
      <c r="DK124">
        <v>999.9</v>
      </c>
      <c r="DL124">
        <v>48.1</v>
      </c>
      <c r="DM124">
        <v>47.2</v>
      </c>
      <c r="DN124">
        <v>51.793199999999999</v>
      </c>
      <c r="DO124">
        <v>30.8947</v>
      </c>
      <c r="DP124">
        <v>10.2965</v>
      </c>
      <c r="DQ124">
        <v>1</v>
      </c>
      <c r="DR124">
        <v>1.06535</v>
      </c>
      <c r="DS124">
        <v>1.9217299999999999</v>
      </c>
      <c r="DT124">
        <v>20.347100000000001</v>
      </c>
      <c r="DU124">
        <v>5.2096200000000001</v>
      </c>
      <c r="DV124">
        <v>11.8553</v>
      </c>
      <c r="DW124">
        <v>4.9672000000000001</v>
      </c>
      <c r="DX124">
        <v>3.2930000000000001</v>
      </c>
      <c r="DY124">
        <v>894.7</v>
      </c>
      <c r="DZ124">
        <v>6</v>
      </c>
      <c r="EA124">
        <v>9999</v>
      </c>
      <c r="EB124">
        <v>117.5</v>
      </c>
      <c r="EC124">
        <v>4.9716399999999998</v>
      </c>
      <c r="ED124">
        <v>1.87225</v>
      </c>
      <c r="EE124">
        <v>1.8695900000000001</v>
      </c>
      <c r="EF124">
        <v>1.8718999999999999</v>
      </c>
      <c r="EG124">
        <v>1.8696600000000001</v>
      </c>
      <c r="EH124">
        <v>1.86846</v>
      </c>
      <c r="EI124">
        <v>1.8702799999999999</v>
      </c>
      <c r="EJ124">
        <v>1.87195</v>
      </c>
      <c r="EK124">
        <v>0</v>
      </c>
      <c r="EL124">
        <v>0</v>
      </c>
      <c r="EM124">
        <v>0</v>
      </c>
      <c r="EN124">
        <v>0</v>
      </c>
      <c r="EO124" t="s">
        <v>320</v>
      </c>
      <c r="EP124" t="s">
        <v>321</v>
      </c>
      <c r="EQ124" t="s">
        <v>322</v>
      </c>
      <c r="ER124" t="s">
        <v>322</v>
      </c>
      <c r="ES124" t="s">
        <v>322</v>
      </c>
      <c r="ET124" t="s">
        <v>322</v>
      </c>
      <c r="EU124">
        <v>0</v>
      </c>
      <c r="EV124">
        <v>100</v>
      </c>
      <c r="EW124">
        <v>100</v>
      </c>
      <c r="EX124">
        <v>6.8170000000000002</v>
      </c>
      <c r="EY124">
        <v>-1.913</v>
      </c>
      <c r="EZ124">
        <v>6.7478259999999999</v>
      </c>
      <c r="FA124">
        <v>0</v>
      </c>
      <c r="FB124">
        <v>0</v>
      </c>
      <c r="FC124">
        <v>0</v>
      </c>
      <c r="FD124">
        <v>-1.91232523809524</v>
      </c>
      <c r="FE124">
        <v>0</v>
      </c>
      <c r="FF124">
        <v>0</v>
      </c>
      <c r="FG124">
        <v>0</v>
      </c>
      <c r="FH124">
        <v>-1</v>
      </c>
      <c r="FI124">
        <v>-1</v>
      </c>
      <c r="FJ124">
        <v>-1</v>
      </c>
      <c r="FK124">
        <v>-1</v>
      </c>
      <c r="FL124">
        <v>0.5</v>
      </c>
      <c r="FM124">
        <v>0.5</v>
      </c>
      <c r="FN124">
        <v>0.14038100000000001</v>
      </c>
      <c r="FO124">
        <v>4.99756</v>
      </c>
      <c r="FP124">
        <v>1.5979000000000001</v>
      </c>
      <c r="FQ124">
        <v>2.1130399999999998</v>
      </c>
      <c r="FR124">
        <v>1.5478499999999999</v>
      </c>
      <c r="FS124">
        <v>2.4157700000000002</v>
      </c>
      <c r="FT124">
        <v>50.445099999999996</v>
      </c>
      <c r="FU124">
        <v>15.182700000000001</v>
      </c>
      <c r="FV124">
        <v>2</v>
      </c>
      <c r="FW124">
        <v>506.95299999999997</v>
      </c>
      <c r="FX124">
        <v>344.53399999999999</v>
      </c>
      <c r="FY124">
        <v>32.013500000000001</v>
      </c>
      <c r="FZ124">
        <v>40.036900000000003</v>
      </c>
      <c r="GA124">
        <v>29.999700000000001</v>
      </c>
      <c r="GB124">
        <v>40.2712</v>
      </c>
      <c r="GC124">
        <v>40.302500000000002</v>
      </c>
      <c r="GD124">
        <v>-1</v>
      </c>
      <c r="GE124">
        <v>0</v>
      </c>
      <c r="GF124">
        <v>100</v>
      </c>
      <c r="GG124">
        <v>32.068800000000003</v>
      </c>
      <c r="GH124">
        <v>432.1</v>
      </c>
      <c r="GI124">
        <v>44.267099999999999</v>
      </c>
      <c r="GJ124">
        <v>100.633</v>
      </c>
      <c r="GK124">
        <v>95.114699999999999</v>
      </c>
    </row>
    <row r="125" spans="1:193" x14ac:dyDescent="0.35">
      <c r="A125">
        <v>109</v>
      </c>
      <c r="B125">
        <v>1775538507</v>
      </c>
      <c r="C125">
        <v>6480.9000000953674</v>
      </c>
      <c r="D125" t="s">
        <v>644</v>
      </c>
      <c r="E125" t="s">
        <v>645</v>
      </c>
      <c r="F125">
        <v>60</v>
      </c>
      <c r="G125">
        <v>1775538499</v>
      </c>
      <c r="H125">
        <f t="shared" si="30"/>
        <v>3.0301485219688595E-3</v>
      </c>
      <c r="I125">
        <f t="shared" si="31"/>
        <v>3.0301485219688593</v>
      </c>
      <c r="J125">
        <f t="shared" si="32"/>
        <v>-3.1414536467392455</v>
      </c>
      <c r="K125">
        <f t="shared" si="33"/>
        <v>-8.5134161290322545</v>
      </c>
      <c r="L125">
        <f t="shared" si="34"/>
        <v>67.456007957208811</v>
      </c>
      <c r="M125">
        <f t="shared" si="35"/>
        <v>6.7609800679094407</v>
      </c>
      <c r="N125">
        <f t="shared" si="36"/>
        <v>-0.85328258373544419</v>
      </c>
      <c r="O125">
        <f t="shared" si="37"/>
        <v>6.5113852454592003E-2</v>
      </c>
      <c r="P125">
        <f t="shared" si="38"/>
        <v>2.3901654714942153</v>
      </c>
      <c r="Q125">
        <f t="shared" si="39"/>
        <v>6.4144212411889973E-2</v>
      </c>
      <c r="R125">
        <f t="shared" si="40"/>
        <v>4.0176048189069315E-2</v>
      </c>
      <c r="S125">
        <f t="shared" si="41"/>
        <v>0.17609074092580645</v>
      </c>
      <c r="T125">
        <f t="shared" si="42"/>
        <v>32.242351395191982</v>
      </c>
      <c r="U125">
        <f t="shared" si="43"/>
        <v>33.164445161290317</v>
      </c>
      <c r="V125">
        <f t="shared" si="44"/>
        <v>5.0989758507592597</v>
      </c>
      <c r="W125">
        <f t="shared" si="45"/>
        <v>9.7229100977323917</v>
      </c>
      <c r="X125">
        <f t="shared" si="46"/>
        <v>0.49640508106404674</v>
      </c>
      <c r="Y125">
        <f t="shared" si="47"/>
        <v>5.1055196034345718</v>
      </c>
      <c r="Z125">
        <f t="shared" si="48"/>
        <v>4.6025707696952134</v>
      </c>
      <c r="AA125">
        <f t="shared" si="49"/>
        <v>-133.62954981882672</v>
      </c>
      <c r="AB125">
        <f t="shared" si="50"/>
        <v>2.9450425399075373</v>
      </c>
      <c r="AC125">
        <f t="shared" si="51"/>
        <v>0.28267519810736202</v>
      </c>
      <c r="AD125">
        <f t="shared" si="52"/>
        <v>-130.22574133988601</v>
      </c>
      <c r="AE125">
        <v>5</v>
      </c>
      <c r="AF125">
        <v>1</v>
      </c>
      <c r="AG125">
        <f t="shared" si="53"/>
        <v>1</v>
      </c>
      <c r="AH125">
        <f t="shared" si="54"/>
        <v>0</v>
      </c>
      <c r="AI125">
        <f t="shared" si="55"/>
        <v>25032.005565071562</v>
      </c>
      <c r="AJ125">
        <f t="shared" si="56"/>
        <v>0.92145861290322584</v>
      </c>
      <c r="AK125">
        <f t="shared" si="57"/>
        <v>0.73716689032258076</v>
      </c>
      <c r="AL125">
        <f t="shared" si="58"/>
        <v>0.8</v>
      </c>
      <c r="AM125">
        <f t="shared" si="59"/>
        <v>0.19109999999999999</v>
      </c>
      <c r="AN125">
        <v>3</v>
      </c>
      <c r="AO125">
        <v>0.5</v>
      </c>
      <c r="AP125" t="s">
        <v>317</v>
      </c>
      <c r="AQ125">
        <v>2</v>
      </c>
      <c r="AR125">
        <v>1775538499</v>
      </c>
      <c r="AS125">
        <v>-8.5134161290322545</v>
      </c>
      <c r="AT125">
        <v>-10.41386774193548</v>
      </c>
      <c r="AU125">
        <v>4.9527590322580641</v>
      </c>
      <c r="AV125">
        <v>3.14357806451613</v>
      </c>
      <c r="AW125">
        <v>-15.303416129032261</v>
      </c>
      <c r="AX125">
        <v>5.0555780645161299</v>
      </c>
      <c r="AY125">
        <v>499.97335483870972</v>
      </c>
      <c r="AZ125">
        <v>100.1784516129032</v>
      </c>
      <c r="BA125">
        <v>4.9538045161290317E-2</v>
      </c>
      <c r="BB125">
        <v>33.187300000000008</v>
      </c>
      <c r="BC125">
        <v>33.164445161290317</v>
      </c>
      <c r="BD125">
        <v>999.90000000000032</v>
      </c>
      <c r="BE125">
        <v>0</v>
      </c>
      <c r="BF125">
        <v>0</v>
      </c>
      <c r="BG125">
        <v>4996.5806451612907</v>
      </c>
      <c r="BH125">
        <v>0.92145861290322584</v>
      </c>
      <c r="BI125">
        <v>558.94967741935488</v>
      </c>
      <c r="BJ125">
        <v>1.927066451612903</v>
      </c>
      <c r="BK125">
        <v>-8.5135483870967743</v>
      </c>
      <c r="BL125">
        <v>-10.46569677419355</v>
      </c>
      <c r="BM125">
        <v>-1.8105841935483871</v>
      </c>
      <c r="BN125">
        <v>-10.41386774193548</v>
      </c>
      <c r="BO125">
        <v>4.9527590322580641</v>
      </c>
      <c r="BP125">
        <v>0.31477829032258059</v>
      </c>
      <c r="BQ125">
        <v>0.49615980645161289</v>
      </c>
      <c r="BR125">
        <v>-8.8533425806451618</v>
      </c>
      <c r="BS125">
        <v>-2.8909967741935478</v>
      </c>
      <c r="BT125">
        <v>1775538531</v>
      </c>
      <c r="BU125" t="s">
        <v>646</v>
      </c>
      <c r="BV125">
        <v>1775538525.5</v>
      </c>
      <c r="BW125">
        <v>1775538531</v>
      </c>
      <c r="BX125">
        <v>110</v>
      </c>
      <c r="BY125">
        <v>-2.5999999999999999E-2</v>
      </c>
      <c r="BZ125">
        <v>1E-3</v>
      </c>
      <c r="CA125">
        <v>6.79</v>
      </c>
      <c r="CB125">
        <v>-1.9119999999999999</v>
      </c>
      <c r="CC125">
        <v>-10</v>
      </c>
      <c r="CD125">
        <v>5</v>
      </c>
      <c r="CE125">
        <v>0.4</v>
      </c>
      <c r="CF125">
        <v>0.04</v>
      </c>
      <c r="CG125">
        <v>-10.208193278688521</v>
      </c>
      <c r="CH125">
        <v>-1.376611062929656</v>
      </c>
      <c r="CI125">
        <v>0.24219900392182789</v>
      </c>
      <c r="CJ125">
        <v>-1</v>
      </c>
      <c r="CK125">
        <v>500.92883606557371</v>
      </c>
      <c r="CL125">
        <v>-8.053973558964266</v>
      </c>
      <c r="CM125">
        <v>1.873021431965187</v>
      </c>
      <c r="CN125">
        <v>-1</v>
      </c>
      <c r="CO125">
        <v>0</v>
      </c>
      <c r="CP125">
        <v>0</v>
      </c>
      <c r="CQ125" t="s">
        <v>319</v>
      </c>
      <c r="CR125">
        <v>3.16947</v>
      </c>
      <c r="CS125">
        <v>2.6714600000000002</v>
      </c>
      <c r="CT125">
        <v>-4.4498999999999997E-3</v>
      </c>
      <c r="CU125">
        <v>-2.9957299999999998E-3</v>
      </c>
      <c r="CV125">
        <v>3.3317899999999998E-2</v>
      </c>
      <c r="CW125">
        <v>3.2503400000000002E-2</v>
      </c>
      <c r="CX125">
        <v>21280.400000000001</v>
      </c>
      <c r="CY125">
        <v>21708.799999999999</v>
      </c>
      <c r="CZ125">
        <v>22725.3</v>
      </c>
      <c r="DA125">
        <v>22019.200000000001</v>
      </c>
      <c r="DB125">
        <v>28358.799999999999</v>
      </c>
      <c r="DC125">
        <v>25352.400000000001</v>
      </c>
      <c r="DD125">
        <v>40005.199999999997</v>
      </c>
      <c r="DE125">
        <v>36431.5</v>
      </c>
      <c r="DF125">
        <v>1.9825999999999999</v>
      </c>
      <c r="DG125">
        <v>1.5909</v>
      </c>
      <c r="DH125">
        <v>-5.9887799999999998E-2</v>
      </c>
      <c r="DI125">
        <v>0</v>
      </c>
      <c r="DJ125">
        <v>34.122700000000002</v>
      </c>
      <c r="DK125">
        <v>999.9</v>
      </c>
      <c r="DL125">
        <v>48.1</v>
      </c>
      <c r="DM125">
        <v>47.2</v>
      </c>
      <c r="DN125">
        <v>51.796100000000003</v>
      </c>
      <c r="DO125">
        <v>30.9847</v>
      </c>
      <c r="DP125">
        <v>10.5649</v>
      </c>
      <c r="DQ125">
        <v>1</v>
      </c>
      <c r="DR125">
        <v>1.0595399999999999</v>
      </c>
      <c r="DS125">
        <v>1.9012500000000001</v>
      </c>
      <c r="DT125">
        <v>20.3462</v>
      </c>
      <c r="DU125">
        <v>5.2055499999999997</v>
      </c>
      <c r="DV125">
        <v>11.8553</v>
      </c>
      <c r="DW125">
        <v>4.9669999999999996</v>
      </c>
      <c r="DX125">
        <v>3.2929400000000002</v>
      </c>
      <c r="DY125">
        <v>894.7</v>
      </c>
      <c r="DZ125">
        <v>6</v>
      </c>
      <c r="EA125">
        <v>9999</v>
      </c>
      <c r="EB125">
        <v>117.5</v>
      </c>
      <c r="EC125">
        <v>4.9716300000000002</v>
      </c>
      <c r="ED125">
        <v>1.8722300000000001</v>
      </c>
      <c r="EE125">
        <v>1.86958</v>
      </c>
      <c r="EF125">
        <v>1.87188</v>
      </c>
      <c r="EG125">
        <v>1.8696600000000001</v>
      </c>
      <c r="EH125">
        <v>1.8684499999999999</v>
      </c>
      <c r="EI125">
        <v>1.8702700000000001</v>
      </c>
      <c r="EJ125">
        <v>1.8719600000000001</v>
      </c>
      <c r="EK125">
        <v>0</v>
      </c>
      <c r="EL125">
        <v>0</v>
      </c>
      <c r="EM125">
        <v>0</v>
      </c>
      <c r="EN125">
        <v>0</v>
      </c>
      <c r="EO125" t="s">
        <v>320</v>
      </c>
      <c r="EP125" t="s">
        <v>321</v>
      </c>
      <c r="EQ125" t="s">
        <v>322</v>
      </c>
      <c r="ER125" t="s">
        <v>322</v>
      </c>
      <c r="ES125" t="s">
        <v>322</v>
      </c>
      <c r="ET125" t="s">
        <v>322</v>
      </c>
      <c r="EU125">
        <v>0</v>
      </c>
      <c r="EV125">
        <v>100</v>
      </c>
      <c r="EW125">
        <v>100</v>
      </c>
      <c r="EX125">
        <v>6.79</v>
      </c>
      <c r="EY125">
        <v>-1.9119999999999999</v>
      </c>
      <c r="EZ125">
        <v>6.8166199999999986</v>
      </c>
      <c r="FA125">
        <v>0</v>
      </c>
      <c r="FB125">
        <v>0</v>
      </c>
      <c r="FC125">
        <v>0</v>
      </c>
      <c r="FD125">
        <v>-1.9134030000000011</v>
      </c>
      <c r="FE125">
        <v>0</v>
      </c>
      <c r="FF125">
        <v>0</v>
      </c>
      <c r="FG125">
        <v>0</v>
      </c>
      <c r="FH125">
        <v>-1</v>
      </c>
      <c r="FI125">
        <v>-1</v>
      </c>
      <c r="FJ125">
        <v>-1</v>
      </c>
      <c r="FK125">
        <v>-1</v>
      </c>
      <c r="FL125">
        <v>0.7</v>
      </c>
      <c r="FM125">
        <v>0.5</v>
      </c>
      <c r="FN125">
        <v>0.14038100000000001</v>
      </c>
      <c r="FO125">
        <v>4.99756</v>
      </c>
      <c r="FP125">
        <v>1.5979000000000001</v>
      </c>
      <c r="FQ125">
        <v>2.1118199999999998</v>
      </c>
      <c r="FR125">
        <v>1.5478499999999999</v>
      </c>
      <c r="FS125">
        <v>2.49268</v>
      </c>
      <c r="FT125">
        <v>50.347900000000003</v>
      </c>
      <c r="FU125">
        <v>15.182700000000001</v>
      </c>
      <c r="FV125">
        <v>2</v>
      </c>
      <c r="FW125">
        <v>507.11399999999998</v>
      </c>
      <c r="FX125">
        <v>344.86700000000002</v>
      </c>
      <c r="FY125">
        <v>32.238199999999999</v>
      </c>
      <c r="FZ125">
        <v>39.965200000000003</v>
      </c>
      <c r="GA125">
        <v>29.999300000000002</v>
      </c>
      <c r="GB125">
        <v>40.214700000000001</v>
      </c>
      <c r="GC125">
        <v>40.245800000000003</v>
      </c>
      <c r="GD125">
        <v>-1</v>
      </c>
      <c r="GE125">
        <v>0</v>
      </c>
      <c r="GF125">
        <v>100</v>
      </c>
      <c r="GG125">
        <v>32.257300000000001</v>
      </c>
      <c r="GH125">
        <v>432.1</v>
      </c>
      <c r="GI125">
        <v>44.267099999999999</v>
      </c>
      <c r="GJ125">
        <v>100.639</v>
      </c>
      <c r="GK125">
        <v>95.122200000000007</v>
      </c>
    </row>
    <row r="126" spans="1:193" x14ac:dyDescent="0.35">
      <c r="A126">
        <v>110</v>
      </c>
      <c r="B126">
        <v>1775538567</v>
      </c>
      <c r="C126">
        <v>6540.9000000953674</v>
      </c>
      <c r="D126" t="s">
        <v>647</v>
      </c>
      <c r="E126" t="s">
        <v>648</v>
      </c>
      <c r="F126">
        <v>60</v>
      </c>
      <c r="G126">
        <v>1775538559</v>
      </c>
      <c r="H126">
        <f t="shared" si="30"/>
        <v>2.6675471709724959E-3</v>
      </c>
      <c r="I126">
        <f t="shared" si="31"/>
        <v>2.6675471709724961</v>
      </c>
      <c r="J126">
        <f t="shared" si="32"/>
        <v>-2.208186771567425</v>
      </c>
      <c r="K126">
        <f t="shared" si="33"/>
        <v>-7.8163193548387122</v>
      </c>
      <c r="L126">
        <f t="shared" si="34"/>
        <v>52.877753943943951</v>
      </c>
      <c r="M126">
        <f t="shared" si="35"/>
        <v>5.2995979621073106</v>
      </c>
      <c r="N126">
        <f t="shared" si="36"/>
        <v>-0.78337953174025365</v>
      </c>
      <c r="O126">
        <f t="shared" si="37"/>
        <v>5.7271400946505714E-2</v>
      </c>
      <c r="P126">
        <f t="shared" si="38"/>
        <v>2.3926777311773142</v>
      </c>
      <c r="Q126">
        <f t="shared" si="39"/>
        <v>5.6520590352942941E-2</v>
      </c>
      <c r="R126">
        <f t="shared" si="40"/>
        <v>3.5392006231215398E-2</v>
      </c>
      <c r="S126">
        <f t="shared" si="41"/>
        <v>0.24061129761290326</v>
      </c>
      <c r="T126">
        <f t="shared" si="42"/>
        <v>32.34506752907879</v>
      </c>
      <c r="U126">
        <f t="shared" si="43"/>
        <v>33.146983870967738</v>
      </c>
      <c r="V126">
        <f t="shared" si="44"/>
        <v>5.0939812865006049</v>
      </c>
      <c r="W126">
        <f t="shared" si="45"/>
        <v>9.7161479399051149</v>
      </c>
      <c r="X126">
        <f t="shared" si="46"/>
        <v>0.49573274031424824</v>
      </c>
      <c r="Y126">
        <f t="shared" si="47"/>
        <v>5.1021530691008543</v>
      </c>
      <c r="Z126">
        <f t="shared" si="48"/>
        <v>4.5982485461863565</v>
      </c>
      <c r="AA126">
        <f t="shared" si="49"/>
        <v>-117.63883023988707</v>
      </c>
      <c r="AB126">
        <f t="shared" si="50"/>
        <v>3.6842362789682559</v>
      </c>
      <c r="AC126">
        <f t="shared" si="51"/>
        <v>0.3532036677900684</v>
      </c>
      <c r="AD126">
        <f t="shared" si="52"/>
        <v>-113.36077899551584</v>
      </c>
      <c r="AE126">
        <v>5</v>
      </c>
      <c r="AF126">
        <v>1</v>
      </c>
      <c r="AG126">
        <f t="shared" si="53"/>
        <v>1</v>
      </c>
      <c r="AH126">
        <f t="shared" si="54"/>
        <v>0</v>
      </c>
      <c r="AI126">
        <f t="shared" si="55"/>
        <v>25070.590152581095</v>
      </c>
      <c r="AJ126">
        <f t="shared" si="56"/>
        <v>1.2590858064516131</v>
      </c>
      <c r="AK126">
        <f t="shared" si="57"/>
        <v>1.0072686451612904</v>
      </c>
      <c r="AL126">
        <f t="shared" si="58"/>
        <v>0.8</v>
      </c>
      <c r="AM126">
        <f t="shared" si="59"/>
        <v>0.19109999999999999</v>
      </c>
      <c r="AN126">
        <v>3</v>
      </c>
      <c r="AO126">
        <v>0.5</v>
      </c>
      <c r="AP126" t="s">
        <v>317</v>
      </c>
      <c r="AQ126">
        <v>2</v>
      </c>
      <c r="AR126">
        <v>1775538559</v>
      </c>
      <c r="AS126">
        <v>-7.8163193548387122</v>
      </c>
      <c r="AT126">
        <v>-9.1537619354838728</v>
      </c>
      <c r="AU126">
        <v>4.946268387096775</v>
      </c>
      <c r="AV126">
        <v>3.3536325806451601</v>
      </c>
      <c r="AW126">
        <v>-14.65131935483871</v>
      </c>
      <c r="AX126">
        <v>5.2646325806451602</v>
      </c>
      <c r="AY126">
        <v>499.99241935483877</v>
      </c>
      <c r="AZ126">
        <v>100.1742258064516</v>
      </c>
      <c r="BA126">
        <v>4.9357209677419349E-2</v>
      </c>
      <c r="BB126">
        <v>33.175545161290323</v>
      </c>
      <c r="BC126">
        <v>33.146983870967738</v>
      </c>
      <c r="BD126">
        <v>999.90000000000032</v>
      </c>
      <c r="BE126">
        <v>0</v>
      </c>
      <c r="BF126">
        <v>0</v>
      </c>
      <c r="BG126">
        <v>5003.2580645161288</v>
      </c>
      <c r="BH126">
        <v>1.2590858064516131</v>
      </c>
      <c r="BI126">
        <v>1098.667838709677</v>
      </c>
      <c r="BJ126">
        <v>1.292636967741936</v>
      </c>
      <c r="BK126">
        <v>-7.887563225806451</v>
      </c>
      <c r="BL126">
        <v>-9.1992658064516135</v>
      </c>
      <c r="BM126">
        <v>-1.593855161290322</v>
      </c>
      <c r="BN126">
        <v>-9.1537619354838728</v>
      </c>
      <c r="BO126">
        <v>4.946268387096775</v>
      </c>
      <c r="BP126">
        <v>0.33582509677419359</v>
      </c>
      <c r="BQ126">
        <v>0.49548851612903222</v>
      </c>
      <c r="BR126">
        <v>-8.0238880645161306</v>
      </c>
      <c r="BS126">
        <v>-2.909190322580645</v>
      </c>
      <c r="BT126">
        <v>1775538595</v>
      </c>
      <c r="BU126" t="s">
        <v>649</v>
      </c>
      <c r="BV126">
        <v>1775538588.5</v>
      </c>
      <c r="BW126">
        <v>1775538595</v>
      </c>
      <c r="BX126">
        <v>111</v>
      </c>
      <c r="BY126">
        <v>4.4999999999999998E-2</v>
      </c>
      <c r="BZ126">
        <v>1E-3</v>
      </c>
      <c r="CA126">
        <v>6.835</v>
      </c>
      <c r="CB126">
        <v>-1.911</v>
      </c>
      <c r="CC126">
        <v>-9</v>
      </c>
      <c r="CD126">
        <v>5</v>
      </c>
      <c r="CE126">
        <v>0.21</v>
      </c>
      <c r="CF126">
        <v>0.06</v>
      </c>
      <c r="CG126">
        <v>-9.4612557377049189</v>
      </c>
      <c r="CH126">
        <v>2.5169714436805979</v>
      </c>
      <c r="CI126">
        <v>0.39036267028537019</v>
      </c>
      <c r="CJ126">
        <v>-1</v>
      </c>
      <c r="CK126">
        <v>500.51870491803282</v>
      </c>
      <c r="CL126">
        <v>-5.5593886832363921</v>
      </c>
      <c r="CM126">
        <v>1.473936497333769</v>
      </c>
      <c r="CN126">
        <v>-1</v>
      </c>
      <c r="CO126">
        <v>0</v>
      </c>
      <c r="CP126">
        <v>0</v>
      </c>
      <c r="CQ126" t="s">
        <v>319</v>
      </c>
      <c r="CR126">
        <v>3.1694</v>
      </c>
      <c r="CS126">
        <v>2.67022</v>
      </c>
      <c r="CT126">
        <v>-4.1417900000000002E-3</v>
      </c>
      <c r="CU126">
        <v>-2.61005E-3</v>
      </c>
      <c r="CV126">
        <v>3.4676699999999998E-2</v>
      </c>
      <c r="CW126">
        <v>3.2418200000000001E-2</v>
      </c>
      <c r="CX126">
        <v>21279.599999999999</v>
      </c>
      <c r="CY126">
        <v>21706.1</v>
      </c>
      <c r="CZ126">
        <v>22730.799999999999</v>
      </c>
      <c r="DA126">
        <v>22024.5</v>
      </c>
      <c r="DB126">
        <v>28325.3</v>
      </c>
      <c r="DC126">
        <v>25361.4</v>
      </c>
      <c r="DD126">
        <v>40013.800000000003</v>
      </c>
      <c r="DE126">
        <v>36440.800000000003</v>
      </c>
      <c r="DF126">
        <v>1.98448</v>
      </c>
      <c r="DG126">
        <v>1.59266</v>
      </c>
      <c r="DH126">
        <v>-4.5475399999999999E-2</v>
      </c>
      <c r="DI126">
        <v>0</v>
      </c>
      <c r="DJ126">
        <v>33.893599999999999</v>
      </c>
      <c r="DK126">
        <v>999.9</v>
      </c>
      <c r="DL126">
        <v>48.1</v>
      </c>
      <c r="DM126">
        <v>47.2</v>
      </c>
      <c r="DN126">
        <v>51.796199999999999</v>
      </c>
      <c r="DO126">
        <v>30.744700000000002</v>
      </c>
      <c r="DP126">
        <v>10.460699999999999</v>
      </c>
      <c r="DQ126">
        <v>1</v>
      </c>
      <c r="DR126">
        <v>1.0449900000000001</v>
      </c>
      <c r="DS126">
        <v>1.5837399999999999</v>
      </c>
      <c r="DT126">
        <v>20.350000000000001</v>
      </c>
      <c r="DU126">
        <v>5.2065099999999997</v>
      </c>
      <c r="DV126">
        <v>11.8546</v>
      </c>
      <c r="DW126">
        <v>4.9652000000000003</v>
      </c>
      <c r="DX126">
        <v>3.29244</v>
      </c>
      <c r="DY126">
        <v>894.7</v>
      </c>
      <c r="DZ126">
        <v>6</v>
      </c>
      <c r="EA126">
        <v>9999</v>
      </c>
      <c r="EB126">
        <v>117.6</v>
      </c>
      <c r="EC126">
        <v>4.9716199999999997</v>
      </c>
      <c r="ED126">
        <v>1.8722300000000001</v>
      </c>
      <c r="EE126">
        <v>1.86958</v>
      </c>
      <c r="EF126">
        <v>1.8718699999999999</v>
      </c>
      <c r="EG126">
        <v>1.8696600000000001</v>
      </c>
      <c r="EH126">
        <v>1.8684499999999999</v>
      </c>
      <c r="EI126">
        <v>1.8702700000000001</v>
      </c>
      <c r="EJ126">
        <v>1.8719600000000001</v>
      </c>
      <c r="EK126">
        <v>0</v>
      </c>
      <c r="EL126">
        <v>0</v>
      </c>
      <c r="EM126">
        <v>0</v>
      </c>
      <c r="EN126">
        <v>0</v>
      </c>
      <c r="EO126" t="s">
        <v>320</v>
      </c>
      <c r="EP126" t="s">
        <v>321</v>
      </c>
      <c r="EQ126" t="s">
        <v>322</v>
      </c>
      <c r="ER126" t="s">
        <v>322</v>
      </c>
      <c r="ES126" t="s">
        <v>322</v>
      </c>
      <c r="ET126" t="s">
        <v>322</v>
      </c>
      <c r="EU126">
        <v>0</v>
      </c>
      <c r="EV126">
        <v>100</v>
      </c>
      <c r="EW126">
        <v>100</v>
      </c>
      <c r="EX126">
        <v>6.835</v>
      </c>
      <c r="EY126">
        <v>-1.911</v>
      </c>
      <c r="EZ126">
        <v>6.7901952380952366</v>
      </c>
      <c r="FA126">
        <v>0</v>
      </c>
      <c r="FB126">
        <v>0</v>
      </c>
      <c r="FC126">
        <v>0</v>
      </c>
      <c r="FD126">
        <v>-1.9122210000000019</v>
      </c>
      <c r="FE126">
        <v>0</v>
      </c>
      <c r="FF126">
        <v>0</v>
      </c>
      <c r="FG126">
        <v>0</v>
      </c>
      <c r="FH126">
        <v>-1</v>
      </c>
      <c r="FI126">
        <v>-1</v>
      </c>
      <c r="FJ126">
        <v>-1</v>
      </c>
      <c r="FK126">
        <v>-1</v>
      </c>
      <c r="FL126">
        <v>0.7</v>
      </c>
      <c r="FM126">
        <v>0.6</v>
      </c>
      <c r="FN126">
        <v>0.14038100000000001</v>
      </c>
      <c r="FO126">
        <v>4.99756</v>
      </c>
      <c r="FP126">
        <v>1.5979000000000001</v>
      </c>
      <c r="FQ126">
        <v>2.1105999999999998</v>
      </c>
      <c r="FR126">
        <v>1.5478499999999999</v>
      </c>
      <c r="FS126">
        <v>2.4560499999999998</v>
      </c>
      <c r="FT126">
        <v>50.186399999999999</v>
      </c>
      <c r="FU126">
        <v>15.173999999999999</v>
      </c>
      <c r="FV126">
        <v>2</v>
      </c>
      <c r="FW126">
        <v>507.572</v>
      </c>
      <c r="FX126">
        <v>345.33300000000003</v>
      </c>
      <c r="FY126">
        <v>32.448900000000002</v>
      </c>
      <c r="FZ126">
        <v>39.8309</v>
      </c>
      <c r="GA126">
        <v>29.998899999999999</v>
      </c>
      <c r="GB126">
        <v>40.107700000000001</v>
      </c>
      <c r="GC126">
        <v>40.140700000000002</v>
      </c>
      <c r="GD126">
        <v>-1</v>
      </c>
      <c r="GE126">
        <v>0</v>
      </c>
      <c r="GF126">
        <v>100</v>
      </c>
      <c r="GG126">
        <v>32.463500000000003</v>
      </c>
      <c r="GH126">
        <v>432.1</v>
      </c>
      <c r="GI126">
        <v>44.267099999999999</v>
      </c>
      <c r="GJ126">
        <v>100.661</v>
      </c>
      <c r="GK126">
        <v>95.146000000000001</v>
      </c>
    </row>
    <row r="127" spans="1:193" x14ac:dyDescent="0.35">
      <c r="A127">
        <v>111</v>
      </c>
      <c r="B127">
        <v>1775538627</v>
      </c>
      <c r="C127">
        <v>6600.9000000953674</v>
      </c>
      <c r="D127" t="s">
        <v>650</v>
      </c>
      <c r="E127" t="s">
        <v>651</v>
      </c>
      <c r="F127">
        <v>60</v>
      </c>
      <c r="G127">
        <v>1775538619</v>
      </c>
      <c r="H127">
        <f t="shared" si="30"/>
        <v>3.7137037000310479E-3</v>
      </c>
      <c r="I127">
        <f t="shared" si="31"/>
        <v>3.713703700031048</v>
      </c>
      <c r="J127">
        <f t="shared" si="32"/>
        <v>-3.5239746214824996</v>
      </c>
      <c r="K127">
        <f t="shared" si="33"/>
        <v>-7.5901000000000014</v>
      </c>
      <c r="L127">
        <f t="shared" si="34"/>
        <v>61.188169166916651</v>
      </c>
      <c r="M127">
        <f t="shared" si="35"/>
        <v>6.1324678097206746</v>
      </c>
      <c r="N127">
        <f t="shared" si="36"/>
        <v>-0.7607033280500165</v>
      </c>
      <c r="O127">
        <f t="shared" si="37"/>
        <v>8.0944584562994804E-2</v>
      </c>
      <c r="P127">
        <f t="shared" si="38"/>
        <v>2.3914659681841357</v>
      </c>
      <c r="Q127">
        <f t="shared" si="39"/>
        <v>7.9452766039641687E-2</v>
      </c>
      <c r="R127">
        <f t="shared" si="40"/>
        <v>4.9789722670716192E-2</v>
      </c>
      <c r="S127">
        <f t="shared" si="41"/>
        <v>0.26355556499999999</v>
      </c>
      <c r="T127">
        <f t="shared" si="42"/>
        <v>31.998463379596963</v>
      </c>
      <c r="U127">
        <f t="shared" si="43"/>
        <v>32.996661290322578</v>
      </c>
      <c r="V127">
        <f t="shared" si="44"/>
        <v>5.051159309545505</v>
      </c>
      <c r="W127">
        <f t="shared" si="45"/>
        <v>9.7376255389911908</v>
      </c>
      <c r="X127">
        <f t="shared" si="46"/>
        <v>0.49627545268615481</v>
      </c>
      <c r="Y127">
        <f t="shared" si="47"/>
        <v>5.0964729614933262</v>
      </c>
      <c r="Z127">
        <f t="shared" si="48"/>
        <v>4.5548838568593499</v>
      </c>
      <c r="AA127">
        <f t="shared" si="49"/>
        <v>-163.77433317136922</v>
      </c>
      <c r="AB127">
        <f t="shared" si="50"/>
        <v>20.504240300828769</v>
      </c>
      <c r="AC127">
        <f t="shared" si="51"/>
        <v>1.9650758047905978</v>
      </c>
      <c r="AD127">
        <f t="shared" si="52"/>
        <v>-141.04146150074985</v>
      </c>
      <c r="AE127">
        <v>5</v>
      </c>
      <c r="AF127">
        <v>1</v>
      </c>
      <c r="AG127">
        <f t="shared" si="53"/>
        <v>1</v>
      </c>
      <c r="AH127">
        <f t="shared" si="54"/>
        <v>0</v>
      </c>
      <c r="AI127">
        <f t="shared" si="55"/>
        <v>25054.125814390591</v>
      </c>
      <c r="AJ127">
        <f t="shared" si="56"/>
        <v>1.3791500000000001</v>
      </c>
      <c r="AK127">
        <f t="shared" si="57"/>
        <v>1.1033200000000001</v>
      </c>
      <c r="AL127">
        <f t="shared" si="58"/>
        <v>0.8</v>
      </c>
      <c r="AM127">
        <f t="shared" si="59"/>
        <v>0.19109999999999999</v>
      </c>
      <c r="AN127">
        <v>3</v>
      </c>
      <c r="AO127">
        <v>0.5</v>
      </c>
      <c r="AP127" t="s">
        <v>317</v>
      </c>
      <c r="AQ127">
        <v>2</v>
      </c>
      <c r="AR127">
        <v>1775538619</v>
      </c>
      <c r="AS127">
        <v>-7.5901000000000014</v>
      </c>
      <c r="AT127">
        <v>-9.7213996774193543</v>
      </c>
      <c r="AU127">
        <v>4.9517074193548387</v>
      </c>
      <c r="AV127">
        <v>2.7345161290322588</v>
      </c>
      <c r="AW127">
        <v>-14.4641</v>
      </c>
      <c r="AX127">
        <v>4.644516129032259</v>
      </c>
      <c r="AY127">
        <v>499.99941935483872</v>
      </c>
      <c r="AZ127">
        <v>100.17474193548389</v>
      </c>
      <c r="BA127">
        <v>4.8355000000000002E-2</v>
      </c>
      <c r="BB127">
        <v>33.155696774193551</v>
      </c>
      <c r="BC127">
        <v>32.996661290322578</v>
      </c>
      <c r="BD127">
        <v>999.90000000000032</v>
      </c>
      <c r="BE127">
        <v>0</v>
      </c>
      <c r="BF127">
        <v>0</v>
      </c>
      <c r="BG127">
        <v>5000.1129032258068</v>
      </c>
      <c r="BH127">
        <v>1.3791500000000001</v>
      </c>
      <c r="BI127">
        <v>1286.597741935484</v>
      </c>
      <c r="BJ127">
        <v>2.0921980645161291</v>
      </c>
      <c r="BK127">
        <v>-7.6501135483870986</v>
      </c>
      <c r="BL127">
        <v>-9.7697754838709692</v>
      </c>
      <c r="BM127">
        <v>-2.2186758064516132</v>
      </c>
      <c r="BN127">
        <v>-9.7213996774193543</v>
      </c>
      <c r="BO127">
        <v>4.9517074193548387</v>
      </c>
      <c r="BP127">
        <v>0.27378070967741941</v>
      </c>
      <c r="BQ127">
        <v>0.49603632258064517</v>
      </c>
      <c r="BR127">
        <v>-10.623209677419361</v>
      </c>
      <c r="BS127">
        <v>-2.894337419354839</v>
      </c>
      <c r="BT127">
        <v>1775538653.5</v>
      </c>
      <c r="BU127" t="s">
        <v>652</v>
      </c>
      <c r="BV127">
        <v>1775538647</v>
      </c>
      <c r="BW127">
        <v>1775538653.5</v>
      </c>
      <c r="BX127">
        <v>112</v>
      </c>
      <c r="BY127">
        <v>3.9E-2</v>
      </c>
      <c r="BZ127">
        <v>2E-3</v>
      </c>
      <c r="CA127">
        <v>6.8739999999999997</v>
      </c>
      <c r="CB127">
        <v>-1.91</v>
      </c>
      <c r="CC127">
        <v>-10</v>
      </c>
      <c r="CD127">
        <v>5</v>
      </c>
      <c r="CE127">
        <v>0.26</v>
      </c>
      <c r="CF127">
        <v>0.04</v>
      </c>
      <c r="CG127">
        <v>-9.5011244262295058</v>
      </c>
      <c r="CH127">
        <v>-1.4127025066102481</v>
      </c>
      <c r="CI127">
        <v>0.22735815582053229</v>
      </c>
      <c r="CJ127">
        <v>-1</v>
      </c>
      <c r="CK127">
        <v>500.95973770491798</v>
      </c>
      <c r="CL127">
        <v>-8.0968143839237534</v>
      </c>
      <c r="CM127">
        <v>1.9079115343758919</v>
      </c>
      <c r="CN127">
        <v>-1</v>
      </c>
      <c r="CO127">
        <v>0</v>
      </c>
      <c r="CP127">
        <v>0</v>
      </c>
      <c r="CQ127" t="s">
        <v>319</v>
      </c>
      <c r="CR127">
        <v>3.16933</v>
      </c>
      <c r="CS127">
        <v>2.6698200000000001</v>
      </c>
      <c r="CT127">
        <v>-4.2269300000000003E-3</v>
      </c>
      <c r="CU127">
        <v>-2.8936600000000002E-3</v>
      </c>
      <c r="CV127">
        <v>3.1325100000000002E-2</v>
      </c>
      <c r="CW127">
        <v>3.2499500000000001E-2</v>
      </c>
      <c r="CX127">
        <v>21287.9</v>
      </c>
      <c r="CY127">
        <v>21718</v>
      </c>
      <c r="CZ127">
        <v>22737.200000000001</v>
      </c>
      <c r="DA127">
        <v>22030</v>
      </c>
      <c r="DB127">
        <v>28431.5</v>
      </c>
      <c r="DC127">
        <v>25366</v>
      </c>
      <c r="DD127">
        <v>40024.5</v>
      </c>
      <c r="DE127">
        <v>36450.199999999997</v>
      </c>
      <c r="DF127">
        <v>1.9844200000000001</v>
      </c>
      <c r="DG127">
        <v>1.5950599999999999</v>
      </c>
      <c r="DH127">
        <v>-4.9963599999999997E-2</v>
      </c>
      <c r="DI127">
        <v>0</v>
      </c>
      <c r="DJ127">
        <v>33.823300000000003</v>
      </c>
      <c r="DK127">
        <v>999.9</v>
      </c>
      <c r="DL127">
        <v>48.1</v>
      </c>
      <c r="DM127">
        <v>47.1</v>
      </c>
      <c r="DN127">
        <v>51.533099999999997</v>
      </c>
      <c r="DO127">
        <v>30.5947</v>
      </c>
      <c r="DP127">
        <v>10.777200000000001</v>
      </c>
      <c r="DQ127">
        <v>1</v>
      </c>
      <c r="DR127">
        <v>1.03271</v>
      </c>
      <c r="DS127">
        <v>1.9306099999999999</v>
      </c>
      <c r="DT127">
        <v>20.3461</v>
      </c>
      <c r="DU127">
        <v>5.2057900000000004</v>
      </c>
      <c r="DV127">
        <v>11.854200000000001</v>
      </c>
      <c r="DW127">
        <v>4.9665999999999997</v>
      </c>
      <c r="DX127">
        <v>3.29236</v>
      </c>
      <c r="DY127">
        <v>894.7</v>
      </c>
      <c r="DZ127">
        <v>6</v>
      </c>
      <c r="EA127">
        <v>9999</v>
      </c>
      <c r="EB127">
        <v>117.6</v>
      </c>
      <c r="EC127">
        <v>4.97166</v>
      </c>
      <c r="ED127">
        <v>1.8722000000000001</v>
      </c>
      <c r="EE127">
        <v>1.8695600000000001</v>
      </c>
      <c r="EF127">
        <v>1.8718399999999999</v>
      </c>
      <c r="EG127">
        <v>1.8696600000000001</v>
      </c>
      <c r="EH127">
        <v>1.8684400000000001</v>
      </c>
      <c r="EI127">
        <v>1.8702700000000001</v>
      </c>
      <c r="EJ127">
        <v>1.87195</v>
      </c>
      <c r="EK127">
        <v>0</v>
      </c>
      <c r="EL127">
        <v>0</v>
      </c>
      <c r="EM127">
        <v>0</v>
      </c>
      <c r="EN127">
        <v>0</v>
      </c>
      <c r="EO127" t="s">
        <v>320</v>
      </c>
      <c r="EP127" t="s">
        <v>321</v>
      </c>
      <c r="EQ127" t="s">
        <v>322</v>
      </c>
      <c r="ER127" t="s">
        <v>322</v>
      </c>
      <c r="ES127" t="s">
        <v>322</v>
      </c>
      <c r="ET127" t="s">
        <v>322</v>
      </c>
      <c r="EU127">
        <v>0</v>
      </c>
      <c r="EV127">
        <v>100</v>
      </c>
      <c r="EW127">
        <v>100</v>
      </c>
      <c r="EX127">
        <v>6.8739999999999997</v>
      </c>
      <c r="EY127">
        <v>-1.91</v>
      </c>
      <c r="EZ127">
        <v>6.8349004761904801</v>
      </c>
      <c r="FA127">
        <v>0</v>
      </c>
      <c r="FB127">
        <v>0</v>
      </c>
      <c r="FC127">
        <v>0</v>
      </c>
      <c r="FD127">
        <v>-1.911486499999999</v>
      </c>
      <c r="FE127">
        <v>0</v>
      </c>
      <c r="FF127">
        <v>0</v>
      </c>
      <c r="FG127">
        <v>0</v>
      </c>
      <c r="FH127">
        <v>-1</v>
      </c>
      <c r="FI127">
        <v>-1</v>
      </c>
      <c r="FJ127">
        <v>-1</v>
      </c>
      <c r="FK127">
        <v>-1</v>
      </c>
      <c r="FL127">
        <v>0.6</v>
      </c>
      <c r="FM127">
        <v>0.5</v>
      </c>
      <c r="FN127">
        <v>0.13916000000000001</v>
      </c>
      <c r="FO127">
        <v>4.99756</v>
      </c>
      <c r="FP127">
        <v>1.5979000000000001</v>
      </c>
      <c r="FQ127">
        <v>2.1105999999999998</v>
      </c>
      <c r="FR127">
        <v>1.5478499999999999</v>
      </c>
      <c r="FS127">
        <v>2.5268600000000001</v>
      </c>
      <c r="FT127">
        <v>50.0578</v>
      </c>
      <c r="FU127">
        <v>15.1652</v>
      </c>
      <c r="FV127">
        <v>2</v>
      </c>
      <c r="FW127">
        <v>506.733</v>
      </c>
      <c r="FX127">
        <v>346.125</v>
      </c>
      <c r="FY127">
        <v>31.943300000000001</v>
      </c>
      <c r="FZ127">
        <v>39.687199999999997</v>
      </c>
      <c r="GA127">
        <v>29.998699999999999</v>
      </c>
      <c r="GB127">
        <v>39.9878</v>
      </c>
      <c r="GC127">
        <v>40.032200000000003</v>
      </c>
      <c r="GD127">
        <v>-1</v>
      </c>
      <c r="GE127">
        <v>0</v>
      </c>
      <c r="GF127">
        <v>100</v>
      </c>
      <c r="GG127">
        <v>31.979700000000001</v>
      </c>
      <c r="GH127">
        <v>432.1</v>
      </c>
      <c r="GI127">
        <v>44.267099999999999</v>
      </c>
      <c r="GJ127">
        <v>100.68899999999999</v>
      </c>
      <c r="GK127">
        <v>95.170199999999994</v>
      </c>
    </row>
    <row r="128" spans="1:193" x14ac:dyDescent="0.35">
      <c r="A128">
        <v>112</v>
      </c>
      <c r="B128">
        <v>1775538687</v>
      </c>
      <c r="C128">
        <v>6660.9000000953674</v>
      </c>
      <c r="D128" t="s">
        <v>653</v>
      </c>
      <c r="E128" t="s">
        <v>654</v>
      </c>
      <c r="F128">
        <v>60</v>
      </c>
      <c r="G128">
        <v>1775538679.25</v>
      </c>
      <c r="H128">
        <f t="shared" si="30"/>
        <v>3.1565028718160085E-3</v>
      </c>
      <c r="I128">
        <f t="shared" si="31"/>
        <v>3.1565028718160084</v>
      </c>
      <c r="J128">
        <f t="shared" si="32"/>
        <v>-2.9630303579773059</v>
      </c>
      <c r="K128">
        <f t="shared" si="33"/>
        <v>-7.743813333333331</v>
      </c>
      <c r="L128">
        <f t="shared" si="34"/>
        <v>60.790266686762358</v>
      </c>
      <c r="M128">
        <f t="shared" si="35"/>
        <v>6.0925656928808376</v>
      </c>
      <c r="N128">
        <f t="shared" si="36"/>
        <v>-0.77610601200099139</v>
      </c>
      <c r="O128">
        <f t="shared" si="37"/>
        <v>6.8131910155570866E-2</v>
      </c>
      <c r="P128">
        <f t="shared" si="38"/>
        <v>2.3878262708167055</v>
      </c>
      <c r="Q128">
        <f t="shared" si="39"/>
        <v>6.7070068169227504E-2</v>
      </c>
      <c r="R128">
        <f t="shared" si="40"/>
        <v>4.2012816338355352E-2</v>
      </c>
      <c r="S128">
        <f t="shared" si="41"/>
        <v>0.33134988249999991</v>
      </c>
      <c r="T128">
        <f t="shared" si="42"/>
        <v>32.209071476243096</v>
      </c>
      <c r="U128">
        <f t="shared" si="43"/>
        <v>33.099936666666657</v>
      </c>
      <c r="V128">
        <f t="shared" si="44"/>
        <v>5.0805452524662833</v>
      </c>
      <c r="W128">
        <f t="shared" si="45"/>
        <v>9.6918991376566588</v>
      </c>
      <c r="X128">
        <f t="shared" si="46"/>
        <v>0.49498703699323143</v>
      </c>
      <c r="Y128">
        <f t="shared" si="47"/>
        <v>5.107224393927309</v>
      </c>
      <c r="Z128">
        <f t="shared" si="48"/>
        <v>4.5855582154730516</v>
      </c>
      <c r="AA128">
        <f t="shared" si="49"/>
        <v>-139.20177664708598</v>
      </c>
      <c r="AB128">
        <f t="shared" si="50"/>
        <v>12.012457742014705</v>
      </c>
      <c r="AC128">
        <f t="shared" si="51"/>
        <v>1.1537950150913701</v>
      </c>
      <c r="AD128">
        <f t="shared" si="52"/>
        <v>-125.70417400747991</v>
      </c>
      <c r="AE128">
        <v>5</v>
      </c>
      <c r="AF128">
        <v>1</v>
      </c>
      <c r="AG128">
        <f t="shared" si="53"/>
        <v>1</v>
      </c>
      <c r="AH128">
        <f t="shared" si="54"/>
        <v>0</v>
      </c>
      <c r="AI128">
        <f t="shared" si="55"/>
        <v>24996.860985568903</v>
      </c>
      <c r="AJ128">
        <f t="shared" si="56"/>
        <v>1.7339083333333329</v>
      </c>
      <c r="AK128">
        <f t="shared" si="57"/>
        <v>1.3871266666666664</v>
      </c>
      <c r="AL128">
        <f t="shared" si="58"/>
        <v>0.8</v>
      </c>
      <c r="AM128">
        <f t="shared" si="59"/>
        <v>0.19109999999999999</v>
      </c>
      <c r="AN128">
        <v>3</v>
      </c>
      <c r="AO128">
        <v>0.5</v>
      </c>
      <c r="AP128" t="s">
        <v>317</v>
      </c>
      <c r="AQ128">
        <v>2</v>
      </c>
      <c r="AR128">
        <v>1775538679.25</v>
      </c>
      <c r="AS128">
        <v>-7.743813333333331</v>
      </c>
      <c r="AT128">
        <v>-9.5363543333333318</v>
      </c>
      <c r="AU128">
        <v>4.9388706666666664</v>
      </c>
      <c r="AV128">
        <v>3.0542630000000002</v>
      </c>
      <c r="AW128">
        <v>-14.60681333333333</v>
      </c>
      <c r="AX128">
        <v>4.9632630000000004</v>
      </c>
      <c r="AY128">
        <v>499.98416666666662</v>
      </c>
      <c r="AZ128">
        <v>100.173</v>
      </c>
      <c r="BA128">
        <v>4.9716973333333338E-2</v>
      </c>
      <c r="BB128">
        <v>33.193249999999999</v>
      </c>
      <c r="BC128">
        <v>33.099936666666657</v>
      </c>
      <c r="BD128">
        <v>999.9000000000002</v>
      </c>
      <c r="BE128">
        <v>0</v>
      </c>
      <c r="BF128">
        <v>0</v>
      </c>
      <c r="BG128">
        <v>4990.833333333333</v>
      </c>
      <c r="BH128">
        <v>1.7339083333333329</v>
      </c>
      <c r="BI128">
        <v>1841.561666666667</v>
      </c>
      <c r="BJ128">
        <v>1.8036540000000001</v>
      </c>
      <c r="BK128">
        <v>-7.7563816666666661</v>
      </c>
      <c r="BL128">
        <v>-9.5836866666666687</v>
      </c>
      <c r="BM128">
        <v>-1.885454</v>
      </c>
      <c r="BN128">
        <v>-9.5363543333333318</v>
      </c>
      <c r="BO128">
        <v>4.9388706666666664</v>
      </c>
      <c r="BP128">
        <v>0.30586979999999991</v>
      </c>
      <c r="BQ128">
        <v>0.49474146666666668</v>
      </c>
      <c r="BR128">
        <v>-9.2195463333333354</v>
      </c>
      <c r="BS128">
        <v>-2.9294613333333341</v>
      </c>
      <c r="BT128">
        <v>1775538713</v>
      </c>
      <c r="BU128" t="s">
        <v>655</v>
      </c>
      <c r="BV128">
        <v>1775538706</v>
      </c>
      <c r="BW128">
        <v>1775538713</v>
      </c>
      <c r="BX128">
        <v>113</v>
      </c>
      <c r="BY128">
        <v>-1.0999999999999999E-2</v>
      </c>
      <c r="BZ128">
        <v>1E-3</v>
      </c>
      <c r="CA128">
        <v>6.8630000000000004</v>
      </c>
      <c r="CB128">
        <v>-1.909</v>
      </c>
      <c r="CC128">
        <v>-9</v>
      </c>
      <c r="CD128">
        <v>5</v>
      </c>
      <c r="CE128">
        <v>0.37</v>
      </c>
      <c r="CF128">
        <v>0.05</v>
      </c>
      <c r="CG128">
        <v>-9.5154085245901623</v>
      </c>
      <c r="CH128">
        <v>-0.16610024325753769</v>
      </c>
      <c r="CI128">
        <v>3.9493233985203623E-2</v>
      </c>
      <c r="CJ128">
        <v>-1</v>
      </c>
      <c r="CK128">
        <v>500.77565573770488</v>
      </c>
      <c r="CL128">
        <v>-7.9326853516662492</v>
      </c>
      <c r="CM128">
        <v>1.803521345074462</v>
      </c>
      <c r="CN128">
        <v>-1</v>
      </c>
      <c r="CO128">
        <v>0</v>
      </c>
      <c r="CP128">
        <v>0</v>
      </c>
      <c r="CQ128" t="s">
        <v>319</v>
      </c>
      <c r="CR128">
        <v>3.1693600000000002</v>
      </c>
      <c r="CS128">
        <v>2.6707900000000002</v>
      </c>
      <c r="CT128">
        <v>-4.2314600000000003E-3</v>
      </c>
      <c r="CU128">
        <v>-2.7627200000000002E-3</v>
      </c>
      <c r="CV128">
        <v>3.2843700000000003E-2</v>
      </c>
      <c r="CW128">
        <v>3.2425900000000001E-2</v>
      </c>
      <c r="CX128">
        <v>21292</v>
      </c>
      <c r="CY128">
        <v>21718.5</v>
      </c>
      <c r="CZ128">
        <v>22741.1</v>
      </c>
      <c r="DA128">
        <v>22033.1</v>
      </c>
      <c r="DB128">
        <v>28391.7</v>
      </c>
      <c r="DC128">
        <v>25371.9</v>
      </c>
      <c r="DD128">
        <v>40031.1</v>
      </c>
      <c r="DE128">
        <v>36455.599999999999</v>
      </c>
      <c r="DF128">
        <v>1.9860599999999999</v>
      </c>
      <c r="DG128">
        <v>1.5962799999999999</v>
      </c>
      <c r="DH128">
        <v>-4.5892599999999999E-2</v>
      </c>
      <c r="DI128">
        <v>0</v>
      </c>
      <c r="DJ128">
        <v>33.851599999999998</v>
      </c>
      <c r="DK128">
        <v>999.9</v>
      </c>
      <c r="DL128">
        <v>48.2</v>
      </c>
      <c r="DM128">
        <v>47.1</v>
      </c>
      <c r="DN128">
        <v>51.641599999999997</v>
      </c>
      <c r="DO128">
        <v>30.444700000000001</v>
      </c>
      <c r="DP128">
        <v>10.7933</v>
      </c>
      <c r="DQ128">
        <v>1</v>
      </c>
      <c r="DR128">
        <v>1.0233699999999999</v>
      </c>
      <c r="DS128">
        <v>1.8973899999999999</v>
      </c>
      <c r="DT128">
        <v>20.346399999999999</v>
      </c>
      <c r="DU128">
        <v>5.2059100000000003</v>
      </c>
      <c r="DV128">
        <v>11.854699999999999</v>
      </c>
      <c r="DW128">
        <v>4.9664799999999998</v>
      </c>
      <c r="DX128">
        <v>3.29236</v>
      </c>
      <c r="DY128">
        <v>894.7</v>
      </c>
      <c r="DZ128">
        <v>6</v>
      </c>
      <c r="EA128">
        <v>9999</v>
      </c>
      <c r="EB128">
        <v>117.6</v>
      </c>
      <c r="EC128">
        <v>4.9716300000000002</v>
      </c>
      <c r="ED128">
        <v>1.87219</v>
      </c>
      <c r="EE128">
        <v>1.86955</v>
      </c>
      <c r="EF128">
        <v>1.8718300000000001</v>
      </c>
      <c r="EG128">
        <v>1.8696600000000001</v>
      </c>
      <c r="EH128">
        <v>1.8684400000000001</v>
      </c>
      <c r="EI128">
        <v>1.8702700000000001</v>
      </c>
      <c r="EJ128">
        <v>1.87195</v>
      </c>
      <c r="EK128">
        <v>0</v>
      </c>
      <c r="EL128">
        <v>0</v>
      </c>
      <c r="EM128">
        <v>0</v>
      </c>
      <c r="EN128">
        <v>0</v>
      </c>
      <c r="EO128" t="s">
        <v>320</v>
      </c>
      <c r="EP128" t="s">
        <v>321</v>
      </c>
      <c r="EQ128" t="s">
        <v>322</v>
      </c>
      <c r="ER128" t="s">
        <v>322</v>
      </c>
      <c r="ES128" t="s">
        <v>322</v>
      </c>
      <c r="ET128" t="s">
        <v>322</v>
      </c>
      <c r="EU128">
        <v>0</v>
      </c>
      <c r="EV128">
        <v>100</v>
      </c>
      <c r="EW128">
        <v>100</v>
      </c>
      <c r="EX128">
        <v>6.8630000000000004</v>
      </c>
      <c r="EY128">
        <v>-1.909</v>
      </c>
      <c r="EZ128">
        <v>6.8741289999999999</v>
      </c>
      <c r="FA128">
        <v>0</v>
      </c>
      <c r="FB128">
        <v>0</v>
      </c>
      <c r="FC128">
        <v>0</v>
      </c>
      <c r="FD128">
        <v>-1.909845714285715</v>
      </c>
      <c r="FE128">
        <v>0</v>
      </c>
      <c r="FF128">
        <v>0</v>
      </c>
      <c r="FG128">
        <v>0</v>
      </c>
      <c r="FH128">
        <v>-1</v>
      </c>
      <c r="FI128">
        <v>-1</v>
      </c>
      <c r="FJ128">
        <v>-1</v>
      </c>
      <c r="FK128">
        <v>-1</v>
      </c>
      <c r="FL128">
        <v>0.7</v>
      </c>
      <c r="FM128">
        <v>0.6</v>
      </c>
      <c r="FN128">
        <v>0.14038100000000001</v>
      </c>
      <c r="FO128">
        <v>4.99756</v>
      </c>
      <c r="FP128">
        <v>1.5979000000000001</v>
      </c>
      <c r="FQ128">
        <v>2.1105999999999998</v>
      </c>
      <c r="FR128">
        <v>1.5478499999999999</v>
      </c>
      <c r="FS128">
        <v>2.52197</v>
      </c>
      <c r="FT128">
        <v>49.897599999999997</v>
      </c>
      <c r="FU128">
        <v>15.1652</v>
      </c>
      <c r="FV128">
        <v>2</v>
      </c>
      <c r="FW128">
        <v>507.11</v>
      </c>
      <c r="FX128">
        <v>346.37</v>
      </c>
      <c r="FY128">
        <v>32.1404</v>
      </c>
      <c r="FZ128">
        <v>39.582299999999996</v>
      </c>
      <c r="GA128">
        <v>29.999300000000002</v>
      </c>
      <c r="GB128">
        <v>39.891599999999997</v>
      </c>
      <c r="GC128">
        <v>39.942900000000002</v>
      </c>
      <c r="GD128">
        <v>-1</v>
      </c>
      <c r="GE128">
        <v>0</v>
      </c>
      <c r="GF128">
        <v>100</v>
      </c>
      <c r="GG128">
        <v>32.145099999999999</v>
      </c>
      <c r="GH128">
        <v>432.1</v>
      </c>
      <c r="GI128">
        <v>44.267099999999999</v>
      </c>
      <c r="GJ128">
        <v>100.706</v>
      </c>
      <c r="GK128">
        <v>95.184100000000001</v>
      </c>
    </row>
    <row r="129" spans="1:193" x14ac:dyDescent="0.35">
      <c r="A129">
        <v>113</v>
      </c>
      <c r="B129">
        <v>1775538747</v>
      </c>
      <c r="C129">
        <v>6720.9000000953674</v>
      </c>
      <c r="D129" t="s">
        <v>656</v>
      </c>
      <c r="E129" t="s">
        <v>657</v>
      </c>
      <c r="F129">
        <v>60</v>
      </c>
      <c r="G129">
        <v>1775538739</v>
      </c>
      <c r="H129">
        <f t="shared" si="30"/>
        <v>3.4916980085043089E-3</v>
      </c>
      <c r="I129">
        <f t="shared" si="31"/>
        <v>3.4916980085043088</v>
      </c>
      <c r="J129">
        <f t="shared" si="32"/>
        <v>-3.0658563101255556</v>
      </c>
      <c r="K129">
        <f t="shared" si="33"/>
        <v>-7.27628387096774</v>
      </c>
      <c r="L129">
        <f t="shared" si="34"/>
        <v>56.749866458683904</v>
      </c>
      <c r="M129">
        <f t="shared" si="35"/>
        <v>5.6873140358399539</v>
      </c>
      <c r="N129">
        <f t="shared" si="36"/>
        <v>-0.72920896506846888</v>
      </c>
      <c r="O129">
        <f t="shared" si="37"/>
        <v>7.5575615102232652E-2</v>
      </c>
      <c r="P129">
        <f t="shared" si="38"/>
        <v>2.3893499365064907</v>
      </c>
      <c r="Q129">
        <f t="shared" si="39"/>
        <v>7.4272287048183047E-2</v>
      </c>
      <c r="R129">
        <f t="shared" si="40"/>
        <v>4.6535406078415331E-2</v>
      </c>
      <c r="S129">
        <f t="shared" si="41"/>
        <v>0.32254468287096771</v>
      </c>
      <c r="T129">
        <f t="shared" si="42"/>
        <v>32.115341250170452</v>
      </c>
      <c r="U129">
        <f t="shared" si="43"/>
        <v>33.087064516129033</v>
      </c>
      <c r="V129">
        <f t="shared" si="44"/>
        <v>5.0768745198356742</v>
      </c>
      <c r="W129">
        <f t="shared" si="45"/>
        <v>9.7149838004277491</v>
      </c>
      <c r="X129">
        <f t="shared" si="46"/>
        <v>0.49645701801185965</v>
      </c>
      <c r="Y129">
        <f t="shared" si="47"/>
        <v>5.1102197204899173</v>
      </c>
      <c r="Z129">
        <f t="shared" si="48"/>
        <v>4.5804175018238142</v>
      </c>
      <c r="AA129">
        <f t="shared" si="49"/>
        <v>-153.98388217504004</v>
      </c>
      <c r="AB129">
        <f t="shared" si="50"/>
        <v>15.024357140234324</v>
      </c>
      <c r="AC129">
        <f t="shared" si="51"/>
        <v>1.4421502240458535</v>
      </c>
      <c r="AD129">
        <f t="shared" si="52"/>
        <v>-137.19483012788891</v>
      </c>
      <c r="AE129">
        <v>5</v>
      </c>
      <c r="AF129">
        <v>1</v>
      </c>
      <c r="AG129">
        <f t="shared" si="53"/>
        <v>1</v>
      </c>
      <c r="AH129">
        <f t="shared" si="54"/>
        <v>0</v>
      </c>
      <c r="AI129">
        <f t="shared" si="55"/>
        <v>25018.888023412143</v>
      </c>
      <c r="AJ129">
        <f t="shared" si="56"/>
        <v>1.6878319354838709</v>
      </c>
      <c r="AK129">
        <f t="shared" si="57"/>
        <v>1.3502655483870969</v>
      </c>
      <c r="AL129">
        <f t="shared" si="58"/>
        <v>0.8</v>
      </c>
      <c r="AM129">
        <f t="shared" si="59"/>
        <v>0.19109999999999999</v>
      </c>
      <c r="AN129">
        <v>3</v>
      </c>
      <c r="AO129">
        <v>0.5</v>
      </c>
      <c r="AP129" t="s">
        <v>317</v>
      </c>
      <c r="AQ129">
        <v>2</v>
      </c>
      <c r="AR129">
        <v>1775538739</v>
      </c>
      <c r="AS129">
        <v>-7.27628387096774</v>
      </c>
      <c r="AT129">
        <v>-9.1310819354838699</v>
      </c>
      <c r="AU129">
        <v>4.9538093548387101</v>
      </c>
      <c r="AV129">
        <v>2.8691235483870972</v>
      </c>
      <c r="AW129">
        <v>-14.18328387096774</v>
      </c>
      <c r="AX129">
        <v>4.7811235483870966</v>
      </c>
      <c r="AY129">
        <v>499.98912903225812</v>
      </c>
      <c r="AZ129">
        <v>100.1687096774194</v>
      </c>
      <c r="BA129">
        <v>4.851356451612903E-2</v>
      </c>
      <c r="BB129">
        <v>33.203699999999998</v>
      </c>
      <c r="BC129">
        <v>33.087064516129033</v>
      </c>
      <c r="BD129">
        <v>999.90000000000032</v>
      </c>
      <c r="BE129">
        <v>0</v>
      </c>
      <c r="BF129">
        <v>0</v>
      </c>
      <c r="BG129">
        <v>4994.9677419354839</v>
      </c>
      <c r="BH129">
        <v>1.6878319354838709</v>
      </c>
      <c r="BI129">
        <v>1823.213870967742</v>
      </c>
      <c r="BJ129">
        <v>1.8106164516129031</v>
      </c>
      <c r="BK129">
        <v>-7.3415483870967737</v>
      </c>
      <c r="BL129">
        <v>-9.1765416129032253</v>
      </c>
      <c r="BM129">
        <v>-2.0820232258064522</v>
      </c>
      <c r="BN129">
        <v>-9.1310819354838699</v>
      </c>
      <c r="BO129">
        <v>4.9538093548387101</v>
      </c>
      <c r="BP129">
        <v>0.28766283870967752</v>
      </c>
      <c r="BQ129">
        <v>0.49621629032258058</v>
      </c>
      <c r="BR129">
        <v>-9.9984203225806461</v>
      </c>
      <c r="BS129">
        <v>-2.8894912903225798</v>
      </c>
      <c r="BT129">
        <v>1775538774.5</v>
      </c>
      <c r="BU129" t="s">
        <v>658</v>
      </c>
      <c r="BV129">
        <v>1775538765.5</v>
      </c>
      <c r="BW129">
        <v>1775538774.5</v>
      </c>
      <c r="BX129">
        <v>114</v>
      </c>
      <c r="BY129">
        <v>4.3999999999999997E-2</v>
      </c>
      <c r="BZ129">
        <v>-3.0000000000000001E-3</v>
      </c>
      <c r="CA129">
        <v>6.907</v>
      </c>
      <c r="CB129">
        <v>-1.9119999999999999</v>
      </c>
      <c r="CC129">
        <v>-9</v>
      </c>
      <c r="CD129">
        <v>5</v>
      </c>
      <c r="CE129">
        <v>0.31</v>
      </c>
      <c r="CF129">
        <v>0.04</v>
      </c>
      <c r="CG129">
        <v>-9.1361543333333337</v>
      </c>
      <c r="CH129">
        <v>2.2760589052513661E-2</v>
      </c>
      <c r="CI129">
        <v>3.2686506612906147E-2</v>
      </c>
      <c r="CJ129">
        <v>-1</v>
      </c>
      <c r="CK129">
        <v>500.69508333333329</v>
      </c>
      <c r="CL129">
        <v>-7.2904417893859783</v>
      </c>
      <c r="CM129">
        <v>1.689169118153131</v>
      </c>
      <c r="CN129">
        <v>-1</v>
      </c>
      <c r="CO129">
        <v>0</v>
      </c>
      <c r="CP129">
        <v>0</v>
      </c>
      <c r="CQ129" t="s">
        <v>319</v>
      </c>
      <c r="CR129">
        <v>3.1694200000000001</v>
      </c>
      <c r="CS129">
        <v>2.6692499999999999</v>
      </c>
      <c r="CT129">
        <v>-4.0996699999999997E-3</v>
      </c>
      <c r="CU129">
        <v>-2.6377900000000001E-3</v>
      </c>
      <c r="CV129">
        <v>3.1754299999999999E-2</v>
      </c>
      <c r="CW129">
        <v>3.2592900000000001E-2</v>
      </c>
      <c r="CX129">
        <v>21293.3</v>
      </c>
      <c r="CY129">
        <v>21719.3</v>
      </c>
      <c r="CZ129">
        <v>22745.1</v>
      </c>
      <c r="DA129">
        <v>22036.3</v>
      </c>
      <c r="DB129">
        <v>28428.5</v>
      </c>
      <c r="DC129">
        <v>25371.599999999999</v>
      </c>
      <c r="DD129">
        <v>40037.599999999999</v>
      </c>
      <c r="DE129">
        <v>36461.300000000003</v>
      </c>
      <c r="DF129">
        <v>1.9867600000000001</v>
      </c>
      <c r="DG129">
        <v>1.5971599999999999</v>
      </c>
      <c r="DH129">
        <v>-4.9403299999999997E-2</v>
      </c>
      <c r="DI129">
        <v>0</v>
      </c>
      <c r="DJ129">
        <v>33.895400000000002</v>
      </c>
      <c r="DK129">
        <v>999.9</v>
      </c>
      <c r="DL129">
        <v>48.2</v>
      </c>
      <c r="DM129">
        <v>47</v>
      </c>
      <c r="DN129">
        <v>51.380899999999997</v>
      </c>
      <c r="DO129">
        <v>30.294699999999999</v>
      </c>
      <c r="DP129">
        <v>10.464700000000001</v>
      </c>
      <c r="DQ129">
        <v>1</v>
      </c>
      <c r="DR129">
        <v>1.0151399999999999</v>
      </c>
      <c r="DS129">
        <v>2.0448</v>
      </c>
      <c r="DT129">
        <v>20.3446</v>
      </c>
      <c r="DU129">
        <v>5.2035099999999996</v>
      </c>
      <c r="DV129">
        <v>11.8552</v>
      </c>
      <c r="DW129">
        <v>4.9666800000000002</v>
      </c>
      <c r="DX129">
        <v>3.29244</v>
      </c>
      <c r="DY129">
        <v>894.7</v>
      </c>
      <c r="DZ129">
        <v>6</v>
      </c>
      <c r="EA129">
        <v>9999</v>
      </c>
      <c r="EB129">
        <v>117.6</v>
      </c>
      <c r="EC129">
        <v>4.9716100000000001</v>
      </c>
      <c r="ED129">
        <v>1.8722300000000001</v>
      </c>
      <c r="EE129">
        <v>1.86951</v>
      </c>
      <c r="EF129">
        <v>1.8718399999999999</v>
      </c>
      <c r="EG129">
        <v>1.8696600000000001</v>
      </c>
      <c r="EH129">
        <v>1.8684400000000001</v>
      </c>
      <c r="EI129">
        <v>1.8702700000000001</v>
      </c>
      <c r="EJ129">
        <v>1.87195</v>
      </c>
      <c r="EK129">
        <v>0</v>
      </c>
      <c r="EL129">
        <v>0</v>
      </c>
      <c r="EM129">
        <v>0</v>
      </c>
      <c r="EN129">
        <v>0</v>
      </c>
      <c r="EO129" t="s">
        <v>320</v>
      </c>
      <c r="EP129" t="s">
        <v>321</v>
      </c>
      <c r="EQ129" t="s">
        <v>322</v>
      </c>
      <c r="ER129" t="s">
        <v>322</v>
      </c>
      <c r="ES129" t="s">
        <v>322</v>
      </c>
      <c r="ET129" t="s">
        <v>322</v>
      </c>
      <c r="EU129">
        <v>0</v>
      </c>
      <c r="EV129">
        <v>100</v>
      </c>
      <c r="EW129">
        <v>100</v>
      </c>
      <c r="EX129">
        <v>6.907</v>
      </c>
      <c r="EY129">
        <v>-1.9119999999999999</v>
      </c>
      <c r="EZ129">
        <v>6.8628075000000024</v>
      </c>
      <c r="FA129">
        <v>0</v>
      </c>
      <c r="FB129">
        <v>0</v>
      </c>
      <c r="FC129">
        <v>0</v>
      </c>
      <c r="FD129">
        <v>-1.9093385</v>
      </c>
      <c r="FE129">
        <v>0</v>
      </c>
      <c r="FF129">
        <v>0</v>
      </c>
      <c r="FG129">
        <v>0</v>
      </c>
      <c r="FH129">
        <v>-1</v>
      </c>
      <c r="FI129">
        <v>-1</v>
      </c>
      <c r="FJ129">
        <v>-1</v>
      </c>
      <c r="FK129">
        <v>-1</v>
      </c>
      <c r="FL129">
        <v>0.7</v>
      </c>
      <c r="FM129">
        <v>0.6</v>
      </c>
      <c r="FN129">
        <v>0.14038100000000001</v>
      </c>
      <c r="FO129">
        <v>4.99756</v>
      </c>
      <c r="FP129">
        <v>1.5979000000000001</v>
      </c>
      <c r="FQ129">
        <v>2.1105999999999998</v>
      </c>
      <c r="FR129">
        <v>1.5478499999999999</v>
      </c>
      <c r="FS129">
        <v>2.4548299999999998</v>
      </c>
      <c r="FT129">
        <v>49.8018</v>
      </c>
      <c r="FU129">
        <v>15.156499999999999</v>
      </c>
      <c r="FV129">
        <v>2</v>
      </c>
      <c r="FW129">
        <v>506.95600000000002</v>
      </c>
      <c r="FX129">
        <v>346.459</v>
      </c>
      <c r="FY129">
        <v>31.9617</v>
      </c>
      <c r="FZ129">
        <v>39.487099999999998</v>
      </c>
      <c r="GA129">
        <v>29.999500000000001</v>
      </c>
      <c r="GB129">
        <v>39.803699999999999</v>
      </c>
      <c r="GC129">
        <v>39.859699999999997</v>
      </c>
      <c r="GD129">
        <v>-1</v>
      </c>
      <c r="GE129">
        <v>0</v>
      </c>
      <c r="GF129">
        <v>100</v>
      </c>
      <c r="GG129">
        <v>31.9541</v>
      </c>
      <c r="GH129">
        <v>432.1</v>
      </c>
      <c r="GI129">
        <v>44.267099999999999</v>
      </c>
      <c r="GJ129">
        <v>100.72199999999999</v>
      </c>
      <c r="GK129">
        <v>95.198599999999999</v>
      </c>
    </row>
    <row r="130" spans="1:193" x14ac:dyDescent="0.35">
      <c r="A130">
        <v>114</v>
      </c>
      <c r="B130">
        <v>1775538807</v>
      </c>
      <c r="C130">
        <v>6780.9000000953674</v>
      </c>
      <c r="D130" t="s">
        <v>659</v>
      </c>
      <c r="E130" t="s">
        <v>660</v>
      </c>
      <c r="F130">
        <v>60</v>
      </c>
      <c r="G130">
        <v>1775538799.25</v>
      </c>
      <c r="H130">
        <f t="shared" si="30"/>
        <v>3.8762029900385087E-3</v>
      </c>
      <c r="I130">
        <f t="shared" si="31"/>
        <v>3.8762029900385087</v>
      </c>
      <c r="J130">
        <f t="shared" si="32"/>
        <v>-3.2017543378961051</v>
      </c>
      <c r="K130">
        <f t="shared" si="33"/>
        <v>-6.8834500000000016</v>
      </c>
      <c r="L130">
        <f t="shared" si="34"/>
        <v>53.237663804664038</v>
      </c>
      <c r="M130">
        <f t="shared" si="35"/>
        <v>5.3351001882391564</v>
      </c>
      <c r="N130">
        <f t="shared" si="36"/>
        <v>-0.68981042303959117</v>
      </c>
      <c r="O130">
        <f t="shared" si="37"/>
        <v>8.4202690458229257E-2</v>
      </c>
      <c r="P130">
        <f t="shared" si="38"/>
        <v>2.3911496859355088</v>
      </c>
      <c r="Q130">
        <f t="shared" si="39"/>
        <v>8.2589441181456405E-2</v>
      </c>
      <c r="R130">
        <f t="shared" si="40"/>
        <v>5.1760770383123364E-2</v>
      </c>
      <c r="S130">
        <f t="shared" si="41"/>
        <v>0.31918203590000005</v>
      </c>
      <c r="T130">
        <f t="shared" si="42"/>
        <v>31.998278297646568</v>
      </c>
      <c r="U130">
        <f t="shared" si="43"/>
        <v>33.066029999999998</v>
      </c>
      <c r="V130">
        <f t="shared" si="44"/>
        <v>5.070881103208456</v>
      </c>
      <c r="W130">
        <f t="shared" si="45"/>
        <v>9.7486275094475694</v>
      </c>
      <c r="X130">
        <f t="shared" si="46"/>
        <v>0.49823861740148856</v>
      </c>
      <c r="Y130">
        <f t="shared" si="47"/>
        <v>5.1108591124097895</v>
      </c>
      <c r="Z130">
        <f t="shared" si="48"/>
        <v>4.5726424858069672</v>
      </c>
      <c r="AA130">
        <f t="shared" si="49"/>
        <v>-170.94055186069824</v>
      </c>
      <c r="AB130">
        <f t="shared" si="50"/>
        <v>18.034741495355469</v>
      </c>
      <c r="AC130">
        <f t="shared" si="51"/>
        <v>1.7296471410041998</v>
      </c>
      <c r="AD130">
        <f t="shared" si="52"/>
        <v>-150.85698118843857</v>
      </c>
      <c r="AE130">
        <v>6</v>
      </c>
      <c r="AF130">
        <v>1</v>
      </c>
      <c r="AG130">
        <f t="shared" si="53"/>
        <v>1</v>
      </c>
      <c r="AH130">
        <f t="shared" si="54"/>
        <v>0</v>
      </c>
      <c r="AI130">
        <f t="shared" si="55"/>
        <v>25045.692391269589</v>
      </c>
      <c r="AJ130">
        <f t="shared" si="56"/>
        <v>1.6702356666666669</v>
      </c>
      <c r="AK130">
        <f t="shared" si="57"/>
        <v>1.3361885333333337</v>
      </c>
      <c r="AL130">
        <f t="shared" si="58"/>
        <v>0.8</v>
      </c>
      <c r="AM130">
        <f t="shared" si="59"/>
        <v>0.19109999999999999</v>
      </c>
      <c r="AN130">
        <v>3</v>
      </c>
      <c r="AO130">
        <v>0.5</v>
      </c>
      <c r="AP130" t="s">
        <v>317</v>
      </c>
      <c r="AQ130">
        <v>2</v>
      </c>
      <c r="AR130">
        <v>1775538799.25</v>
      </c>
      <c r="AS130">
        <v>-6.8834500000000016</v>
      </c>
      <c r="AT130">
        <v>-8.8204969999999996</v>
      </c>
      <c r="AU130">
        <v>4.971801666666666</v>
      </c>
      <c r="AV130">
        <v>2.6576603333333328</v>
      </c>
      <c r="AW130">
        <v>-13.78145</v>
      </c>
      <c r="AX130">
        <v>4.5686603333333329</v>
      </c>
      <c r="AY130">
        <v>500.00376666666671</v>
      </c>
      <c r="AZ130">
        <v>100.1647</v>
      </c>
      <c r="BA130">
        <v>4.8190780000000003E-2</v>
      </c>
      <c r="BB130">
        <v>33.205930000000002</v>
      </c>
      <c r="BC130">
        <v>33.066029999999998</v>
      </c>
      <c r="BD130">
        <v>999.9000000000002</v>
      </c>
      <c r="BE130">
        <v>0</v>
      </c>
      <c r="BF130">
        <v>0</v>
      </c>
      <c r="BG130">
        <v>4999.8</v>
      </c>
      <c r="BH130">
        <v>1.6702356666666669</v>
      </c>
      <c r="BI130">
        <v>1772.072666666666</v>
      </c>
      <c r="BJ130">
        <v>1.945891</v>
      </c>
      <c r="BK130">
        <v>-6.892920666666666</v>
      </c>
      <c r="BL130">
        <v>-8.8645709999999998</v>
      </c>
      <c r="BM130">
        <v>-2.3150793333333342</v>
      </c>
      <c r="BN130">
        <v>-8.8204969999999996</v>
      </c>
      <c r="BO130">
        <v>4.971801666666666</v>
      </c>
      <c r="BP130">
        <v>0.26610976666666658</v>
      </c>
      <c r="BQ130">
        <v>0.49799873333333328</v>
      </c>
      <c r="BR130">
        <v>-10.97964333333333</v>
      </c>
      <c r="BS130">
        <v>-2.8412653333333329</v>
      </c>
      <c r="BT130">
        <v>1775538833</v>
      </c>
      <c r="BU130" t="s">
        <v>661</v>
      </c>
      <c r="BV130">
        <v>1775538827</v>
      </c>
      <c r="BW130">
        <v>1775538833</v>
      </c>
      <c r="BX130">
        <v>115</v>
      </c>
      <c r="BY130">
        <v>-8.9999999999999993E-3</v>
      </c>
      <c r="BZ130">
        <v>1E-3</v>
      </c>
      <c r="CA130">
        <v>6.8979999999999997</v>
      </c>
      <c r="CB130">
        <v>-1.911</v>
      </c>
      <c r="CC130">
        <v>-8</v>
      </c>
      <c r="CD130">
        <v>5</v>
      </c>
      <c r="CE130">
        <v>0.26</v>
      </c>
      <c r="CF130">
        <v>0.03</v>
      </c>
      <c r="CG130">
        <v>-8.8695438333333314</v>
      </c>
      <c r="CH130">
        <v>0.35076500138927241</v>
      </c>
      <c r="CI130">
        <v>5.1755446672843659E-2</v>
      </c>
      <c r="CJ130">
        <v>-1</v>
      </c>
      <c r="CK130">
        <v>500.94150000000008</v>
      </c>
      <c r="CL130">
        <v>-8.9774737427049214</v>
      </c>
      <c r="CM130">
        <v>1.8749383412084111</v>
      </c>
      <c r="CN130">
        <v>-1</v>
      </c>
      <c r="CO130">
        <v>0</v>
      </c>
      <c r="CP130">
        <v>0</v>
      </c>
      <c r="CQ130" t="s">
        <v>319</v>
      </c>
      <c r="CR130">
        <v>3.16934</v>
      </c>
      <c r="CS130">
        <v>2.66961</v>
      </c>
      <c r="CT130">
        <v>-3.9663099999999998E-3</v>
      </c>
      <c r="CU130">
        <v>-2.53996E-3</v>
      </c>
      <c r="CV130">
        <v>3.03971E-2</v>
      </c>
      <c r="CW130">
        <v>3.2656600000000001E-2</v>
      </c>
      <c r="CX130">
        <v>21293.1</v>
      </c>
      <c r="CY130">
        <v>21718.7</v>
      </c>
      <c r="CZ130">
        <v>22747.7</v>
      </c>
      <c r="DA130">
        <v>22037.8</v>
      </c>
      <c r="DB130">
        <v>28471.4</v>
      </c>
      <c r="DC130">
        <v>25372.1</v>
      </c>
      <c r="DD130">
        <v>40041.699999999997</v>
      </c>
      <c r="DE130">
        <v>36464.199999999997</v>
      </c>
      <c r="DF130">
        <v>1.9866999999999999</v>
      </c>
      <c r="DG130">
        <v>1.5977600000000001</v>
      </c>
      <c r="DH130">
        <v>-5.8159200000000001E-2</v>
      </c>
      <c r="DI130">
        <v>0</v>
      </c>
      <c r="DJ130">
        <v>33.998800000000003</v>
      </c>
      <c r="DK130">
        <v>999.9</v>
      </c>
      <c r="DL130">
        <v>48.3</v>
      </c>
      <c r="DM130">
        <v>47</v>
      </c>
      <c r="DN130">
        <v>51.490600000000001</v>
      </c>
      <c r="DO130">
        <v>30.624700000000001</v>
      </c>
      <c r="DP130">
        <v>10.8293</v>
      </c>
      <c r="DQ130">
        <v>1</v>
      </c>
      <c r="DR130">
        <v>1.0111600000000001</v>
      </c>
      <c r="DS130">
        <v>2.2886899999999999</v>
      </c>
      <c r="DT130">
        <v>20.340800000000002</v>
      </c>
      <c r="DU130">
        <v>5.2059100000000003</v>
      </c>
      <c r="DV130">
        <v>11.8558</v>
      </c>
      <c r="DW130">
        <v>4.9653200000000002</v>
      </c>
      <c r="DX130">
        <v>3.2923</v>
      </c>
      <c r="DY130">
        <v>894.7</v>
      </c>
      <c r="DZ130">
        <v>6</v>
      </c>
      <c r="EA130">
        <v>9999</v>
      </c>
      <c r="EB130">
        <v>117.6</v>
      </c>
      <c r="EC130">
        <v>4.9716199999999997</v>
      </c>
      <c r="ED130">
        <v>1.87218</v>
      </c>
      <c r="EE130">
        <v>1.8695200000000001</v>
      </c>
      <c r="EF130">
        <v>1.87182</v>
      </c>
      <c r="EG130">
        <v>1.86965</v>
      </c>
      <c r="EH130">
        <v>1.8684499999999999</v>
      </c>
      <c r="EI130">
        <v>1.8702700000000001</v>
      </c>
      <c r="EJ130">
        <v>1.87195</v>
      </c>
      <c r="EK130">
        <v>0</v>
      </c>
      <c r="EL130">
        <v>0</v>
      </c>
      <c r="EM130">
        <v>0</v>
      </c>
      <c r="EN130">
        <v>0</v>
      </c>
      <c r="EO130" t="s">
        <v>320</v>
      </c>
      <c r="EP130" t="s">
        <v>321</v>
      </c>
      <c r="EQ130" t="s">
        <v>322</v>
      </c>
      <c r="ER130" t="s">
        <v>322</v>
      </c>
      <c r="ES130" t="s">
        <v>322</v>
      </c>
      <c r="ET130" t="s">
        <v>322</v>
      </c>
      <c r="EU130">
        <v>0</v>
      </c>
      <c r="EV130">
        <v>100</v>
      </c>
      <c r="EW130">
        <v>100</v>
      </c>
      <c r="EX130">
        <v>6.8979999999999997</v>
      </c>
      <c r="EY130">
        <v>-1.911</v>
      </c>
      <c r="EZ130">
        <v>6.9068380952380952</v>
      </c>
      <c r="FA130">
        <v>0</v>
      </c>
      <c r="FB130">
        <v>0</v>
      </c>
      <c r="FC130">
        <v>0</v>
      </c>
      <c r="FD130">
        <v>-1.911936666666666</v>
      </c>
      <c r="FE130">
        <v>0</v>
      </c>
      <c r="FF130">
        <v>0</v>
      </c>
      <c r="FG130">
        <v>0</v>
      </c>
      <c r="FH130">
        <v>-1</v>
      </c>
      <c r="FI130">
        <v>-1</v>
      </c>
      <c r="FJ130">
        <v>-1</v>
      </c>
      <c r="FK130">
        <v>-1</v>
      </c>
      <c r="FL130">
        <v>0.7</v>
      </c>
      <c r="FM130">
        <v>0.5</v>
      </c>
      <c r="FN130">
        <v>0.14038100000000001</v>
      </c>
      <c r="FO130">
        <v>4.99634</v>
      </c>
      <c r="FP130">
        <v>1.5979000000000001</v>
      </c>
      <c r="FQ130">
        <v>2.1105999999999998</v>
      </c>
      <c r="FR130">
        <v>1.5478499999999999</v>
      </c>
      <c r="FS130">
        <v>2.5366200000000001</v>
      </c>
      <c r="FT130">
        <v>49.706200000000003</v>
      </c>
      <c r="FU130">
        <v>15.1477</v>
      </c>
      <c r="FV130">
        <v>2</v>
      </c>
      <c r="FW130">
        <v>506.48899999999998</v>
      </c>
      <c r="FX130">
        <v>346.50799999999998</v>
      </c>
      <c r="FY130">
        <v>31.744900000000001</v>
      </c>
      <c r="FZ130">
        <v>39.428400000000003</v>
      </c>
      <c r="GA130">
        <v>29.999500000000001</v>
      </c>
      <c r="GB130">
        <v>39.739699999999999</v>
      </c>
      <c r="GC130">
        <v>39.800600000000003</v>
      </c>
      <c r="GD130">
        <v>-1</v>
      </c>
      <c r="GE130">
        <v>0</v>
      </c>
      <c r="GF130">
        <v>100</v>
      </c>
      <c r="GG130">
        <v>31.7469</v>
      </c>
      <c r="GH130">
        <v>432.1</v>
      </c>
      <c r="GI130">
        <v>44.267099999999999</v>
      </c>
      <c r="GJ130">
        <v>100.733</v>
      </c>
      <c r="GK130">
        <v>95.205699999999993</v>
      </c>
    </row>
    <row r="131" spans="1:193" x14ac:dyDescent="0.35">
      <c r="A131">
        <v>115</v>
      </c>
      <c r="B131">
        <v>1775538867</v>
      </c>
      <c r="C131">
        <v>6840.9000000953674</v>
      </c>
      <c r="D131" t="s">
        <v>662</v>
      </c>
      <c r="E131" t="s">
        <v>663</v>
      </c>
      <c r="F131">
        <v>60</v>
      </c>
      <c r="G131">
        <v>1775538859</v>
      </c>
      <c r="H131">
        <f t="shared" si="30"/>
        <v>4.2726026366368833E-3</v>
      </c>
      <c r="I131">
        <f t="shared" si="31"/>
        <v>4.2726026366368837</v>
      </c>
      <c r="J131">
        <f t="shared" si="32"/>
        <v>-3.345189225565222</v>
      </c>
      <c r="K131">
        <f t="shared" si="33"/>
        <v>-6.4603225806451636</v>
      </c>
      <c r="L131">
        <f t="shared" si="34"/>
        <v>50.456690364360696</v>
      </c>
      <c r="M131">
        <f t="shared" si="35"/>
        <v>5.0563975479426402</v>
      </c>
      <c r="N131">
        <f t="shared" si="36"/>
        <v>-0.64740590434694401</v>
      </c>
      <c r="O131">
        <f t="shared" si="37"/>
        <v>9.3084932207279439E-2</v>
      </c>
      <c r="P131">
        <f t="shared" si="38"/>
        <v>2.390981919820871</v>
      </c>
      <c r="Q131">
        <f t="shared" si="39"/>
        <v>9.1117529699110134E-2</v>
      </c>
      <c r="R131">
        <f t="shared" si="40"/>
        <v>5.71217560241436E-2</v>
      </c>
      <c r="S131">
        <f t="shared" si="41"/>
        <v>0.31016873864516126</v>
      </c>
      <c r="T131">
        <f t="shared" si="42"/>
        <v>31.878869682434445</v>
      </c>
      <c r="U131">
        <f t="shared" si="43"/>
        <v>33.059145161290317</v>
      </c>
      <c r="V131">
        <f t="shared" si="44"/>
        <v>5.0689207267849117</v>
      </c>
      <c r="W131">
        <f t="shared" si="45"/>
        <v>9.7887568454045137</v>
      </c>
      <c r="X131">
        <f t="shared" si="46"/>
        <v>0.50041495888498355</v>
      </c>
      <c r="Y131">
        <f t="shared" si="47"/>
        <v>5.1121400478949601</v>
      </c>
      <c r="Z131">
        <f t="shared" si="48"/>
        <v>4.5685057678999286</v>
      </c>
      <c r="AA131">
        <f t="shared" si="49"/>
        <v>-188.42177627568657</v>
      </c>
      <c r="AB131">
        <f t="shared" si="50"/>
        <v>19.496728768231968</v>
      </c>
      <c r="AC131">
        <f t="shared" si="51"/>
        <v>1.8699701399080824</v>
      </c>
      <c r="AD131">
        <f t="shared" si="52"/>
        <v>-166.74490862890136</v>
      </c>
      <c r="AE131">
        <v>6</v>
      </c>
      <c r="AF131">
        <v>1</v>
      </c>
      <c r="AG131">
        <f t="shared" si="53"/>
        <v>1</v>
      </c>
      <c r="AH131">
        <f t="shared" si="54"/>
        <v>0</v>
      </c>
      <c r="AI131">
        <f t="shared" si="55"/>
        <v>25042.790336613911</v>
      </c>
      <c r="AJ131">
        <f t="shared" si="56"/>
        <v>1.6230703225806451</v>
      </c>
      <c r="AK131">
        <f t="shared" si="57"/>
        <v>1.2984562580645163</v>
      </c>
      <c r="AL131">
        <f t="shared" si="58"/>
        <v>0.8</v>
      </c>
      <c r="AM131">
        <f t="shared" si="59"/>
        <v>0.19109999999999999</v>
      </c>
      <c r="AN131">
        <v>3</v>
      </c>
      <c r="AO131">
        <v>0.5</v>
      </c>
      <c r="AP131" t="s">
        <v>317</v>
      </c>
      <c r="AQ131">
        <v>2</v>
      </c>
      <c r="AR131">
        <v>1775538859</v>
      </c>
      <c r="AS131">
        <v>-6.4603225806451636</v>
      </c>
      <c r="AT131">
        <v>-8.484118064516128</v>
      </c>
      <c r="AU131">
        <v>4.9935319354838699</v>
      </c>
      <c r="AV131">
        <v>2.442619677419354</v>
      </c>
      <c r="AW131">
        <v>-13.35532258064516</v>
      </c>
      <c r="AX131">
        <v>4.354619677419354</v>
      </c>
      <c r="AY131">
        <v>499.97022580645171</v>
      </c>
      <c r="AZ131">
        <v>100.16561290322581</v>
      </c>
      <c r="BA131">
        <v>4.7015222580645173E-2</v>
      </c>
      <c r="BB131">
        <v>33.210396774193548</v>
      </c>
      <c r="BC131">
        <v>33.059145161290317</v>
      </c>
      <c r="BD131">
        <v>999.90000000000032</v>
      </c>
      <c r="BE131">
        <v>0</v>
      </c>
      <c r="BF131">
        <v>0</v>
      </c>
      <c r="BG131">
        <v>4999.322580645161</v>
      </c>
      <c r="BH131">
        <v>1.6230703225806451</v>
      </c>
      <c r="BI131">
        <v>1762.34</v>
      </c>
      <c r="BJ131">
        <v>2.0270600000000001</v>
      </c>
      <c r="BK131">
        <v>-6.472876129032259</v>
      </c>
      <c r="BL131">
        <v>-8.526696129032258</v>
      </c>
      <c r="BM131">
        <v>-2.549864193548387</v>
      </c>
      <c r="BN131">
        <v>-8.484118064516128</v>
      </c>
      <c r="BO131">
        <v>4.9935319354838699</v>
      </c>
      <c r="BP131">
        <v>0.24477132258064521</v>
      </c>
      <c r="BQ131">
        <v>0.50017980645161297</v>
      </c>
      <c r="BR131">
        <v>-12.023493548387091</v>
      </c>
      <c r="BS131">
        <v>-2.7824864516129031</v>
      </c>
      <c r="BT131">
        <v>1775538893.5</v>
      </c>
      <c r="BU131" t="s">
        <v>664</v>
      </c>
      <c r="BV131">
        <v>1775538886</v>
      </c>
      <c r="BW131">
        <v>1775538893.5</v>
      </c>
      <c r="BX131">
        <v>116</v>
      </c>
      <c r="BY131">
        <v>-3.0000000000000001E-3</v>
      </c>
      <c r="BZ131">
        <v>-1E-3</v>
      </c>
      <c r="CA131">
        <v>6.8949999999999996</v>
      </c>
      <c r="CB131">
        <v>-1.9119999999999999</v>
      </c>
      <c r="CC131">
        <v>-8</v>
      </c>
      <c r="CD131">
        <v>5</v>
      </c>
      <c r="CE131">
        <v>0.2</v>
      </c>
      <c r="CF131">
        <v>0.03</v>
      </c>
      <c r="CG131">
        <v>-8.5641170491803287</v>
      </c>
      <c r="CH131">
        <v>0.73502087784241621</v>
      </c>
      <c r="CI131">
        <v>0.11653032195765579</v>
      </c>
      <c r="CJ131">
        <v>-1</v>
      </c>
      <c r="CK131">
        <v>500.67944262295089</v>
      </c>
      <c r="CL131">
        <v>-7.2528355367533326</v>
      </c>
      <c r="CM131">
        <v>1.6969506936101411</v>
      </c>
      <c r="CN131">
        <v>-1</v>
      </c>
      <c r="CO131">
        <v>0</v>
      </c>
      <c r="CP131">
        <v>0</v>
      </c>
      <c r="CQ131" t="s">
        <v>319</v>
      </c>
      <c r="CR131">
        <v>3.1693099999999998</v>
      </c>
      <c r="CS131">
        <v>2.6680799999999998</v>
      </c>
      <c r="CT131">
        <v>-3.8273299999999999E-3</v>
      </c>
      <c r="CU131">
        <v>-2.3901999999999999E-3</v>
      </c>
      <c r="CV131">
        <v>2.9081900000000001E-2</v>
      </c>
      <c r="CW131">
        <v>3.2750799999999997E-2</v>
      </c>
      <c r="CX131">
        <v>21290.1</v>
      </c>
      <c r="CY131">
        <v>21714.9</v>
      </c>
      <c r="CZ131">
        <v>22747.599999999999</v>
      </c>
      <c r="DA131">
        <v>22037.200000000001</v>
      </c>
      <c r="DB131">
        <v>28509.9</v>
      </c>
      <c r="DC131">
        <v>25369</v>
      </c>
      <c r="DD131">
        <v>40041.4</v>
      </c>
      <c r="DE131">
        <v>36463.199999999997</v>
      </c>
      <c r="DF131">
        <v>1.9863</v>
      </c>
      <c r="DG131">
        <v>1.5963799999999999</v>
      </c>
      <c r="DH131">
        <v>-6.7672099999999999E-2</v>
      </c>
      <c r="DI131">
        <v>0</v>
      </c>
      <c r="DJ131">
        <v>34.1342</v>
      </c>
      <c r="DK131">
        <v>999.9</v>
      </c>
      <c r="DL131">
        <v>48.4</v>
      </c>
      <c r="DM131">
        <v>46.9</v>
      </c>
      <c r="DN131">
        <v>51.333199999999998</v>
      </c>
      <c r="DO131">
        <v>30.8047</v>
      </c>
      <c r="DP131">
        <v>10.8454</v>
      </c>
      <c r="DQ131">
        <v>1</v>
      </c>
      <c r="DR131">
        <v>1.0115499999999999</v>
      </c>
      <c r="DS131">
        <v>2.5277599999999998</v>
      </c>
      <c r="DT131">
        <v>20.336500000000001</v>
      </c>
      <c r="DU131">
        <v>5.2037500000000003</v>
      </c>
      <c r="DV131">
        <v>11.854699999999999</v>
      </c>
      <c r="DW131">
        <v>4.9656000000000002</v>
      </c>
      <c r="DX131">
        <v>3.29244</v>
      </c>
      <c r="DY131">
        <v>894.7</v>
      </c>
      <c r="DZ131">
        <v>6</v>
      </c>
      <c r="EA131">
        <v>9999</v>
      </c>
      <c r="EB131">
        <v>117.6</v>
      </c>
      <c r="EC131">
        <v>4.9716100000000001</v>
      </c>
      <c r="ED131">
        <v>1.8722099999999999</v>
      </c>
      <c r="EE131">
        <v>1.86951</v>
      </c>
      <c r="EF131">
        <v>1.8718300000000001</v>
      </c>
      <c r="EG131">
        <v>1.8696600000000001</v>
      </c>
      <c r="EH131">
        <v>1.8684400000000001</v>
      </c>
      <c r="EI131">
        <v>1.8702700000000001</v>
      </c>
      <c r="EJ131">
        <v>1.8719600000000001</v>
      </c>
      <c r="EK131">
        <v>0</v>
      </c>
      <c r="EL131">
        <v>0</v>
      </c>
      <c r="EM131">
        <v>0</v>
      </c>
      <c r="EN131">
        <v>0</v>
      </c>
      <c r="EO131" t="s">
        <v>320</v>
      </c>
      <c r="EP131" t="s">
        <v>321</v>
      </c>
      <c r="EQ131" t="s">
        <v>322</v>
      </c>
      <c r="ER131" t="s">
        <v>322</v>
      </c>
      <c r="ES131" t="s">
        <v>322</v>
      </c>
      <c r="ET131" t="s">
        <v>322</v>
      </c>
      <c r="EU131">
        <v>0</v>
      </c>
      <c r="EV131">
        <v>100</v>
      </c>
      <c r="EW131">
        <v>100</v>
      </c>
      <c r="EX131">
        <v>6.8949999999999996</v>
      </c>
      <c r="EY131">
        <v>-1.9119999999999999</v>
      </c>
      <c r="EZ131">
        <v>6.8982665000000019</v>
      </c>
      <c r="FA131">
        <v>0</v>
      </c>
      <c r="FB131">
        <v>0</v>
      </c>
      <c r="FC131">
        <v>0</v>
      </c>
      <c r="FD131">
        <v>-1.910951500000001</v>
      </c>
      <c r="FE131">
        <v>0</v>
      </c>
      <c r="FF131">
        <v>0</v>
      </c>
      <c r="FG131">
        <v>0</v>
      </c>
      <c r="FH131">
        <v>-1</v>
      </c>
      <c r="FI131">
        <v>-1</v>
      </c>
      <c r="FJ131">
        <v>-1</v>
      </c>
      <c r="FK131">
        <v>-1</v>
      </c>
      <c r="FL131">
        <v>0.7</v>
      </c>
      <c r="FM131">
        <v>0.6</v>
      </c>
      <c r="FN131">
        <v>0.14038100000000001</v>
      </c>
      <c r="FO131">
        <v>4.99756</v>
      </c>
      <c r="FP131">
        <v>1.5979000000000001</v>
      </c>
      <c r="FQ131">
        <v>2.1105999999999998</v>
      </c>
      <c r="FR131">
        <v>1.5478499999999999</v>
      </c>
      <c r="FS131">
        <v>2.5341800000000001</v>
      </c>
      <c r="FT131">
        <v>49.706200000000003</v>
      </c>
      <c r="FU131">
        <v>15.138999999999999</v>
      </c>
      <c r="FV131">
        <v>2</v>
      </c>
      <c r="FW131">
        <v>506.02499999999998</v>
      </c>
      <c r="FX131">
        <v>345.61599999999999</v>
      </c>
      <c r="FY131">
        <v>31.543600000000001</v>
      </c>
      <c r="FZ131">
        <v>39.411299999999997</v>
      </c>
      <c r="GA131">
        <v>29.9999</v>
      </c>
      <c r="GB131">
        <v>39.707500000000003</v>
      </c>
      <c r="GC131">
        <v>39.768000000000001</v>
      </c>
      <c r="GD131">
        <v>-1</v>
      </c>
      <c r="GE131">
        <v>0</v>
      </c>
      <c r="GF131">
        <v>100</v>
      </c>
      <c r="GG131">
        <v>31.546700000000001</v>
      </c>
      <c r="GH131">
        <v>432.1</v>
      </c>
      <c r="GI131">
        <v>44.267099999999999</v>
      </c>
      <c r="GJ131">
        <v>100.733</v>
      </c>
      <c r="GK131">
        <v>95.203100000000006</v>
      </c>
    </row>
    <row r="132" spans="1:193" x14ac:dyDescent="0.35">
      <c r="A132">
        <v>116</v>
      </c>
      <c r="B132">
        <v>1775538927</v>
      </c>
      <c r="C132">
        <v>6900.9000000953674</v>
      </c>
      <c r="D132" t="s">
        <v>665</v>
      </c>
      <c r="E132" t="s">
        <v>666</v>
      </c>
      <c r="F132">
        <v>60</v>
      </c>
      <c r="G132">
        <v>1775538919.25</v>
      </c>
      <c r="H132">
        <f t="shared" si="30"/>
        <v>3.989833778608772E-3</v>
      </c>
      <c r="I132">
        <f t="shared" si="31"/>
        <v>3.9898337786087716</v>
      </c>
      <c r="J132">
        <f t="shared" si="32"/>
        <v>-3.3820709972379954</v>
      </c>
      <c r="K132">
        <f t="shared" si="33"/>
        <v>-6.2480666666666691</v>
      </c>
      <c r="L132">
        <f t="shared" si="34"/>
        <v>55.426873548127787</v>
      </c>
      <c r="M132">
        <f t="shared" si="35"/>
        <v>5.5543489764912977</v>
      </c>
      <c r="N132">
        <f t="shared" si="36"/>
        <v>-0.62612123819171539</v>
      </c>
      <c r="O132">
        <f t="shared" si="37"/>
        <v>8.6658955847448149E-2</v>
      </c>
      <c r="P132">
        <f t="shared" si="38"/>
        <v>2.3942386835447991</v>
      </c>
      <c r="Q132">
        <f t="shared" si="39"/>
        <v>8.4953399197415735E-2</v>
      </c>
      <c r="R132">
        <f t="shared" si="40"/>
        <v>5.3246316143271744E-2</v>
      </c>
      <c r="S132">
        <f t="shared" si="41"/>
        <v>0.31290631190000001</v>
      </c>
      <c r="T132">
        <f t="shared" si="42"/>
        <v>31.963621681053347</v>
      </c>
      <c r="U132">
        <f t="shared" si="43"/>
        <v>33.087066666666672</v>
      </c>
      <c r="V132">
        <f t="shared" si="44"/>
        <v>5.0768751329086204</v>
      </c>
      <c r="W132">
        <f t="shared" si="45"/>
        <v>9.8125950167229004</v>
      </c>
      <c r="X132">
        <f t="shared" si="46"/>
        <v>0.50149083736318922</v>
      </c>
      <c r="Y132">
        <f t="shared" si="47"/>
        <v>5.1106851603325572</v>
      </c>
      <c r="Z132">
        <f t="shared" si="48"/>
        <v>4.5753842955454314</v>
      </c>
      <c r="AA132">
        <f t="shared" si="49"/>
        <v>-175.95166963664684</v>
      </c>
      <c r="AB132">
        <f t="shared" si="50"/>
        <v>15.264357187339565</v>
      </c>
      <c r="AC132">
        <f t="shared" si="51"/>
        <v>1.4622071354543111</v>
      </c>
      <c r="AD132">
        <f t="shared" si="52"/>
        <v>-158.91219900195298</v>
      </c>
      <c r="AE132">
        <v>6</v>
      </c>
      <c r="AF132">
        <v>1</v>
      </c>
      <c r="AG132">
        <f t="shared" si="53"/>
        <v>1</v>
      </c>
      <c r="AH132">
        <f t="shared" si="54"/>
        <v>0</v>
      </c>
      <c r="AI132">
        <f t="shared" si="55"/>
        <v>25091.86028932234</v>
      </c>
      <c r="AJ132">
        <f t="shared" si="56"/>
        <v>1.6373956666666669</v>
      </c>
      <c r="AK132">
        <f t="shared" si="57"/>
        <v>1.3099165333333336</v>
      </c>
      <c r="AL132">
        <f t="shared" si="58"/>
        <v>0.8</v>
      </c>
      <c r="AM132">
        <f t="shared" si="59"/>
        <v>0.19109999999999999</v>
      </c>
      <c r="AN132">
        <v>3</v>
      </c>
      <c r="AO132">
        <v>0.5</v>
      </c>
      <c r="AP132" t="s">
        <v>317</v>
      </c>
      <c r="AQ132">
        <v>2</v>
      </c>
      <c r="AR132">
        <v>1775538919.25</v>
      </c>
      <c r="AS132">
        <v>-6.2480666666666691</v>
      </c>
      <c r="AT132">
        <v>-8.2922396666666671</v>
      </c>
      <c r="AU132">
        <v>5.0043793333333344</v>
      </c>
      <c r="AV132">
        <v>2.6224903333333338</v>
      </c>
      <c r="AW132">
        <v>-13.15106666666667</v>
      </c>
      <c r="AX132">
        <v>4.5344903333333342</v>
      </c>
      <c r="AY132">
        <v>500.00656666666657</v>
      </c>
      <c r="AZ132">
        <v>100.1631</v>
      </c>
      <c r="BA132">
        <v>4.7296526666666658E-2</v>
      </c>
      <c r="BB132">
        <v>33.205323333333332</v>
      </c>
      <c r="BC132">
        <v>33.087066666666672</v>
      </c>
      <c r="BD132">
        <v>999.9000000000002</v>
      </c>
      <c r="BE132">
        <v>0</v>
      </c>
      <c r="BF132">
        <v>0</v>
      </c>
      <c r="BG132">
        <v>5007.833333333333</v>
      </c>
      <c r="BH132">
        <v>1.6373956666666669</v>
      </c>
      <c r="BI132">
        <v>1790.003666666667</v>
      </c>
      <c r="BJ132">
        <v>2.036119666666667</v>
      </c>
      <c r="BK132">
        <v>-6.2725690000000007</v>
      </c>
      <c r="BL132">
        <v>-8.3339470000000002</v>
      </c>
      <c r="BM132">
        <v>-2.3823116666666659</v>
      </c>
      <c r="BN132">
        <v>-8.2922396666666671</v>
      </c>
      <c r="BO132">
        <v>5.0043793333333344</v>
      </c>
      <c r="BP132">
        <v>0.26263429999999999</v>
      </c>
      <c r="BQ132">
        <v>0.50125400000000009</v>
      </c>
      <c r="BR132">
        <v>-11.14421333333333</v>
      </c>
      <c r="BS132">
        <v>-2.753629000000001</v>
      </c>
      <c r="BT132">
        <v>1775538951</v>
      </c>
      <c r="BU132" t="s">
        <v>667</v>
      </c>
      <c r="BV132">
        <v>1775538945</v>
      </c>
      <c r="BW132">
        <v>1775538951</v>
      </c>
      <c r="BX132">
        <v>117</v>
      </c>
      <c r="BY132">
        <v>8.0000000000000002E-3</v>
      </c>
      <c r="BZ132">
        <v>0</v>
      </c>
      <c r="CA132">
        <v>6.9029999999999996</v>
      </c>
      <c r="CB132">
        <v>-1.9119999999999999</v>
      </c>
      <c r="CC132">
        <v>-8</v>
      </c>
      <c r="CD132">
        <v>5</v>
      </c>
      <c r="CE132">
        <v>0.27</v>
      </c>
      <c r="CF132">
        <v>0.03</v>
      </c>
      <c r="CG132">
        <v>-8.2935014754098368</v>
      </c>
      <c r="CH132">
        <v>-2.3857979904823821E-2</v>
      </c>
      <c r="CI132">
        <v>3.882853137375715E-2</v>
      </c>
      <c r="CJ132">
        <v>-1</v>
      </c>
      <c r="CK132">
        <v>500.77827868852461</v>
      </c>
      <c r="CL132">
        <v>-7.7903670015869322</v>
      </c>
      <c r="CM132">
        <v>1.7943913176955639</v>
      </c>
      <c r="CN132">
        <v>-1</v>
      </c>
      <c r="CO132">
        <v>0</v>
      </c>
      <c r="CP132">
        <v>0</v>
      </c>
      <c r="CQ132" t="s">
        <v>319</v>
      </c>
      <c r="CR132">
        <v>3.1694499999999999</v>
      </c>
      <c r="CS132">
        <v>2.66852</v>
      </c>
      <c r="CT132">
        <v>-3.8163699999999999E-3</v>
      </c>
      <c r="CU132">
        <v>-2.4271800000000001E-3</v>
      </c>
      <c r="CV132">
        <v>3.0258899999999998E-2</v>
      </c>
      <c r="CW132">
        <v>3.2820700000000001E-2</v>
      </c>
      <c r="CX132">
        <v>21292.2</v>
      </c>
      <c r="CY132">
        <v>21717.9</v>
      </c>
      <c r="CZ132">
        <v>22749.9</v>
      </c>
      <c r="DA132">
        <v>22039.3</v>
      </c>
      <c r="DB132">
        <v>28478</v>
      </c>
      <c r="DC132">
        <v>25370.1</v>
      </c>
      <c r="DD132">
        <v>40045.199999999997</v>
      </c>
      <c r="DE132">
        <v>36467.300000000003</v>
      </c>
      <c r="DF132">
        <v>1.98722</v>
      </c>
      <c r="DG132">
        <v>1.59718</v>
      </c>
      <c r="DH132">
        <v>-6.6217799999999993E-2</v>
      </c>
      <c r="DI132">
        <v>0</v>
      </c>
      <c r="DJ132">
        <v>34.158900000000003</v>
      </c>
      <c r="DK132">
        <v>999.9</v>
      </c>
      <c r="DL132">
        <v>48.4</v>
      </c>
      <c r="DM132">
        <v>46.9</v>
      </c>
      <c r="DN132">
        <v>51.338099999999997</v>
      </c>
      <c r="DO132">
        <v>30.774699999999999</v>
      </c>
      <c r="DP132">
        <v>10.697100000000001</v>
      </c>
      <c r="DQ132">
        <v>1</v>
      </c>
      <c r="DR132">
        <v>1.0048999999999999</v>
      </c>
      <c r="DS132">
        <v>2.3279700000000001</v>
      </c>
      <c r="DT132">
        <v>20.3401</v>
      </c>
      <c r="DU132">
        <v>5.2079500000000003</v>
      </c>
      <c r="DV132">
        <v>11.855499999999999</v>
      </c>
      <c r="DW132">
        <v>4.9669999999999996</v>
      </c>
      <c r="DX132">
        <v>3.2924199999999999</v>
      </c>
      <c r="DY132">
        <v>894.7</v>
      </c>
      <c r="DZ132">
        <v>6</v>
      </c>
      <c r="EA132">
        <v>9999</v>
      </c>
      <c r="EB132">
        <v>117.7</v>
      </c>
      <c r="EC132">
        <v>4.9716199999999997</v>
      </c>
      <c r="ED132">
        <v>1.8722300000000001</v>
      </c>
      <c r="EE132">
        <v>1.86954</v>
      </c>
      <c r="EF132">
        <v>1.87181</v>
      </c>
      <c r="EG132">
        <v>1.8696600000000001</v>
      </c>
      <c r="EH132">
        <v>1.8684499999999999</v>
      </c>
      <c r="EI132">
        <v>1.8702700000000001</v>
      </c>
      <c r="EJ132">
        <v>1.8719600000000001</v>
      </c>
      <c r="EK132">
        <v>0</v>
      </c>
      <c r="EL132">
        <v>0</v>
      </c>
      <c r="EM132">
        <v>0</v>
      </c>
      <c r="EN132">
        <v>0</v>
      </c>
      <c r="EO132" t="s">
        <v>320</v>
      </c>
      <c r="EP132" t="s">
        <v>321</v>
      </c>
      <c r="EQ132" t="s">
        <v>322</v>
      </c>
      <c r="ER132" t="s">
        <v>322</v>
      </c>
      <c r="ES132" t="s">
        <v>322</v>
      </c>
      <c r="ET132" t="s">
        <v>322</v>
      </c>
      <c r="EU132">
        <v>0</v>
      </c>
      <c r="EV132">
        <v>100</v>
      </c>
      <c r="EW132">
        <v>100</v>
      </c>
      <c r="EX132">
        <v>6.9029999999999996</v>
      </c>
      <c r="EY132">
        <v>-1.9119999999999999</v>
      </c>
      <c r="EZ132">
        <v>6.8949490000000004</v>
      </c>
      <c r="FA132">
        <v>0</v>
      </c>
      <c r="FB132">
        <v>0</v>
      </c>
      <c r="FC132">
        <v>0</v>
      </c>
      <c r="FD132">
        <v>-1.9124228571428581</v>
      </c>
      <c r="FE132">
        <v>0</v>
      </c>
      <c r="FF132">
        <v>0</v>
      </c>
      <c r="FG132">
        <v>0</v>
      </c>
      <c r="FH132">
        <v>-1</v>
      </c>
      <c r="FI132">
        <v>-1</v>
      </c>
      <c r="FJ132">
        <v>-1</v>
      </c>
      <c r="FK132">
        <v>-1</v>
      </c>
      <c r="FL132">
        <v>0.7</v>
      </c>
      <c r="FM132">
        <v>0.6</v>
      </c>
      <c r="FN132">
        <v>0.14038100000000001</v>
      </c>
      <c r="FO132">
        <v>4.99756</v>
      </c>
      <c r="FP132">
        <v>1.5979000000000001</v>
      </c>
      <c r="FQ132">
        <v>2.1105999999999998</v>
      </c>
      <c r="FR132">
        <v>1.5478499999999999</v>
      </c>
      <c r="FS132">
        <v>2.5134300000000001</v>
      </c>
      <c r="FT132">
        <v>49.706200000000003</v>
      </c>
      <c r="FU132">
        <v>15.121499999999999</v>
      </c>
      <c r="FV132">
        <v>2</v>
      </c>
      <c r="FW132">
        <v>506.21199999999999</v>
      </c>
      <c r="FX132">
        <v>345.75099999999998</v>
      </c>
      <c r="FY132">
        <v>31.727599999999999</v>
      </c>
      <c r="FZ132">
        <v>39.366100000000003</v>
      </c>
      <c r="GA132">
        <v>29.999500000000001</v>
      </c>
      <c r="GB132">
        <v>39.650100000000002</v>
      </c>
      <c r="GC132">
        <v>39.7042</v>
      </c>
      <c r="GD132">
        <v>-1</v>
      </c>
      <c r="GE132">
        <v>0</v>
      </c>
      <c r="GF132">
        <v>100</v>
      </c>
      <c r="GG132">
        <v>31.7255</v>
      </c>
      <c r="GH132">
        <v>432.1</v>
      </c>
      <c r="GI132">
        <v>44.267099999999999</v>
      </c>
      <c r="GJ132">
        <v>100.742</v>
      </c>
      <c r="GK132">
        <v>95.213200000000001</v>
      </c>
    </row>
    <row r="133" spans="1:193" x14ac:dyDescent="0.35">
      <c r="A133">
        <v>117</v>
      </c>
      <c r="B133">
        <v>1775538987.0999999</v>
      </c>
      <c r="C133">
        <v>6961</v>
      </c>
      <c r="D133" t="s">
        <v>668</v>
      </c>
      <c r="E133" t="s">
        <v>669</v>
      </c>
      <c r="F133">
        <v>60</v>
      </c>
      <c r="G133">
        <v>1775538979.099999</v>
      </c>
      <c r="H133">
        <f t="shared" si="30"/>
        <v>4.0948508434751956E-3</v>
      </c>
      <c r="I133">
        <f t="shared" si="31"/>
        <v>4.0948508434751956</v>
      </c>
      <c r="J133">
        <f t="shared" si="32"/>
        <v>-3.2602878512752116</v>
      </c>
      <c r="K133">
        <f t="shared" si="33"/>
        <v>-5.9387774193548406</v>
      </c>
      <c r="L133">
        <f t="shared" si="34"/>
        <v>51.957920490653791</v>
      </c>
      <c r="M133">
        <f t="shared" si="35"/>
        <v>5.2065409952152768</v>
      </c>
      <c r="N133">
        <f t="shared" si="36"/>
        <v>-0.59510634381319694</v>
      </c>
      <c r="O133">
        <f t="shared" si="37"/>
        <v>8.90438339521539E-2</v>
      </c>
      <c r="P133">
        <f t="shared" si="38"/>
        <v>2.3904470114122112</v>
      </c>
      <c r="Q133">
        <f t="shared" si="39"/>
        <v>8.7241368980904441E-2</v>
      </c>
      <c r="R133">
        <f t="shared" si="40"/>
        <v>5.4684760999420226E-2</v>
      </c>
      <c r="S133">
        <f t="shared" si="41"/>
        <v>0.31330290193548377</v>
      </c>
      <c r="T133">
        <f t="shared" si="42"/>
        <v>31.925059504277449</v>
      </c>
      <c r="U133">
        <f t="shared" si="43"/>
        <v>33.079109677419353</v>
      </c>
      <c r="V133">
        <f t="shared" si="44"/>
        <v>5.074607203731671</v>
      </c>
      <c r="W133">
        <f t="shared" si="45"/>
        <v>9.8261225390482174</v>
      </c>
      <c r="X133">
        <f t="shared" si="46"/>
        <v>0.50207020543414227</v>
      </c>
      <c r="Y133">
        <f t="shared" si="47"/>
        <v>5.1095455347616099</v>
      </c>
      <c r="Z133">
        <f t="shared" si="48"/>
        <v>4.5725369982975286</v>
      </c>
      <c r="AA133">
        <f t="shared" si="49"/>
        <v>-180.58292219725612</v>
      </c>
      <c r="AB133">
        <f t="shared" si="50"/>
        <v>15.753364490348574</v>
      </c>
      <c r="AC133">
        <f t="shared" si="51"/>
        <v>1.5113555102407126</v>
      </c>
      <c r="AD133">
        <f t="shared" si="52"/>
        <v>-163.00489929473133</v>
      </c>
      <c r="AE133">
        <v>6</v>
      </c>
      <c r="AF133">
        <v>1</v>
      </c>
      <c r="AG133">
        <f t="shared" si="53"/>
        <v>1</v>
      </c>
      <c r="AH133">
        <f t="shared" si="54"/>
        <v>0</v>
      </c>
      <c r="AI133">
        <f t="shared" si="55"/>
        <v>25035.775070020267</v>
      </c>
      <c r="AJ133">
        <f t="shared" si="56"/>
        <v>1.639470967741935</v>
      </c>
      <c r="AK133">
        <f t="shared" si="57"/>
        <v>1.311576774193548</v>
      </c>
      <c r="AL133">
        <f t="shared" si="58"/>
        <v>0.8</v>
      </c>
      <c r="AM133">
        <f t="shared" si="59"/>
        <v>0.19109999999999999</v>
      </c>
      <c r="AN133">
        <v>3</v>
      </c>
      <c r="AO133">
        <v>0.5</v>
      </c>
      <c r="AP133" t="s">
        <v>317</v>
      </c>
      <c r="AQ133">
        <v>2</v>
      </c>
      <c r="AR133">
        <v>1775538979.099999</v>
      </c>
      <c r="AS133">
        <v>-5.9387774193548406</v>
      </c>
      <c r="AT133">
        <v>-7.9096819354838717</v>
      </c>
      <c r="AU133">
        <v>5.0103367741935481</v>
      </c>
      <c r="AV133">
        <v>2.565561612903227</v>
      </c>
      <c r="AW133">
        <v>-12.83377741935484</v>
      </c>
      <c r="AX133">
        <v>4.4795616129032263</v>
      </c>
      <c r="AY133">
        <v>499.96429032258072</v>
      </c>
      <c r="AZ133">
        <v>100.16</v>
      </c>
      <c r="BA133">
        <v>4.6877912903225807E-2</v>
      </c>
      <c r="BB133">
        <v>33.201348387096772</v>
      </c>
      <c r="BC133">
        <v>33.079109677419353</v>
      </c>
      <c r="BD133">
        <v>999.90000000000032</v>
      </c>
      <c r="BE133">
        <v>0</v>
      </c>
      <c r="BF133">
        <v>0</v>
      </c>
      <c r="BG133">
        <v>4998.2258064516127</v>
      </c>
      <c r="BH133">
        <v>1.639470967741935</v>
      </c>
      <c r="BI133">
        <v>1807.37064516129</v>
      </c>
      <c r="BJ133">
        <v>1.9789880645161291</v>
      </c>
      <c r="BK133">
        <v>-5.9459593548387106</v>
      </c>
      <c r="BL133">
        <v>-7.949512258064515</v>
      </c>
      <c r="BM133">
        <v>-2.4428854838709682</v>
      </c>
      <c r="BN133">
        <v>-7.9096819354838717</v>
      </c>
      <c r="BO133">
        <v>5.0103367741935481</v>
      </c>
      <c r="BP133">
        <v>0.2571559677419355</v>
      </c>
      <c r="BQ133">
        <v>0.50183512903225802</v>
      </c>
      <c r="BR133">
        <v>-11.407851612903229</v>
      </c>
      <c r="BS133">
        <v>-2.7380325806451622</v>
      </c>
      <c r="BT133">
        <v>1775539014.0999999</v>
      </c>
      <c r="BU133" t="s">
        <v>670</v>
      </c>
      <c r="BV133">
        <v>1775539006.5999999</v>
      </c>
      <c r="BW133">
        <v>1775539014.0999999</v>
      </c>
      <c r="BX133">
        <v>118</v>
      </c>
      <c r="BY133">
        <v>-8.9999999999999993E-3</v>
      </c>
      <c r="BZ133">
        <v>-2E-3</v>
      </c>
      <c r="CA133">
        <v>6.8949999999999996</v>
      </c>
      <c r="CB133">
        <v>-1.9139999999999999</v>
      </c>
      <c r="CC133">
        <v>-8</v>
      </c>
      <c r="CD133">
        <v>5</v>
      </c>
      <c r="CE133">
        <v>0.26</v>
      </c>
      <c r="CF133">
        <v>0.03</v>
      </c>
      <c r="CG133">
        <v>-8.004722295081967</v>
      </c>
      <c r="CH133">
        <v>0.80528420289305147</v>
      </c>
      <c r="CI133">
        <v>0.1519799245305325</v>
      </c>
      <c r="CJ133">
        <v>-1</v>
      </c>
      <c r="CK133">
        <v>500.39845901639342</v>
      </c>
      <c r="CL133">
        <v>-4.8063699473861794</v>
      </c>
      <c r="CM133">
        <v>1.3289902560889459</v>
      </c>
      <c r="CN133">
        <v>-1</v>
      </c>
      <c r="CO133">
        <v>0</v>
      </c>
      <c r="CP133">
        <v>0</v>
      </c>
      <c r="CQ133" t="s">
        <v>319</v>
      </c>
      <c r="CR133">
        <v>3.1692999999999998</v>
      </c>
      <c r="CS133">
        <v>2.6678999999999999</v>
      </c>
      <c r="CT133">
        <v>-3.6980200000000002E-3</v>
      </c>
      <c r="CU133">
        <v>-2.2639800000000001E-3</v>
      </c>
      <c r="CV133">
        <v>2.99923E-2</v>
      </c>
      <c r="CW133">
        <v>3.2849999999999997E-2</v>
      </c>
      <c r="CX133">
        <v>21292.1</v>
      </c>
      <c r="CY133">
        <v>21716.1</v>
      </c>
      <c r="CZ133">
        <v>22752.2</v>
      </c>
      <c r="DA133">
        <v>22040.9</v>
      </c>
      <c r="DB133">
        <v>28488.799999999999</v>
      </c>
      <c r="DC133">
        <v>25371.1</v>
      </c>
      <c r="DD133">
        <v>40049.1</v>
      </c>
      <c r="DE133">
        <v>36469.800000000003</v>
      </c>
      <c r="DF133">
        <v>1.9876199999999999</v>
      </c>
      <c r="DG133">
        <v>1.5958399999999999</v>
      </c>
      <c r="DH133">
        <v>-6.8962599999999999E-2</v>
      </c>
      <c r="DI133">
        <v>0</v>
      </c>
      <c r="DJ133">
        <v>34.185699999999997</v>
      </c>
      <c r="DK133">
        <v>999.9</v>
      </c>
      <c r="DL133">
        <v>48.5</v>
      </c>
      <c r="DM133">
        <v>46.9</v>
      </c>
      <c r="DN133">
        <v>51.446199999999997</v>
      </c>
      <c r="DO133">
        <v>30.671099999999999</v>
      </c>
      <c r="DP133">
        <v>10.961499999999999</v>
      </c>
      <c r="DQ133">
        <v>1</v>
      </c>
      <c r="DR133">
        <v>1.00081</v>
      </c>
      <c r="DS133">
        <v>2.3952200000000001</v>
      </c>
      <c r="DT133">
        <v>20.339500000000001</v>
      </c>
      <c r="DU133">
        <v>5.2085400000000002</v>
      </c>
      <c r="DV133">
        <v>11.856</v>
      </c>
      <c r="DW133">
        <v>4.9671200000000004</v>
      </c>
      <c r="DX133">
        <v>3.2925800000000001</v>
      </c>
      <c r="DY133">
        <v>894.7</v>
      </c>
      <c r="DZ133">
        <v>6</v>
      </c>
      <c r="EA133">
        <v>9999</v>
      </c>
      <c r="EB133">
        <v>117.7</v>
      </c>
      <c r="EC133">
        <v>4.9716199999999997</v>
      </c>
      <c r="ED133">
        <v>1.8722399999999999</v>
      </c>
      <c r="EE133">
        <v>1.86955</v>
      </c>
      <c r="EF133">
        <v>1.87182</v>
      </c>
      <c r="EG133">
        <v>1.8696600000000001</v>
      </c>
      <c r="EH133">
        <v>1.8684400000000001</v>
      </c>
      <c r="EI133">
        <v>1.8702700000000001</v>
      </c>
      <c r="EJ133">
        <v>1.8719699999999999</v>
      </c>
      <c r="EK133">
        <v>0</v>
      </c>
      <c r="EL133">
        <v>0</v>
      </c>
      <c r="EM133">
        <v>0</v>
      </c>
      <c r="EN133">
        <v>0</v>
      </c>
      <c r="EO133" t="s">
        <v>320</v>
      </c>
      <c r="EP133" t="s">
        <v>321</v>
      </c>
      <c r="EQ133" t="s">
        <v>322</v>
      </c>
      <c r="ER133" t="s">
        <v>322</v>
      </c>
      <c r="ES133" t="s">
        <v>322</v>
      </c>
      <c r="ET133" t="s">
        <v>322</v>
      </c>
      <c r="EU133">
        <v>0</v>
      </c>
      <c r="EV133">
        <v>100</v>
      </c>
      <c r="EW133">
        <v>100</v>
      </c>
      <c r="EX133">
        <v>6.8949999999999996</v>
      </c>
      <c r="EY133">
        <v>-1.9139999999999999</v>
      </c>
      <c r="EZ133">
        <v>6.9030850000000008</v>
      </c>
      <c r="FA133">
        <v>0</v>
      </c>
      <c r="FB133">
        <v>0</v>
      </c>
      <c r="FC133">
        <v>0</v>
      </c>
      <c r="FD133">
        <v>-1.9121094999999999</v>
      </c>
      <c r="FE133">
        <v>0</v>
      </c>
      <c r="FF133">
        <v>0</v>
      </c>
      <c r="FG133">
        <v>0</v>
      </c>
      <c r="FH133">
        <v>-1</v>
      </c>
      <c r="FI133">
        <v>-1</v>
      </c>
      <c r="FJ133">
        <v>-1</v>
      </c>
      <c r="FK133">
        <v>-1</v>
      </c>
      <c r="FL133">
        <v>0.7</v>
      </c>
      <c r="FM133">
        <v>0.6</v>
      </c>
      <c r="FN133">
        <v>0.14038100000000001</v>
      </c>
      <c r="FO133">
        <v>4.99756</v>
      </c>
      <c r="FP133">
        <v>1.5979000000000001</v>
      </c>
      <c r="FQ133">
        <v>2.1105999999999998</v>
      </c>
      <c r="FR133">
        <v>1.5478499999999999</v>
      </c>
      <c r="FS133">
        <v>2.4438499999999999</v>
      </c>
      <c r="FT133">
        <v>49.706200000000003</v>
      </c>
      <c r="FU133">
        <v>15.1302</v>
      </c>
      <c r="FV133">
        <v>2</v>
      </c>
      <c r="FW133">
        <v>506.12</v>
      </c>
      <c r="FX133">
        <v>344.798</v>
      </c>
      <c r="FY133">
        <v>31.685400000000001</v>
      </c>
      <c r="FZ133">
        <v>39.319200000000002</v>
      </c>
      <c r="GA133">
        <v>29.9998</v>
      </c>
      <c r="GB133">
        <v>39.599499999999999</v>
      </c>
      <c r="GC133">
        <v>39.653700000000001</v>
      </c>
      <c r="GD133">
        <v>-1</v>
      </c>
      <c r="GE133">
        <v>0</v>
      </c>
      <c r="GF133">
        <v>100</v>
      </c>
      <c r="GG133">
        <v>31.731400000000001</v>
      </c>
      <c r="GH133">
        <v>432.1</v>
      </c>
      <c r="GI133">
        <v>44.267099999999999</v>
      </c>
      <c r="GJ133">
        <v>100.752</v>
      </c>
      <c r="GK133">
        <v>95.219899999999996</v>
      </c>
    </row>
    <row r="134" spans="1:193" x14ac:dyDescent="0.35">
      <c r="A134">
        <v>118</v>
      </c>
      <c r="B134">
        <v>1775539047.0999999</v>
      </c>
      <c r="C134">
        <v>7021</v>
      </c>
      <c r="D134" t="s">
        <v>671</v>
      </c>
      <c r="E134" t="s">
        <v>672</v>
      </c>
      <c r="F134">
        <v>60</v>
      </c>
      <c r="G134">
        <v>1775539039.099999</v>
      </c>
      <c r="H134">
        <f t="shared" si="30"/>
        <v>3.8997008406584915E-3</v>
      </c>
      <c r="I134">
        <f t="shared" si="31"/>
        <v>3.8997008406584914</v>
      </c>
      <c r="J134">
        <f t="shared" si="32"/>
        <v>-2.9660348923176469</v>
      </c>
      <c r="K134">
        <f t="shared" si="33"/>
        <v>-6.1615258064516158</v>
      </c>
      <c r="L134">
        <f t="shared" si="34"/>
        <v>49.166750482751105</v>
      </c>
      <c r="M134">
        <f t="shared" si="35"/>
        <v>4.9266581850356079</v>
      </c>
      <c r="N134">
        <f t="shared" si="36"/>
        <v>-0.61740365691469712</v>
      </c>
      <c r="O134">
        <f t="shared" si="37"/>
        <v>8.4751002400443337E-2</v>
      </c>
      <c r="P134">
        <f t="shared" si="38"/>
        <v>2.3914803238494819</v>
      </c>
      <c r="Q134">
        <f t="shared" si="39"/>
        <v>8.3117115332194624E-2</v>
      </c>
      <c r="R134">
        <f t="shared" si="40"/>
        <v>5.2092371752934338E-2</v>
      </c>
      <c r="S134">
        <f t="shared" si="41"/>
        <v>0.31359713429032265</v>
      </c>
      <c r="T134">
        <f t="shared" si="42"/>
        <v>31.968216594891999</v>
      </c>
      <c r="U134">
        <f t="shared" si="43"/>
        <v>33.06758709677419</v>
      </c>
      <c r="V134">
        <f t="shared" si="44"/>
        <v>5.0713245595573353</v>
      </c>
      <c r="W134">
        <f t="shared" si="45"/>
        <v>9.809298553049512</v>
      </c>
      <c r="X134">
        <f t="shared" si="46"/>
        <v>0.5006980090650377</v>
      </c>
      <c r="Y134">
        <f t="shared" si="47"/>
        <v>5.1043202157342931</v>
      </c>
      <c r="Z134">
        <f t="shared" si="48"/>
        <v>4.5706265504922978</v>
      </c>
      <c r="AA134">
        <f t="shared" si="49"/>
        <v>-171.97680707303948</v>
      </c>
      <c r="AB134">
        <f t="shared" si="50"/>
        <v>14.894682986410334</v>
      </c>
      <c r="AC134">
        <f t="shared" si="51"/>
        <v>1.4281491296225692</v>
      </c>
      <c r="AD134">
        <f t="shared" si="52"/>
        <v>-155.34037782271625</v>
      </c>
      <c r="AE134">
        <v>6</v>
      </c>
      <c r="AF134">
        <v>1</v>
      </c>
      <c r="AG134">
        <f t="shared" si="53"/>
        <v>1</v>
      </c>
      <c r="AH134">
        <f t="shared" si="54"/>
        <v>0</v>
      </c>
      <c r="AI134">
        <f t="shared" si="55"/>
        <v>25052.849496437531</v>
      </c>
      <c r="AJ134">
        <f t="shared" si="56"/>
        <v>1.6410106451612909</v>
      </c>
      <c r="AK134">
        <f t="shared" si="57"/>
        <v>1.3128085161290328</v>
      </c>
      <c r="AL134">
        <f t="shared" si="58"/>
        <v>0.8</v>
      </c>
      <c r="AM134">
        <f t="shared" si="59"/>
        <v>0.19109999999999999</v>
      </c>
      <c r="AN134">
        <v>3</v>
      </c>
      <c r="AO134">
        <v>0.5</v>
      </c>
      <c r="AP134" t="s">
        <v>317</v>
      </c>
      <c r="AQ134">
        <v>2</v>
      </c>
      <c r="AR134">
        <v>1775539039.099999</v>
      </c>
      <c r="AS134">
        <v>-6.1615258064516158</v>
      </c>
      <c r="AT134">
        <v>-7.9555461290322587</v>
      </c>
      <c r="AU134">
        <v>4.9968341935483869</v>
      </c>
      <c r="AV134">
        <v>2.6687280645161282</v>
      </c>
      <c r="AW134">
        <v>-13.059525806451621</v>
      </c>
      <c r="AX134">
        <v>4.5807280645161281</v>
      </c>
      <c r="AY134">
        <v>500.00487096774202</v>
      </c>
      <c r="AZ134">
        <v>100.15545161290321</v>
      </c>
      <c r="BA134">
        <v>4.7594890322580637E-2</v>
      </c>
      <c r="BB134">
        <v>33.183112903225798</v>
      </c>
      <c r="BC134">
        <v>33.06758709677419</v>
      </c>
      <c r="BD134">
        <v>999.90000000000032</v>
      </c>
      <c r="BE134">
        <v>0</v>
      </c>
      <c r="BF134">
        <v>0</v>
      </c>
      <c r="BG134">
        <v>5001.1129032258068</v>
      </c>
      <c r="BH134">
        <v>1.6410106451612909</v>
      </c>
      <c r="BI134">
        <v>1805.69</v>
      </c>
      <c r="BJ134">
        <v>1.790596774193548</v>
      </c>
      <c r="BK134">
        <v>-6.1814338709677417</v>
      </c>
      <c r="BL134">
        <v>-7.9954990322580652</v>
      </c>
      <c r="BM134">
        <v>-2.3298109677419361</v>
      </c>
      <c r="BN134">
        <v>-7.9555461290322587</v>
      </c>
      <c r="BO134">
        <v>4.9968341935483869</v>
      </c>
      <c r="BP134">
        <v>0.26711687096774189</v>
      </c>
      <c r="BQ134">
        <v>0.50046016129032256</v>
      </c>
      <c r="BR134">
        <v>-10.932012903225811</v>
      </c>
      <c r="BS134">
        <v>-2.774951935483871</v>
      </c>
      <c r="BT134">
        <v>1775539076.5999999</v>
      </c>
      <c r="BU134" t="s">
        <v>673</v>
      </c>
      <c r="BV134">
        <v>1775539065.0999999</v>
      </c>
      <c r="BW134">
        <v>1775539076.5999999</v>
      </c>
      <c r="BX134">
        <v>119</v>
      </c>
      <c r="BY134">
        <v>4.0000000000000001E-3</v>
      </c>
      <c r="BZ134">
        <v>2E-3</v>
      </c>
      <c r="CA134">
        <v>6.8979999999999997</v>
      </c>
      <c r="CB134">
        <v>-1.9119999999999999</v>
      </c>
      <c r="CC134">
        <v>-8</v>
      </c>
      <c r="CD134">
        <v>5</v>
      </c>
      <c r="CE134">
        <v>0.16</v>
      </c>
      <c r="CF134">
        <v>0.04</v>
      </c>
      <c r="CG134">
        <v>-8.1656598360655739</v>
      </c>
      <c r="CH134">
        <v>1.4677735589635199</v>
      </c>
      <c r="CI134">
        <v>0.2262646380627738</v>
      </c>
      <c r="CJ134">
        <v>-1</v>
      </c>
      <c r="CK134">
        <v>500.85363934426238</v>
      </c>
      <c r="CL134">
        <v>-8.4528164992073638</v>
      </c>
      <c r="CM134">
        <v>1.907523293653075</v>
      </c>
      <c r="CN134">
        <v>-1</v>
      </c>
      <c r="CO134">
        <v>0</v>
      </c>
      <c r="CP134">
        <v>0</v>
      </c>
      <c r="CQ134" t="s">
        <v>319</v>
      </c>
      <c r="CR134">
        <v>3.16954</v>
      </c>
      <c r="CS134">
        <v>2.6685599999999998</v>
      </c>
      <c r="CT134">
        <v>-3.7348500000000001E-3</v>
      </c>
      <c r="CU134">
        <v>-2.27845E-3</v>
      </c>
      <c r="CV134">
        <v>3.0720899999999999E-2</v>
      </c>
      <c r="CW134">
        <v>3.2754900000000003E-2</v>
      </c>
      <c r="CX134">
        <v>21295.200000000001</v>
      </c>
      <c r="CY134">
        <v>21718.9</v>
      </c>
      <c r="CZ134">
        <v>22754.5</v>
      </c>
      <c r="DA134">
        <v>22043.200000000001</v>
      </c>
      <c r="DB134">
        <v>28469.9</v>
      </c>
      <c r="DC134">
        <v>25376.7</v>
      </c>
      <c r="DD134">
        <v>40052.5</v>
      </c>
      <c r="DE134">
        <v>36474.199999999997</v>
      </c>
      <c r="DF134">
        <v>1.98858</v>
      </c>
      <c r="DG134">
        <v>1.5963799999999999</v>
      </c>
      <c r="DH134">
        <v>-6.2972299999999995E-2</v>
      </c>
      <c r="DI134">
        <v>0</v>
      </c>
      <c r="DJ134">
        <v>34.088200000000001</v>
      </c>
      <c r="DK134">
        <v>999.9</v>
      </c>
      <c r="DL134">
        <v>48.5</v>
      </c>
      <c r="DM134">
        <v>46.9</v>
      </c>
      <c r="DN134">
        <v>51.442300000000003</v>
      </c>
      <c r="DO134">
        <v>30.671099999999999</v>
      </c>
      <c r="DP134">
        <v>10.5809</v>
      </c>
      <c r="DQ134">
        <v>1</v>
      </c>
      <c r="DR134">
        <v>0.99342699999999995</v>
      </c>
      <c r="DS134">
        <v>2.2189299999999998</v>
      </c>
      <c r="DT134">
        <v>20.342199999999998</v>
      </c>
      <c r="DU134">
        <v>5.2066299999999996</v>
      </c>
      <c r="DV134">
        <v>11.855</v>
      </c>
      <c r="DW134">
        <v>4.9667599999999998</v>
      </c>
      <c r="DX134">
        <v>3.2923800000000001</v>
      </c>
      <c r="DY134">
        <v>894.7</v>
      </c>
      <c r="DZ134">
        <v>6</v>
      </c>
      <c r="EA134">
        <v>9999</v>
      </c>
      <c r="EB134">
        <v>117.7</v>
      </c>
      <c r="EC134">
        <v>4.9716399999999998</v>
      </c>
      <c r="ED134">
        <v>1.8722300000000001</v>
      </c>
      <c r="EE134">
        <v>1.8695299999999999</v>
      </c>
      <c r="EF134">
        <v>1.8718399999999999</v>
      </c>
      <c r="EG134">
        <v>1.8696600000000001</v>
      </c>
      <c r="EH134">
        <v>1.8684400000000001</v>
      </c>
      <c r="EI134">
        <v>1.8702700000000001</v>
      </c>
      <c r="EJ134">
        <v>1.87199</v>
      </c>
      <c r="EK134">
        <v>0</v>
      </c>
      <c r="EL134">
        <v>0</v>
      </c>
      <c r="EM134">
        <v>0</v>
      </c>
      <c r="EN134">
        <v>0</v>
      </c>
      <c r="EO134" t="s">
        <v>320</v>
      </c>
      <c r="EP134" t="s">
        <v>321</v>
      </c>
      <c r="EQ134" t="s">
        <v>322</v>
      </c>
      <c r="ER134" t="s">
        <v>322</v>
      </c>
      <c r="ES134" t="s">
        <v>322</v>
      </c>
      <c r="ET134" t="s">
        <v>322</v>
      </c>
      <c r="EU134">
        <v>0</v>
      </c>
      <c r="EV134">
        <v>100</v>
      </c>
      <c r="EW134">
        <v>100</v>
      </c>
      <c r="EX134">
        <v>6.8979999999999997</v>
      </c>
      <c r="EY134">
        <v>-1.9119999999999999</v>
      </c>
      <c r="EZ134">
        <v>6.894580952380954</v>
      </c>
      <c r="FA134">
        <v>0</v>
      </c>
      <c r="FB134">
        <v>0</v>
      </c>
      <c r="FC134">
        <v>0</v>
      </c>
      <c r="FD134">
        <v>-1.913704999999998</v>
      </c>
      <c r="FE134">
        <v>0</v>
      </c>
      <c r="FF134">
        <v>0</v>
      </c>
      <c r="FG134">
        <v>0</v>
      </c>
      <c r="FH134">
        <v>-1</v>
      </c>
      <c r="FI134">
        <v>-1</v>
      </c>
      <c r="FJ134">
        <v>-1</v>
      </c>
      <c r="FK134">
        <v>-1</v>
      </c>
      <c r="FL134">
        <v>0.7</v>
      </c>
      <c r="FM134">
        <v>0.6</v>
      </c>
      <c r="FN134">
        <v>0.14038100000000001</v>
      </c>
      <c r="FO134">
        <v>4.99756</v>
      </c>
      <c r="FP134">
        <v>1.5979000000000001</v>
      </c>
      <c r="FQ134">
        <v>2.1105999999999998</v>
      </c>
      <c r="FR134">
        <v>1.5478499999999999</v>
      </c>
      <c r="FS134">
        <v>2.4719199999999999</v>
      </c>
      <c r="FT134">
        <v>49.706200000000003</v>
      </c>
      <c r="FU134">
        <v>15.121499999999999</v>
      </c>
      <c r="FV134">
        <v>2</v>
      </c>
      <c r="FW134">
        <v>506.26</v>
      </c>
      <c r="FX134">
        <v>344.76</v>
      </c>
      <c r="FY134">
        <v>31.805499999999999</v>
      </c>
      <c r="FZ134">
        <v>39.255600000000001</v>
      </c>
      <c r="GA134">
        <v>29.999300000000002</v>
      </c>
      <c r="GB134">
        <v>39.531599999999997</v>
      </c>
      <c r="GC134">
        <v>39.582599999999999</v>
      </c>
      <c r="GD134">
        <v>-1</v>
      </c>
      <c r="GE134">
        <v>0</v>
      </c>
      <c r="GF134">
        <v>100</v>
      </c>
      <c r="GG134">
        <v>31.8215</v>
      </c>
      <c r="GH134">
        <v>432.1</v>
      </c>
      <c r="GI134">
        <v>44.267099999999999</v>
      </c>
      <c r="GJ134">
        <v>100.762</v>
      </c>
      <c r="GK134">
        <v>95.230699999999999</v>
      </c>
    </row>
    <row r="135" spans="1:193" x14ac:dyDescent="0.35">
      <c r="A135">
        <v>119</v>
      </c>
      <c r="B135">
        <v>1775539107.0999999</v>
      </c>
      <c r="C135">
        <v>7081</v>
      </c>
      <c r="D135" t="s">
        <v>674</v>
      </c>
      <c r="E135" t="s">
        <v>675</v>
      </c>
      <c r="F135">
        <v>60</v>
      </c>
      <c r="G135">
        <v>1775539099.349999</v>
      </c>
      <c r="H135">
        <f t="shared" si="30"/>
        <v>3.6171742335117862E-3</v>
      </c>
      <c r="I135">
        <f t="shared" si="31"/>
        <v>3.6171742335117862</v>
      </c>
      <c r="J135">
        <f t="shared" si="32"/>
        <v>-2.8347316163543099</v>
      </c>
      <c r="K135">
        <f t="shared" si="33"/>
        <v>-5.9963566666666663</v>
      </c>
      <c r="L135">
        <f t="shared" si="34"/>
        <v>51.089844628389052</v>
      </c>
      <c r="M135">
        <f t="shared" si="35"/>
        <v>5.119276675356498</v>
      </c>
      <c r="N135">
        <f t="shared" si="36"/>
        <v>-0.60084365188552025</v>
      </c>
      <c r="O135">
        <f t="shared" si="37"/>
        <v>7.8368231069766148E-2</v>
      </c>
      <c r="P135">
        <f t="shared" si="38"/>
        <v>2.3887160775352774</v>
      </c>
      <c r="Q135">
        <f t="shared" si="39"/>
        <v>7.6967401724629E-2</v>
      </c>
      <c r="R135">
        <f t="shared" si="40"/>
        <v>4.8228399377059389E-2</v>
      </c>
      <c r="S135">
        <f t="shared" si="41"/>
        <v>0.31652835760000009</v>
      </c>
      <c r="T135">
        <f t="shared" si="42"/>
        <v>32.057298140962878</v>
      </c>
      <c r="U135">
        <f t="shared" si="43"/>
        <v>33.080933333333327</v>
      </c>
      <c r="V135">
        <f t="shared" si="44"/>
        <v>5.0751269107060253</v>
      </c>
      <c r="W135">
        <f t="shared" si="45"/>
        <v>9.7352223927146078</v>
      </c>
      <c r="X135">
        <f t="shared" si="46"/>
        <v>0.49697465849943345</v>
      </c>
      <c r="Y135">
        <f t="shared" si="47"/>
        <v>5.1049132567464142</v>
      </c>
      <c r="Z135">
        <f t="shared" si="48"/>
        <v>4.5781522522065918</v>
      </c>
      <c r="AA135">
        <f t="shared" si="49"/>
        <v>-159.51738369786978</v>
      </c>
      <c r="AB135">
        <f t="shared" si="50"/>
        <v>13.425363077189587</v>
      </c>
      <c r="AC135">
        <f t="shared" si="51"/>
        <v>1.2888530927883826</v>
      </c>
      <c r="AD135">
        <f t="shared" si="52"/>
        <v>-144.4866391702918</v>
      </c>
      <c r="AE135">
        <v>6</v>
      </c>
      <c r="AF135">
        <v>1</v>
      </c>
      <c r="AG135">
        <f t="shared" si="53"/>
        <v>1</v>
      </c>
      <c r="AH135">
        <f t="shared" si="54"/>
        <v>0</v>
      </c>
      <c r="AI135">
        <f t="shared" si="55"/>
        <v>25011.524254358388</v>
      </c>
      <c r="AJ135">
        <f t="shared" si="56"/>
        <v>1.6563493333333339</v>
      </c>
      <c r="AK135">
        <f t="shared" si="57"/>
        <v>1.3250794666666672</v>
      </c>
      <c r="AL135">
        <f t="shared" si="58"/>
        <v>0.8</v>
      </c>
      <c r="AM135">
        <f t="shared" si="59"/>
        <v>0.19109999999999999</v>
      </c>
      <c r="AN135">
        <v>3</v>
      </c>
      <c r="AO135">
        <v>0.5</v>
      </c>
      <c r="AP135" t="s">
        <v>317</v>
      </c>
      <c r="AQ135">
        <v>2</v>
      </c>
      <c r="AR135">
        <v>1775539099.349999</v>
      </c>
      <c r="AS135">
        <v>-5.9963566666666663</v>
      </c>
      <c r="AT135">
        <v>-7.7103423333333323</v>
      </c>
      <c r="AU135">
        <v>4.9597549999999986</v>
      </c>
      <c r="AV135">
        <v>2.800047333333334</v>
      </c>
      <c r="AW135">
        <v>-12.88535666666667</v>
      </c>
      <c r="AX135">
        <v>4.7070473333333336</v>
      </c>
      <c r="AY135">
        <v>499.96126666666657</v>
      </c>
      <c r="AZ135">
        <v>100.15406666666669</v>
      </c>
      <c r="BA135">
        <v>4.7386530000000003E-2</v>
      </c>
      <c r="BB135">
        <v>33.185183333333327</v>
      </c>
      <c r="BC135">
        <v>33.080933333333327</v>
      </c>
      <c r="BD135">
        <v>999.9000000000002</v>
      </c>
      <c r="BE135">
        <v>0</v>
      </c>
      <c r="BF135">
        <v>0</v>
      </c>
      <c r="BG135">
        <v>4994.0666666666666</v>
      </c>
      <c r="BH135">
        <v>1.6563493333333339</v>
      </c>
      <c r="BI135">
        <v>1827.581666666666</v>
      </c>
      <c r="BJ135">
        <v>1.7232499999999999</v>
      </c>
      <c r="BK135">
        <v>-6.0038750000000016</v>
      </c>
      <c r="BL135">
        <v>-7.7487759999999994</v>
      </c>
      <c r="BM135">
        <v>-2.1646136666666669</v>
      </c>
      <c r="BN135">
        <v>-7.7103423333333323</v>
      </c>
      <c r="BO135">
        <v>4.9597549999999986</v>
      </c>
      <c r="BP135">
        <v>0.279945</v>
      </c>
      <c r="BQ135">
        <v>0.49674020000000002</v>
      </c>
      <c r="BR135">
        <v>-10.34192333333333</v>
      </c>
      <c r="BS135">
        <v>-2.8752823333333342</v>
      </c>
      <c r="BT135">
        <v>1775539130.0999999</v>
      </c>
      <c r="BU135" t="s">
        <v>676</v>
      </c>
      <c r="BV135">
        <v>1775539127.5999999</v>
      </c>
      <c r="BW135">
        <v>1775539130.0999999</v>
      </c>
      <c r="BX135">
        <v>120</v>
      </c>
      <c r="BY135">
        <v>-8.9999999999999993E-3</v>
      </c>
      <c r="BZ135">
        <v>5.0000000000000001E-3</v>
      </c>
      <c r="CA135">
        <v>6.8890000000000002</v>
      </c>
      <c r="CB135">
        <v>-1.907</v>
      </c>
      <c r="CC135">
        <v>-8</v>
      </c>
      <c r="CD135">
        <v>5</v>
      </c>
      <c r="CE135">
        <v>0.3</v>
      </c>
      <c r="CF135">
        <v>0.03</v>
      </c>
      <c r="CG135">
        <v>-7.9002126666666674</v>
      </c>
      <c r="CH135">
        <v>1.3299924423450691</v>
      </c>
      <c r="CI135">
        <v>0.20057694201034729</v>
      </c>
      <c r="CJ135">
        <v>-1</v>
      </c>
      <c r="CK135">
        <v>500.95848333333339</v>
      </c>
      <c r="CL135">
        <v>-8.0770602945264685</v>
      </c>
      <c r="CM135">
        <v>1.932258251301368</v>
      </c>
      <c r="CN135">
        <v>-1</v>
      </c>
      <c r="CO135">
        <v>0</v>
      </c>
      <c r="CP135">
        <v>0</v>
      </c>
      <c r="CQ135" t="s">
        <v>319</v>
      </c>
      <c r="CR135">
        <v>3.1692800000000001</v>
      </c>
      <c r="CS135">
        <v>2.6688700000000001</v>
      </c>
      <c r="CT135">
        <v>-3.6984700000000001E-3</v>
      </c>
      <c r="CU135">
        <v>-2.2176000000000001E-3</v>
      </c>
      <c r="CV135">
        <v>3.1385799999999998E-2</v>
      </c>
      <c r="CW135">
        <v>3.2553800000000001E-2</v>
      </c>
      <c r="CX135">
        <v>21297.599999999999</v>
      </c>
      <c r="CY135">
        <v>21720.400000000001</v>
      </c>
      <c r="CZ135">
        <v>22757.5</v>
      </c>
      <c r="DA135">
        <v>22045.9</v>
      </c>
      <c r="DB135">
        <v>28454.1</v>
      </c>
      <c r="DC135">
        <v>25385.599999999999</v>
      </c>
      <c r="DD135">
        <v>40057.5</v>
      </c>
      <c r="DE135">
        <v>36479.1</v>
      </c>
      <c r="DF135">
        <v>1.9893000000000001</v>
      </c>
      <c r="DG135">
        <v>1.59884</v>
      </c>
      <c r="DH135">
        <v>-5.8799999999999998E-2</v>
      </c>
      <c r="DI135">
        <v>0</v>
      </c>
      <c r="DJ135">
        <v>34.027799999999999</v>
      </c>
      <c r="DK135">
        <v>999.9</v>
      </c>
      <c r="DL135">
        <v>48.4</v>
      </c>
      <c r="DM135">
        <v>46.9</v>
      </c>
      <c r="DN135">
        <v>51.338799999999999</v>
      </c>
      <c r="DO135">
        <v>30.6111</v>
      </c>
      <c r="DP135">
        <v>10.989599999999999</v>
      </c>
      <c r="DQ135">
        <v>1</v>
      </c>
      <c r="DR135">
        <v>0.98522799999999999</v>
      </c>
      <c r="DS135">
        <v>2.1008100000000001</v>
      </c>
      <c r="DT135">
        <v>20.344899999999999</v>
      </c>
      <c r="DU135">
        <v>5.2104600000000003</v>
      </c>
      <c r="DV135">
        <v>11.854799999999999</v>
      </c>
      <c r="DW135">
        <v>4.9670399999999999</v>
      </c>
      <c r="DX135">
        <v>3.2930000000000001</v>
      </c>
      <c r="DY135">
        <v>894.7</v>
      </c>
      <c r="DZ135">
        <v>6</v>
      </c>
      <c r="EA135">
        <v>9999</v>
      </c>
      <c r="EB135">
        <v>117.7</v>
      </c>
      <c r="EC135">
        <v>4.9715999999999996</v>
      </c>
      <c r="ED135">
        <v>1.8722300000000001</v>
      </c>
      <c r="EE135">
        <v>1.8695299999999999</v>
      </c>
      <c r="EF135">
        <v>1.87188</v>
      </c>
      <c r="EG135">
        <v>1.8696600000000001</v>
      </c>
      <c r="EH135">
        <v>1.8684400000000001</v>
      </c>
      <c r="EI135">
        <v>1.8702700000000001</v>
      </c>
      <c r="EJ135">
        <v>1.8719600000000001</v>
      </c>
      <c r="EK135">
        <v>0</v>
      </c>
      <c r="EL135">
        <v>0</v>
      </c>
      <c r="EM135">
        <v>0</v>
      </c>
      <c r="EN135">
        <v>0</v>
      </c>
      <c r="EO135" t="s">
        <v>320</v>
      </c>
      <c r="EP135" t="s">
        <v>321</v>
      </c>
      <c r="EQ135" t="s">
        <v>322</v>
      </c>
      <c r="ER135" t="s">
        <v>322</v>
      </c>
      <c r="ES135" t="s">
        <v>322</v>
      </c>
      <c r="ET135" t="s">
        <v>322</v>
      </c>
      <c r="EU135">
        <v>0</v>
      </c>
      <c r="EV135">
        <v>100</v>
      </c>
      <c r="EW135">
        <v>100</v>
      </c>
      <c r="EX135">
        <v>6.8890000000000002</v>
      </c>
      <c r="EY135">
        <v>-1.907</v>
      </c>
      <c r="EZ135">
        <v>6.8982555000000048</v>
      </c>
      <c r="FA135">
        <v>0</v>
      </c>
      <c r="FB135">
        <v>0</v>
      </c>
      <c r="FC135">
        <v>0</v>
      </c>
      <c r="FD135">
        <v>-1.9119061904761909</v>
      </c>
      <c r="FE135">
        <v>0</v>
      </c>
      <c r="FF135">
        <v>0</v>
      </c>
      <c r="FG135">
        <v>0</v>
      </c>
      <c r="FH135">
        <v>-1</v>
      </c>
      <c r="FI135">
        <v>-1</v>
      </c>
      <c r="FJ135">
        <v>-1</v>
      </c>
      <c r="FK135">
        <v>-1</v>
      </c>
      <c r="FL135">
        <v>0.7</v>
      </c>
      <c r="FM135">
        <v>0.5</v>
      </c>
      <c r="FN135">
        <v>0.14038100000000001</v>
      </c>
      <c r="FO135">
        <v>4.99756</v>
      </c>
      <c r="FP135">
        <v>1.5979000000000001</v>
      </c>
      <c r="FQ135">
        <v>2.1105999999999998</v>
      </c>
      <c r="FR135">
        <v>1.5478499999999999</v>
      </c>
      <c r="FS135">
        <v>2.50244</v>
      </c>
      <c r="FT135">
        <v>49.706200000000003</v>
      </c>
      <c r="FU135">
        <v>15.121499999999999</v>
      </c>
      <c r="FV135">
        <v>2</v>
      </c>
      <c r="FW135">
        <v>506.19</v>
      </c>
      <c r="FX135">
        <v>345.721</v>
      </c>
      <c r="FY135">
        <v>31.8993</v>
      </c>
      <c r="FZ135">
        <v>39.174700000000001</v>
      </c>
      <c r="GA135">
        <v>29.999199999999998</v>
      </c>
      <c r="GB135">
        <v>39.454799999999999</v>
      </c>
      <c r="GC135">
        <v>39.505499999999998</v>
      </c>
      <c r="GD135">
        <v>-1</v>
      </c>
      <c r="GE135">
        <v>0</v>
      </c>
      <c r="GF135">
        <v>100</v>
      </c>
      <c r="GG135">
        <v>31.923300000000001</v>
      </c>
      <c r="GH135">
        <v>432.1</v>
      </c>
      <c r="GI135">
        <v>44.267099999999999</v>
      </c>
      <c r="GJ135">
        <v>100.774</v>
      </c>
      <c r="GK135">
        <v>95.243099999999998</v>
      </c>
    </row>
    <row r="136" spans="1:193" x14ac:dyDescent="0.35">
      <c r="A136">
        <v>120</v>
      </c>
      <c r="B136">
        <v>1775539167.0999999</v>
      </c>
      <c r="C136">
        <v>7141</v>
      </c>
      <c r="D136" t="s">
        <v>677</v>
      </c>
      <c r="E136" t="s">
        <v>678</v>
      </c>
      <c r="F136">
        <v>60</v>
      </c>
      <c r="G136">
        <v>1775539159.099999</v>
      </c>
      <c r="H136">
        <f t="shared" si="30"/>
        <v>3.2400391093713979E-3</v>
      </c>
      <c r="I136">
        <f t="shared" si="31"/>
        <v>3.2400391093713981</v>
      </c>
      <c r="J136">
        <f t="shared" si="32"/>
        <v>-2.963647953766174</v>
      </c>
      <c r="K136">
        <f t="shared" si="33"/>
        <v>-5.9200806451612911</v>
      </c>
      <c r="L136">
        <f t="shared" si="34"/>
        <v>60.901665805349211</v>
      </c>
      <c r="M136">
        <f t="shared" si="35"/>
        <v>6.1022243789550181</v>
      </c>
      <c r="N136">
        <f t="shared" si="36"/>
        <v>-0.59318016938561213</v>
      </c>
      <c r="O136">
        <f t="shared" si="37"/>
        <v>6.9784073481760342E-2</v>
      </c>
      <c r="P136">
        <f t="shared" si="38"/>
        <v>2.3915437149603793</v>
      </c>
      <c r="Q136">
        <f t="shared" si="39"/>
        <v>6.8672263717178036E-2</v>
      </c>
      <c r="R136">
        <f t="shared" si="40"/>
        <v>4.3018580976299695E-2</v>
      </c>
      <c r="S136">
        <f t="shared" si="41"/>
        <v>0.31591227996774196</v>
      </c>
      <c r="T136">
        <f t="shared" si="42"/>
        <v>32.200315280796225</v>
      </c>
      <c r="U136">
        <f t="shared" si="43"/>
        <v>33.132890322580643</v>
      </c>
      <c r="V136">
        <f t="shared" si="44"/>
        <v>5.0899531236152571</v>
      </c>
      <c r="W136">
        <f t="shared" si="45"/>
        <v>9.6683258741507885</v>
      </c>
      <c r="X136">
        <f t="shared" si="46"/>
        <v>0.49422696362544538</v>
      </c>
      <c r="Y136">
        <f t="shared" si="47"/>
        <v>5.1118153241690933</v>
      </c>
      <c r="Z136">
        <f t="shared" si="48"/>
        <v>4.5957261599898116</v>
      </c>
      <c r="AA136">
        <f t="shared" si="49"/>
        <v>-142.88572472327866</v>
      </c>
      <c r="AB136">
        <f t="shared" si="50"/>
        <v>9.8471466229683742</v>
      </c>
      <c r="AC136">
        <f t="shared" si="51"/>
        <v>0.94457355562176593</v>
      </c>
      <c r="AD136">
        <f t="shared" si="52"/>
        <v>-131.77809226472075</v>
      </c>
      <c r="AE136">
        <v>6</v>
      </c>
      <c r="AF136">
        <v>1</v>
      </c>
      <c r="AG136">
        <f t="shared" si="53"/>
        <v>1</v>
      </c>
      <c r="AH136">
        <f t="shared" si="54"/>
        <v>0</v>
      </c>
      <c r="AI136">
        <f t="shared" si="55"/>
        <v>25051.842501356445</v>
      </c>
      <c r="AJ136">
        <f t="shared" si="56"/>
        <v>1.6531254838709679</v>
      </c>
      <c r="AK136">
        <f t="shared" si="57"/>
        <v>1.3225003870967744</v>
      </c>
      <c r="AL136">
        <f t="shared" si="58"/>
        <v>0.8</v>
      </c>
      <c r="AM136">
        <f t="shared" si="59"/>
        <v>0.19109999999999999</v>
      </c>
      <c r="AN136">
        <v>3</v>
      </c>
      <c r="AO136">
        <v>0.5</v>
      </c>
      <c r="AP136" t="s">
        <v>317</v>
      </c>
      <c r="AQ136">
        <v>2</v>
      </c>
      <c r="AR136">
        <v>1775539159.099999</v>
      </c>
      <c r="AS136">
        <v>-5.9200806451612911</v>
      </c>
      <c r="AT136">
        <v>-7.70975129032258</v>
      </c>
      <c r="AU136">
        <v>4.932503870967742</v>
      </c>
      <c r="AV136">
        <v>2.9980983870967748</v>
      </c>
      <c r="AW136">
        <v>-12.832080645161289</v>
      </c>
      <c r="AX136">
        <v>4.9040983870967736</v>
      </c>
      <c r="AY136">
        <v>500.00751612903218</v>
      </c>
      <c r="AZ136">
        <v>100.1506451612903</v>
      </c>
      <c r="BA136">
        <v>4.7342829032258081E-2</v>
      </c>
      <c r="BB136">
        <v>33.209264516129032</v>
      </c>
      <c r="BC136">
        <v>33.132890322580643</v>
      </c>
      <c r="BD136">
        <v>999.90000000000032</v>
      </c>
      <c r="BE136">
        <v>0</v>
      </c>
      <c r="BF136">
        <v>0</v>
      </c>
      <c r="BG136">
        <v>5001.5161290322594</v>
      </c>
      <c r="BH136">
        <v>1.6531254838709679</v>
      </c>
      <c r="BI136">
        <v>1855.2122580645159</v>
      </c>
      <c r="BJ136">
        <v>1.7667909677419349</v>
      </c>
      <c r="BK136">
        <v>-5.9608293548387072</v>
      </c>
      <c r="BL136">
        <v>-7.7479687096774192</v>
      </c>
      <c r="BM136">
        <v>-1.9350951612903231</v>
      </c>
      <c r="BN136">
        <v>-7.70975129032258</v>
      </c>
      <c r="BO136">
        <v>4.932503870967742</v>
      </c>
      <c r="BP136">
        <v>0.30019251612903231</v>
      </c>
      <c r="BQ136">
        <v>0.4939936129032258</v>
      </c>
      <c r="BR136">
        <v>-9.4584925806451619</v>
      </c>
      <c r="BS136">
        <v>-2.9497829032258061</v>
      </c>
      <c r="BT136">
        <v>1775539192.0999999</v>
      </c>
      <c r="BU136" t="s">
        <v>679</v>
      </c>
      <c r="BV136">
        <v>1775539185.0999999</v>
      </c>
      <c r="BW136">
        <v>1775539192.0999999</v>
      </c>
      <c r="BX136">
        <v>121</v>
      </c>
      <c r="BY136">
        <v>2.3E-2</v>
      </c>
      <c r="BZ136">
        <v>1E-3</v>
      </c>
      <c r="CA136">
        <v>6.9119999999999999</v>
      </c>
      <c r="CB136">
        <v>-1.9059999999999999</v>
      </c>
      <c r="CC136">
        <v>-8</v>
      </c>
      <c r="CD136">
        <v>5</v>
      </c>
      <c r="CE136">
        <v>0.16</v>
      </c>
      <c r="CF136">
        <v>0.04</v>
      </c>
      <c r="CG136">
        <v>-7.6883100000000004</v>
      </c>
      <c r="CH136">
        <v>-0.1355199777716127</v>
      </c>
      <c r="CI136">
        <v>3.3206889546197077E-2</v>
      </c>
      <c r="CJ136">
        <v>-1</v>
      </c>
      <c r="CK136">
        <v>500.18723333333338</v>
      </c>
      <c r="CL136">
        <v>-2.008924701305022</v>
      </c>
      <c r="CM136">
        <v>0.63242839823088937</v>
      </c>
      <c r="CN136">
        <v>-1</v>
      </c>
      <c r="CO136">
        <v>0</v>
      </c>
      <c r="CP136">
        <v>0</v>
      </c>
      <c r="CQ136" t="s">
        <v>319</v>
      </c>
      <c r="CR136">
        <v>3.1694200000000001</v>
      </c>
      <c r="CS136">
        <v>2.6690299999999998</v>
      </c>
      <c r="CT136">
        <v>-3.7007400000000001E-3</v>
      </c>
      <c r="CU136">
        <v>-2.2299199999999998E-3</v>
      </c>
      <c r="CV136">
        <v>3.1929100000000002E-2</v>
      </c>
      <c r="CW136">
        <v>3.2420699999999997E-2</v>
      </c>
      <c r="CX136">
        <v>21301.3</v>
      </c>
      <c r="CY136">
        <v>21723.8</v>
      </c>
      <c r="CZ136">
        <v>22761.200000000001</v>
      </c>
      <c r="DA136">
        <v>22048.799999999999</v>
      </c>
      <c r="DB136">
        <v>28442.3</v>
      </c>
      <c r="DC136">
        <v>25393</v>
      </c>
      <c r="DD136">
        <v>40063.300000000003</v>
      </c>
      <c r="DE136">
        <v>36484.5</v>
      </c>
      <c r="DF136">
        <v>1.9903</v>
      </c>
      <c r="DG136">
        <v>1.60066</v>
      </c>
      <c r="DH136">
        <v>-5.3644200000000003E-2</v>
      </c>
      <c r="DI136">
        <v>0</v>
      </c>
      <c r="DJ136">
        <v>33.997</v>
      </c>
      <c r="DK136">
        <v>999.9</v>
      </c>
      <c r="DL136">
        <v>48.4</v>
      </c>
      <c r="DM136">
        <v>46.9</v>
      </c>
      <c r="DN136">
        <v>51.344200000000001</v>
      </c>
      <c r="DO136">
        <v>30.461099999999998</v>
      </c>
      <c r="DP136">
        <v>10.637</v>
      </c>
      <c r="DQ136">
        <v>1</v>
      </c>
      <c r="DR136">
        <v>0.97977999999999998</v>
      </c>
      <c r="DS136">
        <v>2.4449900000000002</v>
      </c>
      <c r="DT136">
        <v>20.3383</v>
      </c>
      <c r="DU136">
        <v>5.2068700000000003</v>
      </c>
      <c r="DV136">
        <v>11.855</v>
      </c>
      <c r="DW136">
        <v>4.96732</v>
      </c>
      <c r="DX136">
        <v>3.2930000000000001</v>
      </c>
      <c r="DY136">
        <v>894.7</v>
      </c>
      <c r="DZ136">
        <v>6</v>
      </c>
      <c r="EA136">
        <v>9999</v>
      </c>
      <c r="EB136">
        <v>117.7</v>
      </c>
      <c r="EC136">
        <v>4.9716100000000001</v>
      </c>
      <c r="ED136">
        <v>1.8722399999999999</v>
      </c>
      <c r="EE136">
        <v>1.8695299999999999</v>
      </c>
      <c r="EF136">
        <v>1.87188</v>
      </c>
      <c r="EG136">
        <v>1.8696600000000001</v>
      </c>
      <c r="EH136">
        <v>1.8684400000000001</v>
      </c>
      <c r="EI136">
        <v>1.8702700000000001</v>
      </c>
      <c r="EJ136">
        <v>1.87195</v>
      </c>
      <c r="EK136">
        <v>0</v>
      </c>
      <c r="EL136">
        <v>0</v>
      </c>
      <c r="EM136">
        <v>0</v>
      </c>
      <c r="EN136">
        <v>0</v>
      </c>
      <c r="EO136" t="s">
        <v>320</v>
      </c>
      <c r="EP136" t="s">
        <v>321</v>
      </c>
      <c r="EQ136" t="s">
        <v>322</v>
      </c>
      <c r="ER136" t="s">
        <v>322</v>
      </c>
      <c r="ES136" t="s">
        <v>322</v>
      </c>
      <c r="ET136" t="s">
        <v>322</v>
      </c>
      <c r="EU136">
        <v>0</v>
      </c>
      <c r="EV136">
        <v>100</v>
      </c>
      <c r="EW136">
        <v>100</v>
      </c>
      <c r="EX136">
        <v>6.9119999999999999</v>
      </c>
      <c r="EY136">
        <v>-1.9059999999999999</v>
      </c>
      <c r="EZ136">
        <v>6.8891252380952421</v>
      </c>
      <c r="FA136">
        <v>0</v>
      </c>
      <c r="FB136">
        <v>0</v>
      </c>
      <c r="FC136">
        <v>0</v>
      </c>
      <c r="FD136">
        <v>-1.9066905000000001</v>
      </c>
      <c r="FE136">
        <v>0</v>
      </c>
      <c r="FF136">
        <v>0</v>
      </c>
      <c r="FG136">
        <v>0</v>
      </c>
      <c r="FH136">
        <v>-1</v>
      </c>
      <c r="FI136">
        <v>-1</v>
      </c>
      <c r="FJ136">
        <v>-1</v>
      </c>
      <c r="FK136">
        <v>-1</v>
      </c>
      <c r="FL136">
        <v>0.7</v>
      </c>
      <c r="FM136">
        <v>0.6</v>
      </c>
      <c r="FN136">
        <v>0.14038100000000001</v>
      </c>
      <c r="FO136">
        <v>4.99634</v>
      </c>
      <c r="FP136">
        <v>1.5979000000000001</v>
      </c>
      <c r="FQ136">
        <v>2.1105999999999998</v>
      </c>
      <c r="FR136">
        <v>1.5478499999999999</v>
      </c>
      <c r="FS136">
        <v>2.4438499999999999</v>
      </c>
      <c r="FT136">
        <v>49.674399999999999</v>
      </c>
      <c r="FU136">
        <v>15.103899999999999</v>
      </c>
      <c r="FV136">
        <v>2</v>
      </c>
      <c r="FW136">
        <v>506.25299999999999</v>
      </c>
      <c r="FX136">
        <v>346.33199999999999</v>
      </c>
      <c r="FY136">
        <v>31.880700000000001</v>
      </c>
      <c r="FZ136">
        <v>39.082599999999999</v>
      </c>
      <c r="GA136">
        <v>30.000499999999999</v>
      </c>
      <c r="GB136">
        <v>39.372199999999999</v>
      </c>
      <c r="GC136">
        <v>39.427</v>
      </c>
      <c r="GD136">
        <v>-1</v>
      </c>
      <c r="GE136">
        <v>0</v>
      </c>
      <c r="GF136">
        <v>100</v>
      </c>
      <c r="GG136">
        <v>31.8735</v>
      </c>
      <c r="GH136">
        <v>432.1</v>
      </c>
      <c r="GI136">
        <v>44.267099999999999</v>
      </c>
      <c r="GJ136">
        <v>100.789</v>
      </c>
      <c r="GK136">
        <v>95.256699999999995</v>
      </c>
    </row>
    <row r="137" spans="1:193" x14ac:dyDescent="0.35">
      <c r="A137">
        <v>121</v>
      </c>
      <c r="B137">
        <v>1775539227.0999999</v>
      </c>
      <c r="C137">
        <v>7201</v>
      </c>
      <c r="D137" t="s">
        <v>680</v>
      </c>
      <c r="E137" t="s">
        <v>681</v>
      </c>
      <c r="F137">
        <v>60</v>
      </c>
      <c r="G137">
        <v>1775539219.099999</v>
      </c>
      <c r="H137">
        <f t="shared" si="30"/>
        <v>3.788778141975997E-3</v>
      </c>
      <c r="I137">
        <f t="shared" si="31"/>
        <v>3.7887781419759969</v>
      </c>
      <c r="J137">
        <f t="shared" si="32"/>
        <v>-3.5052969300554948</v>
      </c>
      <c r="K137">
        <f t="shared" si="33"/>
        <v>-5.3718258064516151</v>
      </c>
      <c r="L137">
        <f t="shared" si="34"/>
        <v>61.885316563473332</v>
      </c>
      <c r="M137">
        <f t="shared" si="35"/>
        <v>6.2004803427113577</v>
      </c>
      <c r="N137">
        <f t="shared" si="36"/>
        <v>-0.53821976143905192</v>
      </c>
      <c r="O137">
        <f t="shared" si="37"/>
        <v>8.2161758765585235E-2</v>
      </c>
      <c r="P137">
        <f t="shared" si="38"/>
        <v>2.390437502966043</v>
      </c>
      <c r="Q137">
        <f t="shared" si="39"/>
        <v>8.0624548814586319E-2</v>
      </c>
      <c r="R137">
        <f t="shared" si="40"/>
        <v>5.0526059702494672E-2</v>
      </c>
      <c r="S137">
        <f t="shared" si="41"/>
        <v>0.31737918822580646</v>
      </c>
      <c r="T137">
        <f t="shared" si="42"/>
        <v>32.019445831274801</v>
      </c>
      <c r="U137">
        <f t="shared" si="43"/>
        <v>33.066851612903228</v>
      </c>
      <c r="V137">
        <f t="shared" si="44"/>
        <v>5.0711150918194301</v>
      </c>
      <c r="W137">
        <f t="shared" si="45"/>
        <v>9.6591315160098361</v>
      </c>
      <c r="X137">
        <f t="shared" si="46"/>
        <v>0.49350449574633637</v>
      </c>
      <c r="Y137">
        <f t="shared" si="47"/>
        <v>5.1092015356490545</v>
      </c>
      <c r="Z137">
        <f t="shared" si="48"/>
        <v>4.577610596073094</v>
      </c>
      <c r="AA137">
        <f t="shared" si="49"/>
        <v>-167.08511606114146</v>
      </c>
      <c r="AB137">
        <f t="shared" si="50"/>
        <v>17.178390725550987</v>
      </c>
      <c r="AC137">
        <f t="shared" si="51"/>
        <v>1.6479684069358538</v>
      </c>
      <c r="AD137">
        <f t="shared" si="52"/>
        <v>-147.94137774042881</v>
      </c>
      <c r="AE137">
        <v>6</v>
      </c>
      <c r="AF137">
        <v>1</v>
      </c>
      <c r="AG137">
        <f t="shared" si="53"/>
        <v>1</v>
      </c>
      <c r="AH137">
        <f t="shared" si="54"/>
        <v>0</v>
      </c>
      <c r="AI137">
        <f t="shared" si="55"/>
        <v>25036.305893136781</v>
      </c>
      <c r="AJ137">
        <f t="shared" si="56"/>
        <v>1.6608016129032259</v>
      </c>
      <c r="AK137">
        <f t="shared" si="57"/>
        <v>1.3286412903225808</v>
      </c>
      <c r="AL137">
        <f t="shared" si="58"/>
        <v>0.8</v>
      </c>
      <c r="AM137">
        <f t="shared" si="59"/>
        <v>0.19109999999999999</v>
      </c>
      <c r="AN137">
        <v>3</v>
      </c>
      <c r="AO137">
        <v>0.5</v>
      </c>
      <c r="AP137" t="s">
        <v>317</v>
      </c>
      <c r="AQ137">
        <v>2</v>
      </c>
      <c r="AR137">
        <v>1775539219.099999</v>
      </c>
      <c r="AS137">
        <v>-5.3718258064516151</v>
      </c>
      <c r="AT137">
        <v>-7.4872283870967742</v>
      </c>
      <c r="AU137">
        <v>4.9255348387096767</v>
      </c>
      <c r="AV137">
        <v>2.6634512903225809</v>
      </c>
      <c r="AW137">
        <v>-12.321825806451621</v>
      </c>
      <c r="AX137">
        <v>4.5704512903225814</v>
      </c>
      <c r="AY137">
        <v>499.99696774193552</v>
      </c>
      <c r="AZ137">
        <v>100.14529032258071</v>
      </c>
      <c r="BA137">
        <v>4.7787567741935481E-2</v>
      </c>
      <c r="BB137">
        <v>33.200148387096782</v>
      </c>
      <c r="BC137">
        <v>33.066851612903228</v>
      </c>
      <c r="BD137">
        <v>999.90000000000032</v>
      </c>
      <c r="BE137">
        <v>0</v>
      </c>
      <c r="BF137">
        <v>0</v>
      </c>
      <c r="BG137">
        <v>4998.9354838709678</v>
      </c>
      <c r="BH137">
        <v>1.6608016129032259</v>
      </c>
      <c r="BI137">
        <v>1872.3003225806449</v>
      </c>
      <c r="BJ137">
        <v>2.077312258064516</v>
      </c>
      <c r="BK137">
        <v>-5.4243706451612903</v>
      </c>
      <c r="BL137">
        <v>-7.5242896774193548</v>
      </c>
      <c r="BM137">
        <v>-2.2607390322580638</v>
      </c>
      <c r="BN137">
        <v>-7.4872283870967742</v>
      </c>
      <c r="BO137">
        <v>4.9255348387096767</v>
      </c>
      <c r="BP137">
        <v>0.26686693548387092</v>
      </c>
      <c r="BQ137">
        <v>0.49326919354838722</v>
      </c>
      <c r="BR137">
        <v>-10.943790322580639</v>
      </c>
      <c r="BS137">
        <v>-2.969493548387097</v>
      </c>
      <c r="BT137">
        <v>1775539255.0999999</v>
      </c>
      <c r="BU137" t="s">
        <v>682</v>
      </c>
      <c r="BV137">
        <v>1775539245.0999999</v>
      </c>
      <c r="BW137">
        <v>1775539255.0999999</v>
      </c>
      <c r="BX137">
        <v>122</v>
      </c>
      <c r="BY137">
        <v>3.7999999999999999E-2</v>
      </c>
      <c r="BZ137">
        <v>-2E-3</v>
      </c>
      <c r="CA137">
        <v>6.95</v>
      </c>
      <c r="CB137">
        <v>-1.907</v>
      </c>
      <c r="CC137">
        <v>-8</v>
      </c>
      <c r="CD137">
        <v>5</v>
      </c>
      <c r="CE137">
        <v>0.17</v>
      </c>
      <c r="CF137">
        <v>0.03</v>
      </c>
      <c r="CG137">
        <v>-7.350877868852459</v>
      </c>
      <c r="CH137">
        <v>-0.57829294553146671</v>
      </c>
      <c r="CI137">
        <v>0.21208749454260581</v>
      </c>
      <c r="CJ137">
        <v>-1</v>
      </c>
      <c r="CK137">
        <v>500.68631147540981</v>
      </c>
      <c r="CL137">
        <v>-7.0530237969331404</v>
      </c>
      <c r="CM137">
        <v>1.698953424626072</v>
      </c>
      <c r="CN137">
        <v>-1</v>
      </c>
      <c r="CO137">
        <v>0</v>
      </c>
      <c r="CP137">
        <v>0</v>
      </c>
      <c r="CQ137" t="s">
        <v>319</v>
      </c>
      <c r="CR137">
        <v>3.16926</v>
      </c>
      <c r="CS137">
        <v>2.66873</v>
      </c>
      <c r="CT137">
        <v>-3.62759E-3</v>
      </c>
      <c r="CU137">
        <v>-2.2689799999999999E-3</v>
      </c>
      <c r="CV137">
        <v>3.0554700000000001E-2</v>
      </c>
      <c r="CW137">
        <v>3.2406999999999998E-2</v>
      </c>
      <c r="CX137">
        <v>21300.3</v>
      </c>
      <c r="CY137">
        <v>21724.3</v>
      </c>
      <c r="CZ137">
        <v>22761.599999999999</v>
      </c>
      <c r="DA137">
        <v>22048.400000000001</v>
      </c>
      <c r="DB137">
        <v>28483.5</v>
      </c>
      <c r="DC137">
        <v>25392.799999999999</v>
      </c>
      <c r="DD137">
        <v>40064.300000000003</v>
      </c>
      <c r="DE137">
        <v>36483.599999999999</v>
      </c>
      <c r="DF137">
        <v>1.99038</v>
      </c>
      <c r="DG137">
        <v>1.6004</v>
      </c>
      <c r="DH137">
        <v>-6.2972299999999995E-2</v>
      </c>
      <c r="DI137">
        <v>0</v>
      </c>
      <c r="DJ137">
        <v>34.072400000000002</v>
      </c>
      <c r="DK137">
        <v>999.9</v>
      </c>
      <c r="DL137">
        <v>48.4</v>
      </c>
      <c r="DM137">
        <v>46.8</v>
      </c>
      <c r="DN137">
        <v>51.083599999999997</v>
      </c>
      <c r="DO137">
        <v>30.521100000000001</v>
      </c>
      <c r="DP137">
        <v>10.7692</v>
      </c>
      <c r="DQ137">
        <v>1</v>
      </c>
      <c r="DR137">
        <v>0.97697800000000001</v>
      </c>
      <c r="DS137">
        <v>1.98526</v>
      </c>
      <c r="DT137">
        <v>20.3461</v>
      </c>
      <c r="DU137">
        <v>5.2065099999999997</v>
      </c>
      <c r="DV137">
        <v>11.8544</v>
      </c>
      <c r="DW137">
        <v>4.9657600000000004</v>
      </c>
      <c r="DX137">
        <v>3.2924000000000002</v>
      </c>
      <c r="DY137">
        <v>894.7</v>
      </c>
      <c r="DZ137">
        <v>6</v>
      </c>
      <c r="EA137">
        <v>9999</v>
      </c>
      <c r="EB137">
        <v>117.7</v>
      </c>
      <c r="EC137">
        <v>4.9716100000000001</v>
      </c>
      <c r="ED137">
        <v>1.87222</v>
      </c>
      <c r="EE137">
        <v>1.8695299999999999</v>
      </c>
      <c r="EF137">
        <v>1.8718600000000001</v>
      </c>
      <c r="EG137">
        <v>1.8696600000000001</v>
      </c>
      <c r="EH137">
        <v>1.8684400000000001</v>
      </c>
      <c r="EI137">
        <v>1.8702700000000001</v>
      </c>
      <c r="EJ137">
        <v>1.8719699999999999</v>
      </c>
      <c r="EK137">
        <v>0</v>
      </c>
      <c r="EL137">
        <v>0</v>
      </c>
      <c r="EM137">
        <v>0</v>
      </c>
      <c r="EN137">
        <v>0</v>
      </c>
      <c r="EO137" t="s">
        <v>320</v>
      </c>
      <c r="EP137" t="s">
        <v>321</v>
      </c>
      <c r="EQ137" t="s">
        <v>322</v>
      </c>
      <c r="ER137" t="s">
        <v>322</v>
      </c>
      <c r="ES137" t="s">
        <v>322</v>
      </c>
      <c r="ET137" t="s">
        <v>322</v>
      </c>
      <c r="EU137">
        <v>0</v>
      </c>
      <c r="EV137">
        <v>100</v>
      </c>
      <c r="EW137">
        <v>100</v>
      </c>
      <c r="EX137">
        <v>6.95</v>
      </c>
      <c r="EY137">
        <v>-1.907</v>
      </c>
      <c r="EZ137">
        <v>6.911907499999999</v>
      </c>
      <c r="FA137">
        <v>0</v>
      </c>
      <c r="FB137">
        <v>0</v>
      </c>
      <c r="FC137">
        <v>0</v>
      </c>
      <c r="FD137">
        <v>-1.9056550000000001</v>
      </c>
      <c r="FE137">
        <v>0</v>
      </c>
      <c r="FF137">
        <v>0</v>
      </c>
      <c r="FG137">
        <v>0</v>
      </c>
      <c r="FH137">
        <v>-1</v>
      </c>
      <c r="FI137">
        <v>-1</v>
      </c>
      <c r="FJ137">
        <v>-1</v>
      </c>
      <c r="FK137">
        <v>-1</v>
      </c>
      <c r="FL137">
        <v>0.7</v>
      </c>
      <c r="FM137">
        <v>0.6</v>
      </c>
      <c r="FN137">
        <v>0.14038100000000001</v>
      </c>
      <c r="FO137">
        <v>4.99756</v>
      </c>
      <c r="FP137">
        <v>1.5979000000000001</v>
      </c>
      <c r="FQ137">
        <v>2.1105999999999998</v>
      </c>
      <c r="FR137">
        <v>1.5478499999999999</v>
      </c>
      <c r="FS137">
        <v>2.5268600000000001</v>
      </c>
      <c r="FT137">
        <v>49.674399999999999</v>
      </c>
      <c r="FU137">
        <v>15.1127</v>
      </c>
      <c r="FV137">
        <v>2</v>
      </c>
      <c r="FW137">
        <v>506.08300000000003</v>
      </c>
      <c r="FX137">
        <v>346.08</v>
      </c>
      <c r="FY137">
        <v>31.765799999999999</v>
      </c>
      <c r="FZ137">
        <v>39.059800000000003</v>
      </c>
      <c r="GA137">
        <v>29.999700000000001</v>
      </c>
      <c r="GB137">
        <v>39.339700000000001</v>
      </c>
      <c r="GC137">
        <v>39.402700000000003</v>
      </c>
      <c r="GD137">
        <v>-1</v>
      </c>
      <c r="GE137">
        <v>0</v>
      </c>
      <c r="GF137">
        <v>100</v>
      </c>
      <c r="GG137">
        <v>31.823599999999999</v>
      </c>
      <c r="GH137">
        <v>432.1</v>
      </c>
      <c r="GI137">
        <v>44.267099999999999</v>
      </c>
      <c r="GJ137">
        <v>100.792</v>
      </c>
      <c r="GK137">
        <v>95.254400000000004</v>
      </c>
    </row>
    <row r="138" spans="1:193" x14ac:dyDescent="0.35">
      <c r="A138">
        <v>122</v>
      </c>
      <c r="B138">
        <v>1775539287.0999999</v>
      </c>
      <c r="C138">
        <v>7261</v>
      </c>
      <c r="D138" t="s">
        <v>683</v>
      </c>
      <c r="E138" t="s">
        <v>684</v>
      </c>
      <c r="F138">
        <v>60</v>
      </c>
      <c r="G138">
        <v>1775539279.099999</v>
      </c>
      <c r="H138">
        <f t="shared" si="30"/>
        <v>3.9805142387078609E-3</v>
      </c>
      <c r="I138">
        <f t="shared" si="31"/>
        <v>3.9805142387078609</v>
      </c>
      <c r="J138">
        <f t="shared" si="32"/>
        <v>-3.282878781622196</v>
      </c>
      <c r="K138">
        <f t="shared" si="33"/>
        <v>-5.5098483870967749</v>
      </c>
      <c r="L138">
        <f t="shared" si="34"/>
        <v>54.543324741796745</v>
      </c>
      <c r="M138">
        <f t="shared" si="35"/>
        <v>5.4646920725914008</v>
      </c>
      <c r="N138">
        <f t="shared" si="36"/>
        <v>-0.55203134287622824</v>
      </c>
      <c r="O138">
        <f t="shared" si="37"/>
        <v>8.6321940779445758E-2</v>
      </c>
      <c r="P138">
        <f t="shared" si="38"/>
        <v>2.3900284880423031</v>
      </c>
      <c r="Q138">
        <f t="shared" si="39"/>
        <v>8.4626566211033427E-2</v>
      </c>
      <c r="R138">
        <f t="shared" si="40"/>
        <v>5.3041153202411484E-2</v>
      </c>
      <c r="S138">
        <f t="shared" si="41"/>
        <v>0.32404697545161298</v>
      </c>
      <c r="T138">
        <f t="shared" si="42"/>
        <v>31.984958549707098</v>
      </c>
      <c r="U138">
        <f t="shared" si="43"/>
        <v>33.084812903225803</v>
      </c>
      <c r="V138">
        <f t="shared" si="44"/>
        <v>5.0762326677958454</v>
      </c>
      <c r="W138">
        <f t="shared" si="45"/>
        <v>9.6685746654877125</v>
      </c>
      <c r="X138">
        <f t="shared" si="46"/>
        <v>0.49469406604946009</v>
      </c>
      <c r="Y138">
        <f t="shared" si="47"/>
        <v>5.1165149276375388</v>
      </c>
      <c r="Z138">
        <f t="shared" si="48"/>
        <v>4.5815386017463853</v>
      </c>
      <c r="AA138">
        <f t="shared" si="49"/>
        <v>-175.54067792701667</v>
      </c>
      <c r="AB138">
        <f t="shared" si="50"/>
        <v>18.146407682139348</v>
      </c>
      <c r="AC138">
        <f t="shared" si="51"/>
        <v>1.74150153333626</v>
      </c>
      <c r="AD138">
        <f t="shared" si="52"/>
        <v>-155.32872173608945</v>
      </c>
      <c r="AE138">
        <v>6</v>
      </c>
      <c r="AF138">
        <v>1</v>
      </c>
      <c r="AG138">
        <f t="shared" si="53"/>
        <v>1</v>
      </c>
      <c r="AH138">
        <f t="shared" si="54"/>
        <v>0</v>
      </c>
      <c r="AI138">
        <f t="shared" si="55"/>
        <v>25028.24167502101</v>
      </c>
      <c r="AJ138">
        <f t="shared" si="56"/>
        <v>1.6956932258064521</v>
      </c>
      <c r="AK138">
        <f t="shared" si="57"/>
        <v>1.3565545806451618</v>
      </c>
      <c r="AL138">
        <f t="shared" si="58"/>
        <v>0.8</v>
      </c>
      <c r="AM138">
        <f t="shared" si="59"/>
        <v>0.19109999999999999</v>
      </c>
      <c r="AN138">
        <v>3</v>
      </c>
      <c r="AO138">
        <v>0.5</v>
      </c>
      <c r="AP138" t="s">
        <v>317</v>
      </c>
      <c r="AQ138">
        <v>2</v>
      </c>
      <c r="AR138">
        <v>1775539279.099999</v>
      </c>
      <c r="AS138">
        <v>-5.5098483870967749</v>
      </c>
      <c r="AT138">
        <v>-7.4926570967741926</v>
      </c>
      <c r="AU138">
        <v>4.9375625806451611</v>
      </c>
      <c r="AV138">
        <v>2.5611396774193551</v>
      </c>
      <c r="AW138">
        <v>-12.46984838709677</v>
      </c>
      <c r="AX138">
        <v>4.4681396774193551</v>
      </c>
      <c r="AY138">
        <v>500.01961290322578</v>
      </c>
      <c r="AZ138">
        <v>100.14229032258061</v>
      </c>
      <c r="BA138">
        <v>4.7643064516129027E-2</v>
      </c>
      <c r="BB138">
        <v>33.225645161290323</v>
      </c>
      <c r="BC138">
        <v>33.084812903225803</v>
      </c>
      <c r="BD138">
        <v>999.90000000000032</v>
      </c>
      <c r="BE138">
        <v>0</v>
      </c>
      <c r="BF138">
        <v>0</v>
      </c>
      <c r="BG138">
        <v>4998.0322580645161</v>
      </c>
      <c r="BH138">
        <v>1.6956932258064521</v>
      </c>
      <c r="BI138">
        <v>1878.251935483871</v>
      </c>
      <c r="BJ138">
        <v>1.972379032258065</v>
      </c>
      <c r="BK138">
        <v>-5.5344532258064527</v>
      </c>
      <c r="BL138">
        <v>-7.5298354838709676</v>
      </c>
      <c r="BM138">
        <v>-2.3766167741935482</v>
      </c>
      <c r="BN138">
        <v>-7.4926570967741926</v>
      </c>
      <c r="BO138">
        <v>4.9375625806451611</v>
      </c>
      <c r="BP138">
        <v>0.25645909677419348</v>
      </c>
      <c r="BQ138">
        <v>0.49445932258064518</v>
      </c>
      <c r="BR138">
        <v>-11.44273225806451</v>
      </c>
      <c r="BS138">
        <v>-2.937125806451613</v>
      </c>
      <c r="BT138">
        <v>1775539314.0999999</v>
      </c>
      <c r="BU138" t="s">
        <v>685</v>
      </c>
      <c r="BV138">
        <v>1775539307.0999999</v>
      </c>
      <c r="BW138">
        <v>1775539314.0999999</v>
      </c>
      <c r="BX138">
        <v>123</v>
      </c>
      <c r="BY138">
        <v>0.01</v>
      </c>
      <c r="BZ138">
        <v>0</v>
      </c>
      <c r="CA138">
        <v>6.96</v>
      </c>
      <c r="CB138">
        <v>-1.907</v>
      </c>
      <c r="CC138">
        <v>-7</v>
      </c>
      <c r="CD138">
        <v>5</v>
      </c>
      <c r="CE138">
        <v>0.27</v>
      </c>
      <c r="CF138">
        <v>0.04</v>
      </c>
      <c r="CG138">
        <v>-7.4907263333333338</v>
      </c>
      <c r="CH138">
        <v>-0.10484625729371309</v>
      </c>
      <c r="CI138">
        <v>7.4391818433809556E-2</v>
      </c>
      <c r="CJ138">
        <v>-1</v>
      </c>
      <c r="CK138">
        <v>500.94491666666659</v>
      </c>
      <c r="CL138">
        <v>-8.7276076687961925</v>
      </c>
      <c r="CM138">
        <v>1.8455373679199449</v>
      </c>
      <c r="CN138">
        <v>-1</v>
      </c>
      <c r="CO138">
        <v>0</v>
      </c>
      <c r="CP138">
        <v>0</v>
      </c>
      <c r="CQ138" t="s">
        <v>319</v>
      </c>
      <c r="CR138">
        <v>3.1693199999999999</v>
      </c>
      <c r="CS138">
        <v>2.6689699999999998</v>
      </c>
      <c r="CT138">
        <v>-3.59341E-3</v>
      </c>
      <c r="CU138">
        <v>-2.14671E-3</v>
      </c>
      <c r="CV138">
        <v>2.96546E-2</v>
      </c>
      <c r="CW138">
        <v>3.2433799999999999E-2</v>
      </c>
      <c r="CX138">
        <v>21296</v>
      </c>
      <c r="CY138">
        <v>21717.1</v>
      </c>
      <c r="CZ138">
        <v>22758</v>
      </c>
      <c r="DA138">
        <v>22043.9</v>
      </c>
      <c r="DB138">
        <v>28505.7</v>
      </c>
      <c r="DC138">
        <v>25387</v>
      </c>
      <c r="DD138">
        <v>40058.400000000001</v>
      </c>
      <c r="DE138">
        <v>36476.400000000001</v>
      </c>
      <c r="DF138">
        <v>1.98946</v>
      </c>
      <c r="DG138">
        <v>1.6004400000000001</v>
      </c>
      <c r="DH138">
        <v>-6.7234000000000002E-2</v>
      </c>
      <c r="DI138">
        <v>0</v>
      </c>
      <c r="DJ138">
        <v>34.164099999999998</v>
      </c>
      <c r="DK138">
        <v>999.9</v>
      </c>
      <c r="DL138">
        <v>48.4</v>
      </c>
      <c r="DM138">
        <v>46.8</v>
      </c>
      <c r="DN138">
        <v>51.083500000000001</v>
      </c>
      <c r="DO138">
        <v>30.731100000000001</v>
      </c>
      <c r="DP138">
        <v>10.929500000000001</v>
      </c>
      <c r="DQ138">
        <v>1</v>
      </c>
      <c r="DR138">
        <v>0.98699800000000004</v>
      </c>
      <c r="DS138">
        <v>2.7224300000000001</v>
      </c>
      <c r="DT138">
        <v>20.333200000000001</v>
      </c>
      <c r="DU138">
        <v>5.2066299999999996</v>
      </c>
      <c r="DV138">
        <v>11.856199999999999</v>
      </c>
      <c r="DW138">
        <v>4.9663199999999996</v>
      </c>
      <c r="DX138">
        <v>3.2924000000000002</v>
      </c>
      <c r="DY138">
        <v>894.7</v>
      </c>
      <c r="DZ138">
        <v>6</v>
      </c>
      <c r="EA138">
        <v>9999</v>
      </c>
      <c r="EB138">
        <v>117.8</v>
      </c>
      <c r="EC138">
        <v>4.9716199999999997</v>
      </c>
      <c r="ED138">
        <v>1.8722099999999999</v>
      </c>
      <c r="EE138">
        <v>1.8695200000000001</v>
      </c>
      <c r="EF138">
        <v>1.87182</v>
      </c>
      <c r="EG138">
        <v>1.8696299999999999</v>
      </c>
      <c r="EH138">
        <v>1.8684400000000001</v>
      </c>
      <c r="EI138">
        <v>1.8702700000000001</v>
      </c>
      <c r="EJ138">
        <v>1.87195</v>
      </c>
      <c r="EK138">
        <v>0</v>
      </c>
      <c r="EL138">
        <v>0</v>
      </c>
      <c r="EM138">
        <v>0</v>
      </c>
      <c r="EN138">
        <v>0</v>
      </c>
      <c r="EO138" t="s">
        <v>320</v>
      </c>
      <c r="EP138" t="s">
        <v>321</v>
      </c>
      <c r="EQ138" t="s">
        <v>322</v>
      </c>
      <c r="ER138" t="s">
        <v>322</v>
      </c>
      <c r="ES138" t="s">
        <v>322</v>
      </c>
      <c r="ET138" t="s">
        <v>322</v>
      </c>
      <c r="EU138">
        <v>0</v>
      </c>
      <c r="EV138">
        <v>100</v>
      </c>
      <c r="EW138">
        <v>100</v>
      </c>
      <c r="EX138">
        <v>6.96</v>
      </c>
      <c r="EY138">
        <v>-1.907</v>
      </c>
      <c r="EZ138">
        <v>6.9495735000000014</v>
      </c>
      <c r="FA138">
        <v>0</v>
      </c>
      <c r="FB138">
        <v>0</v>
      </c>
      <c r="FC138">
        <v>0</v>
      </c>
      <c r="FD138">
        <v>-1.9071940000000001</v>
      </c>
      <c r="FE138">
        <v>0</v>
      </c>
      <c r="FF138">
        <v>0</v>
      </c>
      <c r="FG138">
        <v>0</v>
      </c>
      <c r="FH138">
        <v>-1</v>
      </c>
      <c r="FI138">
        <v>-1</v>
      </c>
      <c r="FJ138">
        <v>-1</v>
      </c>
      <c r="FK138">
        <v>-1</v>
      </c>
      <c r="FL138">
        <v>0.7</v>
      </c>
      <c r="FM138">
        <v>0.5</v>
      </c>
      <c r="FN138">
        <v>0.14038100000000001</v>
      </c>
      <c r="FO138">
        <v>4.99756</v>
      </c>
      <c r="FP138">
        <v>1.5979000000000001</v>
      </c>
      <c r="FQ138">
        <v>2.1105999999999998</v>
      </c>
      <c r="FR138">
        <v>1.5478499999999999</v>
      </c>
      <c r="FS138">
        <v>2.4560499999999998</v>
      </c>
      <c r="FT138">
        <v>49.738</v>
      </c>
      <c r="FU138">
        <v>15.0952</v>
      </c>
      <c r="FV138">
        <v>2</v>
      </c>
      <c r="FW138">
        <v>505.70600000000002</v>
      </c>
      <c r="FX138">
        <v>346.22300000000001</v>
      </c>
      <c r="FY138">
        <v>31.588899999999999</v>
      </c>
      <c r="FZ138">
        <v>39.115299999999998</v>
      </c>
      <c r="GA138">
        <v>30.000900000000001</v>
      </c>
      <c r="GB138">
        <v>39.368400000000001</v>
      </c>
      <c r="GC138">
        <v>39.429000000000002</v>
      </c>
      <c r="GD138">
        <v>-1</v>
      </c>
      <c r="GE138">
        <v>0</v>
      </c>
      <c r="GF138">
        <v>100</v>
      </c>
      <c r="GG138">
        <v>31.561399999999999</v>
      </c>
      <c r="GH138">
        <v>432.1</v>
      </c>
      <c r="GI138">
        <v>44.267099999999999</v>
      </c>
      <c r="GJ138">
        <v>100.776</v>
      </c>
      <c r="GK138">
        <v>95.235500000000002</v>
      </c>
    </row>
    <row r="139" spans="1:193" x14ac:dyDescent="0.35">
      <c r="A139">
        <v>123</v>
      </c>
      <c r="B139">
        <v>1775539347.0999999</v>
      </c>
      <c r="C139">
        <v>7321</v>
      </c>
      <c r="D139" t="s">
        <v>686</v>
      </c>
      <c r="E139" t="s">
        <v>687</v>
      </c>
      <c r="F139">
        <v>60</v>
      </c>
      <c r="G139">
        <v>1775539339.099999</v>
      </c>
      <c r="H139">
        <f t="shared" si="30"/>
        <v>4.4448682416566021E-3</v>
      </c>
      <c r="I139">
        <f t="shared" si="31"/>
        <v>4.4448682416566019</v>
      </c>
      <c r="J139">
        <f t="shared" si="32"/>
        <v>-3.7661046129432156</v>
      </c>
      <c r="K139">
        <f t="shared" si="33"/>
        <v>-5.5153612903225833</v>
      </c>
      <c r="L139">
        <f t="shared" si="34"/>
        <v>55.927183780449518</v>
      </c>
      <c r="M139">
        <f t="shared" si="35"/>
        <v>5.6034509669816659</v>
      </c>
      <c r="N139">
        <f t="shared" si="36"/>
        <v>-0.55259454287621079</v>
      </c>
      <c r="O139">
        <f t="shared" si="37"/>
        <v>9.6989073146593094E-2</v>
      </c>
      <c r="P139">
        <f t="shared" si="38"/>
        <v>2.3888022059370151</v>
      </c>
      <c r="Q139">
        <f t="shared" si="39"/>
        <v>9.4853314651877421E-2</v>
      </c>
      <c r="R139">
        <f t="shared" si="40"/>
        <v>5.947129394362017E-2</v>
      </c>
      <c r="S139">
        <f t="shared" si="41"/>
        <v>0.31929925006451604</v>
      </c>
      <c r="T139">
        <f t="shared" si="42"/>
        <v>31.806337809683885</v>
      </c>
      <c r="U139">
        <f t="shared" si="43"/>
        <v>33.024145161290328</v>
      </c>
      <c r="V139">
        <f t="shared" si="44"/>
        <v>5.0589650835868003</v>
      </c>
      <c r="W139">
        <f t="shared" si="45"/>
        <v>9.6735555969167297</v>
      </c>
      <c r="X139">
        <f t="shared" si="46"/>
        <v>0.49403628634548513</v>
      </c>
      <c r="Y139">
        <f t="shared" si="47"/>
        <v>5.1070806529808976</v>
      </c>
      <c r="Z139">
        <f t="shared" si="48"/>
        <v>4.5649287972413148</v>
      </c>
      <c r="AA139">
        <f t="shared" si="49"/>
        <v>-196.01868945705615</v>
      </c>
      <c r="AB139">
        <f t="shared" si="50"/>
        <v>21.713584058983852</v>
      </c>
      <c r="AC139">
        <f t="shared" si="51"/>
        <v>2.0839558061271726</v>
      </c>
      <c r="AD139">
        <f t="shared" si="52"/>
        <v>-171.90185034188062</v>
      </c>
      <c r="AE139">
        <v>6</v>
      </c>
      <c r="AF139">
        <v>1</v>
      </c>
      <c r="AG139">
        <f t="shared" si="53"/>
        <v>1</v>
      </c>
      <c r="AH139">
        <f t="shared" si="54"/>
        <v>0</v>
      </c>
      <c r="AI139">
        <f t="shared" si="55"/>
        <v>25012.596309029639</v>
      </c>
      <c r="AJ139">
        <f t="shared" si="56"/>
        <v>1.670849032258064</v>
      </c>
      <c r="AK139">
        <f t="shared" si="57"/>
        <v>1.3366792258064513</v>
      </c>
      <c r="AL139">
        <f t="shared" si="58"/>
        <v>0.8</v>
      </c>
      <c r="AM139">
        <f t="shared" si="59"/>
        <v>0.19109999999999999</v>
      </c>
      <c r="AN139">
        <v>3</v>
      </c>
      <c r="AO139">
        <v>0.5</v>
      </c>
      <c r="AP139" t="s">
        <v>317</v>
      </c>
      <c r="AQ139">
        <v>2</v>
      </c>
      <c r="AR139">
        <v>1775539339.099999</v>
      </c>
      <c r="AS139">
        <v>-5.5153612903225833</v>
      </c>
      <c r="AT139">
        <v>-7.7899025806451618</v>
      </c>
      <c r="AU139">
        <v>4.9309003225806451</v>
      </c>
      <c r="AV139">
        <v>2.2769319354838711</v>
      </c>
      <c r="AW139">
        <v>-12.434361290322579</v>
      </c>
      <c r="AX139">
        <v>4.1849319354838714</v>
      </c>
      <c r="AY139">
        <v>499.96274193548379</v>
      </c>
      <c r="AZ139">
        <v>100.1436774193549</v>
      </c>
      <c r="BA139">
        <v>4.8225483870967728E-2</v>
      </c>
      <c r="BB139">
        <v>33.192748387096771</v>
      </c>
      <c r="BC139">
        <v>33.024145161290328</v>
      </c>
      <c r="BD139">
        <v>999.90000000000032</v>
      </c>
      <c r="BE139">
        <v>0</v>
      </c>
      <c r="BF139">
        <v>0</v>
      </c>
      <c r="BG139">
        <v>4994.8064516129034</v>
      </c>
      <c r="BH139">
        <v>1.670849032258064</v>
      </c>
      <c r="BI139">
        <v>1907.5258064516131</v>
      </c>
      <c r="BJ139">
        <v>2.3153299999999999</v>
      </c>
      <c r="BK139">
        <v>-5.487070000000001</v>
      </c>
      <c r="BL139">
        <v>-7.8285035483870962</v>
      </c>
      <c r="BM139">
        <v>-2.6530058064516129</v>
      </c>
      <c r="BN139">
        <v>-7.7899025806451618</v>
      </c>
      <c r="BO139">
        <v>4.9309003225806451</v>
      </c>
      <c r="BP139">
        <v>0.22811664516129029</v>
      </c>
      <c r="BQ139">
        <v>0.49379829032258071</v>
      </c>
      <c r="BR139">
        <v>-12.89550967741935</v>
      </c>
      <c r="BS139">
        <v>-2.9550967741935481</v>
      </c>
      <c r="BT139">
        <v>1775539374.0999999</v>
      </c>
      <c r="BU139" t="s">
        <v>688</v>
      </c>
      <c r="BV139">
        <v>1775539365.0999999</v>
      </c>
      <c r="BW139">
        <v>1775539374.0999999</v>
      </c>
      <c r="BX139">
        <v>124</v>
      </c>
      <c r="BY139">
        <v>-0.04</v>
      </c>
      <c r="BZ139">
        <v>-1E-3</v>
      </c>
      <c r="CA139">
        <v>6.9189999999999996</v>
      </c>
      <c r="CB139">
        <v>-1.9079999999999999</v>
      </c>
      <c r="CC139">
        <v>-8</v>
      </c>
      <c r="CD139">
        <v>5</v>
      </c>
      <c r="CE139">
        <v>0.25</v>
      </c>
      <c r="CF139">
        <v>0.03</v>
      </c>
      <c r="CG139">
        <v>-7.6035846666666664</v>
      </c>
      <c r="CH139">
        <v>-1.196761166990852</v>
      </c>
      <c r="CI139">
        <v>0.19865014156775451</v>
      </c>
      <c r="CJ139">
        <v>-1</v>
      </c>
      <c r="CK139">
        <v>500.82979999999992</v>
      </c>
      <c r="CL139">
        <v>-8.5935070853008551</v>
      </c>
      <c r="CM139">
        <v>1.8273443645538361</v>
      </c>
      <c r="CN139">
        <v>-1</v>
      </c>
      <c r="CO139">
        <v>0</v>
      </c>
      <c r="CP139">
        <v>0</v>
      </c>
      <c r="CQ139" t="s">
        <v>319</v>
      </c>
      <c r="CR139">
        <v>3.1693500000000001</v>
      </c>
      <c r="CS139">
        <v>2.6695600000000002</v>
      </c>
      <c r="CT139">
        <v>-3.6347800000000002E-3</v>
      </c>
      <c r="CU139">
        <v>-2.26005E-3</v>
      </c>
      <c r="CV139">
        <v>2.8394300000000001E-2</v>
      </c>
      <c r="CW139">
        <v>3.2401699999999999E-2</v>
      </c>
      <c r="CX139">
        <v>21292.2</v>
      </c>
      <c r="CY139">
        <v>21715.3</v>
      </c>
      <c r="CZ139">
        <v>22753.4</v>
      </c>
      <c r="DA139">
        <v>22039.9</v>
      </c>
      <c r="DB139">
        <v>28537.4</v>
      </c>
      <c r="DC139">
        <v>25382.9</v>
      </c>
      <c r="DD139">
        <v>40051.1</v>
      </c>
      <c r="DE139">
        <v>36469.5</v>
      </c>
      <c r="DF139">
        <v>1.9887600000000001</v>
      </c>
      <c r="DG139">
        <v>1.59636</v>
      </c>
      <c r="DH139">
        <v>-7.6234300000000005E-2</v>
      </c>
      <c r="DI139">
        <v>0</v>
      </c>
      <c r="DJ139">
        <v>34.242800000000003</v>
      </c>
      <c r="DK139">
        <v>999.9</v>
      </c>
      <c r="DL139">
        <v>48.3</v>
      </c>
      <c r="DM139">
        <v>46.8</v>
      </c>
      <c r="DN139">
        <v>50.9803</v>
      </c>
      <c r="DO139">
        <v>30.911100000000001</v>
      </c>
      <c r="DP139">
        <v>10.6851</v>
      </c>
      <c r="DQ139">
        <v>1</v>
      </c>
      <c r="DR139">
        <v>0.99406499999999998</v>
      </c>
      <c r="DS139">
        <v>1.7969599999999999</v>
      </c>
      <c r="DT139">
        <v>20.348800000000001</v>
      </c>
      <c r="DU139">
        <v>5.2071100000000001</v>
      </c>
      <c r="DV139">
        <v>11.8561</v>
      </c>
      <c r="DW139">
        <v>4.9664400000000004</v>
      </c>
      <c r="DX139">
        <v>3.2924000000000002</v>
      </c>
      <c r="DY139">
        <v>894.7</v>
      </c>
      <c r="DZ139">
        <v>6</v>
      </c>
      <c r="EA139">
        <v>9999</v>
      </c>
      <c r="EB139">
        <v>117.8</v>
      </c>
      <c r="EC139">
        <v>4.9716199999999997</v>
      </c>
      <c r="ED139">
        <v>1.8722300000000001</v>
      </c>
      <c r="EE139">
        <v>1.86957</v>
      </c>
      <c r="EF139">
        <v>1.87182</v>
      </c>
      <c r="EG139">
        <v>1.8696600000000001</v>
      </c>
      <c r="EH139">
        <v>1.8684400000000001</v>
      </c>
      <c r="EI139">
        <v>1.8702700000000001</v>
      </c>
      <c r="EJ139">
        <v>1.87195</v>
      </c>
      <c r="EK139">
        <v>0</v>
      </c>
      <c r="EL139">
        <v>0</v>
      </c>
      <c r="EM139">
        <v>0</v>
      </c>
      <c r="EN139">
        <v>0</v>
      </c>
      <c r="EO139" t="s">
        <v>320</v>
      </c>
      <c r="EP139" t="s">
        <v>321</v>
      </c>
      <c r="EQ139" t="s">
        <v>322</v>
      </c>
      <c r="ER139" t="s">
        <v>322</v>
      </c>
      <c r="ES139" t="s">
        <v>322</v>
      </c>
      <c r="ET139" t="s">
        <v>322</v>
      </c>
      <c r="EU139">
        <v>0</v>
      </c>
      <c r="EV139">
        <v>100</v>
      </c>
      <c r="EW139">
        <v>100</v>
      </c>
      <c r="EX139">
        <v>6.9189999999999996</v>
      </c>
      <c r="EY139">
        <v>-1.9079999999999999</v>
      </c>
      <c r="EZ139">
        <v>6.9597869999999977</v>
      </c>
      <c r="FA139">
        <v>0</v>
      </c>
      <c r="FB139">
        <v>0</v>
      </c>
      <c r="FC139">
        <v>0</v>
      </c>
      <c r="FD139">
        <v>-1.9070374999999999</v>
      </c>
      <c r="FE139">
        <v>0</v>
      </c>
      <c r="FF139">
        <v>0</v>
      </c>
      <c r="FG139">
        <v>0</v>
      </c>
      <c r="FH139">
        <v>-1</v>
      </c>
      <c r="FI139">
        <v>-1</v>
      </c>
      <c r="FJ139">
        <v>-1</v>
      </c>
      <c r="FK139">
        <v>-1</v>
      </c>
      <c r="FL139">
        <v>0.7</v>
      </c>
      <c r="FM139">
        <v>0.6</v>
      </c>
      <c r="FN139">
        <v>0.14038100000000001</v>
      </c>
      <c r="FO139">
        <v>4.99756</v>
      </c>
      <c r="FP139">
        <v>1.5979000000000001</v>
      </c>
      <c r="FQ139">
        <v>2.1105999999999998</v>
      </c>
      <c r="FR139">
        <v>1.5478499999999999</v>
      </c>
      <c r="FS139">
        <v>2.5122100000000001</v>
      </c>
      <c r="FT139">
        <v>49.8018</v>
      </c>
      <c r="FU139">
        <v>15.086399999999999</v>
      </c>
      <c r="FV139">
        <v>2</v>
      </c>
      <c r="FW139">
        <v>505.7</v>
      </c>
      <c r="FX139">
        <v>344.28899999999999</v>
      </c>
      <c r="FY139">
        <v>31.486699999999999</v>
      </c>
      <c r="FZ139">
        <v>39.2166</v>
      </c>
      <c r="GA139">
        <v>29.998899999999999</v>
      </c>
      <c r="GB139">
        <v>39.432000000000002</v>
      </c>
      <c r="GC139">
        <v>39.483199999999997</v>
      </c>
      <c r="GD139">
        <v>-1</v>
      </c>
      <c r="GE139">
        <v>0</v>
      </c>
      <c r="GF139">
        <v>100</v>
      </c>
      <c r="GG139">
        <v>31.636199999999999</v>
      </c>
      <c r="GH139">
        <v>432.1</v>
      </c>
      <c r="GI139">
        <v>44.267099999999999</v>
      </c>
      <c r="GJ139">
        <v>100.758</v>
      </c>
      <c r="GK139">
        <v>95.217799999999997</v>
      </c>
    </row>
    <row r="140" spans="1:193" x14ac:dyDescent="0.35">
      <c r="A140">
        <v>124</v>
      </c>
      <c r="B140">
        <v>1775539407.0999999</v>
      </c>
      <c r="C140">
        <v>7381</v>
      </c>
      <c r="D140" t="s">
        <v>689</v>
      </c>
      <c r="E140" t="s">
        <v>690</v>
      </c>
      <c r="F140">
        <v>60</v>
      </c>
      <c r="G140">
        <v>1775539399.099999</v>
      </c>
      <c r="H140">
        <f t="shared" si="30"/>
        <v>4.049594237751762E-3</v>
      </c>
      <c r="I140">
        <f t="shared" si="31"/>
        <v>4.0495942377517622</v>
      </c>
      <c r="J140">
        <f t="shared" si="32"/>
        <v>-3.5763307297433031</v>
      </c>
      <c r="K140">
        <f t="shared" si="33"/>
        <v>-6.6175096774193563</v>
      </c>
      <c r="L140">
        <f t="shared" si="34"/>
        <v>57.659482332384961</v>
      </c>
      <c r="M140">
        <f t="shared" si="35"/>
        <v>5.7768815374171432</v>
      </c>
      <c r="N140">
        <f t="shared" si="36"/>
        <v>-0.66300576995800975</v>
      </c>
      <c r="O140">
        <f t="shared" si="37"/>
        <v>8.7962420831364657E-2</v>
      </c>
      <c r="P140">
        <f t="shared" si="38"/>
        <v>2.3890498196169108</v>
      </c>
      <c r="Q140">
        <f t="shared" si="39"/>
        <v>8.6201997997018318E-2</v>
      </c>
      <c r="R140">
        <f t="shared" si="40"/>
        <v>5.403148128089201E-2</v>
      </c>
      <c r="S140">
        <f t="shared" si="41"/>
        <v>0.32033612167741926</v>
      </c>
      <c r="T140">
        <f t="shared" si="42"/>
        <v>31.931975011129182</v>
      </c>
      <c r="U140">
        <f t="shared" si="43"/>
        <v>33.061248387096782</v>
      </c>
      <c r="V140">
        <f t="shared" si="44"/>
        <v>5.0695195255057151</v>
      </c>
      <c r="W140">
        <f t="shared" si="45"/>
        <v>9.6616617083308203</v>
      </c>
      <c r="X140">
        <f t="shared" si="46"/>
        <v>0.4934846769130718</v>
      </c>
      <c r="Y140">
        <f t="shared" si="47"/>
        <v>5.1076584112602692</v>
      </c>
      <c r="Z140">
        <f t="shared" si="48"/>
        <v>4.5760348485926432</v>
      </c>
      <c r="AA140">
        <f t="shared" si="49"/>
        <v>-178.58710588485269</v>
      </c>
      <c r="AB140">
        <f t="shared" si="50"/>
        <v>17.196670986753062</v>
      </c>
      <c r="AC140">
        <f t="shared" si="51"/>
        <v>1.650591462116024</v>
      </c>
      <c r="AD140">
        <f t="shared" si="52"/>
        <v>-159.4195073143062</v>
      </c>
      <c r="AE140">
        <v>6</v>
      </c>
      <c r="AF140">
        <v>1</v>
      </c>
      <c r="AG140">
        <f t="shared" si="53"/>
        <v>1</v>
      </c>
      <c r="AH140">
        <f t="shared" si="54"/>
        <v>0</v>
      </c>
      <c r="AI140">
        <f t="shared" si="55"/>
        <v>25016.20460699041</v>
      </c>
      <c r="AJ140">
        <f t="shared" si="56"/>
        <v>1.6762748387096771</v>
      </c>
      <c r="AK140">
        <f t="shared" si="57"/>
        <v>1.3410198709677417</v>
      </c>
      <c r="AL140">
        <f t="shared" si="58"/>
        <v>0.8</v>
      </c>
      <c r="AM140">
        <f t="shared" si="59"/>
        <v>0.19109999999999999</v>
      </c>
      <c r="AN140">
        <v>3</v>
      </c>
      <c r="AO140">
        <v>0.5</v>
      </c>
      <c r="AP140" t="s">
        <v>317</v>
      </c>
      <c r="AQ140">
        <v>2</v>
      </c>
      <c r="AR140">
        <v>1775539399.099999</v>
      </c>
      <c r="AS140">
        <v>-6.6175096774193563</v>
      </c>
      <c r="AT140">
        <v>-8.7793290322580653</v>
      </c>
      <c r="AU140">
        <v>4.9255070967741954</v>
      </c>
      <c r="AV140">
        <v>2.5077832258064521</v>
      </c>
      <c r="AW140">
        <v>-13.53450967741936</v>
      </c>
      <c r="AX140">
        <v>4.4167832258064514</v>
      </c>
      <c r="AY140">
        <v>500.01341935483862</v>
      </c>
      <c r="AZ140">
        <v>100.1415806451613</v>
      </c>
      <c r="BA140">
        <v>4.8037848387096758E-2</v>
      </c>
      <c r="BB140">
        <v>33.194764516129027</v>
      </c>
      <c r="BC140">
        <v>33.061248387096782</v>
      </c>
      <c r="BD140">
        <v>999.90000000000032</v>
      </c>
      <c r="BE140">
        <v>0</v>
      </c>
      <c r="BF140">
        <v>0</v>
      </c>
      <c r="BG140">
        <v>4995.5483870967746</v>
      </c>
      <c r="BH140">
        <v>1.6762748387096771</v>
      </c>
      <c r="BI140">
        <v>1901.4061290322579</v>
      </c>
      <c r="BJ140">
        <v>2.1641438709677421</v>
      </c>
      <c r="BK140">
        <v>-6.6318267741935477</v>
      </c>
      <c r="BL140">
        <v>-8.8227864516129024</v>
      </c>
      <c r="BM140">
        <v>-2.4164416129032258</v>
      </c>
      <c r="BN140">
        <v>-8.7793290322580653</v>
      </c>
      <c r="BO140">
        <v>4.9255070967741954</v>
      </c>
      <c r="BP140">
        <v>0.2512617419354839</v>
      </c>
      <c r="BQ140">
        <v>0.49324832258064499</v>
      </c>
      <c r="BR140">
        <v>-11.69745161290323</v>
      </c>
      <c r="BS140">
        <v>-2.970066774193548</v>
      </c>
      <c r="BT140">
        <v>1775539435.0999999</v>
      </c>
      <c r="BU140" t="s">
        <v>691</v>
      </c>
      <c r="BV140">
        <v>1775539425.5999999</v>
      </c>
      <c r="BW140">
        <v>1775539435.0999999</v>
      </c>
      <c r="BX140">
        <v>125</v>
      </c>
      <c r="BY140">
        <v>-3.0000000000000001E-3</v>
      </c>
      <c r="BZ140">
        <v>-1E-3</v>
      </c>
      <c r="CA140">
        <v>6.9169999999999998</v>
      </c>
      <c r="CB140">
        <v>-1.909</v>
      </c>
      <c r="CC140">
        <v>-8</v>
      </c>
      <c r="CD140">
        <v>5</v>
      </c>
      <c r="CE140">
        <v>0.27</v>
      </c>
      <c r="CF140">
        <v>0.02</v>
      </c>
      <c r="CG140">
        <v>-8.6309953333333347</v>
      </c>
      <c r="CH140">
        <v>-1.0481756932481281</v>
      </c>
      <c r="CI140">
        <v>0.18538920046276219</v>
      </c>
      <c r="CJ140">
        <v>-1</v>
      </c>
      <c r="CK140">
        <v>500.84428333333341</v>
      </c>
      <c r="CL140">
        <v>-8.222093914976119</v>
      </c>
      <c r="CM140">
        <v>1.778380912437554</v>
      </c>
      <c r="CN140">
        <v>-1</v>
      </c>
      <c r="CO140">
        <v>0</v>
      </c>
      <c r="CP140">
        <v>0</v>
      </c>
      <c r="CQ140" t="s">
        <v>319</v>
      </c>
      <c r="CR140">
        <v>3.1694300000000002</v>
      </c>
      <c r="CS140">
        <v>2.6687400000000001</v>
      </c>
      <c r="CT140">
        <v>-3.9581399999999997E-3</v>
      </c>
      <c r="CU140">
        <v>-2.5419599999999998E-3</v>
      </c>
      <c r="CV140">
        <v>2.9922799999999999E-2</v>
      </c>
      <c r="CW140">
        <v>3.2394600000000003E-2</v>
      </c>
      <c r="CX140">
        <v>21294.1</v>
      </c>
      <c r="CY140">
        <v>21716.6</v>
      </c>
      <c r="CZ140">
        <v>22748.5</v>
      </c>
      <c r="DA140">
        <v>22035.3</v>
      </c>
      <c r="DB140">
        <v>28486.6</v>
      </c>
      <c r="DC140">
        <v>25377.5</v>
      </c>
      <c r="DD140">
        <v>40043.199999999997</v>
      </c>
      <c r="DE140">
        <v>36461.800000000003</v>
      </c>
      <c r="DF140">
        <v>1.9883</v>
      </c>
      <c r="DG140">
        <v>1.59484</v>
      </c>
      <c r="DH140">
        <v>-6.9052000000000002E-2</v>
      </c>
      <c r="DI140">
        <v>0</v>
      </c>
      <c r="DJ140">
        <v>34.211500000000001</v>
      </c>
      <c r="DK140">
        <v>999.9</v>
      </c>
      <c r="DL140">
        <v>48.3</v>
      </c>
      <c r="DM140">
        <v>46.9</v>
      </c>
      <c r="DN140">
        <v>51.2408</v>
      </c>
      <c r="DO140">
        <v>30.7911</v>
      </c>
      <c r="DP140">
        <v>10.697100000000001</v>
      </c>
      <c r="DQ140">
        <v>1</v>
      </c>
      <c r="DR140">
        <v>1.00603</v>
      </c>
      <c r="DS140">
        <v>2.63205</v>
      </c>
      <c r="DT140">
        <v>20.334900000000001</v>
      </c>
      <c r="DU140">
        <v>5.2069900000000002</v>
      </c>
      <c r="DV140">
        <v>11.8561</v>
      </c>
      <c r="DW140">
        <v>4.9667199999999996</v>
      </c>
      <c r="DX140">
        <v>3.2924000000000002</v>
      </c>
      <c r="DY140">
        <v>894.7</v>
      </c>
      <c r="DZ140">
        <v>6</v>
      </c>
      <c r="EA140">
        <v>9999</v>
      </c>
      <c r="EB140">
        <v>117.8</v>
      </c>
      <c r="EC140">
        <v>4.97159</v>
      </c>
      <c r="ED140">
        <v>1.87222</v>
      </c>
      <c r="EE140">
        <v>1.86957</v>
      </c>
      <c r="EF140">
        <v>1.87181</v>
      </c>
      <c r="EG140">
        <v>1.8696600000000001</v>
      </c>
      <c r="EH140">
        <v>1.8684400000000001</v>
      </c>
      <c r="EI140">
        <v>1.8702700000000001</v>
      </c>
      <c r="EJ140">
        <v>1.87195</v>
      </c>
      <c r="EK140">
        <v>0</v>
      </c>
      <c r="EL140">
        <v>0</v>
      </c>
      <c r="EM140">
        <v>0</v>
      </c>
      <c r="EN140">
        <v>0</v>
      </c>
      <c r="EO140" t="s">
        <v>320</v>
      </c>
      <c r="EP140" t="s">
        <v>321</v>
      </c>
      <c r="EQ140" t="s">
        <v>322</v>
      </c>
      <c r="ER140" t="s">
        <v>322</v>
      </c>
      <c r="ES140" t="s">
        <v>322</v>
      </c>
      <c r="ET140" t="s">
        <v>322</v>
      </c>
      <c r="EU140">
        <v>0</v>
      </c>
      <c r="EV140">
        <v>100</v>
      </c>
      <c r="EW140">
        <v>100</v>
      </c>
      <c r="EX140">
        <v>6.9169999999999998</v>
      </c>
      <c r="EY140">
        <v>-1.909</v>
      </c>
      <c r="EZ140">
        <v>6.9193249999999997</v>
      </c>
      <c r="FA140">
        <v>0</v>
      </c>
      <c r="FB140">
        <v>0</v>
      </c>
      <c r="FC140">
        <v>0</v>
      </c>
      <c r="FD140">
        <v>-1.9077185000000001</v>
      </c>
      <c r="FE140">
        <v>0</v>
      </c>
      <c r="FF140">
        <v>0</v>
      </c>
      <c r="FG140">
        <v>0</v>
      </c>
      <c r="FH140">
        <v>-1</v>
      </c>
      <c r="FI140">
        <v>-1</v>
      </c>
      <c r="FJ140">
        <v>-1</v>
      </c>
      <c r="FK140">
        <v>-1</v>
      </c>
      <c r="FL140">
        <v>0.7</v>
      </c>
      <c r="FM140">
        <v>0.6</v>
      </c>
      <c r="FN140">
        <v>0.14038100000000001</v>
      </c>
      <c r="FO140">
        <v>4.99756</v>
      </c>
      <c r="FP140">
        <v>1.5979000000000001</v>
      </c>
      <c r="FQ140">
        <v>2.1105999999999998</v>
      </c>
      <c r="FR140">
        <v>1.5478499999999999</v>
      </c>
      <c r="FS140">
        <v>2.5439500000000002</v>
      </c>
      <c r="FT140">
        <v>49.865600000000001</v>
      </c>
      <c r="FU140">
        <v>15.086399999999999</v>
      </c>
      <c r="FV140">
        <v>2</v>
      </c>
      <c r="FW140">
        <v>505.93099999999998</v>
      </c>
      <c r="FX140">
        <v>343.77600000000001</v>
      </c>
      <c r="FY140">
        <v>31.654199999999999</v>
      </c>
      <c r="FZ140">
        <v>39.323700000000002</v>
      </c>
      <c r="GA140">
        <v>30.001000000000001</v>
      </c>
      <c r="GB140">
        <v>39.508800000000001</v>
      </c>
      <c r="GC140">
        <v>39.548099999999998</v>
      </c>
      <c r="GD140">
        <v>-1</v>
      </c>
      <c r="GE140">
        <v>0</v>
      </c>
      <c r="GF140">
        <v>100</v>
      </c>
      <c r="GG140">
        <v>31.648800000000001</v>
      </c>
      <c r="GH140">
        <v>432.1</v>
      </c>
      <c r="GI140">
        <v>44.267099999999999</v>
      </c>
      <c r="GJ140">
        <v>100.73699999999999</v>
      </c>
      <c r="GK140">
        <v>95.197699999999998</v>
      </c>
    </row>
    <row r="141" spans="1:193" x14ac:dyDescent="0.35">
      <c r="A141">
        <v>125</v>
      </c>
      <c r="B141">
        <v>1775539467.0999999</v>
      </c>
      <c r="C141">
        <v>7441</v>
      </c>
      <c r="D141" t="s">
        <v>692</v>
      </c>
      <c r="E141" t="s">
        <v>693</v>
      </c>
      <c r="F141">
        <v>60</v>
      </c>
      <c r="G141">
        <v>1775539459.099999</v>
      </c>
      <c r="H141">
        <f t="shared" si="30"/>
        <v>3.8245922228924336E-3</v>
      </c>
      <c r="I141">
        <f t="shared" si="31"/>
        <v>3.8245922228924334</v>
      </c>
      <c r="J141">
        <f t="shared" si="32"/>
        <v>-3.4440610738978763</v>
      </c>
      <c r="K141">
        <f t="shared" si="33"/>
        <v>-6.3058612903225821</v>
      </c>
      <c r="L141">
        <f t="shared" si="34"/>
        <v>59.555617733591646</v>
      </c>
      <c r="M141">
        <f t="shared" si="35"/>
        <v>5.9665206202528962</v>
      </c>
      <c r="N141">
        <f t="shared" si="36"/>
        <v>-0.63174647243970772</v>
      </c>
      <c r="O141">
        <f t="shared" si="37"/>
        <v>8.2526471354503944E-2</v>
      </c>
      <c r="P141">
        <f t="shared" si="38"/>
        <v>2.3894259926935852</v>
      </c>
      <c r="Q141">
        <f t="shared" si="39"/>
        <v>8.0975079536015029E-2</v>
      </c>
      <c r="R141">
        <f t="shared" si="40"/>
        <v>5.0746381970899777E-2</v>
      </c>
      <c r="S141">
        <f t="shared" si="41"/>
        <v>0.30794236200000003</v>
      </c>
      <c r="T141">
        <f t="shared" si="42"/>
        <v>32.002599098456074</v>
      </c>
      <c r="U141">
        <f t="shared" si="43"/>
        <v>33.143935483870962</v>
      </c>
      <c r="V141">
        <f t="shared" si="44"/>
        <v>5.0931097734320385</v>
      </c>
      <c r="W141">
        <f t="shared" si="45"/>
        <v>9.655395086072657</v>
      </c>
      <c r="X141">
        <f t="shared" si="46"/>
        <v>0.49317156158813724</v>
      </c>
      <c r="Y141">
        <f t="shared" si="47"/>
        <v>5.1077305194844733</v>
      </c>
      <c r="Z141">
        <f t="shared" si="48"/>
        <v>4.5999382118439014</v>
      </c>
      <c r="AA141">
        <f t="shared" si="49"/>
        <v>-168.66451702955632</v>
      </c>
      <c r="AB141">
        <f t="shared" si="50"/>
        <v>6.5801440476142501</v>
      </c>
      <c r="AC141">
        <f t="shared" si="51"/>
        <v>0.63174047119209031</v>
      </c>
      <c r="AD141">
        <f t="shared" si="52"/>
        <v>-161.14469014874999</v>
      </c>
      <c r="AE141">
        <v>6</v>
      </c>
      <c r="AF141">
        <v>1</v>
      </c>
      <c r="AG141">
        <f t="shared" si="53"/>
        <v>1</v>
      </c>
      <c r="AH141">
        <f t="shared" si="54"/>
        <v>0</v>
      </c>
      <c r="AI141">
        <f t="shared" si="55"/>
        <v>25022.005802687458</v>
      </c>
      <c r="AJ141">
        <f t="shared" si="56"/>
        <v>1.6114200000000001</v>
      </c>
      <c r="AK141">
        <f t="shared" si="57"/>
        <v>1.2891360000000001</v>
      </c>
      <c r="AL141">
        <f t="shared" si="58"/>
        <v>0.8</v>
      </c>
      <c r="AM141">
        <f t="shared" si="59"/>
        <v>0.19109999999999999</v>
      </c>
      <c r="AN141">
        <v>3</v>
      </c>
      <c r="AO141">
        <v>0.5</v>
      </c>
      <c r="AP141" t="s">
        <v>317</v>
      </c>
      <c r="AQ141">
        <v>2</v>
      </c>
      <c r="AR141">
        <v>1775539459.099999</v>
      </c>
      <c r="AS141">
        <v>-6.3058612903225821</v>
      </c>
      <c r="AT141">
        <v>-8.386873870967742</v>
      </c>
      <c r="AU141">
        <v>4.922657419354838</v>
      </c>
      <c r="AV141">
        <v>2.639082580645161</v>
      </c>
      <c r="AW141">
        <v>-13.19086129032258</v>
      </c>
      <c r="AX141">
        <v>4.5450825806451611</v>
      </c>
      <c r="AY141">
        <v>499.97464516129031</v>
      </c>
      <c r="AZ141">
        <v>100.1360967741936</v>
      </c>
      <c r="BA141">
        <v>4.7913522580645157E-2</v>
      </c>
      <c r="BB141">
        <v>33.195016129032261</v>
      </c>
      <c r="BC141">
        <v>33.143935483870962</v>
      </c>
      <c r="BD141">
        <v>999.90000000000032</v>
      </c>
      <c r="BE141">
        <v>0</v>
      </c>
      <c r="BF141">
        <v>0</v>
      </c>
      <c r="BG141">
        <v>4996.7903225806449</v>
      </c>
      <c r="BH141">
        <v>1.6114200000000001</v>
      </c>
      <c r="BI141">
        <v>1822.4048387096771</v>
      </c>
      <c r="BJ141">
        <v>2.1126374193548392</v>
      </c>
      <c r="BK141">
        <v>-6.2908225806451634</v>
      </c>
      <c r="BL141">
        <v>-8.428364516129033</v>
      </c>
      <c r="BM141">
        <v>-2.2863083870967742</v>
      </c>
      <c r="BN141">
        <v>-8.386873870967742</v>
      </c>
      <c r="BO141">
        <v>4.922657419354838</v>
      </c>
      <c r="BP141">
        <v>0.26399354838709682</v>
      </c>
      <c r="BQ141">
        <v>0.49293535483870982</v>
      </c>
      <c r="BR141">
        <v>-11.079541935483871</v>
      </c>
      <c r="BS141">
        <v>-2.978589354838709</v>
      </c>
      <c r="BT141">
        <v>1775539491.0999999</v>
      </c>
      <c r="BU141" t="s">
        <v>694</v>
      </c>
      <c r="BV141">
        <v>1775539485.0999999</v>
      </c>
      <c r="BW141">
        <v>1775539491.0999999</v>
      </c>
      <c r="BX141">
        <v>126</v>
      </c>
      <c r="BY141">
        <v>-3.2000000000000001E-2</v>
      </c>
      <c r="BZ141">
        <v>2E-3</v>
      </c>
      <c r="CA141">
        <v>6.8849999999999998</v>
      </c>
      <c r="CB141">
        <v>-1.9059999999999999</v>
      </c>
      <c r="CC141">
        <v>-8</v>
      </c>
      <c r="CD141">
        <v>5</v>
      </c>
      <c r="CE141">
        <v>0.16</v>
      </c>
      <c r="CF141">
        <v>0.04</v>
      </c>
      <c r="CG141">
        <v>-8.3057803333333329</v>
      </c>
      <c r="CH141">
        <v>-0.82498222839677837</v>
      </c>
      <c r="CI141">
        <v>0.16200853059810011</v>
      </c>
      <c r="CJ141">
        <v>-1</v>
      </c>
      <c r="CK141">
        <v>500.95158333333342</v>
      </c>
      <c r="CL141">
        <v>-9.0566657404830675</v>
      </c>
      <c r="CM141">
        <v>1.87306799388656</v>
      </c>
      <c r="CN141">
        <v>-1</v>
      </c>
      <c r="CO141">
        <v>0</v>
      </c>
      <c r="CP141">
        <v>0</v>
      </c>
      <c r="CQ141" t="s">
        <v>319</v>
      </c>
      <c r="CR141">
        <v>3.16927</v>
      </c>
      <c r="CS141">
        <v>2.6687599999999998</v>
      </c>
      <c r="CT141">
        <v>-3.8409799999999999E-3</v>
      </c>
      <c r="CU141">
        <v>-2.4398200000000001E-3</v>
      </c>
      <c r="CV141">
        <v>3.0489499999999999E-2</v>
      </c>
      <c r="CW141">
        <v>3.2332199999999998E-2</v>
      </c>
      <c r="CX141">
        <v>21286.400000000001</v>
      </c>
      <c r="CY141">
        <v>21709.9</v>
      </c>
      <c r="CZ141">
        <v>22743.5</v>
      </c>
      <c r="DA141">
        <v>22031.1</v>
      </c>
      <c r="DB141">
        <v>28463.8</v>
      </c>
      <c r="DC141">
        <v>25373.8</v>
      </c>
      <c r="DD141">
        <v>40034.9</v>
      </c>
      <c r="DE141">
        <v>36454.5</v>
      </c>
      <c r="DF141">
        <v>1.98702</v>
      </c>
      <c r="DG141">
        <v>1.5933999999999999</v>
      </c>
      <c r="DH141">
        <v>-7.1763999999999994E-2</v>
      </c>
      <c r="DI141">
        <v>0</v>
      </c>
      <c r="DJ141">
        <v>34.319899999999997</v>
      </c>
      <c r="DK141">
        <v>999.9</v>
      </c>
      <c r="DL141">
        <v>48.3</v>
      </c>
      <c r="DM141">
        <v>46.9</v>
      </c>
      <c r="DN141">
        <v>51.245899999999999</v>
      </c>
      <c r="DO141">
        <v>30.7911</v>
      </c>
      <c r="DP141">
        <v>10.881399999999999</v>
      </c>
      <c r="DQ141">
        <v>1</v>
      </c>
      <c r="DR141">
        <v>1.0174799999999999</v>
      </c>
      <c r="DS141">
        <v>2.73502</v>
      </c>
      <c r="DT141">
        <v>20.333200000000001</v>
      </c>
      <c r="DU141">
        <v>5.2071100000000001</v>
      </c>
      <c r="DV141">
        <v>11.857100000000001</v>
      </c>
      <c r="DW141">
        <v>4.9667599999999998</v>
      </c>
      <c r="DX141">
        <v>3.2923200000000001</v>
      </c>
      <c r="DY141">
        <v>894.7</v>
      </c>
      <c r="DZ141">
        <v>6</v>
      </c>
      <c r="EA141">
        <v>9999</v>
      </c>
      <c r="EB141">
        <v>117.8</v>
      </c>
      <c r="EC141">
        <v>4.9716399999999998</v>
      </c>
      <c r="ED141">
        <v>1.8722399999999999</v>
      </c>
      <c r="EE141">
        <v>1.86957</v>
      </c>
      <c r="EF141">
        <v>1.87191</v>
      </c>
      <c r="EG141">
        <v>1.8696600000000001</v>
      </c>
      <c r="EH141">
        <v>1.8684499999999999</v>
      </c>
      <c r="EI141">
        <v>1.8702799999999999</v>
      </c>
      <c r="EJ141">
        <v>1.8719600000000001</v>
      </c>
      <c r="EK141">
        <v>0</v>
      </c>
      <c r="EL141">
        <v>0</v>
      </c>
      <c r="EM141">
        <v>0</v>
      </c>
      <c r="EN141">
        <v>0</v>
      </c>
      <c r="EO141" t="s">
        <v>320</v>
      </c>
      <c r="EP141" t="s">
        <v>321</v>
      </c>
      <c r="EQ141" t="s">
        <v>322</v>
      </c>
      <c r="ER141" t="s">
        <v>322</v>
      </c>
      <c r="ES141" t="s">
        <v>322</v>
      </c>
      <c r="ET141" t="s">
        <v>322</v>
      </c>
      <c r="EU141">
        <v>0</v>
      </c>
      <c r="EV141">
        <v>100</v>
      </c>
      <c r="EW141">
        <v>100</v>
      </c>
      <c r="EX141">
        <v>6.8849999999999998</v>
      </c>
      <c r="EY141">
        <v>-1.9059999999999999</v>
      </c>
      <c r="EZ141">
        <v>6.9166247619047549</v>
      </c>
      <c r="FA141">
        <v>0</v>
      </c>
      <c r="FB141">
        <v>0</v>
      </c>
      <c r="FC141">
        <v>0</v>
      </c>
      <c r="FD141">
        <v>-1.908733499999999</v>
      </c>
      <c r="FE141">
        <v>0</v>
      </c>
      <c r="FF141">
        <v>0</v>
      </c>
      <c r="FG141">
        <v>0</v>
      </c>
      <c r="FH141">
        <v>-1</v>
      </c>
      <c r="FI141">
        <v>-1</v>
      </c>
      <c r="FJ141">
        <v>-1</v>
      </c>
      <c r="FK141">
        <v>-1</v>
      </c>
      <c r="FL141">
        <v>0.7</v>
      </c>
      <c r="FM141">
        <v>0.5</v>
      </c>
      <c r="FN141">
        <v>0.14038100000000001</v>
      </c>
      <c r="FO141">
        <v>4.99756</v>
      </c>
      <c r="FP141">
        <v>1.5979000000000001</v>
      </c>
      <c r="FQ141">
        <v>2.1105999999999998</v>
      </c>
      <c r="FR141">
        <v>1.5478499999999999</v>
      </c>
      <c r="FS141">
        <v>2.51831</v>
      </c>
      <c r="FT141">
        <v>49.929600000000001</v>
      </c>
      <c r="FU141">
        <v>15.0777</v>
      </c>
      <c r="FV141">
        <v>2</v>
      </c>
      <c r="FW141">
        <v>505.74099999999999</v>
      </c>
      <c r="FX141">
        <v>343.40300000000002</v>
      </c>
      <c r="FY141">
        <v>31.7303</v>
      </c>
      <c r="FZ141">
        <v>39.4452</v>
      </c>
      <c r="GA141">
        <v>30.001100000000001</v>
      </c>
      <c r="GB141">
        <v>39.598700000000001</v>
      </c>
      <c r="GC141">
        <v>39.634300000000003</v>
      </c>
      <c r="GD141">
        <v>-1</v>
      </c>
      <c r="GE141">
        <v>0</v>
      </c>
      <c r="GF141">
        <v>100</v>
      </c>
      <c r="GG141">
        <v>31.726600000000001</v>
      </c>
      <c r="GH141">
        <v>432.1</v>
      </c>
      <c r="GI141">
        <v>44.267099999999999</v>
      </c>
      <c r="GJ141">
        <v>100.715</v>
      </c>
      <c r="GK141">
        <v>95.179000000000002</v>
      </c>
    </row>
    <row r="142" spans="1:193" x14ac:dyDescent="0.35">
      <c r="A142">
        <v>126</v>
      </c>
      <c r="B142">
        <v>1775539527.0999999</v>
      </c>
      <c r="C142">
        <v>7501</v>
      </c>
      <c r="D142" t="s">
        <v>695</v>
      </c>
      <c r="E142" t="s">
        <v>696</v>
      </c>
      <c r="F142">
        <v>60</v>
      </c>
      <c r="G142">
        <v>1775539519.099999</v>
      </c>
      <c r="H142">
        <f t="shared" si="30"/>
        <v>3.4816654141562519E-3</v>
      </c>
      <c r="I142">
        <f t="shared" si="31"/>
        <v>3.481665414156252</v>
      </c>
      <c r="J142">
        <f t="shared" si="32"/>
        <v>-3.012411231516495</v>
      </c>
      <c r="K142">
        <f t="shared" si="33"/>
        <v>-6.9976645161290341</v>
      </c>
      <c r="L142">
        <f t="shared" si="34"/>
        <v>56.348054760910991</v>
      </c>
      <c r="M142">
        <f t="shared" si="35"/>
        <v>5.6451005846986142</v>
      </c>
      <c r="N142">
        <f t="shared" si="36"/>
        <v>-0.70104496453581067</v>
      </c>
      <c r="O142">
        <f t="shared" si="37"/>
        <v>7.5020584847590138E-2</v>
      </c>
      <c r="P142">
        <f t="shared" si="38"/>
        <v>2.3900588117840584</v>
      </c>
      <c r="Q142">
        <f t="shared" si="39"/>
        <v>7.3736528440894081E-2</v>
      </c>
      <c r="R142">
        <f t="shared" si="40"/>
        <v>4.6198866971142505E-2</v>
      </c>
      <c r="S142">
        <f t="shared" si="41"/>
        <v>0.30464933912903225</v>
      </c>
      <c r="T142">
        <f t="shared" si="42"/>
        <v>32.060516881208365</v>
      </c>
      <c r="U142">
        <f t="shared" si="43"/>
        <v>33.127003225806448</v>
      </c>
      <c r="V142">
        <f t="shared" si="44"/>
        <v>5.088271317398708</v>
      </c>
      <c r="W142">
        <f t="shared" si="45"/>
        <v>9.6114022342208969</v>
      </c>
      <c r="X142">
        <f t="shared" si="46"/>
        <v>0.48956580091919538</v>
      </c>
      <c r="Y142">
        <f t="shared" si="47"/>
        <v>5.0935939313425243</v>
      </c>
      <c r="Z142">
        <f t="shared" si="48"/>
        <v>4.5987055164795123</v>
      </c>
      <c r="AA142">
        <f t="shared" si="49"/>
        <v>-153.5414447642907</v>
      </c>
      <c r="AB142">
        <f t="shared" si="50"/>
        <v>2.3999882571481206</v>
      </c>
      <c r="AC142">
        <f t="shared" si="51"/>
        <v>0.23028003819164705</v>
      </c>
      <c r="AD142">
        <f t="shared" si="52"/>
        <v>-150.6065271298219</v>
      </c>
      <c r="AE142">
        <v>6</v>
      </c>
      <c r="AF142">
        <v>1</v>
      </c>
      <c r="AG142">
        <f t="shared" si="53"/>
        <v>1</v>
      </c>
      <c r="AH142">
        <f t="shared" si="54"/>
        <v>0</v>
      </c>
      <c r="AI142">
        <f t="shared" si="55"/>
        <v>25035.527671681728</v>
      </c>
      <c r="AJ142">
        <f t="shared" si="56"/>
        <v>1.594188064516129</v>
      </c>
      <c r="AK142">
        <f t="shared" si="57"/>
        <v>1.2753504516129033</v>
      </c>
      <c r="AL142">
        <f t="shared" si="58"/>
        <v>0.8</v>
      </c>
      <c r="AM142">
        <f t="shared" si="59"/>
        <v>0.19109999999999999</v>
      </c>
      <c r="AN142">
        <v>3</v>
      </c>
      <c r="AO142">
        <v>0.5</v>
      </c>
      <c r="AP142" t="s">
        <v>317</v>
      </c>
      <c r="AQ142">
        <v>2</v>
      </c>
      <c r="AR142">
        <v>1775539519.099999</v>
      </c>
      <c r="AS142">
        <v>-6.9976645161290341</v>
      </c>
      <c r="AT142">
        <v>-8.8197896774193527</v>
      </c>
      <c r="AU142">
        <v>4.8867296774193543</v>
      </c>
      <c r="AV142">
        <v>2.8078699999999999</v>
      </c>
      <c r="AW142">
        <v>-13.880664516129031</v>
      </c>
      <c r="AX142">
        <v>4.7148700000000003</v>
      </c>
      <c r="AY142">
        <v>499.98345161290308</v>
      </c>
      <c r="AZ142">
        <v>100.1348064516129</v>
      </c>
      <c r="BA142">
        <v>4.7899209677419348E-2</v>
      </c>
      <c r="BB142">
        <v>33.145629032258057</v>
      </c>
      <c r="BC142">
        <v>33.127003225806448</v>
      </c>
      <c r="BD142">
        <v>999.90000000000032</v>
      </c>
      <c r="BE142">
        <v>0</v>
      </c>
      <c r="BF142">
        <v>0</v>
      </c>
      <c r="BG142">
        <v>4998.4838709677406</v>
      </c>
      <c r="BH142">
        <v>1.594188064516129</v>
      </c>
      <c r="BI142">
        <v>1824.2316129032261</v>
      </c>
      <c r="BJ142">
        <v>1.823845806451613</v>
      </c>
      <c r="BK142">
        <v>-7.0156470967741944</v>
      </c>
      <c r="BL142">
        <v>-8.8631019354838703</v>
      </c>
      <c r="BM142">
        <v>-2.0781419354838708</v>
      </c>
      <c r="BN142">
        <v>-8.8197896774193527</v>
      </c>
      <c r="BO142">
        <v>4.8867296774193543</v>
      </c>
      <c r="BP142">
        <v>0.28123751612903231</v>
      </c>
      <c r="BQ142">
        <v>0.48933180645161289</v>
      </c>
      <c r="BR142">
        <v>-10.284812903225809</v>
      </c>
      <c r="BS142">
        <v>-3.0770941935483869</v>
      </c>
      <c r="BT142">
        <v>1775539557.0999999</v>
      </c>
      <c r="BU142" t="s">
        <v>697</v>
      </c>
      <c r="BV142">
        <v>1775539545.0999999</v>
      </c>
      <c r="BW142">
        <v>1775539557.0999999</v>
      </c>
      <c r="BX142">
        <v>127</v>
      </c>
      <c r="BY142">
        <v>-2E-3</v>
      </c>
      <c r="BZ142">
        <v>0</v>
      </c>
      <c r="CA142">
        <v>6.883</v>
      </c>
      <c r="CB142">
        <v>-1.907</v>
      </c>
      <c r="CC142">
        <v>-9</v>
      </c>
      <c r="CD142">
        <v>5</v>
      </c>
      <c r="CE142">
        <v>0.15</v>
      </c>
      <c r="CF142">
        <v>0.04</v>
      </c>
      <c r="CG142">
        <v>-8.8369544262295072</v>
      </c>
      <c r="CH142">
        <v>-0.1232285774722177</v>
      </c>
      <c r="CI142">
        <v>0.1474222335648899</v>
      </c>
      <c r="CJ142">
        <v>-1</v>
      </c>
      <c r="CK142">
        <v>500.50490163934433</v>
      </c>
      <c r="CL142">
        <v>-5.5273992596515846</v>
      </c>
      <c r="CM142">
        <v>1.435074793331806</v>
      </c>
      <c r="CN142">
        <v>-1</v>
      </c>
      <c r="CO142">
        <v>0</v>
      </c>
      <c r="CP142">
        <v>0</v>
      </c>
      <c r="CQ142" t="s">
        <v>319</v>
      </c>
      <c r="CR142">
        <v>3.1693500000000001</v>
      </c>
      <c r="CS142">
        <v>2.6688000000000001</v>
      </c>
      <c r="CT142">
        <v>-4.0095799999999996E-3</v>
      </c>
      <c r="CU142">
        <v>-2.5693199999999999E-3</v>
      </c>
      <c r="CV142">
        <v>3.1771199999999999E-2</v>
      </c>
      <c r="CW142">
        <v>3.2094600000000001E-2</v>
      </c>
      <c r="CX142">
        <v>21285.4</v>
      </c>
      <c r="CY142">
        <v>21708.9</v>
      </c>
      <c r="CZ142">
        <v>22738.9</v>
      </c>
      <c r="DA142">
        <v>22027.5</v>
      </c>
      <c r="DB142">
        <v>28420.5</v>
      </c>
      <c r="DC142">
        <v>25375.4</v>
      </c>
      <c r="DD142">
        <v>40027.199999999997</v>
      </c>
      <c r="DE142">
        <v>36448</v>
      </c>
      <c r="DF142">
        <v>1.98654</v>
      </c>
      <c r="DG142">
        <v>1.591</v>
      </c>
      <c r="DH142">
        <v>-6.9439399999999998E-2</v>
      </c>
      <c r="DI142">
        <v>0</v>
      </c>
      <c r="DJ142">
        <v>34.264499999999998</v>
      </c>
      <c r="DK142">
        <v>999.9</v>
      </c>
      <c r="DL142">
        <v>48.2</v>
      </c>
      <c r="DM142">
        <v>46.9</v>
      </c>
      <c r="DN142">
        <v>51.135100000000001</v>
      </c>
      <c r="DO142">
        <v>31.031099999999999</v>
      </c>
      <c r="DP142">
        <v>11.0337</v>
      </c>
      <c r="DQ142">
        <v>1</v>
      </c>
      <c r="DR142">
        <v>1.0240400000000001</v>
      </c>
      <c r="DS142">
        <v>2.32395</v>
      </c>
      <c r="DT142">
        <v>20.3413</v>
      </c>
      <c r="DU142">
        <v>5.2078300000000004</v>
      </c>
      <c r="DV142">
        <v>11.855399999999999</v>
      </c>
      <c r="DW142">
        <v>4.9668400000000004</v>
      </c>
      <c r="DX142">
        <v>3.2924600000000002</v>
      </c>
      <c r="DY142">
        <v>894.7</v>
      </c>
      <c r="DZ142">
        <v>6</v>
      </c>
      <c r="EA142">
        <v>9999</v>
      </c>
      <c r="EB142">
        <v>117.8</v>
      </c>
      <c r="EC142">
        <v>4.9715800000000003</v>
      </c>
      <c r="ED142">
        <v>1.87219</v>
      </c>
      <c r="EE142">
        <v>1.86958</v>
      </c>
      <c r="EF142">
        <v>1.87188</v>
      </c>
      <c r="EG142">
        <v>1.8696600000000001</v>
      </c>
      <c r="EH142">
        <v>1.8684400000000001</v>
      </c>
      <c r="EI142">
        <v>1.8702700000000001</v>
      </c>
      <c r="EJ142">
        <v>1.87195</v>
      </c>
      <c r="EK142">
        <v>0</v>
      </c>
      <c r="EL142">
        <v>0</v>
      </c>
      <c r="EM142">
        <v>0</v>
      </c>
      <c r="EN142">
        <v>0</v>
      </c>
      <c r="EO142" t="s">
        <v>320</v>
      </c>
      <c r="EP142" t="s">
        <v>321</v>
      </c>
      <c r="EQ142" t="s">
        <v>322</v>
      </c>
      <c r="ER142" t="s">
        <v>322</v>
      </c>
      <c r="ES142" t="s">
        <v>322</v>
      </c>
      <c r="ET142" t="s">
        <v>322</v>
      </c>
      <c r="EU142">
        <v>0</v>
      </c>
      <c r="EV142">
        <v>100</v>
      </c>
      <c r="EW142">
        <v>100</v>
      </c>
      <c r="EX142">
        <v>6.883</v>
      </c>
      <c r="EY142">
        <v>-1.907</v>
      </c>
      <c r="EZ142">
        <v>6.884719999999998</v>
      </c>
      <c r="FA142">
        <v>0</v>
      </c>
      <c r="FB142">
        <v>0</v>
      </c>
      <c r="FC142">
        <v>0</v>
      </c>
      <c r="FD142">
        <v>-1.9062804999999989</v>
      </c>
      <c r="FE142">
        <v>0</v>
      </c>
      <c r="FF142">
        <v>0</v>
      </c>
      <c r="FG142">
        <v>0</v>
      </c>
      <c r="FH142">
        <v>-1</v>
      </c>
      <c r="FI142">
        <v>-1</v>
      </c>
      <c r="FJ142">
        <v>-1</v>
      </c>
      <c r="FK142">
        <v>-1</v>
      </c>
      <c r="FL142">
        <v>0.7</v>
      </c>
      <c r="FM142">
        <v>0.6</v>
      </c>
      <c r="FN142">
        <v>0.14038100000000001</v>
      </c>
      <c r="FO142">
        <v>4.99756</v>
      </c>
      <c r="FP142">
        <v>1.5979000000000001</v>
      </c>
      <c r="FQ142">
        <v>2.1105999999999998</v>
      </c>
      <c r="FR142">
        <v>1.5478499999999999</v>
      </c>
      <c r="FS142">
        <v>2.4462899999999999</v>
      </c>
      <c r="FT142">
        <v>49.961599999999997</v>
      </c>
      <c r="FU142">
        <v>15.068899999999999</v>
      </c>
      <c r="FV142">
        <v>2</v>
      </c>
      <c r="FW142">
        <v>505.99799999999999</v>
      </c>
      <c r="FX142">
        <v>342.44</v>
      </c>
      <c r="FY142">
        <v>31.956600000000002</v>
      </c>
      <c r="FZ142">
        <v>39.547199999999997</v>
      </c>
      <c r="GA142">
        <v>30.000299999999999</v>
      </c>
      <c r="GB142">
        <v>39.681399999999996</v>
      </c>
      <c r="GC142">
        <v>39.703600000000002</v>
      </c>
      <c r="GD142">
        <v>-1</v>
      </c>
      <c r="GE142">
        <v>0</v>
      </c>
      <c r="GF142">
        <v>100</v>
      </c>
      <c r="GG142">
        <v>32.001800000000003</v>
      </c>
      <c r="GH142">
        <v>432.1</v>
      </c>
      <c r="GI142">
        <v>44.267099999999999</v>
      </c>
      <c r="GJ142">
        <v>100.696</v>
      </c>
      <c r="GK142">
        <v>95.162700000000001</v>
      </c>
    </row>
    <row r="143" spans="1:193" x14ac:dyDescent="0.35">
      <c r="A143">
        <v>127</v>
      </c>
      <c r="B143">
        <v>1775539587.0999999</v>
      </c>
      <c r="C143">
        <v>7561</v>
      </c>
      <c r="D143" t="s">
        <v>698</v>
      </c>
      <c r="E143" t="s">
        <v>699</v>
      </c>
      <c r="F143">
        <v>60</v>
      </c>
      <c r="G143">
        <v>1775539579.099999</v>
      </c>
      <c r="H143">
        <f t="shared" si="30"/>
        <v>3.2568442805926117E-3</v>
      </c>
      <c r="I143">
        <f t="shared" si="31"/>
        <v>3.2568442805926119</v>
      </c>
      <c r="J143">
        <f t="shared" si="32"/>
        <v>-3.4682144752790425</v>
      </c>
      <c r="K143">
        <f t="shared" si="33"/>
        <v>-7.2637258064516113</v>
      </c>
      <c r="L143">
        <f t="shared" si="34"/>
        <v>71.044317438665487</v>
      </c>
      <c r="M143">
        <f t="shared" si="35"/>
        <v>7.1170730257195851</v>
      </c>
      <c r="N143">
        <f t="shared" si="36"/>
        <v>-0.72766505284466965</v>
      </c>
      <c r="O143">
        <f t="shared" si="37"/>
        <v>6.9693829485142633E-2</v>
      </c>
      <c r="P143">
        <f t="shared" si="38"/>
        <v>2.3888780072876559</v>
      </c>
      <c r="Q143">
        <f t="shared" si="39"/>
        <v>6.8583652570227263E-2</v>
      </c>
      <c r="R143">
        <f t="shared" si="40"/>
        <v>4.2963054730060984E-2</v>
      </c>
      <c r="S143">
        <f t="shared" si="41"/>
        <v>0.30589790022580648</v>
      </c>
      <c r="T143">
        <f t="shared" si="42"/>
        <v>32.181433578697735</v>
      </c>
      <c r="U143">
        <f t="shared" si="43"/>
        <v>33.209054838709669</v>
      </c>
      <c r="V143">
        <f t="shared" si="44"/>
        <v>5.1117551921150541</v>
      </c>
      <c r="W143">
        <f t="shared" si="45"/>
        <v>9.5441126571551376</v>
      </c>
      <c r="X143">
        <f t="shared" si="46"/>
        <v>0.48753476136162333</v>
      </c>
      <c r="Y143">
        <f t="shared" si="47"/>
        <v>5.1082251318159244</v>
      </c>
      <c r="Z143">
        <f t="shared" si="48"/>
        <v>4.6242204307534305</v>
      </c>
      <c r="AA143">
        <f t="shared" si="49"/>
        <v>-143.62683277413419</v>
      </c>
      <c r="AB143">
        <f t="shared" si="50"/>
        <v>-1.5857688468979116</v>
      </c>
      <c r="AC143">
        <f t="shared" si="51"/>
        <v>-0.15232984814751438</v>
      </c>
      <c r="AD143">
        <f t="shared" si="52"/>
        <v>-145.05903356895379</v>
      </c>
      <c r="AE143">
        <v>6</v>
      </c>
      <c r="AF143">
        <v>1</v>
      </c>
      <c r="AG143">
        <f t="shared" si="53"/>
        <v>1</v>
      </c>
      <c r="AH143">
        <f t="shared" si="54"/>
        <v>0</v>
      </c>
      <c r="AI143">
        <f t="shared" si="55"/>
        <v>25013.929512709085</v>
      </c>
      <c r="AJ143">
        <f t="shared" si="56"/>
        <v>1.600721612903226</v>
      </c>
      <c r="AK143">
        <f t="shared" si="57"/>
        <v>1.2805772903225809</v>
      </c>
      <c r="AL143">
        <f t="shared" si="58"/>
        <v>0.8</v>
      </c>
      <c r="AM143">
        <f t="shared" si="59"/>
        <v>0.19109999999999999</v>
      </c>
      <c r="AN143">
        <v>3</v>
      </c>
      <c r="AO143">
        <v>0.5</v>
      </c>
      <c r="AP143" t="s">
        <v>317</v>
      </c>
      <c r="AQ143">
        <v>2</v>
      </c>
      <c r="AR143">
        <v>1775539579.099999</v>
      </c>
      <c r="AS143">
        <v>-7.2637258064516113</v>
      </c>
      <c r="AT143">
        <v>-9.3590625806451602</v>
      </c>
      <c r="AU143">
        <v>4.8666880645161283</v>
      </c>
      <c r="AV143">
        <v>2.9218929032258072</v>
      </c>
      <c r="AW143">
        <v>-14.169725806451609</v>
      </c>
      <c r="AX143">
        <v>4.8288929032258068</v>
      </c>
      <c r="AY143">
        <v>499.94893548387103</v>
      </c>
      <c r="AZ143">
        <v>100.1301290322581</v>
      </c>
      <c r="BA143">
        <v>4.7806125806451619E-2</v>
      </c>
      <c r="BB143">
        <v>33.196741935483878</v>
      </c>
      <c r="BC143">
        <v>33.209054838709669</v>
      </c>
      <c r="BD143">
        <v>999.90000000000032</v>
      </c>
      <c r="BE143">
        <v>0</v>
      </c>
      <c r="BF143">
        <v>0</v>
      </c>
      <c r="BG143">
        <v>4995.677419354839</v>
      </c>
      <c r="BH143">
        <v>1.600721612903226</v>
      </c>
      <c r="BI143">
        <v>1877.432258064516</v>
      </c>
      <c r="BJ143">
        <v>2.072091290322581</v>
      </c>
      <c r="BK143">
        <v>-7.3083148387096779</v>
      </c>
      <c r="BL143">
        <v>-9.4048325806451611</v>
      </c>
      <c r="BM143">
        <v>-1.944555483870968</v>
      </c>
      <c r="BN143">
        <v>-9.3590625806451602</v>
      </c>
      <c r="BO143">
        <v>4.8666880645161283</v>
      </c>
      <c r="BP143">
        <v>0.29259370967741932</v>
      </c>
      <c r="BQ143">
        <v>0.4873025483870968</v>
      </c>
      <c r="BR143">
        <v>-9.7886761290322557</v>
      </c>
      <c r="BS143">
        <v>-3.1328374193548392</v>
      </c>
      <c r="BT143">
        <v>1775539612.5999999</v>
      </c>
      <c r="BU143" t="s">
        <v>700</v>
      </c>
      <c r="BV143">
        <v>1775539605.0999999</v>
      </c>
      <c r="BW143">
        <v>1775539612.5999999</v>
      </c>
      <c r="BX143">
        <v>128</v>
      </c>
      <c r="BY143">
        <v>2.4E-2</v>
      </c>
      <c r="BZ143">
        <v>0</v>
      </c>
      <c r="CA143">
        <v>6.9059999999999997</v>
      </c>
      <c r="CB143">
        <v>-1.907</v>
      </c>
      <c r="CC143">
        <v>-10</v>
      </c>
      <c r="CD143">
        <v>5</v>
      </c>
      <c r="CE143">
        <v>0.17</v>
      </c>
      <c r="CF143">
        <v>0.04</v>
      </c>
      <c r="CG143">
        <v>-9.1067764999999987</v>
      </c>
      <c r="CH143">
        <v>-1.8723960766879839</v>
      </c>
      <c r="CI143">
        <v>0.33183525750902859</v>
      </c>
      <c r="CJ143">
        <v>-1</v>
      </c>
      <c r="CK143">
        <v>500.9525999999999</v>
      </c>
      <c r="CL143">
        <v>-7.766697415948939</v>
      </c>
      <c r="CM143">
        <v>1.917053365628268</v>
      </c>
      <c r="CN143">
        <v>-1</v>
      </c>
      <c r="CO143">
        <v>0</v>
      </c>
      <c r="CP143">
        <v>0</v>
      </c>
      <c r="CQ143" t="s">
        <v>319</v>
      </c>
      <c r="CR143">
        <v>3.1692900000000002</v>
      </c>
      <c r="CS143">
        <v>2.6694499999999999</v>
      </c>
      <c r="CT143">
        <v>-4.1803400000000003E-3</v>
      </c>
      <c r="CU143">
        <v>-2.8048399999999999E-3</v>
      </c>
      <c r="CV143">
        <v>3.1439599999999998E-2</v>
      </c>
      <c r="CW143">
        <v>3.2026600000000002E-2</v>
      </c>
      <c r="CX143">
        <v>21287</v>
      </c>
      <c r="CY143">
        <v>21712.799999999999</v>
      </c>
      <c r="CZ143">
        <v>22737</v>
      </c>
      <c r="DA143">
        <v>22026.5</v>
      </c>
      <c r="DB143">
        <v>28428.1</v>
      </c>
      <c r="DC143">
        <v>25375.8</v>
      </c>
      <c r="DD143">
        <v>40024.300000000003</v>
      </c>
      <c r="DE143">
        <v>36446.199999999997</v>
      </c>
      <c r="DF143">
        <v>1.9854799999999999</v>
      </c>
      <c r="DG143">
        <v>1.5906800000000001</v>
      </c>
      <c r="DH143">
        <v>-6.8634700000000007E-2</v>
      </c>
      <c r="DI143">
        <v>0</v>
      </c>
      <c r="DJ143">
        <v>34.291499999999999</v>
      </c>
      <c r="DK143">
        <v>999.9</v>
      </c>
      <c r="DL143">
        <v>48.2</v>
      </c>
      <c r="DM143">
        <v>46.9</v>
      </c>
      <c r="DN143">
        <v>51.1432</v>
      </c>
      <c r="DO143">
        <v>30.431100000000001</v>
      </c>
      <c r="DP143">
        <v>11.0337</v>
      </c>
      <c r="DQ143">
        <v>1</v>
      </c>
      <c r="DR143">
        <v>1.0296700000000001</v>
      </c>
      <c r="DS143">
        <v>2.69293</v>
      </c>
      <c r="DT143">
        <v>20.334</v>
      </c>
      <c r="DU143">
        <v>5.2105800000000002</v>
      </c>
      <c r="DV143">
        <v>11.8574</v>
      </c>
      <c r="DW143">
        <v>4.9676</v>
      </c>
      <c r="DX143">
        <v>3.2930000000000001</v>
      </c>
      <c r="DY143">
        <v>894.7</v>
      </c>
      <c r="DZ143">
        <v>6</v>
      </c>
      <c r="EA143">
        <v>9999</v>
      </c>
      <c r="EB143">
        <v>117.8</v>
      </c>
      <c r="EC143">
        <v>4.97159</v>
      </c>
      <c r="ED143">
        <v>1.87222</v>
      </c>
      <c r="EE143">
        <v>1.86958</v>
      </c>
      <c r="EF143">
        <v>1.87188</v>
      </c>
      <c r="EG143">
        <v>1.8696600000000001</v>
      </c>
      <c r="EH143">
        <v>1.8684400000000001</v>
      </c>
      <c r="EI143">
        <v>1.8702700000000001</v>
      </c>
      <c r="EJ143">
        <v>1.87195</v>
      </c>
      <c r="EK143">
        <v>0</v>
      </c>
      <c r="EL143">
        <v>0</v>
      </c>
      <c r="EM143">
        <v>0</v>
      </c>
      <c r="EN143">
        <v>0</v>
      </c>
      <c r="EO143" t="s">
        <v>320</v>
      </c>
      <c r="EP143" t="s">
        <v>321</v>
      </c>
      <c r="EQ143" t="s">
        <v>322</v>
      </c>
      <c r="ER143" t="s">
        <v>322</v>
      </c>
      <c r="ES143" t="s">
        <v>322</v>
      </c>
      <c r="ET143" t="s">
        <v>322</v>
      </c>
      <c r="EU143">
        <v>0</v>
      </c>
      <c r="EV143">
        <v>100</v>
      </c>
      <c r="EW143">
        <v>100</v>
      </c>
      <c r="EX143">
        <v>6.9059999999999997</v>
      </c>
      <c r="EY143">
        <v>-1.907</v>
      </c>
      <c r="EZ143">
        <v>6.8827569999999998</v>
      </c>
      <c r="FA143">
        <v>0</v>
      </c>
      <c r="FB143">
        <v>0</v>
      </c>
      <c r="FC143">
        <v>0</v>
      </c>
      <c r="FD143">
        <v>-1.9067594999999999</v>
      </c>
      <c r="FE143">
        <v>0</v>
      </c>
      <c r="FF143">
        <v>0</v>
      </c>
      <c r="FG143">
        <v>0</v>
      </c>
      <c r="FH143">
        <v>-1</v>
      </c>
      <c r="FI143">
        <v>-1</v>
      </c>
      <c r="FJ143">
        <v>-1</v>
      </c>
      <c r="FK143">
        <v>-1</v>
      </c>
      <c r="FL143">
        <v>0.7</v>
      </c>
      <c r="FM143">
        <v>0.5</v>
      </c>
      <c r="FN143">
        <v>0.14038100000000001</v>
      </c>
      <c r="FO143">
        <v>4.99756</v>
      </c>
      <c r="FP143">
        <v>1.5979000000000001</v>
      </c>
      <c r="FQ143">
        <v>2.1105999999999998</v>
      </c>
      <c r="FR143">
        <v>1.5478499999999999</v>
      </c>
      <c r="FS143">
        <v>2.4438499999999999</v>
      </c>
      <c r="FT143">
        <v>49.993600000000001</v>
      </c>
      <c r="FU143">
        <v>15.0602</v>
      </c>
      <c r="FV143">
        <v>2</v>
      </c>
      <c r="FW143">
        <v>505.66399999999999</v>
      </c>
      <c r="FX143">
        <v>342.49200000000002</v>
      </c>
      <c r="FY143">
        <v>31.836099999999998</v>
      </c>
      <c r="FZ143">
        <v>39.603000000000002</v>
      </c>
      <c r="GA143">
        <v>29.999500000000001</v>
      </c>
      <c r="GB143">
        <v>39.729700000000001</v>
      </c>
      <c r="GC143">
        <v>39.752400000000002</v>
      </c>
      <c r="GD143">
        <v>-1</v>
      </c>
      <c r="GE143">
        <v>0</v>
      </c>
      <c r="GF143">
        <v>100</v>
      </c>
      <c r="GG143">
        <v>31.860399999999998</v>
      </c>
      <c r="GH143">
        <v>432.1</v>
      </c>
      <c r="GI143">
        <v>44.267099999999999</v>
      </c>
      <c r="GJ143">
        <v>100.688</v>
      </c>
      <c r="GK143">
        <v>95.157899999999998</v>
      </c>
    </row>
    <row r="144" spans="1:193" x14ac:dyDescent="0.35">
      <c r="A144">
        <v>128</v>
      </c>
      <c r="B144">
        <v>1775539647.0999999</v>
      </c>
      <c r="C144">
        <v>7621</v>
      </c>
      <c r="D144" t="s">
        <v>701</v>
      </c>
      <c r="E144" t="s">
        <v>702</v>
      </c>
      <c r="F144">
        <v>60</v>
      </c>
      <c r="G144">
        <v>1775539639.349999</v>
      </c>
      <c r="H144">
        <f t="shared" si="30"/>
        <v>3.637206662098485E-3</v>
      </c>
      <c r="I144">
        <f t="shared" si="31"/>
        <v>3.6372066620984849</v>
      </c>
      <c r="J144">
        <f t="shared" si="32"/>
        <v>-2.7250619324259304</v>
      </c>
      <c r="K144">
        <f t="shared" si="33"/>
        <v>-6.663876666666666</v>
      </c>
      <c r="L144">
        <f t="shared" si="34"/>
        <v>48.515430878577583</v>
      </c>
      <c r="M144">
        <f t="shared" si="35"/>
        <v>4.8601131197561509</v>
      </c>
      <c r="N144">
        <f t="shared" si="36"/>
        <v>-0.66756481040353699</v>
      </c>
      <c r="O144">
        <f t="shared" si="37"/>
        <v>7.8000295596352021E-2</v>
      </c>
      <c r="P144">
        <f t="shared" si="38"/>
        <v>2.3913486673844191</v>
      </c>
      <c r="Q144">
        <f t="shared" si="39"/>
        <v>7.6613962058079133E-2</v>
      </c>
      <c r="R144">
        <f t="shared" si="40"/>
        <v>4.80062304941858E-2</v>
      </c>
      <c r="S144">
        <f t="shared" si="41"/>
        <v>0.3114152859999999</v>
      </c>
      <c r="T144">
        <f t="shared" si="42"/>
        <v>32.097773372767378</v>
      </c>
      <c r="U144">
        <f t="shared" si="43"/>
        <v>33.21396</v>
      </c>
      <c r="V144">
        <f t="shared" si="44"/>
        <v>5.1131620733405612</v>
      </c>
      <c r="W144">
        <f t="shared" si="45"/>
        <v>9.5807479174952963</v>
      </c>
      <c r="X144">
        <f t="shared" si="46"/>
        <v>0.49034133849883521</v>
      </c>
      <c r="Y144">
        <f t="shared" si="47"/>
        <v>5.117986014467915</v>
      </c>
      <c r="Z144">
        <f t="shared" si="48"/>
        <v>4.6228207348417261</v>
      </c>
      <c r="AA144">
        <f t="shared" si="49"/>
        <v>-160.4008137985432</v>
      </c>
      <c r="AB144">
        <f t="shared" si="50"/>
        <v>2.1671853650747859</v>
      </c>
      <c r="AC144">
        <f t="shared" si="51"/>
        <v>0.20800562704025718</v>
      </c>
      <c r="AD144">
        <f t="shared" si="52"/>
        <v>-157.71420752042818</v>
      </c>
      <c r="AE144">
        <v>6</v>
      </c>
      <c r="AF144">
        <v>1</v>
      </c>
      <c r="AG144">
        <f t="shared" si="53"/>
        <v>1</v>
      </c>
      <c r="AH144">
        <f t="shared" si="54"/>
        <v>0</v>
      </c>
      <c r="AI144">
        <f t="shared" si="55"/>
        <v>25048.050170890037</v>
      </c>
      <c r="AJ144">
        <f t="shared" si="56"/>
        <v>1.629593333333333</v>
      </c>
      <c r="AK144">
        <f t="shared" si="57"/>
        <v>1.3036746666666665</v>
      </c>
      <c r="AL144">
        <f t="shared" si="58"/>
        <v>0.8</v>
      </c>
      <c r="AM144">
        <f t="shared" si="59"/>
        <v>0.19109999999999999</v>
      </c>
      <c r="AN144">
        <v>3</v>
      </c>
      <c r="AO144">
        <v>0.5</v>
      </c>
      <c r="AP144" t="s">
        <v>317</v>
      </c>
      <c r="AQ144">
        <v>2</v>
      </c>
      <c r="AR144">
        <v>1775539639.349999</v>
      </c>
      <c r="AS144">
        <v>-6.663876666666666</v>
      </c>
      <c r="AT144">
        <v>-8.3134466666666658</v>
      </c>
      <c r="AU144">
        <v>4.8947669999999999</v>
      </c>
      <c r="AV144">
        <v>2.7231380000000009</v>
      </c>
      <c r="AW144">
        <v>-13.57187666666667</v>
      </c>
      <c r="AX144">
        <v>4.6321380000000003</v>
      </c>
      <c r="AY144">
        <v>500.00299999999999</v>
      </c>
      <c r="AZ144">
        <v>100.1282333333334</v>
      </c>
      <c r="BA144">
        <v>4.8412153333333353E-2</v>
      </c>
      <c r="BB144">
        <v>33.23077</v>
      </c>
      <c r="BC144">
        <v>33.21396</v>
      </c>
      <c r="BD144">
        <v>999.9000000000002</v>
      </c>
      <c r="BE144">
        <v>0</v>
      </c>
      <c r="BF144">
        <v>0</v>
      </c>
      <c r="BG144">
        <v>5002.1333333333332</v>
      </c>
      <c r="BH144">
        <v>1.629593333333333</v>
      </c>
      <c r="BI144">
        <v>1900.9253333333329</v>
      </c>
      <c r="BJ144">
        <v>1.647978333333334</v>
      </c>
      <c r="BK144">
        <v>-6.6836879999999992</v>
      </c>
      <c r="BL144">
        <v>-8.354338666666667</v>
      </c>
      <c r="BM144">
        <v>-2.169432</v>
      </c>
      <c r="BN144">
        <v>-8.3134466666666658</v>
      </c>
      <c r="BO144">
        <v>4.8947669999999999</v>
      </c>
      <c r="BP144">
        <v>0.27288333333333342</v>
      </c>
      <c r="BQ144">
        <v>0.49010493333333333</v>
      </c>
      <c r="BR144">
        <v>-10.664416666666661</v>
      </c>
      <c r="BS144">
        <v>-3.0559019999999988</v>
      </c>
      <c r="BT144">
        <v>1775539673.5999999</v>
      </c>
      <c r="BU144" t="s">
        <v>703</v>
      </c>
      <c r="BV144">
        <v>1775539665.0999999</v>
      </c>
      <c r="BW144">
        <v>1775539673.5999999</v>
      </c>
      <c r="BX144">
        <v>129</v>
      </c>
      <c r="BY144">
        <v>2E-3</v>
      </c>
      <c r="BZ144">
        <v>-2E-3</v>
      </c>
      <c r="CA144">
        <v>6.9080000000000004</v>
      </c>
      <c r="CB144">
        <v>-1.909</v>
      </c>
      <c r="CC144">
        <v>-9</v>
      </c>
      <c r="CD144">
        <v>5</v>
      </c>
      <c r="CE144">
        <v>0.12</v>
      </c>
      <c r="CF144">
        <v>0.04</v>
      </c>
      <c r="CG144">
        <v>-8.6238506666666659</v>
      </c>
      <c r="CH144">
        <v>2.565559855515414</v>
      </c>
      <c r="CI144">
        <v>0.40749636715708548</v>
      </c>
      <c r="CJ144">
        <v>-1</v>
      </c>
      <c r="CK144">
        <v>500.62925000000001</v>
      </c>
      <c r="CL144">
        <v>-6.5811981105857047</v>
      </c>
      <c r="CM144">
        <v>1.620129476564554</v>
      </c>
      <c r="CN144">
        <v>-1</v>
      </c>
      <c r="CO144">
        <v>0</v>
      </c>
      <c r="CP144">
        <v>0</v>
      </c>
      <c r="CQ144" t="s">
        <v>319</v>
      </c>
      <c r="CR144">
        <v>3.1693799999999999</v>
      </c>
      <c r="CS144">
        <v>2.66961</v>
      </c>
      <c r="CT144">
        <v>-3.8632200000000001E-3</v>
      </c>
      <c r="CU144">
        <v>-2.4426999999999999E-3</v>
      </c>
      <c r="CV144">
        <v>3.0554600000000001E-2</v>
      </c>
      <c r="CW144">
        <v>3.2205499999999998E-2</v>
      </c>
      <c r="CX144">
        <v>21277.5</v>
      </c>
      <c r="CY144">
        <v>21702.6</v>
      </c>
      <c r="CZ144">
        <v>22734.400000000001</v>
      </c>
      <c r="DA144">
        <v>22024.2</v>
      </c>
      <c r="DB144">
        <v>28451.200000000001</v>
      </c>
      <c r="DC144">
        <v>25368.1</v>
      </c>
      <c r="DD144">
        <v>40020.400000000001</v>
      </c>
      <c r="DE144">
        <v>36442</v>
      </c>
      <c r="DF144">
        <v>1.9849000000000001</v>
      </c>
      <c r="DG144">
        <v>1.5905199999999999</v>
      </c>
      <c r="DH144">
        <v>-7.5298500000000004E-2</v>
      </c>
      <c r="DI144">
        <v>0</v>
      </c>
      <c r="DJ144">
        <v>34.433100000000003</v>
      </c>
      <c r="DK144">
        <v>999.9</v>
      </c>
      <c r="DL144">
        <v>48.1</v>
      </c>
      <c r="DM144">
        <v>46.9</v>
      </c>
      <c r="DN144">
        <v>51.036900000000003</v>
      </c>
      <c r="DO144">
        <v>30.551100000000002</v>
      </c>
      <c r="DP144">
        <v>10.8934</v>
      </c>
      <c r="DQ144">
        <v>1</v>
      </c>
      <c r="DR144">
        <v>1.03948</v>
      </c>
      <c r="DS144">
        <v>3.1638999999999999</v>
      </c>
      <c r="DT144">
        <v>20.323399999999999</v>
      </c>
      <c r="DU144">
        <v>5.20627</v>
      </c>
      <c r="DV144">
        <v>11.8568</v>
      </c>
      <c r="DW144">
        <v>4.9666399999999999</v>
      </c>
      <c r="DX144">
        <v>3.2923399999999998</v>
      </c>
      <c r="DY144">
        <v>894.7</v>
      </c>
      <c r="DZ144">
        <v>6</v>
      </c>
      <c r="EA144">
        <v>9999</v>
      </c>
      <c r="EB144">
        <v>117.9</v>
      </c>
      <c r="EC144">
        <v>4.9715999999999996</v>
      </c>
      <c r="ED144">
        <v>1.8722300000000001</v>
      </c>
      <c r="EE144">
        <v>1.8695200000000001</v>
      </c>
      <c r="EF144">
        <v>1.8718600000000001</v>
      </c>
      <c r="EG144">
        <v>1.8696600000000001</v>
      </c>
      <c r="EH144">
        <v>1.8684400000000001</v>
      </c>
      <c r="EI144">
        <v>1.8702700000000001</v>
      </c>
      <c r="EJ144">
        <v>1.87195</v>
      </c>
      <c r="EK144">
        <v>0</v>
      </c>
      <c r="EL144">
        <v>0</v>
      </c>
      <c r="EM144">
        <v>0</v>
      </c>
      <c r="EN144">
        <v>0</v>
      </c>
      <c r="EO144" t="s">
        <v>320</v>
      </c>
      <c r="EP144" t="s">
        <v>321</v>
      </c>
      <c r="EQ144" t="s">
        <v>322</v>
      </c>
      <c r="ER144" t="s">
        <v>322</v>
      </c>
      <c r="ES144" t="s">
        <v>322</v>
      </c>
      <c r="ET144" t="s">
        <v>322</v>
      </c>
      <c r="EU144">
        <v>0</v>
      </c>
      <c r="EV144">
        <v>100</v>
      </c>
      <c r="EW144">
        <v>100</v>
      </c>
      <c r="EX144">
        <v>6.9080000000000004</v>
      </c>
      <c r="EY144">
        <v>-1.909</v>
      </c>
      <c r="EZ144">
        <v>6.9064034999999997</v>
      </c>
      <c r="FA144">
        <v>0</v>
      </c>
      <c r="FB144">
        <v>0</v>
      </c>
      <c r="FC144">
        <v>0</v>
      </c>
      <c r="FD144">
        <v>-1.9068028571428579</v>
      </c>
      <c r="FE144">
        <v>0</v>
      </c>
      <c r="FF144">
        <v>0</v>
      </c>
      <c r="FG144">
        <v>0</v>
      </c>
      <c r="FH144">
        <v>-1</v>
      </c>
      <c r="FI144">
        <v>-1</v>
      </c>
      <c r="FJ144">
        <v>-1</v>
      </c>
      <c r="FK144">
        <v>-1</v>
      </c>
      <c r="FL144">
        <v>0.7</v>
      </c>
      <c r="FM144">
        <v>0.6</v>
      </c>
      <c r="FN144">
        <v>0.14038100000000001</v>
      </c>
      <c r="FO144">
        <v>4.99756</v>
      </c>
      <c r="FP144">
        <v>1.5979000000000001</v>
      </c>
      <c r="FQ144">
        <v>2.1105999999999998</v>
      </c>
      <c r="FR144">
        <v>1.5478499999999999</v>
      </c>
      <c r="FS144">
        <v>2.49878</v>
      </c>
      <c r="FT144">
        <v>50.0578</v>
      </c>
      <c r="FU144">
        <v>15.051399999999999</v>
      </c>
      <c r="FV144">
        <v>2</v>
      </c>
      <c r="FW144">
        <v>505.83800000000002</v>
      </c>
      <c r="FX144">
        <v>342.79500000000002</v>
      </c>
      <c r="FY144">
        <v>31.688400000000001</v>
      </c>
      <c r="FZ144">
        <v>39.685200000000002</v>
      </c>
      <c r="GA144">
        <v>30.001300000000001</v>
      </c>
      <c r="GB144">
        <v>39.8095</v>
      </c>
      <c r="GC144">
        <v>39.837400000000002</v>
      </c>
      <c r="GD144">
        <v>-1</v>
      </c>
      <c r="GE144">
        <v>0</v>
      </c>
      <c r="GF144">
        <v>100</v>
      </c>
      <c r="GG144">
        <v>31.650700000000001</v>
      </c>
      <c r="GH144">
        <v>432.1</v>
      </c>
      <c r="GI144">
        <v>44.267099999999999</v>
      </c>
      <c r="GJ144">
        <v>100.678</v>
      </c>
      <c r="GK144">
        <v>95.147499999999994</v>
      </c>
    </row>
    <row r="145" spans="1:193" x14ac:dyDescent="0.35">
      <c r="A145">
        <v>129</v>
      </c>
      <c r="B145">
        <v>1775539707.0999999</v>
      </c>
      <c r="C145">
        <v>7681</v>
      </c>
      <c r="D145" t="s">
        <v>704</v>
      </c>
      <c r="E145" t="s">
        <v>705</v>
      </c>
      <c r="F145">
        <v>60</v>
      </c>
      <c r="G145">
        <v>1775539699.349999</v>
      </c>
      <c r="H145">
        <f t="shared" ref="H145:H208" si="60">(I145)/1000</f>
        <v>4.4002164777854754E-3</v>
      </c>
      <c r="I145">
        <f t="shared" ref="I145:I208" si="61">1000*AY145*AG145*(AU145-AV145)/(100*AN145*(1000-AG145*AU145))</f>
        <v>4.4002164777854755</v>
      </c>
      <c r="J145">
        <f t="shared" ref="J145:J208" si="62">AY145*AG145*(AT145-AS145*(1000-AG145*AV145)/(1000-AG145*AU145))/(100*AN145)</f>
        <v>-3.2976311979858086</v>
      </c>
      <c r="K145">
        <f t="shared" ref="K145:K208" si="63">AS145 - IF(AG145&gt;1, J145*AN145*100/(AI145), 0)</f>
        <v>-7.8376500000000027</v>
      </c>
      <c r="L145">
        <f t="shared" ref="L145:L208" si="64">((R145-H145/2)*K145-J145)/(R145+H145/2)</f>
        <v>47.175603671234569</v>
      </c>
      <c r="M145">
        <f t="shared" ref="M145:M208" si="65">L145*(AZ145+BA145)/1000</f>
        <v>4.7258670706911854</v>
      </c>
      <c r="N145">
        <f t="shared" ref="N145:N208" si="66">(AS145 - IF(AG145&gt;1, J145*AN145*100/(AI145), 0))*(AZ145+BA145)/1000</f>
        <v>-0.7851450572785742</v>
      </c>
      <c r="O145">
        <f t="shared" ref="O145:O208" si="67">2/((1/Q145-1/P145)+SIGN(Q145)*SQRT((1/Q145-1/P145)*(1/Q145-1/P145) + 4*AO145/((AO145+1)*(AO145+1))*(2*1/Q145*1/P145-1/P145*1/P145)))</f>
        <v>9.5157113014309E-2</v>
      </c>
      <c r="P145">
        <f t="shared" ref="P145:P208" si="68">IF(LEFT(AP145,1)&lt;&gt;"0",IF(LEFT(AP145,1)="1",3,AQ145),$D$5+$E$5*(BG145*AZ145/($K$5*1000))+$F$5*(BG145*AZ145/($K$5*1000))*MAX(MIN(AN145,$J$5),$I$5)*MAX(MIN(AN145,$J$5),$I$5)+$G$5*MAX(MIN(AN145,$J$5),$I$5)*(BG145*AZ145/($K$5*1000))+$H$5*(BG145*AZ145/($K$5*1000))*(BG145*AZ145/($K$5*1000)))</f>
        <v>2.3898185571338999</v>
      </c>
      <c r="Q145">
        <f t="shared" ref="Q145:Q208" si="69">H145*(1000-(1000*0.61365*EXP(17.502*U145/(240.97+U145))/(AZ145+BA145)+AU145)/2)/(1000*0.61365*EXP(17.502*U145/(240.97+U145))/(AZ145+BA145)-AU145)</f>
        <v>9.3101206888325502E-2</v>
      </c>
      <c r="R145">
        <f t="shared" ref="R145:R208" si="70">1/((AO145+1)/(O145/1.6)+1/(P145/1.37)) + AO145/((AO145+1)/(O145/1.6) + AO145/(P145/1.37))</f>
        <v>5.8369269725480018E-2</v>
      </c>
      <c r="S145">
        <f t="shared" ref="S145:S208" si="71">(AJ145*AM145)</f>
        <v>0.29891817410000004</v>
      </c>
      <c r="T145">
        <f t="shared" ref="T145:T208" si="72">(BB145+(S145+2*0.95*0.0000000567*(((BB145+$B$7)+273)^4-(BB145+273)^4)-44100*H145)/(1.84*29.3*P145+8*0.95*0.0000000567*(BB145+273)^3))</f>
        <v>31.831370397024912</v>
      </c>
      <c r="U145">
        <f t="shared" ref="U145:U208" si="73">($C$7*BC145+$D$7*BD145+$E$7*T145)</f>
        <v>33.150753333333327</v>
      </c>
      <c r="V145">
        <f t="shared" ref="V145:V208" si="74">0.61365*EXP(17.502*U145/(240.97+U145))</f>
        <v>5.095059129474877</v>
      </c>
      <c r="W145">
        <f t="shared" ref="W145:W208" si="75">(X145/Y145*100)</f>
        <v>9.6378265148859619</v>
      </c>
      <c r="X145">
        <f t="shared" ref="X145:X208" si="76">AU145*(AZ145+BA145)/1000</f>
        <v>0.49250665050620207</v>
      </c>
      <c r="Y145">
        <f t="shared" ref="Y145:Y208" si="77">0.61365*EXP(17.502*BB145/(240.97+BB145))</f>
        <v>5.1101423100478955</v>
      </c>
      <c r="Z145">
        <f t="shared" ref="Z145:Z208" si="78">(V145-AU145*(AZ145+BA145)/1000)</f>
        <v>4.6025524789686747</v>
      </c>
      <c r="AA145">
        <f t="shared" ref="AA145:AA208" si="79">(-H145*44100)</f>
        <v>-194.04954667033948</v>
      </c>
      <c r="AB145">
        <f t="shared" ref="AB145:AB208" si="80">2*29.3*P145*0.92*(BB145-U145)</f>
        <v>6.7868563630636665</v>
      </c>
      <c r="AC145">
        <f t="shared" ref="AC145:AC208" si="81">2*0.95*0.0000000567*(((BB145+$B$7)+273)^4-(U145+273)^4)</f>
        <v>0.65152790312743847</v>
      </c>
      <c r="AD145">
        <f t="shared" ref="AD145:AD208" si="82">S145+AC145+AA145+AB145</f>
        <v>-186.31224423004838</v>
      </c>
      <c r="AE145">
        <v>7</v>
      </c>
      <c r="AF145">
        <v>1</v>
      </c>
      <c r="AG145">
        <f t="shared" ref="AG145:AG208" si="83">IF(AE145*$H$13&gt;=AI145,1,(AI145/(AI145-AE145*$H$13)))</f>
        <v>1</v>
      </c>
      <c r="AH145">
        <f t="shared" ref="AH145:AH208" si="84">(AG145-1)*100</f>
        <v>0</v>
      </c>
      <c r="AI145">
        <f t="shared" ref="AI145:AI208" si="85">MAX(0,($B$13+$C$13*BG145)/(1+$D$13*BG145)*AZ145/(BB145+273)*$E$13)</f>
        <v>25027.521388947709</v>
      </c>
      <c r="AJ145">
        <f t="shared" ref="AJ145:AJ208" si="86">$B$11*BH145+$C$11*BI145</f>
        <v>1.564197666666667</v>
      </c>
      <c r="AK145">
        <f t="shared" ref="AK145:AK208" si="87">AJ145*AL145</f>
        <v>1.2513581333333337</v>
      </c>
      <c r="AL145">
        <f t="shared" ref="AL145:AL208" si="88">($B$11*$D$9+$C$11*$D$9)/($B$11+$C$11)</f>
        <v>0.8</v>
      </c>
      <c r="AM145">
        <f t="shared" ref="AM145:AM208" si="89">($B$11*$K$9+$C$11*$K$9)/($B$11+$C$11)</f>
        <v>0.19109999999999999</v>
      </c>
      <c r="AN145">
        <v>3</v>
      </c>
      <c r="AO145">
        <v>0.5</v>
      </c>
      <c r="AP145" t="s">
        <v>317</v>
      </c>
      <c r="AQ145">
        <v>2</v>
      </c>
      <c r="AR145">
        <v>1775539699.349999</v>
      </c>
      <c r="AS145">
        <v>-7.8376500000000027</v>
      </c>
      <c r="AT145">
        <v>-9.8369196666666685</v>
      </c>
      <c r="AU145">
        <v>4.9164096666666666</v>
      </c>
      <c r="AV145">
        <v>2.289261666666667</v>
      </c>
      <c r="AW145">
        <v>-14.720649999999999</v>
      </c>
      <c r="AX145">
        <v>4.2062616666666672</v>
      </c>
      <c r="AY145">
        <v>500.00036666666659</v>
      </c>
      <c r="AZ145">
        <v>100.1271</v>
      </c>
      <c r="BA145">
        <v>4.8980493333333333E-2</v>
      </c>
      <c r="BB145">
        <v>33.203429999999997</v>
      </c>
      <c r="BC145">
        <v>33.150753333333327</v>
      </c>
      <c r="BD145">
        <v>999.9000000000002</v>
      </c>
      <c r="BE145">
        <v>0</v>
      </c>
      <c r="BF145">
        <v>0</v>
      </c>
      <c r="BG145">
        <v>4998.25</v>
      </c>
      <c r="BH145">
        <v>1.564197666666667</v>
      </c>
      <c r="BI145">
        <v>1848.6393333333331</v>
      </c>
      <c r="BJ145">
        <v>2.0247166666666669</v>
      </c>
      <c r="BK145">
        <v>-7.8301906666666694</v>
      </c>
      <c r="BL145">
        <v>-9.8855219999999999</v>
      </c>
      <c r="BM145">
        <v>-2.6192376666666668</v>
      </c>
      <c r="BN145">
        <v>-9.8369196666666685</v>
      </c>
      <c r="BO145">
        <v>4.9164096666666666</v>
      </c>
      <c r="BP145">
        <v>0.23000909999999991</v>
      </c>
      <c r="BQ145">
        <v>0.49226586666666672</v>
      </c>
      <c r="BR145">
        <v>-12.793763333333329</v>
      </c>
      <c r="BS145">
        <v>-2.9968386666666662</v>
      </c>
      <c r="BT145">
        <v>1775539745.0999999</v>
      </c>
      <c r="BU145" t="s">
        <v>706</v>
      </c>
      <c r="BV145">
        <v>1775539725.0999999</v>
      </c>
      <c r="BW145">
        <v>1775539745.0999999</v>
      </c>
      <c r="BX145">
        <v>130</v>
      </c>
      <c r="BY145">
        <v>-2.5000000000000001E-2</v>
      </c>
      <c r="BZ145">
        <v>-8.0000000000000002E-3</v>
      </c>
      <c r="CA145">
        <v>6.883</v>
      </c>
      <c r="CB145">
        <v>-1.917</v>
      </c>
      <c r="CC145">
        <v>-9</v>
      </c>
      <c r="CD145">
        <v>5</v>
      </c>
      <c r="CE145">
        <v>0.41</v>
      </c>
      <c r="CF145">
        <v>0.02</v>
      </c>
      <c r="CG145">
        <v>-9.9678141666666651</v>
      </c>
      <c r="CH145">
        <v>0.85526847457626887</v>
      </c>
      <c r="CI145">
        <v>0.1499633392120851</v>
      </c>
      <c r="CJ145">
        <v>-1</v>
      </c>
      <c r="CK145">
        <v>500.79018333333329</v>
      </c>
      <c r="CL145">
        <v>-7.9931436510135754</v>
      </c>
      <c r="CM145">
        <v>1.7876570279900481</v>
      </c>
      <c r="CN145">
        <v>-1</v>
      </c>
      <c r="CO145">
        <v>0</v>
      </c>
      <c r="CP145">
        <v>0</v>
      </c>
      <c r="CQ145" t="s">
        <v>319</v>
      </c>
      <c r="CR145">
        <v>3.1693600000000002</v>
      </c>
      <c r="CS145">
        <v>2.66981</v>
      </c>
      <c r="CT145">
        <v>-4.2164400000000001E-3</v>
      </c>
      <c r="CU145">
        <v>-2.7840899999999999E-3</v>
      </c>
      <c r="CV145">
        <v>2.8270400000000001E-2</v>
      </c>
      <c r="CW145">
        <v>3.2297300000000001E-2</v>
      </c>
      <c r="CX145">
        <v>21278.6</v>
      </c>
      <c r="CY145">
        <v>21704.5</v>
      </c>
      <c r="CZ145">
        <v>22728.1</v>
      </c>
      <c r="DA145">
        <v>22019.1</v>
      </c>
      <c r="DB145">
        <v>28510.799999999999</v>
      </c>
      <c r="DC145">
        <v>25359.3</v>
      </c>
      <c r="DD145">
        <v>40010.199999999997</v>
      </c>
      <c r="DE145">
        <v>36433.199999999997</v>
      </c>
      <c r="DF145">
        <v>1.9828600000000001</v>
      </c>
      <c r="DG145">
        <v>1.5891999999999999</v>
      </c>
      <c r="DH145">
        <v>-8.9606699999999997E-2</v>
      </c>
      <c r="DI145">
        <v>0</v>
      </c>
      <c r="DJ145">
        <v>34.589700000000001</v>
      </c>
      <c r="DK145">
        <v>999.9</v>
      </c>
      <c r="DL145">
        <v>48.1</v>
      </c>
      <c r="DM145">
        <v>47</v>
      </c>
      <c r="DN145">
        <v>51.294899999999998</v>
      </c>
      <c r="DO145">
        <v>30.641100000000002</v>
      </c>
      <c r="DP145">
        <v>10.5168</v>
      </c>
      <c r="DQ145">
        <v>1</v>
      </c>
      <c r="DR145">
        <v>1.0536099999999999</v>
      </c>
      <c r="DS145">
        <v>3.29095</v>
      </c>
      <c r="DT145">
        <v>20.320499999999999</v>
      </c>
      <c r="DU145">
        <v>5.2063899999999999</v>
      </c>
      <c r="DV145">
        <v>11.8576</v>
      </c>
      <c r="DW145">
        <v>4.9659599999999999</v>
      </c>
      <c r="DX145">
        <v>3.2924000000000002</v>
      </c>
      <c r="DY145">
        <v>894.7</v>
      </c>
      <c r="DZ145">
        <v>6</v>
      </c>
      <c r="EA145">
        <v>9999</v>
      </c>
      <c r="EB145">
        <v>117.9</v>
      </c>
      <c r="EC145">
        <v>4.9715800000000003</v>
      </c>
      <c r="ED145">
        <v>1.8722000000000001</v>
      </c>
      <c r="EE145">
        <v>1.86955</v>
      </c>
      <c r="EF145">
        <v>1.8718399999999999</v>
      </c>
      <c r="EG145">
        <v>1.8696600000000001</v>
      </c>
      <c r="EH145">
        <v>1.8684499999999999</v>
      </c>
      <c r="EI145">
        <v>1.8702700000000001</v>
      </c>
      <c r="EJ145">
        <v>1.87195</v>
      </c>
      <c r="EK145">
        <v>0</v>
      </c>
      <c r="EL145">
        <v>0</v>
      </c>
      <c r="EM145">
        <v>0</v>
      </c>
      <c r="EN145">
        <v>0</v>
      </c>
      <c r="EO145" t="s">
        <v>320</v>
      </c>
      <c r="EP145" t="s">
        <v>321</v>
      </c>
      <c r="EQ145" t="s">
        <v>322</v>
      </c>
      <c r="ER145" t="s">
        <v>322</v>
      </c>
      <c r="ES145" t="s">
        <v>322</v>
      </c>
      <c r="ET145" t="s">
        <v>322</v>
      </c>
      <c r="EU145">
        <v>0</v>
      </c>
      <c r="EV145">
        <v>100</v>
      </c>
      <c r="EW145">
        <v>100</v>
      </c>
      <c r="EX145">
        <v>6.883</v>
      </c>
      <c r="EY145">
        <v>-1.917</v>
      </c>
      <c r="EZ145">
        <v>6.9084519999999987</v>
      </c>
      <c r="FA145">
        <v>0</v>
      </c>
      <c r="FB145">
        <v>0</v>
      </c>
      <c r="FC145">
        <v>0</v>
      </c>
      <c r="FD145">
        <v>-1.9090919047619039</v>
      </c>
      <c r="FE145">
        <v>0</v>
      </c>
      <c r="FF145">
        <v>0</v>
      </c>
      <c r="FG145">
        <v>0</v>
      </c>
      <c r="FH145">
        <v>-1</v>
      </c>
      <c r="FI145">
        <v>-1</v>
      </c>
      <c r="FJ145">
        <v>-1</v>
      </c>
      <c r="FK145">
        <v>-1</v>
      </c>
      <c r="FL145">
        <v>0.7</v>
      </c>
      <c r="FM145">
        <v>0.6</v>
      </c>
      <c r="FN145">
        <v>0.14038100000000001</v>
      </c>
      <c r="FO145">
        <v>4.99634</v>
      </c>
      <c r="FP145">
        <v>1.5979000000000001</v>
      </c>
      <c r="FQ145">
        <v>2.1118199999999998</v>
      </c>
      <c r="FR145">
        <v>1.5478499999999999</v>
      </c>
      <c r="FS145">
        <v>2.5158700000000001</v>
      </c>
      <c r="FT145">
        <v>50.154200000000003</v>
      </c>
      <c r="FU145">
        <v>15.0426</v>
      </c>
      <c r="FV145">
        <v>2</v>
      </c>
      <c r="FW145">
        <v>505.34500000000003</v>
      </c>
      <c r="FX145">
        <v>342.60899999999998</v>
      </c>
      <c r="FY145">
        <v>31.3797</v>
      </c>
      <c r="FZ145">
        <v>39.8172</v>
      </c>
      <c r="GA145">
        <v>30.000900000000001</v>
      </c>
      <c r="GB145">
        <v>39.925400000000003</v>
      </c>
      <c r="GC145">
        <v>39.9512</v>
      </c>
      <c r="GD145">
        <v>-1</v>
      </c>
      <c r="GE145">
        <v>0</v>
      </c>
      <c r="GF145">
        <v>100</v>
      </c>
      <c r="GG145">
        <v>31.621099999999998</v>
      </c>
      <c r="GH145">
        <v>432.1</v>
      </c>
      <c r="GI145">
        <v>44.267099999999999</v>
      </c>
      <c r="GJ145">
        <v>100.651</v>
      </c>
      <c r="GK145">
        <v>95.124700000000004</v>
      </c>
    </row>
    <row r="146" spans="1:193" x14ac:dyDescent="0.35">
      <c r="A146">
        <v>130</v>
      </c>
      <c r="B146">
        <v>1775539767.0999999</v>
      </c>
      <c r="C146">
        <v>7741</v>
      </c>
      <c r="D146" t="s">
        <v>707</v>
      </c>
      <c r="E146" t="s">
        <v>708</v>
      </c>
      <c r="F146">
        <v>60</v>
      </c>
      <c r="G146">
        <v>1775539759.099999</v>
      </c>
      <c r="H146">
        <f t="shared" si="60"/>
        <v>4.1613750082142176E-3</v>
      </c>
      <c r="I146">
        <f t="shared" si="61"/>
        <v>4.1613750082142174</v>
      </c>
      <c r="J146">
        <f t="shared" si="62"/>
        <v>-3.3062249504557779</v>
      </c>
      <c r="K146">
        <f t="shared" si="63"/>
        <v>16.09722064516129</v>
      </c>
      <c r="L146">
        <f t="shared" si="64"/>
        <v>72.768269687145548</v>
      </c>
      <c r="M146">
        <f t="shared" si="65"/>
        <v>7.2893558410879509</v>
      </c>
      <c r="N146">
        <f t="shared" si="66"/>
        <v>1.6124936024941061</v>
      </c>
      <c r="O146">
        <f t="shared" si="67"/>
        <v>8.9696291944493273E-2</v>
      </c>
      <c r="P146">
        <f t="shared" si="68"/>
        <v>2.3891388982521313</v>
      </c>
      <c r="Q146">
        <f t="shared" si="69"/>
        <v>8.7866628568968735E-2</v>
      </c>
      <c r="R146">
        <f t="shared" si="70"/>
        <v>5.507792228907904E-2</v>
      </c>
      <c r="S146">
        <f t="shared" si="71"/>
        <v>0.22183190061290323</v>
      </c>
      <c r="T146">
        <f t="shared" si="72"/>
        <v>31.893389014132879</v>
      </c>
      <c r="U146">
        <f t="shared" si="73"/>
        <v>33.198906451612899</v>
      </c>
      <c r="V146">
        <f t="shared" si="74"/>
        <v>5.108845536279305</v>
      </c>
      <c r="W146">
        <f t="shared" si="75"/>
        <v>9.7406543394548635</v>
      </c>
      <c r="X146">
        <f t="shared" si="76"/>
        <v>0.49743534176029774</v>
      </c>
      <c r="Y146">
        <f t="shared" si="77"/>
        <v>5.10679595461486</v>
      </c>
      <c r="Z146">
        <f t="shared" si="78"/>
        <v>4.6114101945190074</v>
      </c>
      <c r="AA146">
        <f t="shared" si="79"/>
        <v>-183.51663786224699</v>
      </c>
      <c r="AB146">
        <f t="shared" si="80"/>
        <v>-0.9211510296074118</v>
      </c>
      <c r="AC146">
        <f t="shared" si="81"/>
        <v>-8.8470063971790497E-2</v>
      </c>
      <c r="AD146">
        <f t="shared" si="82"/>
        <v>-184.3044270552133</v>
      </c>
      <c r="AE146">
        <v>7</v>
      </c>
      <c r="AF146">
        <v>1</v>
      </c>
      <c r="AG146">
        <f t="shared" si="83"/>
        <v>1</v>
      </c>
      <c r="AH146">
        <f t="shared" si="84"/>
        <v>0</v>
      </c>
      <c r="AI146">
        <f t="shared" si="85"/>
        <v>25018.482989955573</v>
      </c>
      <c r="AJ146">
        <f t="shared" si="86"/>
        <v>1.160815806451613</v>
      </c>
      <c r="AK146">
        <f t="shared" si="87"/>
        <v>0.92865264516129042</v>
      </c>
      <c r="AL146">
        <f t="shared" si="88"/>
        <v>0.8</v>
      </c>
      <c r="AM146">
        <f t="shared" si="89"/>
        <v>0.19109999999999999</v>
      </c>
      <c r="AN146">
        <v>3</v>
      </c>
      <c r="AO146">
        <v>0.5</v>
      </c>
      <c r="AP146" t="s">
        <v>317</v>
      </c>
      <c r="AQ146">
        <v>2</v>
      </c>
      <c r="AR146">
        <v>1775539759.099999</v>
      </c>
      <c r="AS146">
        <v>16.09722064516129</v>
      </c>
      <c r="AT146">
        <v>14.154905161290319</v>
      </c>
      <c r="AU146">
        <v>4.9658035483870977</v>
      </c>
      <c r="AV146">
        <v>2.4829464516129041</v>
      </c>
      <c r="AW146">
        <v>9.2142206451612907</v>
      </c>
      <c r="AX146">
        <v>4.4039464516129039</v>
      </c>
      <c r="AY146">
        <v>500.31599999999997</v>
      </c>
      <c r="AZ146">
        <v>100.1235483870968</v>
      </c>
      <c r="BA146">
        <v>4.8626551612903218E-2</v>
      </c>
      <c r="BB146">
        <v>33.191754838709677</v>
      </c>
      <c r="BC146">
        <v>33.198906451612899</v>
      </c>
      <c r="BD146">
        <v>999.90000000000032</v>
      </c>
      <c r="BE146">
        <v>0</v>
      </c>
      <c r="BF146">
        <v>0</v>
      </c>
      <c r="BG146">
        <v>4996.677419354839</v>
      </c>
      <c r="BH146">
        <v>1.160815806451613</v>
      </c>
      <c r="BI146">
        <v>1093.2306451612901</v>
      </c>
      <c r="BJ146">
        <v>1.9423565161290319</v>
      </c>
      <c r="BK146">
        <v>16.137393548387099</v>
      </c>
      <c r="BL146">
        <v>14.22555064516129</v>
      </c>
      <c r="BM146">
        <v>-2.4790800000000002</v>
      </c>
      <c r="BN146">
        <v>14.154905161290319</v>
      </c>
      <c r="BO146">
        <v>4.9658035483870977</v>
      </c>
      <c r="BP146">
        <v>0.24897929032258059</v>
      </c>
      <c r="BQ146">
        <v>0.49719338709677408</v>
      </c>
      <c r="BR146">
        <v>-11.811016129032261</v>
      </c>
      <c r="BS146">
        <v>-2.8630212903225809</v>
      </c>
      <c r="BT146">
        <v>1775539807.5999999</v>
      </c>
      <c r="BU146" t="s">
        <v>709</v>
      </c>
      <c r="BV146">
        <v>1775539725.0999999</v>
      </c>
      <c r="BW146">
        <v>1775539797.0999999</v>
      </c>
      <c r="BX146">
        <v>131</v>
      </c>
      <c r="BY146">
        <v>-2.5000000000000001E-2</v>
      </c>
      <c r="BZ146">
        <v>-3.0000000000000001E-3</v>
      </c>
      <c r="CA146">
        <v>6.883</v>
      </c>
      <c r="CB146">
        <v>-1.921</v>
      </c>
      <c r="CC146">
        <v>-9</v>
      </c>
      <c r="CD146">
        <v>5</v>
      </c>
      <c r="CE146">
        <v>0.41</v>
      </c>
      <c r="CF146">
        <v>0.03</v>
      </c>
      <c r="CG146">
        <v>15.271435666666671</v>
      </c>
      <c r="CH146">
        <v>-25.394599188663499</v>
      </c>
      <c r="CI146">
        <v>7.2953410722184806</v>
      </c>
      <c r="CJ146">
        <v>-1</v>
      </c>
      <c r="CK146">
        <v>500.96128333333343</v>
      </c>
      <c r="CL146">
        <v>-1.373704918032342</v>
      </c>
      <c r="CM146">
        <v>1.862685857318821</v>
      </c>
      <c r="CN146">
        <v>-1</v>
      </c>
      <c r="CO146">
        <v>0</v>
      </c>
      <c r="CP146">
        <v>0</v>
      </c>
      <c r="CQ146" t="s">
        <v>319</v>
      </c>
      <c r="CR146">
        <v>3.1694100000000001</v>
      </c>
      <c r="CS146">
        <v>2.67035</v>
      </c>
      <c r="CT146">
        <v>1.79047E-3</v>
      </c>
      <c r="CU146">
        <v>3.8168E-3</v>
      </c>
      <c r="CV146">
        <v>2.9577699999999998E-2</v>
      </c>
      <c r="CW146">
        <v>3.2563000000000002E-2</v>
      </c>
      <c r="CX146">
        <v>21144.1</v>
      </c>
      <c r="CY146">
        <v>21555.3</v>
      </c>
      <c r="CZ146">
        <v>22720.5</v>
      </c>
      <c r="DA146">
        <v>22012.7</v>
      </c>
      <c r="DB146">
        <v>28463.4</v>
      </c>
      <c r="DC146">
        <v>25344.400000000001</v>
      </c>
      <c r="DD146">
        <v>39997.800000000003</v>
      </c>
      <c r="DE146">
        <v>36422.1</v>
      </c>
      <c r="DF146">
        <v>1.98156</v>
      </c>
      <c r="DG146">
        <v>1.58582</v>
      </c>
      <c r="DH146">
        <v>-9.4577700000000001E-2</v>
      </c>
      <c r="DI146">
        <v>0</v>
      </c>
      <c r="DJ146">
        <v>34.722499999999997</v>
      </c>
      <c r="DK146">
        <v>999.9</v>
      </c>
      <c r="DL146">
        <v>48.1</v>
      </c>
      <c r="DM146">
        <v>47</v>
      </c>
      <c r="DN146">
        <v>51.297699999999999</v>
      </c>
      <c r="DO146">
        <v>30.821100000000001</v>
      </c>
      <c r="DP146">
        <v>10.8774</v>
      </c>
      <c r="DQ146">
        <v>1</v>
      </c>
      <c r="DR146">
        <v>1.0663199999999999</v>
      </c>
      <c r="DS146">
        <v>3.0270299999999999</v>
      </c>
      <c r="DT146">
        <v>20.327100000000002</v>
      </c>
      <c r="DU146">
        <v>5.2107000000000001</v>
      </c>
      <c r="DV146">
        <v>11.8584</v>
      </c>
      <c r="DW146">
        <v>4.9660799999999998</v>
      </c>
      <c r="DX146">
        <v>3.2930000000000001</v>
      </c>
      <c r="DY146">
        <v>894.7</v>
      </c>
      <c r="DZ146">
        <v>6</v>
      </c>
      <c r="EA146">
        <v>9999</v>
      </c>
      <c r="EB146">
        <v>117.9</v>
      </c>
      <c r="EC146">
        <v>4.9716199999999997</v>
      </c>
      <c r="ED146">
        <v>1.87225</v>
      </c>
      <c r="EE146">
        <v>1.86957</v>
      </c>
      <c r="EF146">
        <v>1.87185</v>
      </c>
      <c r="EG146">
        <v>1.8696600000000001</v>
      </c>
      <c r="EH146">
        <v>1.8684499999999999</v>
      </c>
      <c r="EI146">
        <v>1.8702700000000001</v>
      </c>
      <c r="EJ146">
        <v>1.87195</v>
      </c>
      <c r="EK146">
        <v>0</v>
      </c>
      <c r="EL146">
        <v>0</v>
      </c>
      <c r="EM146">
        <v>0</v>
      </c>
      <c r="EN146">
        <v>0</v>
      </c>
      <c r="EO146" t="s">
        <v>320</v>
      </c>
      <c r="EP146" t="s">
        <v>321</v>
      </c>
      <c r="EQ146" t="s">
        <v>322</v>
      </c>
      <c r="ER146" t="s">
        <v>322</v>
      </c>
      <c r="ES146" t="s">
        <v>322</v>
      </c>
      <c r="ET146" t="s">
        <v>322</v>
      </c>
      <c r="EU146">
        <v>0</v>
      </c>
      <c r="EV146">
        <v>100</v>
      </c>
      <c r="EW146">
        <v>100</v>
      </c>
      <c r="EX146">
        <v>6.883</v>
      </c>
      <c r="EY146">
        <v>-1.921</v>
      </c>
      <c r="EZ146">
        <v>6.8830529999999994</v>
      </c>
      <c r="FA146">
        <v>0</v>
      </c>
      <c r="FB146">
        <v>0</v>
      </c>
      <c r="FC146">
        <v>0</v>
      </c>
      <c r="FD146">
        <v>-1.917224</v>
      </c>
      <c r="FE146">
        <v>0</v>
      </c>
      <c r="FF146">
        <v>0</v>
      </c>
      <c r="FG146">
        <v>0</v>
      </c>
      <c r="FH146">
        <v>-1</v>
      </c>
      <c r="FI146">
        <v>-1</v>
      </c>
      <c r="FJ146">
        <v>-1</v>
      </c>
      <c r="FK146">
        <v>-1</v>
      </c>
      <c r="FL146">
        <v>0.7</v>
      </c>
      <c r="FM146">
        <v>0.4</v>
      </c>
      <c r="FN146">
        <v>0.14038100000000001</v>
      </c>
      <c r="FO146">
        <v>4.99756</v>
      </c>
      <c r="FP146">
        <v>1.5979000000000001</v>
      </c>
      <c r="FQ146">
        <v>2.1105999999999998</v>
      </c>
      <c r="FR146">
        <v>1.5478499999999999</v>
      </c>
      <c r="FS146">
        <v>2.4682599999999999</v>
      </c>
      <c r="FT146">
        <v>50.218699999999998</v>
      </c>
      <c r="FU146">
        <v>15.0426</v>
      </c>
      <c r="FV146">
        <v>2</v>
      </c>
      <c r="FW146">
        <v>505.416</v>
      </c>
      <c r="FX146">
        <v>341.38900000000001</v>
      </c>
      <c r="FY146">
        <v>31.6158</v>
      </c>
      <c r="FZ146">
        <v>39.965600000000002</v>
      </c>
      <c r="GA146">
        <v>30.000800000000002</v>
      </c>
      <c r="GB146">
        <v>40.057299999999998</v>
      </c>
      <c r="GC146">
        <v>40.079700000000003</v>
      </c>
      <c r="GD146">
        <v>-1</v>
      </c>
      <c r="GE146">
        <v>0</v>
      </c>
      <c r="GF146">
        <v>100</v>
      </c>
      <c r="GG146">
        <v>31.634799999999998</v>
      </c>
      <c r="GH146">
        <v>432.1</v>
      </c>
      <c r="GI146">
        <v>44.267099999999999</v>
      </c>
      <c r="GJ146">
        <v>100.619</v>
      </c>
      <c r="GK146">
        <v>95.096299999999999</v>
      </c>
    </row>
    <row r="147" spans="1:193" x14ac:dyDescent="0.35">
      <c r="A147">
        <v>131</v>
      </c>
      <c r="B147">
        <v>1775539827.0999999</v>
      </c>
      <c r="C147">
        <v>7801</v>
      </c>
      <c r="D147" t="s">
        <v>710</v>
      </c>
      <c r="E147" t="s">
        <v>711</v>
      </c>
      <c r="F147">
        <v>60</v>
      </c>
      <c r="G147">
        <v>1775539819.349999</v>
      </c>
      <c r="H147">
        <f t="shared" si="60"/>
        <v>3.9194096619999041E-3</v>
      </c>
      <c r="I147">
        <f t="shared" si="61"/>
        <v>3.9194096619999037</v>
      </c>
      <c r="J147">
        <f t="shared" si="62"/>
        <v>-6.1704539218278036</v>
      </c>
      <c r="K147">
        <f t="shared" si="63"/>
        <v>-5.3740399999999999</v>
      </c>
      <c r="L147">
        <f t="shared" si="64"/>
        <v>109.78892897050476</v>
      </c>
      <c r="M147">
        <f t="shared" si="65"/>
        <v>10.998260206478182</v>
      </c>
      <c r="N147">
        <f t="shared" si="66"/>
        <v>-0.53835200720375753</v>
      </c>
      <c r="O147">
        <f t="shared" si="67"/>
        <v>8.4272163500206429E-2</v>
      </c>
      <c r="P147">
        <f t="shared" si="68"/>
        <v>2.3928636081119676</v>
      </c>
      <c r="Q147">
        <f t="shared" si="69"/>
        <v>8.2657412069105859E-2</v>
      </c>
      <c r="R147">
        <f t="shared" si="70"/>
        <v>5.1803384480404766E-2</v>
      </c>
      <c r="S147">
        <f t="shared" si="71"/>
        <v>0.28598312469999992</v>
      </c>
      <c r="T147">
        <f t="shared" si="72"/>
        <v>31.951459703783993</v>
      </c>
      <c r="U147">
        <f t="shared" si="73"/>
        <v>33.24051</v>
      </c>
      <c r="V147">
        <f t="shared" si="74"/>
        <v>5.1207828992905933</v>
      </c>
      <c r="W147">
        <f t="shared" si="75"/>
        <v>9.880563841365376</v>
      </c>
      <c r="X147">
        <f t="shared" si="76"/>
        <v>0.50402318944543356</v>
      </c>
      <c r="Y147">
        <f t="shared" si="77"/>
        <v>5.1011581680725575</v>
      </c>
      <c r="Z147">
        <f t="shared" si="78"/>
        <v>4.6167597098451596</v>
      </c>
      <c r="AA147">
        <f t="shared" si="79"/>
        <v>-172.84596609419577</v>
      </c>
      <c r="AB147">
        <f t="shared" si="80"/>
        <v>-8.8290380608045282</v>
      </c>
      <c r="AC147">
        <f t="shared" si="81"/>
        <v>-0.84673786304324539</v>
      </c>
      <c r="AD147">
        <f t="shared" si="82"/>
        <v>-182.23575889334353</v>
      </c>
      <c r="AE147">
        <v>7</v>
      </c>
      <c r="AF147">
        <v>1</v>
      </c>
      <c r="AG147">
        <f t="shared" si="83"/>
        <v>1</v>
      </c>
      <c r="AH147">
        <f t="shared" si="84"/>
        <v>0</v>
      </c>
      <c r="AI147">
        <f t="shared" si="85"/>
        <v>25075.46479108616</v>
      </c>
      <c r="AJ147">
        <f t="shared" si="86"/>
        <v>1.4965103333333329</v>
      </c>
      <c r="AK147">
        <f t="shared" si="87"/>
        <v>1.1972082666666664</v>
      </c>
      <c r="AL147">
        <f t="shared" si="88"/>
        <v>0.8</v>
      </c>
      <c r="AM147">
        <f t="shared" si="89"/>
        <v>0.19109999999999999</v>
      </c>
      <c r="AN147">
        <v>3</v>
      </c>
      <c r="AO147">
        <v>0.5</v>
      </c>
      <c r="AP147" t="s">
        <v>317</v>
      </c>
      <c r="AQ147">
        <v>2</v>
      </c>
      <c r="AR147">
        <v>1775539819.349999</v>
      </c>
      <c r="AS147">
        <v>-5.3740399999999999</v>
      </c>
      <c r="AT147">
        <v>-9.0821889999999996</v>
      </c>
      <c r="AU147">
        <v>5.0313563333333331</v>
      </c>
      <c r="AV147">
        <v>2.6958010000000008</v>
      </c>
      <c r="AW147">
        <v>-12.23704</v>
      </c>
      <c r="AX147">
        <v>4.620801000000001</v>
      </c>
      <c r="AY147">
        <v>500.91166666666669</v>
      </c>
      <c r="AZ147">
        <v>100.1276</v>
      </c>
      <c r="BA147">
        <v>4.8804939999999998E-2</v>
      </c>
      <c r="BB147">
        <v>33.172070000000012</v>
      </c>
      <c r="BC147">
        <v>33.24051</v>
      </c>
      <c r="BD147">
        <v>999.9000000000002</v>
      </c>
      <c r="BE147">
        <v>0</v>
      </c>
      <c r="BF147">
        <v>0</v>
      </c>
      <c r="BG147">
        <v>5006.0666666666666</v>
      </c>
      <c r="BH147">
        <v>1.4965103333333329</v>
      </c>
      <c r="BI147">
        <v>1656.207333333334</v>
      </c>
      <c r="BJ147">
        <v>3.728196333333333</v>
      </c>
      <c r="BK147">
        <v>-5.3684719999999997</v>
      </c>
      <c r="BL147">
        <v>-9.1281146666666668</v>
      </c>
      <c r="BM147">
        <v>-2.331097666666667</v>
      </c>
      <c r="BN147">
        <v>-9.0821889999999996</v>
      </c>
      <c r="BO147">
        <v>5.0313563333333331</v>
      </c>
      <c r="BP147">
        <v>0.27037040000000001</v>
      </c>
      <c r="BQ147">
        <v>0.50377779999999994</v>
      </c>
      <c r="BR147">
        <v>-10.795118666666671</v>
      </c>
      <c r="BS147">
        <v>-2.6860339999999998</v>
      </c>
      <c r="BT147">
        <v>1775539859.0999999</v>
      </c>
      <c r="BU147" t="s">
        <v>712</v>
      </c>
      <c r="BV147">
        <v>1775539845.0999999</v>
      </c>
      <c r="BW147">
        <v>1775539859.0999999</v>
      </c>
      <c r="BX147">
        <v>132</v>
      </c>
      <c r="BY147">
        <v>-0.02</v>
      </c>
      <c r="BZ147">
        <v>-4.0000000000000001E-3</v>
      </c>
      <c r="CA147">
        <v>6.8630000000000004</v>
      </c>
      <c r="CB147">
        <v>-1.925</v>
      </c>
      <c r="CC147">
        <v>-10</v>
      </c>
      <c r="CD147">
        <v>5</v>
      </c>
      <c r="CE147">
        <v>0.25</v>
      </c>
      <c r="CF147">
        <v>0.03</v>
      </c>
      <c r="CG147">
        <v>-7.8605456</v>
      </c>
      <c r="CH147">
        <v>-11.79227732592387</v>
      </c>
      <c r="CI147">
        <v>2.36304191902815</v>
      </c>
      <c r="CJ147">
        <v>-1</v>
      </c>
      <c r="CK147">
        <v>500.9541333333334</v>
      </c>
      <c r="CL147">
        <v>0.2591186440685988</v>
      </c>
      <c r="CM147">
        <v>1.883675498121218</v>
      </c>
      <c r="CN147">
        <v>-1</v>
      </c>
      <c r="CO147">
        <v>0</v>
      </c>
      <c r="CP147">
        <v>0</v>
      </c>
      <c r="CQ147" t="s">
        <v>319</v>
      </c>
      <c r="CR147">
        <v>3.1694900000000001</v>
      </c>
      <c r="CS147">
        <v>2.66988</v>
      </c>
      <c r="CT147">
        <v>-3.8854499999999999E-3</v>
      </c>
      <c r="CU147">
        <v>-2.6834300000000001E-3</v>
      </c>
      <c r="CV147">
        <v>3.0692400000000002E-2</v>
      </c>
      <c r="CW147">
        <v>3.2911599999999999E-2</v>
      </c>
      <c r="CX147">
        <v>21257.9</v>
      </c>
      <c r="CY147">
        <v>21690.6</v>
      </c>
      <c r="CZ147">
        <v>22714.5</v>
      </c>
      <c r="DA147">
        <v>22007.9</v>
      </c>
      <c r="DB147">
        <v>28423.599999999999</v>
      </c>
      <c r="DC147">
        <v>25329</v>
      </c>
      <c r="DD147">
        <v>39988.199999999997</v>
      </c>
      <c r="DE147">
        <v>36413.5</v>
      </c>
      <c r="DF147">
        <v>1.9803999999999999</v>
      </c>
      <c r="DG147">
        <v>1.5837399999999999</v>
      </c>
      <c r="DH147">
        <v>-9.2086200000000007E-2</v>
      </c>
      <c r="DI147">
        <v>0</v>
      </c>
      <c r="DJ147">
        <v>34.730600000000003</v>
      </c>
      <c r="DK147">
        <v>999.9</v>
      </c>
      <c r="DL147">
        <v>48.2</v>
      </c>
      <c r="DM147">
        <v>47</v>
      </c>
      <c r="DN147">
        <v>51.401000000000003</v>
      </c>
      <c r="DO147">
        <v>30.7011</v>
      </c>
      <c r="DP147">
        <v>10.817299999999999</v>
      </c>
      <c r="DQ147">
        <v>1</v>
      </c>
      <c r="DR147">
        <v>1.0780099999999999</v>
      </c>
      <c r="DS147">
        <v>2.82707</v>
      </c>
      <c r="DT147">
        <v>20.330500000000001</v>
      </c>
      <c r="DU147">
        <v>5.20974</v>
      </c>
      <c r="DV147">
        <v>11.857900000000001</v>
      </c>
      <c r="DW147">
        <v>4.9669600000000003</v>
      </c>
      <c r="DX147">
        <v>3.2930000000000001</v>
      </c>
      <c r="DY147">
        <v>894.7</v>
      </c>
      <c r="DZ147">
        <v>6</v>
      </c>
      <c r="EA147">
        <v>9999</v>
      </c>
      <c r="EB147">
        <v>117.9</v>
      </c>
      <c r="EC147">
        <v>4.9716100000000001</v>
      </c>
      <c r="ED147">
        <v>1.87219</v>
      </c>
      <c r="EE147">
        <v>1.8695600000000001</v>
      </c>
      <c r="EF147">
        <v>1.8718300000000001</v>
      </c>
      <c r="EG147">
        <v>1.8696600000000001</v>
      </c>
      <c r="EH147">
        <v>1.8684400000000001</v>
      </c>
      <c r="EI147">
        <v>1.8702700000000001</v>
      </c>
      <c r="EJ147">
        <v>1.87195</v>
      </c>
      <c r="EK147">
        <v>0</v>
      </c>
      <c r="EL147">
        <v>0</v>
      </c>
      <c r="EM147">
        <v>0</v>
      </c>
      <c r="EN147">
        <v>0</v>
      </c>
      <c r="EO147" t="s">
        <v>320</v>
      </c>
      <c r="EP147" t="s">
        <v>321</v>
      </c>
      <c r="EQ147" t="s">
        <v>322</v>
      </c>
      <c r="ER147" t="s">
        <v>322</v>
      </c>
      <c r="ES147" t="s">
        <v>322</v>
      </c>
      <c r="ET147" t="s">
        <v>322</v>
      </c>
      <c r="EU147">
        <v>0</v>
      </c>
      <c r="EV147">
        <v>100</v>
      </c>
      <c r="EW147">
        <v>100</v>
      </c>
      <c r="EX147">
        <v>6.8630000000000004</v>
      </c>
      <c r="EY147">
        <v>-1.925</v>
      </c>
      <c r="EZ147">
        <v>6.8830529999999994</v>
      </c>
      <c r="FA147">
        <v>0</v>
      </c>
      <c r="FB147">
        <v>0</v>
      </c>
      <c r="FC147">
        <v>0</v>
      </c>
      <c r="FD147">
        <v>-1.920542999999999</v>
      </c>
      <c r="FE147">
        <v>0</v>
      </c>
      <c r="FF147">
        <v>0</v>
      </c>
      <c r="FG147">
        <v>0</v>
      </c>
      <c r="FH147">
        <v>-1</v>
      </c>
      <c r="FI147">
        <v>-1</v>
      </c>
      <c r="FJ147">
        <v>-1</v>
      </c>
      <c r="FK147">
        <v>-1</v>
      </c>
      <c r="FL147">
        <v>1.7</v>
      </c>
      <c r="FM147">
        <v>0.5</v>
      </c>
      <c r="FN147">
        <v>0.14038100000000001</v>
      </c>
      <c r="FO147">
        <v>4.99756</v>
      </c>
      <c r="FP147">
        <v>1.5979000000000001</v>
      </c>
      <c r="FQ147">
        <v>2.1105999999999998</v>
      </c>
      <c r="FR147">
        <v>1.5478499999999999</v>
      </c>
      <c r="FS147">
        <v>2.4047900000000002</v>
      </c>
      <c r="FT147">
        <v>50.218699999999998</v>
      </c>
      <c r="FU147">
        <v>15.033899999999999</v>
      </c>
      <c r="FV147">
        <v>2</v>
      </c>
      <c r="FW147">
        <v>505.55200000000002</v>
      </c>
      <c r="FX147">
        <v>340.83199999999999</v>
      </c>
      <c r="FY147">
        <v>31.795999999999999</v>
      </c>
      <c r="FZ147">
        <v>40.103099999999998</v>
      </c>
      <c r="GA147">
        <v>30.000900000000001</v>
      </c>
      <c r="GB147">
        <v>40.186199999999999</v>
      </c>
      <c r="GC147">
        <v>40.201599999999999</v>
      </c>
      <c r="GD147">
        <v>-1</v>
      </c>
      <c r="GE147">
        <v>0</v>
      </c>
      <c r="GF147">
        <v>100</v>
      </c>
      <c r="GG147">
        <v>31.820799999999998</v>
      </c>
      <c r="GH147">
        <v>432.1</v>
      </c>
      <c r="GI147">
        <v>44.267099999999999</v>
      </c>
      <c r="GJ147">
        <v>100.59399999999999</v>
      </c>
      <c r="GK147">
        <v>95.074600000000004</v>
      </c>
    </row>
    <row r="148" spans="1:193" x14ac:dyDescent="0.35">
      <c r="A148">
        <v>132</v>
      </c>
      <c r="B148">
        <v>1775539887.0999999</v>
      </c>
      <c r="C148">
        <v>7861</v>
      </c>
      <c r="D148" t="s">
        <v>713</v>
      </c>
      <c r="E148" t="s">
        <v>714</v>
      </c>
      <c r="F148">
        <v>60</v>
      </c>
      <c r="G148">
        <v>1775539879.099999</v>
      </c>
      <c r="H148">
        <f t="shared" si="60"/>
        <v>4.0190695918731418E-3</v>
      </c>
      <c r="I148">
        <f t="shared" si="61"/>
        <v>4.0190695918731416</v>
      </c>
      <c r="J148">
        <f t="shared" si="62"/>
        <v>-3.391186856623821</v>
      </c>
      <c r="K148">
        <f t="shared" si="63"/>
        <v>-7.8288548387096784</v>
      </c>
      <c r="L148">
        <f t="shared" si="64"/>
        <v>54.396678770047409</v>
      </c>
      <c r="M148">
        <f t="shared" si="65"/>
        <v>5.4493844732216505</v>
      </c>
      <c r="N148">
        <f t="shared" si="66"/>
        <v>-0.78428391155126997</v>
      </c>
      <c r="O148">
        <f t="shared" si="67"/>
        <v>8.6245755981318659E-2</v>
      </c>
      <c r="P148">
        <f t="shared" si="68"/>
        <v>2.3881793941519427</v>
      </c>
      <c r="Q148">
        <f t="shared" si="69"/>
        <v>8.4552058384421425E-2</v>
      </c>
      <c r="R148">
        <f t="shared" si="70"/>
        <v>5.2994438180256488E-2</v>
      </c>
      <c r="S148">
        <f t="shared" si="71"/>
        <v>0.29908839077419352</v>
      </c>
      <c r="T148">
        <f t="shared" si="72"/>
        <v>31.965573072459694</v>
      </c>
      <c r="U148">
        <f t="shared" si="73"/>
        <v>33.280967741935477</v>
      </c>
      <c r="V148">
        <f t="shared" si="74"/>
        <v>5.1324147596411391</v>
      </c>
      <c r="W148">
        <f t="shared" si="75"/>
        <v>9.864275822821563</v>
      </c>
      <c r="X148">
        <f t="shared" si="76"/>
        <v>0.50452944653430509</v>
      </c>
      <c r="Y148">
        <f t="shared" si="77"/>
        <v>5.1147134933823271</v>
      </c>
      <c r="Z148">
        <f t="shared" si="78"/>
        <v>4.6278853131068338</v>
      </c>
      <c r="AA148">
        <f t="shared" si="79"/>
        <v>-177.24096900160555</v>
      </c>
      <c r="AB148">
        <f t="shared" si="80"/>
        <v>-7.9310940938451866</v>
      </c>
      <c r="AC148">
        <f t="shared" si="81"/>
        <v>-0.76244123030040101</v>
      </c>
      <c r="AD148">
        <f t="shared" si="82"/>
        <v>-185.63541593497695</v>
      </c>
      <c r="AE148">
        <v>6</v>
      </c>
      <c r="AF148">
        <v>1</v>
      </c>
      <c r="AG148">
        <f t="shared" si="83"/>
        <v>1</v>
      </c>
      <c r="AH148">
        <f t="shared" si="84"/>
        <v>0</v>
      </c>
      <c r="AI148">
        <f t="shared" si="85"/>
        <v>25001.687646187991</v>
      </c>
      <c r="AJ148">
        <f t="shared" si="86"/>
        <v>1.565088387096774</v>
      </c>
      <c r="AK148">
        <f t="shared" si="87"/>
        <v>1.2520707096774193</v>
      </c>
      <c r="AL148">
        <f t="shared" si="88"/>
        <v>0.8</v>
      </c>
      <c r="AM148">
        <f t="shared" si="89"/>
        <v>0.19109999999999999</v>
      </c>
      <c r="AN148">
        <v>3</v>
      </c>
      <c r="AO148">
        <v>0.5</v>
      </c>
      <c r="AP148" t="s">
        <v>317</v>
      </c>
      <c r="AQ148">
        <v>2</v>
      </c>
      <c r="AR148">
        <v>1775539879.099999</v>
      </c>
      <c r="AS148">
        <v>-7.8288548387096784</v>
      </c>
      <c r="AT148">
        <v>-9.8825725806451636</v>
      </c>
      <c r="AU148">
        <v>5.0362983870967746</v>
      </c>
      <c r="AV148">
        <v>2.6368532258064521</v>
      </c>
      <c r="AW148">
        <v>-14.66985483870968</v>
      </c>
      <c r="AX148">
        <v>4.5618532258064519</v>
      </c>
      <c r="AY148">
        <v>499.96912903225802</v>
      </c>
      <c r="AZ148">
        <v>100.1296451612903</v>
      </c>
      <c r="BA148">
        <v>4.8979645161290317E-2</v>
      </c>
      <c r="BB148">
        <v>33.219367741935493</v>
      </c>
      <c r="BC148">
        <v>33.280967741935477</v>
      </c>
      <c r="BD148">
        <v>999.90000000000032</v>
      </c>
      <c r="BE148">
        <v>0</v>
      </c>
      <c r="BF148">
        <v>0</v>
      </c>
      <c r="BG148">
        <v>4993.9032258064517</v>
      </c>
      <c r="BH148">
        <v>1.565088387096774</v>
      </c>
      <c r="BI148">
        <v>1807.883870967742</v>
      </c>
      <c r="BJ148">
        <v>2.0757654838709669</v>
      </c>
      <c r="BK148">
        <v>-7.8274493548387101</v>
      </c>
      <c r="BL148">
        <v>-9.9325954838709691</v>
      </c>
      <c r="BM148">
        <v>-2.3991074193548378</v>
      </c>
      <c r="BN148">
        <v>-9.8825725806451636</v>
      </c>
      <c r="BO148">
        <v>5.0362983870967746</v>
      </c>
      <c r="BP148">
        <v>0.264060935483871</v>
      </c>
      <c r="BQ148">
        <v>0.50428267741935484</v>
      </c>
      <c r="BR148">
        <v>-11.077222580645159</v>
      </c>
      <c r="BS148">
        <v>-2.6725474193548391</v>
      </c>
      <c r="BT148">
        <v>1775539912.0999999</v>
      </c>
      <c r="BU148" t="s">
        <v>715</v>
      </c>
      <c r="BV148">
        <v>1775539904.0999999</v>
      </c>
      <c r="BW148">
        <v>1775539912.0999999</v>
      </c>
      <c r="BX148">
        <v>133</v>
      </c>
      <c r="BY148">
        <v>-2.1999999999999999E-2</v>
      </c>
      <c r="BZ148">
        <v>0</v>
      </c>
      <c r="CA148">
        <v>6.8410000000000002</v>
      </c>
      <c r="CB148">
        <v>-1.925</v>
      </c>
      <c r="CC148">
        <v>-10</v>
      </c>
      <c r="CD148">
        <v>5</v>
      </c>
      <c r="CE148">
        <v>0.27</v>
      </c>
      <c r="CF148">
        <v>0.04</v>
      </c>
      <c r="CG148">
        <v>-9.7681698360655727</v>
      </c>
      <c r="CH148">
        <v>-0.95125205711264971</v>
      </c>
      <c r="CI148">
        <v>0.2084174328671283</v>
      </c>
      <c r="CJ148">
        <v>-1</v>
      </c>
      <c r="CK148">
        <v>500.94219672131157</v>
      </c>
      <c r="CL148">
        <v>-5.9171866737171186</v>
      </c>
      <c r="CM148">
        <v>1.878725569256837</v>
      </c>
      <c r="CN148">
        <v>-1</v>
      </c>
      <c r="CO148">
        <v>0</v>
      </c>
      <c r="CP148">
        <v>0</v>
      </c>
      <c r="CQ148" t="s">
        <v>319</v>
      </c>
      <c r="CR148">
        <v>3.1695799999999998</v>
      </c>
      <c r="CS148">
        <v>2.6703299999999999</v>
      </c>
      <c r="CT148">
        <v>-4.2304999999999999E-3</v>
      </c>
      <c r="CU148">
        <v>-2.7806200000000001E-3</v>
      </c>
      <c r="CV148">
        <v>3.01856E-2</v>
      </c>
      <c r="CW148">
        <v>3.29635E-2</v>
      </c>
      <c r="CX148">
        <v>21259.1</v>
      </c>
      <c r="CY148">
        <v>21687.4</v>
      </c>
      <c r="CZ148">
        <v>22708.5</v>
      </c>
      <c r="DA148">
        <v>22002.9</v>
      </c>
      <c r="DB148">
        <v>28431.3</v>
      </c>
      <c r="DC148">
        <v>25321.4</v>
      </c>
      <c r="DD148">
        <v>39978.6</v>
      </c>
      <c r="DE148">
        <v>36404.9</v>
      </c>
      <c r="DF148">
        <v>1.9796199999999999</v>
      </c>
      <c r="DG148">
        <v>1.5824199999999999</v>
      </c>
      <c r="DH148">
        <v>-9.0640799999999994E-2</v>
      </c>
      <c r="DI148">
        <v>0</v>
      </c>
      <c r="DJ148">
        <v>34.749600000000001</v>
      </c>
      <c r="DK148">
        <v>999.9</v>
      </c>
      <c r="DL148">
        <v>48.2</v>
      </c>
      <c r="DM148">
        <v>47</v>
      </c>
      <c r="DN148">
        <v>51.402299999999997</v>
      </c>
      <c r="DO148">
        <v>30.7011</v>
      </c>
      <c r="DP148">
        <v>10.4688</v>
      </c>
      <c r="DQ148">
        <v>1</v>
      </c>
      <c r="DR148">
        <v>1.0928599999999999</v>
      </c>
      <c r="DS148">
        <v>3.2436699999999998</v>
      </c>
      <c r="DT148">
        <v>20.321400000000001</v>
      </c>
      <c r="DU148">
        <v>5.2060300000000002</v>
      </c>
      <c r="DV148">
        <v>11.858599999999999</v>
      </c>
      <c r="DW148">
        <v>4.9669999999999996</v>
      </c>
      <c r="DX148">
        <v>3.2930000000000001</v>
      </c>
      <c r="DY148">
        <v>894.7</v>
      </c>
      <c r="DZ148">
        <v>6</v>
      </c>
      <c r="EA148">
        <v>9999</v>
      </c>
      <c r="EB148">
        <v>117.9</v>
      </c>
      <c r="EC148">
        <v>4.97159</v>
      </c>
      <c r="ED148">
        <v>1.8722099999999999</v>
      </c>
      <c r="EE148">
        <v>1.8695299999999999</v>
      </c>
      <c r="EF148">
        <v>1.87182</v>
      </c>
      <c r="EG148">
        <v>1.8696600000000001</v>
      </c>
      <c r="EH148">
        <v>1.8684400000000001</v>
      </c>
      <c r="EI148">
        <v>1.8702700000000001</v>
      </c>
      <c r="EJ148">
        <v>1.8719600000000001</v>
      </c>
      <c r="EK148">
        <v>0</v>
      </c>
      <c r="EL148">
        <v>0</v>
      </c>
      <c r="EM148">
        <v>0</v>
      </c>
      <c r="EN148">
        <v>0</v>
      </c>
      <c r="EO148" t="s">
        <v>320</v>
      </c>
      <c r="EP148" t="s">
        <v>321</v>
      </c>
      <c r="EQ148" t="s">
        <v>322</v>
      </c>
      <c r="ER148" t="s">
        <v>322</v>
      </c>
      <c r="ES148" t="s">
        <v>322</v>
      </c>
      <c r="ET148" t="s">
        <v>322</v>
      </c>
      <c r="EU148">
        <v>0</v>
      </c>
      <c r="EV148">
        <v>100</v>
      </c>
      <c r="EW148">
        <v>100</v>
      </c>
      <c r="EX148">
        <v>6.8410000000000002</v>
      </c>
      <c r="EY148">
        <v>-1.925</v>
      </c>
      <c r="EZ148">
        <v>6.8630509999999987</v>
      </c>
      <c r="FA148">
        <v>0</v>
      </c>
      <c r="FB148">
        <v>0</v>
      </c>
      <c r="FC148">
        <v>0</v>
      </c>
      <c r="FD148">
        <v>-1.9246635000000021</v>
      </c>
      <c r="FE148">
        <v>0</v>
      </c>
      <c r="FF148">
        <v>0</v>
      </c>
      <c r="FG148">
        <v>0</v>
      </c>
      <c r="FH148">
        <v>-1</v>
      </c>
      <c r="FI148">
        <v>-1</v>
      </c>
      <c r="FJ148">
        <v>-1</v>
      </c>
      <c r="FK148">
        <v>-1</v>
      </c>
      <c r="FL148">
        <v>0.7</v>
      </c>
      <c r="FM148">
        <v>0.5</v>
      </c>
      <c r="FN148">
        <v>0.14038100000000001</v>
      </c>
      <c r="FO148">
        <v>4.99756</v>
      </c>
      <c r="FP148">
        <v>1.5979000000000001</v>
      </c>
      <c r="FQ148">
        <v>2.1105999999999998</v>
      </c>
      <c r="FR148">
        <v>1.5478499999999999</v>
      </c>
      <c r="FS148">
        <v>2.49878</v>
      </c>
      <c r="FT148">
        <v>50.218699999999998</v>
      </c>
      <c r="FU148">
        <v>15.0251</v>
      </c>
      <c r="FV148">
        <v>2</v>
      </c>
      <c r="FW148">
        <v>505.911</v>
      </c>
      <c r="FX148">
        <v>340.69600000000003</v>
      </c>
      <c r="FY148">
        <v>31.6768</v>
      </c>
      <c r="FZ148">
        <v>40.240600000000001</v>
      </c>
      <c r="GA148">
        <v>30.001000000000001</v>
      </c>
      <c r="GB148">
        <v>40.313299999999998</v>
      </c>
      <c r="GC148">
        <v>40.327599999999997</v>
      </c>
      <c r="GD148">
        <v>-1</v>
      </c>
      <c r="GE148">
        <v>0</v>
      </c>
      <c r="GF148">
        <v>100</v>
      </c>
      <c r="GG148">
        <v>31.655000000000001</v>
      </c>
      <c r="GH148">
        <v>432.1</v>
      </c>
      <c r="GI148">
        <v>44.267099999999999</v>
      </c>
      <c r="GJ148">
        <v>100.569</v>
      </c>
      <c r="GK148">
        <v>95.052499999999995</v>
      </c>
    </row>
    <row r="149" spans="1:193" x14ac:dyDescent="0.35">
      <c r="A149">
        <v>133</v>
      </c>
      <c r="B149">
        <v>1775539947.0999999</v>
      </c>
      <c r="C149">
        <v>7921</v>
      </c>
      <c r="D149" t="s">
        <v>716</v>
      </c>
      <c r="E149" t="s">
        <v>717</v>
      </c>
      <c r="F149">
        <v>60</v>
      </c>
      <c r="G149">
        <v>1775539939.099999</v>
      </c>
      <c r="H149">
        <f t="shared" si="60"/>
        <v>4.6108075806880157E-3</v>
      </c>
      <c r="I149">
        <f t="shared" si="61"/>
        <v>4.6108075806880153</v>
      </c>
      <c r="J149">
        <f t="shared" si="62"/>
        <v>-3.7642520440628724</v>
      </c>
      <c r="K149">
        <f t="shared" si="63"/>
        <v>-8.3846999999999987</v>
      </c>
      <c r="L149">
        <f t="shared" si="64"/>
        <v>51.559092490089121</v>
      </c>
      <c r="M149">
        <f t="shared" si="65"/>
        <v>5.1651908050721707</v>
      </c>
      <c r="N149">
        <f t="shared" si="66"/>
        <v>-0.83997939551813394</v>
      </c>
      <c r="O149">
        <f t="shared" si="67"/>
        <v>9.9754512882277713E-2</v>
      </c>
      <c r="P149">
        <f t="shared" si="68"/>
        <v>2.3924985511816401</v>
      </c>
      <c r="Q149">
        <f t="shared" si="69"/>
        <v>9.7500155303546901E-2</v>
      </c>
      <c r="R149">
        <f t="shared" si="70"/>
        <v>6.1135898876874227E-2</v>
      </c>
      <c r="S149">
        <f t="shared" si="71"/>
        <v>0.31347365903225799</v>
      </c>
      <c r="T149">
        <f t="shared" si="72"/>
        <v>31.751177878883432</v>
      </c>
      <c r="U149">
        <f t="shared" si="73"/>
        <v>33.212270967741937</v>
      </c>
      <c r="V149">
        <f t="shared" si="74"/>
        <v>5.1126775929870094</v>
      </c>
      <c r="W149">
        <f t="shared" si="75"/>
        <v>9.9507388368226195</v>
      </c>
      <c r="X149">
        <f t="shared" si="76"/>
        <v>0.50804124399372141</v>
      </c>
      <c r="Y149">
        <f t="shared" si="77"/>
        <v>5.105563037326629</v>
      </c>
      <c r="Z149">
        <f t="shared" si="78"/>
        <v>4.6046363489932878</v>
      </c>
      <c r="AA149">
        <f t="shared" si="79"/>
        <v>-203.3366143083415</v>
      </c>
      <c r="AB149">
        <f t="shared" si="80"/>
        <v>-3.2013091428131584</v>
      </c>
      <c r="AC149">
        <f t="shared" si="81"/>
        <v>-0.3070450560556372</v>
      </c>
      <c r="AD149">
        <f t="shared" si="82"/>
        <v>-206.53149484817803</v>
      </c>
      <c r="AE149">
        <v>6</v>
      </c>
      <c r="AF149">
        <v>1</v>
      </c>
      <c r="AG149">
        <f t="shared" si="83"/>
        <v>1</v>
      </c>
      <c r="AH149">
        <f t="shared" si="84"/>
        <v>0</v>
      </c>
      <c r="AI149">
        <f t="shared" si="85"/>
        <v>25068.613289374654</v>
      </c>
      <c r="AJ149">
        <f t="shared" si="86"/>
        <v>1.6403645161290319</v>
      </c>
      <c r="AK149">
        <f t="shared" si="87"/>
        <v>1.3122916129032256</v>
      </c>
      <c r="AL149">
        <f t="shared" si="88"/>
        <v>0.8</v>
      </c>
      <c r="AM149">
        <f t="shared" si="89"/>
        <v>0.19109999999999999</v>
      </c>
      <c r="AN149">
        <v>3</v>
      </c>
      <c r="AO149">
        <v>0.5</v>
      </c>
      <c r="AP149" t="s">
        <v>317</v>
      </c>
      <c r="AQ149">
        <v>2</v>
      </c>
      <c r="AR149">
        <v>1775539939.099999</v>
      </c>
      <c r="AS149">
        <v>-8.3846999999999987</v>
      </c>
      <c r="AT149">
        <v>-10.666445161290319</v>
      </c>
      <c r="AU149">
        <v>5.0712832258064511</v>
      </c>
      <c r="AV149">
        <v>2.3188309677419361</v>
      </c>
      <c r="AW149">
        <v>-15.2437</v>
      </c>
      <c r="AX149">
        <v>4.2498309677419357</v>
      </c>
      <c r="AY149">
        <v>500.00048387096768</v>
      </c>
      <c r="AZ149">
        <v>100.1314193548387</v>
      </c>
      <c r="BA149">
        <v>4.8598477419354837E-2</v>
      </c>
      <c r="BB149">
        <v>33.187451612903217</v>
      </c>
      <c r="BC149">
        <v>33.212270967741937</v>
      </c>
      <c r="BD149">
        <v>999.90000000000032</v>
      </c>
      <c r="BE149">
        <v>0</v>
      </c>
      <c r="BF149">
        <v>0</v>
      </c>
      <c r="BG149">
        <v>5004.9354838709678</v>
      </c>
      <c r="BH149">
        <v>1.6403645161290319</v>
      </c>
      <c r="BI149">
        <v>1913.529677419355</v>
      </c>
      <c r="BJ149">
        <v>2.263662258064516</v>
      </c>
      <c r="BK149">
        <v>-8.4223712903225803</v>
      </c>
      <c r="BL149">
        <v>-10.720812903225809</v>
      </c>
      <c r="BM149">
        <v>-2.7464609677419358</v>
      </c>
      <c r="BN149">
        <v>-10.666445161290319</v>
      </c>
      <c r="BO149">
        <v>5.0712832258064511</v>
      </c>
      <c r="BP149">
        <v>0.23278787096774189</v>
      </c>
      <c r="BQ149">
        <v>0.50779483870967745</v>
      </c>
      <c r="BR149">
        <v>-12.648932258064519</v>
      </c>
      <c r="BS149">
        <v>-2.5790600000000001</v>
      </c>
      <c r="BT149">
        <v>1775539979.5999999</v>
      </c>
      <c r="BU149" t="s">
        <v>718</v>
      </c>
      <c r="BV149">
        <v>1775539966.0999999</v>
      </c>
      <c r="BW149">
        <v>1775539979.5999999</v>
      </c>
      <c r="BX149">
        <v>134</v>
      </c>
      <c r="BY149">
        <v>1.7999999999999999E-2</v>
      </c>
      <c r="BZ149">
        <v>-6.0000000000000001E-3</v>
      </c>
      <c r="CA149">
        <v>6.859</v>
      </c>
      <c r="CB149">
        <v>-1.931</v>
      </c>
      <c r="CC149">
        <v>-11</v>
      </c>
      <c r="CD149">
        <v>5</v>
      </c>
      <c r="CE149">
        <v>0.33</v>
      </c>
      <c r="CF149">
        <v>0.03</v>
      </c>
      <c r="CG149">
        <v>-10.60857540983606</v>
      </c>
      <c r="CH149">
        <v>-0.32165520888417631</v>
      </c>
      <c r="CI149">
        <v>6.3893175847769546E-2</v>
      </c>
      <c r="CJ149">
        <v>-1</v>
      </c>
      <c r="CK149">
        <v>500.74018032786893</v>
      </c>
      <c r="CL149">
        <v>-7.609510312005404</v>
      </c>
      <c r="CM149">
        <v>1.8165621242028609</v>
      </c>
      <c r="CN149">
        <v>-1</v>
      </c>
      <c r="CO149">
        <v>0</v>
      </c>
      <c r="CP149">
        <v>0</v>
      </c>
      <c r="CQ149" t="s">
        <v>319</v>
      </c>
      <c r="CR149">
        <v>3.1695099999999998</v>
      </c>
      <c r="CS149">
        <v>2.669</v>
      </c>
      <c r="CT149">
        <v>-4.4329900000000004E-3</v>
      </c>
      <c r="CU149">
        <v>-3.1169499999999998E-3</v>
      </c>
      <c r="CV149">
        <v>2.9262300000000002E-2</v>
      </c>
      <c r="CW149">
        <v>3.3134799999999999E-2</v>
      </c>
      <c r="CX149">
        <v>21258.3</v>
      </c>
      <c r="CY149">
        <v>21690.799999999999</v>
      </c>
      <c r="CZ149">
        <v>22703.7</v>
      </c>
      <c r="DA149">
        <v>21999.4</v>
      </c>
      <c r="DB149">
        <v>28452.3</v>
      </c>
      <c r="DC149">
        <v>25312.3</v>
      </c>
      <c r="DD149">
        <v>39970.400000000001</v>
      </c>
      <c r="DE149">
        <v>36398.6</v>
      </c>
      <c r="DF149">
        <v>1.97834</v>
      </c>
      <c r="DG149">
        <v>1.58186</v>
      </c>
      <c r="DH149">
        <v>-9.7611500000000004E-2</v>
      </c>
      <c r="DI149">
        <v>0</v>
      </c>
      <c r="DJ149">
        <v>34.802199999999999</v>
      </c>
      <c r="DK149">
        <v>999.9</v>
      </c>
      <c r="DL149">
        <v>48.3</v>
      </c>
      <c r="DM149">
        <v>47</v>
      </c>
      <c r="DN149">
        <v>51.507399999999997</v>
      </c>
      <c r="DO149">
        <v>30.641100000000002</v>
      </c>
      <c r="DP149">
        <v>10.472799999999999</v>
      </c>
      <c r="DQ149">
        <v>1</v>
      </c>
      <c r="DR149">
        <v>1.1033599999999999</v>
      </c>
      <c r="DS149">
        <v>3.12269</v>
      </c>
      <c r="DT149">
        <v>20.323499999999999</v>
      </c>
      <c r="DU149">
        <v>5.2060300000000002</v>
      </c>
      <c r="DV149">
        <v>11.857699999999999</v>
      </c>
      <c r="DW149">
        <v>4.9654800000000003</v>
      </c>
      <c r="DX149">
        <v>3.2923399999999998</v>
      </c>
      <c r="DY149">
        <v>894.7</v>
      </c>
      <c r="DZ149">
        <v>6</v>
      </c>
      <c r="EA149">
        <v>9999</v>
      </c>
      <c r="EB149">
        <v>117.9</v>
      </c>
      <c r="EC149">
        <v>4.9716300000000002</v>
      </c>
      <c r="ED149">
        <v>1.8722399999999999</v>
      </c>
      <c r="EE149">
        <v>1.86958</v>
      </c>
      <c r="EF149">
        <v>1.87182</v>
      </c>
      <c r="EG149">
        <v>1.8696600000000001</v>
      </c>
      <c r="EH149">
        <v>1.8684499999999999</v>
      </c>
      <c r="EI149">
        <v>1.8702799999999999</v>
      </c>
      <c r="EJ149">
        <v>1.8719600000000001</v>
      </c>
      <c r="EK149">
        <v>0</v>
      </c>
      <c r="EL149">
        <v>0</v>
      </c>
      <c r="EM149">
        <v>0</v>
      </c>
      <c r="EN149">
        <v>0</v>
      </c>
      <c r="EO149" t="s">
        <v>320</v>
      </c>
      <c r="EP149" t="s">
        <v>321</v>
      </c>
      <c r="EQ149" t="s">
        <v>322</v>
      </c>
      <c r="ER149" t="s">
        <v>322</v>
      </c>
      <c r="ES149" t="s">
        <v>322</v>
      </c>
      <c r="ET149" t="s">
        <v>322</v>
      </c>
      <c r="EU149">
        <v>0</v>
      </c>
      <c r="EV149">
        <v>100</v>
      </c>
      <c r="EW149">
        <v>100</v>
      </c>
      <c r="EX149">
        <v>6.859</v>
      </c>
      <c r="EY149">
        <v>-1.931</v>
      </c>
      <c r="EZ149">
        <v>6.8409094999999951</v>
      </c>
      <c r="FA149">
        <v>0</v>
      </c>
      <c r="FB149">
        <v>0</v>
      </c>
      <c r="FC149">
        <v>0</v>
      </c>
      <c r="FD149">
        <v>-1.9250075</v>
      </c>
      <c r="FE149">
        <v>0</v>
      </c>
      <c r="FF149">
        <v>0</v>
      </c>
      <c r="FG149">
        <v>0</v>
      </c>
      <c r="FH149">
        <v>-1</v>
      </c>
      <c r="FI149">
        <v>-1</v>
      </c>
      <c r="FJ149">
        <v>-1</v>
      </c>
      <c r="FK149">
        <v>-1</v>
      </c>
      <c r="FL149">
        <v>0.7</v>
      </c>
      <c r="FM149">
        <v>0.6</v>
      </c>
      <c r="FN149">
        <v>0.14038100000000001</v>
      </c>
      <c r="FO149">
        <v>4.99756</v>
      </c>
      <c r="FP149">
        <v>1.5979000000000001</v>
      </c>
      <c r="FQ149">
        <v>2.1105999999999998</v>
      </c>
      <c r="FR149">
        <v>1.5478499999999999</v>
      </c>
      <c r="FS149">
        <v>2.5463900000000002</v>
      </c>
      <c r="FT149">
        <v>50.250900000000001</v>
      </c>
      <c r="FU149">
        <v>15.0251</v>
      </c>
      <c r="FV149">
        <v>2</v>
      </c>
      <c r="FW149">
        <v>505.96199999999999</v>
      </c>
      <c r="FX149">
        <v>340.93400000000003</v>
      </c>
      <c r="FY149">
        <v>31.6191</v>
      </c>
      <c r="FZ149">
        <v>40.382100000000001</v>
      </c>
      <c r="GA149">
        <v>30.000900000000001</v>
      </c>
      <c r="GB149">
        <v>40.441200000000002</v>
      </c>
      <c r="GC149">
        <v>40.446899999999999</v>
      </c>
      <c r="GD149">
        <v>-1</v>
      </c>
      <c r="GE149">
        <v>0</v>
      </c>
      <c r="GF149">
        <v>100</v>
      </c>
      <c r="GG149">
        <v>31.6021</v>
      </c>
      <c r="GH149">
        <v>432.1</v>
      </c>
      <c r="GI149">
        <v>44.267099999999999</v>
      </c>
      <c r="GJ149">
        <v>100.548</v>
      </c>
      <c r="GK149">
        <v>95.036600000000007</v>
      </c>
    </row>
    <row r="150" spans="1:193" x14ac:dyDescent="0.35">
      <c r="A150">
        <v>134</v>
      </c>
      <c r="B150">
        <v>1775540007.0999999</v>
      </c>
      <c r="C150">
        <v>7981</v>
      </c>
      <c r="D150" t="s">
        <v>719</v>
      </c>
      <c r="E150" t="s">
        <v>720</v>
      </c>
      <c r="F150">
        <v>60</v>
      </c>
      <c r="G150">
        <v>1775539999.349999</v>
      </c>
      <c r="H150">
        <f t="shared" si="60"/>
        <v>4.3593086135498933E-3</v>
      </c>
      <c r="I150">
        <f t="shared" si="61"/>
        <v>4.3593086135498931</v>
      </c>
      <c r="J150">
        <f t="shared" si="62"/>
        <v>-3.3904572983305323</v>
      </c>
      <c r="K150">
        <f t="shared" si="63"/>
        <v>-8.5124566666666688</v>
      </c>
      <c r="L150">
        <f t="shared" si="64"/>
        <v>48.762412010546313</v>
      </c>
      <c r="M150">
        <f t="shared" si="65"/>
        <v>4.8848525646707532</v>
      </c>
      <c r="N150">
        <f t="shared" si="66"/>
        <v>-0.85274895283732011</v>
      </c>
      <c r="O150">
        <f t="shared" si="67"/>
        <v>9.3984499253380066E-2</v>
      </c>
      <c r="P150">
        <f t="shared" si="68"/>
        <v>2.392840960669655</v>
      </c>
      <c r="Q150">
        <f t="shared" si="69"/>
        <v>9.1980850683586884E-2</v>
      </c>
      <c r="R150">
        <f t="shared" si="70"/>
        <v>5.7664493801480296E-2</v>
      </c>
      <c r="S150">
        <f t="shared" si="71"/>
        <v>0.31496375819999994</v>
      </c>
      <c r="T150">
        <f t="shared" si="72"/>
        <v>31.84261892285803</v>
      </c>
      <c r="U150">
        <f t="shared" si="73"/>
        <v>33.25445666666667</v>
      </c>
      <c r="V150">
        <f t="shared" si="74"/>
        <v>5.1247900624849878</v>
      </c>
      <c r="W150">
        <f t="shared" si="75"/>
        <v>9.9936073171048729</v>
      </c>
      <c r="X150">
        <f t="shared" si="76"/>
        <v>0.51059578102488989</v>
      </c>
      <c r="Y150">
        <f t="shared" si="77"/>
        <v>5.1092239751202113</v>
      </c>
      <c r="Z150">
        <f t="shared" si="78"/>
        <v>4.6141942814600982</v>
      </c>
      <c r="AA150">
        <f t="shared" si="79"/>
        <v>-192.2455098575503</v>
      </c>
      <c r="AB150">
        <f t="shared" si="80"/>
        <v>-6.9958241146976849</v>
      </c>
      <c r="AC150">
        <f t="shared" si="81"/>
        <v>-0.671070506333724</v>
      </c>
      <c r="AD150">
        <f t="shared" si="82"/>
        <v>-199.59744072038171</v>
      </c>
      <c r="AE150">
        <v>6</v>
      </c>
      <c r="AF150">
        <v>1</v>
      </c>
      <c r="AG150">
        <f t="shared" si="83"/>
        <v>1</v>
      </c>
      <c r="AH150">
        <f t="shared" si="84"/>
        <v>0</v>
      </c>
      <c r="AI150">
        <f t="shared" si="85"/>
        <v>25072.814822331376</v>
      </c>
      <c r="AJ150">
        <f t="shared" si="86"/>
        <v>1.6481619999999999</v>
      </c>
      <c r="AK150">
        <f t="shared" si="87"/>
        <v>1.3185296</v>
      </c>
      <c r="AL150">
        <f t="shared" si="88"/>
        <v>0.8</v>
      </c>
      <c r="AM150">
        <f t="shared" si="89"/>
        <v>0.19109999999999999</v>
      </c>
      <c r="AN150">
        <v>3</v>
      </c>
      <c r="AO150">
        <v>0.5</v>
      </c>
      <c r="AP150" t="s">
        <v>317</v>
      </c>
      <c r="AQ150">
        <v>2</v>
      </c>
      <c r="AR150">
        <v>1775539999.349999</v>
      </c>
      <c r="AS150">
        <v>-8.5124566666666688</v>
      </c>
      <c r="AT150">
        <v>-10.56901666666667</v>
      </c>
      <c r="AU150">
        <v>5.0969566666666672</v>
      </c>
      <c r="AV150">
        <v>2.4946769999999989</v>
      </c>
      <c r="AW150">
        <v>-15.34445666666667</v>
      </c>
      <c r="AX150">
        <v>4.4286770000000004</v>
      </c>
      <c r="AY150">
        <v>499.995</v>
      </c>
      <c r="AZ150">
        <v>100.1277666666667</v>
      </c>
      <c r="BA150">
        <v>4.8831726666666672E-2</v>
      </c>
      <c r="BB150">
        <v>33.200226666666673</v>
      </c>
      <c r="BC150">
        <v>33.25445666666667</v>
      </c>
      <c r="BD150">
        <v>999.9000000000002</v>
      </c>
      <c r="BE150">
        <v>0</v>
      </c>
      <c r="BF150">
        <v>0</v>
      </c>
      <c r="BG150">
        <v>5006</v>
      </c>
      <c r="BH150">
        <v>1.6481619999999999</v>
      </c>
      <c r="BI150">
        <v>1962.747333333333</v>
      </c>
      <c r="BJ150">
        <v>2.0838386666666668</v>
      </c>
      <c r="BK150">
        <v>-8.5064279999999997</v>
      </c>
      <c r="BL150">
        <v>-10.62316666666667</v>
      </c>
      <c r="BM150">
        <v>-2.598905666666667</v>
      </c>
      <c r="BN150">
        <v>-10.56901666666667</v>
      </c>
      <c r="BO150">
        <v>5.0969566666666672</v>
      </c>
      <c r="BP150">
        <v>0.25012430000000002</v>
      </c>
      <c r="BQ150">
        <v>0.51034696666666668</v>
      </c>
      <c r="BR150">
        <v>-11.75376</v>
      </c>
      <c r="BS150">
        <v>-2.5114856666666658</v>
      </c>
      <c r="BT150">
        <v>1775540036.0999999</v>
      </c>
      <c r="BU150" t="s">
        <v>721</v>
      </c>
      <c r="BV150">
        <v>1775540025.0999999</v>
      </c>
      <c r="BW150">
        <v>1775540036.0999999</v>
      </c>
      <c r="BX150">
        <v>135</v>
      </c>
      <c r="BY150">
        <v>-2.7E-2</v>
      </c>
      <c r="BZ150">
        <v>-3.0000000000000001E-3</v>
      </c>
      <c r="CA150">
        <v>6.8319999999999999</v>
      </c>
      <c r="CB150">
        <v>-1.9339999999999999</v>
      </c>
      <c r="CC150">
        <v>-10</v>
      </c>
      <c r="CD150">
        <v>5</v>
      </c>
      <c r="CE150">
        <v>0.27</v>
      </c>
      <c r="CF150">
        <v>0.02</v>
      </c>
      <c r="CG150">
        <v>-10.623455737704919</v>
      </c>
      <c r="CH150">
        <v>0.38530026441038678</v>
      </c>
      <c r="CI150">
        <v>7.964661194895617E-2</v>
      </c>
      <c r="CJ150">
        <v>-1</v>
      </c>
      <c r="CK150">
        <v>500.94657377049191</v>
      </c>
      <c r="CL150">
        <v>-4.6792448439976999</v>
      </c>
      <c r="CM150">
        <v>1.9109330521511769</v>
      </c>
      <c r="CN150">
        <v>-1</v>
      </c>
      <c r="CO150">
        <v>0</v>
      </c>
      <c r="CP150">
        <v>0</v>
      </c>
      <c r="CQ150" t="s">
        <v>319</v>
      </c>
      <c r="CR150">
        <v>3.1695600000000002</v>
      </c>
      <c r="CS150">
        <v>2.67001</v>
      </c>
      <c r="CT150">
        <v>-4.4185200000000004E-3</v>
      </c>
      <c r="CU150">
        <v>-3.0385500000000001E-3</v>
      </c>
      <c r="CV150">
        <v>2.96755E-2</v>
      </c>
      <c r="CW150">
        <v>3.32743E-2</v>
      </c>
      <c r="CX150">
        <v>21255.599999999999</v>
      </c>
      <c r="CY150">
        <v>21688.1</v>
      </c>
      <c r="CZ150">
        <v>22701.4</v>
      </c>
      <c r="DA150">
        <v>21998.6</v>
      </c>
      <c r="DB150">
        <v>28437.8</v>
      </c>
      <c r="DC150">
        <v>25307.3</v>
      </c>
      <c r="DD150">
        <v>39967.300000000003</v>
      </c>
      <c r="DE150">
        <v>36397</v>
      </c>
      <c r="DF150">
        <v>1.97736</v>
      </c>
      <c r="DG150">
        <v>1.5804800000000001</v>
      </c>
      <c r="DH150">
        <v>-9.5778699999999994E-2</v>
      </c>
      <c r="DI150">
        <v>0</v>
      </c>
      <c r="DJ150">
        <v>34.811999999999998</v>
      </c>
      <c r="DK150">
        <v>999.9</v>
      </c>
      <c r="DL150">
        <v>48.4</v>
      </c>
      <c r="DM150">
        <v>46.9</v>
      </c>
      <c r="DN150">
        <v>51.353299999999997</v>
      </c>
      <c r="DO150">
        <v>30.6111</v>
      </c>
      <c r="DP150">
        <v>10.4688</v>
      </c>
      <c r="DQ150">
        <v>1</v>
      </c>
      <c r="DR150">
        <v>1.1097600000000001</v>
      </c>
      <c r="DS150">
        <v>3.3097099999999999</v>
      </c>
      <c r="DT150">
        <v>20.319299999999998</v>
      </c>
      <c r="DU150">
        <v>5.2098599999999999</v>
      </c>
      <c r="DV150">
        <v>11.857900000000001</v>
      </c>
      <c r="DW150">
        <v>4.9670399999999999</v>
      </c>
      <c r="DX150">
        <v>3.2930000000000001</v>
      </c>
      <c r="DY150">
        <v>894.7</v>
      </c>
      <c r="DZ150">
        <v>6</v>
      </c>
      <c r="EA150">
        <v>9999</v>
      </c>
      <c r="EB150">
        <v>118</v>
      </c>
      <c r="EC150">
        <v>4.9716300000000002</v>
      </c>
      <c r="ED150">
        <v>1.8722300000000001</v>
      </c>
      <c r="EE150">
        <v>1.8696200000000001</v>
      </c>
      <c r="EF150">
        <v>1.8718600000000001</v>
      </c>
      <c r="EG150">
        <v>1.8696600000000001</v>
      </c>
      <c r="EH150">
        <v>1.8684400000000001</v>
      </c>
      <c r="EI150">
        <v>1.8702700000000001</v>
      </c>
      <c r="EJ150">
        <v>1.8719600000000001</v>
      </c>
      <c r="EK150">
        <v>0</v>
      </c>
      <c r="EL150">
        <v>0</v>
      </c>
      <c r="EM150">
        <v>0</v>
      </c>
      <c r="EN150">
        <v>0</v>
      </c>
      <c r="EO150" t="s">
        <v>320</v>
      </c>
      <c r="EP150" t="s">
        <v>321</v>
      </c>
      <c r="EQ150" t="s">
        <v>322</v>
      </c>
      <c r="ER150" t="s">
        <v>322</v>
      </c>
      <c r="ES150" t="s">
        <v>322</v>
      </c>
      <c r="ET150" t="s">
        <v>322</v>
      </c>
      <c r="EU150">
        <v>0</v>
      </c>
      <c r="EV150">
        <v>100</v>
      </c>
      <c r="EW150">
        <v>100</v>
      </c>
      <c r="EX150">
        <v>6.8319999999999999</v>
      </c>
      <c r="EY150">
        <v>-1.9339999999999999</v>
      </c>
      <c r="EZ150">
        <v>6.8592850000000052</v>
      </c>
      <c r="FA150">
        <v>0</v>
      </c>
      <c r="FB150">
        <v>0</v>
      </c>
      <c r="FC150">
        <v>0</v>
      </c>
      <c r="FD150">
        <v>-1.9306257142857159</v>
      </c>
      <c r="FE150">
        <v>0</v>
      </c>
      <c r="FF150">
        <v>0</v>
      </c>
      <c r="FG150">
        <v>0</v>
      </c>
      <c r="FH150">
        <v>-1</v>
      </c>
      <c r="FI150">
        <v>-1</v>
      </c>
      <c r="FJ150">
        <v>-1</v>
      </c>
      <c r="FK150">
        <v>-1</v>
      </c>
      <c r="FL150">
        <v>0.7</v>
      </c>
      <c r="FM150">
        <v>0.5</v>
      </c>
      <c r="FN150">
        <v>0.13916000000000001</v>
      </c>
      <c r="FO150">
        <v>4.99634</v>
      </c>
      <c r="FP150">
        <v>1.5979000000000001</v>
      </c>
      <c r="FQ150">
        <v>2.1105999999999998</v>
      </c>
      <c r="FR150">
        <v>1.5478499999999999</v>
      </c>
      <c r="FS150">
        <v>2.5402800000000001</v>
      </c>
      <c r="FT150">
        <v>50.283200000000001</v>
      </c>
      <c r="FU150">
        <v>15.016400000000001</v>
      </c>
      <c r="FV150">
        <v>2</v>
      </c>
      <c r="FW150">
        <v>505.90199999999999</v>
      </c>
      <c r="FX150">
        <v>340.58100000000002</v>
      </c>
      <c r="FY150">
        <v>31.6417</v>
      </c>
      <c r="FZ150">
        <v>40.456099999999999</v>
      </c>
      <c r="GA150">
        <v>30.001200000000001</v>
      </c>
      <c r="GB150">
        <v>40.5244</v>
      </c>
      <c r="GC150">
        <v>40.531999999999996</v>
      </c>
      <c r="GD150">
        <v>-1</v>
      </c>
      <c r="GE150">
        <v>0</v>
      </c>
      <c r="GF150">
        <v>100</v>
      </c>
      <c r="GG150">
        <v>31.610099999999999</v>
      </c>
      <c r="GH150">
        <v>432.1</v>
      </c>
      <c r="GI150">
        <v>44.267099999999999</v>
      </c>
      <c r="GJ150">
        <v>100.54</v>
      </c>
      <c r="GK150">
        <v>95.032499999999999</v>
      </c>
    </row>
    <row r="151" spans="1:193" x14ac:dyDescent="0.35">
      <c r="A151">
        <v>135</v>
      </c>
      <c r="B151">
        <v>1775540067.0999999</v>
      </c>
      <c r="C151">
        <v>8041</v>
      </c>
      <c r="D151" t="s">
        <v>722</v>
      </c>
      <c r="E151" t="s">
        <v>723</v>
      </c>
      <c r="F151">
        <v>60</v>
      </c>
      <c r="G151">
        <v>1775540059.099999</v>
      </c>
      <c r="H151">
        <f t="shared" si="60"/>
        <v>4.7115663632630632E-3</v>
      </c>
      <c r="I151">
        <f t="shared" si="61"/>
        <v>4.7115663632630636</v>
      </c>
      <c r="J151">
        <f t="shared" si="62"/>
        <v>-3.8908397792598026</v>
      </c>
      <c r="K151">
        <f t="shared" si="63"/>
        <v>-8.5041806451612896</v>
      </c>
      <c r="L151">
        <f t="shared" si="64"/>
        <v>52.125070289189296</v>
      </c>
      <c r="M151">
        <f t="shared" si="65"/>
        <v>5.2216429296243216</v>
      </c>
      <c r="N151">
        <f t="shared" si="66"/>
        <v>-0.85190858240941647</v>
      </c>
      <c r="O151">
        <f t="shared" si="67"/>
        <v>0.101991681297285</v>
      </c>
      <c r="P151">
        <f t="shared" si="68"/>
        <v>2.391678816259275</v>
      </c>
      <c r="Q151">
        <f t="shared" si="69"/>
        <v>9.963557299805878E-2</v>
      </c>
      <c r="R151">
        <f t="shared" si="70"/>
        <v>6.2479386809022791E-2</v>
      </c>
      <c r="S151">
        <f t="shared" si="71"/>
        <v>0.31459855993548375</v>
      </c>
      <c r="T151">
        <f t="shared" si="72"/>
        <v>31.730638373872168</v>
      </c>
      <c r="U151">
        <f t="shared" si="73"/>
        <v>33.231351612903232</v>
      </c>
      <c r="V151">
        <f t="shared" si="74"/>
        <v>5.118152989912307</v>
      </c>
      <c r="W151">
        <f t="shared" si="75"/>
        <v>10.065703780727151</v>
      </c>
      <c r="X151">
        <f t="shared" si="76"/>
        <v>0.51423772156781467</v>
      </c>
      <c r="Y151">
        <f t="shared" si="77"/>
        <v>5.1088103998493173</v>
      </c>
      <c r="Z151">
        <f t="shared" si="78"/>
        <v>4.6039152683444922</v>
      </c>
      <c r="AA151">
        <f t="shared" si="79"/>
        <v>-207.78007661990108</v>
      </c>
      <c r="AB151">
        <f t="shared" si="80"/>
        <v>-4.1992907790427809</v>
      </c>
      <c r="AC151">
        <f t="shared" si="81"/>
        <v>-0.40296188677652844</v>
      </c>
      <c r="AD151">
        <f t="shared" si="82"/>
        <v>-212.06773072578488</v>
      </c>
      <c r="AE151">
        <v>6</v>
      </c>
      <c r="AF151">
        <v>1</v>
      </c>
      <c r="AG151">
        <f t="shared" si="83"/>
        <v>1</v>
      </c>
      <c r="AH151">
        <f t="shared" si="84"/>
        <v>0</v>
      </c>
      <c r="AI151">
        <f t="shared" si="85"/>
        <v>25055.651856960034</v>
      </c>
      <c r="AJ151">
        <f t="shared" si="86"/>
        <v>1.646250967741935</v>
      </c>
      <c r="AK151">
        <f t="shared" si="87"/>
        <v>1.3170007741935481</v>
      </c>
      <c r="AL151">
        <f t="shared" si="88"/>
        <v>0.8</v>
      </c>
      <c r="AM151">
        <f t="shared" si="89"/>
        <v>0.19109999999999999</v>
      </c>
      <c r="AN151">
        <v>3</v>
      </c>
      <c r="AO151">
        <v>0.5</v>
      </c>
      <c r="AP151" t="s">
        <v>317</v>
      </c>
      <c r="AQ151">
        <v>2</v>
      </c>
      <c r="AR151">
        <v>1775540059.099999</v>
      </c>
      <c r="AS151">
        <v>-8.5041806451612896</v>
      </c>
      <c r="AT151">
        <v>-10.86267419354839</v>
      </c>
      <c r="AU151">
        <v>5.1333799999999989</v>
      </c>
      <c r="AV151">
        <v>2.3210129032258058</v>
      </c>
      <c r="AW151">
        <v>-15.35018064516129</v>
      </c>
      <c r="AX151">
        <v>4.2570129032258057</v>
      </c>
      <c r="AY151">
        <v>500.01083870967739</v>
      </c>
      <c r="AZ151">
        <v>100.1266129032258</v>
      </c>
      <c r="BA151">
        <v>4.8655938709677417E-2</v>
      </c>
      <c r="BB151">
        <v>33.198783870967731</v>
      </c>
      <c r="BC151">
        <v>33.231351612903232</v>
      </c>
      <c r="BD151">
        <v>999.90000000000032</v>
      </c>
      <c r="BE151">
        <v>0</v>
      </c>
      <c r="BF151">
        <v>0</v>
      </c>
      <c r="BG151">
        <v>5003.0645161290322</v>
      </c>
      <c r="BH151">
        <v>1.646250967741935</v>
      </c>
      <c r="BI151">
        <v>1952.4606451612899</v>
      </c>
      <c r="BJ151">
        <v>2.3450025806451609</v>
      </c>
      <c r="BK151">
        <v>-8.5375109677419374</v>
      </c>
      <c r="BL151">
        <v>-10.91872903225806</v>
      </c>
      <c r="BM151">
        <v>-2.810301612903225</v>
      </c>
      <c r="BN151">
        <v>-10.86267419354839</v>
      </c>
      <c r="BO151">
        <v>5.1333799999999989</v>
      </c>
      <c r="BP151">
        <v>0.232602064516129</v>
      </c>
      <c r="BQ151">
        <v>0.51398790322580645</v>
      </c>
      <c r="BR151">
        <v>-12.6549870967742</v>
      </c>
      <c r="BS151">
        <v>-2.4155970967741931</v>
      </c>
      <c r="BT151">
        <v>1775540098.5999999</v>
      </c>
      <c r="BU151" t="s">
        <v>724</v>
      </c>
      <c r="BV151">
        <v>1775540091.0999999</v>
      </c>
      <c r="BW151">
        <v>1775540098.5999999</v>
      </c>
      <c r="BX151">
        <v>136</v>
      </c>
      <c r="BY151">
        <v>1.2999999999999999E-2</v>
      </c>
      <c r="BZ151">
        <v>-2E-3</v>
      </c>
      <c r="CA151">
        <v>6.8460000000000001</v>
      </c>
      <c r="CB151">
        <v>-1.9359999999999999</v>
      </c>
      <c r="CC151">
        <v>-11</v>
      </c>
      <c r="CD151">
        <v>5</v>
      </c>
      <c r="CE151">
        <v>0.18</v>
      </c>
      <c r="CF151">
        <v>0.03</v>
      </c>
      <c r="CG151">
        <v>-10.723171499999999</v>
      </c>
      <c r="CH151">
        <v>-1.267405223673272</v>
      </c>
      <c r="CI151">
        <v>0.24906874599077389</v>
      </c>
      <c r="CJ151">
        <v>-1</v>
      </c>
      <c r="CK151">
        <v>501.00170000000003</v>
      </c>
      <c r="CL151">
        <v>-8.4958732981375054</v>
      </c>
      <c r="CM151">
        <v>1.959359421681824</v>
      </c>
      <c r="CN151">
        <v>-1</v>
      </c>
      <c r="CO151">
        <v>0</v>
      </c>
      <c r="CP151">
        <v>0</v>
      </c>
      <c r="CQ151" t="s">
        <v>319</v>
      </c>
      <c r="CR151">
        <v>3.16953</v>
      </c>
      <c r="CS151">
        <v>2.6698400000000002</v>
      </c>
      <c r="CT151">
        <v>-4.45117E-3</v>
      </c>
      <c r="CU151">
        <v>-3.1515100000000002E-3</v>
      </c>
      <c r="CV151">
        <v>2.8690400000000001E-2</v>
      </c>
      <c r="CW151">
        <v>3.3450599999999997E-2</v>
      </c>
      <c r="CX151">
        <v>21254.3</v>
      </c>
      <c r="CY151">
        <v>21689.3</v>
      </c>
      <c r="CZ151">
        <v>22699.5</v>
      </c>
      <c r="DA151">
        <v>21997.4</v>
      </c>
      <c r="DB151">
        <v>28464.6</v>
      </c>
      <c r="DC151">
        <v>25301</v>
      </c>
      <c r="DD151">
        <v>39964.400000000001</v>
      </c>
      <c r="DE151">
        <v>36394.699999999997</v>
      </c>
      <c r="DF151">
        <v>1.9767399999999999</v>
      </c>
      <c r="DG151">
        <v>1.5804199999999999</v>
      </c>
      <c r="DH151">
        <v>-0.10026400000000001</v>
      </c>
      <c r="DI151">
        <v>0</v>
      </c>
      <c r="DJ151">
        <v>34.854599999999998</v>
      </c>
      <c r="DK151">
        <v>999.9</v>
      </c>
      <c r="DL151">
        <v>48.5</v>
      </c>
      <c r="DM151">
        <v>46.9</v>
      </c>
      <c r="DN151">
        <v>51.464700000000001</v>
      </c>
      <c r="DO151">
        <v>30.581099999999999</v>
      </c>
      <c r="DP151">
        <v>10.713100000000001</v>
      </c>
      <c r="DQ151">
        <v>1</v>
      </c>
      <c r="DR151">
        <v>1.11347</v>
      </c>
      <c r="DS151">
        <v>2.9879600000000002</v>
      </c>
      <c r="DT151">
        <v>20.326799999999999</v>
      </c>
      <c r="DU151">
        <v>5.2096200000000001</v>
      </c>
      <c r="DV151">
        <v>11.8582</v>
      </c>
      <c r="DW151">
        <v>4.9671599999999998</v>
      </c>
      <c r="DX151">
        <v>3.2929400000000002</v>
      </c>
      <c r="DY151">
        <v>894.7</v>
      </c>
      <c r="DZ151">
        <v>6</v>
      </c>
      <c r="EA151">
        <v>9999</v>
      </c>
      <c r="EB151">
        <v>118</v>
      </c>
      <c r="EC151">
        <v>4.9716399999999998</v>
      </c>
      <c r="ED151">
        <v>1.8722300000000001</v>
      </c>
      <c r="EE151">
        <v>1.8695299999999999</v>
      </c>
      <c r="EF151">
        <v>1.87182</v>
      </c>
      <c r="EG151">
        <v>1.8696600000000001</v>
      </c>
      <c r="EH151">
        <v>1.8684499999999999</v>
      </c>
      <c r="EI151">
        <v>1.8702700000000001</v>
      </c>
      <c r="EJ151">
        <v>1.87195</v>
      </c>
      <c r="EK151">
        <v>0</v>
      </c>
      <c r="EL151">
        <v>0</v>
      </c>
      <c r="EM151">
        <v>0</v>
      </c>
      <c r="EN151">
        <v>0</v>
      </c>
      <c r="EO151" t="s">
        <v>320</v>
      </c>
      <c r="EP151" t="s">
        <v>321</v>
      </c>
      <c r="EQ151" t="s">
        <v>322</v>
      </c>
      <c r="ER151" t="s">
        <v>322</v>
      </c>
      <c r="ES151" t="s">
        <v>322</v>
      </c>
      <c r="ET151" t="s">
        <v>322</v>
      </c>
      <c r="EU151">
        <v>0</v>
      </c>
      <c r="EV151">
        <v>100</v>
      </c>
      <c r="EW151">
        <v>100</v>
      </c>
      <c r="EX151">
        <v>6.8460000000000001</v>
      </c>
      <c r="EY151">
        <v>-1.9359999999999999</v>
      </c>
      <c r="EZ151">
        <v>6.8324999999999942</v>
      </c>
      <c r="FA151">
        <v>0</v>
      </c>
      <c r="FB151">
        <v>0</v>
      </c>
      <c r="FC151">
        <v>0</v>
      </c>
      <c r="FD151">
        <v>-1.933934000000002</v>
      </c>
      <c r="FE151">
        <v>0</v>
      </c>
      <c r="FF151">
        <v>0</v>
      </c>
      <c r="FG151">
        <v>0</v>
      </c>
      <c r="FH151">
        <v>-1</v>
      </c>
      <c r="FI151">
        <v>-1</v>
      </c>
      <c r="FJ151">
        <v>-1</v>
      </c>
      <c r="FK151">
        <v>-1</v>
      </c>
      <c r="FL151">
        <v>0.7</v>
      </c>
      <c r="FM151">
        <v>0.5</v>
      </c>
      <c r="FN151">
        <v>0.14038100000000001</v>
      </c>
      <c r="FO151">
        <v>4.99756</v>
      </c>
      <c r="FP151">
        <v>1.5979000000000001</v>
      </c>
      <c r="FQ151">
        <v>2.1105999999999998</v>
      </c>
      <c r="FR151">
        <v>1.5478499999999999</v>
      </c>
      <c r="FS151">
        <v>2.3974600000000001</v>
      </c>
      <c r="FT151">
        <v>50.283200000000001</v>
      </c>
      <c r="FU151">
        <v>14.998900000000001</v>
      </c>
      <c r="FV151">
        <v>2</v>
      </c>
      <c r="FW151">
        <v>505.98500000000001</v>
      </c>
      <c r="FX151">
        <v>340.87299999999999</v>
      </c>
      <c r="FY151">
        <v>31.511700000000001</v>
      </c>
      <c r="FZ151">
        <v>40.514000000000003</v>
      </c>
      <c r="GA151">
        <v>29.999600000000001</v>
      </c>
      <c r="GB151">
        <v>40.595300000000002</v>
      </c>
      <c r="GC151">
        <v>40.604399999999998</v>
      </c>
      <c r="GD151">
        <v>-1</v>
      </c>
      <c r="GE151">
        <v>0</v>
      </c>
      <c r="GF151">
        <v>100</v>
      </c>
      <c r="GG151">
        <v>31.5547</v>
      </c>
      <c r="GH151">
        <v>432.1</v>
      </c>
      <c r="GI151">
        <v>44.267099999999999</v>
      </c>
      <c r="GJ151">
        <v>100.532</v>
      </c>
      <c r="GK151">
        <v>95.027000000000001</v>
      </c>
    </row>
    <row r="152" spans="1:193" x14ac:dyDescent="0.35">
      <c r="A152">
        <v>136</v>
      </c>
      <c r="B152">
        <v>1775540127.0999999</v>
      </c>
      <c r="C152">
        <v>8101</v>
      </c>
      <c r="D152" t="s">
        <v>725</v>
      </c>
      <c r="E152" t="s">
        <v>726</v>
      </c>
      <c r="F152">
        <v>60</v>
      </c>
      <c r="G152">
        <v>1775540119.349999</v>
      </c>
      <c r="H152">
        <f t="shared" si="60"/>
        <v>4.8485771847853031E-3</v>
      </c>
      <c r="I152">
        <f t="shared" si="61"/>
        <v>4.8485771847853032</v>
      </c>
      <c r="J152">
        <f t="shared" si="62"/>
        <v>-3.7732885984569355</v>
      </c>
      <c r="K152">
        <f t="shared" si="63"/>
        <v>-8.9096899999999977</v>
      </c>
      <c r="L152">
        <f t="shared" si="64"/>
        <v>48.286209361429727</v>
      </c>
      <c r="M152">
        <f t="shared" si="65"/>
        <v>4.8369909080731475</v>
      </c>
      <c r="N152">
        <f t="shared" si="66"/>
        <v>-0.89251341311904098</v>
      </c>
      <c r="O152">
        <f t="shared" si="67"/>
        <v>0.10503043872610611</v>
      </c>
      <c r="P152">
        <f t="shared" si="68"/>
        <v>2.3905377531645087</v>
      </c>
      <c r="Q152">
        <f t="shared" si="69"/>
        <v>0.10253253240515647</v>
      </c>
      <c r="R152">
        <f t="shared" si="70"/>
        <v>6.430231175350748E-2</v>
      </c>
      <c r="S152">
        <f t="shared" si="71"/>
        <v>0.29692761279999991</v>
      </c>
      <c r="T152">
        <f t="shared" si="72"/>
        <v>31.69742348108651</v>
      </c>
      <c r="U152">
        <f t="shared" si="73"/>
        <v>33.241176666666668</v>
      </c>
      <c r="V152">
        <f t="shared" si="74"/>
        <v>5.120974384234942</v>
      </c>
      <c r="W152">
        <f t="shared" si="75"/>
        <v>10.119206073227714</v>
      </c>
      <c r="X152">
        <f t="shared" si="76"/>
        <v>0.5172702557009059</v>
      </c>
      <c r="Y152">
        <f t="shared" si="77"/>
        <v>5.1117671876397779</v>
      </c>
      <c r="Z152">
        <f t="shared" si="78"/>
        <v>4.6037041285340363</v>
      </c>
      <c r="AA152">
        <f t="shared" si="79"/>
        <v>-213.82225384903188</v>
      </c>
      <c r="AB152">
        <f t="shared" si="80"/>
        <v>-4.1344277768633191</v>
      </c>
      <c r="AC152">
        <f t="shared" si="81"/>
        <v>-0.39696619396747823</v>
      </c>
      <c r="AD152">
        <f t="shared" si="82"/>
        <v>-218.05672020706265</v>
      </c>
      <c r="AE152">
        <v>6</v>
      </c>
      <c r="AF152">
        <v>1</v>
      </c>
      <c r="AG152">
        <f t="shared" si="83"/>
        <v>1</v>
      </c>
      <c r="AH152">
        <f t="shared" si="84"/>
        <v>0</v>
      </c>
      <c r="AI152">
        <f t="shared" si="85"/>
        <v>25037.855670134635</v>
      </c>
      <c r="AJ152">
        <f t="shared" si="86"/>
        <v>1.553781333333333</v>
      </c>
      <c r="AK152">
        <f t="shared" si="87"/>
        <v>1.2430250666666665</v>
      </c>
      <c r="AL152">
        <f t="shared" si="88"/>
        <v>0.8</v>
      </c>
      <c r="AM152">
        <f t="shared" si="89"/>
        <v>0.19109999999999999</v>
      </c>
      <c r="AN152">
        <v>3</v>
      </c>
      <c r="AO152">
        <v>0.5</v>
      </c>
      <c r="AP152" t="s">
        <v>317</v>
      </c>
      <c r="AQ152">
        <v>2</v>
      </c>
      <c r="AR152">
        <v>1775540119.349999</v>
      </c>
      <c r="AS152">
        <v>-8.9096899999999977</v>
      </c>
      <c r="AT152">
        <v>-11.199719999999999</v>
      </c>
      <c r="AU152">
        <v>5.1637516666666663</v>
      </c>
      <c r="AV152">
        <v>2.2694540000000001</v>
      </c>
      <c r="AW152">
        <v>-15.762689999999999</v>
      </c>
      <c r="AX152">
        <v>4.209454</v>
      </c>
      <c r="AY152">
        <v>499.97003333333328</v>
      </c>
      <c r="AZ152">
        <v>100.12513333333339</v>
      </c>
      <c r="BA152">
        <v>4.8207503333333339E-2</v>
      </c>
      <c r="BB152">
        <v>33.209096666666667</v>
      </c>
      <c r="BC152">
        <v>33.241176666666668</v>
      </c>
      <c r="BD152">
        <v>999.9000000000002</v>
      </c>
      <c r="BE152">
        <v>0</v>
      </c>
      <c r="BF152">
        <v>0</v>
      </c>
      <c r="BG152">
        <v>5000.2</v>
      </c>
      <c r="BH152">
        <v>1.553781333333333</v>
      </c>
      <c r="BI152">
        <v>1902.2603333333329</v>
      </c>
      <c r="BJ152">
        <v>2.2825903333333328</v>
      </c>
      <c r="BK152">
        <v>-8.9374443333333335</v>
      </c>
      <c r="BL152">
        <v>-11.25785333333333</v>
      </c>
      <c r="BM152">
        <v>-2.8904293333333331</v>
      </c>
      <c r="BN152">
        <v>-11.199719999999999</v>
      </c>
      <c r="BO152">
        <v>5.1637516666666663</v>
      </c>
      <c r="BP152">
        <v>0.22761643333333331</v>
      </c>
      <c r="BQ152">
        <v>0.51702093333333332</v>
      </c>
      <c r="BR152">
        <v>-12.922636666666669</v>
      </c>
      <c r="BS152">
        <v>-2.3361826666666672</v>
      </c>
      <c r="BT152">
        <v>1775540156.5999999</v>
      </c>
      <c r="BU152" t="s">
        <v>727</v>
      </c>
      <c r="BV152">
        <v>1775540150.0999999</v>
      </c>
      <c r="BW152">
        <v>1775540156.5999999</v>
      </c>
      <c r="BX152">
        <v>137</v>
      </c>
      <c r="BY152">
        <v>8.0000000000000002E-3</v>
      </c>
      <c r="BZ152">
        <v>-4.0000000000000001E-3</v>
      </c>
      <c r="CA152">
        <v>6.8529999999999998</v>
      </c>
      <c r="CB152">
        <v>-1.94</v>
      </c>
      <c r="CC152">
        <v>-11</v>
      </c>
      <c r="CD152">
        <v>5</v>
      </c>
      <c r="CE152">
        <v>0.14000000000000001</v>
      </c>
      <c r="CF152">
        <v>0.03</v>
      </c>
      <c r="CG152">
        <v>-11.166708196721309</v>
      </c>
      <c r="CH152">
        <v>-0.26280761501853073</v>
      </c>
      <c r="CI152">
        <v>6.5012055111824826E-2</v>
      </c>
      <c r="CJ152">
        <v>-1</v>
      </c>
      <c r="CK152">
        <v>500.95731147540982</v>
      </c>
      <c r="CL152">
        <v>-5.4908725542046506</v>
      </c>
      <c r="CM152">
        <v>1.9829375918437251</v>
      </c>
      <c r="CN152">
        <v>-1</v>
      </c>
      <c r="CO152">
        <v>0</v>
      </c>
      <c r="CP152">
        <v>0</v>
      </c>
      <c r="CQ152" t="s">
        <v>319</v>
      </c>
      <c r="CR152">
        <v>3.1695099999999998</v>
      </c>
      <c r="CS152">
        <v>2.6688399999999999</v>
      </c>
      <c r="CT152">
        <v>-4.5561999999999998E-3</v>
      </c>
      <c r="CU152">
        <v>-3.2928800000000002E-3</v>
      </c>
      <c r="CV152">
        <v>2.82688E-2</v>
      </c>
      <c r="CW152">
        <v>3.3642400000000003E-2</v>
      </c>
      <c r="CX152">
        <v>21254.7</v>
      </c>
      <c r="CY152">
        <v>21691.4</v>
      </c>
      <c r="CZ152">
        <v>22697.7</v>
      </c>
      <c r="DA152">
        <v>21996.7</v>
      </c>
      <c r="DB152">
        <v>28474.799999999999</v>
      </c>
      <c r="DC152">
        <v>25294.9</v>
      </c>
      <c r="DD152">
        <v>39961.5</v>
      </c>
      <c r="DE152">
        <v>36393.199999999997</v>
      </c>
      <c r="DF152">
        <v>1.9758199999999999</v>
      </c>
      <c r="DG152">
        <v>1.57846</v>
      </c>
      <c r="DH152">
        <v>-0.104293</v>
      </c>
      <c r="DI152">
        <v>0</v>
      </c>
      <c r="DJ152">
        <v>34.927500000000002</v>
      </c>
      <c r="DK152">
        <v>999.9</v>
      </c>
      <c r="DL152">
        <v>48.6</v>
      </c>
      <c r="DM152">
        <v>46.9</v>
      </c>
      <c r="DN152">
        <v>51.561</v>
      </c>
      <c r="DO152">
        <v>30.581199999999999</v>
      </c>
      <c r="DP152">
        <v>10.400600000000001</v>
      </c>
      <c r="DQ152">
        <v>1</v>
      </c>
      <c r="DR152">
        <v>1.1194299999999999</v>
      </c>
      <c r="DS152">
        <v>3.4412500000000001</v>
      </c>
      <c r="DT152">
        <v>20.315799999999999</v>
      </c>
      <c r="DU152">
        <v>5.2055499999999997</v>
      </c>
      <c r="DV152">
        <v>11.858000000000001</v>
      </c>
      <c r="DW152">
        <v>4.96692</v>
      </c>
      <c r="DX152">
        <v>3.2930000000000001</v>
      </c>
      <c r="DY152">
        <v>894.7</v>
      </c>
      <c r="DZ152">
        <v>6</v>
      </c>
      <c r="EA152">
        <v>9999</v>
      </c>
      <c r="EB152">
        <v>118</v>
      </c>
      <c r="EC152">
        <v>4.9715999999999996</v>
      </c>
      <c r="ED152">
        <v>1.87222</v>
      </c>
      <c r="EE152">
        <v>1.86954</v>
      </c>
      <c r="EF152">
        <v>1.87182</v>
      </c>
      <c r="EG152">
        <v>1.8696600000000001</v>
      </c>
      <c r="EH152">
        <v>1.8684400000000001</v>
      </c>
      <c r="EI152">
        <v>1.8702700000000001</v>
      </c>
      <c r="EJ152">
        <v>1.87195</v>
      </c>
      <c r="EK152">
        <v>0</v>
      </c>
      <c r="EL152">
        <v>0</v>
      </c>
      <c r="EM152">
        <v>0</v>
      </c>
      <c r="EN152">
        <v>0</v>
      </c>
      <c r="EO152" t="s">
        <v>320</v>
      </c>
      <c r="EP152" t="s">
        <v>321</v>
      </c>
      <c r="EQ152" t="s">
        <v>322</v>
      </c>
      <c r="ER152" t="s">
        <v>322</v>
      </c>
      <c r="ES152" t="s">
        <v>322</v>
      </c>
      <c r="ET152" t="s">
        <v>322</v>
      </c>
      <c r="EU152">
        <v>0</v>
      </c>
      <c r="EV152">
        <v>100</v>
      </c>
      <c r="EW152">
        <v>100</v>
      </c>
      <c r="EX152">
        <v>6.8529999999999998</v>
      </c>
      <c r="EY152">
        <v>-1.94</v>
      </c>
      <c r="EZ152">
        <v>6.845564999999997</v>
      </c>
      <c r="FA152">
        <v>0</v>
      </c>
      <c r="FB152">
        <v>0</v>
      </c>
      <c r="FC152">
        <v>0</v>
      </c>
      <c r="FD152">
        <v>-1.936133809523811</v>
      </c>
      <c r="FE152">
        <v>0</v>
      </c>
      <c r="FF152">
        <v>0</v>
      </c>
      <c r="FG152">
        <v>0</v>
      </c>
      <c r="FH152">
        <v>-1</v>
      </c>
      <c r="FI152">
        <v>-1</v>
      </c>
      <c r="FJ152">
        <v>-1</v>
      </c>
      <c r="FK152">
        <v>-1</v>
      </c>
      <c r="FL152">
        <v>0.6</v>
      </c>
      <c r="FM152">
        <v>0.5</v>
      </c>
      <c r="FN152">
        <v>0.14038100000000001</v>
      </c>
      <c r="FO152">
        <v>4.99634</v>
      </c>
      <c r="FP152">
        <v>1.5979000000000001</v>
      </c>
      <c r="FQ152">
        <v>2.1105999999999998</v>
      </c>
      <c r="FR152">
        <v>1.5478499999999999</v>
      </c>
      <c r="FS152">
        <v>2.5293000000000001</v>
      </c>
      <c r="FT152">
        <v>50.250900000000001</v>
      </c>
      <c r="FU152">
        <v>14.998900000000001</v>
      </c>
      <c r="FV152">
        <v>2</v>
      </c>
      <c r="FW152">
        <v>505.80099999999999</v>
      </c>
      <c r="FX152">
        <v>340.11099999999999</v>
      </c>
      <c r="FY152">
        <v>31.427700000000002</v>
      </c>
      <c r="FZ152">
        <v>40.56</v>
      </c>
      <c r="GA152">
        <v>30.000399999999999</v>
      </c>
      <c r="GB152">
        <v>40.654299999999999</v>
      </c>
      <c r="GC152">
        <v>40.667900000000003</v>
      </c>
      <c r="GD152">
        <v>-1</v>
      </c>
      <c r="GE152">
        <v>0</v>
      </c>
      <c r="GF152">
        <v>100</v>
      </c>
      <c r="GG152">
        <v>31.4161</v>
      </c>
      <c r="GH152">
        <v>432.1</v>
      </c>
      <c r="GI152">
        <v>44.267099999999999</v>
      </c>
      <c r="GJ152">
        <v>100.524</v>
      </c>
      <c r="GK152">
        <v>95.023300000000006</v>
      </c>
    </row>
    <row r="153" spans="1:193" x14ac:dyDescent="0.35">
      <c r="A153">
        <v>137</v>
      </c>
      <c r="B153">
        <v>1775540187.0999999</v>
      </c>
      <c r="C153">
        <v>8161</v>
      </c>
      <c r="D153" t="s">
        <v>728</v>
      </c>
      <c r="E153" t="s">
        <v>729</v>
      </c>
      <c r="F153">
        <v>60</v>
      </c>
      <c r="G153">
        <v>1775540179.349999</v>
      </c>
      <c r="H153">
        <f t="shared" si="60"/>
        <v>4.8355239279244478E-3</v>
      </c>
      <c r="I153">
        <f t="shared" si="61"/>
        <v>4.8355239279244477</v>
      </c>
      <c r="J153">
        <f t="shared" si="62"/>
        <v>-3.6209616950712067</v>
      </c>
      <c r="K153">
        <f t="shared" si="63"/>
        <v>-8.9653466666666617</v>
      </c>
      <c r="L153">
        <f t="shared" si="64"/>
        <v>46.058190403913208</v>
      </c>
      <c r="M153">
        <f t="shared" si="65"/>
        <v>4.6137889192604069</v>
      </c>
      <c r="N153">
        <f t="shared" si="66"/>
        <v>-0.89808602433673723</v>
      </c>
      <c r="O153">
        <f t="shared" si="67"/>
        <v>0.10482402535885631</v>
      </c>
      <c r="P153">
        <f t="shared" si="68"/>
        <v>2.3889162592391036</v>
      </c>
      <c r="Q153">
        <f t="shared" si="69"/>
        <v>0.10233415655315428</v>
      </c>
      <c r="R153">
        <f t="shared" si="70"/>
        <v>6.4177626818473138E-2</v>
      </c>
      <c r="S153">
        <f t="shared" si="71"/>
        <v>0.30004419900000001</v>
      </c>
      <c r="T153">
        <f t="shared" si="72"/>
        <v>31.681052042345794</v>
      </c>
      <c r="U153">
        <f t="shared" si="73"/>
        <v>33.247276666666671</v>
      </c>
      <c r="V153">
        <f t="shared" si="74"/>
        <v>5.1227267607576792</v>
      </c>
      <c r="W153">
        <f t="shared" si="75"/>
        <v>10.236631336108012</v>
      </c>
      <c r="X153">
        <f t="shared" si="76"/>
        <v>0.52270028138608393</v>
      </c>
      <c r="Y153">
        <f t="shared" si="77"/>
        <v>5.1061747192393829</v>
      </c>
      <c r="Z153">
        <f t="shared" si="78"/>
        <v>4.6000264793715955</v>
      </c>
      <c r="AA153">
        <f t="shared" si="79"/>
        <v>-213.24660522146814</v>
      </c>
      <c r="AB153">
        <f t="shared" si="80"/>
        <v>-7.429967406805722</v>
      </c>
      <c r="AC153">
        <f t="shared" si="81"/>
        <v>-0.7138240526003069</v>
      </c>
      <c r="AD153">
        <f t="shared" si="82"/>
        <v>-221.09035248187419</v>
      </c>
      <c r="AE153">
        <v>6</v>
      </c>
      <c r="AF153">
        <v>1</v>
      </c>
      <c r="AG153">
        <f t="shared" si="83"/>
        <v>1</v>
      </c>
      <c r="AH153">
        <f t="shared" si="84"/>
        <v>0</v>
      </c>
      <c r="AI153">
        <f t="shared" si="85"/>
        <v>25015.338096815474</v>
      </c>
      <c r="AJ153">
        <f t="shared" si="86"/>
        <v>1.57009</v>
      </c>
      <c r="AK153">
        <f t="shared" si="87"/>
        <v>1.2560720000000001</v>
      </c>
      <c r="AL153">
        <f t="shared" si="88"/>
        <v>0.8</v>
      </c>
      <c r="AM153">
        <f t="shared" si="89"/>
        <v>0.19109999999999999</v>
      </c>
      <c r="AN153">
        <v>3</v>
      </c>
      <c r="AO153">
        <v>0.5</v>
      </c>
      <c r="AP153" t="s">
        <v>317</v>
      </c>
      <c r="AQ153">
        <v>2</v>
      </c>
      <c r="AR153">
        <v>1775540179.349999</v>
      </c>
      <c r="AS153">
        <v>-8.9653466666666617</v>
      </c>
      <c r="AT153">
        <v>-11.164046666666669</v>
      </c>
      <c r="AU153">
        <v>5.2179736666666674</v>
      </c>
      <c r="AV153">
        <v>2.3316516666666671</v>
      </c>
      <c r="AW153">
        <v>-15.812346666666659</v>
      </c>
      <c r="AX153">
        <v>4.2786516666666667</v>
      </c>
      <c r="AY153">
        <v>499.97460000000001</v>
      </c>
      <c r="AZ153">
        <v>100.1236333333333</v>
      </c>
      <c r="BA153">
        <v>4.9406006666666683E-2</v>
      </c>
      <c r="BB153">
        <v>33.189586666666671</v>
      </c>
      <c r="BC153">
        <v>33.247276666666671</v>
      </c>
      <c r="BD153">
        <v>999.9000000000002</v>
      </c>
      <c r="BE153">
        <v>0</v>
      </c>
      <c r="BF153">
        <v>0</v>
      </c>
      <c r="BG153">
        <v>4996.1000000000004</v>
      </c>
      <c r="BH153">
        <v>1.57009</v>
      </c>
      <c r="BI153">
        <v>1909.182333333333</v>
      </c>
      <c r="BJ153">
        <v>2.2051980000000002</v>
      </c>
      <c r="BK153">
        <v>-8.9798506666666658</v>
      </c>
      <c r="BL153">
        <v>-11.22260333333333</v>
      </c>
      <c r="BM153">
        <v>-2.8792983333333342</v>
      </c>
      <c r="BN153">
        <v>-11.164046666666669</v>
      </c>
      <c r="BO153">
        <v>5.2179736666666674</v>
      </c>
      <c r="BP153">
        <v>0.23415663333333331</v>
      </c>
      <c r="BQ153">
        <v>0.52244276666666667</v>
      </c>
      <c r="BR153">
        <v>-12.572749999999999</v>
      </c>
      <c r="BS153">
        <v>-2.1952443333333331</v>
      </c>
      <c r="BT153">
        <v>1775540221.0999999</v>
      </c>
      <c r="BU153" t="s">
        <v>730</v>
      </c>
      <c r="BV153">
        <v>1775540205.0999999</v>
      </c>
      <c r="BW153">
        <v>1775540221.0999999</v>
      </c>
      <c r="BX153">
        <v>138</v>
      </c>
      <c r="BY153">
        <v>-7.0000000000000001E-3</v>
      </c>
      <c r="BZ153">
        <v>-7.0000000000000001E-3</v>
      </c>
      <c r="CA153">
        <v>6.8470000000000004</v>
      </c>
      <c r="CB153">
        <v>-1.9470000000000001</v>
      </c>
      <c r="CC153">
        <v>-11</v>
      </c>
      <c r="CD153">
        <v>5</v>
      </c>
      <c r="CE153">
        <v>0.21</v>
      </c>
      <c r="CF153">
        <v>0.03</v>
      </c>
      <c r="CG153">
        <v>-11.245274999999999</v>
      </c>
      <c r="CH153">
        <v>0.72473164767990117</v>
      </c>
      <c r="CI153">
        <v>0.12732476405502069</v>
      </c>
      <c r="CJ153">
        <v>-1</v>
      </c>
      <c r="CK153">
        <v>500.96601666666658</v>
      </c>
      <c r="CL153">
        <v>-7.9907963323135336</v>
      </c>
      <c r="CM153">
        <v>1.898709179869899</v>
      </c>
      <c r="CN153">
        <v>-1</v>
      </c>
      <c r="CO153">
        <v>0</v>
      </c>
      <c r="CP153">
        <v>0</v>
      </c>
      <c r="CQ153" t="s">
        <v>319</v>
      </c>
      <c r="CR153">
        <v>3.1694800000000001</v>
      </c>
      <c r="CS153">
        <v>2.6709200000000002</v>
      </c>
      <c r="CT153">
        <v>-4.5533099999999996E-3</v>
      </c>
      <c r="CU153">
        <v>-3.2144999999999999E-3</v>
      </c>
      <c r="CV153">
        <v>2.8896000000000002E-2</v>
      </c>
      <c r="CW153">
        <v>3.3913699999999998E-2</v>
      </c>
      <c r="CX153">
        <v>21253.599999999999</v>
      </c>
      <c r="CY153">
        <v>21689.3</v>
      </c>
      <c r="CZ153">
        <v>22696.799999999999</v>
      </c>
      <c r="DA153">
        <v>21996.3</v>
      </c>
      <c r="DB153">
        <v>28455.4</v>
      </c>
      <c r="DC153">
        <v>25287</v>
      </c>
      <c r="DD153">
        <v>39960.1</v>
      </c>
      <c r="DE153">
        <v>36392.300000000003</v>
      </c>
      <c r="DF153">
        <v>1.976</v>
      </c>
      <c r="DG153">
        <v>1.5780000000000001</v>
      </c>
      <c r="DH153">
        <v>-0.104949</v>
      </c>
      <c r="DI153">
        <v>0</v>
      </c>
      <c r="DJ153">
        <v>34.953299999999999</v>
      </c>
      <c r="DK153">
        <v>999.9</v>
      </c>
      <c r="DL153">
        <v>48.7</v>
      </c>
      <c r="DM153">
        <v>46.8</v>
      </c>
      <c r="DN153">
        <v>51.406799999999997</v>
      </c>
      <c r="DO153">
        <v>30.7012</v>
      </c>
      <c r="DP153">
        <v>10.597</v>
      </c>
      <c r="DQ153">
        <v>1</v>
      </c>
      <c r="DR153">
        <v>1.1205799999999999</v>
      </c>
      <c r="DS153">
        <v>3.2509600000000001</v>
      </c>
      <c r="DT153">
        <v>20.321000000000002</v>
      </c>
      <c r="DU153">
        <v>5.2066299999999996</v>
      </c>
      <c r="DV153">
        <v>11.856999999999999</v>
      </c>
      <c r="DW153">
        <v>4.9657200000000001</v>
      </c>
      <c r="DX153">
        <v>3.2930000000000001</v>
      </c>
      <c r="DY153">
        <v>894.7</v>
      </c>
      <c r="DZ153">
        <v>6</v>
      </c>
      <c r="EA153">
        <v>9999</v>
      </c>
      <c r="EB153">
        <v>118</v>
      </c>
      <c r="EC153">
        <v>4.9716199999999997</v>
      </c>
      <c r="ED153">
        <v>1.8722300000000001</v>
      </c>
      <c r="EE153">
        <v>1.8695200000000001</v>
      </c>
      <c r="EF153">
        <v>1.87182</v>
      </c>
      <c r="EG153">
        <v>1.8696600000000001</v>
      </c>
      <c r="EH153">
        <v>1.8684400000000001</v>
      </c>
      <c r="EI153">
        <v>1.8702700000000001</v>
      </c>
      <c r="EJ153">
        <v>1.8719600000000001</v>
      </c>
      <c r="EK153">
        <v>0</v>
      </c>
      <c r="EL153">
        <v>0</v>
      </c>
      <c r="EM153">
        <v>0</v>
      </c>
      <c r="EN153">
        <v>0</v>
      </c>
      <c r="EO153" t="s">
        <v>320</v>
      </c>
      <c r="EP153" t="s">
        <v>321</v>
      </c>
      <c r="EQ153" t="s">
        <v>322</v>
      </c>
      <c r="ER153" t="s">
        <v>322</v>
      </c>
      <c r="ES153" t="s">
        <v>322</v>
      </c>
      <c r="ET153" t="s">
        <v>322</v>
      </c>
      <c r="EU153">
        <v>0</v>
      </c>
      <c r="EV153">
        <v>100</v>
      </c>
      <c r="EW153">
        <v>100</v>
      </c>
      <c r="EX153">
        <v>6.8470000000000004</v>
      </c>
      <c r="EY153">
        <v>-1.9470000000000001</v>
      </c>
      <c r="EZ153">
        <v>6.8535000000000004</v>
      </c>
      <c r="FA153">
        <v>0</v>
      </c>
      <c r="FB153">
        <v>0</v>
      </c>
      <c r="FC153">
        <v>0</v>
      </c>
      <c r="FD153">
        <v>-1.939976190476191</v>
      </c>
      <c r="FE153">
        <v>0</v>
      </c>
      <c r="FF153">
        <v>0</v>
      </c>
      <c r="FG153">
        <v>0</v>
      </c>
      <c r="FH153">
        <v>-1</v>
      </c>
      <c r="FI153">
        <v>-1</v>
      </c>
      <c r="FJ153">
        <v>-1</v>
      </c>
      <c r="FK153">
        <v>-1</v>
      </c>
      <c r="FL153">
        <v>0.6</v>
      </c>
      <c r="FM153">
        <v>0.5</v>
      </c>
      <c r="FN153">
        <v>0.14038100000000001</v>
      </c>
      <c r="FO153">
        <v>4.99756</v>
      </c>
      <c r="FP153">
        <v>1.5979000000000001</v>
      </c>
      <c r="FQ153">
        <v>2.1118199999999998</v>
      </c>
      <c r="FR153">
        <v>1.5478499999999999</v>
      </c>
      <c r="FS153">
        <v>2.4939</v>
      </c>
      <c r="FT153">
        <v>50.250900000000001</v>
      </c>
      <c r="FU153">
        <v>14.9901</v>
      </c>
      <c r="FV153">
        <v>2</v>
      </c>
      <c r="FW153">
        <v>506.23</v>
      </c>
      <c r="FX153">
        <v>340.09800000000001</v>
      </c>
      <c r="FY153">
        <v>31.551100000000002</v>
      </c>
      <c r="FZ153">
        <v>40.591500000000003</v>
      </c>
      <c r="GA153">
        <v>30.000699999999998</v>
      </c>
      <c r="GB153">
        <v>40.702300000000001</v>
      </c>
      <c r="GC153">
        <v>40.720100000000002</v>
      </c>
      <c r="GD153">
        <v>-1</v>
      </c>
      <c r="GE153">
        <v>0</v>
      </c>
      <c r="GF153">
        <v>100</v>
      </c>
      <c r="GG153">
        <v>31.5504</v>
      </c>
      <c r="GH153">
        <v>432.1</v>
      </c>
      <c r="GI153">
        <v>44.267099999999999</v>
      </c>
      <c r="GJ153">
        <v>100.521</v>
      </c>
      <c r="GK153">
        <v>95.021000000000001</v>
      </c>
    </row>
    <row r="154" spans="1:193" x14ac:dyDescent="0.35">
      <c r="A154">
        <v>138</v>
      </c>
      <c r="B154">
        <v>1775540247.0999999</v>
      </c>
      <c r="C154">
        <v>8221</v>
      </c>
      <c r="D154" t="s">
        <v>731</v>
      </c>
      <c r="E154" t="s">
        <v>732</v>
      </c>
      <c r="F154">
        <v>60</v>
      </c>
      <c r="G154">
        <v>1775540239.099999</v>
      </c>
      <c r="H154">
        <f t="shared" si="60"/>
        <v>5.2034423315837144E-3</v>
      </c>
      <c r="I154">
        <f t="shared" si="61"/>
        <v>5.2034423315837142</v>
      </c>
      <c r="J154">
        <f t="shared" si="62"/>
        <v>-4.0606125727481821</v>
      </c>
      <c r="K154">
        <f t="shared" si="63"/>
        <v>-9.0609161290322575</v>
      </c>
      <c r="L154">
        <f t="shared" si="64"/>
        <v>48.288768301423602</v>
      </c>
      <c r="M154">
        <f t="shared" si="65"/>
        <v>4.8373546608339</v>
      </c>
      <c r="N154">
        <f t="shared" si="66"/>
        <v>-0.90768239509863569</v>
      </c>
      <c r="O154">
        <f t="shared" si="67"/>
        <v>0.11291690555927529</v>
      </c>
      <c r="P154">
        <f t="shared" si="68"/>
        <v>2.3905056513865675</v>
      </c>
      <c r="Q154">
        <f t="shared" si="69"/>
        <v>0.11003529822529895</v>
      </c>
      <c r="R154">
        <f t="shared" si="70"/>
        <v>6.9024837342618522E-2</v>
      </c>
      <c r="S154">
        <f t="shared" si="71"/>
        <v>0.30183338816129024</v>
      </c>
      <c r="T154">
        <f t="shared" si="72"/>
        <v>31.606363656906797</v>
      </c>
      <c r="U154">
        <f t="shared" si="73"/>
        <v>33.275854838709677</v>
      </c>
      <c r="V154">
        <f t="shared" si="74"/>
        <v>5.1309434994660785</v>
      </c>
      <c r="W154">
        <f t="shared" si="75"/>
        <v>10.308879764204089</v>
      </c>
      <c r="X154">
        <f t="shared" si="76"/>
        <v>0.52754834264969208</v>
      </c>
      <c r="Y154">
        <f t="shared" si="77"/>
        <v>5.1174167777329016</v>
      </c>
      <c r="Z154">
        <f t="shared" si="78"/>
        <v>4.6033951568163864</v>
      </c>
      <c r="AA154">
        <f t="shared" si="79"/>
        <v>-229.47180682284181</v>
      </c>
      <c r="AB154">
        <f t="shared" si="80"/>
        <v>-6.0659465852459444</v>
      </c>
      <c r="AC154">
        <f t="shared" si="81"/>
        <v>-0.58258350434908146</v>
      </c>
      <c r="AD154">
        <f t="shared" si="82"/>
        <v>-235.81850352427554</v>
      </c>
      <c r="AE154">
        <v>6</v>
      </c>
      <c r="AF154">
        <v>1</v>
      </c>
      <c r="AG154">
        <f t="shared" si="83"/>
        <v>1</v>
      </c>
      <c r="AH154">
        <f t="shared" si="84"/>
        <v>0</v>
      </c>
      <c r="AI154">
        <f t="shared" si="85"/>
        <v>25035.650301543421</v>
      </c>
      <c r="AJ154">
        <f t="shared" si="86"/>
        <v>1.5794525806451609</v>
      </c>
      <c r="AK154">
        <f t="shared" si="87"/>
        <v>1.2635620645161287</v>
      </c>
      <c r="AL154">
        <f t="shared" si="88"/>
        <v>0.8</v>
      </c>
      <c r="AM154">
        <f t="shared" si="89"/>
        <v>0.19109999999999999</v>
      </c>
      <c r="AN154">
        <v>3</v>
      </c>
      <c r="AO154">
        <v>0.5</v>
      </c>
      <c r="AP154" t="s">
        <v>317</v>
      </c>
      <c r="AQ154">
        <v>2</v>
      </c>
      <c r="AR154">
        <v>1775540239.099999</v>
      </c>
      <c r="AS154">
        <v>-9.0609161290322575</v>
      </c>
      <c r="AT154">
        <v>-11.52559677419355</v>
      </c>
      <c r="AU154">
        <v>5.2662377419354849</v>
      </c>
      <c r="AV154">
        <v>2.1605832258064521</v>
      </c>
      <c r="AW154">
        <v>-15.893916129032259</v>
      </c>
      <c r="AX154">
        <v>4.1095832258064524</v>
      </c>
      <c r="AY154">
        <v>499.99506451612899</v>
      </c>
      <c r="AZ154">
        <v>100.1281290322581</v>
      </c>
      <c r="BA154">
        <v>4.743623870967742E-2</v>
      </c>
      <c r="BB154">
        <v>33.228787096774191</v>
      </c>
      <c r="BC154">
        <v>33.275854838709677</v>
      </c>
      <c r="BD154">
        <v>999.90000000000032</v>
      </c>
      <c r="BE154">
        <v>0</v>
      </c>
      <c r="BF154">
        <v>0</v>
      </c>
      <c r="BG154">
        <v>4999.9677419354839</v>
      </c>
      <c r="BH154">
        <v>1.5794525806451609</v>
      </c>
      <c r="BI154">
        <v>1887.6216129032259</v>
      </c>
      <c r="BJ154">
        <v>2.4782209677419349</v>
      </c>
      <c r="BK154">
        <v>-9.0669861290322586</v>
      </c>
      <c r="BL154">
        <v>-11.58661935483871</v>
      </c>
      <c r="BM154">
        <v>-3.1032393548387089</v>
      </c>
      <c r="BN154">
        <v>-11.52559677419355</v>
      </c>
      <c r="BO154">
        <v>5.2662377419354849</v>
      </c>
      <c r="BP154">
        <v>0.216576935483871</v>
      </c>
      <c r="BQ154">
        <v>0.52729858064516133</v>
      </c>
      <c r="BR154">
        <v>-13.53511290322581</v>
      </c>
      <c r="BS154">
        <v>-2.0701106451612898</v>
      </c>
      <c r="BT154">
        <v>1775540280.5999999</v>
      </c>
      <c r="BU154" t="s">
        <v>733</v>
      </c>
      <c r="BV154">
        <v>1775540265.5999999</v>
      </c>
      <c r="BW154">
        <v>1775540280.5999999</v>
      </c>
      <c r="BX154">
        <v>139</v>
      </c>
      <c r="BY154">
        <v>-1.2999999999999999E-2</v>
      </c>
      <c r="BZ154">
        <v>-2E-3</v>
      </c>
      <c r="CA154">
        <v>6.8330000000000002</v>
      </c>
      <c r="CB154">
        <v>-1.9490000000000001</v>
      </c>
      <c r="CC154">
        <v>-11</v>
      </c>
      <c r="CD154">
        <v>5</v>
      </c>
      <c r="CE154">
        <v>0.4</v>
      </c>
      <c r="CF154">
        <v>0.04</v>
      </c>
      <c r="CG154">
        <v>-11.41749166666667</v>
      </c>
      <c r="CH154">
        <v>-0.94958210614062932</v>
      </c>
      <c r="CI154">
        <v>0.15360770954140149</v>
      </c>
      <c r="CJ154">
        <v>-1</v>
      </c>
      <c r="CK154">
        <v>500.99439999999998</v>
      </c>
      <c r="CL154">
        <v>-4.603158655182102</v>
      </c>
      <c r="CM154">
        <v>1.9382654720135699</v>
      </c>
      <c r="CN154">
        <v>-1</v>
      </c>
      <c r="CO154">
        <v>0</v>
      </c>
      <c r="CP154">
        <v>0</v>
      </c>
      <c r="CQ154" t="s">
        <v>319</v>
      </c>
      <c r="CR154">
        <v>3.1696</v>
      </c>
      <c r="CS154">
        <v>2.6668500000000002</v>
      </c>
      <c r="CT154">
        <v>-4.6176899999999998E-3</v>
      </c>
      <c r="CU154">
        <v>-3.3852299999999999E-3</v>
      </c>
      <c r="CV154">
        <v>2.74316E-2</v>
      </c>
      <c r="CW154">
        <v>3.4157199999999999E-2</v>
      </c>
      <c r="CX154">
        <v>21249.599999999999</v>
      </c>
      <c r="CY154">
        <v>21688</v>
      </c>
      <c r="CZ154">
        <v>22691.4</v>
      </c>
      <c r="DA154">
        <v>21991.5</v>
      </c>
      <c r="DB154">
        <v>28491.8</v>
      </c>
      <c r="DC154">
        <v>25274.9</v>
      </c>
      <c r="DD154">
        <v>39951.1</v>
      </c>
      <c r="DE154">
        <v>36384.199999999997</v>
      </c>
      <c r="DF154">
        <v>1.9741200000000001</v>
      </c>
      <c r="DG154">
        <v>1.57666</v>
      </c>
      <c r="DH154">
        <v>-0.11200300000000001</v>
      </c>
      <c r="DI154">
        <v>0</v>
      </c>
      <c r="DJ154">
        <v>35.0794</v>
      </c>
      <c r="DK154">
        <v>999.9</v>
      </c>
      <c r="DL154">
        <v>48.9</v>
      </c>
      <c r="DM154">
        <v>46.8</v>
      </c>
      <c r="DN154">
        <v>51.619599999999998</v>
      </c>
      <c r="DO154">
        <v>30.2211</v>
      </c>
      <c r="DP154">
        <v>10.7011</v>
      </c>
      <c r="DQ154">
        <v>1</v>
      </c>
      <c r="DR154">
        <v>1.1361300000000001</v>
      </c>
      <c r="DS154">
        <v>3.8351199999999999</v>
      </c>
      <c r="DT154">
        <v>20.3049</v>
      </c>
      <c r="DU154">
        <v>5.2109399999999999</v>
      </c>
      <c r="DV154">
        <v>11.859400000000001</v>
      </c>
      <c r="DW154">
        <v>4.9671200000000004</v>
      </c>
      <c r="DX154">
        <v>3.2930000000000001</v>
      </c>
      <c r="DY154">
        <v>894.7</v>
      </c>
      <c r="DZ154">
        <v>6</v>
      </c>
      <c r="EA154">
        <v>9999</v>
      </c>
      <c r="EB154">
        <v>118</v>
      </c>
      <c r="EC154">
        <v>4.9715800000000003</v>
      </c>
      <c r="ED154">
        <v>1.87218</v>
      </c>
      <c r="EE154">
        <v>1.86951</v>
      </c>
      <c r="EF154">
        <v>1.8718300000000001</v>
      </c>
      <c r="EG154">
        <v>1.8696600000000001</v>
      </c>
      <c r="EH154">
        <v>1.8684400000000001</v>
      </c>
      <c r="EI154">
        <v>1.8702700000000001</v>
      </c>
      <c r="EJ154">
        <v>1.87195</v>
      </c>
      <c r="EK154">
        <v>0</v>
      </c>
      <c r="EL154">
        <v>0</v>
      </c>
      <c r="EM154">
        <v>0</v>
      </c>
      <c r="EN154">
        <v>0</v>
      </c>
      <c r="EO154" t="s">
        <v>320</v>
      </c>
      <c r="EP154" t="s">
        <v>321</v>
      </c>
      <c r="EQ154" t="s">
        <v>322</v>
      </c>
      <c r="ER154" t="s">
        <v>322</v>
      </c>
      <c r="ES154" t="s">
        <v>322</v>
      </c>
      <c r="ET154" t="s">
        <v>322</v>
      </c>
      <c r="EU154">
        <v>0</v>
      </c>
      <c r="EV154">
        <v>100</v>
      </c>
      <c r="EW154">
        <v>100</v>
      </c>
      <c r="EX154">
        <v>6.8330000000000002</v>
      </c>
      <c r="EY154">
        <v>-1.9490000000000001</v>
      </c>
      <c r="EZ154">
        <v>6.846544999999999</v>
      </c>
      <c r="FA154">
        <v>0</v>
      </c>
      <c r="FB154">
        <v>0</v>
      </c>
      <c r="FC154">
        <v>0</v>
      </c>
      <c r="FD154">
        <v>-1.9465844999999999</v>
      </c>
      <c r="FE154">
        <v>0</v>
      </c>
      <c r="FF154">
        <v>0</v>
      </c>
      <c r="FG154">
        <v>0</v>
      </c>
      <c r="FH154">
        <v>-1</v>
      </c>
      <c r="FI154">
        <v>-1</v>
      </c>
      <c r="FJ154">
        <v>-1</v>
      </c>
      <c r="FK154">
        <v>-1</v>
      </c>
      <c r="FL154">
        <v>0.7</v>
      </c>
      <c r="FM154">
        <v>0.4</v>
      </c>
      <c r="FN154">
        <v>0.13916000000000001</v>
      </c>
      <c r="FO154">
        <v>4.99756</v>
      </c>
      <c r="FP154">
        <v>1.5979000000000001</v>
      </c>
      <c r="FQ154">
        <v>2.1105999999999998</v>
      </c>
      <c r="FR154">
        <v>1.5478499999999999</v>
      </c>
      <c r="FS154">
        <v>2.4121100000000002</v>
      </c>
      <c r="FT154">
        <v>50.250900000000001</v>
      </c>
      <c r="FU154">
        <v>14.9726</v>
      </c>
      <c r="FV154">
        <v>2</v>
      </c>
      <c r="FW154">
        <v>505.66399999999999</v>
      </c>
      <c r="FX154">
        <v>339.803</v>
      </c>
      <c r="FY154">
        <v>31.287299999999998</v>
      </c>
      <c r="FZ154">
        <v>40.693600000000004</v>
      </c>
      <c r="GA154">
        <v>30.001100000000001</v>
      </c>
      <c r="GB154">
        <v>40.794400000000003</v>
      </c>
      <c r="GC154">
        <v>40.8142</v>
      </c>
      <c r="GD154">
        <v>-1</v>
      </c>
      <c r="GE154">
        <v>0</v>
      </c>
      <c r="GF154">
        <v>100</v>
      </c>
      <c r="GG154">
        <v>31.258199999999999</v>
      </c>
      <c r="GH154">
        <v>432.1</v>
      </c>
      <c r="GI154">
        <v>44.267099999999999</v>
      </c>
      <c r="GJ154">
        <v>100.498</v>
      </c>
      <c r="GK154">
        <v>95.000299999999996</v>
      </c>
    </row>
    <row r="155" spans="1:193" x14ac:dyDescent="0.35">
      <c r="A155">
        <v>139</v>
      </c>
      <c r="B155">
        <v>1775540307.0999999</v>
      </c>
      <c r="C155">
        <v>8281</v>
      </c>
      <c r="D155" t="s">
        <v>734</v>
      </c>
      <c r="E155" t="s">
        <v>735</v>
      </c>
      <c r="F155">
        <v>60</v>
      </c>
      <c r="G155">
        <v>1775540299.349999</v>
      </c>
      <c r="H155">
        <f t="shared" si="60"/>
        <v>5.162245492682559E-3</v>
      </c>
      <c r="I155">
        <f t="shared" si="61"/>
        <v>5.1622454926825592</v>
      </c>
      <c r="J155">
        <f t="shared" si="62"/>
        <v>-3.9210914661964504</v>
      </c>
      <c r="K155">
        <f t="shared" si="63"/>
        <v>-9.3485166666666668</v>
      </c>
      <c r="L155">
        <f t="shared" si="64"/>
        <v>46.34186418903338</v>
      </c>
      <c r="M155">
        <f t="shared" si="65"/>
        <v>4.642258999716752</v>
      </c>
      <c r="N155">
        <f t="shared" si="66"/>
        <v>-0.93648014358700338</v>
      </c>
      <c r="O155">
        <f t="shared" si="67"/>
        <v>0.11236338365310232</v>
      </c>
      <c r="P155">
        <f t="shared" si="68"/>
        <v>2.391091094333353</v>
      </c>
      <c r="Q155">
        <f t="shared" si="69"/>
        <v>0.10951025362401146</v>
      </c>
      <c r="R155">
        <f t="shared" si="70"/>
        <v>6.8694216786840331E-2</v>
      </c>
      <c r="S155">
        <f t="shared" si="71"/>
        <v>0.29527829240000003</v>
      </c>
      <c r="T155">
        <f t="shared" si="72"/>
        <v>31.573391456552091</v>
      </c>
      <c r="U155">
        <f t="shared" si="73"/>
        <v>33.231496666666658</v>
      </c>
      <c r="V155">
        <f t="shared" si="74"/>
        <v>5.1181946341845004</v>
      </c>
      <c r="W155">
        <f t="shared" si="75"/>
        <v>10.366972118597134</v>
      </c>
      <c r="X155">
        <f t="shared" si="76"/>
        <v>0.52915129237022507</v>
      </c>
      <c r="Y155">
        <f t="shared" si="77"/>
        <v>5.1042029082048908</v>
      </c>
      <c r="Z155">
        <f t="shared" si="78"/>
        <v>4.5890433418142749</v>
      </c>
      <c r="AA155">
        <f t="shared" si="79"/>
        <v>-227.65502622730085</v>
      </c>
      <c r="AB155">
        <f t="shared" si="80"/>
        <v>-6.2898755601706444</v>
      </c>
      <c r="AC155">
        <f t="shared" si="81"/>
        <v>-0.60367461155107871</v>
      </c>
      <c r="AD155">
        <f t="shared" si="82"/>
        <v>-234.25329810662259</v>
      </c>
      <c r="AE155">
        <v>6</v>
      </c>
      <c r="AF155">
        <v>1</v>
      </c>
      <c r="AG155">
        <f t="shared" si="83"/>
        <v>1</v>
      </c>
      <c r="AH155">
        <f t="shared" si="84"/>
        <v>0</v>
      </c>
      <c r="AI155">
        <f t="shared" si="85"/>
        <v>25048.178745105251</v>
      </c>
      <c r="AJ155">
        <f t="shared" si="86"/>
        <v>1.545150666666667</v>
      </c>
      <c r="AK155">
        <f t="shared" si="87"/>
        <v>1.2361205333333336</v>
      </c>
      <c r="AL155">
        <f t="shared" si="88"/>
        <v>0.8</v>
      </c>
      <c r="AM155">
        <f t="shared" si="89"/>
        <v>0.19109999999999999</v>
      </c>
      <c r="AN155">
        <v>3</v>
      </c>
      <c r="AO155">
        <v>0.5</v>
      </c>
      <c r="AP155" t="s">
        <v>317</v>
      </c>
      <c r="AQ155">
        <v>2</v>
      </c>
      <c r="AR155">
        <v>1775540299.349999</v>
      </c>
      <c r="AS155">
        <v>-9.3485166666666668</v>
      </c>
      <c r="AT155">
        <v>-11.73010333333333</v>
      </c>
      <c r="AU155">
        <v>5.2823113333333342</v>
      </c>
      <c r="AV155">
        <v>2.2013560000000001</v>
      </c>
      <c r="AW155">
        <v>-16.14651666666667</v>
      </c>
      <c r="AX155">
        <v>4.1503559999999986</v>
      </c>
      <c r="AY155">
        <v>500.00500000000011</v>
      </c>
      <c r="AZ155">
        <v>100.12730000000001</v>
      </c>
      <c r="BA155">
        <v>4.689629E-2</v>
      </c>
      <c r="BB155">
        <v>33.182703333333329</v>
      </c>
      <c r="BC155">
        <v>33.231496666666658</v>
      </c>
      <c r="BD155">
        <v>999.9000000000002</v>
      </c>
      <c r="BE155">
        <v>0</v>
      </c>
      <c r="BF155">
        <v>0</v>
      </c>
      <c r="BG155">
        <v>5001.5166666666664</v>
      </c>
      <c r="BH155">
        <v>1.545150666666667</v>
      </c>
      <c r="BI155">
        <v>1839.4343333333341</v>
      </c>
      <c r="BJ155">
        <v>2.416942666666666</v>
      </c>
      <c r="BK155">
        <v>-9.3337073333333329</v>
      </c>
      <c r="BL155">
        <v>-11.792389999999999</v>
      </c>
      <c r="BM155">
        <v>-3.0807536666666682</v>
      </c>
      <c r="BN155">
        <v>-11.73010333333333</v>
      </c>
      <c r="BO155">
        <v>5.2823113333333342</v>
      </c>
      <c r="BP155">
        <v>0.2204361</v>
      </c>
      <c r="BQ155">
        <v>0.52890376666666661</v>
      </c>
      <c r="BR155">
        <v>-13.31714</v>
      </c>
      <c r="BS155">
        <v>-2.028966333333333</v>
      </c>
      <c r="BT155">
        <v>1775540336.0999999</v>
      </c>
      <c r="BU155" t="s">
        <v>736</v>
      </c>
      <c r="BV155">
        <v>1775540325.0999999</v>
      </c>
      <c r="BW155">
        <v>1775540336.0999999</v>
      </c>
      <c r="BX155">
        <v>140</v>
      </c>
      <c r="BY155">
        <v>-3.5999999999999997E-2</v>
      </c>
      <c r="BZ155">
        <v>0</v>
      </c>
      <c r="CA155">
        <v>6.798</v>
      </c>
      <c r="CB155">
        <v>-1.9490000000000001</v>
      </c>
      <c r="CC155">
        <v>-12</v>
      </c>
      <c r="CD155">
        <v>5</v>
      </c>
      <c r="CE155">
        <v>0.2</v>
      </c>
      <c r="CF155">
        <v>0.02</v>
      </c>
      <c r="CG155">
        <v>-11.66775</v>
      </c>
      <c r="CH155">
        <v>-0.30233264795777359</v>
      </c>
      <c r="CI155">
        <v>9.1225914629561297E-2</v>
      </c>
      <c r="CJ155">
        <v>-1</v>
      </c>
      <c r="CK155">
        <v>500.99841666666663</v>
      </c>
      <c r="CL155">
        <v>-4.9251447624341909</v>
      </c>
      <c r="CM155">
        <v>1.958067893712798</v>
      </c>
      <c r="CN155">
        <v>-1</v>
      </c>
      <c r="CO155">
        <v>0</v>
      </c>
      <c r="CP155">
        <v>0</v>
      </c>
      <c r="CQ155" t="s">
        <v>319</v>
      </c>
      <c r="CR155">
        <v>3.1696200000000001</v>
      </c>
      <c r="CS155">
        <v>2.66716</v>
      </c>
      <c r="CT155">
        <v>-4.68558E-3</v>
      </c>
      <c r="CU155">
        <v>-3.3936000000000001E-3</v>
      </c>
      <c r="CV155">
        <v>2.8125799999999999E-2</v>
      </c>
      <c r="CW155">
        <v>3.4235099999999997E-2</v>
      </c>
      <c r="CX155">
        <v>21249.599999999999</v>
      </c>
      <c r="CY155">
        <v>21688.2</v>
      </c>
      <c r="CZ155">
        <v>22690</v>
      </c>
      <c r="DA155">
        <v>21991.7</v>
      </c>
      <c r="DB155">
        <v>28470</v>
      </c>
      <c r="DC155">
        <v>25272.6</v>
      </c>
      <c r="DD155">
        <v>39949.199999999997</v>
      </c>
      <c r="DE155">
        <v>36384.1</v>
      </c>
      <c r="DF155">
        <v>1.97418</v>
      </c>
      <c r="DG155">
        <v>1.57704</v>
      </c>
      <c r="DH155">
        <v>-0.11062900000000001</v>
      </c>
      <c r="DI155">
        <v>0</v>
      </c>
      <c r="DJ155">
        <v>35.034700000000001</v>
      </c>
      <c r="DK155">
        <v>999.9</v>
      </c>
      <c r="DL155">
        <v>49</v>
      </c>
      <c r="DM155">
        <v>46.8</v>
      </c>
      <c r="DN155">
        <v>51.7258</v>
      </c>
      <c r="DO155">
        <v>30.731200000000001</v>
      </c>
      <c r="DP155">
        <v>10.256399999999999</v>
      </c>
      <c r="DQ155">
        <v>1</v>
      </c>
      <c r="DR155">
        <v>1.13514</v>
      </c>
      <c r="DS155">
        <v>3.3251599999999999</v>
      </c>
      <c r="DT155">
        <v>20.3186</v>
      </c>
      <c r="DU155">
        <v>5.20974</v>
      </c>
      <c r="DV155">
        <v>11.858599999999999</v>
      </c>
      <c r="DW155">
        <v>4.9672799999999997</v>
      </c>
      <c r="DX155">
        <v>3.2930000000000001</v>
      </c>
      <c r="DY155">
        <v>894.7</v>
      </c>
      <c r="DZ155">
        <v>6</v>
      </c>
      <c r="EA155">
        <v>9999</v>
      </c>
      <c r="EB155">
        <v>118</v>
      </c>
      <c r="EC155">
        <v>4.9716100000000001</v>
      </c>
      <c r="ED155">
        <v>1.87218</v>
      </c>
      <c r="EE155">
        <v>1.8695200000000001</v>
      </c>
      <c r="EF155">
        <v>1.87182</v>
      </c>
      <c r="EG155">
        <v>1.8696600000000001</v>
      </c>
      <c r="EH155">
        <v>1.8684400000000001</v>
      </c>
      <c r="EI155">
        <v>1.8702700000000001</v>
      </c>
      <c r="EJ155">
        <v>1.87195</v>
      </c>
      <c r="EK155">
        <v>0</v>
      </c>
      <c r="EL155">
        <v>0</v>
      </c>
      <c r="EM155">
        <v>0</v>
      </c>
      <c r="EN155">
        <v>0</v>
      </c>
      <c r="EO155" t="s">
        <v>320</v>
      </c>
      <c r="EP155" t="s">
        <v>321</v>
      </c>
      <c r="EQ155" t="s">
        <v>322</v>
      </c>
      <c r="ER155" t="s">
        <v>322</v>
      </c>
      <c r="ES155" t="s">
        <v>322</v>
      </c>
      <c r="ET155" t="s">
        <v>322</v>
      </c>
      <c r="EU155">
        <v>0</v>
      </c>
      <c r="EV155">
        <v>100</v>
      </c>
      <c r="EW155">
        <v>100</v>
      </c>
      <c r="EX155">
        <v>6.798</v>
      </c>
      <c r="EY155">
        <v>-1.9490000000000001</v>
      </c>
      <c r="EZ155">
        <v>6.833361904761901</v>
      </c>
      <c r="FA155">
        <v>0</v>
      </c>
      <c r="FB155">
        <v>0</v>
      </c>
      <c r="FC155">
        <v>0</v>
      </c>
      <c r="FD155">
        <v>-1.9487966666666661</v>
      </c>
      <c r="FE155">
        <v>0</v>
      </c>
      <c r="FF155">
        <v>0</v>
      </c>
      <c r="FG155">
        <v>0</v>
      </c>
      <c r="FH155">
        <v>-1</v>
      </c>
      <c r="FI155">
        <v>-1</v>
      </c>
      <c r="FJ155">
        <v>-1</v>
      </c>
      <c r="FK155">
        <v>-1</v>
      </c>
      <c r="FL155">
        <v>0.7</v>
      </c>
      <c r="FM155">
        <v>0.4</v>
      </c>
      <c r="FN155">
        <v>0.13916000000000001</v>
      </c>
      <c r="FO155">
        <v>4.99756</v>
      </c>
      <c r="FP155">
        <v>1.5979000000000001</v>
      </c>
      <c r="FQ155">
        <v>2.1105999999999998</v>
      </c>
      <c r="FR155">
        <v>1.5478499999999999</v>
      </c>
      <c r="FS155">
        <v>2.5500500000000001</v>
      </c>
      <c r="FT155">
        <v>50.218699999999998</v>
      </c>
      <c r="FU155">
        <v>14.9726</v>
      </c>
      <c r="FV155">
        <v>2</v>
      </c>
      <c r="FW155">
        <v>506.03</v>
      </c>
      <c r="FX155">
        <v>340.19099999999997</v>
      </c>
      <c r="FY155">
        <v>31.4527</v>
      </c>
      <c r="FZ155">
        <v>40.740900000000003</v>
      </c>
      <c r="GA155">
        <v>30.0001</v>
      </c>
      <c r="GB155">
        <v>40.844200000000001</v>
      </c>
      <c r="GC155">
        <v>40.855699999999999</v>
      </c>
      <c r="GD155">
        <v>-1</v>
      </c>
      <c r="GE155">
        <v>0</v>
      </c>
      <c r="GF155">
        <v>100</v>
      </c>
      <c r="GG155">
        <v>31.467700000000001</v>
      </c>
      <c r="GH155">
        <v>432.1</v>
      </c>
      <c r="GI155">
        <v>44.267099999999999</v>
      </c>
      <c r="GJ155">
        <v>100.492</v>
      </c>
      <c r="GK155">
        <v>95.000299999999996</v>
      </c>
    </row>
    <row r="156" spans="1:193" x14ac:dyDescent="0.35">
      <c r="A156">
        <v>140</v>
      </c>
      <c r="B156">
        <v>1775540367.0999999</v>
      </c>
      <c r="C156">
        <v>8341</v>
      </c>
      <c r="D156" t="s">
        <v>737</v>
      </c>
      <c r="E156" t="s">
        <v>738</v>
      </c>
      <c r="F156">
        <v>60</v>
      </c>
      <c r="G156">
        <v>1775540359.099999</v>
      </c>
      <c r="H156">
        <f t="shared" si="60"/>
        <v>4.8229845543254985E-3</v>
      </c>
      <c r="I156">
        <f t="shared" si="61"/>
        <v>4.8229845543254983</v>
      </c>
      <c r="J156">
        <f t="shared" si="62"/>
        <v>-3.4522804806390575</v>
      </c>
      <c r="K156">
        <f t="shared" si="63"/>
        <v>-9.1893483870967749</v>
      </c>
      <c r="L156">
        <f t="shared" si="64"/>
        <v>43.2888043626632</v>
      </c>
      <c r="M156">
        <f t="shared" si="65"/>
        <v>4.3364453781151431</v>
      </c>
      <c r="N156">
        <f t="shared" si="66"/>
        <v>-0.92054072473957493</v>
      </c>
      <c r="O156">
        <f t="shared" si="67"/>
        <v>0.10488972582680162</v>
      </c>
      <c r="P156">
        <f t="shared" si="68"/>
        <v>2.3909598228005216</v>
      </c>
      <c r="Q156">
        <f t="shared" si="69"/>
        <v>0.10239885110494656</v>
      </c>
      <c r="R156">
        <f t="shared" si="70"/>
        <v>6.4218150398099555E-2</v>
      </c>
      <c r="S156">
        <f t="shared" si="71"/>
        <v>0.26676622993548377</v>
      </c>
      <c r="T156">
        <f t="shared" si="72"/>
        <v>31.652968512540888</v>
      </c>
      <c r="U156">
        <f t="shared" si="73"/>
        <v>33.22199354838709</v>
      </c>
      <c r="V156">
        <f t="shared" si="74"/>
        <v>5.1154669552655045</v>
      </c>
      <c r="W156">
        <f t="shared" si="75"/>
        <v>10.402546537034357</v>
      </c>
      <c r="X156">
        <f t="shared" si="76"/>
        <v>0.53019253535673927</v>
      </c>
      <c r="Y156">
        <f t="shared" si="77"/>
        <v>5.0967571591166454</v>
      </c>
      <c r="Z156">
        <f t="shared" si="78"/>
        <v>4.5852744199087656</v>
      </c>
      <c r="AA156">
        <f t="shared" si="79"/>
        <v>-212.69361884575449</v>
      </c>
      <c r="AB156">
        <f t="shared" si="80"/>
        <v>-8.4176789266851131</v>
      </c>
      <c r="AC156">
        <f t="shared" si="81"/>
        <v>-0.8077956293708225</v>
      </c>
      <c r="AD156">
        <f t="shared" si="82"/>
        <v>-221.65232717187493</v>
      </c>
      <c r="AE156">
        <v>6</v>
      </c>
      <c r="AF156">
        <v>1</v>
      </c>
      <c r="AG156">
        <f t="shared" si="83"/>
        <v>1</v>
      </c>
      <c r="AH156">
        <f t="shared" si="84"/>
        <v>0</v>
      </c>
      <c r="AI156">
        <f t="shared" si="85"/>
        <v>25048.411850798737</v>
      </c>
      <c r="AJ156">
        <f t="shared" si="86"/>
        <v>1.3959509677419351</v>
      </c>
      <c r="AK156">
        <f t="shared" si="87"/>
        <v>1.1167607741935481</v>
      </c>
      <c r="AL156">
        <f t="shared" si="88"/>
        <v>0.8</v>
      </c>
      <c r="AM156">
        <f t="shared" si="89"/>
        <v>0.19109999999999999</v>
      </c>
      <c r="AN156">
        <v>3</v>
      </c>
      <c r="AO156">
        <v>0.5</v>
      </c>
      <c r="AP156" t="s">
        <v>317</v>
      </c>
      <c r="AQ156">
        <v>2</v>
      </c>
      <c r="AR156">
        <v>1775540359.099999</v>
      </c>
      <c r="AS156">
        <v>-9.1893483870967749</v>
      </c>
      <c r="AT156">
        <v>-11.287367741935491</v>
      </c>
      <c r="AU156">
        <v>5.2926761290322579</v>
      </c>
      <c r="AV156">
        <v>2.414120322580644</v>
      </c>
      <c r="AW156">
        <v>-15.89334838709677</v>
      </c>
      <c r="AX156">
        <v>4.3631203225806443</v>
      </c>
      <c r="AY156">
        <v>499.98593548387089</v>
      </c>
      <c r="AZ156">
        <v>100.12570967741939</v>
      </c>
      <c r="BA156">
        <v>4.9045480645161288E-2</v>
      </c>
      <c r="BB156">
        <v>33.156690322580637</v>
      </c>
      <c r="BC156">
        <v>33.22199354838709</v>
      </c>
      <c r="BD156">
        <v>999.90000000000032</v>
      </c>
      <c r="BE156">
        <v>0</v>
      </c>
      <c r="BF156">
        <v>0</v>
      </c>
      <c r="BG156">
        <v>5001.2580645161288</v>
      </c>
      <c r="BH156">
        <v>1.3959509677419351</v>
      </c>
      <c r="BI156">
        <v>1536.6003225806451</v>
      </c>
      <c r="BJ156">
        <v>2.1918899999999999</v>
      </c>
      <c r="BK156">
        <v>-9.1174922580645177</v>
      </c>
      <c r="BL156">
        <v>-11.34743225806452</v>
      </c>
      <c r="BM156">
        <v>-2.8787590322580638</v>
      </c>
      <c r="BN156">
        <v>-11.287367741935491</v>
      </c>
      <c r="BO156">
        <v>5.2926761290322579</v>
      </c>
      <c r="BP156">
        <v>0.24169506451612899</v>
      </c>
      <c r="BQ156">
        <v>0.52993287096774189</v>
      </c>
      <c r="BR156">
        <v>-12.1808935483871</v>
      </c>
      <c r="BS156">
        <v>-2.0026570967741941</v>
      </c>
      <c r="BT156">
        <v>1775540400.5999999</v>
      </c>
      <c r="BU156" t="s">
        <v>739</v>
      </c>
      <c r="BV156">
        <v>1775540400.5999999</v>
      </c>
      <c r="BW156">
        <v>1775540395.0999999</v>
      </c>
      <c r="BX156">
        <v>141</v>
      </c>
      <c r="BY156">
        <v>-9.4E-2</v>
      </c>
      <c r="BZ156">
        <v>0</v>
      </c>
      <c r="CA156">
        <v>6.7039999999999997</v>
      </c>
      <c r="CB156">
        <v>-1.9490000000000001</v>
      </c>
      <c r="CC156">
        <v>-12</v>
      </c>
      <c r="CD156">
        <v>5</v>
      </c>
      <c r="CE156">
        <v>0.96</v>
      </c>
      <c r="CF156">
        <v>0.03</v>
      </c>
      <c r="CG156">
        <v>-11.31445666666667</v>
      </c>
      <c r="CH156">
        <v>0.2491252014448411</v>
      </c>
      <c r="CI156">
        <v>7.7986146989207125E-2</v>
      </c>
      <c r="CJ156">
        <v>-1</v>
      </c>
      <c r="CK156">
        <v>500.96198333333331</v>
      </c>
      <c r="CL156">
        <v>-8.2533292581263069</v>
      </c>
      <c r="CM156">
        <v>1.911311430158769</v>
      </c>
      <c r="CN156">
        <v>-1</v>
      </c>
      <c r="CO156">
        <v>0</v>
      </c>
      <c r="CP156">
        <v>0</v>
      </c>
      <c r="CQ156" t="s">
        <v>319</v>
      </c>
      <c r="CR156">
        <v>3.16974</v>
      </c>
      <c r="CS156">
        <v>2.6701100000000002</v>
      </c>
      <c r="CT156">
        <v>-4.5858699999999997E-3</v>
      </c>
      <c r="CU156">
        <v>-3.2606200000000001E-3</v>
      </c>
      <c r="CV156">
        <v>2.95797E-2</v>
      </c>
      <c r="CW156">
        <v>3.4345300000000002E-2</v>
      </c>
      <c r="CX156">
        <v>21249.599999999999</v>
      </c>
      <c r="CY156">
        <v>21688.1</v>
      </c>
      <c r="CZ156">
        <v>22692.2</v>
      </c>
      <c r="DA156">
        <v>21994.400000000001</v>
      </c>
      <c r="DB156">
        <v>28429.7</v>
      </c>
      <c r="DC156">
        <v>25273</v>
      </c>
      <c r="DD156">
        <v>39952.5</v>
      </c>
      <c r="DE156">
        <v>36388.699999999997</v>
      </c>
      <c r="DF156">
        <v>1.9751000000000001</v>
      </c>
      <c r="DG156">
        <v>1.57734</v>
      </c>
      <c r="DH156">
        <v>-0.10291</v>
      </c>
      <c r="DI156">
        <v>0</v>
      </c>
      <c r="DJ156">
        <v>34.898699999999998</v>
      </c>
      <c r="DK156">
        <v>999.9</v>
      </c>
      <c r="DL156">
        <v>49.1</v>
      </c>
      <c r="DM156">
        <v>46.7</v>
      </c>
      <c r="DN156">
        <v>51.5685</v>
      </c>
      <c r="DO156">
        <v>30.5212</v>
      </c>
      <c r="DP156">
        <v>10.320499999999999</v>
      </c>
      <c r="DQ156">
        <v>1</v>
      </c>
      <c r="DR156">
        <v>1.1276299999999999</v>
      </c>
      <c r="DS156">
        <v>2.84517</v>
      </c>
      <c r="DT156">
        <v>20.329499999999999</v>
      </c>
      <c r="DU156">
        <v>5.2099799999999998</v>
      </c>
      <c r="DV156">
        <v>11.858599999999999</v>
      </c>
      <c r="DW156">
        <v>4.9657600000000004</v>
      </c>
      <c r="DX156">
        <v>3.2929400000000002</v>
      </c>
      <c r="DY156">
        <v>894.7</v>
      </c>
      <c r="DZ156">
        <v>6</v>
      </c>
      <c r="EA156">
        <v>9999</v>
      </c>
      <c r="EB156">
        <v>118.1</v>
      </c>
      <c r="EC156">
        <v>4.9715999999999996</v>
      </c>
      <c r="ED156">
        <v>1.87219</v>
      </c>
      <c r="EE156">
        <v>1.8695200000000001</v>
      </c>
      <c r="EF156">
        <v>1.8717999999999999</v>
      </c>
      <c r="EG156">
        <v>1.8696600000000001</v>
      </c>
      <c r="EH156">
        <v>1.8684400000000001</v>
      </c>
      <c r="EI156">
        <v>1.8702700000000001</v>
      </c>
      <c r="EJ156">
        <v>1.87195</v>
      </c>
      <c r="EK156">
        <v>0</v>
      </c>
      <c r="EL156">
        <v>0</v>
      </c>
      <c r="EM156">
        <v>0</v>
      </c>
      <c r="EN156">
        <v>0</v>
      </c>
      <c r="EO156" t="s">
        <v>320</v>
      </c>
      <c r="EP156" t="s">
        <v>321</v>
      </c>
      <c r="EQ156" t="s">
        <v>322</v>
      </c>
      <c r="ER156" t="s">
        <v>322</v>
      </c>
      <c r="ES156" t="s">
        <v>322</v>
      </c>
      <c r="ET156" t="s">
        <v>322</v>
      </c>
      <c r="EU156">
        <v>0</v>
      </c>
      <c r="EV156">
        <v>100</v>
      </c>
      <c r="EW156">
        <v>100</v>
      </c>
      <c r="EX156">
        <v>6.7039999999999997</v>
      </c>
      <c r="EY156">
        <v>-1.9490000000000001</v>
      </c>
      <c r="EZ156">
        <v>6.7978700000000032</v>
      </c>
      <c r="FA156">
        <v>0</v>
      </c>
      <c r="FB156">
        <v>0</v>
      </c>
      <c r="FC156">
        <v>0</v>
      </c>
      <c r="FD156">
        <v>-1.949203499999999</v>
      </c>
      <c r="FE156">
        <v>0</v>
      </c>
      <c r="FF156">
        <v>0</v>
      </c>
      <c r="FG156">
        <v>0</v>
      </c>
      <c r="FH156">
        <v>-1</v>
      </c>
      <c r="FI156">
        <v>-1</v>
      </c>
      <c r="FJ156">
        <v>-1</v>
      </c>
      <c r="FK156">
        <v>-1</v>
      </c>
      <c r="FL156">
        <v>0.7</v>
      </c>
      <c r="FM156">
        <v>0.5</v>
      </c>
      <c r="FN156">
        <v>0.13916000000000001</v>
      </c>
      <c r="FO156">
        <v>4.99756</v>
      </c>
      <c r="FP156">
        <v>1.5979000000000001</v>
      </c>
      <c r="FQ156">
        <v>2.1105999999999998</v>
      </c>
      <c r="FR156">
        <v>1.5478499999999999</v>
      </c>
      <c r="FS156">
        <v>2.5305200000000001</v>
      </c>
      <c r="FT156">
        <v>50.154200000000003</v>
      </c>
      <c r="FU156">
        <v>14.9726</v>
      </c>
      <c r="FV156">
        <v>2</v>
      </c>
      <c r="FW156">
        <v>506.553</v>
      </c>
      <c r="FX156">
        <v>340.29500000000002</v>
      </c>
      <c r="FY156">
        <v>31.701899999999998</v>
      </c>
      <c r="FZ156">
        <v>40.709299999999999</v>
      </c>
      <c r="GA156">
        <v>29.999400000000001</v>
      </c>
      <c r="GB156">
        <v>40.836300000000001</v>
      </c>
      <c r="GC156">
        <v>40.8431</v>
      </c>
      <c r="GD156">
        <v>-1</v>
      </c>
      <c r="GE156">
        <v>0</v>
      </c>
      <c r="GF156">
        <v>100</v>
      </c>
      <c r="GG156">
        <v>31.739599999999999</v>
      </c>
      <c r="GH156">
        <v>432.1</v>
      </c>
      <c r="GI156">
        <v>44.267099999999999</v>
      </c>
      <c r="GJ156">
        <v>100.501</v>
      </c>
      <c r="GK156">
        <v>95.012299999999996</v>
      </c>
    </row>
    <row r="157" spans="1:193" x14ac:dyDescent="0.35">
      <c r="A157">
        <v>141</v>
      </c>
      <c r="B157">
        <v>1775540427.0999999</v>
      </c>
      <c r="C157">
        <v>8401</v>
      </c>
      <c r="D157" t="s">
        <v>740</v>
      </c>
      <c r="E157" t="s">
        <v>741</v>
      </c>
      <c r="F157">
        <v>60</v>
      </c>
      <c r="G157">
        <v>1775540419.349999</v>
      </c>
      <c r="H157">
        <f t="shared" si="60"/>
        <v>4.9524079798464295E-3</v>
      </c>
      <c r="I157">
        <f t="shared" si="61"/>
        <v>4.9524079798464298</v>
      </c>
      <c r="J157">
        <f t="shared" si="62"/>
        <v>-4.2700199150867695</v>
      </c>
      <c r="K157">
        <f t="shared" si="63"/>
        <v>-9.3923699999999997</v>
      </c>
      <c r="L157">
        <f t="shared" si="64"/>
        <v>53.765303138562537</v>
      </c>
      <c r="M157">
        <f t="shared" si="65"/>
        <v>5.385912961425328</v>
      </c>
      <c r="N157">
        <f t="shared" si="66"/>
        <v>-0.94087607375954396</v>
      </c>
      <c r="O157">
        <f t="shared" si="67"/>
        <v>0.10764411019838442</v>
      </c>
      <c r="P157">
        <f t="shared" si="68"/>
        <v>2.3907960035977474</v>
      </c>
      <c r="Q157">
        <f t="shared" si="69"/>
        <v>0.10502228424105289</v>
      </c>
      <c r="R157">
        <f t="shared" si="70"/>
        <v>6.5869169560402674E-2</v>
      </c>
      <c r="S157">
        <f t="shared" si="71"/>
        <v>0.26992550129999998</v>
      </c>
      <c r="T157">
        <f t="shared" si="72"/>
        <v>31.646479688374846</v>
      </c>
      <c r="U157">
        <f t="shared" si="73"/>
        <v>33.24648333333333</v>
      </c>
      <c r="V157">
        <f t="shared" si="74"/>
        <v>5.1224988265441347</v>
      </c>
      <c r="W157">
        <f t="shared" si="75"/>
        <v>10.41839779638425</v>
      </c>
      <c r="X157">
        <f t="shared" si="76"/>
        <v>0.53201283794313581</v>
      </c>
      <c r="Y157">
        <f t="shared" si="77"/>
        <v>5.1064746071394316</v>
      </c>
      <c r="Z157">
        <f t="shared" si="78"/>
        <v>4.5904859886009985</v>
      </c>
      <c r="AA157">
        <f t="shared" si="79"/>
        <v>-218.40119191122753</v>
      </c>
      <c r="AB157">
        <f t="shared" si="80"/>
        <v>-7.1986513830519003</v>
      </c>
      <c r="AC157">
        <f t="shared" si="81"/>
        <v>-0.69105777064300222</v>
      </c>
      <c r="AD157">
        <f t="shared" si="82"/>
        <v>-226.02097556362241</v>
      </c>
      <c r="AE157">
        <v>6</v>
      </c>
      <c r="AF157">
        <v>1</v>
      </c>
      <c r="AG157">
        <f t="shared" si="83"/>
        <v>1</v>
      </c>
      <c r="AH157">
        <f t="shared" si="84"/>
        <v>0</v>
      </c>
      <c r="AI157">
        <f t="shared" si="85"/>
        <v>25043.216683414033</v>
      </c>
      <c r="AJ157">
        <f t="shared" si="86"/>
        <v>1.4124829999999999</v>
      </c>
      <c r="AK157">
        <f t="shared" si="87"/>
        <v>1.1299863999999999</v>
      </c>
      <c r="AL157">
        <f t="shared" si="88"/>
        <v>0.8</v>
      </c>
      <c r="AM157">
        <f t="shared" si="89"/>
        <v>0.19109999999999999</v>
      </c>
      <c r="AN157">
        <v>3</v>
      </c>
      <c r="AO157">
        <v>0.5</v>
      </c>
      <c r="AP157" t="s">
        <v>317</v>
      </c>
      <c r="AQ157">
        <v>2</v>
      </c>
      <c r="AR157">
        <v>1775540419.349999</v>
      </c>
      <c r="AS157">
        <v>-9.3923699999999997</v>
      </c>
      <c r="AT157">
        <v>-11.98233333333333</v>
      </c>
      <c r="AU157">
        <v>5.3108603333333333</v>
      </c>
      <c r="AV157">
        <v>2.3551479999999989</v>
      </c>
      <c r="AW157">
        <v>-16.217369999999999</v>
      </c>
      <c r="AX157">
        <v>4.3061479999999994</v>
      </c>
      <c r="AY157">
        <v>499.99180000000001</v>
      </c>
      <c r="AZ157">
        <v>100.1251</v>
      </c>
      <c r="BA157">
        <v>4.9411200000000002E-2</v>
      </c>
      <c r="BB157">
        <v>33.190633333333331</v>
      </c>
      <c r="BC157">
        <v>33.24648333333333</v>
      </c>
      <c r="BD157">
        <v>999.9000000000002</v>
      </c>
      <c r="BE157">
        <v>0</v>
      </c>
      <c r="BF157">
        <v>0</v>
      </c>
      <c r="BG157">
        <v>5000.8666666666668</v>
      </c>
      <c r="BH157">
        <v>1.4124829999999999</v>
      </c>
      <c r="BI157">
        <v>1710.3156666666659</v>
      </c>
      <c r="BJ157">
        <v>2.4684986666666671</v>
      </c>
      <c r="BK157">
        <v>-9.5363053333333347</v>
      </c>
      <c r="BL157">
        <v>-12.04631</v>
      </c>
      <c r="BM157">
        <v>-2.9538093333333331</v>
      </c>
      <c r="BN157">
        <v>-11.98233333333333</v>
      </c>
      <c r="BO157">
        <v>5.3108603333333333</v>
      </c>
      <c r="BP157">
        <v>0.23599976666666661</v>
      </c>
      <c r="BQ157">
        <v>0.53175003333333337</v>
      </c>
      <c r="BR157">
        <v>-12.475606666666669</v>
      </c>
      <c r="BS157">
        <v>-1.9562900000000001</v>
      </c>
      <c r="BT157">
        <v>1775540456.0999999</v>
      </c>
      <c r="BU157" t="s">
        <v>742</v>
      </c>
      <c r="BV157">
        <v>1775540445.0999999</v>
      </c>
      <c r="BW157">
        <v>1775540456.0999999</v>
      </c>
      <c r="BX157">
        <v>142</v>
      </c>
      <c r="BY157">
        <v>0.122</v>
      </c>
      <c r="BZ157">
        <v>-2E-3</v>
      </c>
      <c r="CA157">
        <v>6.8250000000000002</v>
      </c>
      <c r="CB157">
        <v>-1.9510000000000001</v>
      </c>
      <c r="CC157">
        <v>-12</v>
      </c>
      <c r="CD157">
        <v>5</v>
      </c>
      <c r="CE157">
        <v>0.34</v>
      </c>
      <c r="CF157">
        <v>0.03</v>
      </c>
      <c r="CG157">
        <v>-11.75543442622951</v>
      </c>
      <c r="CH157">
        <v>-1.6547796932839851</v>
      </c>
      <c r="CI157">
        <v>0.27289896880620579</v>
      </c>
      <c r="CJ157">
        <v>-1</v>
      </c>
      <c r="CK157">
        <v>501.00791803278679</v>
      </c>
      <c r="CL157">
        <v>-4.3255906927562568</v>
      </c>
      <c r="CM157">
        <v>1.9447160043419389</v>
      </c>
      <c r="CN157">
        <v>-1</v>
      </c>
      <c r="CO157">
        <v>0</v>
      </c>
      <c r="CP157">
        <v>0</v>
      </c>
      <c r="CQ157" t="s">
        <v>319</v>
      </c>
      <c r="CR157">
        <v>3.1696300000000002</v>
      </c>
      <c r="CS157">
        <v>2.6709499999999999</v>
      </c>
      <c r="CT157">
        <v>-4.7437800000000004E-3</v>
      </c>
      <c r="CU157">
        <v>-3.4828699999999999E-3</v>
      </c>
      <c r="CV157">
        <v>2.8975899999999999E-2</v>
      </c>
      <c r="CW157">
        <v>3.43988E-2</v>
      </c>
      <c r="CX157">
        <v>21255.3</v>
      </c>
      <c r="CY157">
        <v>21695</v>
      </c>
      <c r="CZ157">
        <v>22694.5</v>
      </c>
      <c r="DA157">
        <v>21996.400000000001</v>
      </c>
      <c r="DB157">
        <v>28450.2</v>
      </c>
      <c r="DC157">
        <v>25274.2</v>
      </c>
      <c r="DD157">
        <v>39956.199999999997</v>
      </c>
      <c r="DE157">
        <v>36392.300000000003</v>
      </c>
      <c r="DF157">
        <v>1.9748600000000001</v>
      </c>
      <c r="DG157">
        <v>1.5785</v>
      </c>
      <c r="DH157">
        <v>-0.100812</v>
      </c>
      <c r="DI157">
        <v>0</v>
      </c>
      <c r="DJ157">
        <v>34.874699999999997</v>
      </c>
      <c r="DK157">
        <v>999.9</v>
      </c>
      <c r="DL157">
        <v>49.2</v>
      </c>
      <c r="DM157">
        <v>46.7</v>
      </c>
      <c r="DN157">
        <v>51.674799999999998</v>
      </c>
      <c r="DO157">
        <v>30.761199999999999</v>
      </c>
      <c r="DP157">
        <v>10.504799999999999</v>
      </c>
      <c r="DQ157">
        <v>1</v>
      </c>
      <c r="DR157">
        <v>1.1239699999999999</v>
      </c>
      <c r="DS157">
        <v>3.11124</v>
      </c>
      <c r="DT157">
        <v>20.323699999999999</v>
      </c>
      <c r="DU157">
        <v>5.2104600000000003</v>
      </c>
      <c r="DV157">
        <v>11.859400000000001</v>
      </c>
      <c r="DW157">
        <v>4.9661600000000004</v>
      </c>
      <c r="DX157">
        <v>3.2930000000000001</v>
      </c>
      <c r="DY157">
        <v>894.7</v>
      </c>
      <c r="DZ157">
        <v>6</v>
      </c>
      <c r="EA157">
        <v>9999</v>
      </c>
      <c r="EB157">
        <v>118.1</v>
      </c>
      <c r="EC157">
        <v>4.9716100000000001</v>
      </c>
      <c r="ED157">
        <v>1.8722099999999999</v>
      </c>
      <c r="EE157">
        <v>1.8695200000000001</v>
      </c>
      <c r="EF157">
        <v>1.87181</v>
      </c>
      <c r="EG157">
        <v>1.86964</v>
      </c>
      <c r="EH157">
        <v>1.8684400000000001</v>
      </c>
      <c r="EI157">
        <v>1.8702700000000001</v>
      </c>
      <c r="EJ157">
        <v>1.87195</v>
      </c>
      <c r="EK157">
        <v>0</v>
      </c>
      <c r="EL157">
        <v>0</v>
      </c>
      <c r="EM157">
        <v>0</v>
      </c>
      <c r="EN157">
        <v>0</v>
      </c>
      <c r="EO157" t="s">
        <v>320</v>
      </c>
      <c r="EP157" t="s">
        <v>321</v>
      </c>
      <c r="EQ157" t="s">
        <v>322</v>
      </c>
      <c r="ER157" t="s">
        <v>322</v>
      </c>
      <c r="ES157" t="s">
        <v>322</v>
      </c>
      <c r="ET157" t="s">
        <v>322</v>
      </c>
      <c r="EU157">
        <v>0</v>
      </c>
      <c r="EV157">
        <v>100</v>
      </c>
      <c r="EW157">
        <v>100</v>
      </c>
      <c r="EX157">
        <v>6.8250000000000002</v>
      </c>
      <c r="EY157">
        <v>-1.9510000000000001</v>
      </c>
      <c r="EZ157">
        <v>6.7035476190476153</v>
      </c>
      <c r="FA157">
        <v>0</v>
      </c>
      <c r="FB157">
        <v>0</v>
      </c>
      <c r="FC157">
        <v>0</v>
      </c>
      <c r="FD157">
        <v>-1.949098</v>
      </c>
      <c r="FE157">
        <v>0</v>
      </c>
      <c r="FF157">
        <v>0</v>
      </c>
      <c r="FG157">
        <v>0</v>
      </c>
      <c r="FH157">
        <v>-1</v>
      </c>
      <c r="FI157">
        <v>-1</v>
      </c>
      <c r="FJ157">
        <v>-1</v>
      </c>
      <c r="FK157">
        <v>-1</v>
      </c>
      <c r="FL157">
        <v>0.4</v>
      </c>
      <c r="FM157">
        <v>0.5</v>
      </c>
      <c r="FN157">
        <v>0.13916000000000001</v>
      </c>
      <c r="FO157">
        <v>4.99756</v>
      </c>
      <c r="FP157">
        <v>1.5979000000000001</v>
      </c>
      <c r="FQ157">
        <v>2.1105999999999998</v>
      </c>
      <c r="FR157">
        <v>1.5478499999999999</v>
      </c>
      <c r="FS157">
        <v>2.49634</v>
      </c>
      <c r="FT157">
        <v>50.0899</v>
      </c>
      <c r="FU157">
        <v>14.963800000000001</v>
      </c>
      <c r="FV157">
        <v>2</v>
      </c>
      <c r="FW157">
        <v>506.21699999999998</v>
      </c>
      <c r="FX157">
        <v>340.84399999999999</v>
      </c>
      <c r="FY157">
        <v>31.566199999999998</v>
      </c>
      <c r="FZ157">
        <v>40.653300000000002</v>
      </c>
      <c r="GA157">
        <v>29.999500000000001</v>
      </c>
      <c r="GB157">
        <v>40.808199999999999</v>
      </c>
      <c r="GC157">
        <v>40.827199999999998</v>
      </c>
      <c r="GD157">
        <v>-1</v>
      </c>
      <c r="GE157">
        <v>0</v>
      </c>
      <c r="GF157">
        <v>100</v>
      </c>
      <c r="GG157">
        <v>31.578900000000001</v>
      </c>
      <c r="GH157">
        <v>432.1</v>
      </c>
      <c r="GI157">
        <v>44.267099999999999</v>
      </c>
      <c r="GJ157">
        <v>100.511</v>
      </c>
      <c r="GK157">
        <v>95.0214</v>
      </c>
    </row>
    <row r="158" spans="1:193" x14ac:dyDescent="0.35">
      <c r="A158">
        <v>142</v>
      </c>
      <c r="B158">
        <v>1775540487.0999999</v>
      </c>
      <c r="C158">
        <v>8461</v>
      </c>
      <c r="D158" t="s">
        <v>743</v>
      </c>
      <c r="E158" t="s">
        <v>744</v>
      </c>
      <c r="F158">
        <v>60</v>
      </c>
      <c r="G158">
        <v>1775540479.099999</v>
      </c>
      <c r="H158">
        <f t="shared" si="60"/>
        <v>4.5090023185879414E-3</v>
      </c>
      <c r="I158">
        <f t="shared" si="61"/>
        <v>4.5090023185879415</v>
      </c>
      <c r="J158">
        <f t="shared" si="62"/>
        <v>-4.9472051292117634</v>
      </c>
      <c r="K158">
        <f t="shared" si="63"/>
        <v>-8.9919935483870965</v>
      </c>
      <c r="L158">
        <f t="shared" si="64"/>
        <v>71.069730470913612</v>
      </c>
      <c r="M158">
        <f t="shared" si="65"/>
        <v>7.1191419665056408</v>
      </c>
      <c r="N158">
        <f t="shared" si="66"/>
        <v>-0.90073900954316688</v>
      </c>
      <c r="O158">
        <f t="shared" si="67"/>
        <v>9.7937688663297495E-2</v>
      </c>
      <c r="P158">
        <f t="shared" si="68"/>
        <v>2.3939029965267165</v>
      </c>
      <c r="Q158">
        <f t="shared" si="69"/>
        <v>9.5764981160046364E-2</v>
      </c>
      <c r="R158">
        <f t="shared" si="70"/>
        <v>6.0044307791756811E-2</v>
      </c>
      <c r="S158">
        <f t="shared" si="71"/>
        <v>0.22687989958064522</v>
      </c>
      <c r="T158">
        <f t="shared" si="72"/>
        <v>31.731210202107576</v>
      </c>
      <c r="U158">
        <f t="shared" si="73"/>
        <v>33.224041935483868</v>
      </c>
      <c r="V158">
        <f t="shared" si="74"/>
        <v>5.1160547966284753</v>
      </c>
      <c r="W158">
        <f t="shared" si="75"/>
        <v>10.461518167075834</v>
      </c>
      <c r="X158">
        <f t="shared" si="76"/>
        <v>0.53256871953023599</v>
      </c>
      <c r="Y158">
        <f t="shared" si="77"/>
        <v>5.0907402828618107</v>
      </c>
      <c r="Z158">
        <f t="shared" si="78"/>
        <v>4.5834860770982395</v>
      </c>
      <c r="AA158">
        <f t="shared" si="79"/>
        <v>-198.84700224972821</v>
      </c>
      <c r="AB158">
        <f t="shared" si="80"/>
        <v>-11.408496371131385</v>
      </c>
      <c r="AC158">
        <f t="shared" si="81"/>
        <v>-1.0933592097084004</v>
      </c>
      <c r="AD158">
        <f t="shared" si="82"/>
        <v>-211.12197793098733</v>
      </c>
      <c r="AE158">
        <v>5</v>
      </c>
      <c r="AF158">
        <v>1</v>
      </c>
      <c r="AG158">
        <f t="shared" si="83"/>
        <v>1</v>
      </c>
      <c r="AH158">
        <f t="shared" si="84"/>
        <v>0</v>
      </c>
      <c r="AI158">
        <f t="shared" si="85"/>
        <v>25094.147869015349</v>
      </c>
      <c r="AJ158">
        <f t="shared" si="86"/>
        <v>1.187231290322581</v>
      </c>
      <c r="AK158">
        <f t="shared" si="87"/>
        <v>0.94978503225806488</v>
      </c>
      <c r="AL158">
        <f t="shared" si="88"/>
        <v>0.8</v>
      </c>
      <c r="AM158">
        <f t="shared" si="89"/>
        <v>0.19109999999999999</v>
      </c>
      <c r="AN158">
        <v>3</v>
      </c>
      <c r="AO158">
        <v>0.5</v>
      </c>
      <c r="AP158" t="s">
        <v>317</v>
      </c>
      <c r="AQ158">
        <v>2</v>
      </c>
      <c r="AR158">
        <v>1775540479.099999</v>
      </c>
      <c r="AS158">
        <v>-8.9919935483870965</v>
      </c>
      <c r="AT158">
        <v>-11.984603225806451</v>
      </c>
      <c r="AU158">
        <v>5.3165838709677411</v>
      </c>
      <c r="AV158">
        <v>2.6256022580645171</v>
      </c>
      <c r="AW158">
        <v>-15.8149935483871</v>
      </c>
      <c r="AX158">
        <v>4.5756022580645173</v>
      </c>
      <c r="AY158">
        <v>500.00674193548377</v>
      </c>
      <c r="AZ158">
        <v>100.1224838709677</v>
      </c>
      <c r="BA158">
        <v>4.8741196774193557E-2</v>
      </c>
      <c r="BB158">
        <v>33.13564516129032</v>
      </c>
      <c r="BC158">
        <v>33.224041935483868</v>
      </c>
      <c r="BD158">
        <v>999.90000000000032</v>
      </c>
      <c r="BE158">
        <v>0</v>
      </c>
      <c r="BF158">
        <v>0</v>
      </c>
      <c r="BG158">
        <v>5009</v>
      </c>
      <c r="BH158">
        <v>1.187231290322581</v>
      </c>
      <c r="BI158">
        <v>1121.3519354838711</v>
      </c>
      <c r="BJ158">
        <v>2.9948196774193541</v>
      </c>
      <c r="BK158">
        <v>-9.0134580645161311</v>
      </c>
      <c r="BL158">
        <v>-12.048658064516131</v>
      </c>
      <c r="BM158">
        <v>-2.691985806451612</v>
      </c>
      <c r="BN158">
        <v>-11.984603225806451</v>
      </c>
      <c r="BO158">
        <v>5.3165838709677411</v>
      </c>
      <c r="BP158">
        <v>0.26278122580645158</v>
      </c>
      <c r="BQ158">
        <v>0.53230951612903221</v>
      </c>
      <c r="BR158">
        <v>-11.13828064516129</v>
      </c>
      <c r="BS158">
        <v>-1.9420470967741941</v>
      </c>
      <c r="BT158">
        <v>1775540513.0999999</v>
      </c>
      <c r="BU158" t="s">
        <v>745</v>
      </c>
      <c r="BV158">
        <v>1775540506.5999999</v>
      </c>
      <c r="BW158">
        <v>1775540513.0999999</v>
      </c>
      <c r="BX158">
        <v>143</v>
      </c>
      <c r="BY158">
        <v>-3.0000000000000001E-3</v>
      </c>
      <c r="BZ158">
        <v>1E-3</v>
      </c>
      <c r="CA158">
        <v>6.8230000000000004</v>
      </c>
      <c r="CB158">
        <v>-1.95</v>
      </c>
      <c r="CC158">
        <v>-12</v>
      </c>
      <c r="CD158">
        <v>5</v>
      </c>
      <c r="CE158">
        <v>0.28000000000000003</v>
      </c>
      <c r="CF158">
        <v>0.02</v>
      </c>
      <c r="CG158">
        <v>-11.25364606557377</v>
      </c>
      <c r="CH158">
        <v>-2.4450248757271491</v>
      </c>
      <c r="CI158">
        <v>1.173521372944818</v>
      </c>
      <c r="CJ158">
        <v>-1</v>
      </c>
      <c r="CK158">
        <v>500.98022950819671</v>
      </c>
      <c r="CL158">
        <v>-7.4504769962973452</v>
      </c>
      <c r="CM158">
        <v>1.9501017492869199</v>
      </c>
      <c r="CN158">
        <v>-1</v>
      </c>
      <c r="CO158">
        <v>0</v>
      </c>
      <c r="CP158">
        <v>0</v>
      </c>
      <c r="CQ158" t="s">
        <v>319</v>
      </c>
      <c r="CR158">
        <v>3.1696300000000002</v>
      </c>
      <c r="CS158">
        <v>2.6699000000000002</v>
      </c>
      <c r="CT158">
        <v>-4.7906499999999996E-3</v>
      </c>
      <c r="CU158">
        <v>-3.54098E-3</v>
      </c>
      <c r="CV158">
        <v>3.08931E-2</v>
      </c>
      <c r="CW158">
        <v>3.4437299999999997E-2</v>
      </c>
      <c r="CX158">
        <v>21258.6</v>
      </c>
      <c r="CY158">
        <v>21699</v>
      </c>
      <c r="CZ158">
        <v>22696.7</v>
      </c>
      <c r="DA158">
        <v>21999</v>
      </c>
      <c r="DB158">
        <v>28396.400000000001</v>
      </c>
      <c r="DC158">
        <v>25276.5</v>
      </c>
      <c r="DD158">
        <v>39959.5</v>
      </c>
      <c r="DE158">
        <v>36396.800000000003</v>
      </c>
      <c r="DF158">
        <v>1.97624</v>
      </c>
      <c r="DG158">
        <v>1.5798399999999999</v>
      </c>
      <c r="DH158">
        <v>-9.4950199999999998E-2</v>
      </c>
      <c r="DI158">
        <v>0</v>
      </c>
      <c r="DJ158">
        <v>34.768999999999998</v>
      </c>
      <c r="DK158">
        <v>999.9</v>
      </c>
      <c r="DL158">
        <v>49.3</v>
      </c>
      <c r="DM158">
        <v>46.6</v>
      </c>
      <c r="DN158">
        <v>51.5246</v>
      </c>
      <c r="DO158">
        <v>30.6112</v>
      </c>
      <c r="DP158">
        <v>10.4367</v>
      </c>
      <c r="DQ158">
        <v>1</v>
      </c>
      <c r="DR158">
        <v>1.1136600000000001</v>
      </c>
      <c r="DS158">
        <v>2.448</v>
      </c>
      <c r="DT158">
        <v>20.337499999999999</v>
      </c>
      <c r="DU158">
        <v>5.2104600000000003</v>
      </c>
      <c r="DV158">
        <v>11.859</v>
      </c>
      <c r="DW158">
        <v>4.9670399999999999</v>
      </c>
      <c r="DX158">
        <v>3.2929400000000002</v>
      </c>
      <c r="DY158">
        <v>894.7</v>
      </c>
      <c r="DZ158">
        <v>6</v>
      </c>
      <c r="EA158">
        <v>9999</v>
      </c>
      <c r="EB158">
        <v>118.1</v>
      </c>
      <c r="EC158">
        <v>4.9716199999999997</v>
      </c>
      <c r="ED158">
        <v>1.87219</v>
      </c>
      <c r="EE158">
        <v>1.86951</v>
      </c>
      <c r="EF158">
        <v>1.87181</v>
      </c>
      <c r="EG158">
        <v>1.86965</v>
      </c>
      <c r="EH158">
        <v>1.8684400000000001</v>
      </c>
      <c r="EI158">
        <v>1.8702700000000001</v>
      </c>
      <c r="EJ158">
        <v>1.87195</v>
      </c>
      <c r="EK158">
        <v>0</v>
      </c>
      <c r="EL158">
        <v>0</v>
      </c>
      <c r="EM158">
        <v>0</v>
      </c>
      <c r="EN158">
        <v>0</v>
      </c>
      <c r="EO158" t="s">
        <v>320</v>
      </c>
      <c r="EP158" t="s">
        <v>321</v>
      </c>
      <c r="EQ158" t="s">
        <v>322</v>
      </c>
      <c r="ER158" t="s">
        <v>322</v>
      </c>
      <c r="ES158" t="s">
        <v>322</v>
      </c>
      <c r="ET158" t="s">
        <v>322</v>
      </c>
      <c r="EU158">
        <v>0</v>
      </c>
      <c r="EV158">
        <v>100</v>
      </c>
      <c r="EW158">
        <v>100</v>
      </c>
      <c r="EX158">
        <v>6.8230000000000004</v>
      </c>
      <c r="EY158">
        <v>-1.95</v>
      </c>
      <c r="EZ158">
        <v>6.825210000000002</v>
      </c>
      <c r="FA158">
        <v>0</v>
      </c>
      <c r="FB158">
        <v>0</v>
      </c>
      <c r="FC158">
        <v>0</v>
      </c>
      <c r="FD158">
        <v>-1.951003999999998</v>
      </c>
      <c r="FE158">
        <v>0</v>
      </c>
      <c r="FF158">
        <v>0</v>
      </c>
      <c r="FG158">
        <v>0</v>
      </c>
      <c r="FH158">
        <v>-1</v>
      </c>
      <c r="FI158">
        <v>-1</v>
      </c>
      <c r="FJ158">
        <v>-1</v>
      </c>
      <c r="FK158">
        <v>-1</v>
      </c>
      <c r="FL158">
        <v>0.7</v>
      </c>
      <c r="FM158">
        <v>0.5</v>
      </c>
      <c r="FN158">
        <v>0.13916000000000001</v>
      </c>
      <c r="FO158">
        <v>4.99634</v>
      </c>
      <c r="FP158">
        <v>1.5979000000000001</v>
      </c>
      <c r="FQ158">
        <v>2.1105999999999998</v>
      </c>
      <c r="FR158">
        <v>1.5478499999999999</v>
      </c>
      <c r="FS158">
        <v>2.49878</v>
      </c>
      <c r="FT158">
        <v>50.025700000000001</v>
      </c>
      <c r="FU158">
        <v>14.963800000000001</v>
      </c>
      <c r="FV158">
        <v>2</v>
      </c>
      <c r="FW158">
        <v>506.83199999999999</v>
      </c>
      <c r="FX158">
        <v>341.392</v>
      </c>
      <c r="FY158">
        <v>31.912800000000001</v>
      </c>
      <c r="FZ158">
        <v>40.591900000000003</v>
      </c>
      <c r="GA158">
        <v>29.998799999999999</v>
      </c>
      <c r="GB158">
        <v>40.770499999999998</v>
      </c>
      <c r="GC158">
        <v>40.789200000000001</v>
      </c>
      <c r="GD158">
        <v>-1</v>
      </c>
      <c r="GE158">
        <v>0</v>
      </c>
      <c r="GF158">
        <v>100</v>
      </c>
      <c r="GG158">
        <v>31.975999999999999</v>
      </c>
      <c r="GH158">
        <v>432.1</v>
      </c>
      <c r="GI158">
        <v>44.267099999999999</v>
      </c>
      <c r="GJ158">
        <v>100.52</v>
      </c>
      <c r="GK158">
        <v>95.033000000000001</v>
      </c>
    </row>
    <row r="159" spans="1:193" x14ac:dyDescent="0.35">
      <c r="A159">
        <v>143</v>
      </c>
      <c r="B159">
        <v>1775540547.0999999</v>
      </c>
      <c r="C159">
        <v>8521</v>
      </c>
      <c r="D159" t="s">
        <v>746</v>
      </c>
      <c r="E159" t="s">
        <v>747</v>
      </c>
      <c r="F159">
        <v>60</v>
      </c>
      <c r="G159">
        <v>1775540539.099999</v>
      </c>
      <c r="H159">
        <f t="shared" si="60"/>
        <v>3.4167666954672995E-3</v>
      </c>
      <c r="I159">
        <f t="shared" si="61"/>
        <v>3.4167666954672997</v>
      </c>
      <c r="J159">
        <f t="shared" si="62"/>
        <v>-2.9427052975495673</v>
      </c>
      <c r="K159">
        <f t="shared" si="63"/>
        <v>-10.412903225806449</v>
      </c>
      <c r="L159">
        <f t="shared" si="64"/>
        <v>53.053926404522223</v>
      </c>
      <c r="M159">
        <f t="shared" si="65"/>
        <v>5.3141996165374925</v>
      </c>
      <c r="N159">
        <f t="shared" si="66"/>
        <v>-1.0430188692859099</v>
      </c>
      <c r="O159">
        <f t="shared" si="67"/>
        <v>7.3404450399305959E-2</v>
      </c>
      <c r="P159">
        <f t="shared" si="68"/>
        <v>2.3912092324720806</v>
      </c>
      <c r="Q159">
        <f t="shared" si="69"/>
        <v>7.2175213909835126E-2</v>
      </c>
      <c r="R159">
        <f t="shared" si="70"/>
        <v>4.5218236050809692E-2</v>
      </c>
      <c r="S159">
        <f t="shared" si="71"/>
        <v>0.21437450051612902</v>
      </c>
      <c r="T159">
        <f t="shared" si="72"/>
        <v>32.106706999241361</v>
      </c>
      <c r="U159">
        <f t="shared" si="73"/>
        <v>33.300377419354852</v>
      </c>
      <c r="V159">
        <f t="shared" si="74"/>
        <v>5.1380033205202373</v>
      </c>
      <c r="W159">
        <f t="shared" si="75"/>
        <v>10.396382093102579</v>
      </c>
      <c r="X159">
        <f t="shared" si="76"/>
        <v>0.53032488278520407</v>
      </c>
      <c r="Y159">
        <f t="shared" si="77"/>
        <v>5.101052251023412</v>
      </c>
      <c r="Z159">
        <f t="shared" si="78"/>
        <v>4.6076784377350331</v>
      </c>
      <c r="AA159">
        <f t="shared" si="79"/>
        <v>-150.67941127010792</v>
      </c>
      <c r="AB159">
        <f t="shared" si="80"/>
        <v>-16.588433063568939</v>
      </c>
      <c r="AC159">
        <f t="shared" si="81"/>
        <v>-1.5924577101198774</v>
      </c>
      <c r="AD159">
        <f t="shared" si="82"/>
        <v>-168.64592754328061</v>
      </c>
      <c r="AE159">
        <v>5</v>
      </c>
      <c r="AF159">
        <v>1</v>
      </c>
      <c r="AG159">
        <f t="shared" si="83"/>
        <v>1</v>
      </c>
      <c r="AH159">
        <f t="shared" si="84"/>
        <v>0</v>
      </c>
      <c r="AI159">
        <f t="shared" si="85"/>
        <v>25051.232156943413</v>
      </c>
      <c r="AJ159">
        <f t="shared" si="86"/>
        <v>1.1217922580645161</v>
      </c>
      <c r="AK159">
        <f t="shared" si="87"/>
        <v>0.89743380645161297</v>
      </c>
      <c r="AL159">
        <f t="shared" si="88"/>
        <v>0.8</v>
      </c>
      <c r="AM159">
        <f t="shared" si="89"/>
        <v>0.19109999999999999</v>
      </c>
      <c r="AN159">
        <v>3</v>
      </c>
      <c r="AO159">
        <v>0.5</v>
      </c>
      <c r="AP159" t="s">
        <v>317</v>
      </c>
      <c r="AQ159">
        <v>2</v>
      </c>
      <c r="AR159">
        <v>1775540539.099999</v>
      </c>
      <c r="AS159">
        <v>-10.412903225806449</v>
      </c>
      <c r="AT159">
        <v>-12.19990322580645</v>
      </c>
      <c r="AU159">
        <v>5.2944599999999999</v>
      </c>
      <c r="AV159">
        <v>3.2552200000000009</v>
      </c>
      <c r="AW159">
        <v>-17.232903225806449</v>
      </c>
      <c r="AX159">
        <v>5.2012200000000011</v>
      </c>
      <c r="AY159">
        <v>499.99167741935491</v>
      </c>
      <c r="AZ159">
        <v>100.11725806451609</v>
      </c>
      <c r="BA159">
        <v>4.8742393548387102E-2</v>
      </c>
      <c r="BB159">
        <v>33.171700000000001</v>
      </c>
      <c r="BC159">
        <v>33.300377419354852</v>
      </c>
      <c r="BD159">
        <v>999.90000000000032</v>
      </c>
      <c r="BE159">
        <v>0</v>
      </c>
      <c r="BF159">
        <v>0</v>
      </c>
      <c r="BG159">
        <v>5002.322580645161</v>
      </c>
      <c r="BH159">
        <v>1.1217922580645161</v>
      </c>
      <c r="BI159">
        <v>1081.5739677419349</v>
      </c>
      <c r="BJ159">
        <v>1.7896087096774189</v>
      </c>
      <c r="BK159">
        <v>-10.44425161290323</v>
      </c>
      <c r="BL159">
        <v>-12.26483548387097</v>
      </c>
      <c r="BM159">
        <v>-2.0431029032258059</v>
      </c>
      <c r="BN159">
        <v>-12.19990322580645</v>
      </c>
      <c r="BO159">
        <v>5.2944599999999999</v>
      </c>
      <c r="BP159">
        <v>0.3255168387096774</v>
      </c>
      <c r="BQ159">
        <v>0.53006658064516132</v>
      </c>
      <c r="BR159">
        <v>-8.4247945161290332</v>
      </c>
      <c r="BS159">
        <v>-1.9992367741935491</v>
      </c>
      <c r="BT159">
        <v>1775540574.0999999</v>
      </c>
      <c r="BU159" t="s">
        <v>748</v>
      </c>
      <c r="BV159">
        <v>1775540565.0999999</v>
      </c>
      <c r="BW159">
        <v>1775540574.0999999</v>
      </c>
      <c r="BX159">
        <v>144</v>
      </c>
      <c r="BY159">
        <v>-2E-3</v>
      </c>
      <c r="BZ159">
        <v>4.0000000000000001E-3</v>
      </c>
      <c r="CA159">
        <v>6.82</v>
      </c>
      <c r="CB159">
        <v>-1.946</v>
      </c>
      <c r="CC159">
        <v>-12</v>
      </c>
      <c r="CD159">
        <v>5</v>
      </c>
      <c r="CE159">
        <v>0.19</v>
      </c>
      <c r="CF159">
        <v>0.04</v>
      </c>
      <c r="CG159">
        <v>-12.22853606557377</v>
      </c>
      <c r="CH159">
        <v>0.22968038075094971</v>
      </c>
      <c r="CI159">
        <v>4.7134853738813133E-2</v>
      </c>
      <c r="CJ159">
        <v>-1</v>
      </c>
      <c r="CK159">
        <v>500.86181967213099</v>
      </c>
      <c r="CL159">
        <v>-8.4204717080916875</v>
      </c>
      <c r="CM159">
        <v>1.843229920886797</v>
      </c>
      <c r="CN159">
        <v>-1</v>
      </c>
      <c r="CO159">
        <v>0</v>
      </c>
      <c r="CP159">
        <v>0</v>
      </c>
      <c r="CQ159" t="s">
        <v>319</v>
      </c>
      <c r="CR159">
        <v>3.1695700000000002</v>
      </c>
      <c r="CS159">
        <v>2.6701600000000001</v>
      </c>
      <c r="CT159">
        <v>-4.9651900000000004E-3</v>
      </c>
      <c r="CU159">
        <v>-3.4926900000000001E-3</v>
      </c>
      <c r="CV159">
        <v>3.4354099999999999E-2</v>
      </c>
      <c r="CW159">
        <v>3.4274699999999998E-2</v>
      </c>
      <c r="CX159">
        <v>21267.3</v>
      </c>
      <c r="CY159">
        <v>21703.4</v>
      </c>
      <c r="CZ159">
        <v>22701.599999999999</v>
      </c>
      <c r="DA159">
        <v>22004.2</v>
      </c>
      <c r="DB159">
        <v>28300.799999999999</v>
      </c>
      <c r="DC159">
        <v>25287.1</v>
      </c>
      <c r="DD159">
        <v>39967.4</v>
      </c>
      <c r="DE159">
        <v>36405.599999999999</v>
      </c>
      <c r="DF159">
        <v>1.9782999999999999</v>
      </c>
      <c r="DG159">
        <v>1.58192</v>
      </c>
      <c r="DH159">
        <v>-7.4517700000000006E-2</v>
      </c>
      <c r="DI159">
        <v>0</v>
      </c>
      <c r="DJ159">
        <v>34.524500000000003</v>
      </c>
      <c r="DK159">
        <v>999.9</v>
      </c>
      <c r="DL159">
        <v>49.4</v>
      </c>
      <c r="DM159">
        <v>46.6</v>
      </c>
      <c r="DN159">
        <v>51.623199999999997</v>
      </c>
      <c r="DO159">
        <v>30.7012</v>
      </c>
      <c r="DP159">
        <v>10.3446</v>
      </c>
      <c r="DQ159">
        <v>1</v>
      </c>
      <c r="DR159">
        <v>1.09816</v>
      </c>
      <c r="DS159">
        <v>2.0153500000000002</v>
      </c>
      <c r="DT159">
        <v>20.3445</v>
      </c>
      <c r="DU159">
        <v>5.2073499999999999</v>
      </c>
      <c r="DV159">
        <v>11.856999999999999</v>
      </c>
      <c r="DW159">
        <v>4.9666399999999999</v>
      </c>
      <c r="DX159">
        <v>3.29244</v>
      </c>
      <c r="DY159">
        <v>894.7</v>
      </c>
      <c r="DZ159">
        <v>6</v>
      </c>
      <c r="EA159">
        <v>9999</v>
      </c>
      <c r="EB159">
        <v>118.1</v>
      </c>
      <c r="EC159">
        <v>4.9715999999999996</v>
      </c>
      <c r="ED159">
        <v>1.8721699999999999</v>
      </c>
      <c r="EE159">
        <v>1.8695200000000001</v>
      </c>
      <c r="EF159">
        <v>1.8717999999999999</v>
      </c>
      <c r="EG159">
        <v>1.8696600000000001</v>
      </c>
      <c r="EH159">
        <v>1.8684400000000001</v>
      </c>
      <c r="EI159">
        <v>1.8702700000000001</v>
      </c>
      <c r="EJ159">
        <v>1.8719600000000001</v>
      </c>
      <c r="EK159">
        <v>0</v>
      </c>
      <c r="EL159">
        <v>0</v>
      </c>
      <c r="EM159">
        <v>0</v>
      </c>
      <c r="EN159">
        <v>0</v>
      </c>
      <c r="EO159" t="s">
        <v>320</v>
      </c>
      <c r="EP159" t="s">
        <v>321</v>
      </c>
      <c r="EQ159" t="s">
        <v>322</v>
      </c>
      <c r="ER159" t="s">
        <v>322</v>
      </c>
      <c r="ES159" t="s">
        <v>322</v>
      </c>
      <c r="ET159" t="s">
        <v>322</v>
      </c>
      <c r="EU159">
        <v>0</v>
      </c>
      <c r="EV159">
        <v>100</v>
      </c>
      <c r="EW159">
        <v>100</v>
      </c>
      <c r="EX159">
        <v>6.82</v>
      </c>
      <c r="EY159">
        <v>-1.946</v>
      </c>
      <c r="EZ159">
        <v>6.8226000000000013</v>
      </c>
      <c r="FA159">
        <v>0</v>
      </c>
      <c r="FB159">
        <v>0</v>
      </c>
      <c r="FC159">
        <v>0</v>
      </c>
      <c r="FD159">
        <v>-1.9498634999999991</v>
      </c>
      <c r="FE159">
        <v>0</v>
      </c>
      <c r="FF159">
        <v>0</v>
      </c>
      <c r="FG159">
        <v>0</v>
      </c>
      <c r="FH159">
        <v>-1</v>
      </c>
      <c r="FI159">
        <v>-1</v>
      </c>
      <c r="FJ159">
        <v>-1</v>
      </c>
      <c r="FK159">
        <v>-1</v>
      </c>
      <c r="FL159">
        <v>0.7</v>
      </c>
      <c r="FM159">
        <v>0.6</v>
      </c>
      <c r="FN159">
        <v>0.13916000000000001</v>
      </c>
      <c r="FO159">
        <v>4.99756</v>
      </c>
      <c r="FP159">
        <v>1.5979000000000001</v>
      </c>
      <c r="FQ159">
        <v>2.1105999999999998</v>
      </c>
      <c r="FR159">
        <v>1.5478499999999999</v>
      </c>
      <c r="FS159">
        <v>2.52441</v>
      </c>
      <c r="FT159">
        <v>49.961599999999997</v>
      </c>
      <c r="FU159">
        <v>14.9726</v>
      </c>
      <c r="FV159">
        <v>2</v>
      </c>
      <c r="FW159">
        <v>507.52800000000002</v>
      </c>
      <c r="FX159">
        <v>342.12200000000001</v>
      </c>
      <c r="FY159">
        <v>32.415500000000002</v>
      </c>
      <c r="FZ159">
        <v>40.466099999999997</v>
      </c>
      <c r="GA159">
        <v>29.998899999999999</v>
      </c>
      <c r="GB159">
        <v>40.680999999999997</v>
      </c>
      <c r="GC159">
        <v>40.703499999999998</v>
      </c>
      <c r="GD159">
        <v>-1</v>
      </c>
      <c r="GE159">
        <v>0</v>
      </c>
      <c r="GF159">
        <v>100</v>
      </c>
      <c r="GG159">
        <v>32.426000000000002</v>
      </c>
      <c r="GH159">
        <v>432.1</v>
      </c>
      <c r="GI159">
        <v>44.267099999999999</v>
      </c>
      <c r="GJ159">
        <v>100.54</v>
      </c>
      <c r="GK159">
        <v>95.055599999999998</v>
      </c>
    </row>
    <row r="160" spans="1:193" x14ac:dyDescent="0.35">
      <c r="A160">
        <v>144</v>
      </c>
      <c r="B160">
        <v>1775540607.0999999</v>
      </c>
      <c r="C160">
        <v>8581</v>
      </c>
      <c r="D160" t="s">
        <v>749</v>
      </c>
      <c r="E160" t="s">
        <v>750</v>
      </c>
      <c r="F160">
        <v>60</v>
      </c>
      <c r="G160">
        <v>1775540599.099999</v>
      </c>
      <c r="H160">
        <f t="shared" si="60"/>
        <v>3.8712398153941587E-3</v>
      </c>
      <c r="I160">
        <f t="shared" si="61"/>
        <v>3.8712398153941585</v>
      </c>
      <c r="J160">
        <f t="shared" si="62"/>
        <v>-3.2025206522516125</v>
      </c>
      <c r="K160">
        <f t="shared" si="63"/>
        <v>-9.9661032258064495</v>
      </c>
      <c r="L160">
        <f t="shared" si="64"/>
        <v>50.685141735050593</v>
      </c>
      <c r="M160">
        <f t="shared" si="65"/>
        <v>5.076595482154489</v>
      </c>
      <c r="N160">
        <f t="shared" si="66"/>
        <v>-0.99819933177432196</v>
      </c>
      <c r="O160">
        <f t="shared" si="67"/>
        <v>8.3776841579417546E-2</v>
      </c>
      <c r="P160">
        <f t="shared" si="68"/>
        <v>2.3895759265991652</v>
      </c>
      <c r="Q160">
        <f t="shared" si="69"/>
        <v>8.2178671782788315E-2</v>
      </c>
      <c r="R160">
        <f t="shared" si="70"/>
        <v>5.1502719733235558E-2</v>
      </c>
      <c r="S160">
        <f t="shared" si="71"/>
        <v>0.22935932961290323</v>
      </c>
      <c r="T160">
        <f t="shared" si="72"/>
        <v>31.945646447812603</v>
      </c>
      <c r="U160">
        <f t="shared" si="73"/>
        <v>33.217454838709671</v>
      </c>
      <c r="V160">
        <f t="shared" si="74"/>
        <v>5.1141646562639567</v>
      </c>
      <c r="W160">
        <f t="shared" si="75"/>
        <v>10.377423236634947</v>
      </c>
      <c r="X160">
        <f t="shared" si="76"/>
        <v>0.52880740853170793</v>
      </c>
      <c r="Y160">
        <f t="shared" si="77"/>
        <v>5.0957486889894126</v>
      </c>
      <c r="Z160">
        <f t="shared" si="78"/>
        <v>4.5853572477322491</v>
      </c>
      <c r="AA160">
        <f t="shared" si="79"/>
        <v>-170.72167585888241</v>
      </c>
      <c r="AB160">
        <f t="shared" si="80"/>
        <v>-8.282317644778102</v>
      </c>
      <c r="AC160">
        <f t="shared" si="81"/>
        <v>-0.7952346794324322</v>
      </c>
      <c r="AD160">
        <f t="shared" si="82"/>
        <v>-179.56986885348002</v>
      </c>
      <c r="AE160">
        <v>5</v>
      </c>
      <c r="AF160">
        <v>1</v>
      </c>
      <c r="AG160">
        <f t="shared" si="83"/>
        <v>1</v>
      </c>
      <c r="AH160">
        <f t="shared" si="84"/>
        <v>0</v>
      </c>
      <c r="AI160">
        <f t="shared" si="85"/>
        <v>25028.647158584921</v>
      </c>
      <c r="AJ160">
        <f t="shared" si="86"/>
        <v>1.200205806451613</v>
      </c>
      <c r="AK160">
        <f t="shared" si="87"/>
        <v>0.96016464516129041</v>
      </c>
      <c r="AL160">
        <f t="shared" si="88"/>
        <v>0.8</v>
      </c>
      <c r="AM160">
        <f t="shared" si="89"/>
        <v>0.19109999999999999</v>
      </c>
      <c r="AN160">
        <v>3</v>
      </c>
      <c r="AO160">
        <v>0.5</v>
      </c>
      <c r="AP160" t="s">
        <v>317</v>
      </c>
      <c r="AQ160">
        <v>2</v>
      </c>
      <c r="AR160">
        <v>1775540599.099999</v>
      </c>
      <c r="AS160">
        <v>-9.9661032258064495</v>
      </c>
      <c r="AT160">
        <v>-11.910725806451611</v>
      </c>
      <c r="AU160">
        <v>5.279656129032257</v>
      </c>
      <c r="AV160">
        <v>2.9692212903225799</v>
      </c>
      <c r="AW160">
        <v>-16.81210322580645</v>
      </c>
      <c r="AX160">
        <v>4.9132212903225803</v>
      </c>
      <c r="AY160">
        <v>500.00990322580662</v>
      </c>
      <c r="AZ160">
        <v>100.1108709677419</v>
      </c>
      <c r="BA160">
        <v>4.8570406451612903E-2</v>
      </c>
      <c r="BB160">
        <v>33.153164516129031</v>
      </c>
      <c r="BC160">
        <v>33.217454838709671</v>
      </c>
      <c r="BD160">
        <v>999.90000000000032</v>
      </c>
      <c r="BE160">
        <v>0</v>
      </c>
      <c r="BF160">
        <v>0</v>
      </c>
      <c r="BG160">
        <v>4998.4354838709678</v>
      </c>
      <c r="BH160">
        <v>1.200205806451613</v>
      </c>
      <c r="BI160">
        <v>1233.60064516129</v>
      </c>
      <c r="BJ160">
        <v>1.919014516129032</v>
      </c>
      <c r="BK160">
        <v>-10.021450645161289</v>
      </c>
      <c r="BL160">
        <v>-11.973938709677419</v>
      </c>
      <c r="BM160">
        <v>-2.3125296774193549</v>
      </c>
      <c r="BN160">
        <v>-11.910725806451611</v>
      </c>
      <c r="BO160">
        <v>5.279656129032257</v>
      </c>
      <c r="BP160">
        <v>0.29704177419354838</v>
      </c>
      <c r="BQ160">
        <v>0.52855109677419354</v>
      </c>
      <c r="BR160">
        <v>-9.592928387096773</v>
      </c>
      <c r="BS160">
        <v>-2.0379961290322579</v>
      </c>
      <c r="BT160">
        <v>1775540632.0999999</v>
      </c>
      <c r="BU160" t="s">
        <v>751</v>
      </c>
      <c r="BV160">
        <v>1775540625.0999999</v>
      </c>
      <c r="BW160">
        <v>1775540632.0999999</v>
      </c>
      <c r="BX160">
        <v>145</v>
      </c>
      <c r="BY160">
        <v>2.5000000000000001E-2</v>
      </c>
      <c r="BZ160">
        <v>2E-3</v>
      </c>
      <c r="CA160">
        <v>6.8460000000000001</v>
      </c>
      <c r="CB160">
        <v>-1.944</v>
      </c>
      <c r="CC160">
        <v>-12</v>
      </c>
      <c r="CD160">
        <v>5</v>
      </c>
      <c r="CE160">
        <v>0.26</v>
      </c>
      <c r="CF160">
        <v>0.03</v>
      </c>
      <c r="CG160">
        <v>-11.90184833333333</v>
      </c>
      <c r="CH160">
        <v>-0.1097088080022624</v>
      </c>
      <c r="CI160">
        <v>2.3221365820200009E-2</v>
      </c>
      <c r="CJ160">
        <v>-1</v>
      </c>
      <c r="CK160">
        <v>500.87638333333331</v>
      </c>
      <c r="CL160">
        <v>-8.6475387607653698</v>
      </c>
      <c r="CM160">
        <v>1.864878826194587</v>
      </c>
      <c r="CN160">
        <v>-1</v>
      </c>
      <c r="CO160">
        <v>0</v>
      </c>
      <c r="CP160">
        <v>0</v>
      </c>
      <c r="CQ160" t="s">
        <v>319</v>
      </c>
      <c r="CR160">
        <v>3.1694900000000001</v>
      </c>
      <c r="CS160">
        <v>2.6693500000000001</v>
      </c>
      <c r="CT160">
        <v>-4.8616299999999996E-3</v>
      </c>
      <c r="CU160">
        <v>-3.4428599999999998E-3</v>
      </c>
      <c r="CV160">
        <v>3.2808900000000002E-2</v>
      </c>
      <c r="CW160">
        <v>3.4225199999999997E-2</v>
      </c>
      <c r="CX160">
        <v>21272.7</v>
      </c>
      <c r="CY160">
        <v>21709.5</v>
      </c>
      <c r="CZ160">
        <v>22709.1</v>
      </c>
      <c r="DA160">
        <v>22011</v>
      </c>
      <c r="DB160">
        <v>28355</v>
      </c>
      <c r="DC160">
        <v>25297.1</v>
      </c>
      <c r="DD160">
        <v>39979.599999999999</v>
      </c>
      <c r="DE160">
        <v>36417.800000000003</v>
      </c>
      <c r="DF160">
        <v>1.97922</v>
      </c>
      <c r="DG160">
        <v>1.58484</v>
      </c>
      <c r="DH160">
        <v>-6.9767200000000001E-2</v>
      </c>
      <c r="DI160">
        <v>0</v>
      </c>
      <c r="DJ160">
        <v>34.360500000000002</v>
      </c>
      <c r="DK160">
        <v>999.9</v>
      </c>
      <c r="DL160">
        <v>49.5</v>
      </c>
      <c r="DM160">
        <v>46.5</v>
      </c>
      <c r="DN160">
        <v>51.4724</v>
      </c>
      <c r="DO160">
        <v>30.641200000000001</v>
      </c>
      <c r="DP160">
        <v>10.584899999999999</v>
      </c>
      <c r="DQ160">
        <v>1</v>
      </c>
      <c r="DR160">
        <v>1.08297</v>
      </c>
      <c r="DS160">
        <v>2.1282999999999999</v>
      </c>
      <c r="DT160">
        <v>20.342600000000001</v>
      </c>
      <c r="DU160">
        <v>5.2065099999999997</v>
      </c>
      <c r="DV160">
        <v>11.856999999999999</v>
      </c>
      <c r="DW160">
        <v>4.9660799999999998</v>
      </c>
      <c r="DX160">
        <v>3.2924600000000002</v>
      </c>
      <c r="DY160">
        <v>894.7</v>
      </c>
      <c r="DZ160">
        <v>6</v>
      </c>
      <c r="EA160">
        <v>9999</v>
      </c>
      <c r="EB160">
        <v>118.1</v>
      </c>
      <c r="EC160">
        <v>4.9716100000000001</v>
      </c>
      <c r="ED160">
        <v>1.87218</v>
      </c>
      <c r="EE160">
        <v>1.8695200000000001</v>
      </c>
      <c r="EF160">
        <v>1.87181</v>
      </c>
      <c r="EG160">
        <v>1.8696600000000001</v>
      </c>
      <c r="EH160">
        <v>1.8684400000000001</v>
      </c>
      <c r="EI160">
        <v>1.8702700000000001</v>
      </c>
      <c r="EJ160">
        <v>1.87195</v>
      </c>
      <c r="EK160">
        <v>0</v>
      </c>
      <c r="EL160">
        <v>0</v>
      </c>
      <c r="EM160">
        <v>0</v>
      </c>
      <c r="EN160">
        <v>0</v>
      </c>
      <c r="EO160" t="s">
        <v>320</v>
      </c>
      <c r="EP160" t="s">
        <v>321</v>
      </c>
      <c r="EQ160" t="s">
        <v>322</v>
      </c>
      <c r="ER160" t="s">
        <v>322</v>
      </c>
      <c r="ES160" t="s">
        <v>322</v>
      </c>
      <c r="ET160" t="s">
        <v>322</v>
      </c>
      <c r="EU160">
        <v>0</v>
      </c>
      <c r="EV160">
        <v>100</v>
      </c>
      <c r="EW160">
        <v>100</v>
      </c>
      <c r="EX160">
        <v>6.8460000000000001</v>
      </c>
      <c r="EY160">
        <v>-1.944</v>
      </c>
      <c r="EZ160">
        <v>6.8203950000000004</v>
      </c>
      <c r="FA160">
        <v>0</v>
      </c>
      <c r="FB160">
        <v>0</v>
      </c>
      <c r="FC160">
        <v>0</v>
      </c>
      <c r="FD160">
        <v>-1.946092999999999</v>
      </c>
      <c r="FE160">
        <v>0</v>
      </c>
      <c r="FF160">
        <v>0</v>
      </c>
      <c r="FG160">
        <v>0</v>
      </c>
      <c r="FH160">
        <v>-1</v>
      </c>
      <c r="FI160">
        <v>-1</v>
      </c>
      <c r="FJ160">
        <v>-1</v>
      </c>
      <c r="FK160">
        <v>-1</v>
      </c>
      <c r="FL160">
        <v>0.7</v>
      </c>
      <c r="FM160">
        <v>0.6</v>
      </c>
      <c r="FN160">
        <v>0.13916000000000001</v>
      </c>
      <c r="FO160">
        <v>4.99756</v>
      </c>
      <c r="FP160">
        <v>1.5979000000000001</v>
      </c>
      <c r="FQ160">
        <v>2.1093799999999998</v>
      </c>
      <c r="FR160">
        <v>1.5478499999999999</v>
      </c>
      <c r="FS160">
        <v>2.47803</v>
      </c>
      <c r="FT160">
        <v>49.897599999999997</v>
      </c>
      <c r="FU160">
        <v>14.9551</v>
      </c>
      <c r="FV160">
        <v>2</v>
      </c>
      <c r="FW160">
        <v>507.30900000000003</v>
      </c>
      <c r="FX160">
        <v>343.20600000000002</v>
      </c>
      <c r="FY160">
        <v>32.164200000000001</v>
      </c>
      <c r="FZ160">
        <v>40.308100000000003</v>
      </c>
      <c r="GA160">
        <v>29.998999999999999</v>
      </c>
      <c r="GB160">
        <v>40.561300000000003</v>
      </c>
      <c r="GC160">
        <v>40.596600000000002</v>
      </c>
      <c r="GD160">
        <v>-1</v>
      </c>
      <c r="GE160">
        <v>0</v>
      </c>
      <c r="GF160">
        <v>100</v>
      </c>
      <c r="GG160">
        <v>32.198300000000003</v>
      </c>
      <c r="GH160">
        <v>432.1</v>
      </c>
      <c r="GI160">
        <v>44.267099999999999</v>
      </c>
      <c r="GJ160">
        <v>100.571</v>
      </c>
      <c r="GK160">
        <v>95.086699999999993</v>
      </c>
    </row>
    <row r="161" spans="1:193" x14ac:dyDescent="0.35">
      <c r="A161">
        <v>145</v>
      </c>
      <c r="B161">
        <v>1775540667.0999999</v>
      </c>
      <c r="C161">
        <v>8641</v>
      </c>
      <c r="D161" t="s">
        <v>752</v>
      </c>
      <c r="E161" t="s">
        <v>753</v>
      </c>
      <c r="F161">
        <v>60</v>
      </c>
      <c r="G161">
        <v>1775540659.099999</v>
      </c>
      <c r="H161">
        <f t="shared" si="60"/>
        <v>3.5379492600926413E-3</v>
      </c>
      <c r="I161">
        <f t="shared" si="61"/>
        <v>3.5379492600926414</v>
      </c>
      <c r="J161">
        <f t="shared" si="62"/>
        <v>-2.9703809201534144</v>
      </c>
      <c r="K161">
        <f t="shared" si="63"/>
        <v>-10.07359032258065</v>
      </c>
      <c r="L161">
        <f t="shared" si="64"/>
        <v>51.692130670272071</v>
      </c>
      <c r="M161">
        <f t="shared" si="65"/>
        <v>5.1772310237440413</v>
      </c>
      <c r="N161">
        <f t="shared" si="66"/>
        <v>-1.008921544968264</v>
      </c>
      <c r="O161">
        <f t="shared" si="67"/>
        <v>7.6174027229581373E-2</v>
      </c>
      <c r="P161">
        <f t="shared" si="68"/>
        <v>2.3919119188159002</v>
      </c>
      <c r="Q161">
        <f t="shared" si="69"/>
        <v>7.4851564126404521E-2</v>
      </c>
      <c r="R161">
        <f t="shared" si="70"/>
        <v>4.6899133234014873E-2</v>
      </c>
      <c r="S161">
        <f t="shared" si="71"/>
        <v>0.23488551009677422</v>
      </c>
      <c r="T161">
        <f t="shared" si="72"/>
        <v>32.092456565219422</v>
      </c>
      <c r="U161">
        <f t="shared" si="73"/>
        <v>33.276454838709682</v>
      </c>
      <c r="V161">
        <f t="shared" si="74"/>
        <v>5.1311161330758033</v>
      </c>
      <c r="W161">
        <f t="shared" si="75"/>
        <v>10.395677952141799</v>
      </c>
      <c r="X161">
        <f t="shared" si="76"/>
        <v>0.53097716088809732</v>
      </c>
      <c r="Y161">
        <f t="shared" si="77"/>
        <v>5.1076722781576862</v>
      </c>
      <c r="Z161">
        <f t="shared" si="78"/>
        <v>4.6001389721877057</v>
      </c>
      <c r="AA161">
        <f t="shared" si="79"/>
        <v>-156.02356237008547</v>
      </c>
      <c r="AB161">
        <f t="shared" si="80"/>
        <v>-10.527952534155899</v>
      </c>
      <c r="AC161">
        <f t="shared" si="81"/>
        <v>-1.0103622782942823</v>
      </c>
      <c r="AD161">
        <f t="shared" si="82"/>
        <v>-167.32699167243888</v>
      </c>
      <c r="AE161">
        <v>5</v>
      </c>
      <c r="AF161">
        <v>1</v>
      </c>
      <c r="AG161">
        <f t="shared" si="83"/>
        <v>1</v>
      </c>
      <c r="AH161">
        <f t="shared" si="84"/>
        <v>0</v>
      </c>
      <c r="AI161">
        <f t="shared" si="85"/>
        <v>25060.216971978109</v>
      </c>
      <c r="AJ161">
        <f t="shared" si="86"/>
        <v>1.229123548387097</v>
      </c>
      <c r="AK161">
        <f t="shared" si="87"/>
        <v>0.98329883870967771</v>
      </c>
      <c r="AL161">
        <f t="shared" si="88"/>
        <v>0.8</v>
      </c>
      <c r="AM161">
        <f t="shared" si="89"/>
        <v>0.19109999999999999</v>
      </c>
      <c r="AN161">
        <v>3</v>
      </c>
      <c r="AO161">
        <v>0.5</v>
      </c>
      <c r="AP161" t="s">
        <v>317</v>
      </c>
      <c r="AQ161">
        <v>2</v>
      </c>
      <c r="AR161">
        <v>1775540659.099999</v>
      </c>
      <c r="AS161">
        <v>-10.07359032258065</v>
      </c>
      <c r="AT161">
        <v>-11.87723548387096</v>
      </c>
      <c r="AU161">
        <v>5.3015483870967737</v>
      </c>
      <c r="AV161">
        <v>3.189994516129032</v>
      </c>
      <c r="AW161">
        <v>-16.92259032258065</v>
      </c>
      <c r="AX161">
        <v>5.1369945161290316</v>
      </c>
      <c r="AY161">
        <v>499.99093548387089</v>
      </c>
      <c r="AZ161">
        <v>100.107</v>
      </c>
      <c r="BA161">
        <v>4.8109812903225802E-2</v>
      </c>
      <c r="BB161">
        <v>33.194812903225817</v>
      </c>
      <c r="BC161">
        <v>33.276454838709682</v>
      </c>
      <c r="BD161">
        <v>999.90000000000032</v>
      </c>
      <c r="BE161">
        <v>0</v>
      </c>
      <c r="BF161">
        <v>0</v>
      </c>
      <c r="BG161">
        <v>5004.6451612903229</v>
      </c>
      <c r="BH161">
        <v>1.229123548387097</v>
      </c>
      <c r="BI161">
        <v>1345.5419354838709</v>
      </c>
      <c r="BJ161">
        <v>1.8004429032258069</v>
      </c>
      <c r="BK161">
        <v>-10.109064516129029</v>
      </c>
      <c r="BL161">
        <v>-11.940538709677419</v>
      </c>
      <c r="BM161">
        <v>-2.1083154838709679</v>
      </c>
      <c r="BN161">
        <v>-11.87723548387096</v>
      </c>
      <c r="BO161">
        <v>5.3015483870967737</v>
      </c>
      <c r="BP161">
        <v>0.31966480645161288</v>
      </c>
      <c r="BQ161">
        <v>0.53072170967741938</v>
      </c>
      <c r="BR161">
        <v>-8.6579661290322605</v>
      </c>
      <c r="BS161">
        <v>-1.9825083870967739</v>
      </c>
      <c r="BT161">
        <v>1775540693.0999999</v>
      </c>
      <c r="BU161" t="s">
        <v>754</v>
      </c>
      <c r="BV161">
        <v>1775540685.0999999</v>
      </c>
      <c r="BW161">
        <v>1775540693.0999999</v>
      </c>
      <c r="BX161">
        <v>146</v>
      </c>
      <c r="BY161">
        <v>3.0000000000000001E-3</v>
      </c>
      <c r="BZ161">
        <v>-3.0000000000000001E-3</v>
      </c>
      <c r="CA161">
        <v>6.8490000000000002</v>
      </c>
      <c r="CB161">
        <v>-1.9470000000000001</v>
      </c>
      <c r="CC161">
        <v>-12</v>
      </c>
      <c r="CD161">
        <v>5</v>
      </c>
      <c r="CE161">
        <v>0.27</v>
      </c>
      <c r="CF161">
        <v>0.04</v>
      </c>
      <c r="CG161">
        <v>-11.882735</v>
      </c>
      <c r="CH161">
        <v>0.1009283689913924</v>
      </c>
      <c r="CI161">
        <v>4.9055573332700927E-2</v>
      </c>
      <c r="CJ161">
        <v>-1</v>
      </c>
      <c r="CK161">
        <v>500.53555000000011</v>
      </c>
      <c r="CL161">
        <v>-5.9583117532635521</v>
      </c>
      <c r="CM161">
        <v>1.517293944549527</v>
      </c>
      <c r="CN161">
        <v>-1</v>
      </c>
      <c r="CO161">
        <v>0</v>
      </c>
      <c r="CP161">
        <v>0</v>
      </c>
      <c r="CQ161" t="s">
        <v>319</v>
      </c>
      <c r="CR161">
        <v>3.16953</v>
      </c>
      <c r="CS161">
        <v>2.6692300000000002</v>
      </c>
      <c r="CT161">
        <v>-4.85937E-3</v>
      </c>
      <c r="CU161">
        <v>-3.4125900000000001E-3</v>
      </c>
      <c r="CV161">
        <v>3.3278799999999997E-2</v>
      </c>
      <c r="CW161">
        <v>3.4390700000000003E-2</v>
      </c>
      <c r="CX161">
        <v>21275.5</v>
      </c>
      <c r="CY161">
        <v>21710.9</v>
      </c>
      <c r="CZ161">
        <v>22711.8</v>
      </c>
      <c r="DA161">
        <v>22012.9</v>
      </c>
      <c r="DB161">
        <v>28344.5</v>
      </c>
      <c r="DC161">
        <v>25295.200000000001</v>
      </c>
      <c r="DD161">
        <v>39984.1</v>
      </c>
      <c r="DE161">
        <v>36421.1</v>
      </c>
      <c r="DF161">
        <v>1.9804600000000001</v>
      </c>
      <c r="DG161">
        <v>1.5844199999999999</v>
      </c>
      <c r="DH161">
        <v>-6.27577E-2</v>
      </c>
      <c r="DI161">
        <v>0</v>
      </c>
      <c r="DJ161">
        <v>34.274999999999999</v>
      </c>
      <c r="DK161">
        <v>999.9</v>
      </c>
      <c r="DL161">
        <v>49.6</v>
      </c>
      <c r="DM161">
        <v>46.4</v>
      </c>
      <c r="DN161">
        <v>51.312100000000001</v>
      </c>
      <c r="DO161">
        <v>30.5212</v>
      </c>
      <c r="DP161">
        <v>10.3446</v>
      </c>
      <c r="DQ161">
        <v>1</v>
      </c>
      <c r="DR161">
        <v>1.07647</v>
      </c>
      <c r="DS161">
        <v>2.2046600000000001</v>
      </c>
      <c r="DT161">
        <v>20.340900000000001</v>
      </c>
      <c r="DU161">
        <v>5.20723</v>
      </c>
      <c r="DV161">
        <v>11.8582</v>
      </c>
      <c r="DW161">
        <v>4.9655199999999997</v>
      </c>
      <c r="DX161">
        <v>3.2923</v>
      </c>
      <c r="DY161">
        <v>894.7</v>
      </c>
      <c r="DZ161">
        <v>6</v>
      </c>
      <c r="EA161">
        <v>9999</v>
      </c>
      <c r="EB161">
        <v>118.1</v>
      </c>
      <c r="EC161">
        <v>4.9715999999999996</v>
      </c>
      <c r="ED161">
        <v>1.87219</v>
      </c>
      <c r="EE161">
        <v>1.86951</v>
      </c>
      <c r="EF161">
        <v>1.8717999999999999</v>
      </c>
      <c r="EG161">
        <v>1.8696600000000001</v>
      </c>
      <c r="EH161">
        <v>1.8684400000000001</v>
      </c>
      <c r="EI161">
        <v>1.8702700000000001</v>
      </c>
      <c r="EJ161">
        <v>1.87195</v>
      </c>
      <c r="EK161">
        <v>0</v>
      </c>
      <c r="EL161">
        <v>0</v>
      </c>
      <c r="EM161">
        <v>0</v>
      </c>
      <c r="EN161">
        <v>0</v>
      </c>
      <c r="EO161" t="s">
        <v>320</v>
      </c>
      <c r="EP161" t="s">
        <v>321</v>
      </c>
      <c r="EQ161" t="s">
        <v>322</v>
      </c>
      <c r="ER161" t="s">
        <v>322</v>
      </c>
      <c r="ES161" t="s">
        <v>322</v>
      </c>
      <c r="ET161" t="s">
        <v>322</v>
      </c>
      <c r="EU161">
        <v>0</v>
      </c>
      <c r="EV161">
        <v>100</v>
      </c>
      <c r="EW161">
        <v>100</v>
      </c>
      <c r="EX161">
        <v>6.8490000000000002</v>
      </c>
      <c r="EY161">
        <v>-1.9470000000000001</v>
      </c>
      <c r="EZ161">
        <v>6.845804999999995</v>
      </c>
      <c r="FA161">
        <v>0</v>
      </c>
      <c r="FB161">
        <v>0</v>
      </c>
      <c r="FC161">
        <v>0</v>
      </c>
      <c r="FD161">
        <v>-1.943761500000001</v>
      </c>
      <c r="FE161">
        <v>0</v>
      </c>
      <c r="FF161">
        <v>0</v>
      </c>
      <c r="FG161">
        <v>0</v>
      </c>
      <c r="FH161">
        <v>-1</v>
      </c>
      <c r="FI161">
        <v>-1</v>
      </c>
      <c r="FJ161">
        <v>-1</v>
      </c>
      <c r="FK161">
        <v>-1</v>
      </c>
      <c r="FL161">
        <v>0.7</v>
      </c>
      <c r="FM161">
        <v>0.6</v>
      </c>
      <c r="FN161">
        <v>0.13916000000000001</v>
      </c>
      <c r="FO161">
        <v>4.99756</v>
      </c>
      <c r="FP161">
        <v>1.5979000000000001</v>
      </c>
      <c r="FQ161">
        <v>2.1093799999999998</v>
      </c>
      <c r="FR161">
        <v>1.5478499999999999</v>
      </c>
      <c r="FS161">
        <v>2.5463900000000002</v>
      </c>
      <c r="FT161">
        <v>49.897599999999997</v>
      </c>
      <c r="FU161">
        <v>14.9551</v>
      </c>
      <c r="FV161">
        <v>2</v>
      </c>
      <c r="FW161">
        <v>507.54599999999999</v>
      </c>
      <c r="FX161">
        <v>342.673</v>
      </c>
      <c r="FY161">
        <v>32.174199999999999</v>
      </c>
      <c r="FZ161">
        <v>40.203499999999998</v>
      </c>
      <c r="GA161">
        <v>29.998899999999999</v>
      </c>
      <c r="GB161">
        <v>40.4803</v>
      </c>
      <c r="GC161">
        <v>40.528599999999997</v>
      </c>
      <c r="GD161">
        <v>-1</v>
      </c>
      <c r="GE161">
        <v>0</v>
      </c>
      <c r="GF161">
        <v>100</v>
      </c>
      <c r="GG161">
        <v>32.208799999999997</v>
      </c>
      <c r="GH161">
        <v>432.1</v>
      </c>
      <c r="GI161">
        <v>44.267099999999999</v>
      </c>
      <c r="GJ161">
        <v>100.583</v>
      </c>
      <c r="GK161">
        <v>95.094899999999996</v>
      </c>
    </row>
    <row r="162" spans="1:193" x14ac:dyDescent="0.35">
      <c r="A162">
        <v>146</v>
      </c>
      <c r="B162">
        <v>1775540727.0999999</v>
      </c>
      <c r="C162">
        <v>8701</v>
      </c>
      <c r="D162" t="s">
        <v>755</v>
      </c>
      <c r="E162" t="s">
        <v>756</v>
      </c>
      <c r="F162">
        <v>60</v>
      </c>
      <c r="G162">
        <v>1775540719.099999</v>
      </c>
      <c r="H162">
        <f t="shared" si="60"/>
        <v>4.1431618548840561E-3</v>
      </c>
      <c r="I162">
        <f t="shared" si="61"/>
        <v>4.1431618548840561</v>
      </c>
      <c r="J162">
        <f t="shared" si="62"/>
        <v>-3.0014046284821529</v>
      </c>
      <c r="K162">
        <f t="shared" si="63"/>
        <v>-8.7083225806451594</v>
      </c>
      <c r="L162">
        <f t="shared" si="64"/>
        <v>44.522079971382695</v>
      </c>
      <c r="M162">
        <f t="shared" si="65"/>
        <v>4.4590296952212958</v>
      </c>
      <c r="N162">
        <f t="shared" si="66"/>
        <v>-0.87216655213821925</v>
      </c>
      <c r="O162">
        <f t="shared" si="67"/>
        <v>8.9551336427192457E-2</v>
      </c>
      <c r="P162">
        <f t="shared" si="68"/>
        <v>2.3914216559123296</v>
      </c>
      <c r="Q162">
        <f t="shared" si="69"/>
        <v>8.7729219983617199E-2</v>
      </c>
      <c r="R162">
        <f t="shared" si="70"/>
        <v>5.4991384460607473E-2</v>
      </c>
      <c r="S162">
        <f t="shared" si="71"/>
        <v>0.21745540238709674</v>
      </c>
      <c r="T162">
        <f t="shared" si="72"/>
        <v>31.943201672484335</v>
      </c>
      <c r="U162">
        <f t="shared" si="73"/>
        <v>33.269577419354853</v>
      </c>
      <c r="V162">
        <f t="shared" si="74"/>
        <v>5.1291376464800775</v>
      </c>
      <c r="W162">
        <f t="shared" si="75"/>
        <v>10.410601029356737</v>
      </c>
      <c r="X162">
        <f t="shared" si="76"/>
        <v>0.53293163419682055</v>
      </c>
      <c r="Y162">
        <f t="shared" si="77"/>
        <v>5.1191245605706399</v>
      </c>
      <c r="Z162">
        <f t="shared" si="78"/>
        <v>4.5962060122832566</v>
      </c>
      <c r="AA162">
        <f t="shared" si="79"/>
        <v>-182.71343780038688</v>
      </c>
      <c r="AB162">
        <f t="shared" si="80"/>
        <v>-4.4920426739066617</v>
      </c>
      <c r="AC162">
        <f t="shared" si="81"/>
        <v>-0.43125723205218697</v>
      </c>
      <c r="AD162">
        <f t="shared" si="82"/>
        <v>-187.41928230395865</v>
      </c>
      <c r="AE162">
        <v>5</v>
      </c>
      <c r="AF162">
        <v>1</v>
      </c>
      <c r="AG162">
        <f t="shared" si="83"/>
        <v>1</v>
      </c>
      <c r="AH162">
        <f t="shared" si="84"/>
        <v>0</v>
      </c>
      <c r="AI162">
        <f t="shared" si="85"/>
        <v>25049.771706114811</v>
      </c>
      <c r="AJ162">
        <f t="shared" si="86"/>
        <v>1.137914193548387</v>
      </c>
      <c r="AK162">
        <f t="shared" si="87"/>
        <v>0.91033135483870964</v>
      </c>
      <c r="AL162">
        <f t="shared" si="88"/>
        <v>0.8</v>
      </c>
      <c r="AM162">
        <f t="shared" si="89"/>
        <v>0.19109999999999999</v>
      </c>
      <c r="AN162">
        <v>3</v>
      </c>
      <c r="AO162">
        <v>0.5</v>
      </c>
      <c r="AP162" t="s">
        <v>317</v>
      </c>
      <c r="AQ162">
        <v>2</v>
      </c>
      <c r="AR162">
        <v>1775540719.099999</v>
      </c>
      <c r="AS162">
        <v>-8.7083225806451594</v>
      </c>
      <c r="AT162">
        <v>-10.530870967741929</v>
      </c>
      <c r="AU162">
        <v>5.321163225806453</v>
      </c>
      <c r="AV162">
        <v>2.8484158064516141</v>
      </c>
      <c r="AW162">
        <v>-15.54932258064516</v>
      </c>
      <c r="AX162">
        <v>4.7974158064516139</v>
      </c>
      <c r="AY162">
        <v>499.98419354838722</v>
      </c>
      <c r="AZ162">
        <v>100.1036774193548</v>
      </c>
      <c r="BA162">
        <v>4.9543141935483877E-2</v>
      </c>
      <c r="BB162">
        <v>33.234735483870971</v>
      </c>
      <c r="BC162">
        <v>33.269577419354853</v>
      </c>
      <c r="BD162">
        <v>999.90000000000032</v>
      </c>
      <c r="BE162">
        <v>0</v>
      </c>
      <c r="BF162">
        <v>0</v>
      </c>
      <c r="BG162">
        <v>5003.5483870967746</v>
      </c>
      <c r="BH162">
        <v>1.137914193548387</v>
      </c>
      <c r="BI162">
        <v>1065.1519354838711</v>
      </c>
      <c r="BJ162">
        <v>1.8305887096774189</v>
      </c>
      <c r="BK162">
        <v>-8.7251577419354849</v>
      </c>
      <c r="BL162">
        <v>-10.58720322580645</v>
      </c>
      <c r="BM162">
        <v>-2.470450967741936</v>
      </c>
      <c r="BN162">
        <v>-10.530870967741929</v>
      </c>
      <c r="BO162">
        <v>5.321163225806453</v>
      </c>
      <c r="BP162">
        <v>0.28536696774193548</v>
      </c>
      <c r="BQ162">
        <v>0.53266822580645157</v>
      </c>
      <c r="BR162">
        <v>-10.10209516129032</v>
      </c>
      <c r="BS162">
        <v>-1.9329209677419359</v>
      </c>
      <c r="BT162">
        <v>1775540759</v>
      </c>
      <c r="BU162" t="s">
        <v>757</v>
      </c>
      <c r="BV162">
        <v>1775540750</v>
      </c>
      <c r="BW162">
        <v>1775540759</v>
      </c>
      <c r="BX162">
        <v>147</v>
      </c>
      <c r="BY162">
        <v>-8.0000000000000002E-3</v>
      </c>
      <c r="BZ162">
        <v>-3.0000000000000001E-3</v>
      </c>
      <c r="CA162">
        <v>6.8410000000000002</v>
      </c>
      <c r="CB162">
        <v>-1.9490000000000001</v>
      </c>
      <c r="CC162">
        <v>-10</v>
      </c>
      <c r="CD162">
        <v>5</v>
      </c>
      <c r="CE162">
        <v>0.28000000000000003</v>
      </c>
      <c r="CF162">
        <v>0.03</v>
      </c>
      <c r="CG162">
        <v>-10.627806557377051</v>
      </c>
      <c r="CH162">
        <v>0.70271835007931371</v>
      </c>
      <c r="CI162">
        <v>0.14197938648447869</v>
      </c>
      <c r="CJ162">
        <v>-1</v>
      </c>
      <c r="CK162">
        <v>500.84934426229512</v>
      </c>
      <c r="CL162">
        <v>-8.5538106821791953</v>
      </c>
      <c r="CM162">
        <v>1.8731091964462021</v>
      </c>
      <c r="CN162">
        <v>-1</v>
      </c>
      <c r="CO162">
        <v>0</v>
      </c>
      <c r="CP162">
        <v>0</v>
      </c>
      <c r="CQ162" t="s">
        <v>319</v>
      </c>
      <c r="CR162">
        <v>3.1695700000000002</v>
      </c>
      <c r="CS162">
        <v>2.6702400000000002</v>
      </c>
      <c r="CT162">
        <v>-4.42209E-3</v>
      </c>
      <c r="CU162">
        <v>-2.9471100000000002E-3</v>
      </c>
      <c r="CV162">
        <v>3.12085E-2</v>
      </c>
      <c r="CW162">
        <v>3.4470000000000001E-2</v>
      </c>
      <c r="CX162">
        <v>21266</v>
      </c>
      <c r="CY162">
        <v>21699.7</v>
      </c>
      <c r="CZ162">
        <v>22711.4</v>
      </c>
      <c r="DA162">
        <v>22011.599999999999</v>
      </c>
      <c r="DB162">
        <v>28404.6</v>
      </c>
      <c r="DC162">
        <v>25292</v>
      </c>
      <c r="DD162">
        <v>39983.1</v>
      </c>
      <c r="DE162">
        <v>36419.4</v>
      </c>
      <c r="DF162">
        <v>1.9797400000000001</v>
      </c>
      <c r="DG162">
        <v>1.5837000000000001</v>
      </c>
      <c r="DH162">
        <v>-6.8557300000000002E-2</v>
      </c>
      <c r="DI162">
        <v>0</v>
      </c>
      <c r="DJ162">
        <v>34.351399999999998</v>
      </c>
      <c r="DK162">
        <v>999.9</v>
      </c>
      <c r="DL162">
        <v>49.7</v>
      </c>
      <c r="DM162">
        <v>46.4</v>
      </c>
      <c r="DN162">
        <v>51.421199999999999</v>
      </c>
      <c r="DO162">
        <v>30.2212</v>
      </c>
      <c r="DP162">
        <v>10.761200000000001</v>
      </c>
      <c r="DQ162">
        <v>1</v>
      </c>
      <c r="DR162">
        <v>1.08002</v>
      </c>
      <c r="DS162">
        <v>2.9150399999999999</v>
      </c>
      <c r="DT162">
        <v>20.327500000000001</v>
      </c>
      <c r="DU162">
        <v>5.2077099999999996</v>
      </c>
      <c r="DV162">
        <v>11.8596</v>
      </c>
      <c r="DW162">
        <v>4.9667599999999998</v>
      </c>
      <c r="DX162">
        <v>3.2924600000000002</v>
      </c>
      <c r="DY162">
        <v>894.7</v>
      </c>
      <c r="DZ162">
        <v>6</v>
      </c>
      <c r="EA162">
        <v>9999</v>
      </c>
      <c r="EB162">
        <v>118.2</v>
      </c>
      <c r="EC162">
        <v>4.97159</v>
      </c>
      <c r="ED162">
        <v>1.8721399999999999</v>
      </c>
      <c r="EE162">
        <v>1.8695200000000001</v>
      </c>
      <c r="EF162">
        <v>1.87181</v>
      </c>
      <c r="EG162">
        <v>1.86961</v>
      </c>
      <c r="EH162">
        <v>1.8684400000000001</v>
      </c>
      <c r="EI162">
        <v>1.87026</v>
      </c>
      <c r="EJ162">
        <v>1.87195</v>
      </c>
      <c r="EK162">
        <v>0</v>
      </c>
      <c r="EL162">
        <v>0</v>
      </c>
      <c r="EM162">
        <v>0</v>
      </c>
      <c r="EN162">
        <v>0</v>
      </c>
      <c r="EO162" t="s">
        <v>320</v>
      </c>
      <c r="EP162" t="s">
        <v>321</v>
      </c>
      <c r="EQ162" t="s">
        <v>322</v>
      </c>
      <c r="ER162" t="s">
        <v>322</v>
      </c>
      <c r="ES162" t="s">
        <v>322</v>
      </c>
      <c r="ET162" t="s">
        <v>322</v>
      </c>
      <c r="EU162">
        <v>0</v>
      </c>
      <c r="EV162">
        <v>100</v>
      </c>
      <c r="EW162">
        <v>100</v>
      </c>
      <c r="EX162">
        <v>6.8410000000000002</v>
      </c>
      <c r="EY162">
        <v>-1.9490000000000001</v>
      </c>
      <c r="EZ162">
        <v>6.8490449999999976</v>
      </c>
      <c r="FA162">
        <v>0</v>
      </c>
      <c r="FB162">
        <v>0</v>
      </c>
      <c r="FC162">
        <v>0</v>
      </c>
      <c r="FD162">
        <v>-1.9467030000000001</v>
      </c>
      <c r="FE162">
        <v>0</v>
      </c>
      <c r="FF162">
        <v>0</v>
      </c>
      <c r="FG162">
        <v>0</v>
      </c>
      <c r="FH162">
        <v>-1</v>
      </c>
      <c r="FI162">
        <v>-1</v>
      </c>
      <c r="FJ162">
        <v>-1</v>
      </c>
      <c r="FK162">
        <v>-1</v>
      </c>
      <c r="FL162">
        <v>0.7</v>
      </c>
      <c r="FM162">
        <v>0.6</v>
      </c>
      <c r="FN162">
        <v>0.13916000000000001</v>
      </c>
      <c r="FO162">
        <v>4.99756</v>
      </c>
      <c r="FP162">
        <v>1.5979000000000001</v>
      </c>
      <c r="FQ162">
        <v>2.1105999999999998</v>
      </c>
      <c r="FR162">
        <v>1.5478499999999999</v>
      </c>
      <c r="FS162">
        <v>2.4389599999999998</v>
      </c>
      <c r="FT162">
        <v>49.897599999999997</v>
      </c>
      <c r="FU162">
        <v>14.9376</v>
      </c>
      <c r="FV162">
        <v>2</v>
      </c>
      <c r="FW162">
        <v>506.875</v>
      </c>
      <c r="FX162">
        <v>342.15199999999999</v>
      </c>
      <c r="FY162">
        <v>31.813700000000001</v>
      </c>
      <c r="FZ162">
        <v>40.177900000000001</v>
      </c>
      <c r="GA162">
        <v>30</v>
      </c>
      <c r="GB162">
        <v>40.447000000000003</v>
      </c>
      <c r="GC162">
        <v>40.498699999999999</v>
      </c>
      <c r="GD162">
        <v>-1</v>
      </c>
      <c r="GE162">
        <v>0</v>
      </c>
      <c r="GF162">
        <v>100</v>
      </c>
      <c r="GG162">
        <v>31.796299999999999</v>
      </c>
      <c r="GH162">
        <v>432.1</v>
      </c>
      <c r="GI162">
        <v>44.267099999999999</v>
      </c>
      <c r="GJ162">
        <v>100.581</v>
      </c>
      <c r="GK162">
        <v>95.090299999999999</v>
      </c>
    </row>
    <row r="163" spans="1:193" x14ac:dyDescent="0.35">
      <c r="A163">
        <v>147</v>
      </c>
      <c r="B163">
        <v>1775540787.5</v>
      </c>
      <c r="C163">
        <v>8761.4000000953674</v>
      </c>
      <c r="D163" t="s">
        <v>758</v>
      </c>
      <c r="E163" t="s">
        <v>759</v>
      </c>
      <c r="F163">
        <v>60</v>
      </c>
      <c r="G163">
        <v>1775540779.75</v>
      </c>
      <c r="H163">
        <f t="shared" si="60"/>
        <v>3.986834362642416E-3</v>
      </c>
      <c r="I163">
        <f t="shared" si="61"/>
        <v>3.9868343626424156</v>
      </c>
      <c r="J163">
        <f t="shared" si="62"/>
        <v>-2.6922768800720851</v>
      </c>
      <c r="K163">
        <f t="shared" si="63"/>
        <v>-8.0657333333333341</v>
      </c>
      <c r="L163">
        <f t="shared" si="64"/>
        <v>41.436970111523713</v>
      </c>
      <c r="M163">
        <f t="shared" si="65"/>
        <v>4.1497834839602863</v>
      </c>
      <c r="N163">
        <f t="shared" si="66"/>
        <v>-0.80775806924614502</v>
      </c>
      <c r="O163">
        <f t="shared" si="67"/>
        <v>8.6325137955784711E-2</v>
      </c>
      <c r="P163">
        <f t="shared" si="68"/>
        <v>2.3888401043420928</v>
      </c>
      <c r="Q163">
        <f t="shared" si="69"/>
        <v>8.4628813526145999E-2</v>
      </c>
      <c r="R163">
        <f t="shared" si="70"/>
        <v>5.304264011038165E-2</v>
      </c>
      <c r="S163">
        <f t="shared" si="71"/>
        <v>0.2356366194</v>
      </c>
      <c r="T163">
        <f t="shared" si="72"/>
        <v>31.950843161954683</v>
      </c>
      <c r="U163">
        <f t="shared" si="73"/>
        <v>33.246709999999993</v>
      </c>
      <c r="V163">
        <f t="shared" si="74"/>
        <v>5.1225639497048201</v>
      </c>
      <c r="W163">
        <f t="shared" si="75"/>
        <v>10.533468899033206</v>
      </c>
      <c r="X163">
        <f t="shared" si="76"/>
        <v>0.5380124676564817</v>
      </c>
      <c r="Y163">
        <f t="shared" si="77"/>
        <v>5.1076475642877925</v>
      </c>
      <c r="Z163">
        <f t="shared" si="78"/>
        <v>4.5845514820483384</v>
      </c>
      <c r="AA163">
        <f t="shared" si="79"/>
        <v>-175.81939539253054</v>
      </c>
      <c r="AB163">
        <f t="shared" si="80"/>
        <v>-6.6947852282132505</v>
      </c>
      <c r="AC163">
        <f t="shared" si="81"/>
        <v>-0.64322733391233444</v>
      </c>
      <c r="AD163">
        <f t="shared" si="82"/>
        <v>-182.92177133525612</v>
      </c>
      <c r="AE163">
        <v>5</v>
      </c>
      <c r="AF163">
        <v>1</v>
      </c>
      <c r="AG163">
        <f t="shared" si="83"/>
        <v>1</v>
      </c>
      <c r="AH163">
        <f t="shared" si="84"/>
        <v>0</v>
      </c>
      <c r="AI163">
        <f t="shared" si="85"/>
        <v>25014.77153869325</v>
      </c>
      <c r="AJ163">
        <f t="shared" si="86"/>
        <v>1.2330540000000001</v>
      </c>
      <c r="AK163">
        <f t="shared" si="87"/>
        <v>0.98644320000000008</v>
      </c>
      <c r="AL163">
        <f t="shared" si="88"/>
        <v>0.8</v>
      </c>
      <c r="AM163">
        <f t="shared" si="89"/>
        <v>0.19109999999999999</v>
      </c>
      <c r="AN163">
        <v>3</v>
      </c>
      <c r="AO163">
        <v>0.5</v>
      </c>
      <c r="AP163" t="s">
        <v>317</v>
      </c>
      <c r="AQ163">
        <v>2</v>
      </c>
      <c r="AR163">
        <v>1775540779.75</v>
      </c>
      <c r="AS163">
        <v>-8.0657333333333341</v>
      </c>
      <c r="AT163">
        <v>-9.7004706666666642</v>
      </c>
      <c r="AU163">
        <v>5.3722336666666681</v>
      </c>
      <c r="AV163">
        <v>2.9928716666666659</v>
      </c>
      <c r="AW163">
        <v>-14.92973333333333</v>
      </c>
      <c r="AX163">
        <v>4.9448716666666659</v>
      </c>
      <c r="AY163">
        <v>499.97640000000013</v>
      </c>
      <c r="AZ163">
        <v>100.0983333333334</v>
      </c>
      <c r="BA163">
        <v>4.8551749999999998E-2</v>
      </c>
      <c r="BB163">
        <v>33.194726666666661</v>
      </c>
      <c r="BC163">
        <v>33.246709999999993</v>
      </c>
      <c r="BD163">
        <v>999.9000000000002</v>
      </c>
      <c r="BE163">
        <v>0</v>
      </c>
      <c r="BF163">
        <v>0</v>
      </c>
      <c r="BG163">
        <v>4997.166666666667</v>
      </c>
      <c r="BH163">
        <v>1.2330540000000001</v>
      </c>
      <c r="BI163">
        <v>1424.7809999999999</v>
      </c>
      <c r="BJ163">
        <v>1.6122339999999999</v>
      </c>
      <c r="BK163">
        <v>-8.112538333333335</v>
      </c>
      <c r="BL163">
        <v>-9.7528660000000027</v>
      </c>
      <c r="BM163">
        <v>-2.3767203333333331</v>
      </c>
      <c r="BN163">
        <v>-9.7004706666666642</v>
      </c>
      <c r="BO163">
        <v>5.3722336666666681</v>
      </c>
      <c r="BP163">
        <v>0.29984586666666663</v>
      </c>
      <c r="BQ163">
        <v>0.53775186666666674</v>
      </c>
      <c r="BR163">
        <v>-9.4725806666666656</v>
      </c>
      <c r="BS163">
        <v>-1.8041656666666659</v>
      </c>
      <c r="BT163">
        <v>1775540814</v>
      </c>
      <c r="BU163" t="s">
        <v>760</v>
      </c>
      <c r="BV163">
        <v>1775540810.5</v>
      </c>
      <c r="BW163">
        <v>1775540814</v>
      </c>
      <c r="BX163">
        <v>148</v>
      </c>
      <c r="BY163">
        <v>2.1999999999999999E-2</v>
      </c>
      <c r="BZ163">
        <v>-3.0000000000000001E-3</v>
      </c>
      <c r="CA163">
        <v>6.8639999999999999</v>
      </c>
      <c r="CB163">
        <v>-1.952</v>
      </c>
      <c r="CC163">
        <v>-9</v>
      </c>
      <c r="CD163">
        <v>5</v>
      </c>
      <c r="CE163">
        <v>0.37</v>
      </c>
      <c r="CF163">
        <v>0.04</v>
      </c>
      <c r="CG163">
        <v>-9.9601456666666675</v>
      </c>
      <c r="CH163">
        <v>1.554229063628801</v>
      </c>
      <c r="CI163">
        <v>0.31542280137072443</v>
      </c>
      <c r="CJ163">
        <v>-1</v>
      </c>
      <c r="CK163">
        <v>500.96755000000002</v>
      </c>
      <c r="CL163">
        <v>-6.0247368713526583</v>
      </c>
      <c r="CM163">
        <v>1.879183541018101</v>
      </c>
      <c r="CN163">
        <v>-1</v>
      </c>
      <c r="CO163">
        <v>0</v>
      </c>
      <c r="CP163">
        <v>0</v>
      </c>
      <c r="CQ163" t="s">
        <v>319</v>
      </c>
      <c r="CR163">
        <v>3.16953</v>
      </c>
      <c r="CS163">
        <v>2.6696599999999999</v>
      </c>
      <c r="CT163">
        <v>-4.1999400000000001E-3</v>
      </c>
      <c r="CU163">
        <v>-2.6451199999999999E-3</v>
      </c>
      <c r="CV163">
        <v>3.2665300000000001E-2</v>
      </c>
      <c r="CW163">
        <v>3.4784000000000002E-2</v>
      </c>
      <c r="CX163">
        <v>21262.7</v>
      </c>
      <c r="CY163">
        <v>21695</v>
      </c>
      <c r="CZ163">
        <v>22712.7</v>
      </c>
      <c r="DA163">
        <v>22013.3</v>
      </c>
      <c r="DB163">
        <v>28363.5</v>
      </c>
      <c r="DC163">
        <v>25285.599999999999</v>
      </c>
      <c r="DD163">
        <v>39985.300000000003</v>
      </c>
      <c r="DE163">
        <v>36421.9</v>
      </c>
      <c r="DF163">
        <v>1.9802200000000001</v>
      </c>
      <c r="DG163">
        <v>1.5832200000000001</v>
      </c>
      <c r="DH163">
        <v>-6.6626099999999994E-2</v>
      </c>
      <c r="DI163">
        <v>0</v>
      </c>
      <c r="DJ163">
        <v>34.334000000000003</v>
      </c>
      <c r="DK163">
        <v>999.9</v>
      </c>
      <c r="DL163">
        <v>49.9</v>
      </c>
      <c r="DM163">
        <v>46.4</v>
      </c>
      <c r="DN163">
        <v>51.624000000000002</v>
      </c>
      <c r="DO163">
        <v>30.8812</v>
      </c>
      <c r="DP163">
        <v>10.5329</v>
      </c>
      <c r="DQ163">
        <v>1</v>
      </c>
      <c r="DR163">
        <v>1.07324</v>
      </c>
      <c r="DS163">
        <v>2.42564</v>
      </c>
      <c r="DT163">
        <v>20.3384</v>
      </c>
      <c r="DU163">
        <v>5.2099799999999998</v>
      </c>
      <c r="DV163">
        <v>11.859400000000001</v>
      </c>
      <c r="DW163">
        <v>4.9674800000000001</v>
      </c>
      <c r="DX163">
        <v>3.2930000000000001</v>
      </c>
      <c r="DY163">
        <v>894.7</v>
      </c>
      <c r="DZ163">
        <v>6</v>
      </c>
      <c r="EA163">
        <v>9999</v>
      </c>
      <c r="EB163">
        <v>118.2</v>
      </c>
      <c r="EC163">
        <v>4.9716300000000002</v>
      </c>
      <c r="ED163">
        <v>1.87216</v>
      </c>
      <c r="EE163">
        <v>1.86951</v>
      </c>
      <c r="EF163">
        <v>1.8717999999999999</v>
      </c>
      <c r="EG163">
        <v>1.86965</v>
      </c>
      <c r="EH163">
        <v>1.8684400000000001</v>
      </c>
      <c r="EI163">
        <v>1.8702700000000001</v>
      </c>
      <c r="EJ163">
        <v>1.8719600000000001</v>
      </c>
      <c r="EK163">
        <v>0</v>
      </c>
      <c r="EL163">
        <v>0</v>
      </c>
      <c r="EM163">
        <v>0</v>
      </c>
      <c r="EN163">
        <v>0</v>
      </c>
      <c r="EO163" t="s">
        <v>320</v>
      </c>
      <c r="EP163" t="s">
        <v>321</v>
      </c>
      <c r="EQ163" t="s">
        <v>322</v>
      </c>
      <c r="ER163" t="s">
        <v>322</v>
      </c>
      <c r="ES163" t="s">
        <v>322</v>
      </c>
      <c r="ET163" t="s">
        <v>322</v>
      </c>
      <c r="EU163">
        <v>0</v>
      </c>
      <c r="EV163">
        <v>100</v>
      </c>
      <c r="EW163">
        <v>100</v>
      </c>
      <c r="EX163">
        <v>6.8639999999999999</v>
      </c>
      <c r="EY163">
        <v>-1.952</v>
      </c>
      <c r="EZ163">
        <v>6.8414904999999973</v>
      </c>
      <c r="FA163">
        <v>0</v>
      </c>
      <c r="FB163">
        <v>0</v>
      </c>
      <c r="FC163">
        <v>0</v>
      </c>
      <c r="FD163">
        <v>-1.949359000000001</v>
      </c>
      <c r="FE163">
        <v>0</v>
      </c>
      <c r="FF163">
        <v>0</v>
      </c>
      <c r="FG163">
        <v>0</v>
      </c>
      <c r="FH163">
        <v>-1</v>
      </c>
      <c r="FI163">
        <v>-1</v>
      </c>
      <c r="FJ163">
        <v>-1</v>
      </c>
      <c r="FK163">
        <v>-1</v>
      </c>
      <c r="FL163">
        <v>0.6</v>
      </c>
      <c r="FM163">
        <v>0.5</v>
      </c>
      <c r="FN163">
        <v>0.13916000000000001</v>
      </c>
      <c r="FO163">
        <v>4.99756</v>
      </c>
      <c r="FP163">
        <v>1.5979000000000001</v>
      </c>
      <c r="FQ163">
        <v>2.1093799999999998</v>
      </c>
      <c r="FR163">
        <v>1.5478499999999999</v>
      </c>
      <c r="FS163">
        <v>2.5268600000000001</v>
      </c>
      <c r="FT163">
        <v>49.8337</v>
      </c>
      <c r="FU163">
        <v>14.9376</v>
      </c>
      <c r="FV163">
        <v>2</v>
      </c>
      <c r="FW163">
        <v>506.85700000000003</v>
      </c>
      <c r="FX163">
        <v>341.66399999999999</v>
      </c>
      <c r="FY163">
        <v>32.096400000000003</v>
      </c>
      <c r="FZ163">
        <v>40.1342</v>
      </c>
      <c r="GA163">
        <v>30</v>
      </c>
      <c r="GB163">
        <v>40.3992</v>
      </c>
      <c r="GC163">
        <v>40.447299999999998</v>
      </c>
      <c r="GD163">
        <v>-1</v>
      </c>
      <c r="GE163">
        <v>0</v>
      </c>
      <c r="GF163">
        <v>100</v>
      </c>
      <c r="GG163">
        <v>32.097700000000003</v>
      </c>
      <c r="GH163">
        <v>432.1</v>
      </c>
      <c r="GI163">
        <v>44.267099999999999</v>
      </c>
      <c r="GJ163">
        <v>100.586</v>
      </c>
      <c r="GK163">
        <v>95.096999999999994</v>
      </c>
    </row>
    <row r="164" spans="1:193" x14ac:dyDescent="0.35">
      <c r="A164">
        <v>148</v>
      </c>
      <c r="B164">
        <v>1775540847.5</v>
      </c>
      <c r="C164">
        <v>8821.4000000953674</v>
      </c>
      <c r="D164" t="s">
        <v>761</v>
      </c>
      <c r="E164" t="s">
        <v>762</v>
      </c>
      <c r="F164">
        <v>60</v>
      </c>
      <c r="G164">
        <v>1775540839.75</v>
      </c>
      <c r="H164">
        <f t="shared" si="60"/>
        <v>4.0816441726085687E-3</v>
      </c>
      <c r="I164">
        <f t="shared" si="61"/>
        <v>4.081644172608569</v>
      </c>
      <c r="J164">
        <f t="shared" si="62"/>
        <v>-3.2746097492897603</v>
      </c>
      <c r="K164">
        <f t="shared" si="63"/>
        <v>-7.0744766666666674</v>
      </c>
      <c r="L164">
        <f t="shared" si="64"/>
        <v>51.542479681210359</v>
      </c>
      <c r="M164">
        <f t="shared" si="65"/>
        <v>5.161740687740183</v>
      </c>
      <c r="N164">
        <f t="shared" si="66"/>
        <v>-0.70847608187764188</v>
      </c>
      <c r="O164">
        <f t="shared" si="67"/>
        <v>8.8433563666944104E-2</v>
      </c>
      <c r="P164">
        <f t="shared" si="68"/>
        <v>2.3901952967199835</v>
      </c>
      <c r="Q164">
        <f t="shared" si="69"/>
        <v>8.6655271715259788E-2</v>
      </c>
      <c r="R164">
        <f t="shared" si="70"/>
        <v>5.43163389055622E-2</v>
      </c>
      <c r="S164">
        <f t="shared" si="71"/>
        <v>0.24039093260000005</v>
      </c>
      <c r="T164">
        <f t="shared" si="72"/>
        <v>31.938436843244592</v>
      </c>
      <c r="U164">
        <f t="shared" si="73"/>
        <v>33.252646666666671</v>
      </c>
      <c r="V164">
        <f t="shared" si="74"/>
        <v>5.1242698583913953</v>
      </c>
      <c r="W164">
        <f t="shared" si="75"/>
        <v>10.574884350962327</v>
      </c>
      <c r="X164">
        <f t="shared" si="76"/>
        <v>0.54062816923490375</v>
      </c>
      <c r="Y164">
        <f t="shared" si="77"/>
        <v>5.1123790227143804</v>
      </c>
      <c r="Z164">
        <f t="shared" si="78"/>
        <v>4.5836416891564919</v>
      </c>
      <c r="AA164">
        <f t="shared" si="79"/>
        <v>-180.00050801203787</v>
      </c>
      <c r="AB164">
        <f t="shared" si="80"/>
        <v>-5.3369603159908374</v>
      </c>
      <c r="AC164">
        <f t="shared" si="81"/>
        <v>-0.5125346670290446</v>
      </c>
      <c r="AD164">
        <f t="shared" si="82"/>
        <v>-185.60961206245776</v>
      </c>
      <c r="AE164">
        <v>5</v>
      </c>
      <c r="AF164">
        <v>1</v>
      </c>
      <c r="AG164">
        <f t="shared" si="83"/>
        <v>1</v>
      </c>
      <c r="AH164">
        <f t="shared" si="84"/>
        <v>0</v>
      </c>
      <c r="AI164">
        <f t="shared" si="85"/>
        <v>25033.656486812615</v>
      </c>
      <c r="AJ164">
        <f t="shared" si="86"/>
        <v>1.257932666666667</v>
      </c>
      <c r="AK164">
        <f t="shared" si="87"/>
        <v>1.0063461333333337</v>
      </c>
      <c r="AL164">
        <f t="shared" si="88"/>
        <v>0.8</v>
      </c>
      <c r="AM164">
        <f t="shared" si="89"/>
        <v>0.19109999999999999</v>
      </c>
      <c r="AN164">
        <v>3</v>
      </c>
      <c r="AO164">
        <v>0.5</v>
      </c>
      <c r="AP164" t="s">
        <v>317</v>
      </c>
      <c r="AQ164">
        <v>2</v>
      </c>
      <c r="AR164">
        <v>1775540839.75</v>
      </c>
      <c r="AS164">
        <v>-7.0744766666666674</v>
      </c>
      <c r="AT164">
        <v>-9.0565619999999978</v>
      </c>
      <c r="AU164">
        <v>5.3984339999999991</v>
      </c>
      <c r="AV164">
        <v>2.9626753333333342</v>
      </c>
      <c r="AW164">
        <v>-13.93547666666667</v>
      </c>
      <c r="AX164">
        <v>4.916675333333334</v>
      </c>
      <c r="AY164">
        <v>500.00146666666672</v>
      </c>
      <c r="AZ164">
        <v>100.0974666666667</v>
      </c>
      <c r="BA164">
        <v>4.7903126666666657E-2</v>
      </c>
      <c r="BB164">
        <v>33.211229999999993</v>
      </c>
      <c r="BC164">
        <v>33.252646666666671</v>
      </c>
      <c r="BD164">
        <v>999.9000000000002</v>
      </c>
      <c r="BE164">
        <v>0</v>
      </c>
      <c r="BF164">
        <v>0</v>
      </c>
      <c r="BG164">
        <v>5000.7</v>
      </c>
      <c r="BH164">
        <v>1.257932666666667</v>
      </c>
      <c r="BI164">
        <v>1389.2413333333329</v>
      </c>
      <c r="BJ164">
        <v>1.984635666666666</v>
      </c>
      <c r="BK164">
        <v>-7.0929493333333333</v>
      </c>
      <c r="BL164">
        <v>-9.105717666666667</v>
      </c>
      <c r="BM164">
        <v>-2.4342303333333342</v>
      </c>
      <c r="BN164">
        <v>-9.0565619999999978</v>
      </c>
      <c r="BO164">
        <v>5.3984339999999991</v>
      </c>
      <c r="BP164">
        <v>0.29670960000000002</v>
      </c>
      <c r="BQ164">
        <v>0.5403699333333335</v>
      </c>
      <c r="BR164">
        <v>-9.6061069999999997</v>
      </c>
      <c r="BS164">
        <v>-1.7382776666666659</v>
      </c>
      <c r="BT164">
        <v>1775540876.5</v>
      </c>
      <c r="BU164" t="s">
        <v>763</v>
      </c>
      <c r="BV164">
        <v>1775540865.5</v>
      </c>
      <c r="BW164">
        <v>1775540876.5</v>
      </c>
      <c r="BX164">
        <v>149</v>
      </c>
      <c r="BY164">
        <v>-3.0000000000000001E-3</v>
      </c>
      <c r="BZ164">
        <v>-2E-3</v>
      </c>
      <c r="CA164">
        <v>6.8609999999999998</v>
      </c>
      <c r="CB164">
        <v>-1.954</v>
      </c>
      <c r="CC164">
        <v>-9</v>
      </c>
      <c r="CD164">
        <v>5</v>
      </c>
      <c r="CE164">
        <v>0.26</v>
      </c>
      <c r="CF164">
        <v>0.03</v>
      </c>
      <c r="CG164">
        <v>-9.0302485000000008</v>
      </c>
      <c r="CH164">
        <v>-0.2135115420950382</v>
      </c>
      <c r="CI164">
        <v>4.7127862064282038E-2</v>
      </c>
      <c r="CJ164">
        <v>-1</v>
      </c>
      <c r="CK164">
        <v>500.71666666666658</v>
      </c>
      <c r="CL164">
        <v>-7.4572447902185006</v>
      </c>
      <c r="CM164">
        <v>1.735817815581145</v>
      </c>
      <c r="CN164">
        <v>-1</v>
      </c>
      <c r="CO164">
        <v>0</v>
      </c>
      <c r="CP164">
        <v>0</v>
      </c>
      <c r="CQ164" t="s">
        <v>319</v>
      </c>
      <c r="CR164">
        <v>3.16954</v>
      </c>
      <c r="CS164">
        <v>2.6686899999999998</v>
      </c>
      <c r="CT164">
        <v>-4.0258200000000003E-3</v>
      </c>
      <c r="CU164">
        <v>-2.59816E-3</v>
      </c>
      <c r="CV164">
        <v>3.2399600000000001E-2</v>
      </c>
      <c r="CW164">
        <v>3.4917299999999998E-2</v>
      </c>
      <c r="CX164">
        <v>21260.6</v>
      </c>
      <c r="CY164">
        <v>21694.799999999999</v>
      </c>
      <c r="CZ164">
        <v>22714.3</v>
      </c>
      <c r="DA164">
        <v>22014</v>
      </c>
      <c r="DB164">
        <v>28373.1</v>
      </c>
      <c r="DC164">
        <v>25283.3</v>
      </c>
      <c r="DD164">
        <v>39987.599999999999</v>
      </c>
      <c r="DE164">
        <v>36423.599999999999</v>
      </c>
      <c r="DF164">
        <v>1.9811000000000001</v>
      </c>
      <c r="DG164">
        <v>1.58396</v>
      </c>
      <c r="DH164">
        <v>-6.4998899999999998E-2</v>
      </c>
      <c r="DI164">
        <v>0</v>
      </c>
      <c r="DJ164">
        <v>34.309399999999997</v>
      </c>
      <c r="DK164">
        <v>999.9</v>
      </c>
      <c r="DL164">
        <v>50</v>
      </c>
      <c r="DM164">
        <v>46.3</v>
      </c>
      <c r="DN164">
        <v>51.4694</v>
      </c>
      <c r="DO164">
        <v>30.731200000000001</v>
      </c>
      <c r="DP164">
        <v>10.617000000000001</v>
      </c>
      <c r="DQ164">
        <v>1</v>
      </c>
      <c r="DR164">
        <v>1.0707199999999999</v>
      </c>
      <c r="DS164">
        <v>2.5632600000000001</v>
      </c>
      <c r="DT164">
        <v>20.3352</v>
      </c>
      <c r="DU164">
        <v>5.2065099999999997</v>
      </c>
      <c r="DV164">
        <v>11.8592</v>
      </c>
      <c r="DW164">
        <v>4.9666800000000002</v>
      </c>
      <c r="DX164">
        <v>3.29236</v>
      </c>
      <c r="DY164">
        <v>894.7</v>
      </c>
      <c r="DZ164">
        <v>6</v>
      </c>
      <c r="EA164">
        <v>9999</v>
      </c>
      <c r="EB164">
        <v>118.2</v>
      </c>
      <c r="EC164">
        <v>4.97159</v>
      </c>
      <c r="ED164">
        <v>1.8722000000000001</v>
      </c>
      <c r="EE164">
        <v>1.86951</v>
      </c>
      <c r="EF164">
        <v>1.8717999999999999</v>
      </c>
      <c r="EG164">
        <v>1.86964</v>
      </c>
      <c r="EH164">
        <v>1.8684400000000001</v>
      </c>
      <c r="EI164">
        <v>1.8702700000000001</v>
      </c>
      <c r="EJ164">
        <v>1.87195</v>
      </c>
      <c r="EK164">
        <v>0</v>
      </c>
      <c r="EL164">
        <v>0</v>
      </c>
      <c r="EM164">
        <v>0</v>
      </c>
      <c r="EN164">
        <v>0</v>
      </c>
      <c r="EO164" t="s">
        <v>320</v>
      </c>
      <c r="EP164" t="s">
        <v>321</v>
      </c>
      <c r="EQ164" t="s">
        <v>322</v>
      </c>
      <c r="ER164" t="s">
        <v>322</v>
      </c>
      <c r="ES164" t="s">
        <v>322</v>
      </c>
      <c r="ET164" t="s">
        <v>322</v>
      </c>
      <c r="EU164">
        <v>0</v>
      </c>
      <c r="EV164">
        <v>100</v>
      </c>
      <c r="EW164">
        <v>100</v>
      </c>
      <c r="EX164">
        <v>6.8609999999999998</v>
      </c>
      <c r="EY164">
        <v>-1.954</v>
      </c>
      <c r="EZ164">
        <v>6.8635490000000026</v>
      </c>
      <c r="FA164">
        <v>0</v>
      </c>
      <c r="FB164">
        <v>0</v>
      </c>
      <c r="FC164">
        <v>0</v>
      </c>
      <c r="FD164">
        <v>-1.9524709523809509</v>
      </c>
      <c r="FE164">
        <v>0</v>
      </c>
      <c r="FF164">
        <v>0</v>
      </c>
      <c r="FG164">
        <v>0</v>
      </c>
      <c r="FH164">
        <v>-1</v>
      </c>
      <c r="FI164">
        <v>-1</v>
      </c>
      <c r="FJ164">
        <v>-1</v>
      </c>
      <c r="FK164">
        <v>-1</v>
      </c>
      <c r="FL164">
        <v>0.6</v>
      </c>
      <c r="FM164">
        <v>0.6</v>
      </c>
      <c r="FN164">
        <v>0.13916000000000001</v>
      </c>
      <c r="FO164">
        <v>4.99756</v>
      </c>
      <c r="FP164">
        <v>1.5979000000000001</v>
      </c>
      <c r="FQ164">
        <v>2.1105999999999998</v>
      </c>
      <c r="FR164">
        <v>1.5478499999999999</v>
      </c>
      <c r="FS164">
        <v>2.4511699999999998</v>
      </c>
      <c r="FT164">
        <v>49.738</v>
      </c>
      <c r="FU164">
        <v>14.928800000000001</v>
      </c>
      <c r="FV164">
        <v>2</v>
      </c>
      <c r="FW164">
        <v>507.13499999999999</v>
      </c>
      <c r="FX164">
        <v>341.875</v>
      </c>
      <c r="FY164">
        <v>32.032899999999998</v>
      </c>
      <c r="FZ164">
        <v>40.099899999999998</v>
      </c>
      <c r="GA164">
        <v>29.9999</v>
      </c>
      <c r="GB164">
        <v>40.358499999999999</v>
      </c>
      <c r="GC164">
        <v>40.406399999999998</v>
      </c>
      <c r="GD164">
        <v>-1</v>
      </c>
      <c r="GE164">
        <v>0</v>
      </c>
      <c r="GF164">
        <v>100</v>
      </c>
      <c r="GG164">
        <v>32.012300000000003</v>
      </c>
      <c r="GH164">
        <v>432.1</v>
      </c>
      <c r="GI164">
        <v>44.267099999999999</v>
      </c>
      <c r="GJ164">
        <v>100.593</v>
      </c>
      <c r="GK164">
        <v>95.100999999999999</v>
      </c>
    </row>
    <row r="165" spans="1:193" x14ac:dyDescent="0.35">
      <c r="A165">
        <v>149</v>
      </c>
      <c r="B165">
        <v>1775540907.5</v>
      </c>
      <c r="C165">
        <v>8881.4000000953674</v>
      </c>
      <c r="D165" t="s">
        <v>764</v>
      </c>
      <c r="E165" t="s">
        <v>765</v>
      </c>
      <c r="F165">
        <v>60</v>
      </c>
      <c r="G165">
        <v>1775540899.5</v>
      </c>
      <c r="H165">
        <f t="shared" si="60"/>
        <v>4.5844940400987235E-3</v>
      </c>
      <c r="I165">
        <f t="shared" si="61"/>
        <v>4.5844940400987237</v>
      </c>
      <c r="J165">
        <f t="shared" si="62"/>
        <v>-3.2518793548953582</v>
      </c>
      <c r="K165">
        <f t="shared" si="63"/>
        <v>-5.0300419354838697</v>
      </c>
      <c r="L165">
        <f t="shared" si="64"/>
        <v>46.572961734322654</v>
      </c>
      <c r="M165">
        <f t="shared" si="65"/>
        <v>4.6639563790365104</v>
      </c>
      <c r="N165">
        <f t="shared" si="66"/>
        <v>-0.50372351893034151</v>
      </c>
      <c r="O165">
        <f t="shared" si="67"/>
        <v>9.9817116513877258E-2</v>
      </c>
      <c r="P165">
        <f t="shared" si="68"/>
        <v>2.3891917690927915</v>
      </c>
      <c r="Q165">
        <f t="shared" si="69"/>
        <v>9.7556915151786633E-2</v>
      </c>
      <c r="R165">
        <f t="shared" si="70"/>
        <v>6.1171879470057131E-2</v>
      </c>
      <c r="S165">
        <f t="shared" si="71"/>
        <v>0.226149466064516</v>
      </c>
      <c r="T165">
        <f t="shared" si="72"/>
        <v>31.768993006544893</v>
      </c>
      <c r="U165">
        <f t="shared" si="73"/>
        <v>33.225496774193537</v>
      </c>
      <c r="V165">
        <f t="shared" si="74"/>
        <v>5.1164723385473803</v>
      </c>
      <c r="W165">
        <f t="shared" si="75"/>
        <v>10.636869190249735</v>
      </c>
      <c r="X165">
        <f t="shared" si="76"/>
        <v>0.54343823218713638</v>
      </c>
      <c r="Y165">
        <f t="shared" si="77"/>
        <v>5.1090055021573262</v>
      </c>
      <c r="Z165">
        <f t="shared" si="78"/>
        <v>4.573034106360244</v>
      </c>
      <c r="AA165">
        <f t="shared" si="79"/>
        <v>-202.17618716835372</v>
      </c>
      <c r="AB165">
        <f t="shared" si="80"/>
        <v>-3.353113808736484</v>
      </c>
      <c r="AC165">
        <f t="shared" si="81"/>
        <v>-0.32208993674108183</v>
      </c>
      <c r="AD165">
        <f t="shared" si="82"/>
        <v>-205.62524144776677</v>
      </c>
      <c r="AE165">
        <v>6</v>
      </c>
      <c r="AF165">
        <v>1</v>
      </c>
      <c r="AG165">
        <f t="shared" si="83"/>
        <v>1</v>
      </c>
      <c r="AH165">
        <f t="shared" si="84"/>
        <v>0</v>
      </c>
      <c r="AI165">
        <f t="shared" si="85"/>
        <v>25019.746248387641</v>
      </c>
      <c r="AJ165">
        <f t="shared" si="86"/>
        <v>1.1834090322580639</v>
      </c>
      <c r="AK165">
        <f t="shared" si="87"/>
        <v>0.94672722580645119</v>
      </c>
      <c r="AL165">
        <f t="shared" si="88"/>
        <v>0.8</v>
      </c>
      <c r="AM165">
        <f t="shared" si="89"/>
        <v>0.19109999999999999</v>
      </c>
      <c r="AN165">
        <v>3</v>
      </c>
      <c r="AO165">
        <v>0.5</v>
      </c>
      <c r="AP165" t="s">
        <v>317</v>
      </c>
      <c r="AQ165">
        <v>2</v>
      </c>
      <c r="AR165">
        <v>1775540899.5</v>
      </c>
      <c r="AS165">
        <v>-5.0300419354838697</v>
      </c>
      <c r="AT165">
        <v>-6.9950412903225789</v>
      </c>
      <c r="AU165">
        <v>5.4266219354838707</v>
      </c>
      <c r="AV165">
        <v>2.6908029032258058</v>
      </c>
      <c r="AW165">
        <v>-11.856041935483869</v>
      </c>
      <c r="AX165">
        <v>4.6468029032258062</v>
      </c>
      <c r="AY165">
        <v>499.990935483871</v>
      </c>
      <c r="AZ165">
        <v>100.0952580645161</v>
      </c>
      <c r="BA165">
        <v>4.7747777419354841E-2</v>
      </c>
      <c r="BB165">
        <v>33.199464516129026</v>
      </c>
      <c r="BC165">
        <v>33.225496774193537</v>
      </c>
      <c r="BD165">
        <v>999.90000000000032</v>
      </c>
      <c r="BE165">
        <v>0</v>
      </c>
      <c r="BF165">
        <v>0</v>
      </c>
      <c r="BG165">
        <v>4998.2258064516127</v>
      </c>
      <c r="BH165">
        <v>1.1834090322580639</v>
      </c>
      <c r="BI165">
        <v>1225.534516129032</v>
      </c>
      <c r="BJ165">
        <v>1.9998809677419349</v>
      </c>
      <c r="BK165">
        <v>-5.0086461290322566</v>
      </c>
      <c r="BL165">
        <v>-7.0332087096774201</v>
      </c>
      <c r="BM165">
        <v>-2.7342609677419358</v>
      </c>
      <c r="BN165">
        <v>-6.9950412903225789</v>
      </c>
      <c r="BO165">
        <v>5.4266219354838707</v>
      </c>
      <c r="BP165">
        <v>0.26949225806451621</v>
      </c>
      <c r="BQ165">
        <v>0.54317858064516134</v>
      </c>
      <c r="BR165">
        <v>-10.820970967741941</v>
      </c>
      <c r="BS165">
        <v>-1.667906774193548</v>
      </c>
      <c r="BT165">
        <v>1775540934.5</v>
      </c>
      <c r="BU165" t="s">
        <v>766</v>
      </c>
      <c r="BV165">
        <v>1775540925.5</v>
      </c>
      <c r="BW165">
        <v>1775540934.5</v>
      </c>
      <c r="BX165">
        <v>150</v>
      </c>
      <c r="BY165">
        <v>-3.5000000000000003E-2</v>
      </c>
      <c r="BZ165">
        <v>-1E-3</v>
      </c>
      <c r="CA165">
        <v>6.8259999999999996</v>
      </c>
      <c r="CB165">
        <v>-1.956</v>
      </c>
      <c r="CC165">
        <v>-7</v>
      </c>
      <c r="CD165">
        <v>5</v>
      </c>
      <c r="CE165">
        <v>0.16</v>
      </c>
      <c r="CF165">
        <v>0.03</v>
      </c>
      <c r="CG165">
        <v>-7.1282579999999998</v>
      </c>
      <c r="CH165">
        <v>1.4417066740761291</v>
      </c>
      <c r="CI165">
        <v>0.32402279552422442</v>
      </c>
      <c r="CJ165">
        <v>-1</v>
      </c>
      <c r="CK165">
        <v>500.97548333333327</v>
      </c>
      <c r="CL165">
        <v>-7.9733914976369764</v>
      </c>
      <c r="CM165">
        <v>1.909408865693488</v>
      </c>
      <c r="CN165">
        <v>-1</v>
      </c>
      <c r="CO165">
        <v>0</v>
      </c>
      <c r="CP165">
        <v>0</v>
      </c>
      <c r="CQ165" t="s">
        <v>319</v>
      </c>
      <c r="CR165">
        <v>3.1696399999999998</v>
      </c>
      <c r="CS165">
        <v>2.6692800000000001</v>
      </c>
      <c r="CT165">
        <v>-3.3927699999999998E-3</v>
      </c>
      <c r="CU165">
        <v>-2.0072499999999999E-3</v>
      </c>
      <c r="CV165">
        <v>3.0934199999999999E-2</v>
      </c>
      <c r="CW165">
        <v>3.5089599999999999E-2</v>
      </c>
      <c r="CX165">
        <v>21246.9</v>
      </c>
      <c r="CY165">
        <v>21681.1</v>
      </c>
      <c r="CZ165">
        <v>22713.9</v>
      </c>
      <c r="DA165">
        <v>22013.1</v>
      </c>
      <c r="DB165">
        <v>28415.599999999999</v>
      </c>
      <c r="DC165">
        <v>25277.8</v>
      </c>
      <c r="DD165">
        <v>39987</v>
      </c>
      <c r="DE165">
        <v>36422.1</v>
      </c>
      <c r="DF165">
        <v>1.9803599999999999</v>
      </c>
      <c r="DG165">
        <v>1.58294</v>
      </c>
      <c r="DH165">
        <v>-7.3814400000000002E-2</v>
      </c>
      <c r="DI165">
        <v>0</v>
      </c>
      <c r="DJ165">
        <v>34.413499999999999</v>
      </c>
      <c r="DK165">
        <v>999.9</v>
      </c>
      <c r="DL165">
        <v>50.2</v>
      </c>
      <c r="DM165">
        <v>46.3</v>
      </c>
      <c r="DN165">
        <v>51.673699999999997</v>
      </c>
      <c r="DO165">
        <v>30.761199999999999</v>
      </c>
      <c r="DP165">
        <v>10.5329</v>
      </c>
      <c r="DQ165">
        <v>1</v>
      </c>
      <c r="DR165">
        <v>1.07081</v>
      </c>
      <c r="DS165">
        <v>2.21407</v>
      </c>
      <c r="DT165">
        <v>20.341899999999999</v>
      </c>
      <c r="DU165">
        <v>5.2096200000000001</v>
      </c>
      <c r="DV165">
        <v>11.859500000000001</v>
      </c>
      <c r="DW165">
        <v>4.9672799999999997</v>
      </c>
      <c r="DX165">
        <v>3.2928799999999998</v>
      </c>
      <c r="DY165">
        <v>894.7</v>
      </c>
      <c r="DZ165">
        <v>6</v>
      </c>
      <c r="EA165">
        <v>9999</v>
      </c>
      <c r="EB165">
        <v>118.2</v>
      </c>
      <c r="EC165">
        <v>4.9715800000000003</v>
      </c>
      <c r="ED165">
        <v>1.8721099999999999</v>
      </c>
      <c r="EE165">
        <v>1.86951</v>
      </c>
      <c r="EF165">
        <v>1.8717999999999999</v>
      </c>
      <c r="EG165">
        <v>1.86961</v>
      </c>
      <c r="EH165">
        <v>1.8684400000000001</v>
      </c>
      <c r="EI165">
        <v>1.8702700000000001</v>
      </c>
      <c r="EJ165">
        <v>1.87195</v>
      </c>
      <c r="EK165">
        <v>0</v>
      </c>
      <c r="EL165">
        <v>0</v>
      </c>
      <c r="EM165">
        <v>0</v>
      </c>
      <c r="EN165">
        <v>0</v>
      </c>
      <c r="EO165" t="s">
        <v>320</v>
      </c>
      <c r="EP165" t="s">
        <v>321</v>
      </c>
      <c r="EQ165" t="s">
        <v>322</v>
      </c>
      <c r="ER165" t="s">
        <v>322</v>
      </c>
      <c r="ES165" t="s">
        <v>322</v>
      </c>
      <c r="ET165" t="s">
        <v>322</v>
      </c>
      <c r="EU165">
        <v>0</v>
      </c>
      <c r="EV165">
        <v>100</v>
      </c>
      <c r="EW165">
        <v>100</v>
      </c>
      <c r="EX165">
        <v>6.8259999999999996</v>
      </c>
      <c r="EY165">
        <v>-1.956</v>
      </c>
      <c r="EZ165">
        <v>6.8608809999999991</v>
      </c>
      <c r="FA165">
        <v>0</v>
      </c>
      <c r="FB165">
        <v>0</v>
      </c>
      <c r="FC165">
        <v>0</v>
      </c>
      <c r="FD165">
        <v>-1.954442</v>
      </c>
      <c r="FE165">
        <v>0</v>
      </c>
      <c r="FF165">
        <v>0</v>
      </c>
      <c r="FG165">
        <v>0</v>
      </c>
      <c r="FH165">
        <v>-1</v>
      </c>
      <c r="FI165">
        <v>-1</v>
      </c>
      <c r="FJ165">
        <v>-1</v>
      </c>
      <c r="FK165">
        <v>-1</v>
      </c>
      <c r="FL165">
        <v>0.7</v>
      </c>
      <c r="FM165">
        <v>0.5</v>
      </c>
      <c r="FN165">
        <v>0.13916000000000001</v>
      </c>
      <c r="FO165">
        <v>4.99756</v>
      </c>
      <c r="FP165">
        <v>1.5979000000000001</v>
      </c>
      <c r="FQ165">
        <v>2.1105999999999998</v>
      </c>
      <c r="FR165">
        <v>1.5478499999999999</v>
      </c>
      <c r="FS165">
        <v>2.5293000000000001</v>
      </c>
      <c r="FT165">
        <v>49.674399999999999</v>
      </c>
      <c r="FU165">
        <v>14.928800000000001</v>
      </c>
      <c r="FV165">
        <v>2</v>
      </c>
      <c r="FW165">
        <v>506.59399999999999</v>
      </c>
      <c r="FX165">
        <v>341.26600000000002</v>
      </c>
      <c r="FY165">
        <v>31.843599999999999</v>
      </c>
      <c r="FZ165">
        <v>40.098599999999998</v>
      </c>
      <c r="GA165">
        <v>29.9986</v>
      </c>
      <c r="GB165">
        <v>40.346600000000002</v>
      </c>
      <c r="GC165">
        <v>40.392400000000002</v>
      </c>
      <c r="GD165">
        <v>-1</v>
      </c>
      <c r="GE165">
        <v>0</v>
      </c>
      <c r="GF165">
        <v>100</v>
      </c>
      <c r="GG165">
        <v>31.924600000000002</v>
      </c>
      <c r="GH165">
        <v>432.1</v>
      </c>
      <c r="GI165">
        <v>44.267099999999999</v>
      </c>
      <c r="GJ165">
        <v>100.59099999999999</v>
      </c>
      <c r="GK165">
        <v>95.097099999999998</v>
      </c>
    </row>
    <row r="166" spans="1:193" x14ac:dyDescent="0.35">
      <c r="A166">
        <v>150</v>
      </c>
      <c r="B166">
        <v>1775540967.5</v>
      </c>
      <c r="C166">
        <v>8941.4000000953674</v>
      </c>
      <c r="D166" t="s">
        <v>767</v>
      </c>
      <c r="E166" t="s">
        <v>768</v>
      </c>
      <c r="F166">
        <v>60</v>
      </c>
      <c r="G166">
        <v>1775540959.5</v>
      </c>
      <c r="H166">
        <f t="shared" si="60"/>
        <v>4.4013503803746138E-3</v>
      </c>
      <c r="I166">
        <f t="shared" si="61"/>
        <v>4.4013503803746135</v>
      </c>
      <c r="J166">
        <f t="shared" si="62"/>
        <v>-3.3058365656569757</v>
      </c>
      <c r="K166">
        <f t="shared" si="63"/>
        <v>-5.1199967741935479</v>
      </c>
      <c r="L166">
        <f t="shared" si="64"/>
        <v>49.520367646900475</v>
      </c>
      <c r="M166">
        <f t="shared" si="65"/>
        <v>4.9589879955651925</v>
      </c>
      <c r="N166">
        <f t="shared" si="66"/>
        <v>-0.51271837724628644</v>
      </c>
      <c r="O166">
        <f t="shared" si="67"/>
        <v>9.5729210001385706E-2</v>
      </c>
      <c r="P166">
        <f t="shared" si="68"/>
        <v>2.3894385695721669</v>
      </c>
      <c r="Q166">
        <f t="shared" si="69"/>
        <v>9.3648476893891372E-2</v>
      </c>
      <c r="R166">
        <f t="shared" si="70"/>
        <v>5.871347684137683E-2</v>
      </c>
      <c r="S166">
        <f t="shared" si="71"/>
        <v>0.22260320487096771</v>
      </c>
      <c r="T166">
        <f t="shared" si="72"/>
        <v>31.811947645677002</v>
      </c>
      <c r="U166">
        <f t="shared" si="73"/>
        <v>33.234183870967748</v>
      </c>
      <c r="V166">
        <f t="shared" si="74"/>
        <v>5.1189661715679469</v>
      </c>
      <c r="W166">
        <f t="shared" si="75"/>
        <v>10.688161797338802</v>
      </c>
      <c r="X166">
        <f t="shared" si="76"/>
        <v>0.54561952849043449</v>
      </c>
      <c r="Y166">
        <f t="shared" si="77"/>
        <v>5.1048958542738925</v>
      </c>
      <c r="Z166">
        <f t="shared" si="78"/>
        <v>4.573346643077512</v>
      </c>
      <c r="AA166">
        <f t="shared" si="79"/>
        <v>-194.09955177452048</v>
      </c>
      <c r="AB166">
        <f t="shared" si="80"/>
        <v>-6.3200465793033835</v>
      </c>
      <c r="AC166">
        <f t="shared" si="81"/>
        <v>-0.60700497843072987</v>
      </c>
      <c r="AD166">
        <f t="shared" si="82"/>
        <v>-200.80400012738363</v>
      </c>
      <c r="AE166">
        <v>6</v>
      </c>
      <c r="AF166">
        <v>1</v>
      </c>
      <c r="AG166">
        <f t="shared" si="83"/>
        <v>1</v>
      </c>
      <c r="AH166">
        <f t="shared" si="84"/>
        <v>0</v>
      </c>
      <c r="AI166">
        <f t="shared" si="85"/>
        <v>25024.667579776029</v>
      </c>
      <c r="AJ166">
        <f t="shared" si="86"/>
        <v>1.1648519354838709</v>
      </c>
      <c r="AK166">
        <f t="shared" si="87"/>
        <v>0.9318815483870968</v>
      </c>
      <c r="AL166">
        <f t="shared" si="88"/>
        <v>0.8</v>
      </c>
      <c r="AM166">
        <f t="shared" si="89"/>
        <v>0.19109999999999999</v>
      </c>
      <c r="AN166">
        <v>3</v>
      </c>
      <c r="AO166">
        <v>0.5</v>
      </c>
      <c r="AP166" t="s">
        <v>317</v>
      </c>
      <c r="AQ166">
        <v>2</v>
      </c>
      <c r="AR166">
        <v>1775540959.5</v>
      </c>
      <c r="AS166">
        <v>-5.1199967741935479</v>
      </c>
      <c r="AT166">
        <v>-7.1170470967741926</v>
      </c>
      <c r="AU166">
        <v>5.4485470967741936</v>
      </c>
      <c r="AV166">
        <v>2.82208935483871</v>
      </c>
      <c r="AW166">
        <v>-11.95499677419355</v>
      </c>
      <c r="AX166">
        <v>4.7790893548387103</v>
      </c>
      <c r="AY166">
        <v>499.99312903225803</v>
      </c>
      <c r="AZ166">
        <v>100.09345161290319</v>
      </c>
      <c r="BA166">
        <v>4.6919535483870969E-2</v>
      </c>
      <c r="BB166">
        <v>33.185122580645157</v>
      </c>
      <c r="BC166">
        <v>33.234183870967748</v>
      </c>
      <c r="BD166">
        <v>999.90000000000032</v>
      </c>
      <c r="BE166">
        <v>0</v>
      </c>
      <c r="BF166">
        <v>0</v>
      </c>
      <c r="BG166">
        <v>4998.9516129032254</v>
      </c>
      <c r="BH166">
        <v>1.1648519354838709</v>
      </c>
      <c r="BI166">
        <v>1194.9170967741941</v>
      </c>
      <c r="BJ166">
        <v>1.9880219354838711</v>
      </c>
      <c r="BK166">
        <v>-5.143546774193549</v>
      </c>
      <c r="BL166">
        <v>-7.1560374193548384</v>
      </c>
      <c r="BM166">
        <v>-2.6249729032258071</v>
      </c>
      <c r="BN166">
        <v>-7.1170470967741926</v>
      </c>
      <c r="BO166">
        <v>5.4485470967741936</v>
      </c>
      <c r="BP166">
        <v>0.28262106451612901</v>
      </c>
      <c r="BQ166">
        <v>0.54536358064516122</v>
      </c>
      <c r="BR166">
        <v>-10.221916129032261</v>
      </c>
      <c r="BS166">
        <v>-1.6133812903225799</v>
      </c>
      <c r="BT166">
        <v>1775540996.5</v>
      </c>
      <c r="BU166" t="s">
        <v>769</v>
      </c>
      <c r="BV166">
        <v>1775540985.5</v>
      </c>
      <c r="BW166">
        <v>1775540996.5</v>
      </c>
      <c r="BX166">
        <v>151</v>
      </c>
      <c r="BY166">
        <v>8.9999999999999993E-3</v>
      </c>
      <c r="BZ166">
        <v>-2E-3</v>
      </c>
      <c r="CA166">
        <v>6.835</v>
      </c>
      <c r="CB166">
        <v>-1.9570000000000001</v>
      </c>
      <c r="CC166">
        <v>-7</v>
      </c>
      <c r="CD166">
        <v>5</v>
      </c>
      <c r="CE166">
        <v>0.2</v>
      </c>
      <c r="CF166">
        <v>0.04</v>
      </c>
      <c r="CG166">
        <v>-7.2054011666666664</v>
      </c>
      <c r="CH166">
        <v>0.714665551542087</v>
      </c>
      <c r="CI166">
        <v>0.1213350280571892</v>
      </c>
      <c r="CJ166">
        <v>-1</v>
      </c>
      <c r="CK166">
        <v>500.92680000000013</v>
      </c>
      <c r="CL166">
        <v>-8.9977126979703765</v>
      </c>
      <c r="CM166">
        <v>1.8978840129646111</v>
      </c>
      <c r="CN166">
        <v>-1</v>
      </c>
      <c r="CO166">
        <v>0</v>
      </c>
      <c r="CP166">
        <v>0</v>
      </c>
      <c r="CQ166" t="s">
        <v>319</v>
      </c>
      <c r="CR166">
        <v>3.1694599999999999</v>
      </c>
      <c r="CS166">
        <v>2.67028</v>
      </c>
      <c r="CT166">
        <v>-3.4420800000000001E-3</v>
      </c>
      <c r="CU166">
        <v>-2.1243899999999999E-3</v>
      </c>
      <c r="CV166">
        <v>3.1760499999999997E-2</v>
      </c>
      <c r="CW166">
        <v>3.5189999999999999E-2</v>
      </c>
      <c r="CX166">
        <v>21248.6</v>
      </c>
      <c r="CY166">
        <v>21684.5</v>
      </c>
      <c r="CZ166">
        <v>22714.5</v>
      </c>
      <c r="DA166">
        <v>22013.9</v>
      </c>
      <c r="DB166">
        <v>28392</v>
      </c>
      <c r="DC166">
        <v>25276.1</v>
      </c>
      <c r="DD166">
        <v>39987.800000000003</v>
      </c>
      <c r="DE166">
        <v>36423.4</v>
      </c>
      <c r="DF166">
        <v>1.98064</v>
      </c>
      <c r="DG166">
        <v>1.5830599999999999</v>
      </c>
      <c r="DH166">
        <v>-7.1370600000000006E-2</v>
      </c>
      <c r="DI166">
        <v>0</v>
      </c>
      <c r="DJ166">
        <v>34.381599999999999</v>
      </c>
      <c r="DK166">
        <v>999.9</v>
      </c>
      <c r="DL166">
        <v>50.3</v>
      </c>
      <c r="DM166">
        <v>46.2</v>
      </c>
      <c r="DN166">
        <v>51.514600000000002</v>
      </c>
      <c r="DO166">
        <v>30.671199999999999</v>
      </c>
      <c r="DP166">
        <v>10.929500000000001</v>
      </c>
      <c r="DQ166">
        <v>1</v>
      </c>
      <c r="DR166">
        <v>1.0687800000000001</v>
      </c>
      <c r="DS166">
        <v>2.4968900000000001</v>
      </c>
      <c r="DT166">
        <v>20.337</v>
      </c>
      <c r="DU166">
        <v>5.2069900000000002</v>
      </c>
      <c r="DV166">
        <v>11.8573</v>
      </c>
      <c r="DW166">
        <v>4.9665600000000003</v>
      </c>
      <c r="DX166">
        <v>3.2924000000000002</v>
      </c>
      <c r="DY166">
        <v>894.7</v>
      </c>
      <c r="DZ166">
        <v>6</v>
      </c>
      <c r="EA166">
        <v>9999</v>
      </c>
      <c r="EB166">
        <v>118.2</v>
      </c>
      <c r="EC166">
        <v>4.97159</v>
      </c>
      <c r="ED166">
        <v>1.8721099999999999</v>
      </c>
      <c r="EE166">
        <v>1.86951</v>
      </c>
      <c r="EF166">
        <v>1.8717999999999999</v>
      </c>
      <c r="EG166">
        <v>1.86958</v>
      </c>
      <c r="EH166">
        <v>1.8684400000000001</v>
      </c>
      <c r="EI166">
        <v>1.8702700000000001</v>
      </c>
      <c r="EJ166">
        <v>1.87195</v>
      </c>
      <c r="EK166">
        <v>0</v>
      </c>
      <c r="EL166">
        <v>0</v>
      </c>
      <c r="EM166">
        <v>0</v>
      </c>
      <c r="EN166">
        <v>0</v>
      </c>
      <c r="EO166" t="s">
        <v>320</v>
      </c>
      <c r="EP166" t="s">
        <v>321</v>
      </c>
      <c r="EQ166" t="s">
        <v>322</v>
      </c>
      <c r="ER166" t="s">
        <v>322</v>
      </c>
      <c r="ES166" t="s">
        <v>322</v>
      </c>
      <c r="ET166" t="s">
        <v>322</v>
      </c>
      <c r="EU166">
        <v>0</v>
      </c>
      <c r="EV166">
        <v>100</v>
      </c>
      <c r="EW166">
        <v>100</v>
      </c>
      <c r="EX166">
        <v>6.835</v>
      </c>
      <c r="EY166">
        <v>-1.9570000000000001</v>
      </c>
      <c r="EZ166">
        <v>6.8259649999999992</v>
      </c>
      <c r="FA166">
        <v>0</v>
      </c>
      <c r="FB166">
        <v>0</v>
      </c>
      <c r="FC166">
        <v>0</v>
      </c>
      <c r="FD166">
        <v>-1.9555155</v>
      </c>
      <c r="FE166">
        <v>0</v>
      </c>
      <c r="FF166">
        <v>0</v>
      </c>
      <c r="FG166">
        <v>0</v>
      </c>
      <c r="FH166">
        <v>-1</v>
      </c>
      <c r="FI166">
        <v>-1</v>
      </c>
      <c r="FJ166">
        <v>-1</v>
      </c>
      <c r="FK166">
        <v>-1</v>
      </c>
      <c r="FL166">
        <v>0.7</v>
      </c>
      <c r="FM166">
        <v>0.6</v>
      </c>
      <c r="FN166">
        <v>0.13916000000000001</v>
      </c>
      <c r="FO166">
        <v>4.99756</v>
      </c>
      <c r="FP166">
        <v>1.5979000000000001</v>
      </c>
      <c r="FQ166">
        <v>2.1105999999999998</v>
      </c>
      <c r="FR166">
        <v>1.5478499999999999</v>
      </c>
      <c r="FS166">
        <v>2.4218799999999998</v>
      </c>
      <c r="FT166">
        <v>49.5792</v>
      </c>
      <c r="FU166">
        <v>14.911300000000001</v>
      </c>
      <c r="FV166">
        <v>2</v>
      </c>
      <c r="FW166">
        <v>506.56200000000001</v>
      </c>
      <c r="FX166">
        <v>341.161</v>
      </c>
      <c r="FY166">
        <v>31.960799999999999</v>
      </c>
      <c r="FZ166">
        <v>40.076900000000002</v>
      </c>
      <c r="GA166">
        <v>29.999500000000001</v>
      </c>
      <c r="GB166">
        <v>40.315300000000001</v>
      </c>
      <c r="GC166">
        <v>40.354599999999998</v>
      </c>
      <c r="GD166">
        <v>-1</v>
      </c>
      <c r="GE166">
        <v>0</v>
      </c>
      <c r="GF166">
        <v>100</v>
      </c>
      <c r="GG166">
        <v>31.976400000000002</v>
      </c>
      <c r="GH166">
        <v>432.1</v>
      </c>
      <c r="GI166">
        <v>44.267099999999999</v>
      </c>
      <c r="GJ166">
        <v>100.593</v>
      </c>
      <c r="GK166">
        <v>95.100499999999997</v>
      </c>
    </row>
    <row r="167" spans="1:193" x14ac:dyDescent="0.35">
      <c r="A167">
        <v>151</v>
      </c>
      <c r="B167">
        <v>1775541027.5</v>
      </c>
      <c r="C167">
        <v>9001.4000000953674</v>
      </c>
      <c r="D167" t="s">
        <v>770</v>
      </c>
      <c r="E167" t="s">
        <v>771</v>
      </c>
      <c r="F167">
        <v>60</v>
      </c>
      <c r="G167">
        <v>1775541019.5</v>
      </c>
      <c r="H167">
        <f t="shared" si="60"/>
        <v>4.0511687954824438E-3</v>
      </c>
      <c r="I167">
        <f t="shared" si="61"/>
        <v>4.051168795482444</v>
      </c>
      <c r="J167">
        <f t="shared" si="62"/>
        <v>-3.280034971094548</v>
      </c>
      <c r="K167">
        <f t="shared" si="63"/>
        <v>-5.5037645161290314</v>
      </c>
      <c r="L167">
        <f t="shared" si="64"/>
        <v>53.413071217212263</v>
      </c>
      <c r="M167">
        <f t="shared" si="65"/>
        <v>5.3484994233321332</v>
      </c>
      <c r="N167">
        <f t="shared" si="66"/>
        <v>-0.55111755736648216</v>
      </c>
      <c r="O167">
        <f t="shared" si="67"/>
        <v>8.7950885458022862E-2</v>
      </c>
      <c r="P167">
        <f t="shared" si="68"/>
        <v>2.3906697694694881</v>
      </c>
      <c r="Q167">
        <f t="shared" si="69"/>
        <v>8.6192086213478208E-2</v>
      </c>
      <c r="R167">
        <f t="shared" si="70"/>
        <v>5.4025145568586036E-2</v>
      </c>
      <c r="S167">
        <f t="shared" si="71"/>
        <v>0.2093259467419355</v>
      </c>
      <c r="T167">
        <f t="shared" si="72"/>
        <v>31.895872013747869</v>
      </c>
      <c r="U167">
        <f t="shared" si="73"/>
        <v>33.232148387096771</v>
      </c>
      <c r="V167">
        <f t="shared" si="74"/>
        <v>5.1183817437774319</v>
      </c>
      <c r="W167">
        <f t="shared" si="75"/>
        <v>10.691239635336691</v>
      </c>
      <c r="X167">
        <f t="shared" si="76"/>
        <v>0.54498317923588502</v>
      </c>
      <c r="Y167">
        <f t="shared" si="77"/>
        <v>5.0974741734775666</v>
      </c>
      <c r="Z167">
        <f t="shared" si="78"/>
        <v>4.5733985645415469</v>
      </c>
      <c r="AA167">
        <f t="shared" si="79"/>
        <v>-178.65654388077576</v>
      </c>
      <c r="AB167">
        <f t="shared" si="80"/>
        <v>-9.4024261595222391</v>
      </c>
      <c r="AC167">
        <f t="shared" si="81"/>
        <v>-0.90246153708081633</v>
      </c>
      <c r="AD167">
        <f t="shared" si="82"/>
        <v>-188.75210563063686</v>
      </c>
      <c r="AE167">
        <v>5</v>
      </c>
      <c r="AF167">
        <v>1</v>
      </c>
      <c r="AG167">
        <f t="shared" si="83"/>
        <v>1</v>
      </c>
      <c r="AH167">
        <f t="shared" si="84"/>
        <v>0</v>
      </c>
      <c r="AI167">
        <f t="shared" si="85"/>
        <v>25045.385622863301</v>
      </c>
      <c r="AJ167">
        <f t="shared" si="86"/>
        <v>1.0953738709677421</v>
      </c>
      <c r="AK167">
        <f t="shared" si="87"/>
        <v>0.87629909677419371</v>
      </c>
      <c r="AL167">
        <f t="shared" si="88"/>
        <v>0.8</v>
      </c>
      <c r="AM167">
        <f t="shared" si="89"/>
        <v>0.19109999999999999</v>
      </c>
      <c r="AN167">
        <v>3</v>
      </c>
      <c r="AO167">
        <v>0.5</v>
      </c>
      <c r="AP167" t="s">
        <v>317</v>
      </c>
      <c r="AQ167">
        <v>2</v>
      </c>
      <c r="AR167">
        <v>1775541019.5</v>
      </c>
      <c r="AS167">
        <v>-5.5037645161290314</v>
      </c>
      <c r="AT167">
        <v>-7.4852003225806447</v>
      </c>
      <c r="AU167">
        <v>5.4425032258064521</v>
      </c>
      <c r="AV167">
        <v>3.0249861290322588</v>
      </c>
      <c r="AW167">
        <v>-12.35476451612903</v>
      </c>
      <c r="AX167">
        <v>4.9819861290322587</v>
      </c>
      <c r="AY167">
        <v>499.99070967741932</v>
      </c>
      <c r="AZ167">
        <v>100.08719354838711</v>
      </c>
      <c r="BA167">
        <v>4.746078709677419E-2</v>
      </c>
      <c r="BB167">
        <v>33.159196774193553</v>
      </c>
      <c r="BC167">
        <v>33.232148387096771</v>
      </c>
      <c r="BD167">
        <v>999.90000000000032</v>
      </c>
      <c r="BE167">
        <v>0</v>
      </c>
      <c r="BF167">
        <v>0</v>
      </c>
      <c r="BG167">
        <v>5002.4354838709678</v>
      </c>
      <c r="BH167">
        <v>1.0953738709677421</v>
      </c>
      <c r="BI167">
        <v>944.93354838709683</v>
      </c>
      <c r="BJ167">
        <v>1.9654735483870971</v>
      </c>
      <c r="BK167">
        <v>-5.536474193548389</v>
      </c>
      <c r="BL167">
        <v>-7.5261619354838691</v>
      </c>
      <c r="BM167">
        <v>-2.417613225806452</v>
      </c>
      <c r="BN167">
        <v>-7.4852003225806447</v>
      </c>
      <c r="BO167">
        <v>5.4425032258064521</v>
      </c>
      <c r="BP167">
        <v>0.30275303225806449</v>
      </c>
      <c r="BQ167">
        <v>0.54472522580645166</v>
      </c>
      <c r="BR167">
        <v>-9.3502261290322561</v>
      </c>
      <c r="BS167">
        <v>-1.6292922580645159</v>
      </c>
      <c r="BT167">
        <v>1775541060</v>
      </c>
      <c r="BU167" t="s">
        <v>772</v>
      </c>
      <c r="BV167">
        <v>1775541045.5</v>
      </c>
      <c r="BW167">
        <v>1775541060</v>
      </c>
      <c r="BX167">
        <v>152</v>
      </c>
      <c r="BY167">
        <v>1.6E-2</v>
      </c>
      <c r="BZ167">
        <v>0</v>
      </c>
      <c r="CA167">
        <v>6.851</v>
      </c>
      <c r="CB167">
        <v>-1.9570000000000001</v>
      </c>
      <c r="CC167">
        <v>-7</v>
      </c>
      <c r="CD167">
        <v>5</v>
      </c>
      <c r="CE167">
        <v>0.2</v>
      </c>
      <c r="CF167">
        <v>0.04</v>
      </c>
      <c r="CG167">
        <v>-7.4705296666666667</v>
      </c>
      <c r="CH167">
        <v>-0.14792835787719119</v>
      </c>
      <c r="CI167">
        <v>4.5346483618419149E-2</v>
      </c>
      <c r="CJ167">
        <v>-1</v>
      </c>
      <c r="CK167">
        <v>500.94201666666658</v>
      </c>
      <c r="CL167">
        <v>-7.7976693525971763</v>
      </c>
      <c r="CM167">
        <v>1.8727948676747519</v>
      </c>
      <c r="CN167">
        <v>-1</v>
      </c>
      <c r="CO167">
        <v>0</v>
      </c>
      <c r="CP167">
        <v>0</v>
      </c>
      <c r="CQ167" t="s">
        <v>319</v>
      </c>
      <c r="CR167">
        <v>3.1695199999999999</v>
      </c>
      <c r="CS167">
        <v>2.66913</v>
      </c>
      <c r="CT167">
        <v>-3.5748300000000002E-3</v>
      </c>
      <c r="CU167">
        <v>-2.1611199999999999E-3</v>
      </c>
      <c r="CV167">
        <v>3.3079999999999998E-2</v>
      </c>
      <c r="CW167">
        <v>3.5179299999999997E-2</v>
      </c>
      <c r="CX167">
        <v>21254.6</v>
      </c>
      <c r="CY167">
        <v>21688.3</v>
      </c>
      <c r="CZ167">
        <v>22717.599999999999</v>
      </c>
      <c r="DA167">
        <v>22016.799999999999</v>
      </c>
      <c r="DB167">
        <v>28356.9</v>
      </c>
      <c r="DC167">
        <v>25280.1</v>
      </c>
      <c r="DD167">
        <v>39992.699999999997</v>
      </c>
      <c r="DE167">
        <v>36428.6</v>
      </c>
      <c r="DF167">
        <v>1.9816800000000001</v>
      </c>
      <c r="DG167">
        <v>1.5843799999999999</v>
      </c>
      <c r="DH167">
        <v>-6.5532300000000002E-2</v>
      </c>
      <c r="DI167">
        <v>0</v>
      </c>
      <c r="DJ167">
        <v>34.2988</v>
      </c>
      <c r="DK167">
        <v>999.9</v>
      </c>
      <c r="DL167">
        <v>50.4</v>
      </c>
      <c r="DM167">
        <v>46.2</v>
      </c>
      <c r="DN167">
        <v>51.621499999999997</v>
      </c>
      <c r="DO167">
        <v>30.7912</v>
      </c>
      <c r="DP167">
        <v>10.913500000000001</v>
      </c>
      <c r="DQ167">
        <v>1</v>
      </c>
      <c r="DR167">
        <v>1.0593399999999999</v>
      </c>
      <c r="DS167">
        <v>2.1129500000000001</v>
      </c>
      <c r="DT167">
        <v>20.3444</v>
      </c>
      <c r="DU167">
        <v>5.2093800000000003</v>
      </c>
      <c r="DV167">
        <v>11.858499999999999</v>
      </c>
      <c r="DW167">
        <v>4.9673600000000002</v>
      </c>
      <c r="DX167">
        <v>3.2929400000000002</v>
      </c>
      <c r="DY167">
        <v>894.7</v>
      </c>
      <c r="DZ167">
        <v>6</v>
      </c>
      <c r="EA167">
        <v>9999</v>
      </c>
      <c r="EB167">
        <v>118.2</v>
      </c>
      <c r="EC167">
        <v>4.9715699999999998</v>
      </c>
      <c r="ED167">
        <v>1.87212</v>
      </c>
      <c r="EE167">
        <v>1.86951</v>
      </c>
      <c r="EF167">
        <v>1.8717999999999999</v>
      </c>
      <c r="EG167">
        <v>1.8696200000000001</v>
      </c>
      <c r="EH167">
        <v>1.8684400000000001</v>
      </c>
      <c r="EI167">
        <v>1.8702700000000001</v>
      </c>
      <c r="EJ167">
        <v>1.87195</v>
      </c>
      <c r="EK167">
        <v>0</v>
      </c>
      <c r="EL167">
        <v>0</v>
      </c>
      <c r="EM167">
        <v>0</v>
      </c>
      <c r="EN167">
        <v>0</v>
      </c>
      <c r="EO167" t="s">
        <v>320</v>
      </c>
      <c r="EP167" t="s">
        <v>321</v>
      </c>
      <c r="EQ167" t="s">
        <v>322</v>
      </c>
      <c r="ER167" t="s">
        <v>322</v>
      </c>
      <c r="ES167" t="s">
        <v>322</v>
      </c>
      <c r="ET167" t="s">
        <v>322</v>
      </c>
      <c r="EU167">
        <v>0</v>
      </c>
      <c r="EV167">
        <v>100</v>
      </c>
      <c r="EW167">
        <v>100</v>
      </c>
      <c r="EX167">
        <v>6.851</v>
      </c>
      <c r="EY167">
        <v>-1.9570000000000001</v>
      </c>
      <c r="EZ167">
        <v>6.835031500000003</v>
      </c>
      <c r="FA167">
        <v>0</v>
      </c>
      <c r="FB167">
        <v>0</v>
      </c>
      <c r="FC167">
        <v>0</v>
      </c>
      <c r="FD167">
        <v>-1.9570959999999979</v>
      </c>
      <c r="FE167">
        <v>0</v>
      </c>
      <c r="FF167">
        <v>0</v>
      </c>
      <c r="FG167">
        <v>0</v>
      </c>
      <c r="FH167">
        <v>-1</v>
      </c>
      <c r="FI167">
        <v>-1</v>
      </c>
      <c r="FJ167">
        <v>-1</v>
      </c>
      <c r="FK167">
        <v>-1</v>
      </c>
      <c r="FL167">
        <v>0.7</v>
      </c>
      <c r="FM167">
        <v>0.5</v>
      </c>
      <c r="FN167">
        <v>0.13916000000000001</v>
      </c>
      <c r="FO167">
        <v>4.99756</v>
      </c>
      <c r="FP167">
        <v>1.5979000000000001</v>
      </c>
      <c r="FQ167">
        <v>2.1105999999999998</v>
      </c>
      <c r="FR167">
        <v>1.5478499999999999</v>
      </c>
      <c r="FS167">
        <v>2.4035600000000001</v>
      </c>
      <c r="FT167">
        <v>49.452599999999997</v>
      </c>
      <c r="FU167">
        <v>14.911300000000001</v>
      </c>
      <c r="FV167">
        <v>2</v>
      </c>
      <c r="FW167">
        <v>506.74599999999998</v>
      </c>
      <c r="FX167">
        <v>341.53800000000001</v>
      </c>
      <c r="FY167">
        <v>32.179200000000002</v>
      </c>
      <c r="FZ167">
        <v>39.9953</v>
      </c>
      <c r="GA167">
        <v>29.999099999999999</v>
      </c>
      <c r="GB167">
        <v>40.2455</v>
      </c>
      <c r="GC167">
        <v>40.2821</v>
      </c>
      <c r="GD167">
        <v>-1</v>
      </c>
      <c r="GE167">
        <v>0</v>
      </c>
      <c r="GF167">
        <v>100</v>
      </c>
      <c r="GG167">
        <v>32.217700000000001</v>
      </c>
      <c r="GH167">
        <v>432.1</v>
      </c>
      <c r="GI167">
        <v>44.267099999999999</v>
      </c>
      <c r="GJ167">
        <v>100.60599999999999</v>
      </c>
      <c r="GK167">
        <v>95.113500000000002</v>
      </c>
    </row>
    <row r="168" spans="1:193" x14ac:dyDescent="0.35">
      <c r="A168">
        <v>152</v>
      </c>
      <c r="B168">
        <v>1775541087.5</v>
      </c>
      <c r="C168">
        <v>9061.4000000953674</v>
      </c>
      <c r="D168" t="s">
        <v>773</v>
      </c>
      <c r="E168" t="s">
        <v>774</v>
      </c>
      <c r="F168">
        <v>60</v>
      </c>
      <c r="G168">
        <v>1775541079.75</v>
      </c>
      <c r="H168">
        <f t="shared" si="60"/>
        <v>3.7412999749279535E-3</v>
      </c>
      <c r="I168">
        <f t="shared" si="61"/>
        <v>3.7412999749279536</v>
      </c>
      <c r="J168">
        <f t="shared" si="62"/>
        <v>-3.0673412930544233</v>
      </c>
      <c r="K168">
        <f t="shared" si="63"/>
        <v>-5.6039066666666688</v>
      </c>
      <c r="L168">
        <f t="shared" si="64"/>
        <v>54.256249658370962</v>
      </c>
      <c r="M168">
        <f t="shared" si="65"/>
        <v>5.4327260760592369</v>
      </c>
      <c r="N168">
        <f t="shared" si="66"/>
        <v>-0.56112411136963025</v>
      </c>
      <c r="O168">
        <f t="shared" si="67"/>
        <v>8.0832783182329601E-2</v>
      </c>
      <c r="P168">
        <f t="shared" si="68"/>
        <v>2.3894727432967717</v>
      </c>
      <c r="Q168">
        <f t="shared" si="69"/>
        <v>7.9343825630187395E-2</v>
      </c>
      <c r="R168">
        <f t="shared" si="70"/>
        <v>4.9721383487299597E-2</v>
      </c>
      <c r="S168">
        <f t="shared" si="71"/>
        <v>0.20560353449999999</v>
      </c>
      <c r="T168">
        <f t="shared" si="72"/>
        <v>32.025662763733109</v>
      </c>
      <c r="U168">
        <f t="shared" si="73"/>
        <v>33.278033333333333</v>
      </c>
      <c r="V168">
        <f t="shared" si="74"/>
        <v>5.131570325917143</v>
      </c>
      <c r="W168">
        <f t="shared" si="75"/>
        <v>10.650025909706082</v>
      </c>
      <c r="X168">
        <f t="shared" si="76"/>
        <v>0.54390607235661981</v>
      </c>
      <c r="Y168">
        <f t="shared" si="77"/>
        <v>5.1070868462481558</v>
      </c>
      <c r="Z168">
        <f t="shared" si="78"/>
        <v>4.587664253560523</v>
      </c>
      <c r="AA168">
        <f t="shared" si="79"/>
        <v>-164.99132889432275</v>
      </c>
      <c r="AB168">
        <f t="shared" si="80"/>
        <v>-10.983729565972304</v>
      </c>
      <c r="AC168">
        <f t="shared" si="81"/>
        <v>-1.055176599948368</v>
      </c>
      <c r="AD168">
        <f t="shared" si="82"/>
        <v>-176.82463152574343</v>
      </c>
      <c r="AE168">
        <v>6</v>
      </c>
      <c r="AF168">
        <v>1</v>
      </c>
      <c r="AG168">
        <f t="shared" si="83"/>
        <v>1</v>
      </c>
      <c r="AH168">
        <f t="shared" si="84"/>
        <v>0</v>
      </c>
      <c r="AI168">
        <f t="shared" si="85"/>
        <v>25024.963968778331</v>
      </c>
      <c r="AJ168">
        <f t="shared" si="86"/>
        <v>1.075895</v>
      </c>
      <c r="AK168">
        <f t="shared" si="87"/>
        <v>0.86071600000000004</v>
      </c>
      <c r="AL168">
        <f t="shared" si="88"/>
        <v>0.8</v>
      </c>
      <c r="AM168">
        <f t="shared" si="89"/>
        <v>0.19109999999999999</v>
      </c>
      <c r="AN168">
        <v>3</v>
      </c>
      <c r="AO168">
        <v>0.5</v>
      </c>
      <c r="AP168" t="s">
        <v>317</v>
      </c>
      <c r="AQ168">
        <v>2</v>
      </c>
      <c r="AR168">
        <v>1775541079.75</v>
      </c>
      <c r="AS168">
        <v>-5.6039066666666688</v>
      </c>
      <c r="AT168">
        <v>-7.456903333333333</v>
      </c>
      <c r="AU168">
        <v>5.431951333333334</v>
      </c>
      <c r="AV168">
        <v>3.199349999999999</v>
      </c>
      <c r="AW168">
        <v>-12.43790666666667</v>
      </c>
      <c r="AX168">
        <v>5.1523499999999993</v>
      </c>
      <c r="AY168">
        <v>499.99666666666673</v>
      </c>
      <c r="AZ168">
        <v>100.0829</v>
      </c>
      <c r="BA168">
        <v>4.7980963333333328E-2</v>
      </c>
      <c r="BB168">
        <v>33.19277000000001</v>
      </c>
      <c r="BC168">
        <v>33.278033333333333</v>
      </c>
      <c r="BD168">
        <v>999.9000000000002</v>
      </c>
      <c r="BE168">
        <v>0</v>
      </c>
      <c r="BF168">
        <v>0</v>
      </c>
      <c r="BG168">
        <v>4999.5666666666666</v>
      </c>
      <c r="BH168">
        <v>1.075895</v>
      </c>
      <c r="BI168">
        <v>939.26180000000011</v>
      </c>
      <c r="BJ168">
        <v>1.869758333333333</v>
      </c>
      <c r="BK168">
        <v>-5.6050616666666668</v>
      </c>
      <c r="BL168">
        <v>-7.4976299999999991</v>
      </c>
      <c r="BM168">
        <v>-2.2362143333333329</v>
      </c>
      <c r="BN168">
        <v>-7.456903333333333</v>
      </c>
      <c r="BO168">
        <v>5.431951333333334</v>
      </c>
      <c r="BP168">
        <v>0.31983856666666671</v>
      </c>
      <c r="BQ168">
        <v>0.54364540000000006</v>
      </c>
      <c r="BR168">
        <v>-8.6533123333333322</v>
      </c>
      <c r="BS168">
        <v>-1.6562393333333341</v>
      </c>
      <c r="BT168">
        <v>1775541114.5</v>
      </c>
      <c r="BU168" t="s">
        <v>775</v>
      </c>
      <c r="BV168">
        <v>1775541111</v>
      </c>
      <c r="BW168">
        <v>1775541114.5</v>
      </c>
      <c r="BX168">
        <v>153</v>
      </c>
      <c r="BY168">
        <v>-1.6E-2</v>
      </c>
      <c r="BZ168">
        <v>3.0000000000000001E-3</v>
      </c>
      <c r="CA168">
        <v>6.8339999999999996</v>
      </c>
      <c r="CB168">
        <v>-1.9530000000000001</v>
      </c>
      <c r="CC168">
        <v>-8</v>
      </c>
      <c r="CD168">
        <v>5</v>
      </c>
      <c r="CE168">
        <v>0.38</v>
      </c>
      <c r="CF168">
        <v>0.03</v>
      </c>
      <c r="CG168">
        <v>-7.4223536666666661</v>
      </c>
      <c r="CH168">
        <v>-0.17071908863573129</v>
      </c>
      <c r="CI168">
        <v>5.1556004337246913E-2</v>
      </c>
      <c r="CJ168">
        <v>-1</v>
      </c>
      <c r="CK168">
        <v>500.98141666666669</v>
      </c>
      <c r="CL168">
        <v>-5.2548096693514648</v>
      </c>
      <c r="CM168">
        <v>1.8821804491215941</v>
      </c>
      <c r="CN168">
        <v>-1</v>
      </c>
      <c r="CO168">
        <v>0</v>
      </c>
      <c r="CP168">
        <v>0</v>
      </c>
      <c r="CQ168" t="s">
        <v>319</v>
      </c>
      <c r="CR168">
        <v>3.1695199999999999</v>
      </c>
      <c r="CS168">
        <v>2.6682999999999999</v>
      </c>
      <c r="CT168">
        <v>-3.5696500000000002E-3</v>
      </c>
      <c r="CU168">
        <v>-2.1616500000000002E-3</v>
      </c>
      <c r="CV168">
        <v>3.3039600000000002E-2</v>
      </c>
      <c r="CW168">
        <v>3.5086300000000001E-2</v>
      </c>
      <c r="CX168">
        <v>21258</v>
      </c>
      <c r="CY168">
        <v>21691.4</v>
      </c>
      <c r="CZ168">
        <v>22721</v>
      </c>
      <c r="DA168">
        <v>22019.599999999999</v>
      </c>
      <c r="DB168">
        <v>28362.1</v>
      </c>
      <c r="DC168">
        <v>25286.3</v>
      </c>
      <c r="DD168">
        <v>39998.1</v>
      </c>
      <c r="DE168">
        <v>36433.800000000003</v>
      </c>
      <c r="DF168">
        <v>1.9822</v>
      </c>
      <c r="DG168">
        <v>1.5867599999999999</v>
      </c>
      <c r="DH168">
        <v>-6.0039799999999997E-2</v>
      </c>
      <c r="DI168">
        <v>0</v>
      </c>
      <c r="DJ168">
        <v>34.22</v>
      </c>
      <c r="DK168">
        <v>999.9</v>
      </c>
      <c r="DL168">
        <v>50.5</v>
      </c>
      <c r="DM168">
        <v>46.1</v>
      </c>
      <c r="DN168">
        <v>51.457500000000003</v>
      </c>
      <c r="DO168">
        <v>30.731200000000001</v>
      </c>
      <c r="DP168">
        <v>10.785299999999999</v>
      </c>
      <c r="DQ168">
        <v>1</v>
      </c>
      <c r="DR168">
        <v>1.0525199999999999</v>
      </c>
      <c r="DS168">
        <v>2.3902700000000001</v>
      </c>
      <c r="DT168">
        <v>20.339500000000001</v>
      </c>
      <c r="DU168">
        <v>5.2099799999999998</v>
      </c>
      <c r="DV168">
        <v>11.8582</v>
      </c>
      <c r="DW168">
        <v>4.9661999999999997</v>
      </c>
      <c r="DX168">
        <v>3.2930000000000001</v>
      </c>
      <c r="DY168">
        <v>894.7</v>
      </c>
      <c r="DZ168">
        <v>6</v>
      </c>
      <c r="EA168">
        <v>9999</v>
      </c>
      <c r="EB168">
        <v>118.3</v>
      </c>
      <c r="EC168">
        <v>4.9715999999999996</v>
      </c>
      <c r="ED168">
        <v>1.8721099999999999</v>
      </c>
      <c r="EE168">
        <v>1.86951</v>
      </c>
      <c r="EF168">
        <v>1.8717999999999999</v>
      </c>
      <c r="EG168">
        <v>1.86958</v>
      </c>
      <c r="EH168">
        <v>1.8684400000000001</v>
      </c>
      <c r="EI168">
        <v>1.87026</v>
      </c>
      <c r="EJ168">
        <v>1.87195</v>
      </c>
      <c r="EK168">
        <v>0</v>
      </c>
      <c r="EL168">
        <v>0</v>
      </c>
      <c r="EM168">
        <v>0</v>
      </c>
      <c r="EN168">
        <v>0</v>
      </c>
      <c r="EO168" t="s">
        <v>320</v>
      </c>
      <c r="EP168" t="s">
        <v>321</v>
      </c>
      <c r="EQ168" t="s">
        <v>322</v>
      </c>
      <c r="ER168" t="s">
        <v>322</v>
      </c>
      <c r="ES168" t="s">
        <v>322</v>
      </c>
      <c r="ET168" t="s">
        <v>322</v>
      </c>
      <c r="EU168">
        <v>0</v>
      </c>
      <c r="EV168">
        <v>100</v>
      </c>
      <c r="EW168">
        <v>100</v>
      </c>
      <c r="EX168">
        <v>6.8339999999999996</v>
      </c>
      <c r="EY168">
        <v>-1.9530000000000001</v>
      </c>
      <c r="EZ168">
        <v>6.8507565000000019</v>
      </c>
      <c r="FA168">
        <v>0</v>
      </c>
      <c r="FB168">
        <v>0</v>
      </c>
      <c r="FC168">
        <v>0</v>
      </c>
      <c r="FD168">
        <v>-1.9566119047619031</v>
      </c>
      <c r="FE168">
        <v>0</v>
      </c>
      <c r="FF168">
        <v>0</v>
      </c>
      <c r="FG168">
        <v>0</v>
      </c>
      <c r="FH168">
        <v>-1</v>
      </c>
      <c r="FI168">
        <v>-1</v>
      </c>
      <c r="FJ168">
        <v>-1</v>
      </c>
      <c r="FK168">
        <v>-1</v>
      </c>
      <c r="FL168">
        <v>0.7</v>
      </c>
      <c r="FM168">
        <v>0.5</v>
      </c>
      <c r="FN168">
        <v>0.13916000000000001</v>
      </c>
      <c r="FO168">
        <v>4.99756</v>
      </c>
      <c r="FP168">
        <v>1.5979000000000001</v>
      </c>
      <c r="FQ168">
        <v>2.1093799999999998</v>
      </c>
      <c r="FR168">
        <v>1.5478499999999999</v>
      </c>
      <c r="FS168">
        <v>2.49268</v>
      </c>
      <c r="FT168">
        <v>49.294899999999998</v>
      </c>
      <c r="FU168">
        <v>14.9026</v>
      </c>
      <c r="FV168">
        <v>2</v>
      </c>
      <c r="FW168">
        <v>506.476</v>
      </c>
      <c r="FX168">
        <v>342.43299999999999</v>
      </c>
      <c r="FY168">
        <v>32.082500000000003</v>
      </c>
      <c r="FZ168">
        <v>39.889899999999997</v>
      </c>
      <c r="GA168">
        <v>29.998699999999999</v>
      </c>
      <c r="GB168">
        <v>40.156399999999998</v>
      </c>
      <c r="GC168">
        <v>40.198799999999999</v>
      </c>
      <c r="GD168">
        <v>-1</v>
      </c>
      <c r="GE168">
        <v>0</v>
      </c>
      <c r="GF168">
        <v>100</v>
      </c>
      <c r="GG168">
        <v>32.129199999999997</v>
      </c>
      <c r="GH168">
        <v>432.1</v>
      </c>
      <c r="GI168">
        <v>44.267099999999999</v>
      </c>
      <c r="GJ168">
        <v>100.62</v>
      </c>
      <c r="GK168">
        <v>95.126599999999996</v>
      </c>
    </row>
    <row r="169" spans="1:193" x14ac:dyDescent="0.35">
      <c r="A169">
        <v>153</v>
      </c>
      <c r="B169">
        <v>1775541147.5</v>
      </c>
      <c r="C169">
        <v>9121.4000000953674</v>
      </c>
      <c r="D169" t="s">
        <v>776</v>
      </c>
      <c r="E169" t="s">
        <v>777</v>
      </c>
      <c r="F169">
        <v>60</v>
      </c>
      <c r="G169">
        <v>1775541139.5</v>
      </c>
      <c r="H169">
        <f t="shared" si="60"/>
        <v>3.5336790865857642E-3</v>
      </c>
      <c r="I169">
        <f t="shared" si="61"/>
        <v>3.5336790865857641</v>
      </c>
      <c r="J169">
        <f t="shared" si="62"/>
        <v>-2.7576118795582945</v>
      </c>
      <c r="K169">
        <f t="shared" si="63"/>
        <v>-5.687448387096774</v>
      </c>
      <c r="L169">
        <f t="shared" si="64"/>
        <v>51.269392515177088</v>
      </c>
      <c r="M169">
        <f t="shared" si="65"/>
        <v>5.1335714262295191</v>
      </c>
      <c r="N169">
        <f t="shared" si="66"/>
        <v>-0.5694805632719776</v>
      </c>
      <c r="O169">
        <f t="shared" si="67"/>
        <v>7.6344310732647039E-2</v>
      </c>
      <c r="P169">
        <f t="shared" si="68"/>
        <v>2.3899447449425337</v>
      </c>
      <c r="Q169">
        <f t="shared" si="69"/>
        <v>7.5014911156342318E-2</v>
      </c>
      <c r="R169">
        <f t="shared" si="70"/>
        <v>4.7001832542046047E-2</v>
      </c>
      <c r="S169">
        <f t="shared" si="71"/>
        <v>0.20794139641935477</v>
      </c>
      <c r="T169">
        <f t="shared" si="72"/>
        <v>32.058429279157096</v>
      </c>
      <c r="U169">
        <f t="shared" si="73"/>
        <v>33.259483870967742</v>
      </c>
      <c r="V169">
        <f t="shared" si="74"/>
        <v>5.1262351500511061</v>
      </c>
      <c r="W169">
        <f t="shared" si="75"/>
        <v>10.652245323837498</v>
      </c>
      <c r="X169">
        <f t="shared" si="76"/>
        <v>0.5430352689778577</v>
      </c>
      <c r="Y169">
        <f t="shared" si="77"/>
        <v>5.0978479416227707</v>
      </c>
      <c r="Z169">
        <f t="shared" si="78"/>
        <v>4.5831998810732486</v>
      </c>
      <c r="AA169">
        <f t="shared" si="79"/>
        <v>-155.83524771843221</v>
      </c>
      <c r="AB169">
        <f t="shared" si="80"/>
        <v>-12.753329600727033</v>
      </c>
      <c r="AC169">
        <f t="shared" si="81"/>
        <v>-1.2246303653136896</v>
      </c>
      <c r="AD169">
        <f t="shared" si="82"/>
        <v>-169.60526628805357</v>
      </c>
      <c r="AE169">
        <v>5</v>
      </c>
      <c r="AF169">
        <v>1</v>
      </c>
      <c r="AG169">
        <f t="shared" si="83"/>
        <v>1</v>
      </c>
      <c r="AH169">
        <f t="shared" si="84"/>
        <v>0</v>
      </c>
      <c r="AI169">
        <f t="shared" si="85"/>
        <v>25034.656465703334</v>
      </c>
      <c r="AJ169">
        <f t="shared" si="86"/>
        <v>1.088128709677419</v>
      </c>
      <c r="AK169">
        <f t="shared" si="87"/>
        <v>0.87050296774193525</v>
      </c>
      <c r="AL169">
        <f t="shared" si="88"/>
        <v>0.8</v>
      </c>
      <c r="AM169">
        <f t="shared" si="89"/>
        <v>0.19109999999999999</v>
      </c>
      <c r="AN169">
        <v>3</v>
      </c>
      <c r="AO169">
        <v>0.5</v>
      </c>
      <c r="AP169" t="s">
        <v>317</v>
      </c>
      <c r="AQ169">
        <v>2</v>
      </c>
      <c r="AR169">
        <v>1775541139.5</v>
      </c>
      <c r="AS169">
        <v>-5.687448387096774</v>
      </c>
      <c r="AT169">
        <v>-7.3541351612903227</v>
      </c>
      <c r="AU169">
        <v>5.4233370967741941</v>
      </c>
      <c r="AV169">
        <v>3.3145509677419351</v>
      </c>
      <c r="AW169">
        <v>-12.552448387096771</v>
      </c>
      <c r="AX169">
        <v>5.2655509677419348</v>
      </c>
      <c r="AY169">
        <v>499.98167741935481</v>
      </c>
      <c r="AZ169">
        <v>100.08241935483871</v>
      </c>
      <c r="BA169">
        <v>4.693998387096774E-2</v>
      </c>
      <c r="BB169">
        <v>33.160503225806451</v>
      </c>
      <c r="BC169">
        <v>33.259483870967742</v>
      </c>
      <c r="BD169">
        <v>999.90000000000032</v>
      </c>
      <c r="BE169">
        <v>0</v>
      </c>
      <c r="BF169">
        <v>0</v>
      </c>
      <c r="BG169">
        <v>5000.8064516129034</v>
      </c>
      <c r="BH169">
        <v>1.088128709677419</v>
      </c>
      <c r="BI169">
        <v>892.1645806451611</v>
      </c>
      <c r="BJ169">
        <v>1.6361035483870969</v>
      </c>
      <c r="BK169">
        <v>-5.7370335483870978</v>
      </c>
      <c r="BL169">
        <v>-7.3942364516129029</v>
      </c>
      <c r="BM169">
        <v>-2.1109577419354841</v>
      </c>
      <c r="BN169">
        <v>-7.3541351612903227</v>
      </c>
      <c r="BO169">
        <v>5.4233370967741941</v>
      </c>
      <c r="BP169">
        <v>0.33151151612903218</v>
      </c>
      <c r="BQ169">
        <v>0.54278145161290314</v>
      </c>
      <c r="BR169">
        <v>-8.1902641935483889</v>
      </c>
      <c r="BS169">
        <v>-1.677833548387097</v>
      </c>
      <c r="BT169">
        <v>1775541173</v>
      </c>
      <c r="BU169" t="s">
        <v>778</v>
      </c>
      <c r="BV169">
        <v>1775541166.5</v>
      </c>
      <c r="BW169">
        <v>1775541173</v>
      </c>
      <c r="BX169">
        <v>154</v>
      </c>
      <c r="BY169">
        <v>0.03</v>
      </c>
      <c r="BZ169">
        <v>2E-3</v>
      </c>
      <c r="CA169">
        <v>6.8650000000000002</v>
      </c>
      <c r="CB169">
        <v>-1.9510000000000001</v>
      </c>
      <c r="CC169">
        <v>-6</v>
      </c>
      <c r="CD169">
        <v>5</v>
      </c>
      <c r="CE169">
        <v>0.34</v>
      </c>
      <c r="CF169">
        <v>0.04</v>
      </c>
      <c r="CG169">
        <v>-7.4836894999999997</v>
      </c>
      <c r="CH169">
        <v>0.90085620450123682</v>
      </c>
      <c r="CI169">
        <v>0.20049487112662839</v>
      </c>
      <c r="CJ169">
        <v>-1</v>
      </c>
      <c r="CK169">
        <v>500.93565000000012</v>
      </c>
      <c r="CL169">
        <v>-9.2585284801330978</v>
      </c>
      <c r="CM169">
        <v>1.9240325259291591</v>
      </c>
      <c r="CN169">
        <v>-1</v>
      </c>
      <c r="CO169">
        <v>0</v>
      </c>
      <c r="CP169">
        <v>0</v>
      </c>
      <c r="CQ169" t="s">
        <v>319</v>
      </c>
      <c r="CR169">
        <v>3.16947</v>
      </c>
      <c r="CS169">
        <v>2.6669200000000002</v>
      </c>
      <c r="CT169">
        <v>-3.5641800000000001E-3</v>
      </c>
      <c r="CU169">
        <v>-1.9410300000000001E-3</v>
      </c>
      <c r="CV169">
        <v>3.4721200000000001E-2</v>
      </c>
      <c r="CW169">
        <v>3.5053300000000003E-2</v>
      </c>
      <c r="CX169">
        <v>21262.9</v>
      </c>
      <c r="CY169">
        <v>21691.200000000001</v>
      </c>
      <c r="CZ169">
        <v>22725.8</v>
      </c>
      <c r="DA169">
        <v>22023.9</v>
      </c>
      <c r="DB169">
        <v>28318.3</v>
      </c>
      <c r="DC169">
        <v>25292.6</v>
      </c>
      <c r="DD169">
        <v>40005.699999999997</v>
      </c>
      <c r="DE169">
        <v>36441.300000000003</v>
      </c>
      <c r="DF169">
        <v>1.9841</v>
      </c>
      <c r="DG169">
        <v>1.5885</v>
      </c>
      <c r="DH169">
        <v>-5.1474600000000002E-2</v>
      </c>
      <c r="DI169">
        <v>0</v>
      </c>
      <c r="DJ169">
        <v>34.114800000000002</v>
      </c>
      <c r="DK169">
        <v>999.9</v>
      </c>
      <c r="DL169">
        <v>50.7</v>
      </c>
      <c r="DM169">
        <v>46</v>
      </c>
      <c r="DN169">
        <v>51.403700000000001</v>
      </c>
      <c r="DO169">
        <v>30.851199999999999</v>
      </c>
      <c r="DP169">
        <v>10.7051</v>
      </c>
      <c r="DQ169">
        <v>1</v>
      </c>
      <c r="DR169">
        <v>1.03816</v>
      </c>
      <c r="DS169">
        <v>1.88121</v>
      </c>
      <c r="DT169">
        <v>20.347200000000001</v>
      </c>
      <c r="DU169">
        <v>5.2068700000000003</v>
      </c>
      <c r="DV169">
        <v>11.857799999999999</v>
      </c>
      <c r="DW169">
        <v>4.9661600000000004</v>
      </c>
      <c r="DX169">
        <v>3.29236</v>
      </c>
      <c r="DY169">
        <v>894.7</v>
      </c>
      <c r="DZ169">
        <v>6</v>
      </c>
      <c r="EA169">
        <v>9999</v>
      </c>
      <c r="EB169">
        <v>118.3</v>
      </c>
      <c r="EC169">
        <v>4.9716100000000001</v>
      </c>
      <c r="ED169">
        <v>1.87212</v>
      </c>
      <c r="EE169">
        <v>1.86951</v>
      </c>
      <c r="EF169">
        <v>1.8717999999999999</v>
      </c>
      <c r="EG169">
        <v>1.86964</v>
      </c>
      <c r="EH169">
        <v>1.8684400000000001</v>
      </c>
      <c r="EI169">
        <v>1.8702700000000001</v>
      </c>
      <c r="EJ169">
        <v>1.87195</v>
      </c>
      <c r="EK169">
        <v>0</v>
      </c>
      <c r="EL169">
        <v>0</v>
      </c>
      <c r="EM169">
        <v>0</v>
      </c>
      <c r="EN169">
        <v>0</v>
      </c>
      <c r="EO169" t="s">
        <v>320</v>
      </c>
      <c r="EP169" t="s">
        <v>321</v>
      </c>
      <c r="EQ169" t="s">
        <v>322</v>
      </c>
      <c r="ER169" t="s">
        <v>322</v>
      </c>
      <c r="ES169" t="s">
        <v>322</v>
      </c>
      <c r="ET169" t="s">
        <v>322</v>
      </c>
      <c r="EU169">
        <v>0</v>
      </c>
      <c r="EV169">
        <v>100</v>
      </c>
      <c r="EW169">
        <v>100</v>
      </c>
      <c r="EX169">
        <v>6.8650000000000002</v>
      </c>
      <c r="EY169">
        <v>-1.9510000000000001</v>
      </c>
      <c r="EZ169">
        <v>6.8344166666666704</v>
      </c>
      <c r="FA169">
        <v>0</v>
      </c>
      <c r="FB169">
        <v>0</v>
      </c>
      <c r="FC169">
        <v>0</v>
      </c>
      <c r="FD169">
        <v>-1.953171</v>
      </c>
      <c r="FE169">
        <v>0</v>
      </c>
      <c r="FF169">
        <v>0</v>
      </c>
      <c r="FG169">
        <v>0</v>
      </c>
      <c r="FH169">
        <v>-1</v>
      </c>
      <c r="FI169">
        <v>-1</v>
      </c>
      <c r="FJ169">
        <v>-1</v>
      </c>
      <c r="FK169">
        <v>-1</v>
      </c>
      <c r="FL169">
        <v>0.6</v>
      </c>
      <c r="FM169">
        <v>0.6</v>
      </c>
      <c r="FN169">
        <v>0.13916000000000001</v>
      </c>
      <c r="FO169">
        <v>4.99756</v>
      </c>
      <c r="FP169">
        <v>1.5979000000000001</v>
      </c>
      <c r="FQ169">
        <v>2.1093799999999998</v>
      </c>
      <c r="FR169">
        <v>1.5478499999999999</v>
      </c>
      <c r="FS169">
        <v>2.3925800000000002</v>
      </c>
      <c r="FT169">
        <v>49.1066</v>
      </c>
      <c r="FU169">
        <v>14.9026</v>
      </c>
      <c r="FV169">
        <v>2</v>
      </c>
      <c r="FW169">
        <v>506.971</v>
      </c>
      <c r="FX169">
        <v>342.89499999999998</v>
      </c>
      <c r="FY169">
        <v>32.404899999999998</v>
      </c>
      <c r="FZ169">
        <v>39.768999999999998</v>
      </c>
      <c r="GA169">
        <v>29.999099999999999</v>
      </c>
      <c r="GB169">
        <v>40.053199999999997</v>
      </c>
      <c r="GC169">
        <v>40.095599999999997</v>
      </c>
      <c r="GD169">
        <v>-1</v>
      </c>
      <c r="GE169">
        <v>0</v>
      </c>
      <c r="GF169">
        <v>100</v>
      </c>
      <c r="GG169">
        <v>32.433599999999998</v>
      </c>
      <c r="GH169">
        <v>432.1</v>
      </c>
      <c r="GI169">
        <v>44.267099999999999</v>
      </c>
      <c r="GJ169">
        <v>100.64</v>
      </c>
      <c r="GK169">
        <v>95.145899999999997</v>
      </c>
    </row>
    <row r="170" spans="1:193" x14ac:dyDescent="0.35">
      <c r="A170">
        <v>154</v>
      </c>
      <c r="B170">
        <v>1775541207.5</v>
      </c>
      <c r="C170">
        <v>9181.4000000953674</v>
      </c>
      <c r="D170" t="s">
        <v>779</v>
      </c>
      <c r="E170" t="s">
        <v>780</v>
      </c>
      <c r="F170">
        <v>60</v>
      </c>
      <c r="G170">
        <v>1775541199.75</v>
      </c>
      <c r="H170">
        <f t="shared" si="60"/>
        <v>3.0853739249406664E-3</v>
      </c>
      <c r="I170">
        <f t="shared" si="61"/>
        <v>3.0853739249406664</v>
      </c>
      <c r="J170">
        <f t="shared" si="62"/>
        <v>-2.697941716862803</v>
      </c>
      <c r="K170">
        <f t="shared" si="63"/>
        <v>-5.0851766666666656</v>
      </c>
      <c r="L170">
        <f t="shared" si="64"/>
        <v>58.894156660213746</v>
      </c>
      <c r="M170">
        <f t="shared" si="65"/>
        <v>5.8968428593557087</v>
      </c>
      <c r="N170">
        <f t="shared" si="66"/>
        <v>-0.50915896272020345</v>
      </c>
      <c r="O170">
        <f t="shared" si="67"/>
        <v>6.6255752264464965E-2</v>
      </c>
      <c r="P170">
        <f t="shared" si="68"/>
        <v>2.3903288125268101</v>
      </c>
      <c r="Q170">
        <f t="shared" si="69"/>
        <v>6.5252155000419351E-2</v>
      </c>
      <c r="R170">
        <f t="shared" si="70"/>
        <v>4.0871499732622066E-2</v>
      </c>
      <c r="S170">
        <f t="shared" si="71"/>
        <v>0.20126339870000004</v>
      </c>
      <c r="T170">
        <f t="shared" si="72"/>
        <v>32.238078745808473</v>
      </c>
      <c r="U170">
        <f t="shared" si="73"/>
        <v>33.307079999999999</v>
      </c>
      <c r="V170">
        <f t="shared" si="74"/>
        <v>5.1399344005154424</v>
      </c>
      <c r="W170">
        <f t="shared" si="75"/>
        <v>10.566629450658425</v>
      </c>
      <c r="X170">
        <f t="shared" si="76"/>
        <v>0.53986660628755334</v>
      </c>
      <c r="Y170">
        <f t="shared" si="77"/>
        <v>5.1091656881553016</v>
      </c>
      <c r="Z170">
        <f t="shared" si="78"/>
        <v>4.6000677942278889</v>
      </c>
      <c r="AA170">
        <f t="shared" si="79"/>
        <v>-136.06499008988339</v>
      </c>
      <c r="AB170">
        <f t="shared" si="80"/>
        <v>-13.79611502907518</v>
      </c>
      <c r="AC170">
        <f t="shared" si="81"/>
        <v>-1.325115650665599</v>
      </c>
      <c r="AD170">
        <f t="shared" si="82"/>
        <v>-150.98495737092415</v>
      </c>
      <c r="AE170">
        <v>6</v>
      </c>
      <c r="AF170">
        <v>1</v>
      </c>
      <c r="AG170">
        <f t="shared" si="83"/>
        <v>1</v>
      </c>
      <c r="AH170">
        <f t="shared" si="84"/>
        <v>0</v>
      </c>
      <c r="AI170">
        <f t="shared" si="85"/>
        <v>25037.309623009511</v>
      </c>
      <c r="AJ170">
        <f t="shared" si="86"/>
        <v>1.053183666666667</v>
      </c>
      <c r="AK170">
        <f t="shared" si="87"/>
        <v>0.84254693333333364</v>
      </c>
      <c r="AL170">
        <f t="shared" si="88"/>
        <v>0.8</v>
      </c>
      <c r="AM170">
        <f t="shared" si="89"/>
        <v>0.19109999999999999</v>
      </c>
      <c r="AN170">
        <v>3</v>
      </c>
      <c r="AO170">
        <v>0.5</v>
      </c>
      <c r="AP170" t="s">
        <v>317</v>
      </c>
      <c r="AQ170">
        <v>2</v>
      </c>
      <c r="AR170">
        <v>1775541199.75</v>
      </c>
      <c r="AS170">
        <v>-5.0851766666666656</v>
      </c>
      <c r="AT170">
        <v>-6.7134143333333327</v>
      </c>
      <c r="AU170">
        <v>5.3918663333333319</v>
      </c>
      <c r="AV170">
        <v>3.550557</v>
      </c>
      <c r="AW170">
        <v>-11.97517666666667</v>
      </c>
      <c r="AX170">
        <v>5.4955569999999998</v>
      </c>
      <c r="AY170">
        <v>499.9819333333333</v>
      </c>
      <c r="AZ170">
        <v>100.0783333333333</v>
      </c>
      <c r="BA170">
        <v>4.7777536666666683E-2</v>
      </c>
      <c r="BB170">
        <v>33.200023333333327</v>
      </c>
      <c r="BC170">
        <v>33.307079999999999</v>
      </c>
      <c r="BD170">
        <v>999.9000000000002</v>
      </c>
      <c r="BE170">
        <v>0</v>
      </c>
      <c r="BF170">
        <v>0</v>
      </c>
      <c r="BG170">
        <v>5002</v>
      </c>
      <c r="BH170">
        <v>1.053183666666667</v>
      </c>
      <c r="BI170">
        <v>868.43279999999982</v>
      </c>
      <c r="BJ170">
        <v>1.602779</v>
      </c>
      <c r="BK170">
        <v>-5.1288153333333328</v>
      </c>
      <c r="BL170">
        <v>-6.7498070000000006</v>
      </c>
      <c r="BM170">
        <v>-1.8474373333333329</v>
      </c>
      <c r="BN170">
        <v>-6.7134143333333327</v>
      </c>
      <c r="BO170">
        <v>5.3918663333333319</v>
      </c>
      <c r="BP170">
        <v>0.35472056666666668</v>
      </c>
      <c r="BQ170">
        <v>0.53960873333333326</v>
      </c>
      <c r="BR170">
        <v>-7.3182626666666666</v>
      </c>
      <c r="BS170">
        <v>-1.7574093333333329</v>
      </c>
      <c r="BT170">
        <v>1775541230.5</v>
      </c>
      <c r="BU170" t="s">
        <v>781</v>
      </c>
      <c r="BV170">
        <v>1775541225.5</v>
      </c>
      <c r="BW170">
        <v>1775541230.5</v>
      </c>
      <c r="BX170">
        <v>155</v>
      </c>
      <c r="BY170">
        <v>2.5000000000000001E-2</v>
      </c>
      <c r="BZ170">
        <v>6.0000000000000001E-3</v>
      </c>
      <c r="CA170">
        <v>6.89</v>
      </c>
      <c r="CB170">
        <v>-1.9450000000000001</v>
      </c>
      <c r="CC170">
        <v>-7</v>
      </c>
      <c r="CD170">
        <v>5</v>
      </c>
      <c r="CE170">
        <v>0.21</v>
      </c>
      <c r="CF170">
        <v>0.04</v>
      </c>
      <c r="CG170">
        <v>-6.7954331147540987</v>
      </c>
      <c r="CH170">
        <v>0.51669696456901437</v>
      </c>
      <c r="CI170">
        <v>8.3280163236265109E-2</v>
      </c>
      <c r="CJ170">
        <v>-1</v>
      </c>
      <c r="CK170">
        <v>500.71626229508189</v>
      </c>
      <c r="CL170">
        <v>-7.4269085140145172</v>
      </c>
      <c r="CM170">
        <v>1.740802131877381</v>
      </c>
      <c r="CN170">
        <v>-1</v>
      </c>
      <c r="CO170">
        <v>0</v>
      </c>
      <c r="CP170">
        <v>0</v>
      </c>
      <c r="CQ170" t="s">
        <v>319</v>
      </c>
      <c r="CR170">
        <v>3.1695500000000001</v>
      </c>
      <c r="CS170">
        <v>2.6688800000000001</v>
      </c>
      <c r="CT170">
        <v>-3.4245199999999999E-3</v>
      </c>
      <c r="CU170">
        <v>-1.91242E-3</v>
      </c>
      <c r="CV170">
        <v>3.4933400000000003E-2</v>
      </c>
      <c r="CW170">
        <v>3.4861499999999997E-2</v>
      </c>
      <c r="CX170">
        <v>21265.1</v>
      </c>
      <c r="CY170">
        <v>21694.6</v>
      </c>
      <c r="CZ170">
        <v>22730.799999999999</v>
      </c>
      <c r="DA170">
        <v>22027.7</v>
      </c>
      <c r="DB170">
        <v>28318</v>
      </c>
      <c r="DC170">
        <v>25302.7</v>
      </c>
      <c r="DD170">
        <v>40013.800000000003</v>
      </c>
      <c r="DE170">
        <v>36448.199999999997</v>
      </c>
      <c r="DF170">
        <v>1.9848399999999999</v>
      </c>
      <c r="DG170">
        <v>1.5904799999999999</v>
      </c>
      <c r="DH170">
        <v>-4.54426E-2</v>
      </c>
      <c r="DI170">
        <v>0</v>
      </c>
      <c r="DJ170">
        <v>34.021799999999999</v>
      </c>
      <c r="DK170">
        <v>999.9</v>
      </c>
      <c r="DL170">
        <v>50.8</v>
      </c>
      <c r="DM170">
        <v>45.9</v>
      </c>
      <c r="DN170">
        <v>51.247100000000003</v>
      </c>
      <c r="DO170">
        <v>30.731200000000001</v>
      </c>
      <c r="DP170">
        <v>10.5609</v>
      </c>
      <c r="DQ170">
        <v>1</v>
      </c>
      <c r="DR170">
        <v>1.0301899999999999</v>
      </c>
      <c r="DS170">
        <v>2.3376700000000001</v>
      </c>
      <c r="DT170">
        <v>20.339600000000001</v>
      </c>
      <c r="DU170">
        <v>5.2057900000000004</v>
      </c>
      <c r="DV170">
        <v>11.8582</v>
      </c>
      <c r="DW170">
        <v>4.9660000000000002</v>
      </c>
      <c r="DX170">
        <v>3.2924000000000002</v>
      </c>
      <c r="DY170">
        <v>894.7</v>
      </c>
      <c r="DZ170">
        <v>6</v>
      </c>
      <c r="EA170">
        <v>9999</v>
      </c>
      <c r="EB170">
        <v>118.3</v>
      </c>
      <c r="EC170">
        <v>4.9715999999999996</v>
      </c>
      <c r="ED170">
        <v>1.87212</v>
      </c>
      <c r="EE170">
        <v>1.86951</v>
      </c>
      <c r="EF170">
        <v>1.8717999999999999</v>
      </c>
      <c r="EG170">
        <v>1.8696200000000001</v>
      </c>
      <c r="EH170">
        <v>1.86842</v>
      </c>
      <c r="EI170">
        <v>1.87025</v>
      </c>
      <c r="EJ170">
        <v>1.87195</v>
      </c>
      <c r="EK170">
        <v>0</v>
      </c>
      <c r="EL170">
        <v>0</v>
      </c>
      <c r="EM170">
        <v>0</v>
      </c>
      <c r="EN170">
        <v>0</v>
      </c>
      <c r="EO170" t="s">
        <v>320</v>
      </c>
      <c r="EP170" t="s">
        <v>321</v>
      </c>
      <c r="EQ170" t="s">
        <v>322</v>
      </c>
      <c r="ER170" t="s">
        <v>322</v>
      </c>
      <c r="ES170" t="s">
        <v>322</v>
      </c>
      <c r="ET170" t="s">
        <v>322</v>
      </c>
      <c r="EU170">
        <v>0</v>
      </c>
      <c r="EV170">
        <v>100</v>
      </c>
      <c r="EW170">
        <v>100</v>
      </c>
      <c r="EX170">
        <v>6.89</v>
      </c>
      <c r="EY170">
        <v>-1.9450000000000001</v>
      </c>
      <c r="EZ170">
        <v>6.8645385000000001</v>
      </c>
      <c r="FA170">
        <v>0</v>
      </c>
      <c r="FB170">
        <v>0</v>
      </c>
      <c r="FC170">
        <v>0</v>
      </c>
      <c r="FD170">
        <v>-1.9511266666666649</v>
      </c>
      <c r="FE170">
        <v>0</v>
      </c>
      <c r="FF170">
        <v>0</v>
      </c>
      <c r="FG170">
        <v>0</v>
      </c>
      <c r="FH170">
        <v>-1</v>
      </c>
      <c r="FI170">
        <v>-1</v>
      </c>
      <c r="FJ170">
        <v>-1</v>
      </c>
      <c r="FK170">
        <v>-1</v>
      </c>
      <c r="FL170">
        <v>0.7</v>
      </c>
      <c r="FM170">
        <v>0.6</v>
      </c>
      <c r="FN170">
        <v>0.13916000000000001</v>
      </c>
      <c r="FO170">
        <v>4.99756</v>
      </c>
      <c r="FP170">
        <v>1.5979000000000001</v>
      </c>
      <c r="FQ170">
        <v>2.1093799999999998</v>
      </c>
      <c r="FR170">
        <v>1.5478499999999999</v>
      </c>
      <c r="FS170">
        <v>2.4475099999999999</v>
      </c>
      <c r="FT170">
        <v>48.950299999999999</v>
      </c>
      <c r="FU170">
        <v>14.893800000000001</v>
      </c>
      <c r="FV170">
        <v>2</v>
      </c>
      <c r="FW170">
        <v>506.642</v>
      </c>
      <c r="FX170">
        <v>343.43700000000001</v>
      </c>
      <c r="FY170">
        <v>32.297600000000003</v>
      </c>
      <c r="FZ170">
        <v>39.6342</v>
      </c>
      <c r="GA170">
        <v>29.9998</v>
      </c>
      <c r="GB170">
        <v>39.934899999999999</v>
      </c>
      <c r="GC170">
        <v>39.982199999999999</v>
      </c>
      <c r="GD170">
        <v>-1</v>
      </c>
      <c r="GE170">
        <v>0</v>
      </c>
      <c r="GF170">
        <v>100</v>
      </c>
      <c r="GG170">
        <v>32.316499999999998</v>
      </c>
      <c r="GH170">
        <v>432.1</v>
      </c>
      <c r="GI170">
        <v>44.267099999999999</v>
      </c>
      <c r="GJ170">
        <v>100.661</v>
      </c>
      <c r="GK170">
        <v>95.1631</v>
      </c>
    </row>
    <row r="171" spans="1:193" x14ac:dyDescent="0.35">
      <c r="A171">
        <v>155</v>
      </c>
      <c r="B171">
        <v>1775541267.5</v>
      </c>
      <c r="C171">
        <v>9241.4000000953674</v>
      </c>
      <c r="D171" t="s">
        <v>782</v>
      </c>
      <c r="E171" t="s">
        <v>783</v>
      </c>
      <c r="F171">
        <v>60</v>
      </c>
      <c r="G171">
        <v>1775541259.5</v>
      </c>
      <c r="H171">
        <f t="shared" si="60"/>
        <v>2.9879857525572321E-3</v>
      </c>
      <c r="I171">
        <f t="shared" si="61"/>
        <v>2.9879857525572322</v>
      </c>
      <c r="J171">
        <f t="shared" si="62"/>
        <v>-2.8310048046687899</v>
      </c>
      <c r="K171">
        <f t="shared" si="63"/>
        <v>-4.2054709677419337</v>
      </c>
      <c r="L171">
        <f t="shared" si="64"/>
        <v>64.85545884347809</v>
      </c>
      <c r="M171">
        <f t="shared" si="65"/>
        <v>6.493347537246609</v>
      </c>
      <c r="N171">
        <f t="shared" si="66"/>
        <v>-0.42105298518129702</v>
      </c>
      <c r="O171">
        <f t="shared" si="67"/>
        <v>6.4301357674584045E-2</v>
      </c>
      <c r="P171">
        <f t="shared" si="68"/>
        <v>2.3890525673054182</v>
      </c>
      <c r="Q171">
        <f t="shared" si="69"/>
        <v>6.3355142027721176E-2</v>
      </c>
      <c r="R171">
        <f t="shared" si="70"/>
        <v>3.968081753789008E-2</v>
      </c>
      <c r="S171">
        <f t="shared" si="71"/>
        <v>0.20252778000000002</v>
      </c>
      <c r="T171">
        <f t="shared" si="72"/>
        <v>32.235395715544463</v>
      </c>
      <c r="U171">
        <f t="shared" si="73"/>
        <v>33.259748387096778</v>
      </c>
      <c r="V171">
        <f t="shared" si="74"/>
        <v>5.126311195959099</v>
      </c>
      <c r="W171">
        <f t="shared" si="75"/>
        <v>10.548607005357846</v>
      </c>
      <c r="X171">
        <f t="shared" si="76"/>
        <v>0.53796022154389289</v>
      </c>
      <c r="Y171">
        <f t="shared" si="77"/>
        <v>5.0998223866966725</v>
      </c>
      <c r="Z171">
        <f t="shared" si="78"/>
        <v>4.5883509744152065</v>
      </c>
      <c r="AA171">
        <f t="shared" si="79"/>
        <v>-131.77017168777394</v>
      </c>
      <c r="AB171">
        <f t="shared" si="80"/>
        <v>-11.893927676448831</v>
      </c>
      <c r="AC171">
        <f t="shared" si="81"/>
        <v>-1.1425734501552558</v>
      </c>
      <c r="AD171">
        <f t="shared" si="82"/>
        <v>-144.60414503437804</v>
      </c>
      <c r="AE171">
        <v>5</v>
      </c>
      <c r="AF171">
        <v>1</v>
      </c>
      <c r="AG171">
        <f t="shared" si="83"/>
        <v>1</v>
      </c>
      <c r="AH171">
        <f t="shared" si="84"/>
        <v>0</v>
      </c>
      <c r="AI171">
        <f t="shared" si="85"/>
        <v>25021.088771891355</v>
      </c>
      <c r="AJ171">
        <f t="shared" si="86"/>
        <v>1.0598000000000001</v>
      </c>
      <c r="AK171">
        <f t="shared" si="87"/>
        <v>0.84784000000000015</v>
      </c>
      <c r="AL171">
        <f t="shared" si="88"/>
        <v>0.8</v>
      </c>
      <c r="AM171">
        <f t="shared" si="89"/>
        <v>0.19109999999999999</v>
      </c>
      <c r="AN171">
        <v>3</v>
      </c>
      <c r="AO171">
        <v>0.5</v>
      </c>
      <c r="AP171" t="s">
        <v>317</v>
      </c>
      <c r="AQ171">
        <v>2</v>
      </c>
      <c r="AR171">
        <v>1775541259.5</v>
      </c>
      <c r="AS171">
        <v>-4.2054709677419337</v>
      </c>
      <c r="AT171">
        <v>-5.91169935483871</v>
      </c>
      <c r="AU171">
        <v>5.3731387096774208</v>
      </c>
      <c r="AV171">
        <v>3.5898903225806462</v>
      </c>
      <c r="AW171">
        <v>-11.081470967741931</v>
      </c>
      <c r="AX171">
        <v>5.5348903225806474</v>
      </c>
      <c r="AY171">
        <v>499.97480645161289</v>
      </c>
      <c r="AZ171">
        <v>100.07483870967739</v>
      </c>
      <c r="BA171">
        <v>4.5454216129032263E-2</v>
      </c>
      <c r="BB171">
        <v>33.16740322580646</v>
      </c>
      <c r="BC171">
        <v>33.259748387096778</v>
      </c>
      <c r="BD171">
        <v>999.90000000000032</v>
      </c>
      <c r="BE171">
        <v>0</v>
      </c>
      <c r="BF171">
        <v>0</v>
      </c>
      <c r="BG171">
        <v>4998.8870967741932</v>
      </c>
      <c r="BH171">
        <v>1.0598000000000001</v>
      </c>
      <c r="BI171">
        <v>879.87538709677415</v>
      </c>
      <c r="BJ171">
        <v>1.7202360000000001</v>
      </c>
      <c r="BK171">
        <v>-4.2065645161290321</v>
      </c>
      <c r="BL171">
        <v>-5.9436325806451613</v>
      </c>
      <c r="BM171">
        <v>-1.7836916129032261</v>
      </c>
      <c r="BN171">
        <v>-5.91169935483871</v>
      </c>
      <c r="BO171">
        <v>5.3731387096774208</v>
      </c>
      <c r="BP171">
        <v>0.35921364516129028</v>
      </c>
      <c r="BQ171">
        <v>0.53771651612903226</v>
      </c>
      <c r="BR171">
        <v>-7.1544635483870964</v>
      </c>
      <c r="BS171">
        <v>-1.8050590322580651</v>
      </c>
      <c r="BT171">
        <v>1775541293</v>
      </c>
      <c r="BU171" t="s">
        <v>784</v>
      </c>
      <c r="BV171">
        <v>1775541287.5</v>
      </c>
      <c r="BW171">
        <v>1775541293</v>
      </c>
      <c r="BX171">
        <v>156</v>
      </c>
      <c r="BY171">
        <v>-1.4E-2</v>
      </c>
      <c r="BZ171">
        <v>0</v>
      </c>
      <c r="CA171">
        <v>6.8760000000000003</v>
      </c>
      <c r="CB171">
        <v>-1.9450000000000001</v>
      </c>
      <c r="CC171">
        <v>-6</v>
      </c>
      <c r="CD171">
        <v>5</v>
      </c>
      <c r="CE171">
        <v>0.33</v>
      </c>
      <c r="CF171">
        <v>0.06</v>
      </c>
      <c r="CG171">
        <v>-5.9733231147540993</v>
      </c>
      <c r="CH171">
        <v>0.49888575356954651</v>
      </c>
      <c r="CI171">
        <v>0.43388419841538428</v>
      </c>
      <c r="CJ171">
        <v>-1</v>
      </c>
      <c r="CK171">
        <v>500.2336721311475</v>
      </c>
      <c r="CL171">
        <v>-2.844088841883146</v>
      </c>
      <c r="CM171">
        <v>0.93094895567683666</v>
      </c>
      <c r="CN171">
        <v>-1</v>
      </c>
      <c r="CO171">
        <v>0</v>
      </c>
      <c r="CP171">
        <v>0</v>
      </c>
      <c r="CQ171" t="s">
        <v>319</v>
      </c>
      <c r="CR171">
        <v>3.1695700000000002</v>
      </c>
      <c r="CS171">
        <v>2.6668799999999999</v>
      </c>
      <c r="CT171">
        <v>-3.2809900000000001E-3</v>
      </c>
      <c r="CU171">
        <v>-1.83906E-3</v>
      </c>
      <c r="CV171">
        <v>3.6202400000000003E-2</v>
      </c>
      <c r="CW171">
        <v>3.4779400000000002E-2</v>
      </c>
      <c r="CX171">
        <v>21267.3</v>
      </c>
      <c r="CY171">
        <v>21698</v>
      </c>
      <c r="CZ171">
        <v>22735.9</v>
      </c>
      <c r="DA171">
        <v>22032.3</v>
      </c>
      <c r="DB171">
        <v>28286.799999999999</v>
      </c>
      <c r="DC171">
        <v>25310.7</v>
      </c>
      <c r="DD171">
        <v>40021.9</v>
      </c>
      <c r="DE171">
        <v>36456.300000000003</v>
      </c>
      <c r="DF171">
        <v>1.9873799999999999</v>
      </c>
      <c r="DG171">
        <v>1.59154</v>
      </c>
      <c r="DH171">
        <v>-3.9279500000000002E-2</v>
      </c>
      <c r="DI171">
        <v>0</v>
      </c>
      <c r="DJ171">
        <v>33.905900000000003</v>
      </c>
      <c r="DK171">
        <v>999.9</v>
      </c>
      <c r="DL171">
        <v>51</v>
      </c>
      <c r="DM171">
        <v>45.8</v>
      </c>
      <c r="DN171">
        <v>51.1828</v>
      </c>
      <c r="DO171">
        <v>30.6112</v>
      </c>
      <c r="DP171">
        <v>10.609</v>
      </c>
      <c r="DQ171">
        <v>1</v>
      </c>
      <c r="DR171">
        <v>1.01308</v>
      </c>
      <c r="DS171">
        <v>1.6040700000000001</v>
      </c>
      <c r="DT171">
        <v>20.3521</v>
      </c>
      <c r="DU171">
        <v>5.2083000000000004</v>
      </c>
      <c r="DV171">
        <v>11.8559</v>
      </c>
      <c r="DW171">
        <v>4.9667599999999998</v>
      </c>
      <c r="DX171">
        <v>3.2930000000000001</v>
      </c>
      <c r="DY171">
        <v>894.7</v>
      </c>
      <c r="DZ171">
        <v>6</v>
      </c>
      <c r="EA171">
        <v>9999</v>
      </c>
      <c r="EB171">
        <v>118.3</v>
      </c>
      <c r="EC171">
        <v>4.9716100000000001</v>
      </c>
      <c r="ED171">
        <v>1.8721000000000001</v>
      </c>
      <c r="EE171">
        <v>1.86951</v>
      </c>
      <c r="EF171">
        <v>1.8717999999999999</v>
      </c>
      <c r="EG171">
        <v>1.8695900000000001</v>
      </c>
      <c r="EH171">
        <v>1.8684400000000001</v>
      </c>
      <c r="EI171">
        <v>1.87026</v>
      </c>
      <c r="EJ171">
        <v>1.87195</v>
      </c>
      <c r="EK171">
        <v>0</v>
      </c>
      <c r="EL171">
        <v>0</v>
      </c>
      <c r="EM171">
        <v>0</v>
      </c>
      <c r="EN171">
        <v>0</v>
      </c>
      <c r="EO171" t="s">
        <v>320</v>
      </c>
      <c r="EP171" t="s">
        <v>321</v>
      </c>
      <c r="EQ171" t="s">
        <v>322</v>
      </c>
      <c r="ER171" t="s">
        <v>322</v>
      </c>
      <c r="ES171" t="s">
        <v>322</v>
      </c>
      <c r="ET171" t="s">
        <v>322</v>
      </c>
      <c r="EU171">
        <v>0</v>
      </c>
      <c r="EV171">
        <v>100</v>
      </c>
      <c r="EW171">
        <v>100</v>
      </c>
      <c r="EX171">
        <v>6.8760000000000003</v>
      </c>
      <c r="EY171">
        <v>-1.9450000000000001</v>
      </c>
      <c r="EZ171">
        <v>6.8900109999999994</v>
      </c>
      <c r="FA171">
        <v>0</v>
      </c>
      <c r="FB171">
        <v>0</v>
      </c>
      <c r="FC171">
        <v>0</v>
      </c>
      <c r="FD171">
        <v>-1.945443500000001</v>
      </c>
      <c r="FE171">
        <v>0</v>
      </c>
      <c r="FF171">
        <v>0</v>
      </c>
      <c r="FG171">
        <v>0</v>
      </c>
      <c r="FH171">
        <v>-1</v>
      </c>
      <c r="FI171">
        <v>-1</v>
      </c>
      <c r="FJ171">
        <v>-1</v>
      </c>
      <c r="FK171">
        <v>-1</v>
      </c>
      <c r="FL171">
        <v>0.7</v>
      </c>
      <c r="FM171">
        <v>0.6</v>
      </c>
      <c r="FN171">
        <v>0.13916000000000001</v>
      </c>
      <c r="FO171">
        <v>4.99634</v>
      </c>
      <c r="FP171">
        <v>1.5979000000000001</v>
      </c>
      <c r="FQ171">
        <v>2.1093799999999998</v>
      </c>
      <c r="FR171">
        <v>1.5478499999999999</v>
      </c>
      <c r="FS171">
        <v>2.4401899999999999</v>
      </c>
      <c r="FT171">
        <v>48.7637</v>
      </c>
      <c r="FU171">
        <v>14.893800000000001</v>
      </c>
      <c r="FV171">
        <v>2</v>
      </c>
      <c r="FW171">
        <v>507.40600000000001</v>
      </c>
      <c r="FX171">
        <v>343.44900000000001</v>
      </c>
      <c r="FY171">
        <v>32.608800000000002</v>
      </c>
      <c r="FZ171">
        <v>39.496299999999998</v>
      </c>
      <c r="GA171">
        <v>29.998999999999999</v>
      </c>
      <c r="GB171">
        <v>39.813099999999999</v>
      </c>
      <c r="GC171">
        <v>39.860799999999998</v>
      </c>
      <c r="GD171">
        <v>-1</v>
      </c>
      <c r="GE171">
        <v>0</v>
      </c>
      <c r="GF171">
        <v>100</v>
      </c>
      <c r="GG171">
        <v>32.630299999999998</v>
      </c>
      <c r="GH171">
        <v>432.1</v>
      </c>
      <c r="GI171">
        <v>44.267099999999999</v>
      </c>
      <c r="GJ171">
        <v>100.682</v>
      </c>
      <c r="GK171">
        <v>95.183899999999994</v>
      </c>
    </row>
    <row r="172" spans="1:193" x14ac:dyDescent="0.35">
      <c r="A172">
        <v>156</v>
      </c>
      <c r="B172">
        <v>1775541327.5</v>
      </c>
      <c r="C172">
        <v>9301.4000000953674</v>
      </c>
      <c r="D172" t="s">
        <v>785</v>
      </c>
      <c r="E172" t="s">
        <v>786</v>
      </c>
      <c r="F172">
        <v>60</v>
      </c>
      <c r="G172">
        <v>1775541319.75</v>
      </c>
      <c r="H172">
        <f t="shared" si="60"/>
        <v>3.0189866873384704E-3</v>
      </c>
      <c r="I172">
        <f t="shared" si="61"/>
        <v>3.0189866873384705</v>
      </c>
      <c r="J172">
        <f t="shared" si="62"/>
        <v>-2.6011438900213575</v>
      </c>
      <c r="K172">
        <f t="shared" si="63"/>
        <v>-4.517030000000001</v>
      </c>
      <c r="L172">
        <f t="shared" si="64"/>
        <v>58.394285486273674</v>
      </c>
      <c r="M172">
        <f t="shared" si="65"/>
        <v>5.8464037086563572</v>
      </c>
      <c r="N172">
        <f t="shared" si="66"/>
        <v>-0.45224255634260074</v>
      </c>
      <c r="O172">
        <f t="shared" si="67"/>
        <v>6.4912786944551881E-2</v>
      </c>
      <c r="P172">
        <f t="shared" si="68"/>
        <v>2.3897122761693854</v>
      </c>
      <c r="Q172">
        <f t="shared" si="69"/>
        <v>6.3948898352913688E-2</v>
      </c>
      <c r="R172">
        <f t="shared" si="70"/>
        <v>4.0053470699391872E-2</v>
      </c>
      <c r="S172">
        <f t="shared" si="71"/>
        <v>0.21505094519999998</v>
      </c>
      <c r="T172">
        <f t="shared" si="72"/>
        <v>32.246340121634105</v>
      </c>
      <c r="U172">
        <f t="shared" si="73"/>
        <v>33.263043333333343</v>
      </c>
      <c r="V172">
        <f t="shared" si="74"/>
        <v>5.1272585443767005</v>
      </c>
      <c r="W172">
        <f t="shared" si="75"/>
        <v>10.465366886810489</v>
      </c>
      <c r="X172">
        <f t="shared" si="76"/>
        <v>0.53432305066046215</v>
      </c>
      <c r="Y172">
        <f t="shared" si="77"/>
        <v>5.105631330841061</v>
      </c>
      <c r="Z172">
        <f t="shared" si="78"/>
        <v>4.5929354937162383</v>
      </c>
      <c r="AA172">
        <f t="shared" si="79"/>
        <v>-133.13731291162654</v>
      </c>
      <c r="AB172">
        <f t="shared" si="80"/>
        <v>-9.7080840235730115</v>
      </c>
      <c r="AC172">
        <f t="shared" si="81"/>
        <v>-0.93244369412718509</v>
      </c>
      <c r="AD172">
        <f t="shared" si="82"/>
        <v>-143.56278968412673</v>
      </c>
      <c r="AE172">
        <v>5</v>
      </c>
      <c r="AF172">
        <v>1</v>
      </c>
      <c r="AG172">
        <f t="shared" si="83"/>
        <v>1</v>
      </c>
      <c r="AH172">
        <f t="shared" si="84"/>
        <v>0</v>
      </c>
      <c r="AI172">
        <f t="shared" si="85"/>
        <v>25029.287958707104</v>
      </c>
      <c r="AJ172">
        <f t="shared" si="86"/>
        <v>1.125332</v>
      </c>
      <c r="AK172">
        <f t="shared" si="87"/>
        <v>0.9002656</v>
      </c>
      <c r="AL172">
        <f t="shared" si="88"/>
        <v>0.8</v>
      </c>
      <c r="AM172">
        <f t="shared" si="89"/>
        <v>0.19109999999999999</v>
      </c>
      <c r="AN172">
        <v>3</v>
      </c>
      <c r="AO172">
        <v>0.5</v>
      </c>
      <c r="AP172" t="s">
        <v>317</v>
      </c>
      <c r="AQ172">
        <v>2</v>
      </c>
      <c r="AR172">
        <v>1775541319.75</v>
      </c>
      <c r="AS172">
        <v>-4.517030000000001</v>
      </c>
      <c r="AT172">
        <v>-6.0859270000000008</v>
      </c>
      <c r="AU172">
        <v>5.3368556666666667</v>
      </c>
      <c r="AV172">
        <v>3.5350979999999992</v>
      </c>
      <c r="AW172">
        <v>-11.391030000000001</v>
      </c>
      <c r="AX172">
        <v>5.4750979999999991</v>
      </c>
      <c r="AY172">
        <v>499.99090000000001</v>
      </c>
      <c r="AZ172">
        <v>100.0742333333333</v>
      </c>
      <c r="BA172">
        <v>4.5216026666666673E-2</v>
      </c>
      <c r="BB172">
        <v>33.187690000000003</v>
      </c>
      <c r="BC172">
        <v>33.263043333333343</v>
      </c>
      <c r="BD172">
        <v>999.9000000000002</v>
      </c>
      <c r="BE172">
        <v>0</v>
      </c>
      <c r="BF172">
        <v>0</v>
      </c>
      <c r="BG172">
        <v>5000.6166666666668</v>
      </c>
      <c r="BH172">
        <v>1.125332</v>
      </c>
      <c r="BI172">
        <v>926.71720000000028</v>
      </c>
      <c r="BJ172">
        <v>1.5709500000000001</v>
      </c>
      <c r="BK172">
        <v>-4.5309699999999999</v>
      </c>
      <c r="BL172">
        <v>-6.1185803333333331</v>
      </c>
      <c r="BM172">
        <v>-1.8068850000000001</v>
      </c>
      <c r="BN172">
        <v>-6.0859270000000008</v>
      </c>
      <c r="BO172">
        <v>5.3368556666666667</v>
      </c>
      <c r="BP172">
        <v>0.35325926666666663</v>
      </c>
      <c r="BQ172">
        <v>0.53408193333333331</v>
      </c>
      <c r="BR172">
        <v>-7.3705339999999984</v>
      </c>
      <c r="BS172">
        <v>-1.8970070000000001</v>
      </c>
      <c r="BT172">
        <v>1775541353</v>
      </c>
      <c r="BU172" t="s">
        <v>787</v>
      </c>
      <c r="BV172">
        <v>1775541347.5</v>
      </c>
      <c r="BW172">
        <v>1775541353</v>
      </c>
      <c r="BX172">
        <v>157</v>
      </c>
      <c r="BY172">
        <v>-2E-3</v>
      </c>
      <c r="BZ172">
        <v>5.0000000000000001E-3</v>
      </c>
      <c r="CA172">
        <v>6.8739999999999997</v>
      </c>
      <c r="CB172">
        <v>-1.94</v>
      </c>
      <c r="CC172">
        <v>-7</v>
      </c>
      <c r="CD172">
        <v>5</v>
      </c>
      <c r="CE172">
        <v>0.17</v>
      </c>
      <c r="CF172">
        <v>0.05</v>
      </c>
      <c r="CG172">
        <v>-6.1689118333333317</v>
      </c>
      <c r="CH172">
        <v>0.65926769658236561</v>
      </c>
      <c r="CI172">
        <v>0.1057379601734348</v>
      </c>
      <c r="CJ172">
        <v>-1</v>
      </c>
      <c r="CK172">
        <v>500.69741666666681</v>
      </c>
      <c r="CL172">
        <v>-7.3551264240053387</v>
      </c>
      <c r="CM172">
        <v>1.7010912898456929</v>
      </c>
      <c r="CN172">
        <v>-1</v>
      </c>
      <c r="CO172">
        <v>0</v>
      </c>
      <c r="CP172">
        <v>0</v>
      </c>
      <c r="CQ172" t="s">
        <v>319</v>
      </c>
      <c r="CR172">
        <v>3.1693699999999998</v>
      </c>
      <c r="CS172">
        <v>2.6636600000000001</v>
      </c>
      <c r="CT172">
        <v>-3.27685E-3</v>
      </c>
      <c r="CU172">
        <v>-1.77556E-3</v>
      </c>
      <c r="CV172">
        <v>3.56678E-2</v>
      </c>
      <c r="CW172">
        <v>3.4603000000000002E-2</v>
      </c>
      <c r="CX172">
        <v>21272.6</v>
      </c>
      <c r="CY172">
        <v>21700.799999999999</v>
      </c>
      <c r="CZ172">
        <v>22741.1</v>
      </c>
      <c r="DA172">
        <v>22036.1</v>
      </c>
      <c r="DB172">
        <v>28308.5</v>
      </c>
      <c r="DC172">
        <v>25320.5</v>
      </c>
      <c r="DD172">
        <v>40030</v>
      </c>
      <c r="DE172">
        <v>36463.4</v>
      </c>
      <c r="DF172">
        <v>1.98814</v>
      </c>
      <c r="DG172">
        <v>1.59382</v>
      </c>
      <c r="DH172">
        <v>-3.7395999999999999E-2</v>
      </c>
      <c r="DI172">
        <v>0</v>
      </c>
      <c r="DJ172">
        <v>33.863799999999998</v>
      </c>
      <c r="DK172">
        <v>999.9</v>
      </c>
      <c r="DL172">
        <v>51.1</v>
      </c>
      <c r="DM172">
        <v>45.7</v>
      </c>
      <c r="DN172">
        <v>51.020800000000001</v>
      </c>
      <c r="DO172">
        <v>30.7912</v>
      </c>
      <c r="DP172">
        <v>10.9375</v>
      </c>
      <c r="DQ172">
        <v>1</v>
      </c>
      <c r="DR172">
        <v>1.002</v>
      </c>
      <c r="DS172">
        <v>1.7714799999999999</v>
      </c>
      <c r="DT172">
        <v>20.349399999999999</v>
      </c>
      <c r="DU172">
        <v>5.2050700000000001</v>
      </c>
      <c r="DV172">
        <v>11.8565</v>
      </c>
      <c r="DW172">
        <v>4.9656799999999999</v>
      </c>
      <c r="DX172">
        <v>3.2924199999999999</v>
      </c>
      <c r="DY172">
        <v>894.7</v>
      </c>
      <c r="DZ172">
        <v>6</v>
      </c>
      <c r="EA172">
        <v>9999</v>
      </c>
      <c r="EB172">
        <v>118.3</v>
      </c>
      <c r="EC172">
        <v>4.9715999999999996</v>
      </c>
      <c r="ED172">
        <v>1.8721000000000001</v>
      </c>
      <c r="EE172">
        <v>1.86951</v>
      </c>
      <c r="EF172">
        <v>1.8717999999999999</v>
      </c>
      <c r="EG172">
        <v>1.86961</v>
      </c>
      <c r="EH172">
        <v>1.8684400000000001</v>
      </c>
      <c r="EI172">
        <v>1.87026</v>
      </c>
      <c r="EJ172">
        <v>1.87195</v>
      </c>
      <c r="EK172">
        <v>0</v>
      </c>
      <c r="EL172">
        <v>0</v>
      </c>
      <c r="EM172">
        <v>0</v>
      </c>
      <c r="EN172">
        <v>0</v>
      </c>
      <c r="EO172" t="s">
        <v>320</v>
      </c>
      <c r="EP172" t="s">
        <v>321</v>
      </c>
      <c r="EQ172" t="s">
        <v>322</v>
      </c>
      <c r="ER172" t="s">
        <v>322</v>
      </c>
      <c r="ES172" t="s">
        <v>322</v>
      </c>
      <c r="ET172" t="s">
        <v>322</v>
      </c>
      <c r="EU172">
        <v>0</v>
      </c>
      <c r="EV172">
        <v>100</v>
      </c>
      <c r="EW172">
        <v>100</v>
      </c>
      <c r="EX172">
        <v>6.8739999999999997</v>
      </c>
      <c r="EY172">
        <v>-1.94</v>
      </c>
      <c r="EZ172">
        <v>6.8760559999999984</v>
      </c>
      <c r="FA172">
        <v>0</v>
      </c>
      <c r="FB172">
        <v>0</v>
      </c>
      <c r="FC172">
        <v>0</v>
      </c>
      <c r="FD172">
        <v>-1.9451276190476201</v>
      </c>
      <c r="FE172">
        <v>0</v>
      </c>
      <c r="FF172">
        <v>0</v>
      </c>
      <c r="FG172">
        <v>0</v>
      </c>
      <c r="FH172">
        <v>-1</v>
      </c>
      <c r="FI172">
        <v>-1</v>
      </c>
      <c r="FJ172">
        <v>-1</v>
      </c>
      <c r="FK172">
        <v>-1</v>
      </c>
      <c r="FL172">
        <v>0.7</v>
      </c>
      <c r="FM172">
        <v>0.6</v>
      </c>
      <c r="FN172">
        <v>0.13916000000000001</v>
      </c>
      <c r="FO172">
        <v>4.99756</v>
      </c>
      <c r="FP172">
        <v>1.5979000000000001</v>
      </c>
      <c r="FQ172">
        <v>2.1093799999999998</v>
      </c>
      <c r="FR172">
        <v>1.5478499999999999</v>
      </c>
      <c r="FS172">
        <v>2.4377399999999998</v>
      </c>
      <c r="FT172">
        <v>48.5779</v>
      </c>
      <c r="FU172">
        <v>14.885</v>
      </c>
      <c r="FV172">
        <v>2</v>
      </c>
      <c r="FW172">
        <v>507.02600000000001</v>
      </c>
      <c r="FX172">
        <v>344.11200000000002</v>
      </c>
      <c r="FY172">
        <v>32.487499999999997</v>
      </c>
      <c r="FZ172">
        <v>39.359900000000003</v>
      </c>
      <c r="GA172">
        <v>29.998999999999999</v>
      </c>
      <c r="GB172">
        <v>39.686300000000003</v>
      </c>
      <c r="GC172">
        <v>39.7393</v>
      </c>
      <c r="GD172">
        <v>-1</v>
      </c>
      <c r="GE172">
        <v>0</v>
      </c>
      <c r="GF172">
        <v>100</v>
      </c>
      <c r="GG172">
        <v>32.500700000000002</v>
      </c>
      <c r="GH172">
        <v>432.1</v>
      </c>
      <c r="GI172">
        <v>44.267099999999999</v>
      </c>
      <c r="GJ172">
        <v>100.70399999999999</v>
      </c>
      <c r="GK172">
        <v>95.201599999999999</v>
      </c>
    </row>
    <row r="173" spans="1:193" x14ac:dyDescent="0.35">
      <c r="A173">
        <v>157</v>
      </c>
      <c r="B173">
        <v>1775541387.5</v>
      </c>
      <c r="C173">
        <v>9361.4000000953674</v>
      </c>
      <c r="D173" t="s">
        <v>788</v>
      </c>
      <c r="E173" t="s">
        <v>789</v>
      </c>
      <c r="F173">
        <v>60</v>
      </c>
      <c r="G173">
        <v>1775541379.75</v>
      </c>
      <c r="H173">
        <f t="shared" si="60"/>
        <v>2.6231834849047859E-3</v>
      </c>
      <c r="I173">
        <f t="shared" si="61"/>
        <v>2.6231834849047857</v>
      </c>
      <c r="J173">
        <f t="shared" si="62"/>
        <v>-2.2754519944679168</v>
      </c>
      <c r="K173">
        <f t="shared" si="63"/>
        <v>-4.9283166666666656</v>
      </c>
      <c r="L173">
        <f t="shared" si="64"/>
        <v>58.529678131609536</v>
      </c>
      <c r="M173">
        <f t="shared" si="65"/>
        <v>5.8599185240120715</v>
      </c>
      <c r="N173">
        <f t="shared" si="66"/>
        <v>-0.49341693050590585</v>
      </c>
      <c r="O173">
        <f t="shared" si="67"/>
        <v>5.6220742351186286E-2</v>
      </c>
      <c r="P173">
        <f t="shared" si="68"/>
        <v>2.3917176804597382</v>
      </c>
      <c r="Q173">
        <f t="shared" si="69"/>
        <v>5.5496752521463431E-2</v>
      </c>
      <c r="R173">
        <f t="shared" si="70"/>
        <v>3.4749741122393513E-2</v>
      </c>
      <c r="S173">
        <f t="shared" si="71"/>
        <v>0.22026154149999991</v>
      </c>
      <c r="T173">
        <f t="shared" si="72"/>
        <v>32.368112561036426</v>
      </c>
      <c r="U173">
        <f t="shared" si="73"/>
        <v>33.272260000000003</v>
      </c>
      <c r="V173">
        <f t="shared" si="74"/>
        <v>5.1299092886505768</v>
      </c>
      <c r="W173">
        <f t="shared" si="75"/>
        <v>10.408779597809481</v>
      </c>
      <c r="X173">
        <f t="shared" si="76"/>
        <v>0.53135926893997398</v>
      </c>
      <c r="Y173">
        <f t="shared" si="77"/>
        <v>5.104914211573834</v>
      </c>
      <c r="Z173">
        <f t="shared" si="78"/>
        <v>4.5985500197106024</v>
      </c>
      <c r="AA173">
        <f t="shared" si="79"/>
        <v>-115.68239168430105</v>
      </c>
      <c r="AB173">
        <f t="shared" si="80"/>
        <v>-11.227434439701813</v>
      </c>
      <c r="AC173">
        <f t="shared" si="81"/>
        <v>-1.0775057631774698</v>
      </c>
      <c r="AD173">
        <f t="shared" si="82"/>
        <v>-127.76707034568034</v>
      </c>
      <c r="AE173">
        <v>5</v>
      </c>
      <c r="AF173">
        <v>1</v>
      </c>
      <c r="AG173">
        <f t="shared" si="83"/>
        <v>1</v>
      </c>
      <c r="AH173">
        <f t="shared" si="84"/>
        <v>0</v>
      </c>
      <c r="AI173">
        <f t="shared" si="85"/>
        <v>25059.451811625731</v>
      </c>
      <c r="AJ173">
        <f t="shared" si="86"/>
        <v>1.1525983333333329</v>
      </c>
      <c r="AK173">
        <f t="shared" si="87"/>
        <v>0.92207866666666638</v>
      </c>
      <c r="AL173">
        <f t="shared" si="88"/>
        <v>0.8</v>
      </c>
      <c r="AM173">
        <f t="shared" si="89"/>
        <v>0.19109999999999999</v>
      </c>
      <c r="AN173">
        <v>3</v>
      </c>
      <c r="AO173">
        <v>0.5</v>
      </c>
      <c r="AP173" t="s">
        <v>317</v>
      </c>
      <c r="AQ173">
        <v>2</v>
      </c>
      <c r="AR173">
        <v>1775541379.75</v>
      </c>
      <c r="AS173">
        <v>-4.9283166666666656</v>
      </c>
      <c r="AT173">
        <v>-6.3013733333333324</v>
      </c>
      <c r="AU173">
        <v>5.3072900000000001</v>
      </c>
      <c r="AV173">
        <v>3.7417003333333332</v>
      </c>
      <c r="AW173">
        <v>-11.797316666666671</v>
      </c>
      <c r="AX173">
        <v>5.6797003333333329</v>
      </c>
      <c r="AY173">
        <v>499.98953333333333</v>
      </c>
      <c r="AZ173">
        <v>100.0725666666667</v>
      </c>
      <c r="BA173">
        <v>4.6188656666666668E-2</v>
      </c>
      <c r="BB173">
        <v>33.185186666666667</v>
      </c>
      <c r="BC173">
        <v>33.272260000000003</v>
      </c>
      <c r="BD173">
        <v>999.9000000000002</v>
      </c>
      <c r="BE173">
        <v>0</v>
      </c>
      <c r="BF173">
        <v>0</v>
      </c>
      <c r="BG173">
        <v>5005.8666666666668</v>
      </c>
      <c r="BH173">
        <v>1.1525983333333329</v>
      </c>
      <c r="BI173">
        <v>993.62999999999988</v>
      </c>
      <c r="BJ173">
        <v>1.378376</v>
      </c>
      <c r="BK173">
        <v>-4.9414776666666667</v>
      </c>
      <c r="BL173">
        <v>-6.3349963333333337</v>
      </c>
      <c r="BM173">
        <v>-1.5674836666666669</v>
      </c>
      <c r="BN173">
        <v>-6.3013733333333324</v>
      </c>
      <c r="BO173">
        <v>5.3072900000000001</v>
      </c>
      <c r="BP173">
        <v>0.3742517666666666</v>
      </c>
      <c r="BQ173">
        <v>0.53111373333333334</v>
      </c>
      <c r="BR173">
        <v>-6.6213860000000002</v>
      </c>
      <c r="BS173">
        <v>-1.972509666666667</v>
      </c>
      <c r="BT173">
        <v>1775541411.5</v>
      </c>
      <c r="BU173" t="s">
        <v>790</v>
      </c>
      <c r="BV173">
        <v>1775541405.5</v>
      </c>
      <c r="BW173">
        <v>1775541411.5</v>
      </c>
      <c r="BX173">
        <v>158</v>
      </c>
      <c r="BY173">
        <v>-5.0000000000000001E-3</v>
      </c>
      <c r="BZ173">
        <v>2E-3</v>
      </c>
      <c r="CA173">
        <v>6.8689999999999998</v>
      </c>
      <c r="CB173">
        <v>-1.9379999999999999</v>
      </c>
      <c r="CC173">
        <v>-6</v>
      </c>
      <c r="CD173">
        <v>5</v>
      </c>
      <c r="CE173">
        <v>0.15</v>
      </c>
      <c r="CF173">
        <v>0.05</v>
      </c>
      <c r="CG173">
        <v>-6.4643093333333326</v>
      </c>
      <c r="CH173">
        <v>1.0879057960544549</v>
      </c>
      <c r="CI173">
        <v>0.1656426206915223</v>
      </c>
      <c r="CJ173">
        <v>-1</v>
      </c>
      <c r="CK173">
        <v>500.71960000000001</v>
      </c>
      <c r="CL173">
        <v>-7.4587785495964907</v>
      </c>
      <c r="CM173">
        <v>1.7231317051616599</v>
      </c>
      <c r="CN173">
        <v>-1</v>
      </c>
      <c r="CO173">
        <v>0</v>
      </c>
      <c r="CP173">
        <v>0</v>
      </c>
      <c r="CQ173" t="s">
        <v>319</v>
      </c>
      <c r="CR173">
        <v>3.16953</v>
      </c>
      <c r="CS173">
        <v>2.6680299999999999</v>
      </c>
      <c r="CT173">
        <v>-3.37631E-3</v>
      </c>
      <c r="CU173">
        <v>-1.7770100000000001E-3</v>
      </c>
      <c r="CV173">
        <v>3.6908999999999997E-2</v>
      </c>
      <c r="CW173">
        <v>3.4446600000000001E-2</v>
      </c>
      <c r="CX173">
        <v>21280.7</v>
      </c>
      <c r="CY173">
        <v>21705.7</v>
      </c>
      <c r="CZ173">
        <v>22746.9</v>
      </c>
      <c r="DA173">
        <v>22040.799999999999</v>
      </c>
      <c r="DB173">
        <v>28278.9</v>
      </c>
      <c r="DC173">
        <v>25330.6</v>
      </c>
      <c r="DD173">
        <v>40039.4</v>
      </c>
      <c r="DE173">
        <v>36471.599999999999</v>
      </c>
      <c r="DF173">
        <v>1.9901800000000001</v>
      </c>
      <c r="DG173">
        <v>1.59684</v>
      </c>
      <c r="DH173">
        <v>-3.1375899999999998E-2</v>
      </c>
      <c r="DI173">
        <v>0</v>
      </c>
      <c r="DJ173">
        <v>33.790599999999998</v>
      </c>
      <c r="DK173">
        <v>999.9</v>
      </c>
      <c r="DL173">
        <v>51.3</v>
      </c>
      <c r="DM173">
        <v>45.6</v>
      </c>
      <c r="DN173">
        <v>50.959899999999998</v>
      </c>
      <c r="DO173">
        <v>30.5212</v>
      </c>
      <c r="DP173">
        <v>10.488799999999999</v>
      </c>
      <c r="DQ173">
        <v>1</v>
      </c>
      <c r="DR173">
        <v>0.98766500000000002</v>
      </c>
      <c r="DS173">
        <v>1.55575</v>
      </c>
      <c r="DT173">
        <v>20.3522</v>
      </c>
      <c r="DU173">
        <v>5.2057900000000004</v>
      </c>
      <c r="DV173">
        <v>11.8553</v>
      </c>
      <c r="DW173">
        <v>4.9661600000000004</v>
      </c>
      <c r="DX173">
        <v>3.2923200000000001</v>
      </c>
      <c r="DY173">
        <v>894.7</v>
      </c>
      <c r="DZ173">
        <v>6</v>
      </c>
      <c r="EA173">
        <v>9999</v>
      </c>
      <c r="EB173">
        <v>118.3</v>
      </c>
      <c r="EC173">
        <v>4.9716100000000001</v>
      </c>
      <c r="ED173">
        <v>1.87212</v>
      </c>
      <c r="EE173">
        <v>1.8694999999999999</v>
      </c>
      <c r="EF173">
        <v>1.8717999999999999</v>
      </c>
      <c r="EG173">
        <v>1.8695999999999999</v>
      </c>
      <c r="EH173">
        <v>1.8684400000000001</v>
      </c>
      <c r="EI173">
        <v>1.8702700000000001</v>
      </c>
      <c r="EJ173">
        <v>1.87195</v>
      </c>
      <c r="EK173">
        <v>0</v>
      </c>
      <c r="EL173">
        <v>0</v>
      </c>
      <c r="EM173">
        <v>0</v>
      </c>
      <c r="EN173">
        <v>0</v>
      </c>
      <c r="EO173" t="s">
        <v>320</v>
      </c>
      <c r="EP173" t="s">
        <v>321</v>
      </c>
      <c r="EQ173" t="s">
        <v>322</v>
      </c>
      <c r="ER173" t="s">
        <v>322</v>
      </c>
      <c r="ES173" t="s">
        <v>322</v>
      </c>
      <c r="ET173" t="s">
        <v>322</v>
      </c>
      <c r="EU173">
        <v>0</v>
      </c>
      <c r="EV173">
        <v>100</v>
      </c>
      <c r="EW173">
        <v>100</v>
      </c>
      <c r="EX173">
        <v>6.8689999999999998</v>
      </c>
      <c r="EY173">
        <v>-1.9379999999999999</v>
      </c>
      <c r="EZ173">
        <v>6.8743199999999982</v>
      </c>
      <c r="FA173">
        <v>0</v>
      </c>
      <c r="FB173">
        <v>0</v>
      </c>
      <c r="FC173">
        <v>0</v>
      </c>
      <c r="FD173">
        <v>-1.939894761904762</v>
      </c>
      <c r="FE173">
        <v>0</v>
      </c>
      <c r="FF173">
        <v>0</v>
      </c>
      <c r="FG173">
        <v>0</v>
      </c>
      <c r="FH173">
        <v>-1</v>
      </c>
      <c r="FI173">
        <v>-1</v>
      </c>
      <c r="FJ173">
        <v>-1</v>
      </c>
      <c r="FK173">
        <v>-1</v>
      </c>
      <c r="FL173">
        <v>0.7</v>
      </c>
      <c r="FM173">
        <v>0.6</v>
      </c>
      <c r="FN173">
        <v>0.13916000000000001</v>
      </c>
      <c r="FO173">
        <v>4.99756</v>
      </c>
      <c r="FP173">
        <v>1.5979000000000001</v>
      </c>
      <c r="FQ173">
        <v>2.1093799999999998</v>
      </c>
      <c r="FR173">
        <v>1.5478499999999999</v>
      </c>
      <c r="FS173">
        <v>2.4645999999999999</v>
      </c>
      <c r="FT173">
        <v>48.393000000000001</v>
      </c>
      <c r="FU173">
        <v>14.885</v>
      </c>
      <c r="FV173">
        <v>2</v>
      </c>
      <c r="FW173">
        <v>507.35700000000003</v>
      </c>
      <c r="FX173">
        <v>345.09100000000001</v>
      </c>
      <c r="FY173">
        <v>32.6768</v>
      </c>
      <c r="FZ173">
        <v>39.208799999999997</v>
      </c>
      <c r="GA173">
        <v>29.998999999999999</v>
      </c>
      <c r="GB173">
        <v>39.546900000000001</v>
      </c>
      <c r="GC173">
        <v>39.600999999999999</v>
      </c>
      <c r="GD173">
        <v>-1</v>
      </c>
      <c r="GE173">
        <v>0</v>
      </c>
      <c r="GF173">
        <v>100</v>
      </c>
      <c r="GG173">
        <v>32.681600000000003</v>
      </c>
      <c r="GH173">
        <v>432.1</v>
      </c>
      <c r="GI173">
        <v>44.267099999999999</v>
      </c>
      <c r="GJ173">
        <v>100.72799999999999</v>
      </c>
      <c r="GK173">
        <v>95.2226</v>
      </c>
    </row>
    <row r="174" spans="1:193" x14ac:dyDescent="0.35">
      <c r="A174">
        <v>158</v>
      </c>
      <c r="B174">
        <v>1775541447.5</v>
      </c>
      <c r="C174">
        <v>9421.4000000953674</v>
      </c>
      <c r="D174" t="s">
        <v>791</v>
      </c>
      <c r="E174" t="s">
        <v>792</v>
      </c>
      <c r="F174">
        <v>60</v>
      </c>
      <c r="G174">
        <v>1775541439.5</v>
      </c>
      <c r="H174">
        <f t="shared" si="60"/>
        <v>2.6800283404487149E-3</v>
      </c>
      <c r="I174">
        <f t="shared" si="61"/>
        <v>2.6800283404487151</v>
      </c>
      <c r="J174">
        <f t="shared" si="62"/>
        <v>-2.7006442959441386</v>
      </c>
      <c r="K174">
        <f t="shared" si="63"/>
        <v>-4.3235032258064514</v>
      </c>
      <c r="L174">
        <f t="shared" si="64"/>
        <v>69.382364828132836</v>
      </c>
      <c r="M174">
        <f t="shared" si="65"/>
        <v>6.9463436597260646</v>
      </c>
      <c r="N174">
        <f t="shared" si="66"/>
        <v>-0.43285551443482045</v>
      </c>
      <c r="O174">
        <f t="shared" si="67"/>
        <v>5.7380692363228639E-2</v>
      </c>
      <c r="P174">
        <f t="shared" si="68"/>
        <v>2.3881327593210955</v>
      </c>
      <c r="Q174">
        <f t="shared" si="69"/>
        <v>5.6625619846922361E-2</v>
      </c>
      <c r="R174">
        <f t="shared" si="70"/>
        <v>3.5458024828983428E-2</v>
      </c>
      <c r="S174">
        <f t="shared" si="71"/>
        <v>0.24438743361290324</v>
      </c>
      <c r="T174">
        <f t="shared" si="72"/>
        <v>32.373056383959167</v>
      </c>
      <c r="U174">
        <f t="shared" si="73"/>
        <v>33.287287096774193</v>
      </c>
      <c r="V174">
        <f t="shared" si="74"/>
        <v>5.1342336886352964</v>
      </c>
      <c r="W174">
        <f t="shared" si="75"/>
        <v>10.365472755471302</v>
      </c>
      <c r="X174">
        <f t="shared" si="76"/>
        <v>0.52985078351505654</v>
      </c>
      <c r="Y174">
        <f t="shared" si="77"/>
        <v>5.111689510113087</v>
      </c>
      <c r="Z174">
        <f t="shared" si="78"/>
        <v>4.6043829051202394</v>
      </c>
      <c r="AA174">
        <f t="shared" si="79"/>
        <v>-118.18924981378832</v>
      </c>
      <c r="AB174">
        <f t="shared" si="80"/>
        <v>-10.101813712887767</v>
      </c>
      <c r="AC174">
        <f t="shared" si="81"/>
        <v>-0.97111827707102927</v>
      </c>
      <c r="AD174">
        <f t="shared" si="82"/>
        <v>-129.01779437013423</v>
      </c>
      <c r="AE174">
        <v>5</v>
      </c>
      <c r="AF174">
        <v>1</v>
      </c>
      <c r="AG174">
        <f t="shared" si="83"/>
        <v>1</v>
      </c>
      <c r="AH174">
        <f t="shared" si="84"/>
        <v>0</v>
      </c>
      <c r="AI174">
        <f t="shared" si="85"/>
        <v>25004.170492417979</v>
      </c>
      <c r="AJ174">
        <f t="shared" si="86"/>
        <v>1.2788458064516131</v>
      </c>
      <c r="AK174">
        <f t="shared" si="87"/>
        <v>1.0230766451612905</v>
      </c>
      <c r="AL174">
        <f t="shared" si="88"/>
        <v>0.8</v>
      </c>
      <c r="AM174">
        <f t="shared" si="89"/>
        <v>0.19109999999999999</v>
      </c>
      <c r="AN174">
        <v>3</v>
      </c>
      <c r="AO174">
        <v>0.5</v>
      </c>
      <c r="AP174" t="s">
        <v>317</v>
      </c>
      <c r="AQ174">
        <v>2</v>
      </c>
      <c r="AR174">
        <v>1775541439.5</v>
      </c>
      <c r="AS174">
        <v>-4.3235032258064514</v>
      </c>
      <c r="AT174">
        <v>-5.9509145161290329</v>
      </c>
      <c r="AU174">
        <v>5.292323870967742</v>
      </c>
      <c r="AV174">
        <v>3.6927458064516121</v>
      </c>
      <c r="AW174">
        <v>-11.222503225806451</v>
      </c>
      <c r="AX174">
        <v>5.6277458064516122</v>
      </c>
      <c r="AY174">
        <v>499.97774193548389</v>
      </c>
      <c r="AZ174">
        <v>100.0703548387097</v>
      </c>
      <c r="BA174">
        <v>4.6492964516129033E-2</v>
      </c>
      <c r="BB174">
        <v>33.208825806451607</v>
      </c>
      <c r="BC174">
        <v>33.287287096774193</v>
      </c>
      <c r="BD174">
        <v>999.90000000000032</v>
      </c>
      <c r="BE174">
        <v>0</v>
      </c>
      <c r="BF174">
        <v>0</v>
      </c>
      <c r="BG174">
        <v>4996.7419354838712</v>
      </c>
      <c r="BH174">
        <v>1.2788458064516131</v>
      </c>
      <c r="BI174">
        <v>1529.1606451612899</v>
      </c>
      <c r="BJ174">
        <v>1.5979151612903231</v>
      </c>
      <c r="BK174">
        <v>-4.3691216129032258</v>
      </c>
      <c r="BL174">
        <v>-5.9825764516129052</v>
      </c>
      <c r="BM174">
        <v>-1.6025070967741939</v>
      </c>
      <c r="BN174">
        <v>-5.9509145161290329</v>
      </c>
      <c r="BO174">
        <v>5.292323870967742</v>
      </c>
      <c r="BP174">
        <v>0.36924096774193538</v>
      </c>
      <c r="BQ174">
        <v>0.52960425806451616</v>
      </c>
      <c r="BR174">
        <v>-6.7966219354838717</v>
      </c>
      <c r="BS174">
        <v>-2.011055483870968</v>
      </c>
      <c r="BT174">
        <v>1775541470</v>
      </c>
      <c r="BU174" t="s">
        <v>793</v>
      </c>
      <c r="BV174">
        <v>1775541470</v>
      </c>
      <c r="BW174">
        <v>1775541470</v>
      </c>
      <c r="BX174">
        <v>159</v>
      </c>
      <c r="BY174">
        <v>2.9000000000000001E-2</v>
      </c>
      <c r="BZ174">
        <v>3.0000000000000001E-3</v>
      </c>
      <c r="CA174">
        <v>6.899</v>
      </c>
      <c r="CB174">
        <v>-1.9350000000000001</v>
      </c>
      <c r="CC174">
        <v>-6</v>
      </c>
      <c r="CD174">
        <v>5</v>
      </c>
      <c r="CE174">
        <v>0.24</v>
      </c>
      <c r="CF174">
        <v>0.04</v>
      </c>
      <c r="CG174">
        <v>-5.9282640000000004</v>
      </c>
      <c r="CH174">
        <v>0.24264893581547509</v>
      </c>
      <c r="CI174">
        <v>0.2285723451280432</v>
      </c>
      <c r="CJ174">
        <v>-1</v>
      </c>
      <c r="CK174">
        <v>500.4578166666667</v>
      </c>
      <c r="CL174">
        <v>-5.1201789385936056</v>
      </c>
      <c r="CM174">
        <v>1.4021973766398019</v>
      </c>
      <c r="CN174">
        <v>-1</v>
      </c>
      <c r="CO174">
        <v>0</v>
      </c>
      <c r="CP174">
        <v>0</v>
      </c>
      <c r="CQ174" t="s">
        <v>319</v>
      </c>
      <c r="CR174">
        <v>3.1695199999999999</v>
      </c>
      <c r="CS174">
        <v>2.66751</v>
      </c>
      <c r="CT174">
        <v>-3.2786500000000001E-3</v>
      </c>
      <c r="CU174">
        <v>-1.7394000000000001E-3</v>
      </c>
      <c r="CV174">
        <v>3.6477500000000003E-2</v>
      </c>
      <c r="CW174">
        <v>3.4425200000000003E-2</v>
      </c>
      <c r="CX174">
        <v>21283.7</v>
      </c>
      <c r="CY174">
        <v>21708.799999999999</v>
      </c>
      <c r="CZ174">
        <v>22751.9</v>
      </c>
      <c r="DA174">
        <v>22044.3</v>
      </c>
      <c r="DB174">
        <v>28297.599999999999</v>
      </c>
      <c r="DC174">
        <v>25335.9</v>
      </c>
      <c r="DD174">
        <v>40047.599999999999</v>
      </c>
      <c r="DE174">
        <v>36478.199999999997</v>
      </c>
      <c r="DF174">
        <v>1.9913400000000001</v>
      </c>
      <c r="DG174">
        <v>1.5983000000000001</v>
      </c>
      <c r="DH174">
        <v>-3.2088199999999997E-2</v>
      </c>
      <c r="DI174">
        <v>0</v>
      </c>
      <c r="DJ174">
        <v>33.817599999999999</v>
      </c>
      <c r="DK174">
        <v>999.9</v>
      </c>
      <c r="DL174">
        <v>51.4</v>
      </c>
      <c r="DM174">
        <v>45.5</v>
      </c>
      <c r="DN174">
        <v>50.797499999999999</v>
      </c>
      <c r="DO174">
        <v>30.6112</v>
      </c>
      <c r="DP174">
        <v>10.5288</v>
      </c>
      <c r="DQ174">
        <v>1</v>
      </c>
      <c r="DR174">
        <v>0.97768299999999997</v>
      </c>
      <c r="DS174">
        <v>1.77887</v>
      </c>
      <c r="DT174">
        <v>20.349699999999999</v>
      </c>
      <c r="DU174">
        <v>5.2067500000000004</v>
      </c>
      <c r="DV174">
        <v>11.8553</v>
      </c>
      <c r="DW174">
        <v>4.9665999999999997</v>
      </c>
      <c r="DX174">
        <v>3.2925</v>
      </c>
      <c r="DY174">
        <v>894.7</v>
      </c>
      <c r="DZ174">
        <v>6</v>
      </c>
      <c r="EA174">
        <v>9999</v>
      </c>
      <c r="EB174">
        <v>118.4</v>
      </c>
      <c r="EC174">
        <v>4.9715999999999996</v>
      </c>
      <c r="ED174">
        <v>1.8721099999999999</v>
      </c>
      <c r="EE174">
        <v>1.86951</v>
      </c>
      <c r="EF174">
        <v>1.8717999999999999</v>
      </c>
      <c r="EG174">
        <v>1.86955</v>
      </c>
      <c r="EH174">
        <v>1.86843</v>
      </c>
      <c r="EI174">
        <v>1.8702700000000001</v>
      </c>
      <c r="EJ174">
        <v>1.87195</v>
      </c>
      <c r="EK174">
        <v>0</v>
      </c>
      <c r="EL174">
        <v>0</v>
      </c>
      <c r="EM174">
        <v>0</v>
      </c>
      <c r="EN174">
        <v>0</v>
      </c>
      <c r="EO174" t="s">
        <v>320</v>
      </c>
      <c r="EP174" t="s">
        <v>321</v>
      </c>
      <c r="EQ174" t="s">
        <v>322</v>
      </c>
      <c r="ER174" t="s">
        <v>322</v>
      </c>
      <c r="ES174" t="s">
        <v>322</v>
      </c>
      <c r="ET174" t="s">
        <v>322</v>
      </c>
      <c r="EU174">
        <v>0</v>
      </c>
      <c r="EV174">
        <v>100</v>
      </c>
      <c r="EW174">
        <v>100</v>
      </c>
      <c r="EX174">
        <v>6.899</v>
      </c>
      <c r="EY174">
        <v>-1.9350000000000001</v>
      </c>
      <c r="EZ174">
        <v>6.8695000000000004</v>
      </c>
      <c r="FA174">
        <v>0</v>
      </c>
      <c r="FB174">
        <v>0</v>
      </c>
      <c r="FC174">
        <v>0</v>
      </c>
      <c r="FD174">
        <v>-1.937929</v>
      </c>
      <c r="FE174">
        <v>0</v>
      </c>
      <c r="FF174">
        <v>0</v>
      </c>
      <c r="FG174">
        <v>0</v>
      </c>
      <c r="FH174">
        <v>-1</v>
      </c>
      <c r="FI174">
        <v>-1</v>
      </c>
      <c r="FJ174">
        <v>-1</v>
      </c>
      <c r="FK174">
        <v>-1</v>
      </c>
      <c r="FL174">
        <v>0.7</v>
      </c>
      <c r="FM174">
        <v>0.6</v>
      </c>
      <c r="FN174">
        <v>0.13916000000000001</v>
      </c>
      <c r="FO174">
        <v>4.99756</v>
      </c>
      <c r="FP174">
        <v>1.5979000000000001</v>
      </c>
      <c r="FQ174">
        <v>2.1093799999999998</v>
      </c>
      <c r="FR174">
        <v>1.5478499999999999</v>
      </c>
      <c r="FS174">
        <v>2.5</v>
      </c>
      <c r="FT174">
        <v>48.270299999999999</v>
      </c>
      <c r="FU174">
        <v>14.876300000000001</v>
      </c>
      <c r="FV174">
        <v>2</v>
      </c>
      <c r="FW174">
        <v>507.24799999999999</v>
      </c>
      <c r="FX174">
        <v>345.32799999999997</v>
      </c>
      <c r="FY174">
        <v>32.570500000000003</v>
      </c>
      <c r="FZ174">
        <v>39.082900000000002</v>
      </c>
      <c r="GA174">
        <v>29.999500000000001</v>
      </c>
      <c r="GB174">
        <v>39.423999999999999</v>
      </c>
      <c r="GC174">
        <v>39.483199999999997</v>
      </c>
      <c r="GD174">
        <v>-1</v>
      </c>
      <c r="GE174">
        <v>0</v>
      </c>
      <c r="GF174">
        <v>100</v>
      </c>
      <c r="GG174">
        <v>32.546399999999998</v>
      </c>
      <c r="GH174">
        <v>432.1</v>
      </c>
      <c r="GI174">
        <v>44.267099999999999</v>
      </c>
      <c r="GJ174">
        <v>100.749</v>
      </c>
      <c r="GK174">
        <v>95.239000000000004</v>
      </c>
    </row>
    <row r="175" spans="1:193" x14ac:dyDescent="0.35">
      <c r="A175">
        <v>159</v>
      </c>
      <c r="B175">
        <v>1775541507.5</v>
      </c>
      <c r="C175">
        <v>9481.4000000953674</v>
      </c>
      <c r="D175" t="s">
        <v>794</v>
      </c>
      <c r="E175" t="s">
        <v>795</v>
      </c>
      <c r="F175">
        <v>60</v>
      </c>
      <c r="G175">
        <v>1775541499.75</v>
      </c>
      <c r="H175">
        <f t="shared" si="60"/>
        <v>3.1886350572909346E-3</v>
      </c>
      <c r="I175">
        <f t="shared" si="61"/>
        <v>3.1886350572909348</v>
      </c>
      <c r="J175">
        <f t="shared" si="62"/>
        <v>-2.7778105459974549</v>
      </c>
      <c r="K175">
        <f t="shared" si="63"/>
        <v>-4.3282999999999996</v>
      </c>
      <c r="L175">
        <f t="shared" si="64"/>
        <v>59.368185927439114</v>
      </c>
      <c r="M175">
        <f t="shared" si="65"/>
        <v>5.9435126935122078</v>
      </c>
      <c r="N175">
        <f t="shared" si="66"/>
        <v>-0.43331804045302696</v>
      </c>
      <c r="O175">
        <f t="shared" si="67"/>
        <v>6.8492630529020618E-2</v>
      </c>
      <c r="P175">
        <f t="shared" si="68"/>
        <v>2.3886694200168099</v>
      </c>
      <c r="Q175">
        <f t="shared" si="69"/>
        <v>6.7419982879782889E-2</v>
      </c>
      <c r="R175">
        <f t="shared" si="70"/>
        <v>4.2232463093067912E-2</v>
      </c>
      <c r="S175">
        <f t="shared" si="71"/>
        <v>0.24732455019999994</v>
      </c>
      <c r="T175">
        <f t="shared" si="72"/>
        <v>32.220305557054679</v>
      </c>
      <c r="U175">
        <f t="shared" si="73"/>
        <v>33.267203333333342</v>
      </c>
      <c r="V175">
        <f t="shared" si="74"/>
        <v>5.1284548267677446</v>
      </c>
      <c r="W175">
        <f t="shared" si="75"/>
        <v>10.313255430449852</v>
      </c>
      <c r="X175">
        <f t="shared" si="76"/>
        <v>0.5273578228991973</v>
      </c>
      <c r="Y175">
        <f t="shared" si="77"/>
        <v>5.1133982519445329</v>
      </c>
      <c r="Z175">
        <f t="shared" si="78"/>
        <v>4.6010970038685475</v>
      </c>
      <c r="AA175">
        <f t="shared" si="79"/>
        <v>-140.61880602653022</v>
      </c>
      <c r="AB175">
        <f t="shared" si="80"/>
        <v>-6.750539917366984</v>
      </c>
      <c r="AC175">
        <f t="shared" si="81"/>
        <v>-0.64875937290104924</v>
      </c>
      <c r="AD175">
        <f t="shared" si="82"/>
        <v>-147.77078076659825</v>
      </c>
      <c r="AE175">
        <v>6</v>
      </c>
      <c r="AF175">
        <v>1</v>
      </c>
      <c r="AG175">
        <f t="shared" si="83"/>
        <v>1</v>
      </c>
      <c r="AH175">
        <f t="shared" si="84"/>
        <v>0</v>
      </c>
      <c r="AI175">
        <f t="shared" si="85"/>
        <v>25011.871662639689</v>
      </c>
      <c r="AJ175">
        <f t="shared" si="86"/>
        <v>1.2942153333333331</v>
      </c>
      <c r="AK175">
        <f t="shared" si="87"/>
        <v>1.0353722666666665</v>
      </c>
      <c r="AL175">
        <f t="shared" si="88"/>
        <v>0.8</v>
      </c>
      <c r="AM175">
        <f t="shared" si="89"/>
        <v>0.19109999999999999</v>
      </c>
      <c r="AN175">
        <v>3</v>
      </c>
      <c r="AO175">
        <v>0.5</v>
      </c>
      <c r="AP175" t="s">
        <v>317</v>
      </c>
      <c r="AQ175">
        <v>2</v>
      </c>
      <c r="AR175">
        <v>1775541499.75</v>
      </c>
      <c r="AS175">
        <v>-4.3282999999999996</v>
      </c>
      <c r="AT175">
        <v>-6.0033263333333338</v>
      </c>
      <c r="AU175">
        <v>5.2676386666666666</v>
      </c>
      <c r="AV175">
        <v>3.364468333333333</v>
      </c>
      <c r="AW175">
        <v>-11.241300000000001</v>
      </c>
      <c r="AX175">
        <v>5.2984683333333331</v>
      </c>
      <c r="AY175">
        <v>499.98233333333337</v>
      </c>
      <c r="AZ175">
        <v>100.0655</v>
      </c>
      <c r="BA175">
        <v>4.7255690000000003E-2</v>
      </c>
      <c r="BB175">
        <v>33.21478333333333</v>
      </c>
      <c r="BC175">
        <v>33.267203333333342</v>
      </c>
      <c r="BD175">
        <v>999.9000000000002</v>
      </c>
      <c r="BE175">
        <v>0</v>
      </c>
      <c r="BF175">
        <v>0</v>
      </c>
      <c r="BG175">
        <v>4998.3666666666668</v>
      </c>
      <c r="BH175">
        <v>1.2942153333333331</v>
      </c>
      <c r="BI175">
        <v>1462.1020000000001</v>
      </c>
      <c r="BJ175">
        <v>1.660628666666667</v>
      </c>
      <c r="BK175">
        <v>-4.3573526666666664</v>
      </c>
      <c r="BL175">
        <v>-6.0351176666666682</v>
      </c>
      <c r="BM175">
        <v>-1.904448333333334</v>
      </c>
      <c r="BN175">
        <v>-6.0033263333333338</v>
      </c>
      <c r="BO175">
        <v>5.2676386666666666</v>
      </c>
      <c r="BP175">
        <v>0.33653906666666672</v>
      </c>
      <c r="BQ175">
        <v>0.52710869999999999</v>
      </c>
      <c r="BR175">
        <v>-7.9964919999999999</v>
      </c>
      <c r="BS175">
        <v>-2.074983</v>
      </c>
      <c r="BT175">
        <v>1775541533.5</v>
      </c>
      <c r="BU175" t="s">
        <v>796</v>
      </c>
      <c r="BV175">
        <v>1775541525.5</v>
      </c>
      <c r="BW175">
        <v>1775541533.5</v>
      </c>
      <c r="BX175">
        <v>160</v>
      </c>
      <c r="BY175">
        <v>1.4E-2</v>
      </c>
      <c r="BZ175">
        <v>1E-3</v>
      </c>
      <c r="CA175">
        <v>6.9130000000000003</v>
      </c>
      <c r="CB175">
        <v>-1.9339999999999999</v>
      </c>
      <c r="CC175">
        <v>-6</v>
      </c>
      <c r="CD175">
        <v>5</v>
      </c>
      <c r="CE175">
        <v>0.17</v>
      </c>
      <c r="CF175">
        <v>0.04</v>
      </c>
      <c r="CG175">
        <v>-6.0129083333333329</v>
      </c>
      <c r="CH175">
        <v>-2.8339872186732579E-2</v>
      </c>
      <c r="CI175">
        <v>6.1298918918326409E-2</v>
      </c>
      <c r="CJ175">
        <v>-1</v>
      </c>
      <c r="CK175">
        <v>500.06900000000002</v>
      </c>
      <c r="CL175">
        <v>-0.9786651847735065</v>
      </c>
      <c r="CM175">
        <v>0.31965637800613328</v>
      </c>
      <c r="CN175">
        <v>-1</v>
      </c>
      <c r="CO175">
        <v>0</v>
      </c>
      <c r="CP175">
        <v>0</v>
      </c>
      <c r="CQ175" t="s">
        <v>319</v>
      </c>
      <c r="CR175">
        <v>3.16961</v>
      </c>
      <c r="CS175">
        <v>2.6684000000000001</v>
      </c>
      <c r="CT175">
        <v>-3.2544800000000001E-3</v>
      </c>
      <c r="CU175">
        <v>-1.8236299999999999E-3</v>
      </c>
      <c r="CV175">
        <v>3.4444799999999998E-2</v>
      </c>
      <c r="CW175">
        <v>3.4261300000000001E-2</v>
      </c>
      <c r="CX175">
        <v>21285.200000000001</v>
      </c>
      <c r="CY175">
        <v>21711.599999999999</v>
      </c>
      <c r="CZ175">
        <v>22753.8</v>
      </c>
      <c r="DA175">
        <v>22045.200000000001</v>
      </c>
      <c r="DB175">
        <v>28359.599999999999</v>
      </c>
      <c r="DC175">
        <v>25341.3</v>
      </c>
      <c r="DD175">
        <v>40050.6</v>
      </c>
      <c r="DE175">
        <v>36479.599999999999</v>
      </c>
      <c r="DF175">
        <v>1.9913799999999999</v>
      </c>
      <c r="DG175">
        <v>1.5989</v>
      </c>
      <c r="DH175">
        <v>-4.2617299999999997E-2</v>
      </c>
      <c r="DI175">
        <v>0</v>
      </c>
      <c r="DJ175">
        <v>33.957700000000003</v>
      </c>
      <c r="DK175">
        <v>999.9</v>
      </c>
      <c r="DL175">
        <v>51.7</v>
      </c>
      <c r="DM175">
        <v>45.4</v>
      </c>
      <c r="DN175">
        <v>50.832700000000003</v>
      </c>
      <c r="DO175">
        <v>30.6112</v>
      </c>
      <c r="DP175">
        <v>10.556900000000001</v>
      </c>
      <c r="DQ175">
        <v>1</v>
      </c>
      <c r="DR175">
        <v>0.97489199999999998</v>
      </c>
      <c r="DS175">
        <v>2.1644299999999999</v>
      </c>
      <c r="DT175">
        <v>20.344799999999999</v>
      </c>
      <c r="DU175">
        <v>5.2055499999999997</v>
      </c>
      <c r="DV175">
        <v>11.856199999999999</v>
      </c>
      <c r="DW175">
        <v>4.9671599999999998</v>
      </c>
      <c r="DX175">
        <v>3.2930000000000001</v>
      </c>
      <c r="DY175">
        <v>894.7</v>
      </c>
      <c r="DZ175">
        <v>6</v>
      </c>
      <c r="EA175">
        <v>9999</v>
      </c>
      <c r="EB175">
        <v>118.4</v>
      </c>
      <c r="EC175">
        <v>4.97159</v>
      </c>
      <c r="ED175">
        <v>1.87212</v>
      </c>
      <c r="EE175">
        <v>1.86951</v>
      </c>
      <c r="EF175">
        <v>1.8717999999999999</v>
      </c>
      <c r="EG175">
        <v>1.8695600000000001</v>
      </c>
      <c r="EH175">
        <v>1.8684400000000001</v>
      </c>
      <c r="EI175">
        <v>1.87022</v>
      </c>
      <c r="EJ175">
        <v>1.87195</v>
      </c>
      <c r="EK175">
        <v>0</v>
      </c>
      <c r="EL175">
        <v>0</v>
      </c>
      <c r="EM175">
        <v>0</v>
      </c>
      <c r="EN175">
        <v>0</v>
      </c>
      <c r="EO175" t="s">
        <v>320</v>
      </c>
      <c r="EP175" t="s">
        <v>321</v>
      </c>
      <c r="EQ175" t="s">
        <v>322</v>
      </c>
      <c r="ER175" t="s">
        <v>322</v>
      </c>
      <c r="ES175" t="s">
        <v>322</v>
      </c>
      <c r="ET175" t="s">
        <v>322</v>
      </c>
      <c r="EU175">
        <v>0</v>
      </c>
      <c r="EV175">
        <v>100</v>
      </c>
      <c r="EW175">
        <v>100</v>
      </c>
      <c r="EX175">
        <v>6.9130000000000003</v>
      </c>
      <c r="EY175">
        <v>-1.9339999999999999</v>
      </c>
      <c r="EZ175">
        <v>6.8985990476190464</v>
      </c>
      <c r="FA175">
        <v>0</v>
      </c>
      <c r="FB175">
        <v>0</v>
      </c>
      <c r="FC175">
        <v>0</v>
      </c>
      <c r="FD175">
        <v>-1.9352795238095239</v>
      </c>
      <c r="FE175">
        <v>0</v>
      </c>
      <c r="FF175">
        <v>0</v>
      </c>
      <c r="FG175">
        <v>0</v>
      </c>
      <c r="FH175">
        <v>-1</v>
      </c>
      <c r="FI175">
        <v>-1</v>
      </c>
      <c r="FJ175">
        <v>-1</v>
      </c>
      <c r="FK175">
        <v>-1</v>
      </c>
      <c r="FL175">
        <v>0.6</v>
      </c>
      <c r="FM175">
        <v>0.6</v>
      </c>
      <c r="FN175">
        <v>0.13916000000000001</v>
      </c>
      <c r="FO175">
        <v>4.99756</v>
      </c>
      <c r="FP175">
        <v>1.5979000000000001</v>
      </c>
      <c r="FQ175">
        <v>2.1093799999999998</v>
      </c>
      <c r="FR175">
        <v>1.5478499999999999</v>
      </c>
      <c r="FS175">
        <v>2.50244</v>
      </c>
      <c r="FT175">
        <v>48.1785</v>
      </c>
      <c r="FU175">
        <v>14.8675</v>
      </c>
      <c r="FV175">
        <v>2</v>
      </c>
      <c r="FW175">
        <v>506.76299999999998</v>
      </c>
      <c r="FX175">
        <v>345.32499999999999</v>
      </c>
      <c r="FY175">
        <v>32.238799999999998</v>
      </c>
      <c r="FZ175">
        <v>39.021900000000002</v>
      </c>
      <c r="GA175">
        <v>29.9998</v>
      </c>
      <c r="GB175">
        <v>39.348500000000001</v>
      </c>
      <c r="GC175">
        <v>39.413200000000003</v>
      </c>
      <c r="GD175">
        <v>-1</v>
      </c>
      <c r="GE175">
        <v>0</v>
      </c>
      <c r="GF175">
        <v>100</v>
      </c>
      <c r="GG175">
        <v>32.2254</v>
      </c>
      <c r="GH175">
        <v>432.1</v>
      </c>
      <c r="GI175">
        <v>44.267099999999999</v>
      </c>
      <c r="GJ175">
        <v>100.75700000000001</v>
      </c>
      <c r="GK175">
        <v>95.242800000000003</v>
      </c>
    </row>
    <row r="176" spans="1:193" x14ac:dyDescent="0.35">
      <c r="A176">
        <v>160</v>
      </c>
      <c r="B176">
        <v>1775541567.5</v>
      </c>
      <c r="C176">
        <v>9541.4000000953674</v>
      </c>
      <c r="D176" t="s">
        <v>797</v>
      </c>
      <c r="E176" t="s">
        <v>798</v>
      </c>
      <c r="F176">
        <v>60</v>
      </c>
      <c r="G176">
        <v>1775541559.5</v>
      </c>
      <c r="H176">
        <f t="shared" si="60"/>
        <v>3.0329640392453079E-3</v>
      </c>
      <c r="I176">
        <f t="shared" si="61"/>
        <v>3.0329640392453081</v>
      </c>
      <c r="J176">
        <f t="shared" si="62"/>
        <v>-2.7729806806569983</v>
      </c>
      <c r="K176">
        <f t="shared" si="63"/>
        <v>-4.5491322580645184</v>
      </c>
      <c r="L176">
        <f t="shared" si="64"/>
        <v>62.477695974378356</v>
      </c>
      <c r="M176">
        <f t="shared" si="65"/>
        <v>6.2547807944979219</v>
      </c>
      <c r="N176">
        <f t="shared" si="66"/>
        <v>-0.45542372578914597</v>
      </c>
      <c r="O176">
        <f t="shared" si="67"/>
        <v>6.4925044810856439E-2</v>
      </c>
      <c r="P176">
        <f t="shared" si="68"/>
        <v>2.3879976160334762</v>
      </c>
      <c r="Q176">
        <f t="shared" si="69"/>
        <v>6.3960113799606408E-2</v>
      </c>
      <c r="R176">
        <f t="shared" si="70"/>
        <v>4.0060571657170599E-2</v>
      </c>
      <c r="S176">
        <f t="shared" si="71"/>
        <v>0.23930300235483856</v>
      </c>
      <c r="T176">
        <f t="shared" si="72"/>
        <v>32.273627712774456</v>
      </c>
      <c r="U176">
        <f t="shared" si="73"/>
        <v>33.309664516129033</v>
      </c>
      <c r="V176">
        <f t="shared" si="74"/>
        <v>5.1406791939108754</v>
      </c>
      <c r="W176">
        <f t="shared" si="75"/>
        <v>10.318913776601384</v>
      </c>
      <c r="X176">
        <f t="shared" si="76"/>
        <v>0.52779462298897617</v>
      </c>
      <c r="Y176">
        <f t="shared" si="77"/>
        <v>5.1148273395381496</v>
      </c>
      <c r="Z176">
        <f t="shared" si="78"/>
        <v>4.6128845709218993</v>
      </c>
      <c r="AA176">
        <f t="shared" si="79"/>
        <v>-133.75371413071807</v>
      </c>
      <c r="AB176">
        <f t="shared" si="80"/>
        <v>-11.573881300056161</v>
      </c>
      <c r="AC176">
        <f t="shared" si="81"/>
        <v>-1.1128771951672256</v>
      </c>
      <c r="AD176">
        <f t="shared" si="82"/>
        <v>-146.20116962358662</v>
      </c>
      <c r="AE176">
        <v>5</v>
      </c>
      <c r="AF176">
        <v>1</v>
      </c>
      <c r="AG176">
        <f t="shared" si="83"/>
        <v>1</v>
      </c>
      <c r="AH176">
        <f t="shared" si="84"/>
        <v>0</v>
      </c>
      <c r="AI176">
        <f t="shared" si="85"/>
        <v>25001.44728894742</v>
      </c>
      <c r="AJ176">
        <f t="shared" si="86"/>
        <v>1.252239677419354</v>
      </c>
      <c r="AK176">
        <f t="shared" si="87"/>
        <v>1.0017917419354834</v>
      </c>
      <c r="AL176">
        <f t="shared" si="88"/>
        <v>0.8</v>
      </c>
      <c r="AM176">
        <f t="shared" si="89"/>
        <v>0.19109999999999999</v>
      </c>
      <c r="AN176">
        <v>3</v>
      </c>
      <c r="AO176">
        <v>0.5</v>
      </c>
      <c r="AP176" t="s">
        <v>317</v>
      </c>
      <c r="AQ176">
        <v>2</v>
      </c>
      <c r="AR176">
        <v>1775541559.5</v>
      </c>
      <c r="AS176">
        <v>-4.5491322580645184</v>
      </c>
      <c r="AT176">
        <v>-6.221250645161291</v>
      </c>
      <c r="AU176">
        <v>5.2720300000000018</v>
      </c>
      <c r="AV176">
        <v>3.4617896774193562</v>
      </c>
      <c r="AW176">
        <v>-11.45213225806452</v>
      </c>
      <c r="AX176">
        <v>5.3947896774193564</v>
      </c>
      <c r="AY176">
        <v>499.98458064516132</v>
      </c>
      <c r="AZ176">
        <v>100.06564516129031</v>
      </c>
      <c r="BA176">
        <v>4.6574038709677433E-2</v>
      </c>
      <c r="BB176">
        <v>33.219764516129032</v>
      </c>
      <c r="BC176">
        <v>33.309664516129033</v>
      </c>
      <c r="BD176">
        <v>999.90000000000032</v>
      </c>
      <c r="BE176">
        <v>0</v>
      </c>
      <c r="BF176">
        <v>0</v>
      </c>
      <c r="BG176">
        <v>4996.6290322580644</v>
      </c>
      <c r="BH176">
        <v>1.252239677419354</v>
      </c>
      <c r="BI176">
        <v>1480.557096774193</v>
      </c>
      <c r="BJ176">
        <v>1.6821006451612901</v>
      </c>
      <c r="BK176">
        <v>-4.5549145161290321</v>
      </c>
      <c r="BL176">
        <v>-6.254224193548386</v>
      </c>
      <c r="BM176">
        <v>-1.811074516129032</v>
      </c>
      <c r="BN176">
        <v>-6.221250645161291</v>
      </c>
      <c r="BO176">
        <v>5.2720300000000018</v>
      </c>
      <c r="BP176">
        <v>0.34632274193548379</v>
      </c>
      <c r="BQ176">
        <v>0.52754912903225792</v>
      </c>
      <c r="BR176">
        <v>-7.6269432258064516</v>
      </c>
      <c r="BS176">
        <v>-2.0636796774193549</v>
      </c>
      <c r="BT176">
        <v>1775541593.5</v>
      </c>
      <c r="BU176" t="s">
        <v>799</v>
      </c>
      <c r="BV176">
        <v>1775541585.5</v>
      </c>
      <c r="BW176">
        <v>1775541593.5</v>
      </c>
      <c r="BX176">
        <v>161</v>
      </c>
      <c r="BY176">
        <v>-0.01</v>
      </c>
      <c r="BZ176">
        <v>0</v>
      </c>
      <c r="CA176">
        <v>6.9029999999999996</v>
      </c>
      <c r="CB176">
        <v>-1.9330000000000001</v>
      </c>
      <c r="CC176">
        <v>-8</v>
      </c>
      <c r="CD176">
        <v>5</v>
      </c>
      <c r="CE176">
        <v>0.22</v>
      </c>
      <c r="CF176">
        <v>0.05</v>
      </c>
      <c r="CG176">
        <v>-6.2213496666666659</v>
      </c>
      <c r="CH176">
        <v>0.17409355932201631</v>
      </c>
      <c r="CI176">
        <v>0.15391365300027449</v>
      </c>
      <c r="CJ176">
        <v>-1</v>
      </c>
      <c r="CK176">
        <v>500.77965</v>
      </c>
      <c r="CL176">
        <v>-8.0407502083901896</v>
      </c>
      <c r="CM176">
        <v>1.777297994381734</v>
      </c>
      <c r="CN176">
        <v>-1</v>
      </c>
      <c r="CO176">
        <v>0</v>
      </c>
      <c r="CP176">
        <v>0</v>
      </c>
      <c r="CQ176" t="s">
        <v>319</v>
      </c>
      <c r="CR176">
        <v>3.1695099999999998</v>
      </c>
      <c r="CS176">
        <v>2.6678500000000001</v>
      </c>
      <c r="CT176">
        <v>-3.3408299999999999E-3</v>
      </c>
      <c r="CU176">
        <v>-1.9027099999999999E-3</v>
      </c>
      <c r="CV176">
        <v>3.5035999999999998E-2</v>
      </c>
      <c r="CW176">
        <v>3.4295199999999998E-2</v>
      </c>
      <c r="CX176">
        <v>21287.200000000001</v>
      </c>
      <c r="CY176">
        <v>21713</v>
      </c>
      <c r="CZ176">
        <v>22753.9</v>
      </c>
      <c r="DA176">
        <v>22044.799999999999</v>
      </c>
      <c r="DB176">
        <v>28342.5</v>
      </c>
      <c r="DC176">
        <v>25340.2</v>
      </c>
      <c r="DD176">
        <v>40051</v>
      </c>
      <c r="DE176">
        <v>36479.300000000003</v>
      </c>
      <c r="DF176">
        <v>1.9918800000000001</v>
      </c>
      <c r="DG176">
        <v>1.5989599999999999</v>
      </c>
      <c r="DH176">
        <v>-4.6679400000000003E-2</v>
      </c>
      <c r="DI176">
        <v>0</v>
      </c>
      <c r="DJ176">
        <v>34.067100000000003</v>
      </c>
      <c r="DK176">
        <v>999.9</v>
      </c>
      <c r="DL176">
        <v>51.8</v>
      </c>
      <c r="DM176">
        <v>45.3</v>
      </c>
      <c r="DN176">
        <v>50.677</v>
      </c>
      <c r="DO176">
        <v>30.671199999999999</v>
      </c>
      <c r="DP176">
        <v>10.5809</v>
      </c>
      <c r="DQ176">
        <v>1</v>
      </c>
      <c r="DR176">
        <v>0.97341900000000003</v>
      </c>
      <c r="DS176">
        <v>2.1121300000000001</v>
      </c>
      <c r="DT176">
        <v>20.344899999999999</v>
      </c>
      <c r="DU176">
        <v>5.2063899999999999</v>
      </c>
      <c r="DV176">
        <v>11.854799999999999</v>
      </c>
      <c r="DW176">
        <v>4.9658800000000003</v>
      </c>
      <c r="DX176">
        <v>3.2924199999999999</v>
      </c>
      <c r="DY176">
        <v>894.7</v>
      </c>
      <c r="DZ176">
        <v>6</v>
      </c>
      <c r="EA176">
        <v>9999</v>
      </c>
      <c r="EB176">
        <v>118.4</v>
      </c>
      <c r="EC176">
        <v>4.97159</v>
      </c>
      <c r="ED176">
        <v>1.8721000000000001</v>
      </c>
      <c r="EE176">
        <v>1.8694999999999999</v>
      </c>
      <c r="EF176">
        <v>1.8717999999999999</v>
      </c>
      <c r="EG176">
        <v>1.8695299999999999</v>
      </c>
      <c r="EH176">
        <v>1.86843</v>
      </c>
      <c r="EI176">
        <v>1.8702399999999999</v>
      </c>
      <c r="EJ176">
        <v>1.87195</v>
      </c>
      <c r="EK176">
        <v>0</v>
      </c>
      <c r="EL176">
        <v>0</v>
      </c>
      <c r="EM176">
        <v>0</v>
      </c>
      <c r="EN176">
        <v>0</v>
      </c>
      <c r="EO176" t="s">
        <v>320</v>
      </c>
      <c r="EP176" t="s">
        <v>321</v>
      </c>
      <c r="EQ176" t="s">
        <v>322</v>
      </c>
      <c r="ER176" t="s">
        <v>322</v>
      </c>
      <c r="ES176" t="s">
        <v>322</v>
      </c>
      <c r="ET176" t="s">
        <v>322</v>
      </c>
      <c r="EU176">
        <v>0</v>
      </c>
      <c r="EV176">
        <v>100</v>
      </c>
      <c r="EW176">
        <v>100</v>
      </c>
      <c r="EX176">
        <v>6.9029999999999996</v>
      </c>
      <c r="EY176">
        <v>-1.9330000000000001</v>
      </c>
      <c r="EZ176">
        <v>6.9129720000000017</v>
      </c>
      <c r="FA176">
        <v>0</v>
      </c>
      <c r="FB176">
        <v>0</v>
      </c>
      <c r="FC176">
        <v>0</v>
      </c>
      <c r="FD176">
        <v>-1.9338344999999999</v>
      </c>
      <c r="FE176">
        <v>0</v>
      </c>
      <c r="FF176">
        <v>0</v>
      </c>
      <c r="FG176">
        <v>0</v>
      </c>
      <c r="FH176">
        <v>-1</v>
      </c>
      <c r="FI176">
        <v>-1</v>
      </c>
      <c r="FJ176">
        <v>-1</v>
      </c>
      <c r="FK176">
        <v>-1</v>
      </c>
      <c r="FL176">
        <v>0.7</v>
      </c>
      <c r="FM176">
        <v>0.6</v>
      </c>
      <c r="FN176">
        <v>0.13916000000000001</v>
      </c>
      <c r="FO176">
        <v>4.99756</v>
      </c>
      <c r="FP176">
        <v>1.5979000000000001</v>
      </c>
      <c r="FQ176">
        <v>2.1093799999999998</v>
      </c>
      <c r="FR176">
        <v>1.5478499999999999</v>
      </c>
      <c r="FS176">
        <v>2.5146500000000001</v>
      </c>
      <c r="FT176">
        <v>48.117400000000004</v>
      </c>
      <c r="FU176">
        <v>14.8588</v>
      </c>
      <c r="FV176">
        <v>2</v>
      </c>
      <c r="FW176">
        <v>506.81799999999998</v>
      </c>
      <c r="FX176">
        <v>345.17200000000003</v>
      </c>
      <c r="FY176">
        <v>32.333399999999997</v>
      </c>
      <c r="FZ176">
        <v>39.006799999999998</v>
      </c>
      <c r="GA176">
        <v>30.0002</v>
      </c>
      <c r="GB176">
        <v>39.3108</v>
      </c>
      <c r="GC176">
        <v>39.373399999999997</v>
      </c>
      <c r="GD176">
        <v>-1</v>
      </c>
      <c r="GE176">
        <v>0</v>
      </c>
      <c r="GF176">
        <v>100</v>
      </c>
      <c r="GG176">
        <v>32.305700000000002</v>
      </c>
      <c r="GH176">
        <v>432.1</v>
      </c>
      <c r="GI176">
        <v>44.267099999999999</v>
      </c>
      <c r="GJ176">
        <v>100.758</v>
      </c>
      <c r="GK176">
        <v>95.241600000000005</v>
      </c>
    </row>
    <row r="177" spans="1:193" x14ac:dyDescent="0.35">
      <c r="A177">
        <v>161</v>
      </c>
      <c r="B177">
        <v>1775541627.5</v>
      </c>
      <c r="C177">
        <v>9601.4000000953674</v>
      </c>
      <c r="D177" t="s">
        <v>800</v>
      </c>
      <c r="E177" t="s">
        <v>801</v>
      </c>
      <c r="F177">
        <v>60</v>
      </c>
      <c r="G177">
        <v>1775541619.5</v>
      </c>
      <c r="H177">
        <f t="shared" si="60"/>
        <v>3.5006229334614922E-3</v>
      </c>
      <c r="I177">
        <f t="shared" si="61"/>
        <v>3.5006229334614924</v>
      </c>
      <c r="J177">
        <f t="shared" si="62"/>
        <v>-2.5031365987801193</v>
      </c>
      <c r="K177">
        <f t="shared" si="63"/>
        <v>-5.6888903225806464</v>
      </c>
      <c r="L177">
        <f t="shared" si="64"/>
        <v>46.819696070032442</v>
      </c>
      <c r="M177">
        <f t="shared" si="65"/>
        <v>4.6871153989499907</v>
      </c>
      <c r="N177">
        <f t="shared" si="66"/>
        <v>-0.56951427864932846</v>
      </c>
      <c r="O177">
        <f t="shared" si="67"/>
        <v>7.5186816116178931E-2</v>
      </c>
      <c r="P177">
        <f t="shared" si="68"/>
        <v>2.3908313402301484</v>
      </c>
      <c r="Q177">
        <f t="shared" si="69"/>
        <v>7.389752471377091E-2</v>
      </c>
      <c r="R177">
        <f t="shared" si="70"/>
        <v>4.6299949110541916E-2</v>
      </c>
      <c r="S177">
        <f t="shared" si="71"/>
        <v>0.22981346951612899</v>
      </c>
      <c r="T177">
        <f t="shared" si="72"/>
        <v>32.112439713022788</v>
      </c>
      <c r="U177">
        <f t="shared" si="73"/>
        <v>33.278096774193543</v>
      </c>
      <c r="V177">
        <f t="shared" si="74"/>
        <v>5.1315885809926494</v>
      </c>
      <c r="W177">
        <f t="shared" si="75"/>
        <v>10.238110055307887</v>
      </c>
      <c r="X177">
        <f t="shared" si="76"/>
        <v>0.52318774122271539</v>
      </c>
      <c r="Y177">
        <f t="shared" si="77"/>
        <v>5.1101984487016905</v>
      </c>
      <c r="Z177">
        <f t="shared" si="78"/>
        <v>4.6084008397699341</v>
      </c>
      <c r="AA177">
        <f t="shared" si="79"/>
        <v>-154.37747136565181</v>
      </c>
      <c r="AB177">
        <f t="shared" si="80"/>
        <v>-9.5988980931144514</v>
      </c>
      <c r="AC177">
        <f t="shared" si="81"/>
        <v>-0.9216649408089268</v>
      </c>
      <c r="AD177">
        <f t="shared" si="82"/>
        <v>-164.66822093005908</v>
      </c>
      <c r="AE177">
        <v>6</v>
      </c>
      <c r="AF177">
        <v>1</v>
      </c>
      <c r="AG177">
        <f t="shared" si="83"/>
        <v>1</v>
      </c>
      <c r="AH177">
        <f t="shared" si="84"/>
        <v>0</v>
      </c>
      <c r="AI177">
        <f t="shared" si="85"/>
        <v>25045.055982236074</v>
      </c>
      <c r="AJ177">
        <f t="shared" si="86"/>
        <v>1.202582258064516</v>
      </c>
      <c r="AK177">
        <f t="shared" si="87"/>
        <v>0.96206580645161288</v>
      </c>
      <c r="AL177">
        <f t="shared" si="88"/>
        <v>0.8</v>
      </c>
      <c r="AM177">
        <f t="shared" si="89"/>
        <v>0.19109999999999999</v>
      </c>
      <c r="AN177">
        <v>3</v>
      </c>
      <c r="AO177">
        <v>0.5</v>
      </c>
      <c r="AP177" t="s">
        <v>317</v>
      </c>
      <c r="AQ177">
        <v>2</v>
      </c>
      <c r="AR177">
        <v>1775541619.5</v>
      </c>
      <c r="AS177">
        <v>-5.6888903225806464</v>
      </c>
      <c r="AT177">
        <v>-7.2027829032258053</v>
      </c>
      <c r="AU177">
        <v>5.2261335483870974</v>
      </c>
      <c r="AV177">
        <v>3.1366512903225789</v>
      </c>
      <c r="AW177">
        <v>-12.598890322580649</v>
      </c>
      <c r="AX177">
        <v>5.0686512903225793</v>
      </c>
      <c r="AY177">
        <v>499.97958064516138</v>
      </c>
      <c r="AZ177">
        <v>100.0642258064516</v>
      </c>
      <c r="BA177">
        <v>4.5680758064516117E-2</v>
      </c>
      <c r="BB177">
        <v>33.203625806451612</v>
      </c>
      <c r="BC177">
        <v>33.278096774193543</v>
      </c>
      <c r="BD177">
        <v>999.90000000000032</v>
      </c>
      <c r="BE177">
        <v>0</v>
      </c>
      <c r="BF177">
        <v>0</v>
      </c>
      <c r="BG177">
        <v>5004</v>
      </c>
      <c r="BH177">
        <v>1.202582258064516</v>
      </c>
      <c r="BI177">
        <v>1253.976451612903</v>
      </c>
      <c r="BJ177">
        <v>1.50650193548387</v>
      </c>
      <c r="BK177">
        <v>-5.7141977419354841</v>
      </c>
      <c r="BL177">
        <v>-7.2406245161290324</v>
      </c>
      <c r="BM177">
        <v>-2.090920967741936</v>
      </c>
      <c r="BN177">
        <v>-7.2027829032258053</v>
      </c>
      <c r="BO177">
        <v>5.2261335483870974</v>
      </c>
      <c r="BP177">
        <v>0.31372274193548377</v>
      </c>
      <c r="BQ177">
        <v>0.522948935483871</v>
      </c>
      <c r="BR177">
        <v>-8.8963819354838733</v>
      </c>
      <c r="BS177">
        <v>-2.182151935483871</v>
      </c>
      <c r="BT177">
        <v>1775541657</v>
      </c>
      <c r="BU177" t="s">
        <v>802</v>
      </c>
      <c r="BV177">
        <v>1775541648.5</v>
      </c>
      <c r="BW177">
        <v>1775541657</v>
      </c>
      <c r="BX177">
        <v>162</v>
      </c>
      <c r="BY177">
        <v>8.0000000000000002E-3</v>
      </c>
      <c r="BZ177">
        <v>2E-3</v>
      </c>
      <c r="CA177">
        <v>6.91</v>
      </c>
      <c r="CB177">
        <v>-1.9319999999999999</v>
      </c>
      <c r="CC177">
        <v>-6</v>
      </c>
      <c r="CD177">
        <v>5</v>
      </c>
      <c r="CE177">
        <v>0.15</v>
      </c>
      <c r="CF177">
        <v>0.04</v>
      </c>
      <c r="CG177">
        <v>-7.4805264999999999</v>
      </c>
      <c r="CH177">
        <v>2.111424073353716</v>
      </c>
      <c r="CI177">
        <v>0.34992380507678628</v>
      </c>
      <c r="CJ177">
        <v>-1</v>
      </c>
      <c r="CK177">
        <v>500.79113333333328</v>
      </c>
      <c r="CL177">
        <v>-8.1639410947475053</v>
      </c>
      <c r="CM177">
        <v>1.805688571031991</v>
      </c>
      <c r="CN177">
        <v>-1</v>
      </c>
      <c r="CO177">
        <v>0</v>
      </c>
      <c r="CP177">
        <v>0</v>
      </c>
      <c r="CQ177" t="s">
        <v>319</v>
      </c>
      <c r="CR177">
        <v>3.1695099999999998</v>
      </c>
      <c r="CS177">
        <v>2.6676299999999999</v>
      </c>
      <c r="CT177">
        <v>-3.5680199999999999E-3</v>
      </c>
      <c r="CU177">
        <v>-1.8470400000000001E-3</v>
      </c>
      <c r="CV177">
        <v>3.3242500000000001E-2</v>
      </c>
      <c r="CW177">
        <v>3.40127E-2</v>
      </c>
      <c r="CX177">
        <v>21290.7</v>
      </c>
      <c r="CY177">
        <v>21709.7</v>
      </c>
      <c r="CZ177">
        <v>22752.6</v>
      </c>
      <c r="DA177">
        <v>22042.799999999999</v>
      </c>
      <c r="DB177">
        <v>28393.599999999999</v>
      </c>
      <c r="DC177">
        <v>25345.4</v>
      </c>
      <c r="DD177">
        <v>40048.9</v>
      </c>
      <c r="DE177">
        <v>36476</v>
      </c>
      <c r="DF177">
        <v>1.9910600000000001</v>
      </c>
      <c r="DG177">
        <v>1.59938</v>
      </c>
      <c r="DH177">
        <v>-5.7727100000000003E-2</v>
      </c>
      <c r="DI177">
        <v>0</v>
      </c>
      <c r="DJ177">
        <v>34.200499999999998</v>
      </c>
      <c r="DK177">
        <v>999.9</v>
      </c>
      <c r="DL177">
        <v>52</v>
      </c>
      <c r="DM177">
        <v>45.2</v>
      </c>
      <c r="DN177">
        <v>50.607900000000001</v>
      </c>
      <c r="DO177">
        <v>30.581199999999999</v>
      </c>
      <c r="DP177">
        <v>10.617000000000001</v>
      </c>
      <c r="DQ177">
        <v>1</v>
      </c>
      <c r="DR177">
        <v>0.97760800000000003</v>
      </c>
      <c r="DS177">
        <v>2.2473000000000001</v>
      </c>
      <c r="DT177">
        <v>20.342500000000001</v>
      </c>
      <c r="DU177">
        <v>5.2065099999999997</v>
      </c>
      <c r="DV177">
        <v>11.8561</v>
      </c>
      <c r="DW177">
        <v>4.96652</v>
      </c>
      <c r="DX177">
        <v>3.2924199999999999</v>
      </c>
      <c r="DY177">
        <v>894.7</v>
      </c>
      <c r="DZ177">
        <v>6</v>
      </c>
      <c r="EA177">
        <v>9999</v>
      </c>
      <c r="EB177">
        <v>118.4</v>
      </c>
      <c r="EC177">
        <v>4.9715699999999998</v>
      </c>
      <c r="ED177">
        <v>1.8721000000000001</v>
      </c>
      <c r="EE177">
        <v>1.86951</v>
      </c>
      <c r="EF177">
        <v>1.8717999999999999</v>
      </c>
      <c r="EG177">
        <v>1.8695600000000001</v>
      </c>
      <c r="EH177">
        <v>1.8684400000000001</v>
      </c>
      <c r="EI177">
        <v>1.87025</v>
      </c>
      <c r="EJ177">
        <v>1.87195</v>
      </c>
      <c r="EK177">
        <v>0</v>
      </c>
      <c r="EL177">
        <v>0</v>
      </c>
      <c r="EM177">
        <v>0</v>
      </c>
      <c r="EN177">
        <v>0</v>
      </c>
      <c r="EO177" t="s">
        <v>320</v>
      </c>
      <c r="EP177" t="s">
        <v>321</v>
      </c>
      <c r="EQ177" t="s">
        <v>322</v>
      </c>
      <c r="ER177" t="s">
        <v>322</v>
      </c>
      <c r="ES177" t="s">
        <v>322</v>
      </c>
      <c r="ET177" t="s">
        <v>322</v>
      </c>
      <c r="EU177">
        <v>0</v>
      </c>
      <c r="EV177">
        <v>100</v>
      </c>
      <c r="EW177">
        <v>100</v>
      </c>
      <c r="EX177">
        <v>6.91</v>
      </c>
      <c r="EY177">
        <v>-1.9319999999999999</v>
      </c>
      <c r="EZ177">
        <v>6.9026080000000007</v>
      </c>
      <c r="FA177">
        <v>0</v>
      </c>
      <c r="FB177">
        <v>0</v>
      </c>
      <c r="FC177">
        <v>0</v>
      </c>
      <c r="FD177">
        <v>-1.9334374999999999</v>
      </c>
      <c r="FE177">
        <v>0</v>
      </c>
      <c r="FF177">
        <v>0</v>
      </c>
      <c r="FG177">
        <v>0</v>
      </c>
      <c r="FH177">
        <v>-1</v>
      </c>
      <c r="FI177">
        <v>-1</v>
      </c>
      <c r="FJ177">
        <v>-1</v>
      </c>
      <c r="FK177">
        <v>-1</v>
      </c>
      <c r="FL177">
        <v>0.7</v>
      </c>
      <c r="FM177">
        <v>0.6</v>
      </c>
      <c r="FN177">
        <v>0.13916000000000001</v>
      </c>
      <c r="FO177">
        <v>4.99756</v>
      </c>
      <c r="FP177">
        <v>1.5979000000000001</v>
      </c>
      <c r="FQ177">
        <v>2.1093799999999998</v>
      </c>
      <c r="FR177">
        <v>1.5478499999999999</v>
      </c>
      <c r="FS177">
        <v>2.3706100000000001</v>
      </c>
      <c r="FT177">
        <v>48.056399999999996</v>
      </c>
      <c r="FU177">
        <v>14.85</v>
      </c>
      <c r="FV177">
        <v>2</v>
      </c>
      <c r="FW177">
        <v>506.3</v>
      </c>
      <c r="FX177">
        <v>345.37599999999998</v>
      </c>
      <c r="FY177">
        <v>32.070900000000002</v>
      </c>
      <c r="FZ177">
        <v>39.033299999999997</v>
      </c>
      <c r="GA177">
        <v>30.0001</v>
      </c>
      <c r="GB177">
        <v>39.3095</v>
      </c>
      <c r="GC177">
        <v>39.368899999999996</v>
      </c>
      <c r="GD177">
        <v>-1</v>
      </c>
      <c r="GE177">
        <v>0</v>
      </c>
      <c r="GF177">
        <v>100</v>
      </c>
      <c r="GG177">
        <v>32.2408</v>
      </c>
      <c r="GH177">
        <v>432.1</v>
      </c>
      <c r="GI177">
        <v>44.267099999999999</v>
      </c>
      <c r="GJ177">
        <v>100.753</v>
      </c>
      <c r="GK177">
        <v>95.233099999999993</v>
      </c>
    </row>
    <row r="178" spans="1:193" x14ac:dyDescent="0.35">
      <c r="A178">
        <v>162</v>
      </c>
      <c r="B178">
        <v>1775541687.5</v>
      </c>
      <c r="C178">
        <v>9661.4000000953674</v>
      </c>
      <c r="D178" t="s">
        <v>803</v>
      </c>
      <c r="E178" t="s">
        <v>804</v>
      </c>
      <c r="F178">
        <v>60</v>
      </c>
      <c r="G178">
        <v>1775541679.75</v>
      </c>
      <c r="H178">
        <f t="shared" si="60"/>
        <v>3.0679747860279183E-3</v>
      </c>
      <c r="I178">
        <f t="shared" si="61"/>
        <v>3.0679747860279183</v>
      </c>
      <c r="J178">
        <f t="shared" si="62"/>
        <v>-3.2446248071222232</v>
      </c>
      <c r="K178">
        <f t="shared" si="63"/>
        <v>-5.2087199999999996</v>
      </c>
      <c r="L178">
        <f t="shared" si="64"/>
        <v>72.392452850983446</v>
      </c>
      <c r="M178">
        <f t="shared" si="65"/>
        <v>7.2470247991200072</v>
      </c>
      <c r="N178">
        <f t="shared" si="66"/>
        <v>-0.52143174495515887</v>
      </c>
      <c r="O178">
        <f t="shared" si="67"/>
        <v>6.5618059039384377E-2</v>
      </c>
      <c r="P178">
        <f t="shared" si="68"/>
        <v>2.3917084879103769</v>
      </c>
      <c r="Q178">
        <f t="shared" si="69"/>
        <v>6.463409147938147E-2</v>
      </c>
      <c r="R178">
        <f t="shared" si="70"/>
        <v>4.0483483593036745E-2</v>
      </c>
      <c r="S178">
        <f t="shared" si="71"/>
        <v>0.21815523729999994</v>
      </c>
      <c r="T178">
        <f t="shared" si="72"/>
        <v>32.227821048059624</v>
      </c>
      <c r="U178">
        <f t="shared" si="73"/>
        <v>33.303933333333333</v>
      </c>
      <c r="V178">
        <f t="shared" si="74"/>
        <v>5.1390277360096199</v>
      </c>
      <c r="W178">
        <f t="shared" si="75"/>
        <v>10.218260107561214</v>
      </c>
      <c r="X178">
        <f t="shared" si="76"/>
        <v>0.52159058212987019</v>
      </c>
      <c r="Y178">
        <f t="shared" si="77"/>
        <v>5.1044950572740699</v>
      </c>
      <c r="Z178">
        <f t="shared" si="78"/>
        <v>4.6174371538797496</v>
      </c>
      <c r="AA178">
        <f t="shared" si="79"/>
        <v>-135.2976880638312</v>
      </c>
      <c r="AB178">
        <f t="shared" si="80"/>
        <v>-15.500092335506061</v>
      </c>
      <c r="AC178">
        <f t="shared" si="81"/>
        <v>-1.4877820021680854</v>
      </c>
      <c r="AD178">
        <f t="shared" si="82"/>
        <v>-152.06740716420535</v>
      </c>
      <c r="AE178">
        <v>6</v>
      </c>
      <c r="AF178">
        <v>1</v>
      </c>
      <c r="AG178">
        <f t="shared" si="83"/>
        <v>1</v>
      </c>
      <c r="AH178">
        <f t="shared" si="84"/>
        <v>0</v>
      </c>
      <c r="AI178">
        <f t="shared" si="85"/>
        <v>25059.920564300428</v>
      </c>
      <c r="AJ178">
        <f t="shared" si="86"/>
        <v>1.1415763333333331</v>
      </c>
      <c r="AK178">
        <f t="shared" si="87"/>
        <v>0.91326106666666651</v>
      </c>
      <c r="AL178">
        <f t="shared" si="88"/>
        <v>0.8</v>
      </c>
      <c r="AM178">
        <f t="shared" si="89"/>
        <v>0.19109999999999999</v>
      </c>
      <c r="AN178">
        <v>3</v>
      </c>
      <c r="AO178">
        <v>0.5</v>
      </c>
      <c r="AP178" t="s">
        <v>317</v>
      </c>
      <c r="AQ178">
        <v>2</v>
      </c>
      <c r="AR178">
        <v>1775541679.75</v>
      </c>
      <c r="AS178">
        <v>-5.2087199999999996</v>
      </c>
      <c r="AT178">
        <v>-7.164991333333333</v>
      </c>
      <c r="AU178">
        <v>5.2103066666666669</v>
      </c>
      <c r="AV178">
        <v>3.379198666666666</v>
      </c>
      <c r="AW178">
        <v>-12.07072</v>
      </c>
      <c r="AX178">
        <v>5.3091986666666653</v>
      </c>
      <c r="AY178">
        <v>500.02343333333317</v>
      </c>
      <c r="AZ178">
        <v>100.06010000000011</v>
      </c>
      <c r="BA178">
        <v>4.7363053333333328E-2</v>
      </c>
      <c r="BB178">
        <v>33.18372333333334</v>
      </c>
      <c r="BC178">
        <v>33.303933333333333</v>
      </c>
      <c r="BD178">
        <v>999.9000000000002</v>
      </c>
      <c r="BE178">
        <v>0</v>
      </c>
      <c r="BF178">
        <v>0</v>
      </c>
      <c r="BG178">
        <v>5006.4666666666662</v>
      </c>
      <c r="BH178">
        <v>1.1415763333333331</v>
      </c>
      <c r="BI178">
        <v>1017.983666666667</v>
      </c>
      <c r="BJ178">
        <v>2.0045876666666671</v>
      </c>
      <c r="BK178">
        <v>-5.1778953333333337</v>
      </c>
      <c r="BL178">
        <v>-7.2025189999999988</v>
      </c>
      <c r="BM178">
        <v>-1.83264</v>
      </c>
      <c r="BN178">
        <v>-7.164991333333333</v>
      </c>
      <c r="BO178">
        <v>5.2103066666666669</v>
      </c>
      <c r="BP178">
        <v>0.33796963333333341</v>
      </c>
      <c r="BQ178">
        <v>0.52134363333333333</v>
      </c>
      <c r="BR178">
        <v>-7.941682666666666</v>
      </c>
      <c r="BS178">
        <v>-2.2237093333333342</v>
      </c>
      <c r="BT178">
        <v>1775541713.5</v>
      </c>
      <c r="BU178" t="s">
        <v>805</v>
      </c>
      <c r="BV178">
        <v>1775541709</v>
      </c>
      <c r="BW178">
        <v>1775541713.5</v>
      </c>
      <c r="BX178">
        <v>163</v>
      </c>
      <c r="BY178">
        <v>-4.8000000000000001E-2</v>
      </c>
      <c r="BZ178">
        <v>2E-3</v>
      </c>
      <c r="CA178">
        <v>6.8620000000000001</v>
      </c>
      <c r="CB178">
        <v>-1.93</v>
      </c>
      <c r="CC178">
        <v>-7</v>
      </c>
      <c r="CD178">
        <v>5</v>
      </c>
      <c r="CE178">
        <v>0.4</v>
      </c>
      <c r="CF178">
        <v>0.05</v>
      </c>
      <c r="CG178">
        <v>-6.7649328333333321</v>
      </c>
      <c r="CH178">
        <v>-2.6873182439566712</v>
      </c>
      <c r="CI178">
        <v>0.4015981705058414</v>
      </c>
      <c r="CJ178">
        <v>-1</v>
      </c>
      <c r="CK178">
        <v>500.95684999999992</v>
      </c>
      <c r="CL178">
        <v>-7.1419672131135314</v>
      </c>
      <c r="CM178">
        <v>1.821441204330605</v>
      </c>
      <c r="CN178">
        <v>-1</v>
      </c>
      <c r="CO178">
        <v>0</v>
      </c>
      <c r="CP178">
        <v>0</v>
      </c>
      <c r="CQ178" t="s">
        <v>319</v>
      </c>
      <c r="CR178">
        <v>3.1694599999999999</v>
      </c>
      <c r="CS178">
        <v>2.6688399999999999</v>
      </c>
      <c r="CT178">
        <v>-3.6017699999999998E-3</v>
      </c>
      <c r="CU178">
        <v>-2.1808800000000001E-3</v>
      </c>
      <c r="CV178">
        <v>3.4826799999999998E-2</v>
      </c>
      <c r="CW178">
        <v>3.3918299999999998E-2</v>
      </c>
      <c r="CX178">
        <v>21290.3</v>
      </c>
      <c r="CY178">
        <v>21715.8</v>
      </c>
      <c r="CZ178">
        <v>22751.5</v>
      </c>
      <c r="DA178">
        <v>22041.7</v>
      </c>
      <c r="DB178">
        <v>28345.599999999999</v>
      </c>
      <c r="DC178">
        <v>25346.400000000001</v>
      </c>
      <c r="DD178">
        <v>40046.800000000003</v>
      </c>
      <c r="DE178">
        <v>36474</v>
      </c>
      <c r="DF178">
        <v>1.99146</v>
      </c>
      <c r="DG178">
        <v>1.6005199999999999</v>
      </c>
      <c r="DH178">
        <v>-5.6135699999999997E-2</v>
      </c>
      <c r="DI178">
        <v>0</v>
      </c>
      <c r="DJ178">
        <v>34.217700000000001</v>
      </c>
      <c r="DK178">
        <v>999.9</v>
      </c>
      <c r="DL178">
        <v>52.2</v>
      </c>
      <c r="DM178">
        <v>45.1</v>
      </c>
      <c r="DN178">
        <v>50.543999999999997</v>
      </c>
      <c r="DO178">
        <v>30.671199999999999</v>
      </c>
      <c r="DP178">
        <v>10.729200000000001</v>
      </c>
      <c r="DQ178">
        <v>1</v>
      </c>
      <c r="DR178">
        <v>0.97777199999999997</v>
      </c>
      <c r="DS178">
        <v>1.98952</v>
      </c>
      <c r="DT178">
        <v>20.346800000000002</v>
      </c>
      <c r="DU178">
        <v>5.2100999999999997</v>
      </c>
      <c r="DV178">
        <v>11.855499999999999</v>
      </c>
      <c r="DW178">
        <v>4.9672799999999997</v>
      </c>
      <c r="DX178">
        <v>3.2930000000000001</v>
      </c>
      <c r="DY178">
        <v>894.7</v>
      </c>
      <c r="DZ178">
        <v>6</v>
      </c>
      <c r="EA178">
        <v>9999</v>
      </c>
      <c r="EB178">
        <v>118.4</v>
      </c>
      <c r="EC178">
        <v>4.97159</v>
      </c>
      <c r="ED178">
        <v>1.8721000000000001</v>
      </c>
      <c r="EE178">
        <v>1.86951</v>
      </c>
      <c r="EF178">
        <v>1.8717999999999999</v>
      </c>
      <c r="EG178">
        <v>1.86955</v>
      </c>
      <c r="EH178">
        <v>1.86843</v>
      </c>
      <c r="EI178">
        <v>1.87026</v>
      </c>
      <c r="EJ178">
        <v>1.87195</v>
      </c>
      <c r="EK178">
        <v>0</v>
      </c>
      <c r="EL178">
        <v>0</v>
      </c>
      <c r="EM178">
        <v>0</v>
      </c>
      <c r="EN178">
        <v>0</v>
      </c>
      <c r="EO178" t="s">
        <v>320</v>
      </c>
      <c r="EP178" t="s">
        <v>321</v>
      </c>
      <c r="EQ178" t="s">
        <v>322</v>
      </c>
      <c r="ER178" t="s">
        <v>322</v>
      </c>
      <c r="ES178" t="s">
        <v>322</v>
      </c>
      <c r="ET178" t="s">
        <v>322</v>
      </c>
      <c r="EU178">
        <v>0</v>
      </c>
      <c r="EV178">
        <v>100</v>
      </c>
      <c r="EW178">
        <v>100</v>
      </c>
      <c r="EX178">
        <v>6.8620000000000001</v>
      </c>
      <c r="EY178">
        <v>-1.93</v>
      </c>
      <c r="EZ178">
        <v>6.9103140000000014</v>
      </c>
      <c r="FA178">
        <v>0</v>
      </c>
      <c r="FB178">
        <v>0</v>
      </c>
      <c r="FC178">
        <v>0</v>
      </c>
      <c r="FD178">
        <v>-1.9315319047619051</v>
      </c>
      <c r="FE178">
        <v>0</v>
      </c>
      <c r="FF178">
        <v>0</v>
      </c>
      <c r="FG178">
        <v>0</v>
      </c>
      <c r="FH178">
        <v>-1</v>
      </c>
      <c r="FI178">
        <v>-1</v>
      </c>
      <c r="FJ178">
        <v>-1</v>
      </c>
      <c r="FK178">
        <v>-1</v>
      </c>
      <c r="FL178">
        <v>0.7</v>
      </c>
      <c r="FM178">
        <v>0.5</v>
      </c>
      <c r="FN178">
        <v>0.14038100000000001</v>
      </c>
      <c r="FO178">
        <v>4.99756</v>
      </c>
      <c r="FP178">
        <v>1.5979000000000001</v>
      </c>
      <c r="FQ178">
        <v>2.1093799999999998</v>
      </c>
      <c r="FR178">
        <v>1.5478499999999999</v>
      </c>
      <c r="FS178">
        <v>2.4206500000000002</v>
      </c>
      <c r="FT178">
        <v>48.0259</v>
      </c>
      <c r="FU178">
        <v>14.8413</v>
      </c>
      <c r="FV178">
        <v>2</v>
      </c>
      <c r="FW178">
        <v>506.52300000000002</v>
      </c>
      <c r="FX178">
        <v>345.93099999999998</v>
      </c>
      <c r="FY178">
        <v>32.340299999999999</v>
      </c>
      <c r="FZ178">
        <v>39.048400000000001</v>
      </c>
      <c r="GA178">
        <v>30.000299999999999</v>
      </c>
      <c r="GB178">
        <v>39.305700000000002</v>
      </c>
      <c r="GC178">
        <v>39.356900000000003</v>
      </c>
      <c r="GD178">
        <v>-1</v>
      </c>
      <c r="GE178">
        <v>0</v>
      </c>
      <c r="GF178">
        <v>100</v>
      </c>
      <c r="GG178">
        <v>32.352400000000003</v>
      </c>
      <c r="GH178">
        <v>432.1</v>
      </c>
      <c r="GI178">
        <v>44.267099999999999</v>
      </c>
      <c r="GJ178">
        <v>100.747</v>
      </c>
      <c r="GK178">
        <v>95.227999999999994</v>
      </c>
    </row>
    <row r="179" spans="1:193" x14ac:dyDescent="0.35">
      <c r="A179">
        <v>163</v>
      </c>
      <c r="B179">
        <v>1775541747.5</v>
      </c>
      <c r="C179">
        <v>9721.4000000953674</v>
      </c>
      <c r="D179" t="s">
        <v>806</v>
      </c>
      <c r="E179" t="s">
        <v>807</v>
      </c>
      <c r="F179">
        <v>60</v>
      </c>
      <c r="G179">
        <v>1775541739.5</v>
      </c>
      <c r="H179">
        <f t="shared" si="60"/>
        <v>2.8024585203928944E-3</v>
      </c>
      <c r="I179">
        <f t="shared" si="61"/>
        <v>2.8024585203928942</v>
      </c>
      <c r="J179">
        <f t="shared" si="62"/>
        <v>-3.0143150745105185</v>
      </c>
      <c r="K179">
        <f t="shared" si="63"/>
        <v>-6.1305193548387127</v>
      </c>
      <c r="L179">
        <f t="shared" si="64"/>
        <v>73.046157552113286</v>
      </c>
      <c r="M179">
        <f t="shared" si="65"/>
        <v>7.3120994191159676</v>
      </c>
      <c r="N179">
        <f t="shared" si="66"/>
        <v>-0.61368001433086283</v>
      </c>
      <c r="O179">
        <f t="shared" si="67"/>
        <v>5.9719587171335763E-2</v>
      </c>
      <c r="P179">
        <f t="shared" si="68"/>
        <v>2.3888800649643014</v>
      </c>
      <c r="Q179">
        <f t="shared" si="69"/>
        <v>5.8902429868427961E-2</v>
      </c>
      <c r="R179">
        <f t="shared" si="70"/>
        <v>3.6886505450790696E-2</v>
      </c>
      <c r="S179">
        <f t="shared" si="71"/>
        <v>0.21230075729032249</v>
      </c>
      <c r="T179">
        <f t="shared" si="72"/>
        <v>32.321606319744653</v>
      </c>
      <c r="U179">
        <f t="shared" si="73"/>
        <v>33.328099999999999</v>
      </c>
      <c r="V179">
        <f t="shared" si="74"/>
        <v>5.1459945666082216</v>
      </c>
      <c r="W179">
        <f t="shared" si="75"/>
        <v>10.142409530591101</v>
      </c>
      <c r="X179">
        <f t="shared" si="76"/>
        <v>0.51806457481201273</v>
      </c>
      <c r="Y179">
        <f t="shared" si="77"/>
        <v>5.10790432243392</v>
      </c>
      <c r="Z179">
        <f t="shared" si="78"/>
        <v>4.6279299917962087</v>
      </c>
      <c r="AA179">
        <f t="shared" si="79"/>
        <v>-123.58842074932664</v>
      </c>
      <c r="AB179">
        <f t="shared" si="80"/>
        <v>-17.061674377732096</v>
      </c>
      <c r="AC179">
        <f t="shared" si="81"/>
        <v>-1.6398996900689711</v>
      </c>
      <c r="AD179">
        <f t="shared" si="82"/>
        <v>-142.0776940598374</v>
      </c>
      <c r="AE179">
        <v>6</v>
      </c>
      <c r="AF179">
        <v>1</v>
      </c>
      <c r="AG179">
        <f t="shared" si="83"/>
        <v>1</v>
      </c>
      <c r="AH179">
        <f t="shared" si="84"/>
        <v>0</v>
      </c>
      <c r="AI179">
        <f t="shared" si="85"/>
        <v>25016.975048252363</v>
      </c>
      <c r="AJ179">
        <f t="shared" si="86"/>
        <v>1.11094064516129</v>
      </c>
      <c r="AK179">
        <f t="shared" si="87"/>
        <v>0.88875251612903206</v>
      </c>
      <c r="AL179">
        <f t="shared" si="88"/>
        <v>0.8</v>
      </c>
      <c r="AM179">
        <f t="shared" si="89"/>
        <v>0.19109999999999999</v>
      </c>
      <c r="AN179">
        <v>3</v>
      </c>
      <c r="AO179">
        <v>0.5</v>
      </c>
      <c r="AP179" t="s">
        <v>317</v>
      </c>
      <c r="AQ179">
        <v>2</v>
      </c>
      <c r="AR179">
        <v>1775541739.5</v>
      </c>
      <c r="AS179">
        <v>-6.1305193548387127</v>
      </c>
      <c r="AT179">
        <v>-7.9494174193548384</v>
      </c>
      <c r="AU179">
        <v>5.1753435483870973</v>
      </c>
      <c r="AV179">
        <v>3.5025699999999991</v>
      </c>
      <c r="AW179">
        <v>-13.066519354838711</v>
      </c>
      <c r="AX179">
        <v>5.4315699999999989</v>
      </c>
      <c r="AY179">
        <v>499.99980645161293</v>
      </c>
      <c r="AZ179">
        <v>100.0552903225806</v>
      </c>
      <c r="BA179">
        <v>4.7160841935483873E-2</v>
      </c>
      <c r="BB179">
        <v>33.195622580645157</v>
      </c>
      <c r="BC179">
        <v>33.328099999999999</v>
      </c>
      <c r="BD179">
        <v>999.90000000000032</v>
      </c>
      <c r="BE179">
        <v>0</v>
      </c>
      <c r="BF179">
        <v>0</v>
      </c>
      <c r="BG179">
        <v>4999.4193548387093</v>
      </c>
      <c r="BH179">
        <v>1.11094064516129</v>
      </c>
      <c r="BI179">
        <v>992.68670967741946</v>
      </c>
      <c r="BJ179">
        <v>1.745199677419355</v>
      </c>
      <c r="BK179">
        <v>-6.2260219354838728</v>
      </c>
      <c r="BL179">
        <v>-7.9907712903225798</v>
      </c>
      <c r="BM179">
        <v>-1.6732948387096771</v>
      </c>
      <c r="BN179">
        <v>-7.9494174193548384</v>
      </c>
      <c r="BO179">
        <v>5.1753435483870973</v>
      </c>
      <c r="BP179">
        <v>0.35039867741935488</v>
      </c>
      <c r="BQ179">
        <v>0.51782077419354844</v>
      </c>
      <c r="BR179">
        <v>-7.4756938709677421</v>
      </c>
      <c r="BS179">
        <v>-2.315313870967743</v>
      </c>
      <c r="BT179">
        <v>1775541777</v>
      </c>
      <c r="BU179" t="s">
        <v>808</v>
      </c>
      <c r="BV179">
        <v>1775541765.5</v>
      </c>
      <c r="BW179">
        <v>1775541777</v>
      </c>
      <c r="BX179">
        <v>164</v>
      </c>
      <c r="BY179">
        <v>7.2999999999999995E-2</v>
      </c>
      <c r="BZ179">
        <v>0</v>
      </c>
      <c r="CA179">
        <v>6.9359999999999999</v>
      </c>
      <c r="CB179">
        <v>-1.929</v>
      </c>
      <c r="CC179">
        <v>-7</v>
      </c>
      <c r="CD179">
        <v>5</v>
      </c>
      <c r="CE179">
        <v>0.16</v>
      </c>
      <c r="CF179">
        <v>0.06</v>
      </c>
      <c r="CG179">
        <v>-7.7486446666666664</v>
      </c>
      <c r="CH179">
        <v>-1.682811647679924</v>
      </c>
      <c r="CI179">
        <v>0.25124140024066283</v>
      </c>
      <c r="CJ179">
        <v>-1</v>
      </c>
      <c r="CK179">
        <v>500.62908333333343</v>
      </c>
      <c r="CL179">
        <v>-6.6119733259235982</v>
      </c>
      <c r="CM179">
        <v>1.5959464724907131</v>
      </c>
      <c r="CN179">
        <v>-1</v>
      </c>
      <c r="CO179">
        <v>0</v>
      </c>
      <c r="CP179">
        <v>0</v>
      </c>
      <c r="CQ179" t="s">
        <v>319</v>
      </c>
      <c r="CR179">
        <v>3.1694300000000002</v>
      </c>
      <c r="CS179">
        <v>2.6680999999999999</v>
      </c>
      <c r="CT179">
        <v>-3.8449000000000001E-3</v>
      </c>
      <c r="CU179">
        <v>-2.31738E-3</v>
      </c>
      <c r="CV179">
        <v>3.54439E-2</v>
      </c>
      <c r="CW179">
        <v>3.3719800000000001E-2</v>
      </c>
      <c r="CX179">
        <v>21294.2</v>
      </c>
      <c r="CY179">
        <v>21716.799999999999</v>
      </c>
      <c r="CZ179">
        <v>22750.2</v>
      </c>
      <c r="DA179">
        <v>22039.8</v>
      </c>
      <c r="DB179">
        <v>28325.8</v>
      </c>
      <c r="DC179">
        <v>25349.7</v>
      </c>
      <c r="DD179">
        <v>40044.6</v>
      </c>
      <c r="DE179">
        <v>36471.300000000003</v>
      </c>
      <c r="DF179">
        <v>1.9916199999999999</v>
      </c>
      <c r="DG179">
        <v>1.6007400000000001</v>
      </c>
      <c r="DH179">
        <v>-5.3566700000000002E-2</v>
      </c>
      <c r="DI179">
        <v>0</v>
      </c>
      <c r="DJ179">
        <v>34.205300000000001</v>
      </c>
      <c r="DK179">
        <v>999.9</v>
      </c>
      <c r="DL179">
        <v>52.4</v>
      </c>
      <c r="DM179">
        <v>45</v>
      </c>
      <c r="DN179">
        <v>50.481000000000002</v>
      </c>
      <c r="DO179">
        <v>30.671199999999999</v>
      </c>
      <c r="DP179">
        <v>10.7933</v>
      </c>
      <c r="DQ179">
        <v>1</v>
      </c>
      <c r="DR179">
        <v>0.98074399999999995</v>
      </c>
      <c r="DS179">
        <v>1.9745200000000001</v>
      </c>
      <c r="DT179">
        <v>20.346599999999999</v>
      </c>
      <c r="DU179">
        <v>5.20723</v>
      </c>
      <c r="DV179">
        <v>11.8565</v>
      </c>
      <c r="DW179">
        <v>4.9667199999999996</v>
      </c>
      <c r="DX179">
        <v>3.2923399999999998</v>
      </c>
      <c r="DY179">
        <v>894.7</v>
      </c>
      <c r="DZ179">
        <v>6</v>
      </c>
      <c r="EA179">
        <v>9999</v>
      </c>
      <c r="EB179">
        <v>118.4</v>
      </c>
      <c r="EC179">
        <v>4.97159</v>
      </c>
      <c r="ED179">
        <v>1.8721000000000001</v>
      </c>
      <c r="EE179">
        <v>1.86951</v>
      </c>
      <c r="EF179">
        <v>1.8717999999999999</v>
      </c>
      <c r="EG179">
        <v>1.86955</v>
      </c>
      <c r="EH179">
        <v>1.8684400000000001</v>
      </c>
      <c r="EI179">
        <v>1.87025</v>
      </c>
      <c r="EJ179">
        <v>1.87195</v>
      </c>
      <c r="EK179">
        <v>0</v>
      </c>
      <c r="EL179">
        <v>0</v>
      </c>
      <c r="EM179">
        <v>0</v>
      </c>
      <c r="EN179">
        <v>0</v>
      </c>
      <c r="EO179" t="s">
        <v>320</v>
      </c>
      <c r="EP179" t="s">
        <v>321</v>
      </c>
      <c r="EQ179" t="s">
        <v>322</v>
      </c>
      <c r="ER179" t="s">
        <v>322</v>
      </c>
      <c r="ES179" t="s">
        <v>322</v>
      </c>
      <c r="ET179" t="s">
        <v>322</v>
      </c>
      <c r="EU179">
        <v>0</v>
      </c>
      <c r="EV179">
        <v>100</v>
      </c>
      <c r="EW179">
        <v>100</v>
      </c>
      <c r="EX179">
        <v>6.9359999999999999</v>
      </c>
      <c r="EY179">
        <v>-1.929</v>
      </c>
      <c r="EZ179">
        <v>6.8622980952380956</v>
      </c>
      <c r="FA179">
        <v>0</v>
      </c>
      <c r="FB179">
        <v>0</v>
      </c>
      <c r="FC179">
        <v>0</v>
      </c>
      <c r="FD179">
        <v>-1.9295205</v>
      </c>
      <c r="FE179">
        <v>0</v>
      </c>
      <c r="FF179">
        <v>0</v>
      </c>
      <c r="FG179">
        <v>0</v>
      </c>
      <c r="FH179">
        <v>-1</v>
      </c>
      <c r="FI179">
        <v>-1</v>
      </c>
      <c r="FJ179">
        <v>-1</v>
      </c>
      <c r="FK179">
        <v>-1</v>
      </c>
      <c r="FL179">
        <v>0.6</v>
      </c>
      <c r="FM179">
        <v>0.6</v>
      </c>
      <c r="FN179">
        <v>0.13916000000000001</v>
      </c>
      <c r="FO179">
        <v>4.99756</v>
      </c>
      <c r="FP179">
        <v>1.5979000000000001</v>
      </c>
      <c r="FQ179">
        <v>2.1093799999999998</v>
      </c>
      <c r="FR179">
        <v>1.5478499999999999</v>
      </c>
      <c r="FS179">
        <v>2.4450699999999999</v>
      </c>
      <c r="FT179">
        <v>47.9651</v>
      </c>
      <c r="FU179">
        <v>14.8413</v>
      </c>
      <c r="FV179">
        <v>2</v>
      </c>
      <c r="FW179">
        <v>506.64699999999999</v>
      </c>
      <c r="FX179">
        <v>346.03500000000003</v>
      </c>
      <c r="FY179">
        <v>32.425400000000003</v>
      </c>
      <c r="FZ179">
        <v>39.071199999999997</v>
      </c>
      <c r="GA179">
        <v>30.000299999999999</v>
      </c>
      <c r="GB179">
        <v>39.3095</v>
      </c>
      <c r="GC179">
        <v>39.353999999999999</v>
      </c>
      <c r="GD179">
        <v>-1</v>
      </c>
      <c r="GE179">
        <v>0</v>
      </c>
      <c r="GF179">
        <v>100</v>
      </c>
      <c r="GG179">
        <v>32.4255</v>
      </c>
      <c r="GH179">
        <v>432.1</v>
      </c>
      <c r="GI179">
        <v>44.267099999999999</v>
      </c>
      <c r="GJ179">
        <v>100.742</v>
      </c>
      <c r="GK179">
        <v>95.220399999999998</v>
      </c>
    </row>
    <row r="180" spans="1:193" x14ac:dyDescent="0.35">
      <c r="A180">
        <v>164</v>
      </c>
      <c r="B180">
        <v>1775541807.5</v>
      </c>
      <c r="C180">
        <v>9781.4000000953674</v>
      </c>
      <c r="D180" t="s">
        <v>809</v>
      </c>
      <c r="E180" t="s">
        <v>810</v>
      </c>
      <c r="F180">
        <v>60</v>
      </c>
      <c r="G180">
        <v>1775541799.75</v>
      </c>
      <c r="H180">
        <f t="shared" si="60"/>
        <v>2.8891513628747298E-3</v>
      </c>
      <c r="I180">
        <f t="shared" si="61"/>
        <v>2.8891513628747298</v>
      </c>
      <c r="J180">
        <f t="shared" si="62"/>
        <v>-1.9932186115430199</v>
      </c>
      <c r="K180">
        <f t="shared" si="63"/>
        <v>-5.5116199999999997</v>
      </c>
      <c r="L180">
        <f t="shared" si="64"/>
        <v>45.279667760743529</v>
      </c>
      <c r="M180">
        <f t="shared" si="65"/>
        <v>4.5324636929219926</v>
      </c>
      <c r="N180">
        <f t="shared" si="66"/>
        <v>-0.55170938248007362</v>
      </c>
      <c r="O180">
        <f t="shared" si="67"/>
        <v>6.1728182629814832E-2</v>
      </c>
      <c r="P180">
        <f t="shared" si="68"/>
        <v>2.3896859241179289</v>
      </c>
      <c r="Q180">
        <f t="shared" si="69"/>
        <v>6.0855855616870853E-2</v>
      </c>
      <c r="R180">
        <f t="shared" si="70"/>
        <v>3.8112257873204838E-2</v>
      </c>
      <c r="S180">
        <f t="shared" si="71"/>
        <v>0.21553786799999999</v>
      </c>
      <c r="T180">
        <f t="shared" si="72"/>
        <v>32.273089951479847</v>
      </c>
      <c r="U180">
        <f t="shared" si="73"/>
        <v>33.28957333333333</v>
      </c>
      <c r="V180">
        <f t="shared" si="74"/>
        <v>5.1348918847569571</v>
      </c>
      <c r="W180">
        <f t="shared" si="75"/>
        <v>10.130041108818963</v>
      </c>
      <c r="X180">
        <f t="shared" si="76"/>
        <v>0.51680268287728781</v>
      </c>
      <c r="Y180">
        <f t="shared" si="77"/>
        <v>5.1016839648100953</v>
      </c>
      <c r="Z180">
        <f t="shared" si="78"/>
        <v>4.6180892018796698</v>
      </c>
      <c r="AA180">
        <f t="shared" si="79"/>
        <v>-127.41157510277559</v>
      </c>
      <c r="AB180">
        <f t="shared" si="80"/>
        <v>-14.901654465580409</v>
      </c>
      <c r="AC180">
        <f t="shared" si="81"/>
        <v>-1.431381806298442</v>
      </c>
      <c r="AD180">
        <f t="shared" si="82"/>
        <v>-143.52907350665444</v>
      </c>
      <c r="AE180">
        <v>6</v>
      </c>
      <c r="AF180">
        <v>1</v>
      </c>
      <c r="AG180">
        <f t="shared" si="83"/>
        <v>1</v>
      </c>
      <c r="AH180">
        <f t="shared" si="84"/>
        <v>0</v>
      </c>
      <c r="AI180">
        <f t="shared" si="85"/>
        <v>25030.868936204493</v>
      </c>
      <c r="AJ180">
        <f t="shared" si="86"/>
        <v>1.12788</v>
      </c>
      <c r="AK180">
        <f t="shared" si="87"/>
        <v>0.90230399999999999</v>
      </c>
      <c r="AL180">
        <f t="shared" si="88"/>
        <v>0.8</v>
      </c>
      <c r="AM180">
        <f t="shared" si="89"/>
        <v>0.19109999999999999</v>
      </c>
      <c r="AN180">
        <v>3</v>
      </c>
      <c r="AO180">
        <v>0.5</v>
      </c>
      <c r="AP180" t="s">
        <v>317</v>
      </c>
      <c r="AQ180">
        <v>2</v>
      </c>
      <c r="AR180">
        <v>1775541799.75</v>
      </c>
      <c r="AS180">
        <v>-5.5116199999999997</v>
      </c>
      <c r="AT180">
        <v>-6.717099000000001</v>
      </c>
      <c r="AU180">
        <v>5.1628993333333328</v>
      </c>
      <c r="AV180">
        <v>3.4383676666666658</v>
      </c>
      <c r="AW180">
        <v>-12.43662</v>
      </c>
      <c r="AX180">
        <v>5.3673676666666674</v>
      </c>
      <c r="AY180">
        <v>500.0027</v>
      </c>
      <c r="AZ180">
        <v>100.0525333333334</v>
      </c>
      <c r="BA180">
        <v>4.6780929999999978E-2</v>
      </c>
      <c r="BB180">
        <v>33.173906666666667</v>
      </c>
      <c r="BC180">
        <v>33.28957333333333</v>
      </c>
      <c r="BD180">
        <v>999.9000000000002</v>
      </c>
      <c r="BE180">
        <v>0</v>
      </c>
      <c r="BF180">
        <v>0</v>
      </c>
      <c r="BG180">
        <v>5001.6333333333332</v>
      </c>
      <c r="BH180">
        <v>1.12788</v>
      </c>
      <c r="BI180">
        <v>1021.552</v>
      </c>
      <c r="BJ180">
        <v>1.216197</v>
      </c>
      <c r="BK180">
        <v>-5.5198776666666651</v>
      </c>
      <c r="BL180">
        <v>-6.7519596666666679</v>
      </c>
      <c r="BM180">
        <v>-1.7246683333333339</v>
      </c>
      <c r="BN180">
        <v>-6.717099000000001</v>
      </c>
      <c r="BO180">
        <v>5.1628993333333328</v>
      </c>
      <c r="BP180">
        <v>0.34400403333333329</v>
      </c>
      <c r="BQ180">
        <v>0.51656170000000001</v>
      </c>
      <c r="BR180">
        <v>-7.7136629999999986</v>
      </c>
      <c r="BS180">
        <v>-2.3481810000000012</v>
      </c>
      <c r="BT180">
        <v>1775541835.5</v>
      </c>
      <c r="BU180" t="s">
        <v>811</v>
      </c>
      <c r="BV180">
        <v>1775541825.5</v>
      </c>
      <c r="BW180">
        <v>1775541835.5</v>
      </c>
      <c r="BX180">
        <v>165</v>
      </c>
      <c r="BY180">
        <v>-0.01</v>
      </c>
      <c r="BZ180">
        <v>0</v>
      </c>
      <c r="CA180">
        <v>6.9249999999999998</v>
      </c>
      <c r="CB180">
        <v>-1.929</v>
      </c>
      <c r="CC180">
        <v>-7</v>
      </c>
      <c r="CD180">
        <v>5</v>
      </c>
      <c r="CE180">
        <v>0.23</v>
      </c>
      <c r="CF180">
        <v>0.05</v>
      </c>
      <c r="CG180">
        <v>-7.1048591666666674</v>
      </c>
      <c r="CH180">
        <v>2.8111460405668001</v>
      </c>
      <c r="CI180">
        <v>0.42253470782209779</v>
      </c>
      <c r="CJ180">
        <v>-1</v>
      </c>
      <c r="CK180">
        <v>500.95699999999999</v>
      </c>
      <c r="CL180">
        <v>-8.086052792442695</v>
      </c>
      <c r="CM180">
        <v>1.8526207473018701</v>
      </c>
      <c r="CN180">
        <v>-1</v>
      </c>
      <c r="CO180">
        <v>0</v>
      </c>
      <c r="CP180">
        <v>0</v>
      </c>
      <c r="CQ180" t="s">
        <v>319</v>
      </c>
      <c r="CR180">
        <v>3.16934</v>
      </c>
      <c r="CS180">
        <v>2.6680000000000001</v>
      </c>
      <c r="CT180">
        <v>-3.5081399999999999E-3</v>
      </c>
      <c r="CU180">
        <v>-1.8916099999999999E-3</v>
      </c>
      <c r="CV180">
        <v>3.5197899999999997E-2</v>
      </c>
      <c r="CW180">
        <v>3.3674999999999997E-2</v>
      </c>
      <c r="CX180">
        <v>21285.599999999999</v>
      </c>
      <c r="CY180">
        <v>21706.400000000001</v>
      </c>
      <c r="CZ180">
        <v>22748.7</v>
      </c>
      <c r="DA180">
        <v>22038.6</v>
      </c>
      <c r="DB180">
        <v>28331.3</v>
      </c>
      <c r="DC180">
        <v>25349.4</v>
      </c>
      <c r="DD180">
        <v>40042.1</v>
      </c>
      <c r="DE180">
        <v>36469.300000000003</v>
      </c>
      <c r="DF180">
        <v>1.9910000000000001</v>
      </c>
      <c r="DG180">
        <v>1.6002000000000001</v>
      </c>
      <c r="DH180">
        <v>-5.3167300000000001E-2</v>
      </c>
      <c r="DI180">
        <v>0</v>
      </c>
      <c r="DJ180">
        <v>34.1556</v>
      </c>
      <c r="DK180">
        <v>999.9</v>
      </c>
      <c r="DL180">
        <v>52.5</v>
      </c>
      <c r="DM180">
        <v>44.9</v>
      </c>
      <c r="DN180">
        <v>50.317100000000003</v>
      </c>
      <c r="DO180">
        <v>30.491199999999999</v>
      </c>
      <c r="DP180">
        <v>10.8894</v>
      </c>
      <c r="DQ180">
        <v>1</v>
      </c>
      <c r="DR180">
        <v>0.98192100000000004</v>
      </c>
      <c r="DS180">
        <v>1.8712500000000001</v>
      </c>
      <c r="DT180">
        <v>20.348800000000001</v>
      </c>
      <c r="DU180">
        <v>5.2102199999999996</v>
      </c>
      <c r="DV180">
        <v>11.856400000000001</v>
      </c>
      <c r="DW180">
        <v>4.9672400000000003</v>
      </c>
      <c r="DX180">
        <v>3.2930000000000001</v>
      </c>
      <c r="DY180">
        <v>894.7</v>
      </c>
      <c r="DZ180">
        <v>6</v>
      </c>
      <c r="EA180">
        <v>9999</v>
      </c>
      <c r="EB180">
        <v>118.5</v>
      </c>
      <c r="EC180">
        <v>4.9715800000000003</v>
      </c>
      <c r="ED180">
        <v>1.8721000000000001</v>
      </c>
      <c r="EE180">
        <v>1.86951</v>
      </c>
      <c r="EF180">
        <v>1.8717900000000001</v>
      </c>
      <c r="EG180">
        <v>1.86955</v>
      </c>
      <c r="EH180">
        <v>1.86843</v>
      </c>
      <c r="EI180">
        <v>1.8702099999999999</v>
      </c>
      <c r="EJ180">
        <v>1.87195</v>
      </c>
      <c r="EK180">
        <v>0</v>
      </c>
      <c r="EL180">
        <v>0</v>
      </c>
      <c r="EM180">
        <v>0</v>
      </c>
      <c r="EN180">
        <v>0</v>
      </c>
      <c r="EO180" t="s">
        <v>320</v>
      </c>
      <c r="EP180" t="s">
        <v>321</v>
      </c>
      <c r="EQ180" t="s">
        <v>322</v>
      </c>
      <c r="ER180" t="s">
        <v>322</v>
      </c>
      <c r="ES180" t="s">
        <v>322</v>
      </c>
      <c r="ET180" t="s">
        <v>322</v>
      </c>
      <c r="EU180">
        <v>0</v>
      </c>
      <c r="EV180">
        <v>100</v>
      </c>
      <c r="EW180">
        <v>100</v>
      </c>
      <c r="EX180">
        <v>6.9249999999999998</v>
      </c>
      <c r="EY180">
        <v>-1.929</v>
      </c>
      <c r="EZ180">
        <v>6.9357260000000007</v>
      </c>
      <c r="FA180">
        <v>0</v>
      </c>
      <c r="FB180">
        <v>0</v>
      </c>
      <c r="FC180">
        <v>0</v>
      </c>
      <c r="FD180">
        <v>-1.9291366666666649</v>
      </c>
      <c r="FE180">
        <v>0</v>
      </c>
      <c r="FF180">
        <v>0</v>
      </c>
      <c r="FG180">
        <v>0</v>
      </c>
      <c r="FH180">
        <v>-1</v>
      </c>
      <c r="FI180">
        <v>-1</v>
      </c>
      <c r="FJ180">
        <v>-1</v>
      </c>
      <c r="FK180">
        <v>-1</v>
      </c>
      <c r="FL180">
        <v>0.7</v>
      </c>
      <c r="FM180">
        <v>0.5</v>
      </c>
      <c r="FN180">
        <v>0.13916000000000001</v>
      </c>
      <c r="FO180">
        <v>4.99634</v>
      </c>
      <c r="FP180">
        <v>1.5979000000000001</v>
      </c>
      <c r="FQ180">
        <v>2.1093799999999998</v>
      </c>
      <c r="FR180">
        <v>1.5478499999999999</v>
      </c>
      <c r="FS180">
        <v>2.48169</v>
      </c>
      <c r="FT180">
        <v>47.904299999999999</v>
      </c>
      <c r="FU180">
        <v>14.8325</v>
      </c>
      <c r="FV180">
        <v>2</v>
      </c>
      <c r="FW180">
        <v>506.30799999999999</v>
      </c>
      <c r="FX180">
        <v>345.745</v>
      </c>
      <c r="FY180">
        <v>32.4114</v>
      </c>
      <c r="FZ180">
        <v>39.093200000000003</v>
      </c>
      <c r="GA180">
        <v>30.0001</v>
      </c>
      <c r="GB180">
        <v>39.316000000000003</v>
      </c>
      <c r="GC180">
        <v>39.353999999999999</v>
      </c>
      <c r="GD180">
        <v>-1</v>
      </c>
      <c r="GE180">
        <v>0</v>
      </c>
      <c r="GF180">
        <v>100</v>
      </c>
      <c r="GG180">
        <v>32.433199999999999</v>
      </c>
      <c r="GH180">
        <v>432.1</v>
      </c>
      <c r="GI180">
        <v>44.267099999999999</v>
      </c>
      <c r="GJ180">
        <v>100.735</v>
      </c>
      <c r="GK180">
        <v>95.215199999999996</v>
      </c>
    </row>
    <row r="181" spans="1:193" x14ac:dyDescent="0.35">
      <c r="A181">
        <v>165</v>
      </c>
      <c r="B181">
        <v>1775541867.5</v>
      </c>
      <c r="C181">
        <v>9841.4000000953674</v>
      </c>
      <c r="D181" t="s">
        <v>812</v>
      </c>
      <c r="E181" t="s">
        <v>813</v>
      </c>
      <c r="F181">
        <v>60</v>
      </c>
      <c r="G181">
        <v>1775541859.5</v>
      </c>
      <c r="H181">
        <f t="shared" si="60"/>
        <v>2.5249519238506116E-3</v>
      </c>
      <c r="I181">
        <f t="shared" si="61"/>
        <v>2.5249519238506117</v>
      </c>
      <c r="J181">
        <f t="shared" si="62"/>
        <v>-2.6407151581071102</v>
      </c>
      <c r="K181">
        <f t="shared" si="63"/>
        <v>-2.034853870967742</v>
      </c>
      <c r="L181">
        <f t="shared" si="64"/>
        <v>74.762247734709746</v>
      </c>
      <c r="M181">
        <f t="shared" si="65"/>
        <v>7.4834668653132184</v>
      </c>
      <c r="N181">
        <f t="shared" si="66"/>
        <v>-0.20368249993200338</v>
      </c>
      <c r="O181">
        <f t="shared" si="67"/>
        <v>5.3671653054434748E-2</v>
      </c>
      <c r="P181">
        <f t="shared" si="68"/>
        <v>2.3866748267491968</v>
      </c>
      <c r="Q181">
        <f t="shared" si="69"/>
        <v>5.3010035036230405E-2</v>
      </c>
      <c r="R181">
        <f t="shared" si="70"/>
        <v>3.3190036059801316E-2</v>
      </c>
      <c r="S181">
        <f t="shared" si="71"/>
        <v>0.21259505129032269</v>
      </c>
      <c r="T181">
        <f t="shared" si="72"/>
        <v>32.420365733425065</v>
      </c>
      <c r="U181">
        <f t="shared" si="73"/>
        <v>33.343245161290319</v>
      </c>
      <c r="V181">
        <f t="shared" si="74"/>
        <v>5.1503648404890505</v>
      </c>
      <c r="W181">
        <f t="shared" si="75"/>
        <v>10.125677418227824</v>
      </c>
      <c r="X181">
        <f t="shared" si="76"/>
        <v>0.51757904611483596</v>
      </c>
      <c r="Y181">
        <f t="shared" si="77"/>
        <v>5.1115498226628446</v>
      </c>
      <c r="Z181">
        <f t="shared" si="78"/>
        <v>4.6327857943742146</v>
      </c>
      <c r="AA181">
        <f t="shared" si="79"/>
        <v>-111.35037984181197</v>
      </c>
      <c r="AB181">
        <f t="shared" si="80"/>
        <v>-17.358468880431808</v>
      </c>
      <c r="AC181">
        <f t="shared" si="81"/>
        <v>-1.6701958724710537</v>
      </c>
      <c r="AD181">
        <f t="shared" si="82"/>
        <v>-130.16644954342451</v>
      </c>
      <c r="AE181">
        <v>6</v>
      </c>
      <c r="AF181">
        <v>1</v>
      </c>
      <c r="AG181">
        <f t="shared" si="83"/>
        <v>1</v>
      </c>
      <c r="AH181">
        <f t="shared" si="84"/>
        <v>0</v>
      </c>
      <c r="AI181">
        <f t="shared" si="85"/>
        <v>24983.251082825078</v>
      </c>
      <c r="AJ181">
        <f t="shared" si="86"/>
        <v>1.112480645161291</v>
      </c>
      <c r="AK181">
        <f t="shared" si="87"/>
        <v>0.88998451612903284</v>
      </c>
      <c r="AL181">
        <f t="shared" si="88"/>
        <v>0.8</v>
      </c>
      <c r="AM181">
        <f t="shared" si="89"/>
        <v>0.19109999999999999</v>
      </c>
      <c r="AN181">
        <v>3</v>
      </c>
      <c r="AO181">
        <v>0.5</v>
      </c>
      <c r="AP181" t="s">
        <v>317</v>
      </c>
      <c r="AQ181">
        <v>2</v>
      </c>
      <c r="AR181">
        <v>1775541859.5</v>
      </c>
      <c r="AS181">
        <v>-2.034853870967742</v>
      </c>
      <c r="AT181">
        <v>-3.6223896774193549</v>
      </c>
      <c r="AU181">
        <v>5.1707816129032249</v>
      </c>
      <c r="AV181">
        <v>3.6636212903225811</v>
      </c>
      <c r="AW181">
        <v>-8.9088538709677412</v>
      </c>
      <c r="AX181">
        <v>5.5906212903225807</v>
      </c>
      <c r="AY181">
        <v>499.99245161290321</v>
      </c>
      <c r="AZ181">
        <v>100.05070967741941</v>
      </c>
      <c r="BA181">
        <v>4.615862258064516E-2</v>
      </c>
      <c r="BB181">
        <v>33.20833870967742</v>
      </c>
      <c r="BC181">
        <v>33.343245161290319</v>
      </c>
      <c r="BD181">
        <v>999.90000000000032</v>
      </c>
      <c r="BE181">
        <v>0</v>
      </c>
      <c r="BF181">
        <v>0</v>
      </c>
      <c r="BG181">
        <v>4993.9677419354839</v>
      </c>
      <c r="BH181">
        <v>1.112480645161291</v>
      </c>
      <c r="BI181">
        <v>1101.7158064516129</v>
      </c>
      <c r="BJ181">
        <v>1.6387746451612899</v>
      </c>
      <c r="BK181">
        <v>-1.9909106451612899</v>
      </c>
      <c r="BL181">
        <v>-3.641218387096774</v>
      </c>
      <c r="BM181">
        <v>-1.5089903225806449</v>
      </c>
      <c r="BN181">
        <v>-3.6223896774193549</v>
      </c>
      <c r="BO181">
        <v>5.1707816129032249</v>
      </c>
      <c r="BP181">
        <v>0.36636490322580639</v>
      </c>
      <c r="BQ181">
        <v>0.51734038709677421</v>
      </c>
      <c r="BR181">
        <v>-6.8985329032258056</v>
      </c>
      <c r="BS181">
        <v>-2.3278416129032262</v>
      </c>
      <c r="BT181">
        <v>1775541891.5</v>
      </c>
      <c r="BU181" t="s">
        <v>814</v>
      </c>
      <c r="BV181">
        <v>1775541885.5</v>
      </c>
      <c r="BW181">
        <v>1775541891.5</v>
      </c>
      <c r="BX181">
        <v>166</v>
      </c>
      <c r="BY181">
        <v>-5.0999999999999997E-2</v>
      </c>
      <c r="BZ181">
        <v>2E-3</v>
      </c>
      <c r="CA181">
        <v>6.8739999999999997</v>
      </c>
      <c r="CB181">
        <v>-1.927</v>
      </c>
      <c r="CC181">
        <v>-6</v>
      </c>
      <c r="CD181">
        <v>5</v>
      </c>
      <c r="CE181">
        <v>0.27</v>
      </c>
      <c r="CF181">
        <v>0.05</v>
      </c>
      <c r="CG181">
        <v>-2.59039135</v>
      </c>
      <c r="CH181">
        <v>-8.4773352386774103</v>
      </c>
      <c r="CI181">
        <v>2.0289864864296638</v>
      </c>
      <c r="CJ181">
        <v>-1</v>
      </c>
      <c r="CK181">
        <v>500.96865000000003</v>
      </c>
      <c r="CL181">
        <v>-8.6877966101687161</v>
      </c>
      <c r="CM181">
        <v>1.871865146718638</v>
      </c>
      <c r="CN181">
        <v>-1</v>
      </c>
      <c r="CO181">
        <v>0</v>
      </c>
      <c r="CP181">
        <v>0</v>
      </c>
      <c r="CQ181" t="s">
        <v>319</v>
      </c>
      <c r="CR181">
        <v>3.1694100000000001</v>
      </c>
      <c r="CS181">
        <v>2.66777</v>
      </c>
      <c r="CT181">
        <v>-2.50621E-3</v>
      </c>
      <c r="CU181">
        <v>-1.2906700000000001E-3</v>
      </c>
      <c r="CV181">
        <v>3.5842499999999999E-2</v>
      </c>
      <c r="CW181">
        <v>3.3715000000000002E-2</v>
      </c>
      <c r="CX181">
        <v>21264</v>
      </c>
      <c r="CY181">
        <v>21693.8</v>
      </c>
      <c r="CZ181">
        <v>22748.3</v>
      </c>
      <c r="DA181">
        <v>22039</v>
      </c>
      <c r="DB181">
        <v>28311.8</v>
      </c>
      <c r="DC181">
        <v>25348.7</v>
      </c>
      <c r="DD181">
        <v>40041.300000000003</v>
      </c>
      <c r="DE181">
        <v>36469.699999999997</v>
      </c>
      <c r="DF181">
        <v>1.9910399999999999</v>
      </c>
      <c r="DG181">
        <v>1.5998000000000001</v>
      </c>
      <c r="DH181">
        <v>-4.7335000000000002E-2</v>
      </c>
      <c r="DI181">
        <v>0</v>
      </c>
      <c r="DJ181">
        <v>34.095300000000002</v>
      </c>
      <c r="DK181">
        <v>999.9</v>
      </c>
      <c r="DL181">
        <v>52.7</v>
      </c>
      <c r="DM181">
        <v>44.8</v>
      </c>
      <c r="DN181">
        <v>50.2498</v>
      </c>
      <c r="DO181">
        <v>30.7912</v>
      </c>
      <c r="DP181">
        <v>10.661099999999999</v>
      </c>
      <c r="DQ181">
        <v>1</v>
      </c>
      <c r="DR181">
        <v>0.983545</v>
      </c>
      <c r="DS181">
        <v>2.1417600000000001</v>
      </c>
      <c r="DT181">
        <v>20.343399999999999</v>
      </c>
      <c r="DU181">
        <v>5.2069900000000002</v>
      </c>
      <c r="DV181">
        <v>11.856199999999999</v>
      </c>
      <c r="DW181">
        <v>4.9665999999999997</v>
      </c>
      <c r="DX181">
        <v>3.2924000000000002</v>
      </c>
      <c r="DY181">
        <v>894.7</v>
      </c>
      <c r="DZ181">
        <v>6</v>
      </c>
      <c r="EA181">
        <v>9999</v>
      </c>
      <c r="EB181">
        <v>118.5</v>
      </c>
      <c r="EC181">
        <v>4.9715699999999998</v>
      </c>
      <c r="ED181">
        <v>1.8721000000000001</v>
      </c>
      <c r="EE181">
        <v>1.8694999999999999</v>
      </c>
      <c r="EF181">
        <v>1.8717999999999999</v>
      </c>
      <c r="EG181">
        <v>1.8695200000000001</v>
      </c>
      <c r="EH181">
        <v>1.86843</v>
      </c>
      <c r="EI181">
        <v>1.8702399999999999</v>
      </c>
      <c r="EJ181">
        <v>1.87195</v>
      </c>
      <c r="EK181">
        <v>0</v>
      </c>
      <c r="EL181">
        <v>0</v>
      </c>
      <c r="EM181">
        <v>0</v>
      </c>
      <c r="EN181">
        <v>0</v>
      </c>
      <c r="EO181" t="s">
        <v>320</v>
      </c>
      <c r="EP181" t="s">
        <v>321</v>
      </c>
      <c r="EQ181" t="s">
        <v>322</v>
      </c>
      <c r="ER181" t="s">
        <v>322</v>
      </c>
      <c r="ES181" t="s">
        <v>322</v>
      </c>
      <c r="ET181" t="s">
        <v>322</v>
      </c>
      <c r="EU181">
        <v>0</v>
      </c>
      <c r="EV181">
        <v>100</v>
      </c>
      <c r="EW181">
        <v>100</v>
      </c>
      <c r="EX181">
        <v>6.8739999999999997</v>
      </c>
      <c r="EY181">
        <v>-1.927</v>
      </c>
      <c r="EZ181">
        <v>6.9252384999999999</v>
      </c>
      <c r="FA181">
        <v>0</v>
      </c>
      <c r="FB181">
        <v>0</v>
      </c>
      <c r="FC181">
        <v>0</v>
      </c>
      <c r="FD181">
        <v>-1.9288295000000031</v>
      </c>
      <c r="FE181">
        <v>0</v>
      </c>
      <c r="FF181">
        <v>0</v>
      </c>
      <c r="FG181">
        <v>0</v>
      </c>
      <c r="FH181">
        <v>-1</v>
      </c>
      <c r="FI181">
        <v>-1</v>
      </c>
      <c r="FJ181">
        <v>-1</v>
      </c>
      <c r="FK181">
        <v>-1</v>
      </c>
      <c r="FL181">
        <v>0.7</v>
      </c>
      <c r="FM181">
        <v>0.5</v>
      </c>
      <c r="FN181">
        <v>0.13916000000000001</v>
      </c>
      <c r="FO181">
        <v>4.99756</v>
      </c>
      <c r="FP181">
        <v>1.5979000000000001</v>
      </c>
      <c r="FQ181">
        <v>2.1105999999999998</v>
      </c>
      <c r="FR181">
        <v>1.5478499999999999</v>
      </c>
      <c r="FS181">
        <v>2.3815900000000001</v>
      </c>
      <c r="FT181">
        <v>47.843699999999998</v>
      </c>
      <c r="FU181">
        <v>14.8238</v>
      </c>
      <c r="FV181">
        <v>2</v>
      </c>
      <c r="FW181">
        <v>506.28800000000001</v>
      </c>
      <c r="FX181">
        <v>345.5</v>
      </c>
      <c r="FY181">
        <v>32.426299999999998</v>
      </c>
      <c r="FZ181">
        <v>39.094000000000001</v>
      </c>
      <c r="GA181">
        <v>30.000599999999999</v>
      </c>
      <c r="GB181">
        <v>39.3095</v>
      </c>
      <c r="GC181">
        <v>39.347099999999998</v>
      </c>
      <c r="GD181">
        <v>-1</v>
      </c>
      <c r="GE181">
        <v>0</v>
      </c>
      <c r="GF181">
        <v>100</v>
      </c>
      <c r="GG181">
        <v>32.420900000000003</v>
      </c>
      <c r="GH181">
        <v>432.1</v>
      </c>
      <c r="GI181">
        <v>44.267099999999999</v>
      </c>
      <c r="GJ181">
        <v>100.733</v>
      </c>
      <c r="GK181">
        <v>95.216700000000003</v>
      </c>
    </row>
    <row r="182" spans="1:193" x14ac:dyDescent="0.35">
      <c r="A182">
        <v>166</v>
      </c>
      <c r="B182">
        <v>1775541927.5</v>
      </c>
      <c r="C182">
        <v>9901.4000000953674</v>
      </c>
      <c r="D182" t="s">
        <v>815</v>
      </c>
      <c r="E182" t="s">
        <v>816</v>
      </c>
      <c r="F182">
        <v>60</v>
      </c>
      <c r="G182">
        <v>1775541919.5</v>
      </c>
      <c r="H182">
        <f t="shared" si="60"/>
        <v>2.8121900367760922E-3</v>
      </c>
      <c r="I182">
        <f t="shared" si="61"/>
        <v>2.8121900367760921</v>
      </c>
      <c r="J182">
        <f t="shared" si="62"/>
        <v>-2.8346886000757165</v>
      </c>
      <c r="K182">
        <f t="shared" si="63"/>
        <v>-5.0539225806451613</v>
      </c>
      <c r="L182">
        <f t="shared" si="64"/>
        <v>69.10529074924834</v>
      </c>
      <c r="M182">
        <f t="shared" si="65"/>
        <v>6.917076496714202</v>
      </c>
      <c r="N182">
        <f t="shared" si="66"/>
        <v>-0.50587109495916671</v>
      </c>
      <c r="O182">
        <f t="shared" si="67"/>
        <v>5.992185201387256E-2</v>
      </c>
      <c r="P182">
        <f t="shared" si="68"/>
        <v>2.3886065627178148</v>
      </c>
      <c r="Q182">
        <f t="shared" si="69"/>
        <v>5.9099098374328383E-2</v>
      </c>
      <c r="R182">
        <f t="shared" si="70"/>
        <v>3.7009916463967521E-2</v>
      </c>
      <c r="S182">
        <f t="shared" si="71"/>
        <v>0.21604761183870974</v>
      </c>
      <c r="T182">
        <f t="shared" si="72"/>
        <v>32.341983195228188</v>
      </c>
      <c r="U182">
        <f t="shared" si="73"/>
        <v>33.328238709677422</v>
      </c>
      <c r="V182">
        <f t="shared" si="74"/>
        <v>5.1460345779036203</v>
      </c>
      <c r="W182">
        <f t="shared" si="75"/>
        <v>10.124887884699197</v>
      </c>
      <c r="X182">
        <f t="shared" si="76"/>
        <v>0.51785085386396146</v>
      </c>
      <c r="Y182">
        <f t="shared" si="77"/>
        <v>5.1146329693837043</v>
      </c>
      <c r="Z182">
        <f t="shared" si="78"/>
        <v>4.6281837240396584</v>
      </c>
      <c r="AA182">
        <f t="shared" si="79"/>
        <v>-124.01758062182566</v>
      </c>
      <c r="AB182">
        <f t="shared" si="80"/>
        <v>-14.055950598456333</v>
      </c>
      <c r="AC182">
        <f t="shared" si="81"/>
        <v>-1.3513124564855534</v>
      </c>
      <c r="AD182">
        <f t="shared" si="82"/>
        <v>-139.20879606492883</v>
      </c>
      <c r="AE182">
        <v>6</v>
      </c>
      <c r="AF182">
        <v>1</v>
      </c>
      <c r="AG182">
        <f t="shared" si="83"/>
        <v>1</v>
      </c>
      <c r="AH182">
        <f t="shared" si="84"/>
        <v>0</v>
      </c>
      <c r="AI182">
        <f t="shared" si="85"/>
        <v>25011.255396398356</v>
      </c>
      <c r="AJ182">
        <f t="shared" si="86"/>
        <v>1.130547419354839</v>
      </c>
      <c r="AK182">
        <f t="shared" si="87"/>
        <v>0.9044379354838713</v>
      </c>
      <c r="AL182">
        <f t="shared" si="88"/>
        <v>0.8</v>
      </c>
      <c r="AM182">
        <f t="shared" si="89"/>
        <v>0.19109999999999999</v>
      </c>
      <c r="AN182">
        <v>3</v>
      </c>
      <c r="AO182">
        <v>0.5</v>
      </c>
      <c r="AP182" t="s">
        <v>317</v>
      </c>
      <c r="AQ182">
        <v>2</v>
      </c>
      <c r="AR182">
        <v>1775541919.5</v>
      </c>
      <c r="AS182">
        <v>-5.0539225806451613</v>
      </c>
      <c r="AT182">
        <v>-6.763277741935485</v>
      </c>
      <c r="AU182">
        <v>5.1736067741935479</v>
      </c>
      <c r="AV182">
        <v>3.4950080645161292</v>
      </c>
      <c r="AW182">
        <v>-11.991922580645159</v>
      </c>
      <c r="AX182">
        <v>5.424008064516129</v>
      </c>
      <c r="AY182">
        <v>499.99577419354841</v>
      </c>
      <c r="AZ182">
        <v>100.0482903225806</v>
      </c>
      <c r="BA182">
        <v>4.6455270967741928E-2</v>
      </c>
      <c r="BB182">
        <v>33.219087096774203</v>
      </c>
      <c r="BC182">
        <v>33.328238709677422</v>
      </c>
      <c r="BD182">
        <v>999.90000000000032</v>
      </c>
      <c r="BE182">
        <v>0</v>
      </c>
      <c r="BF182">
        <v>0</v>
      </c>
      <c r="BG182">
        <v>4999.0645161290322</v>
      </c>
      <c r="BH182">
        <v>1.130547419354839</v>
      </c>
      <c r="BI182">
        <v>1284.8235483870969</v>
      </c>
      <c r="BJ182">
        <v>1.6454683870967739</v>
      </c>
      <c r="BK182">
        <v>-5.135768387096773</v>
      </c>
      <c r="BL182">
        <v>-6.7984496774193541</v>
      </c>
      <c r="BM182">
        <v>-1.6764454838709679</v>
      </c>
      <c r="BN182">
        <v>-6.763277741935485</v>
      </c>
      <c r="BO182">
        <v>5.1736067741935479</v>
      </c>
      <c r="BP182">
        <v>0.34988506451612911</v>
      </c>
      <c r="BQ182">
        <v>0.51761041935483876</v>
      </c>
      <c r="BR182">
        <v>-7.4947590322580631</v>
      </c>
      <c r="BS182">
        <v>-2.320795806451613</v>
      </c>
      <c r="BT182">
        <v>1775541955.5</v>
      </c>
      <c r="BU182" t="s">
        <v>817</v>
      </c>
      <c r="BV182">
        <v>1775541950.5</v>
      </c>
      <c r="BW182">
        <v>1775541955.5</v>
      </c>
      <c r="BX182">
        <v>167</v>
      </c>
      <c r="BY182">
        <v>6.4000000000000001E-2</v>
      </c>
      <c r="BZ182">
        <v>-3.0000000000000001E-3</v>
      </c>
      <c r="CA182">
        <v>6.9379999999999997</v>
      </c>
      <c r="CB182">
        <v>-1.929</v>
      </c>
      <c r="CC182">
        <v>-7</v>
      </c>
      <c r="CD182">
        <v>5</v>
      </c>
      <c r="CE182">
        <v>0.33</v>
      </c>
      <c r="CF182">
        <v>0.05</v>
      </c>
      <c r="CG182">
        <v>-6.6165323333333337</v>
      </c>
      <c r="CH182">
        <v>-1.1537136093359359</v>
      </c>
      <c r="CI182">
        <v>0.20006739912145161</v>
      </c>
      <c r="CJ182">
        <v>-1</v>
      </c>
      <c r="CK182">
        <v>500.45359999999988</v>
      </c>
      <c r="CL182">
        <v>-4.9647124201163644</v>
      </c>
      <c r="CM182">
        <v>1.373098627193253</v>
      </c>
      <c r="CN182">
        <v>-1</v>
      </c>
      <c r="CO182">
        <v>0</v>
      </c>
      <c r="CP182">
        <v>0</v>
      </c>
      <c r="CQ182" t="s">
        <v>319</v>
      </c>
      <c r="CR182">
        <v>3.1695099999999998</v>
      </c>
      <c r="CS182">
        <v>2.6675800000000001</v>
      </c>
      <c r="CT182">
        <v>-3.49432E-3</v>
      </c>
      <c r="CU182">
        <v>-1.9475600000000001E-3</v>
      </c>
      <c r="CV182">
        <v>3.5175600000000001E-2</v>
      </c>
      <c r="CW182">
        <v>3.3782199999999998E-2</v>
      </c>
      <c r="CX182">
        <v>21285.7</v>
      </c>
      <c r="CY182">
        <v>21708.1</v>
      </c>
      <c r="CZ182">
        <v>22749.1</v>
      </c>
      <c r="DA182">
        <v>22039.1</v>
      </c>
      <c r="DB182">
        <v>28332.400000000001</v>
      </c>
      <c r="DC182">
        <v>25347.3</v>
      </c>
      <c r="DD182">
        <v>40042.800000000003</v>
      </c>
      <c r="DE182">
        <v>36470.199999999997</v>
      </c>
      <c r="DF182">
        <v>1.9911000000000001</v>
      </c>
      <c r="DG182">
        <v>1.60016</v>
      </c>
      <c r="DH182">
        <v>-4.8780400000000002E-2</v>
      </c>
      <c r="DI182">
        <v>0</v>
      </c>
      <c r="DJ182">
        <v>34.108899999999998</v>
      </c>
      <c r="DK182">
        <v>999.9</v>
      </c>
      <c r="DL182">
        <v>52.9</v>
      </c>
      <c r="DM182">
        <v>44.8</v>
      </c>
      <c r="DN182">
        <v>50.4373</v>
      </c>
      <c r="DO182">
        <v>30.731200000000001</v>
      </c>
      <c r="DP182">
        <v>10.5489</v>
      </c>
      <c r="DQ182">
        <v>1</v>
      </c>
      <c r="DR182">
        <v>0.98180100000000003</v>
      </c>
      <c r="DS182">
        <v>2.1360600000000001</v>
      </c>
      <c r="DT182">
        <v>20.343900000000001</v>
      </c>
      <c r="DU182">
        <v>5.2077099999999996</v>
      </c>
      <c r="DV182">
        <v>11.8566</v>
      </c>
      <c r="DW182">
        <v>4.9668799999999997</v>
      </c>
      <c r="DX182">
        <v>3.2925200000000001</v>
      </c>
      <c r="DY182">
        <v>894.7</v>
      </c>
      <c r="DZ182">
        <v>6</v>
      </c>
      <c r="EA182">
        <v>9999</v>
      </c>
      <c r="EB182">
        <v>118.5</v>
      </c>
      <c r="EC182">
        <v>4.9715499999999997</v>
      </c>
      <c r="ED182">
        <v>1.8721000000000001</v>
      </c>
      <c r="EE182">
        <v>1.8694900000000001</v>
      </c>
      <c r="EF182">
        <v>1.8717900000000001</v>
      </c>
      <c r="EG182">
        <v>1.86954</v>
      </c>
      <c r="EH182">
        <v>1.86842</v>
      </c>
      <c r="EI182">
        <v>1.87025</v>
      </c>
      <c r="EJ182">
        <v>1.87195</v>
      </c>
      <c r="EK182">
        <v>0</v>
      </c>
      <c r="EL182">
        <v>0</v>
      </c>
      <c r="EM182">
        <v>0</v>
      </c>
      <c r="EN182">
        <v>0</v>
      </c>
      <c r="EO182" t="s">
        <v>320</v>
      </c>
      <c r="EP182" t="s">
        <v>321</v>
      </c>
      <c r="EQ182" t="s">
        <v>322</v>
      </c>
      <c r="ER182" t="s">
        <v>322</v>
      </c>
      <c r="ES182" t="s">
        <v>322</v>
      </c>
      <c r="ET182" t="s">
        <v>322</v>
      </c>
      <c r="EU182">
        <v>0</v>
      </c>
      <c r="EV182">
        <v>100</v>
      </c>
      <c r="EW182">
        <v>100</v>
      </c>
      <c r="EX182">
        <v>6.9379999999999997</v>
      </c>
      <c r="EY182">
        <v>-1.929</v>
      </c>
      <c r="EZ182">
        <v>6.8741085000000002</v>
      </c>
      <c r="FA182">
        <v>0</v>
      </c>
      <c r="FB182">
        <v>0</v>
      </c>
      <c r="FC182">
        <v>0</v>
      </c>
      <c r="FD182">
        <v>-1.9268455</v>
      </c>
      <c r="FE182">
        <v>0</v>
      </c>
      <c r="FF182">
        <v>0</v>
      </c>
      <c r="FG182">
        <v>0</v>
      </c>
      <c r="FH182">
        <v>-1</v>
      </c>
      <c r="FI182">
        <v>-1</v>
      </c>
      <c r="FJ182">
        <v>-1</v>
      </c>
      <c r="FK182">
        <v>-1</v>
      </c>
      <c r="FL182">
        <v>0.7</v>
      </c>
      <c r="FM182">
        <v>0.6</v>
      </c>
      <c r="FN182">
        <v>0.14038100000000001</v>
      </c>
      <c r="FO182">
        <v>4.99756</v>
      </c>
      <c r="FP182">
        <v>1.5979000000000001</v>
      </c>
      <c r="FQ182">
        <v>2.1105999999999998</v>
      </c>
      <c r="FR182">
        <v>1.5478499999999999</v>
      </c>
      <c r="FS182">
        <v>2.50854</v>
      </c>
      <c r="FT182">
        <v>47.843699999999998</v>
      </c>
      <c r="FU182">
        <v>14.8238</v>
      </c>
      <c r="FV182">
        <v>2</v>
      </c>
      <c r="FW182">
        <v>506.274</v>
      </c>
      <c r="FX182">
        <v>345.654</v>
      </c>
      <c r="FY182">
        <v>32.356400000000001</v>
      </c>
      <c r="FZ182">
        <v>39.086399999999998</v>
      </c>
      <c r="GA182">
        <v>30.000299999999999</v>
      </c>
      <c r="GB182">
        <v>39.301900000000003</v>
      </c>
      <c r="GC182">
        <v>39.338999999999999</v>
      </c>
      <c r="GD182">
        <v>-1</v>
      </c>
      <c r="GE182">
        <v>0</v>
      </c>
      <c r="GF182">
        <v>100</v>
      </c>
      <c r="GG182">
        <v>32.332900000000002</v>
      </c>
      <c r="GH182">
        <v>432.1</v>
      </c>
      <c r="GI182">
        <v>44.267099999999999</v>
      </c>
      <c r="GJ182">
        <v>100.73699999999999</v>
      </c>
      <c r="GK182">
        <v>95.217600000000004</v>
      </c>
    </row>
    <row r="183" spans="1:193" x14ac:dyDescent="0.35">
      <c r="A183">
        <v>167</v>
      </c>
      <c r="B183">
        <v>1775541987.5</v>
      </c>
      <c r="C183">
        <v>9961.4000000953674</v>
      </c>
      <c r="D183" t="s">
        <v>818</v>
      </c>
      <c r="E183" t="s">
        <v>819</v>
      </c>
      <c r="F183">
        <v>60</v>
      </c>
      <c r="G183">
        <v>1775541979.5</v>
      </c>
      <c r="H183">
        <f t="shared" si="60"/>
        <v>3.3019077899348786E-3</v>
      </c>
      <c r="I183">
        <f t="shared" si="61"/>
        <v>3.3019077899348788</v>
      </c>
      <c r="J183">
        <f t="shared" si="62"/>
        <v>-2.882159715648513</v>
      </c>
      <c r="K183">
        <f t="shared" si="63"/>
        <v>-4.8641645161290326</v>
      </c>
      <c r="L183">
        <f t="shared" si="64"/>
        <v>59.219811645292317</v>
      </c>
      <c r="M183">
        <f t="shared" si="65"/>
        <v>5.9274125047784834</v>
      </c>
      <c r="N183">
        <f t="shared" si="66"/>
        <v>-0.48686256806922829</v>
      </c>
      <c r="O183">
        <f t="shared" si="67"/>
        <v>7.0699214468754934E-2</v>
      </c>
      <c r="P183">
        <f t="shared" si="68"/>
        <v>2.3895136784391742</v>
      </c>
      <c r="Q183">
        <f t="shared" si="69"/>
        <v>6.9557357801227515E-2</v>
      </c>
      <c r="R183">
        <f t="shared" si="70"/>
        <v>4.3574403705433418E-2</v>
      </c>
      <c r="S183">
        <f t="shared" si="71"/>
        <v>0.19522311195483871</v>
      </c>
      <c r="T183">
        <f t="shared" si="72"/>
        <v>32.178273277363672</v>
      </c>
      <c r="U183">
        <f t="shared" si="73"/>
        <v>33.294854838709668</v>
      </c>
      <c r="V183">
        <f t="shared" si="74"/>
        <v>5.136412684521078</v>
      </c>
      <c r="W183">
        <f t="shared" si="75"/>
        <v>10.158819016353366</v>
      </c>
      <c r="X183">
        <f t="shared" si="76"/>
        <v>0.51926858456801828</v>
      </c>
      <c r="Y183">
        <f t="shared" si="77"/>
        <v>5.1115054194007694</v>
      </c>
      <c r="Z183">
        <f t="shared" si="78"/>
        <v>4.6171440999530597</v>
      </c>
      <c r="AA183">
        <f t="shared" si="79"/>
        <v>-145.61413353612815</v>
      </c>
      <c r="AB183">
        <f t="shared" si="80"/>
        <v>-11.165254070177848</v>
      </c>
      <c r="AC183">
        <f t="shared" si="81"/>
        <v>-1.0727661505388222</v>
      </c>
      <c r="AD183">
        <f t="shared" si="82"/>
        <v>-157.65693064488997</v>
      </c>
      <c r="AE183">
        <v>6</v>
      </c>
      <c r="AF183">
        <v>1</v>
      </c>
      <c r="AG183">
        <f t="shared" si="83"/>
        <v>1</v>
      </c>
      <c r="AH183">
        <f t="shared" si="84"/>
        <v>0</v>
      </c>
      <c r="AI183">
        <f t="shared" si="85"/>
        <v>25025.779917483665</v>
      </c>
      <c r="AJ183">
        <f t="shared" si="86"/>
        <v>1.021575677419355</v>
      </c>
      <c r="AK183">
        <f t="shared" si="87"/>
        <v>0.81726054193548403</v>
      </c>
      <c r="AL183">
        <f t="shared" si="88"/>
        <v>0.8</v>
      </c>
      <c r="AM183">
        <f t="shared" si="89"/>
        <v>0.19109999999999999</v>
      </c>
      <c r="AN183">
        <v>3</v>
      </c>
      <c r="AO183">
        <v>0.5</v>
      </c>
      <c r="AP183" t="s">
        <v>317</v>
      </c>
      <c r="AQ183">
        <v>2</v>
      </c>
      <c r="AR183">
        <v>1775541979.5</v>
      </c>
      <c r="AS183">
        <v>-4.8641645161290326</v>
      </c>
      <c r="AT183">
        <v>-6.6031235483870967</v>
      </c>
      <c r="AU183">
        <v>5.187927741935483</v>
      </c>
      <c r="AV183">
        <v>3.2170309677419349</v>
      </c>
      <c r="AW183">
        <v>-11.79416451612903</v>
      </c>
      <c r="AX183">
        <v>5.1480309677419349</v>
      </c>
      <c r="AY183">
        <v>499.99235483870967</v>
      </c>
      <c r="AZ183">
        <v>100.0453548387096</v>
      </c>
      <c r="BA183">
        <v>4.6360080645161297E-2</v>
      </c>
      <c r="BB183">
        <v>33.208183870967737</v>
      </c>
      <c r="BC183">
        <v>33.294854838709668</v>
      </c>
      <c r="BD183">
        <v>999.90000000000032</v>
      </c>
      <c r="BE183">
        <v>0</v>
      </c>
      <c r="BF183">
        <v>0</v>
      </c>
      <c r="BG183">
        <v>5001.5483870967746</v>
      </c>
      <c r="BH183">
        <v>1.021575677419355</v>
      </c>
      <c r="BI183">
        <v>1102.233548387097</v>
      </c>
      <c r="BJ183">
        <v>1.7474141935483869</v>
      </c>
      <c r="BK183">
        <v>-4.8713883870967729</v>
      </c>
      <c r="BL183">
        <v>-6.63755935483871</v>
      </c>
      <c r="BM183">
        <v>-1.969339354838709</v>
      </c>
      <c r="BN183">
        <v>-6.6031235483870967</v>
      </c>
      <c r="BO183">
        <v>5.187927741935483</v>
      </c>
      <c r="BP183">
        <v>0.3220045483870968</v>
      </c>
      <c r="BQ183">
        <v>0.51902741935483876</v>
      </c>
      <c r="BR183">
        <v>-8.563124516129033</v>
      </c>
      <c r="BS183">
        <v>-2.2838687096774191</v>
      </c>
      <c r="BT183">
        <v>1775542016.5</v>
      </c>
      <c r="BU183" t="s">
        <v>820</v>
      </c>
      <c r="BV183">
        <v>1775542008</v>
      </c>
      <c r="BW183">
        <v>1775542016.5</v>
      </c>
      <c r="BX183">
        <v>168</v>
      </c>
      <c r="BY183">
        <v>-8.0000000000000002E-3</v>
      </c>
      <c r="BZ183">
        <v>-1E-3</v>
      </c>
      <c r="CA183">
        <v>6.93</v>
      </c>
      <c r="CB183">
        <v>-1.931</v>
      </c>
      <c r="CC183">
        <v>-7</v>
      </c>
      <c r="CD183">
        <v>5</v>
      </c>
      <c r="CE183">
        <v>0.28000000000000003</v>
      </c>
      <c r="CF183">
        <v>0.04</v>
      </c>
      <c r="CG183">
        <v>-6.5684973333333341</v>
      </c>
      <c r="CH183">
        <v>-0.193698005001396</v>
      </c>
      <c r="CI183">
        <v>5.0693720711302667E-2</v>
      </c>
      <c r="CJ183">
        <v>-1</v>
      </c>
      <c r="CK183">
        <v>500.95668333333327</v>
      </c>
      <c r="CL183">
        <v>-8.6261928313422764</v>
      </c>
      <c r="CM183">
        <v>1.8731178241252091</v>
      </c>
      <c r="CN183">
        <v>-1</v>
      </c>
      <c r="CO183">
        <v>0</v>
      </c>
      <c r="CP183">
        <v>0</v>
      </c>
      <c r="CQ183" t="s">
        <v>319</v>
      </c>
      <c r="CR183">
        <v>3.1694900000000001</v>
      </c>
      <c r="CS183">
        <v>2.66771</v>
      </c>
      <c r="CT183">
        <v>-3.4309200000000001E-3</v>
      </c>
      <c r="CU183">
        <v>-1.9342999999999999E-3</v>
      </c>
      <c r="CV183">
        <v>3.3684499999999999E-2</v>
      </c>
      <c r="CW183">
        <v>3.3820799999999998E-2</v>
      </c>
      <c r="CX183">
        <v>21283.200000000001</v>
      </c>
      <c r="CY183">
        <v>21706.3</v>
      </c>
      <c r="CZ183">
        <v>22748</v>
      </c>
      <c r="DA183">
        <v>22037.599999999999</v>
      </c>
      <c r="DB183">
        <v>28375</v>
      </c>
      <c r="DC183">
        <v>25344.5</v>
      </c>
      <c r="DD183">
        <v>40041.1</v>
      </c>
      <c r="DE183">
        <v>36467.699999999997</v>
      </c>
      <c r="DF183">
        <v>1.99058</v>
      </c>
      <c r="DG183">
        <v>1.59924</v>
      </c>
      <c r="DH183">
        <v>-5.7855200000000002E-2</v>
      </c>
      <c r="DI183">
        <v>0</v>
      </c>
      <c r="DJ183">
        <v>34.2303</v>
      </c>
      <c r="DK183">
        <v>999.9</v>
      </c>
      <c r="DL183">
        <v>53</v>
      </c>
      <c r="DM183">
        <v>44.7</v>
      </c>
      <c r="DN183">
        <v>50.275700000000001</v>
      </c>
      <c r="DO183">
        <v>30.8812</v>
      </c>
      <c r="DP183">
        <v>10.709099999999999</v>
      </c>
      <c r="DQ183">
        <v>1</v>
      </c>
      <c r="DR183">
        <v>0.98544100000000001</v>
      </c>
      <c r="DS183">
        <v>2.3433600000000001</v>
      </c>
      <c r="DT183">
        <v>20.340800000000002</v>
      </c>
      <c r="DU183">
        <v>5.2073499999999999</v>
      </c>
      <c r="DV183">
        <v>11.8558</v>
      </c>
      <c r="DW183">
        <v>4.9668000000000001</v>
      </c>
      <c r="DX183">
        <v>3.2924199999999999</v>
      </c>
      <c r="DY183">
        <v>894.7</v>
      </c>
      <c r="DZ183">
        <v>6</v>
      </c>
      <c r="EA183">
        <v>9999</v>
      </c>
      <c r="EB183">
        <v>118.5</v>
      </c>
      <c r="EC183">
        <v>4.97159</v>
      </c>
      <c r="ED183">
        <v>1.8721000000000001</v>
      </c>
      <c r="EE183">
        <v>1.86951</v>
      </c>
      <c r="EF183">
        <v>1.8717999999999999</v>
      </c>
      <c r="EG183">
        <v>1.8695200000000001</v>
      </c>
      <c r="EH183">
        <v>1.86843</v>
      </c>
      <c r="EI183">
        <v>1.87025</v>
      </c>
      <c r="EJ183">
        <v>1.87195</v>
      </c>
      <c r="EK183">
        <v>0</v>
      </c>
      <c r="EL183">
        <v>0</v>
      </c>
      <c r="EM183">
        <v>0</v>
      </c>
      <c r="EN183">
        <v>0</v>
      </c>
      <c r="EO183" t="s">
        <v>320</v>
      </c>
      <c r="EP183" t="s">
        <v>321</v>
      </c>
      <c r="EQ183" t="s">
        <v>322</v>
      </c>
      <c r="ER183" t="s">
        <v>322</v>
      </c>
      <c r="ES183" t="s">
        <v>322</v>
      </c>
      <c r="ET183" t="s">
        <v>322</v>
      </c>
      <c r="EU183">
        <v>0</v>
      </c>
      <c r="EV183">
        <v>100</v>
      </c>
      <c r="EW183">
        <v>100</v>
      </c>
      <c r="EX183">
        <v>6.93</v>
      </c>
      <c r="EY183">
        <v>-1.931</v>
      </c>
      <c r="EZ183">
        <v>6.9384499999999996</v>
      </c>
      <c r="FA183">
        <v>0</v>
      </c>
      <c r="FB183">
        <v>0</v>
      </c>
      <c r="FC183">
        <v>0</v>
      </c>
      <c r="FD183">
        <v>-1.9294429999999989</v>
      </c>
      <c r="FE183">
        <v>0</v>
      </c>
      <c r="FF183">
        <v>0</v>
      </c>
      <c r="FG183">
        <v>0</v>
      </c>
      <c r="FH183">
        <v>-1</v>
      </c>
      <c r="FI183">
        <v>-1</v>
      </c>
      <c r="FJ183">
        <v>-1</v>
      </c>
      <c r="FK183">
        <v>-1</v>
      </c>
      <c r="FL183">
        <v>0.6</v>
      </c>
      <c r="FM183">
        <v>0.5</v>
      </c>
      <c r="FN183">
        <v>0.13916000000000001</v>
      </c>
      <c r="FO183">
        <v>4.99756</v>
      </c>
      <c r="FP183">
        <v>1.5979000000000001</v>
      </c>
      <c r="FQ183">
        <v>2.1105999999999998</v>
      </c>
      <c r="FR183">
        <v>1.5478499999999999</v>
      </c>
      <c r="FS183">
        <v>2.4035600000000001</v>
      </c>
      <c r="FT183">
        <v>47.843699999999998</v>
      </c>
      <c r="FU183">
        <v>14.8062</v>
      </c>
      <c r="FV183">
        <v>2</v>
      </c>
      <c r="FW183">
        <v>506.07900000000001</v>
      </c>
      <c r="FX183">
        <v>345.26600000000002</v>
      </c>
      <c r="FY183">
        <v>32.139000000000003</v>
      </c>
      <c r="FZ183">
        <v>39.114699999999999</v>
      </c>
      <c r="GA183">
        <v>30.000399999999999</v>
      </c>
      <c r="GB183">
        <v>39.320799999999998</v>
      </c>
      <c r="GC183">
        <v>39.361499999999999</v>
      </c>
      <c r="GD183">
        <v>-1</v>
      </c>
      <c r="GE183">
        <v>0</v>
      </c>
      <c r="GF183">
        <v>100</v>
      </c>
      <c r="GG183">
        <v>32.132599999999996</v>
      </c>
      <c r="GH183">
        <v>432.1</v>
      </c>
      <c r="GI183">
        <v>44.267099999999999</v>
      </c>
      <c r="GJ183">
        <v>100.733</v>
      </c>
      <c r="GK183">
        <v>95.211100000000002</v>
      </c>
    </row>
    <row r="184" spans="1:193" x14ac:dyDescent="0.35">
      <c r="A184">
        <v>168</v>
      </c>
      <c r="B184">
        <v>1775542047.5</v>
      </c>
      <c r="C184">
        <v>10021.400000095369</v>
      </c>
      <c r="D184" t="s">
        <v>821</v>
      </c>
      <c r="E184" t="s">
        <v>822</v>
      </c>
      <c r="F184">
        <v>60</v>
      </c>
      <c r="G184">
        <v>1775542039.5</v>
      </c>
      <c r="H184">
        <f t="shared" si="60"/>
        <v>3.0624889127735403E-3</v>
      </c>
      <c r="I184">
        <f t="shared" si="61"/>
        <v>3.0624889127735404</v>
      </c>
      <c r="J184">
        <f t="shared" si="62"/>
        <v>-3.0758892616144791</v>
      </c>
      <c r="K184">
        <f t="shared" si="63"/>
        <v>-5.1642193548387114</v>
      </c>
      <c r="L184">
        <f t="shared" si="64"/>
        <v>68.749509264030905</v>
      </c>
      <c r="M184">
        <f t="shared" si="65"/>
        <v>6.8812156407176399</v>
      </c>
      <c r="N184">
        <f t="shared" si="66"/>
        <v>-0.51689251860893004</v>
      </c>
      <c r="O184">
        <f t="shared" si="67"/>
        <v>6.5313689944756309E-2</v>
      </c>
      <c r="P184">
        <f t="shared" si="68"/>
        <v>2.3880431493365357</v>
      </c>
      <c r="Q184">
        <f t="shared" si="69"/>
        <v>6.4337284076386211E-2</v>
      </c>
      <c r="R184">
        <f t="shared" si="70"/>
        <v>4.0297312753518541E-2</v>
      </c>
      <c r="S184">
        <f t="shared" si="71"/>
        <v>0.19576573732258071</v>
      </c>
      <c r="T184">
        <f t="shared" si="72"/>
        <v>32.251408246323834</v>
      </c>
      <c r="U184">
        <f t="shared" si="73"/>
        <v>33.328874193548387</v>
      </c>
      <c r="V184">
        <f t="shared" si="74"/>
        <v>5.1462178889263743</v>
      </c>
      <c r="W184">
        <f t="shared" si="75"/>
        <v>10.107316518018266</v>
      </c>
      <c r="X184">
        <f t="shared" si="76"/>
        <v>0.51660386872296726</v>
      </c>
      <c r="Y184">
        <f t="shared" si="77"/>
        <v>5.1111872058426187</v>
      </c>
      <c r="Z184">
        <f t="shared" si="78"/>
        <v>4.6296140202034071</v>
      </c>
      <c r="AA184">
        <f t="shared" si="79"/>
        <v>-135.05576105331312</v>
      </c>
      <c r="AB184">
        <f t="shared" si="80"/>
        <v>-15.681041400124462</v>
      </c>
      <c r="AC184">
        <f t="shared" si="81"/>
        <v>-1.5078172738472428</v>
      </c>
      <c r="AD184">
        <f t="shared" si="82"/>
        <v>-152.04885398996223</v>
      </c>
      <c r="AE184">
        <v>6</v>
      </c>
      <c r="AF184">
        <v>1</v>
      </c>
      <c r="AG184">
        <f t="shared" si="83"/>
        <v>1</v>
      </c>
      <c r="AH184">
        <f t="shared" si="84"/>
        <v>0</v>
      </c>
      <c r="AI184">
        <f t="shared" si="85"/>
        <v>25003.978599038248</v>
      </c>
      <c r="AJ184">
        <f t="shared" si="86"/>
        <v>1.024415161290323</v>
      </c>
      <c r="AK184">
        <f t="shared" si="87"/>
        <v>0.81953212903225836</v>
      </c>
      <c r="AL184">
        <f t="shared" si="88"/>
        <v>0.8</v>
      </c>
      <c r="AM184">
        <f t="shared" si="89"/>
        <v>0.19109999999999999</v>
      </c>
      <c r="AN184">
        <v>3</v>
      </c>
      <c r="AO184">
        <v>0.5</v>
      </c>
      <c r="AP184" t="s">
        <v>317</v>
      </c>
      <c r="AQ184">
        <v>2</v>
      </c>
      <c r="AR184">
        <v>1775542039.5</v>
      </c>
      <c r="AS184">
        <v>-5.1642193548387114</v>
      </c>
      <c r="AT184">
        <v>-7.0192116129032254</v>
      </c>
      <c r="AU184">
        <v>5.1613354838709666</v>
      </c>
      <c r="AV184">
        <v>3.3333561290322589</v>
      </c>
      <c r="AW184">
        <v>-12.09421935483871</v>
      </c>
      <c r="AX184">
        <v>5.2613561290322588</v>
      </c>
      <c r="AY184">
        <v>500.00822580645161</v>
      </c>
      <c r="AZ184">
        <v>100.0447419354839</v>
      </c>
      <c r="BA184">
        <v>4.6381832258064512E-2</v>
      </c>
      <c r="BB184">
        <v>33.207074193548387</v>
      </c>
      <c r="BC184">
        <v>33.328874193548387</v>
      </c>
      <c r="BD184">
        <v>999.90000000000032</v>
      </c>
      <c r="BE184">
        <v>0</v>
      </c>
      <c r="BF184">
        <v>0</v>
      </c>
      <c r="BG184">
        <v>4997.7903225806449</v>
      </c>
      <c r="BH184">
        <v>1.024415161290323</v>
      </c>
      <c r="BI184">
        <v>1111.0919354838711</v>
      </c>
      <c r="BJ184">
        <v>1.855421612903225</v>
      </c>
      <c r="BK184">
        <v>-5.1810435483870956</v>
      </c>
      <c r="BL184">
        <v>-7.0556267741935486</v>
      </c>
      <c r="BM184">
        <v>-1.830780967741936</v>
      </c>
      <c r="BN184">
        <v>-7.0192116129032254</v>
      </c>
      <c r="BO184">
        <v>5.1613354838709666</v>
      </c>
      <c r="BP184">
        <v>0.33320464516129028</v>
      </c>
      <c r="BQ184">
        <v>0.51636467741935488</v>
      </c>
      <c r="BR184">
        <v>-8.1243674193548383</v>
      </c>
      <c r="BS184">
        <v>-2.3533316129032249</v>
      </c>
      <c r="BT184">
        <v>1775542088</v>
      </c>
      <c r="BU184" t="s">
        <v>823</v>
      </c>
      <c r="BV184">
        <v>1775542008</v>
      </c>
      <c r="BW184">
        <v>1775542076.5</v>
      </c>
      <c r="BX184">
        <v>169</v>
      </c>
      <c r="BY184">
        <v>-8.0000000000000002E-3</v>
      </c>
      <c r="BZ184">
        <v>2E-3</v>
      </c>
      <c r="CA184">
        <v>6.93</v>
      </c>
      <c r="CB184">
        <v>-1.9279999999999999</v>
      </c>
      <c r="CC184">
        <v>-7</v>
      </c>
      <c r="CD184">
        <v>5</v>
      </c>
      <c r="CE184">
        <v>0.28000000000000003</v>
      </c>
      <c r="CF184">
        <v>0.04</v>
      </c>
      <c r="CG184">
        <v>-6.8106178333333336</v>
      </c>
      <c r="CH184">
        <v>-1.3071602667407729</v>
      </c>
      <c r="CI184">
        <v>0.2288738606532113</v>
      </c>
      <c r="CJ184">
        <v>-1</v>
      </c>
      <c r="CK184">
        <v>500.99108333333328</v>
      </c>
      <c r="CL184">
        <v>-7.9778927479847148</v>
      </c>
      <c r="CM184">
        <v>1.8886651308235869</v>
      </c>
      <c r="CN184">
        <v>-1</v>
      </c>
      <c r="CO184">
        <v>0</v>
      </c>
      <c r="CP184">
        <v>0</v>
      </c>
      <c r="CQ184" t="s">
        <v>319</v>
      </c>
      <c r="CR184">
        <v>3.1694800000000001</v>
      </c>
      <c r="CS184">
        <v>2.66777</v>
      </c>
      <c r="CT184">
        <v>-3.57384E-3</v>
      </c>
      <c r="CU184">
        <v>-2.10407E-3</v>
      </c>
      <c r="CV184">
        <v>3.4336699999999998E-2</v>
      </c>
      <c r="CW184">
        <v>3.3655999999999998E-2</v>
      </c>
      <c r="CX184">
        <v>21283.8</v>
      </c>
      <c r="CY184">
        <v>21707.5</v>
      </c>
      <c r="CZ184">
        <v>22745.599999999999</v>
      </c>
      <c r="DA184">
        <v>22035.200000000001</v>
      </c>
      <c r="DB184">
        <v>28352.7</v>
      </c>
      <c r="DC184">
        <v>25345.9</v>
      </c>
      <c r="DD184">
        <v>40036.9</v>
      </c>
      <c r="DE184">
        <v>36463.699999999997</v>
      </c>
      <c r="DF184">
        <v>1.9903</v>
      </c>
      <c r="DG184">
        <v>1.60104</v>
      </c>
      <c r="DH184">
        <v>-5.9282799999999997E-2</v>
      </c>
      <c r="DI184">
        <v>0</v>
      </c>
      <c r="DJ184">
        <v>34.284700000000001</v>
      </c>
      <c r="DK184">
        <v>999.9</v>
      </c>
      <c r="DL184">
        <v>53.2</v>
      </c>
      <c r="DM184">
        <v>44.7</v>
      </c>
      <c r="DN184">
        <v>50.4636</v>
      </c>
      <c r="DO184">
        <v>30.941199999999998</v>
      </c>
      <c r="DP184">
        <v>10.4367</v>
      </c>
      <c r="DQ184">
        <v>1</v>
      </c>
      <c r="DR184">
        <v>0.98928300000000002</v>
      </c>
      <c r="DS184">
        <v>2.2265199999999998</v>
      </c>
      <c r="DT184">
        <v>20.3431</v>
      </c>
      <c r="DU184">
        <v>5.2102199999999996</v>
      </c>
      <c r="DV184">
        <v>11.8558</v>
      </c>
      <c r="DW184">
        <v>4.9673600000000002</v>
      </c>
      <c r="DX184">
        <v>3.2929400000000002</v>
      </c>
      <c r="DY184">
        <v>894.7</v>
      </c>
      <c r="DZ184">
        <v>6</v>
      </c>
      <c r="EA184">
        <v>9999</v>
      </c>
      <c r="EB184">
        <v>118.5</v>
      </c>
      <c r="EC184">
        <v>4.9715699999999998</v>
      </c>
      <c r="ED184">
        <v>1.8721000000000001</v>
      </c>
      <c r="EE184">
        <v>1.8694999999999999</v>
      </c>
      <c r="EF184">
        <v>1.8717999999999999</v>
      </c>
      <c r="EG184">
        <v>1.86954</v>
      </c>
      <c r="EH184">
        <v>1.86843</v>
      </c>
      <c r="EI184">
        <v>1.87026</v>
      </c>
      <c r="EJ184">
        <v>1.87195</v>
      </c>
      <c r="EK184">
        <v>0</v>
      </c>
      <c r="EL184">
        <v>0</v>
      </c>
      <c r="EM184">
        <v>0</v>
      </c>
      <c r="EN184">
        <v>0</v>
      </c>
      <c r="EO184" t="s">
        <v>320</v>
      </c>
      <c r="EP184" t="s">
        <v>321</v>
      </c>
      <c r="EQ184" t="s">
        <v>322</v>
      </c>
      <c r="ER184" t="s">
        <v>322</v>
      </c>
      <c r="ES184" t="s">
        <v>322</v>
      </c>
      <c r="ET184" t="s">
        <v>322</v>
      </c>
      <c r="EU184">
        <v>0</v>
      </c>
      <c r="EV184">
        <v>100</v>
      </c>
      <c r="EW184">
        <v>100</v>
      </c>
      <c r="EX184">
        <v>6.93</v>
      </c>
      <c r="EY184">
        <v>-1.9279999999999999</v>
      </c>
      <c r="EZ184">
        <v>6.9304261904761928</v>
      </c>
      <c r="FA184">
        <v>0</v>
      </c>
      <c r="FB184">
        <v>0</v>
      </c>
      <c r="FC184">
        <v>0</v>
      </c>
      <c r="FD184">
        <v>-1.9308015000000001</v>
      </c>
      <c r="FE184">
        <v>0</v>
      </c>
      <c r="FF184">
        <v>0</v>
      </c>
      <c r="FG184">
        <v>0</v>
      </c>
      <c r="FH184">
        <v>-1</v>
      </c>
      <c r="FI184">
        <v>-1</v>
      </c>
      <c r="FJ184">
        <v>-1</v>
      </c>
      <c r="FK184">
        <v>-1</v>
      </c>
      <c r="FL184">
        <v>0.7</v>
      </c>
      <c r="FM184">
        <v>0.5</v>
      </c>
      <c r="FN184">
        <v>0.14038100000000001</v>
      </c>
      <c r="FO184">
        <v>4.99756</v>
      </c>
      <c r="FP184">
        <v>1.5979000000000001</v>
      </c>
      <c r="FQ184">
        <v>2.1093799999999998</v>
      </c>
      <c r="FR184">
        <v>1.5478499999999999</v>
      </c>
      <c r="FS184">
        <v>2.5293000000000001</v>
      </c>
      <c r="FT184">
        <v>47.843699999999998</v>
      </c>
      <c r="FU184">
        <v>14.8062</v>
      </c>
      <c r="FV184">
        <v>2</v>
      </c>
      <c r="FW184">
        <v>506.12099999999998</v>
      </c>
      <c r="FX184">
        <v>346.35599999999999</v>
      </c>
      <c r="FY184">
        <v>32.249200000000002</v>
      </c>
      <c r="FZ184">
        <v>39.1586</v>
      </c>
      <c r="GA184">
        <v>30.000299999999999</v>
      </c>
      <c r="GB184">
        <v>39.352800000000002</v>
      </c>
      <c r="GC184">
        <v>39.388500000000001</v>
      </c>
      <c r="GD184">
        <v>-1</v>
      </c>
      <c r="GE184">
        <v>0</v>
      </c>
      <c r="GF184">
        <v>100</v>
      </c>
      <c r="GG184">
        <v>32.244100000000003</v>
      </c>
      <c r="GH184">
        <v>432.1</v>
      </c>
      <c r="GI184">
        <v>44.267099999999999</v>
      </c>
      <c r="GJ184">
        <v>100.72199999999999</v>
      </c>
      <c r="GK184">
        <v>95.200699999999998</v>
      </c>
    </row>
    <row r="185" spans="1:193" x14ac:dyDescent="0.35">
      <c r="A185">
        <v>169</v>
      </c>
      <c r="B185">
        <v>1775542107.5</v>
      </c>
      <c r="C185">
        <v>10081.400000095369</v>
      </c>
      <c r="D185" t="s">
        <v>824</v>
      </c>
      <c r="E185" t="s">
        <v>825</v>
      </c>
      <c r="F185">
        <v>60</v>
      </c>
      <c r="G185">
        <v>1775542099.75</v>
      </c>
      <c r="H185">
        <f t="shared" si="60"/>
        <v>3.0188976745173599E-3</v>
      </c>
      <c r="I185">
        <f t="shared" si="61"/>
        <v>3.0188976745173601</v>
      </c>
      <c r="J185">
        <f t="shared" si="62"/>
        <v>-7.2215526137387362</v>
      </c>
      <c r="K185">
        <f t="shared" si="63"/>
        <v>0.88441166666666593</v>
      </c>
      <c r="L185">
        <f t="shared" si="64"/>
        <v>175.63336466223808</v>
      </c>
      <c r="M185">
        <f t="shared" si="65"/>
        <v>17.579166587663206</v>
      </c>
      <c r="N185">
        <f t="shared" si="66"/>
        <v>8.8520880131774324E-2</v>
      </c>
      <c r="O185">
        <f t="shared" si="67"/>
        <v>6.449741448098055E-2</v>
      </c>
      <c r="P185">
        <f t="shared" si="68"/>
        <v>2.3904581777328491</v>
      </c>
      <c r="Q185">
        <f t="shared" si="69"/>
        <v>6.3546016863243196E-2</v>
      </c>
      <c r="R185">
        <f t="shared" si="70"/>
        <v>3.9800570717467149E-2</v>
      </c>
      <c r="S185">
        <f t="shared" si="71"/>
        <v>0.18381143963000002</v>
      </c>
      <c r="T185">
        <f t="shared" si="72"/>
        <v>32.238988754911581</v>
      </c>
      <c r="U185">
        <f t="shared" si="73"/>
        <v>33.290349999999997</v>
      </c>
      <c r="V185">
        <f t="shared" si="74"/>
        <v>5.1351154999264539</v>
      </c>
      <c r="W185">
        <f t="shared" si="75"/>
        <v>10.077404227110888</v>
      </c>
      <c r="X185">
        <f t="shared" si="76"/>
        <v>0.51430093038469626</v>
      </c>
      <c r="Y185">
        <f t="shared" si="77"/>
        <v>5.1035060100208192</v>
      </c>
      <c r="Z185">
        <f t="shared" si="78"/>
        <v>4.620814569541758</v>
      </c>
      <c r="AA185">
        <f t="shared" si="79"/>
        <v>-133.13338744621558</v>
      </c>
      <c r="AB185">
        <f t="shared" si="80"/>
        <v>-14.186491891075358</v>
      </c>
      <c r="AC185">
        <f t="shared" si="81"/>
        <v>-1.3622941160759472</v>
      </c>
      <c r="AD185">
        <f t="shared" si="82"/>
        <v>-148.49836201373688</v>
      </c>
      <c r="AE185">
        <v>6</v>
      </c>
      <c r="AF185">
        <v>1</v>
      </c>
      <c r="AG185">
        <f t="shared" si="83"/>
        <v>1</v>
      </c>
      <c r="AH185">
        <f t="shared" si="84"/>
        <v>0</v>
      </c>
      <c r="AI185">
        <f t="shared" si="85"/>
        <v>25042.244820687771</v>
      </c>
      <c r="AJ185">
        <f t="shared" si="86"/>
        <v>0.96185996666666673</v>
      </c>
      <c r="AK185">
        <f t="shared" si="87"/>
        <v>0.76948797333333341</v>
      </c>
      <c r="AL185">
        <f t="shared" si="88"/>
        <v>0.8</v>
      </c>
      <c r="AM185">
        <f t="shared" si="89"/>
        <v>0.19109999999999999</v>
      </c>
      <c r="AN185">
        <v>3</v>
      </c>
      <c r="AO185">
        <v>0.5</v>
      </c>
      <c r="AP185" t="s">
        <v>317</v>
      </c>
      <c r="AQ185">
        <v>2</v>
      </c>
      <c r="AR185">
        <v>1775542099.75</v>
      </c>
      <c r="AS185">
        <v>0.88441166666666593</v>
      </c>
      <c r="AT185">
        <v>-3.4385993066666671</v>
      </c>
      <c r="AU185">
        <v>5.1383779999999986</v>
      </c>
      <c r="AV185">
        <v>3.3398076666666658</v>
      </c>
      <c r="AW185">
        <v>-6.0315883333333344</v>
      </c>
      <c r="AX185">
        <v>5.2648076666666661</v>
      </c>
      <c r="AY185">
        <v>500.96213333333333</v>
      </c>
      <c r="AZ185">
        <v>100.0426666666667</v>
      </c>
      <c r="BA185">
        <v>4.7464963333333332E-2</v>
      </c>
      <c r="BB185">
        <v>33.180269999999993</v>
      </c>
      <c r="BC185">
        <v>33.290349999999997</v>
      </c>
      <c r="BD185">
        <v>999.9000000000002</v>
      </c>
      <c r="BE185">
        <v>0</v>
      </c>
      <c r="BF185">
        <v>0</v>
      </c>
      <c r="BG185">
        <v>5004.1166666666668</v>
      </c>
      <c r="BH185">
        <v>0.96185996666666673</v>
      </c>
      <c r="BI185">
        <v>941.20479999999998</v>
      </c>
      <c r="BJ185">
        <v>4.3374366100000001</v>
      </c>
      <c r="BK185">
        <v>0.90191537000000011</v>
      </c>
      <c r="BL185">
        <v>-3.4563576233333331</v>
      </c>
      <c r="BM185">
        <v>-1.802005333333333</v>
      </c>
      <c r="BN185">
        <v>-3.4385993066666671</v>
      </c>
      <c r="BO185">
        <v>5.1383779999999986</v>
      </c>
      <c r="BP185">
        <v>0.33377950000000012</v>
      </c>
      <c r="BQ185">
        <v>0.51405693333333324</v>
      </c>
      <c r="BR185">
        <v>-8.1088270000000016</v>
      </c>
      <c r="BS185">
        <v>-2.4137856666666662</v>
      </c>
      <c r="BT185">
        <v>1775542130.5</v>
      </c>
      <c r="BU185" t="s">
        <v>826</v>
      </c>
      <c r="BV185">
        <v>1775542125.5</v>
      </c>
      <c r="BW185">
        <v>1775542130.5</v>
      </c>
      <c r="BX185">
        <v>170</v>
      </c>
      <c r="BY185">
        <v>-1.4999999999999999E-2</v>
      </c>
      <c r="BZ185">
        <v>3.0000000000000001E-3</v>
      </c>
      <c r="CA185">
        <v>6.9160000000000004</v>
      </c>
      <c r="CB185">
        <v>-1.925</v>
      </c>
      <c r="CC185">
        <v>-7</v>
      </c>
      <c r="CD185">
        <v>5</v>
      </c>
      <c r="CE185">
        <v>0.21</v>
      </c>
      <c r="CF185">
        <v>0.03</v>
      </c>
      <c r="CG185">
        <v>-2.2869481199999999</v>
      </c>
      <c r="CH185">
        <v>-3.2344603558766361</v>
      </c>
      <c r="CI185">
        <v>3.8171760065284892</v>
      </c>
      <c r="CJ185">
        <v>-1</v>
      </c>
      <c r="CK185">
        <v>500.96916666666669</v>
      </c>
      <c r="CL185">
        <v>0.68739094192889327</v>
      </c>
      <c r="CM185">
        <v>1.8693613986837581</v>
      </c>
      <c r="CN185">
        <v>-1</v>
      </c>
      <c r="CO185">
        <v>0</v>
      </c>
      <c r="CP185">
        <v>0</v>
      </c>
      <c r="CQ185" t="s">
        <v>319</v>
      </c>
      <c r="CR185">
        <v>3.1694</v>
      </c>
      <c r="CS185">
        <v>2.66831</v>
      </c>
      <c r="CT185">
        <v>-2.6990899999999999E-3</v>
      </c>
      <c r="CU185">
        <v>-1.87167E-3</v>
      </c>
      <c r="CV185">
        <v>3.4321299999999999E-2</v>
      </c>
      <c r="CW185">
        <v>3.3533899999999998E-2</v>
      </c>
      <c r="CX185">
        <v>21263.9</v>
      </c>
      <c r="CY185">
        <v>21701.7</v>
      </c>
      <c r="CZ185">
        <v>22744.2</v>
      </c>
      <c r="DA185">
        <v>22034.5</v>
      </c>
      <c r="DB185">
        <v>28351.7</v>
      </c>
      <c r="DC185">
        <v>25348.1</v>
      </c>
      <c r="DD185">
        <v>40034.9</v>
      </c>
      <c r="DE185">
        <v>36462.300000000003</v>
      </c>
      <c r="DF185">
        <v>1.9893000000000001</v>
      </c>
      <c r="DG185">
        <v>1.59968</v>
      </c>
      <c r="DH185">
        <v>-5.9127800000000001E-2</v>
      </c>
      <c r="DI185">
        <v>0</v>
      </c>
      <c r="DJ185">
        <v>34.241700000000002</v>
      </c>
      <c r="DK185">
        <v>999.9</v>
      </c>
      <c r="DL185">
        <v>53.3</v>
      </c>
      <c r="DM185">
        <v>44.6</v>
      </c>
      <c r="DN185">
        <v>50.3018</v>
      </c>
      <c r="DO185">
        <v>30.6112</v>
      </c>
      <c r="DP185">
        <v>10.7212</v>
      </c>
      <c r="DQ185">
        <v>1</v>
      </c>
      <c r="DR185">
        <v>0.99080699999999999</v>
      </c>
      <c r="DS185">
        <v>2.0705100000000001</v>
      </c>
      <c r="DT185">
        <v>20.345700000000001</v>
      </c>
      <c r="DU185">
        <v>5.2105800000000002</v>
      </c>
      <c r="DV185">
        <v>11.857100000000001</v>
      </c>
      <c r="DW185">
        <v>4.9674800000000001</v>
      </c>
      <c r="DX185">
        <v>3.2930000000000001</v>
      </c>
      <c r="DY185">
        <v>894.7</v>
      </c>
      <c r="DZ185">
        <v>6</v>
      </c>
      <c r="EA185">
        <v>9999</v>
      </c>
      <c r="EB185">
        <v>118.5</v>
      </c>
      <c r="EC185">
        <v>4.9715800000000003</v>
      </c>
      <c r="ED185">
        <v>1.8721000000000001</v>
      </c>
      <c r="EE185">
        <v>1.8694999999999999</v>
      </c>
      <c r="EF185">
        <v>1.8717999999999999</v>
      </c>
      <c r="EG185">
        <v>1.86954</v>
      </c>
      <c r="EH185">
        <v>1.86843</v>
      </c>
      <c r="EI185">
        <v>1.87025</v>
      </c>
      <c r="EJ185">
        <v>1.87195</v>
      </c>
      <c r="EK185">
        <v>0</v>
      </c>
      <c r="EL185">
        <v>0</v>
      </c>
      <c r="EM185">
        <v>0</v>
      </c>
      <c r="EN185">
        <v>0</v>
      </c>
      <c r="EO185" t="s">
        <v>320</v>
      </c>
      <c r="EP185" t="s">
        <v>321</v>
      </c>
      <c r="EQ185" t="s">
        <v>322</v>
      </c>
      <c r="ER185" t="s">
        <v>322</v>
      </c>
      <c r="ES185" t="s">
        <v>322</v>
      </c>
      <c r="ET185" t="s">
        <v>322</v>
      </c>
      <c r="EU185">
        <v>0</v>
      </c>
      <c r="EV185">
        <v>100</v>
      </c>
      <c r="EW185">
        <v>100</v>
      </c>
      <c r="EX185">
        <v>6.9160000000000004</v>
      </c>
      <c r="EY185">
        <v>-1.925</v>
      </c>
      <c r="EZ185">
        <v>6.9304261904761928</v>
      </c>
      <c r="FA185">
        <v>0</v>
      </c>
      <c r="FB185">
        <v>0</v>
      </c>
      <c r="FC185">
        <v>0</v>
      </c>
      <c r="FD185">
        <v>-1.9284359999999989</v>
      </c>
      <c r="FE185">
        <v>0</v>
      </c>
      <c r="FF185">
        <v>0</v>
      </c>
      <c r="FG185">
        <v>0</v>
      </c>
      <c r="FH185">
        <v>-1</v>
      </c>
      <c r="FI185">
        <v>-1</v>
      </c>
      <c r="FJ185">
        <v>-1</v>
      </c>
      <c r="FK185">
        <v>-1</v>
      </c>
      <c r="FL185">
        <v>1.7</v>
      </c>
      <c r="FM185">
        <v>0.5</v>
      </c>
      <c r="FN185">
        <v>0.13916000000000001</v>
      </c>
      <c r="FO185">
        <v>4.99756</v>
      </c>
      <c r="FP185">
        <v>1.5979000000000001</v>
      </c>
      <c r="FQ185">
        <v>2.1105999999999998</v>
      </c>
      <c r="FR185">
        <v>1.5478499999999999</v>
      </c>
      <c r="FS185">
        <v>2.4719199999999999</v>
      </c>
      <c r="FT185">
        <v>47.813400000000001</v>
      </c>
      <c r="FU185">
        <v>14.8062</v>
      </c>
      <c r="FV185">
        <v>2</v>
      </c>
      <c r="FW185">
        <v>505.63900000000001</v>
      </c>
      <c r="FX185">
        <v>345.71100000000001</v>
      </c>
      <c r="FY185">
        <v>32.274999999999999</v>
      </c>
      <c r="FZ185">
        <v>39.185299999999998</v>
      </c>
      <c r="GA185">
        <v>30.0001</v>
      </c>
      <c r="GB185">
        <v>39.373199999999997</v>
      </c>
      <c r="GC185">
        <v>39.406500000000001</v>
      </c>
      <c r="GD185">
        <v>-1</v>
      </c>
      <c r="GE185">
        <v>0</v>
      </c>
      <c r="GF185">
        <v>100</v>
      </c>
      <c r="GG185">
        <v>32.297600000000003</v>
      </c>
      <c r="GH185">
        <v>432.1</v>
      </c>
      <c r="GI185">
        <v>44.267099999999999</v>
      </c>
      <c r="GJ185">
        <v>100.717</v>
      </c>
      <c r="GK185">
        <v>95.197199999999995</v>
      </c>
    </row>
    <row r="186" spans="1:193" x14ac:dyDescent="0.35">
      <c r="A186">
        <v>170</v>
      </c>
      <c r="B186">
        <v>1775542167.5</v>
      </c>
      <c r="C186">
        <v>10141.400000095369</v>
      </c>
      <c r="D186" t="s">
        <v>827</v>
      </c>
      <c r="E186" t="s">
        <v>828</v>
      </c>
      <c r="F186">
        <v>60</v>
      </c>
      <c r="G186">
        <v>1775542159.5</v>
      </c>
      <c r="H186">
        <f t="shared" si="60"/>
        <v>2.6120585213587114E-3</v>
      </c>
      <c r="I186">
        <f t="shared" si="61"/>
        <v>2.6120585213587115</v>
      </c>
      <c r="J186">
        <f t="shared" si="62"/>
        <v>-2.3630193809256284</v>
      </c>
      <c r="K186">
        <f t="shared" si="63"/>
        <v>-5.4702548387096792</v>
      </c>
      <c r="L186">
        <f t="shared" si="64"/>
        <v>61.183202586068212</v>
      </c>
      <c r="M186">
        <f t="shared" si="65"/>
        <v>6.1236317936696736</v>
      </c>
      <c r="N186">
        <f t="shared" si="66"/>
        <v>-0.54750037647466365</v>
      </c>
      <c r="O186">
        <f t="shared" si="67"/>
        <v>5.5584881528376137E-2</v>
      </c>
      <c r="P186">
        <f t="shared" si="68"/>
        <v>2.3894805136342687</v>
      </c>
      <c r="Q186">
        <f t="shared" si="69"/>
        <v>5.4876411071398991E-2</v>
      </c>
      <c r="R186">
        <f t="shared" si="70"/>
        <v>3.4360657788135886E-2</v>
      </c>
      <c r="S186">
        <f t="shared" si="71"/>
        <v>0.17729840662258062</v>
      </c>
      <c r="T186">
        <f t="shared" si="72"/>
        <v>32.368603499380527</v>
      </c>
      <c r="U186">
        <f t="shared" si="73"/>
        <v>33.314712903225811</v>
      </c>
      <c r="V186">
        <f t="shared" si="74"/>
        <v>5.1421342845675762</v>
      </c>
      <c r="W186">
        <f t="shared" si="75"/>
        <v>10.044198221091525</v>
      </c>
      <c r="X186">
        <f t="shared" si="76"/>
        <v>0.5126907315621454</v>
      </c>
      <c r="Y186">
        <f t="shared" si="77"/>
        <v>5.1043470098545125</v>
      </c>
      <c r="Z186">
        <f t="shared" si="78"/>
        <v>4.629443553005431</v>
      </c>
      <c r="AA186">
        <f t="shared" si="79"/>
        <v>-115.19178079191917</v>
      </c>
      <c r="AB186">
        <f t="shared" si="80"/>
        <v>-16.940881166385218</v>
      </c>
      <c r="AC186">
        <f t="shared" si="81"/>
        <v>-1.6276746398740829</v>
      </c>
      <c r="AD186">
        <f t="shared" si="82"/>
        <v>-133.58303819155589</v>
      </c>
      <c r="AE186">
        <v>6</v>
      </c>
      <c r="AF186">
        <v>1</v>
      </c>
      <c r="AG186">
        <f t="shared" si="83"/>
        <v>1</v>
      </c>
      <c r="AH186">
        <f t="shared" si="84"/>
        <v>0</v>
      </c>
      <c r="AI186">
        <f t="shared" si="85"/>
        <v>25027.544909112377</v>
      </c>
      <c r="AJ186">
        <f t="shared" si="86"/>
        <v>0.92777816129032253</v>
      </c>
      <c r="AK186">
        <f t="shared" si="87"/>
        <v>0.74222252903225805</v>
      </c>
      <c r="AL186">
        <f t="shared" si="88"/>
        <v>0.8</v>
      </c>
      <c r="AM186">
        <f t="shared" si="89"/>
        <v>0.19109999999999999</v>
      </c>
      <c r="AN186">
        <v>3</v>
      </c>
      <c r="AO186">
        <v>0.5</v>
      </c>
      <c r="AP186" t="s">
        <v>317</v>
      </c>
      <c r="AQ186">
        <v>2</v>
      </c>
      <c r="AR186">
        <v>1775542159.5</v>
      </c>
      <c r="AS186">
        <v>-5.4702548387096792</v>
      </c>
      <c r="AT186">
        <v>-6.8966470967741937</v>
      </c>
      <c r="AU186">
        <v>5.1224603225806469</v>
      </c>
      <c r="AV186">
        <v>3.5632451612903222</v>
      </c>
      <c r="AW186">
        <v>-12.405254838709681</v>
      </c>
      <c r="AX186">
        <v>5.4872451612903221</v>
      </c>
      <c r="AY186">
        <v>499.99738709677422</v>
      </c>
      <c r="AZ186">
        <v>100.0397741935484</v>
      </c>
      <c r="BA186">
        <v>4.7039422580645168E-2</v>
      </c>
      <c r="BB186">
        <v>33.183206451612897</v>
      </c>
      <c r="BC186">
        <v>33.314712903225811</v>
      </c>
      <c r="BD186">
        <v>999.90000000000032</v>
      </c>
      <c r="BE186">
        <v>0</v>
      </c>
      <c r="BF186">
        <v>0</v>
      </c>
      <c r="BG186">
        <v>5001.7419354838712</v>
      </c>
      <c r="BH186">
        <v>0.92777816129032253</v>
      </c>
      <c r="BI186">
        <v>844.40822580645158</v>
      </c>
      <c r="BJ186">
        <v>1.4071738709677419</v>
      </c>
      <c r="BK186">
        <v>-5.5090958064516133</v>
      </c>
      <c r="BL186">
        <v>-6.9321567741935466</v>
      </c>
      <c r="BM186">
        <v>-1.560379032258064</v>
      </c>
      <c r="BN186">
        <v>-6.8966470967741937</v>
      </c>
      <c r="BO186">
        <v>5.1224603225806469</v>
      </c>
      <c r="BP186">
        <v>0.35634954838709682</v>
      </c>
      <c r="BQ186">
        <v>0.51244938709677423</v>
      </c>
      <c r="BR186">
        <v>-7.2579396774193539</v>
      </c>
      <c r="BS186">
        <v>-2.4560406451612899</v>
      </c>
      <c r="BT186">
        <v>1775542189.5</v>
      </c>
      <c r="BU186" t="s">
        <v>829</v>
      </c>
      <c r="BV186">
        <v>1775542186.5</v>
      </c>
      <c r="BW186">
        <v>1775542189.5</v>
      </c>
      <c r="BX186">
        <v>171</v>
      </c>
      <c r="BY186">
        <v>1.9E-2</v>
      </c>
      <c r="BZ186">
        <v>2E-3</v>
      </c>
      <c r="CA186">
        <v>6.9349999999999996</v>
      </c>
      <c r="CB186">
        <v>-1.9239999999999999</v>
      </c>
      <c r="CC186">
        <v>-7</v>
      </c>
      <c r="CD186">
        <v>5</v>
      </c>
      <c r="CE186">
        <v>0.28000000000000003</v>
      </c>
      <c r="CF186">
        <v>0.04</v>
      </c>
      <c r="CG186">
        <v>-6.9874863333333339</v>
      </c>
      <c r="CH186">
        <v>0.54917174770769295</v>
      </c>
      <c r="CI186">
        <v>8.9483084508873656E-2</v>
      </c>
      <c r="CJ186">
        <v>-1</v>
      </c>
      <c r="CK186">
        <v>500.2557666666666</v>
      </c>
      <c r="CL186">
        <v>-2.9470786329533061</v>
      </c>
      <c r="CM186">
        <v>0.93009654277870102</v>
      </c>
      <c r="CN186">
        <v>-1</v>
      </c>
      <c r="CO186">
        <v>0</v>
      </c>
      <c r="CP186">
        <v>0</v>
      </c>
      <c r="CQ186" t="s">
        <v>319</v>
      </c>
      <c r="CR186">
        <v>3.1694100000000001</v>
      </c>
      <c r="CS186">
        <v>2.6682899999999998</v>
      </c>
      <c r="CT186">
        <v>-3.5754599999999999E-3</v>
      </c>
      <c r="CU186">
        <v>-1.96042E-3</v>
      </c>
      <c r="CV186">
        <v>3.5856100000000002E-2</v>
      </c>
      <c r="CW186">
        <v>3.3453299999999998E-2</v>
      </c>
      <c r="CX186">
        <v>21281.9</v>
      </c>
      <c r="CY186">
        <v>21703.1</v>
      </c>
      <c r="CZ186">
        <v>22743.599999999999</v>
      </c>
      <c r="DA186">
        <v>22034</v>
      </c>
      <c r="DB186">
        <v>28305.9</v>
      </c>
      <c r="DC186">
        <v>25349.8</v>
      </c>
      <c r="DD186">
        <v>40033.699999999997</v>
      </c>
      <c r="DE186">
        <v>36461.699999999997</v>
      </c>
      <c r="DF186">
        <v>1.9908600000000001</v>
      </c>
      <c r="DG186">
        <v>1.60012</v>
      </c>
      <c r="DH186">
        <v>-5.2457999999999998E-2</v>
      </c>
      <c r="DI186">
        <v>0</v>
      </c>
      <c r="DJ186">
        <v>34.170499999999997</v>
      </c>
      <c r="DK186">
        <v>999.9</v>
      </c>
      <c r="DL186">
        <v>53.4</v>
      </c>
      <c r="DM186">
        <v>44.5</v>
      </c>
      <c r="DN186">
        <v>50.136499999999998</v>
      </c>
      <c r="DO186">
        <v>30.7012</v>
      </c>
      <c r="DP186">
        <v>10.821300000000001</v>
      </c>
      <c r="DQ186">
        <v>1</v>
      </c>
      <c r="DR186">
        <v>0.99062399999999995</v>
      </c>
      <c r="DS186">
        <v>1.86982</v>
      </c>
      <c r="DT186">
        <v>20.3489</v>
      </c>
      <c r="DU186">
        <v>5.2100999999999997</v>
      </c>
      <c r="DV186">
        <v>11.8565</v>
      </c>
      <c r="DW186">
        <v>4.9675200000000004</v>
      </c>
      <c r="DX186">
        <v>3.2930000000000001</v>
      </c>
      <c r="DY186">
        <v>894.7</v>
      </c>
      <c r="DZ186">
        <v>6</v>
      </c>
      <c r="EA186">
        <v>9999</v>
      </c>
      <c r="EB186">
        <v>118.6</v>
      </c>
      <c r="EC186">
        <v>4.97159</v>
      </c>
      <c r="ED186">
        <v>1.8721000000000001</v>
      </c>
      <c r="EE186">
        <v>1.8694999999999999</v>
      </c>
      <c r="EF186">
        <v>1.8717999999999999</v>
      </c>
      <c r="EG186">
        <v>1.8695200000000001</v>
      </c>
      <c r="EH186">
        <v>1.86843</v>
      </c>
      <c r="EI186">
        <v>1.8702099999999999</v>
      </c>
      <c r="EJ186">
        <v>1.87195</v>
      </c>
      <c r="EK186">
        <v>0</v>
      </c>
      <c r="EL186">
        <v>0</v>
      </c>
      <c r="EM186">
        <v>0</v>
      </c>
      <c r="EN186">
        <v>0</v>
      </c>
      <c r="EO186" t="s">
        <v>320</v>
      </c>
      <c r="EP186" t="s">
        <v>321</v>
      </c>
      <c r="EQ186" t="s">
        <v>322</v>
      </c>
      <c r="ER186" t="s">
        <v>322</v>
      </c>
      <c r="ES186" t="s">
        <v>322</v>
      </c>
      <c r="ET186" t="s">
        <v>322</v>
      </c>
      <c r="EU186">
        <v>0</v>
      </c>
      <c r="EV186">
        <v>100</v>
      </c>
      <c r="EW186">
        <v>100</v>
      </c>
      <c r="EX186">
        <v>6.9349999999999996</v>
      </c>
      <c r="EY186">
        <v>-1.9239999999999999</v>
      </c>
      <c r="EZ186">
        <v>6.9157890000000002</v>
      </c>
      <c r="FA186">
        <v>0</v>
      </c>
      <c r="FB186">
        <v>0</v>
      </c>
      <c r="FC186">
        <v>0</v>
      </c>
      <c r="FD186">
        <v>-1.9251635000000009</v>
      </c>
      <c r="FE186">
        <v>0</v>
      </c>
      <c r="FF186">
        <v>0</v>
      </c>
      <c r="FG186">
        <v>0</v>
      </c>
      <c r="FH186">
        <v>-1</v>
      </c>
      <c r="FI186">
        <v>-1</v>
      </c>
      <c r="FJ186">
        <v>-1</v>
      </c>
      <c r="FK186">
        <v>-1</v>
      </c>
      <c r="FL186">
        <v>0.7</v>
      </c>
      <c r="FM186">
        <v>0.6</v>
      </c>
      <c r="FN186">
        <v>0.13916000000000001</v>
      </c>
      <c r="FO186">
        <v>4.99756</v>
      </c>
      <c r="FP186">
        <v>1.5979000000000001</v>
      </c>
      <c r="FQ186">
        <v>2.1105999999999998</v>
      </c>
      <c r="FR186">
        <v>1.5478499999999999</v>
      </c>
      <c r="FS186">
        <v>2.3571800000000001</v>
      </c>
      <c r="FT186">
        <v>47.7226</v>
      </c>
      <c r="FU186">
        <v>14.7887</v>
      </c>
      <c r="FV186">
        <v>2</v>
      </c>
      <c r="FW186">
        <v>506.68599999999998</v>
      </c>
      <c r="FX186">
        <v>345.98899999999998</v>
      </c>
      <c r="FY186">
        <v>32.511899999999997</v>
      </c>
      <c r="FZ186">
        <v>39.190100000000001</v>
      </c>
      <c r="GA186">
        <v>30.000299999999999</v>
      </c>
      <c r="GB186">
        <v>39.385100000000001</v>
      </c>
      <c r="GC186">
        <v>39.415599999999998</v>
      </c>
      <c r="GD186">
        <v>-1</v>
      </c>
      <c r="GE186">
        <v>0</v>
      </c>
      <c r="GF186">
        <v>100</v>
      </c>
      <c r="GG186">
        <v>32.519399999999997</v>
      </c>
      <c r="GH186">
        <v>432.1</v>
      </c>
      <c r="GI186">
        <v>44.267099999999999</v>
      </c>
      <c r="GJ186">
        <v>100.714</v>
      </c>
      <c r="GK186">
        <v>95.195400000000006</v>
      </c>
    </row>
    <row r="187" spans="1:193" x14ac:dyDescent="0.35">
      <c r="A187">
        <v>171</v>
      </c>
      <c r="B187">
        <v>1775542227.5</v>
      </c>
      <c r="C187">
        <v>10201.400000095369</v>
      </c>
      <c r="D187" t="s">
        <v>830</v>
      </c>
      <c r="E187" t="s">
        <v>831</v>
      </c>
      <c r="F187">
        <v>60</v>
      </c>
      <c r="G187">
        <v>1775542219.5</v>
      </c>
      <c r="H187">
        <f t="shared" si="60"/>
        <v>2.7446481696347057E-3</v>
      </c>
      <c r="I187">
        <f t="shared" si="61"/>
        <v>2.7446481696347056</v>
      </c>
      <c r="J187">
        <f t="shared" si="62"/>
        <v>-2.5122762344321563</v>
      </c>
      <c r="K187">
        <f t="shared" si="63"/>
        <v>-5.8093000000000012</v>
      </c>
      <c r="L187">
        <f t="shared" si="64"/>
        <v>61.549609791689448</v>
      </c>
      <c r="M187">
        <f t="shared" si="65"/>
        <v>6.1602383094243187</v>
      </c>
      <c r="N187">
        <f t="shared" si="66"/>
        <v>-0.58142809567853171</v>
      </c>
      <c r="O187">
        <f t="shared" si="67"/>
        <v>5.8531925016732503E-2</v>
      </c>
      <c r="P187">
        <f t="shared" si="68"/>
        <v>2.3882103980658633</v>
      </c>
      <c r="Q187">
        <f t="shared" si="69"/>
        <v>5.7746499226784827E-2</v>
      </c>
      <c r="R187">
        <f t="shared" si="70"/>
        <v>3.6161251307994892E-2</v>
      </c>
      <c r="S187">
        <f t="shared" si="71"/>
        <v>0.17067727861935483</v>
      </c>
      <c r="T187">
        <f t="shared" si="72"/>
        <v>32.319748434330542</v>
      </c>
      <c r="U187">
        <f t="shared" si="73"/>
        <v>33.292732258064511</v>
      </c>
      <c r="V187">
        <f t="shared" si="74"/>
        <v>5.1358014442395064</v>
      </c>
      <c r="W187">
        <f t="shared" si="75"/>
        <v>10.055039473809995</v>
      </c>
      <c r="X187">
        <f t="shared" si="76"/>
        <v>0.51304328622550521</v>
      </c>
      <c r="Y187">
        <f t="shared" si="77"/>
        <v>5.1023497974504322</v>
      </c>
      <c r="Z187">
        <f t="shared" si="78"/>
        <v>4.6227581580140011</v>
      </c>
      <c r="AA187">
        <f t="shared" si="79"/>
        <v>-121.03898428089052</v>
      </c>
      <c r="AB187">
        <f t="shared" si="80"/>
        <v>-14.99974768122981</v>
      </c>
      <c r="AC187">
        <f t="shared" si="81"/>
        <v>-1.4417330868766323</v>
      </c>
      <c r="AD187">
        <f t="shared" si="82"/>
        <v>-137.3097877703776</v>
      </c>
      <c r="AE187">
        <v>6</v>
      </c>
      <c r="AF187">
        <v>1</v>
      </c>
      <c r="AG187">
        <f t="shared" si="83"/>
        <v>1</v>
      </c>
      <c r="AH187">
        <f t="shared" si="84"/>
        <v>0</v>
      </c>
      <c r="AI187">
        <f t="shared" si="85"/>
        <v>25009.220621758392</v>
      </c>
      <c r="AJ187">
        <f t="shared" si="86"/>
        <v>0.89313070967741937</v>
      </c>
      <c r="AK187">
        <f t="shared" si="87"/>
        <v>0.71450456774193549</v>
      </c>
      <c r="AL187">
        <f t="shared" si="88"/>
        <v>0.8</v>
      </c>
      <c r="AM187">
        <f t="shared" si="89"/>
        <v>0.19109999999999999</v>
      </c>
      <c r="AN187">
        <v>3</v>
      </c>
      <c r="AO187">
        <v>0.5</v>
      </c>
      <c r="AP187" t="s">
        <v>317</v>
      </c>
      <c r="AQ187">
        <v>2</v>
      </c>
      <c r="AR187">
        <v>1775542219.5</v>
      </c>
      <c r="AS187">
        <v>-5.8093000000000012</v>
      </c>
      <c r="AT187">
        <v>-7.3262429032258076</v>
      </c>
      <c r="AU187">
        <v>5.1260377419354821</v>
      </c>
      <c r="AV187">
        <v>3.4876790322580629</v>
      </c>
      <c r="AW187">
        <v>-12.753299999999999</v>
      </c>
      <c r="AX187">
        <v>5.4106790322580629</v>
      </c>
      <c r="AY187">
        <v>499.99654838709671</v>
      </c>
      <c r="AZ187">
        <v>100.03883870967741</v>
      </c>
      <c r="BA187">
        <v>4.6902374193548389E-2</v>
      </c>
      <c r="BB187">
        <v>33.176232258064523</v>
      </c>
      <c r="BC187">
        <v>33.292732258064511</v>
      </c>
      <c r="BD187">
        <v>999.90000000000032</v>
      </c>
      <c r="BE187">
        <v>0</v>
      </c>
      <c r="BF187">
        <v>0</v>
      </c>
      <c r="BG187">
        <v>4998.5161290322594</v>
      </c>
      <c r="BH187">
        <v>0.89313070967741937</v>
      </c>
      <c r="BI187">
        <v>819.28964516129042</v>
      </c>
      <c r="BJ187">
        <v>1.5078458064516129</v>
      </c>
      <c r="BK187">
        <v>-5.8387567741935493</v>
      </c>
      <c r="BL187">
        <v>-7.3639929032258058</v>
      </c>
      <c r="BM187">
        <v>-1.638963548387097</v>
      </c>
      <c r="BN187">
        <v>-7.3262429032258076</v>
      </c>
      <c r="BO187">
        <v>5.1260377419354821</v>
      </c>
      <c r="BP187">
        <v>0.34884290322580652</v>
      </c>
      <c r="BQ187">
        <v>0.51280296774193557</v>
      </c>
      <c r="BR187">
        <v>-7.5333529032258078</v>
      </c>
      <c r="BS187">
        <v>-2.44674129032258</v>
      </c>
      <c r="BT187">
        <v>1775542250</v>
      </c>
      <c r="BU187" t="s">
        <v>832</v>
      </c>
      <c r="BV187">
        <v>1775542245.5</v>
      </c>
      <c r="BW187">
        <v>1775542250</v>
      </c>
      <c r="BX187">
        <v>172</v>
      </c>
      <c r="BY187">
        <v>8.9999999999999993E-3</v>
      </c>
      <c r="BZ187">
        <v>1E-3</v>
      </c>
      <c r="CA187">
        <v>6.944</v>
      </c>
      <c r="CB187">
        <v>-1.923</v>
      </c>
      <c r="CC187">
        <v>-7</v>
      </c>
      <c r="CD187">
        <v>5</v>
      </c>
      <c r="CE187">
        <v>0.25</v>
      </c>
      <c r="CF187">
        <v>7.0000000000000007E-2</v>
      </c>
      <c r="CG187">
        <v>-7.3541931147540991</v>
      </c>
      <c r="CH187">
        <v>0.2250102168164968</v>
      </c>
      <c r="CI187">
        <v>3.6093708753878177E-2</v>
      </c>
      <c r="CJ187">
        <v>-1</v>
      </c>
      <c r="CK187">
        <v>500.13208196721308</v>
      </c>
      <c r="CL187">
        <v>-1.4764124801688461</v>
      </c>
      <c r="CM187">
        <v>0.49813117289778419</v>
      </c>
      <c r="CN187">
        <v>-1</v>
      </c>
      <c r="CO187">
        <v>0</v>
      </c>
      <c r="CP187">
        <v>0</v>
      </c>
      <c r="CQ187" t="s">
        <v>319</v>
      </c>
      <c r="CR187">
        <v>3.1693600000000002</v>
      </c>
      <c r="CS187">
        <v>2.66838</v>
      </c>
      <c r="CT187">
        <v>-3.68827E-3</v>
      </c>
      <c r="CU187">
        <v>-2.11203E-3</v>
      </c>
      <c r="CV187">
        <v>3.5454399999999997E-2</v>
      </c>
      <c r="CW187">
        <v>3.3498399999999998E-2</v>
      </c>
      <c r="CX187">
        <v>21284.2</v>
      </c>
      <c r="CY187">
        <v>21706.5</v>
      </c>
      <c r="CZ187">
        <v>22743.599999999999</v>
      </c>
      <c r="DA187">
        <v>22034.1</v>
      </c>
      <c r="DB187">
        <v>28317.599999999999</v>
      </c>
      <c r="DC187">
        <v>25348.7</v>
      </c>
      <c r="DD187">
        <v>40033.699999999997</v>
      </c>
      <c r="DE187">
        <v>36461.800000000003</v>
      </c>
      <c r="DF187">
        <v>1.9906999999999999</v>
      </c>
      <c r="DG187">
        <v>1.6002000000000001</v>
      </c>
      <c r="DH187">
        <v>-5.0163300000000001E-2</v>
      </c>
      <c r="DI187">
        <v>0</v>
      </c>
      <c r="DJ187">
        <v>34.114400000000003</v>
      </c>
      <c r="DK187">
        <v>999.9</v>
      </c>
      <c r="DL187">
        <v>53.6</v>
      </c>
      <c r="DM187">
        <v>44.5</v>
      </c>
      <c r="DN187">
        <v>50.323500000000003</v>
      </c>
      <c r="DO187">
        <v>30.731200000000001</v>
      </c>
      <c r="DP187">
        <v>10.833299999999999</v>
      </c>
      <c r="DQ187">
        <v>1</v>
      </c>
      <c r="DR187">
        <v>0.99095699999999998</v>
      </c>
      <c r="DS187">
        <v>1.8663000000000001</v>
      </c>
      <c r="DT187">
        <v>20.348500000000001</v>
      </c>
      <c r="DU187">
        <v>5.2083000000000004</v>
      </c>
      <c r="DV187">
        <v>11.857699999999999</v>
      </c>
      <c r="DW187">
        <v>4.9675200000000004</v>
      </c>
      <c r="DX187">
        <v>3.2930000000000001</v>
      </c>
      <c r="DY187">
        <v>894.7</v>
      </c>
      <c r="DZ187">
        <v>6</v>
      </c>
      <c r="EA187">
        <v>9999</v>
      </c>
      <c r="EB187">
        <v>118.6</v>
      </c>
      <c r="EC187">
        <v>4.9715800000000003</v>
      </c>
      <c r="ED187">
        <v>1.8721000000000001</v>
      </c>
      <c r="EE187">
        <v>1.8694999999999999</v>
      </c>
      <c r="EF187">
        <v>1.8717900000000001</v>
      </c>
      <c r="EG187">
        <v>1.8695299999999999</v>
      </c>
      <c r="EH187">
        <v>1.8684000000000001</v>
      </c>
      <c r="EI187">
        <v>1.8702399999999999</v>
      </c>
      <c r="EJ187">
        <v>1.8719399999999999</v>
      </c>
      <c r="EK187">
        <v>0</v>
      </c>
      <c r="EL187">
        <v>0</v>
      </c>
      <c r="EM187">
        <v>0</v>
      </c>
      <c r="EN187">
        <v>0</v>
      </c>
      <c r="EO187" t="s">
        <v>320</v>
      </c>
      <c r="EP187" t="s">
        <v>321</v>
      </c>
      <c r="EQ187" t="s">
        <v>322</v>
      </c>
      <c r="ER187" t="s">
        <v>322</v>
      </c>
      <c r="ES187" t="s">
        <v>322</v>
      </c>
      <c r="ET187" t="s">
        <v>322</v>
      </c>
      <c r="EU187">
        <v>0</v>
      </c>
      <c r="EV187">
        <v>100</v>
      </c>
      <c r="EW187">
        <v>100</v>
      </c>
      <c r="EX187">
        <v>6.944</v>
      </c>
      <c r="EY187">
        <v>-1.923</v>
      </c>
      <c r="EZ187">
        <v>6.9348965000000016</v>
      </c>
      <c r="FA187">
        <v>0</v>
      </c>
      <c r="FB187">
        <v>0</v>
      </c>
      <c r="FC187">
        <v>0</v>
      </c>
      <c r="FD187">
        <v>-1.9236050000000009</v>
      </c>
      <c r="FE187">
        <v>0</v>
      </c>
      <c r="FF187">
        <v>0</v>
      </c>
      <c r="FG187">
        <v>0</v>
      </c>
      <c r="FH187">
        <v>-1</v>
      </c>
      <c r="FI187">
        <v>-1</v>
      </c>
      <c r="FJ187">
        <v>-1</v>
      </c>
      <c r="FK187">
        <v>-1</v>
      </c>
      <c r="FL187">
        <v>0.7</v>
      </c>
      <c r="FM187">
        <v>0.6</v>
      </c>
      <c r="FN187">
        <v>0.13916000000000001</v>
      </c>
      <c r="FO187">
        <v>4.99756</v>
      </c>
      <c r="FP187">
        <v>1.5979000000000001</v>
      </c>
      <c r="FQ187">
        <v>2.1105999999999998</v>
      </c>
      <c r="FR187">
        <v>1.5478499999999999</v>
      </c>
      <c r="FS187">
        <v>2.3645</v>
      </c>
      <c r="FT187">
        <v>47.662199999999999</v>
      </c>
      <c r="FU187">
        <v>14.7887</v>
      </c>
      <c r="FV187">
        <v>2</v>
      </c>
      <c r="FW187">
        <v>506.613</v>
      </c>
      <c r="FX187">
        <v>346.053</v>
      </c>
      <c r="FY187">
        <v>32.452300000000001</v>
      </c>
      <c r="FZ187">
        <v>39.192900000000002</v>
      </c>
      <c r="GA187">
        <v>29.9999</v>
      </c>
      <c r="GB187">
        <v>39.388800000000003</v>
      </c>
      <c r="GC187">
        <v>39.42</v>
      </c>
      <c r="GD187">
        <v>-1</v>
      </c>
      <c r="GE187">
        <v>0</v>
      </c>
      <c r="GF187">
        <v>100</v>
      </c>
      <c r="GG187">
        <v>32.469099999999997</v>
      </c>
      <c r="GH187">
        <v>432.1</v>
      </c>
      <c r="GI187">
        <v>44.267099999999999</v>
      </c>
      <c r="GJ187">
        <v>100.714</v>
      </c>
      <c r="GK187">
        <v>95.195700000000002</v>
      </c>
    </row>
    <row r="188" spans="1:193" x14ac:dyDescent="0.35">
      <c r="A188">
        <v>172</v>
      </c>
      <c r="B188">
        <v>1775542287.5</v>
      </c>
      <c r="C188">
        <v>10261.400000095369</v>
      </c>
      <c r="D188" t="s">
        <v>833</v>
      </c>
      <c r="E188" t="s">
        <v>834</v>
      </c>
      <c r="F188">
        <v>60</v>
      </c>
      <c r="G188">
        <v>1775542279.75</v>
      </c>
      <c r="H188">
        <f t="shared" si="60"/>
        <v>2.4514320127981171E-3</v>
      </c>
      <c r="I188">
        <f t="shared" si="61"/>
        <v>2.4514320127981173</v>
      </c>
      <c r="J188">
        <f t="shared" si="62"/>
        <v>-2.3660817292386156</v>
      </c>
      <c r="K188">
        <f t="shared" si="63"/>
        <v>-5.6208033333333347</v>
      </c>
      <c r="L188">
        <f t="shared" si="64"/>
        <v>65.550293790997372</v>
      </c>
      <c r="M188">
        <f t="shared" si="65"/>
        <v>6.5605938373481827</v>
      </c>
      <c r="N188">
        <f t="shared" si="66"/>
        <v>-0.56255747422259916</v>
      </c>
      <c r="O188">
        <f t="shared" si="67"/>
        <v>5.207473845808476E-2</v>
      </c>
      <c r="P188">
        <f t="shared" si="68"/>
        <v>2.3882771445051167</v>
      </c>
      <c r="Q188">
        <f t="shared" si="69"/>
        <v>5.145207166042759E-2</v>
      </c>
      <c r="R188">
        <f t="shared" si="70"/>
        <v>3.2212868512119019E-2</v>
      </c>
      <c r="S188">
        <f t="shared" si="71"/>
        <v>0.16577601404000003</v>
      </c>
      <c r="T188">
        <f t="shared" si="72"/>
        <v>32.437216976520439</v>
      </c>
      <c r="U188">
        <f t="shared" si="73"/>
        <v>33.327913333333328</v>
      </c>
      <c r="V188">
        <f t="shared" si="74"/>
        <v>5.1459407223773743</v>
      </c>
      <c r="W188">
        <f t="shared" si="75"/>
        <v>10.023787473569309</v>
      </c>
      <c r="X188">
        <f t="shared" si="76"/>
        <v>0.51219072163261847</v>
      </c>
      <c r="Y188">
        <f t="shared" si="77"/>
        <v>5.1097524062951392</v>
      </c>
      <c r="Z188">
        <f t="shared" si="78"/>
        <v>4.6337500007447563</v>
      </c>
      <c r="AA188">
        <f t="shared" si="79"/>
        <v>-108.10815176439696</v>
      </c>
      <c r="AB188">
        <f t="shared" si="80"/>
        <v>-16.203184575973243</v>
      </c>
      <c r="AC188">
        <f t="shared" si="81"/>
        <v>-1.5578260170192582</v>
      </c>
      <c r="AD188">
        <f t="shared" si="82"/>
        <v>-125.70338634334946</v>
      </c>
      <c r="AE188">
        <v>6</v>
      </c>
      <c r="AF188">
        <v>1</v>
      </c>
      <c r="AG188">
        <f t="shared" si="83"/>
        <v>1</v>
      </c>
      <c r="AH188">
        <f t="shared" si="84"/>
        <v>0</v>
      </c>
      <c r="AI188">
        <f t="shared" si="85"/>
        <v>25008.140394112419</v>
      </c>
      <c r="AJ188">
        <f t="shared" si="86"/>
        <v>0.86748306666666686</v>
      </c>
      <c r="AK188">
        <f t="shared" si="87"/>
        <v>0.69398645333333353</v>
      </c>
      <c r="AL188">
        <f t="shared" si="88"/>
        <v>0.8</v>
      </c>
      <c r="AM188">
        <f t="shared" si="89"/>
        <v>0.19109999999999999</v>
      </c>
      <c r="AN188">
        <v>3</v>
      </c>
      <c r="AO188">
        <v>0.5</v>
      </c>
      <c r="AP188" t="s">
        <v>317</v>
      </c>
      <c r="AQ188">
        <v>2</v>
      </c>
      <c r="AR188">
        <v>1775542279.75</v>
      </c>
      <c r="AS188">
        <v>-5.6208033333333347</v>
      </c>
      <c r="AT188">
        <v>-7.0487650000000004</v>
      </c>
      <c r="AU188">
        <v>5.1175630000000014</v>
      </c>
      <c r="AV188">
        <v>3.6541846666666689</v>
      </c>
      <c r="AW188">
        <v>-12.543803333333329</v>
      </c>
      <c r="AX188">
        <v>5.5781846666666688</v>
      </c>
      <c r="AY188">
        <v>499.98416666666662</v>
      </c>
      <c r="AZ188">
        <v>100.0379333333334</v>
      </c>
      <c r="BA188">
        <v>4.695504666666666E-2</v>
      </c>
      <c r="BB188">
        <v>33.202069999999992</v>
      </c>
      <c r="BC188">
        <v>33.327913333333328</v>
      </c>
      <c r="BD188">
        <v>999.9000000000002</v>
      </c>
      <c r="BE188">
        <v>0</v>
      </c>
      <c r="BF188">
        <v>0</v>
      </c>
      <c r="BG188">
        <v>4998.7333333333336</v>
      </c>
      <c r="BH188">
        <v>0.86748306666666686</v>
      </c>
      <c r="BI188">
        <v>806.32320000000004</v>
      </c>
      <c r="BJ188">
        <v>1.4486870000000001</v>
      </c>
      <c r="BK188">
        <v>-5.6206229999999993</v>
      </c>
      <c r="BL188">
        <v>-7.0850236666666673</v>
      </c>
      <c r="BM188">
        <v>-1.462448</v>
      </c>
      <c r="BN188">
        <v>-7.0487650000000004</v>
      </c>
      <c r="BO188">
        <v>5.1175630000000014</v>
      </c>
      <c r="BP188">
        <v>0.36565003333333329</v>
      </c>
      <c r="BQ188">
        <v>0.51195033333333329</v>
      </c>
      <c r="BR188">
        <v>-6.9236129999999996</v>
      </c>
      <c r="BS188">
        <v>-2.469186666666666</v>
      </c>
      <c r="BT188">
        <v>1775542311.5</v>
      </c>
      <c r="BU188" t="s">
        <v>835</v>
      </c>
      <c r="BV188">
        <v>1775542306</v>
      </c>
      <c r="BW188">
        <v>1775542311.5</v>
      </c>
      <c r="BX188">
        <v>173</v>
      </c>
      <c r="BY188">
        <v>-2.1000000000000001E-2</v>
      </c>
      <c r="BZ188">
        <v>0</v>
      </c>
      <c r="CA188">
        <v>6.923</v>
      </c>
      <c r="CB188">
        <v>-1.9239999999999999</v>
      </c>
      <c r="CC188">
        <v>-7</v>
      </c>
      <c r="CD188">
        <v>5</v>
      </c>
      <c r="CE188">
        <v>0.18</v>
      </c>
      <c r="CF188">
        <v>0.05</v>
      </c>
      <c r="CG188">
        <v>-7.042837500000001</v>
      </c>
      <c r="CH188">
        <v>-6.4610514031685676E-2</v>
      </c>
      <c r="CI188">
        <v>1.780763812010636E-2</v>
      </c>
      <c r="CJ188">
        <v>-1</v>
      </c>
      <c r="CK188">
        <v>500.15586666666672</v>
      </c>
      <c r="CL188">
        <v>-1.8865773826062739</v>
      </c>
      <c r="CM188">
        <v>0.59715995809795619</v>
      </c>
      <c r="CN188">
        <v>-1</v>
      </c>
      <c r="CO188">
        <v>0</v>
      </c>
      <c r="CP188">
        <v>0</v>
      </c>
      <c r="CQ188" t="s">
        <v>319</v>
      </c>
      <c r="CR188">
        <v>3.1695899999999999</v>
      </c>
      <c r="CS188">
        <v>2.6680700000000002</v>
      </c>
      <c r="CT188">
        <v>-3.6306200000000002E-3</v>
      </c>
      <c r="CU188">
        <v>-2.04609E-3</v>
      </c>
      <c r="CV188">
        <v>3.61135E-2</v>
      </c>
      <c r="CW188">
        <v>3.33899E-2</v>
      </c>
      <c r="CX188">
        <v>21282.3</v>
      </c>
      <c r="CY188">
        <v>21704.2</v>
      </c>
      <c r="CZ188">
        <v>22742.9</v>
      </c>
      <c r="DA188">
        <v>22033.3</v>
      </c>
      <c r="DB188">
        <v>28297.4</v>
      </c>
      <c r="DC188">
        <v>25350.6</v>
      </c>
      <c r="DD188">
        <v>40032.5</v>
      </c>
      <c r="DE188">
        <v>36460.400000000001</v>
      </c>
      <c r="DF188">
        <v>1.99064</v>
      </c>
      <c r="DG188">
        <v>1.6003000000000001</v>
      </c>
      <c r="DH188">
        <v>-4.5830000000000003E-2</v>
      </c>
      <c r="DI188">
        <v>0</v>
      </c>
      <c r="DJ188">
        <v>34.074300000000001</v>
      </c>
      <c r="DK188">
        <v>999.9</v>
      </c>
      <c r="DL188">
        <v>53.7</v>
      </c>
      <c r="DM188">
        <v>44.4</v>
      </c>
      <c r="DN188">
        <v>50.165100000000002</v>
      </c>
      <c r="DO188">
        <v>30.5212</v>
      </c>
      <c r="DP188">
        <v>10.472799999999999</v>
      </c>
      <c r="DQ188">
        <v>1</v>
      </c>
      <c r="DR188">
        <v>0.99271799999999999</v>
      </c>
      <c r="DS188">
        <v>2.2387199999999998</v>
      </c>
      <c r="DT188">
        <v>20.342300000000002</v>
      </c>
      <c r="DU188">
        <v>5.2109399999999999</v>
      </c>
      <c r="DV188">
        <v>11.855600000000001</v>
      </c>
      <c r="DW188">
        <v>4.9637200000000004</v>
      </c>
      <c r="DX188">
        <v>3.2930000000000001</v>
      </c>
      <c r="DY188">
        <v>894.7</v>
      </c>
      <c r="DZ188">
        <v>6</v>
      </c>
      <c r="EA188">
        <v>9999</v>
      </c>
      <c r="EB188">
        <v>118.6</v>
      </c>
      <c r="EC188">
        <v>4.97159</v>
      </c>
      <c r="ED188">
        <v>1.8721000000000001</v>
      </c>
      <c r="EE188">
        <v>1.8694999999999999</v>
      </c>
      <c r="EF188">
        <v>1.8717999999999999</v>
      </c>
      <c r="EG188">
        <v>1.86954</v>
      </c>
      <c r="EH188">
        <v>1.86843</v>
      </c>
      <c r="EI188">
        <v>1.87019</v>
      </c>
      <c r="EJ188">
        <v>1.87195</v>
      </c>
      <c r="EK188">
        <v>0</v>
      </c>
      <c r="EL188">
        <v>0</v>
      </c>
      <c r="EM188">
        <v>0</v>
      </c>
      <c r="EN188">
        <v>0</v>
      </c>
      <c r="EO188" t="s">
        <v>320</v>
      </c>
      <c r="EP188" t="s">
        <v>321</v>
      </c>
      <c r="EQ188" t="s">
        <v>322</v>
      </c>
      <c r="ER188" t="s">
        <v>322</v>
      </c>
      <c r="ES188" t="s">
        <v>322</v>
      </c>
      <c r="ET188" t="s">
        <v>322</v>
      </c>
      <c r="EU188">
        <v>0</v>
      </c>
      <c r="EV188">
        <v>100</v>
      </c>
      <c r="EW188">
        <v>100</v>
      </c>
      <c r="EX188">
        <v>6.923</v>
      </c>
      <c r="EY188">
        <v>-1.9239999999999999</v>
      </c>
      <c r="EZ188">
        <v>6.9437345000000006</v>
      </c>
      <c r="FA188">
        <v>0</v>
      </c>
      <c r="FB188">
        <v>0</v>
      </c>
      <c r="FC188">
        <v>0</v>
      </c>
      <c r="FD188">
        <v>-1.923068571428568</v>
      </c>
      <c r="FE188">
        <v>0</v>
      </c>
      <c r="FF188">
        <v>0</v>
      </c>
      <c r="FG188">
        <v>0</v>
      </c>
      <c r="FH188">
        <v>-1</v>
      </c>
      <c r="FI188">
        <v>-1</v>
      </c>
      <c r="FJ188">
        <v>-1</v>
      </c>
      <c r="FK188">
        <v>-1</v>
      </c>
      <c r="FL188">
        <v>0.7</v>
      </c>
      <c r="FM188">
        <v>0.6</v>
      </c>
      <c r="FN188">
        <v>0.13916000000000001</v>
      </c>
      <c r="FO188">
        <v>4.99756</v>
      </c>
      <c r="FP188">
        <v>1.5979000000000001</v>
      </c>
      <c r="FQ188">
        <v>2.1105999999999998</v>
      </c>
      <c r="FR188">
        <v>1.5478499999999999</v>
      </c>
      <c r="FS188">
        <v>2.5</v>
      </c>
      <c r="FT188">
        <v>47.571800000000003</v>
      </c>
      <c r="FU188">
        <v>14.78</v>
      </c>
      <c r="FV188">
        <v>2</v>
      </c>
      <c r="FW188">
        <v>506.601</v>
      </c>
      <c r="FX188">
        <v>346.113</v>
      </c>
      <c r="FY188">
        <v>32.509</v>
      </c>
      <c r="FZ188">
        <v>39.192799999999998</v>
      </c>
      <c r="GA188">
        <v>30.000900000000001</v>
      </c>
      <c r="GB188">
        <v>39.392600000000002</v>
      </c>
      <c r="GC188">
        <v>39.421500000000002</v>
      </c>
      <c r="GD188">
        <v>-1</v>
      </c>
      <c r="GE188">
        <v>0</v>
      </c>
      <c r="GF188">
        <v>100</v>
      </c>
      <c r="GG188">
        <v>32.458100000000002</v>
      </c>
      <c r="GH188">
        <v>432.1</v>
      </c>
      <c r="GI188">
        <v>44.267099999999999</v>
      </c>
      <c r="GJ188">
        <v>100.711</v>
      </c>
      <c r="GK188">
        <v>95.1922</v>
      </c>
    </row>
    <row r="189" spans="1:193" x14ac:dyDescent="0.35">
      <c r="A189">
        <v>173</v>
      </c>
      <c r="B189">
        <v>1775542347.5</v>
      </c>
      <c r="C189">
        <v>10321.400000095369</v>
      </c>
      <c r="D189" t="s">
        <v>836</v>
      </c>
      <c r="E189" t="s">
        <v>837</v>
      </c>
      <c r="F189">
        <v>60</v>
      </c>
      <c r="G189">
        <v>1775542339.5</v>
      </c>
      <c r="H189">
        <f t="shared" si="60"/>
        <v>2.5484618043827558E-3</v>
      </c>
      <c r="I189">
        <f t="shared" si="61"/>
        <v>2.548461804382756</v>
      </c>
      <c r="J189">
        <f t="shared" si="62"/>
        <v>-2.6450355479521543</v>
      </c>
      <c r="K189">
        <f t="shared" si="63"/>
        <v>-6.0404645161290329</v>
      </c>
      <c r="L189">
        <f t="shared" si="64"/>
        <v>70.383404203033095</v>
      </c>
      <c r="M189">
        <f t="shared" si="65"/>
        <v>7.0442647928224336</v>
      </c>
      <c r="N189">
        <f t="shared" si="66"/>
        <v>-0.60455489479474867</v>
      </c>
      <c r="O189">
        <f t="shared" si="67"/>
        <v>5.4238351719503829E-2</v>
      </c>
      <c r="P189">
        <f t="shared" si="68"/>
        <v>2.3902309491418143</v>
      </c>
      <c r="Q189">
        <f t="shared" si="69"/>
        <v>5.35637748422996E-2</v>
      </c>
      <c r="R189">
        <f t="shared" si="70"/>
        <v>3.353726824905711E-2</v>
      </c>
      <c r="S189">
        <f t="shared" si="71"/>
        <v>0.16257764073870967</v>
      </c>
      <c r="T189">
        <f t="shared" si="72"/>
        <v>32.392880952177734</v>
      </c>
      <c r="U189">
        <f t="shared" si="73"/>
        <v>33.299838709677417</v>
      </c>
      <c r="V189">
        <f t="shared" si="74"/>
        <v>5.1378481403223493</v>
      </c>
      <c r="W189">
        <f t="shared" si="75"/>
        <v>9.9969415742610792</v>
      </c>
      <c r="X189">
        <f t="shared" si="76"/>
        <v>0.51040135487983085</v>
      </c>
      <c r="Y189">
        <f t="shared" si="77"/>
        <v>5.1055750510131102</v>
      </c>
      <c r="Z189">
        <f t="shared" si="78"/>
        <v>4.6274467854425181</v>
      </c>
      <c r="AA189">
        <f t="shared" si="79"/>
        <v>-112.38716557327953</v>
      </c>
      <c r="AB189">
        <f t="shared" si="80"/>
        <v>-14.477036883559398</v>
      </c>
      <c r="AC189">
        <f t="shared" si="81"/>
        <v>-1.390440417557836</v>
      </c>
      <c r="AD189">
        <f t="shared" si="82"/>
        <v>-128.09206523365805</v>
      </c>
      <c r="AE189">
        <v>6</v>
      </c>
      <c r="AF189">
        <v>1</v>
      </c>
      <c r="AG189">
        <f t="shared" si="83"/>
        <v>1</v>
      </c>
      <c r="AH189">
        <f t="shared" si="84"/>
        <v>0</v>
      </c>
      <c r="AI189">
        <f t="shared" si="85"/>
        <v>25038.481787526805</v>
      </c>
      <c r="AJ189">
        <f t="shared" si="86"/>
        <v>0.85074641935483875</v>
      </c>
      <c r="AK189">
        <f t="shared" si="87"/>
        <v>0.68059713548387102</v>
      </c>
      <c r="AL189">
        <f t="shared" si="88"/>
        <v>0.8</v>
      </c>
      <c r="AM189">
        <f t="shared" si="89"/>
        <v>0.19109999999999999</v>
      </c>
      <c r="AN189">
        <v>3</v>
      </c>
      <c r="AO189">
        <v>0.5</v>
      </c>
      <c r="AP189" t="s">
        <v>317</v>
      </c>
      <c r="AQ189">
        <v>2</v>
      </c>
      <c r="AR189">
        <v>1775542339.5</v>
      </c>
      <c r="AS189">
        <v>-6.0404645161290329</v>
      </c>
      <c r="AT189">
        <v>-7.636727741935486</v>
      </c>
      <c r="AU189">
        <v>5.0997209677419368</v>
      </c>
      <c r="AV189">
        <v>3.5784364516129039</v>
      </c>
      <c r="AW189">
        <v>-12.967464516129031</v>
      </c>
      <c r="AX189">
        <v>5.5004364516129041</v>
      </c>
      <c r="AY189">
        <v>499.99825806451611</v>
      </c>
      <c r="AZ189">
        <v>100.0371612903226</v>
      </c>
      <c r="BA189">
        <v>4.7011570967741938E-2</v>
      </c>
      <c r="BB189">
        <v>33.187493548387103</v>
      </c>
      <c r="BC189">
        <v>33.299838709677417</v>
      </c>
      <c r="BD189">
        <v>999.90000000000032</v>
      </c>
      <c r="BE189">
        <v>0</v>
      </c>
      <c r="BF189">
        <v>0</v>
      </c>
      <c r="BG189">
        <v>5003.8064516129034</v>
      </c>
      <c r="BH189">
        <v>0.85074641935483875</v>
      </c>
      <c r="BI189">
        <v>758.88254838709668</v>
      </c>
      <c r="BJ189">
        <v>1.5920003225806449</v>
      </c>
      <c r="BK189">
        <v>-6.0664274193548398</v>
      </c>
      <c r="BL189">
        <v>-7.6758725806451604</v>
      </c>
      <c r="BM189">
        <v>-1.522785161290322</v>
      </c>
      <c r="BN189">
        <v>-7.636727741935486</v>
      </c>
      <c r="BO189">
        <v>5.0997209677419368</v>
      </c>
      <c r="BP189">
        <v>0.35782680645161291</v>
      </c>
      <c r="BQ189">
        <v>0.510162064516129</v>
      </c>
      <c r="BR189">
        <v>-7.204207741935484</v>
      </c>
      <c r="BS189">
        <v>-2.5163716129032259</v>
      </c>
      <c r="BT189">
        <v>1775542370.5</v>
      </c>
      <c r="BU189" t="s">
        <v>838</v>
      </c>
      <c r="BV189">
        <v>1775542367.5</v>
      </c>
      <c r="BW189">
        <v>1775542370.5</v>
      </c>
      <c r="BX189">
        <v>174</v>
      </c>
      <c r="BY189">
        <v>4.0000000000000001E-3</v>
      </c>
      <c r="BZ189">
        <v>1E-3</v>
      </c>
      <c r="CA189">
        <v>6.9269999999999996</v>
      </c>
      <c r="CB189">
        <v>-1.9219999999999999</v>
      </c>
      <c r="CC189">
        <v>-8</v>
      </c>
      <c r="CD189">
        <v>5</v>
      </c>
      <c r="CE189">
        <v>0.22</v>
      </c>
      <c r="CF189">
        <v>0.04</v>
      </c>
      <c r="CG189">
        <v>-7.5380816666666668</v>
      </c>
      <c r="CH189">
        <v>-0.66554720755766639</v>
      </c>
      <c r="CI189">
        <v>0.109777019106409</v>
      </c>
      <c r="CJ189">
        <v>-1</v>
      </c>
      <c r="CK189">
        <v>500.26096666666672</v>
      </c>
      <c r="CL189">
        <v>-2.9334348430109718</v>
      </c>
      <c r="CM189">
        <v>0.94900312550708421</v>
      </c>
      <c r="CN189">
        <v>-1</v>
      </c>
      <c r="CO189">
        <v>0</v>
      </c>
      <c r="CP189">
        <v>0</v>
      </c>
      <c r="CQ189" t="s">
        <v>319</v>
      </c>
      <c r="CR189">
        <v>3.1694200000000001</v>
      </c>
      <c r="CS189">
        <v>2.6680999999999999</v>
      </c>
      <c r="CT189">
        <v>-3.7796499999999999E-3</v>
      </c>
      <c r="CU189">
        <v>-2.2273499999999999E-3</v>
      </c>
      <c r="CV189">
        <v>3.58302E-2</v>
      </c>
      <c r="CW189">
        <v>3.3338199999999998E-2</v>
      </c>
      <c r="CX189">
        <v>21286.2</v>
      </c>
      <c r="CY189">
        <v>21708.9</v>
      </c>
      <c r="CZ189">
        <v>22743.599999999999</v>
      </c>
      <c r="DA189">
        <v>22034</v>
      </c>
      <c r="DB189">
        <v>28306.5</v>
      </c>
      <c r="DC189">
        <v>25352.9</v>
      </c>
      <c r="DD189">
        <v>40033.5</v>
      </c>
      <c r="DE189">
        <v>36461.699999999997</v>
      </c>
      <c r="DF189">
        <v>1.9908999999999999</v>
      </c>
      <c r="DG189">
        <v>1.6007199999999999</v>
      </c>
      <c r="DH189">
        <v>-4.5788299999999997E-2</v>
      </c>
      <c r="DI189">
        <v>0</v>
      </c>
      <c r="DJ189">
        <v>34.041699999999999</v>
      </c>
      <c r="DK189">
        <v>999.9</v>
      </c>
      <c r="DL189">
        <v>53.9</v>
      </c>
      <c r="DM189">
        <v>44.4</v>
      </c>
      <c r="DN189">
        <v>50.348700000000001</v>
      </c>
      <c r="DO189">
        <v>30.7912</v>
      </c>
      <c r="DP189">
        <v>10.6851</v>
      </c>
      <c r="DQ189">
        <v>1</v>
      </c>
      <c r="DR189">
        <v>0.98958299999999999</v>
      </c>
      <c r="DS189">
        <v>1.8495900000000001</v>
      </c>
      <c r="DT189">
        <v>20.348700000000001</v>
      </c>
      <c r="DU189">
        <v>5.2078300000000004</v>
      </c>
      <c r="DV189">
        <v>11.857699999999999</v>
      </c>
      <c r="DW189">
        <v>4.9671200000000004</v>
      </c>
      <c r="DX189">
        <v>3.2925200000000001</v>
      </c>
      <c r="DY189">
        <v>894.7</v>
      </c>
      <c r="DZ189">
        <v>6</v>
      </c>
      <c r="EA189">
        <v>9999</v>
      </c>
      <c r="EB189">
        <v>118.6</v>
      </c>
      <c r="EC189">
        <v>4.9715999999999996</v>
      </c>
      <c r="ED189">
        <v>1.8721000000000001</v>
      </c>
      <c r="EE189">
        <v>1.8694900000000001</v>
      </c>
      <c r="EF189">
        <v>1.8717999999999999</v>
      </c>
      <c r="EG189">
        <v>1.8695200000000001</v>
      </c>
      <c r="EH189">
        <v>1.86843</v>
      </c>
      <c r="EI189">
        <v>1.87025</v>
      </c>
      <c r="EJ189">
        <v>1.87195</v>
      </c>
      <c r="EK189">
        <v>0</v>
      </c>
      <c r="EL189">
        <v>0</v>
      </c>
      <c r="EM189">
        <v>0</v>
      </c>
      <c r="EN189">
        <v>0</v>
      </c>
      <c r="EO189" t="s">
        <v>320</v>
      </c>
      <c r="EP189" t="s">
        <v>321</v>
      </c>
      <c r="EQ189" t="s">
        <v>322</v>
      </c>
      <c r="ER189" t="s">
        <v>322</v>
      </c>
      <c r="ES189" t="s">
        <v>322</v>
      </c>
      <c r="ET189" t="s">
        <v>322</v>
      </c>
      <c r="EU189">
        <v>0</v>
      </c>
      <c r="EV189">
        <v>100</v>
      </c>
      <c r="EW189">
        <v>100</v>
      </c>
      <c r="EX189">
        <v>6.9269999999999996</v>
      </c>
      <c r="EY189">
        <v>-1.9219999999999999</v>
      </c>
      <c r="EZ189">
        <v>6.9227276190476177</v>
      </c>
      <c r="FA189">
        <v>0</v>
      </c>
      <c r="FB189">
        <v>0</v>
      </c>
      <c r="FC189">
        <v>0</v>
      </c>
      <c r="FD189">
        <v>-1.9235</v>
      </c>
      <c r="FE189">
        <v>0</v>
      </c>
      <c r="FF189">
        <v>0</v>
      </c>
      <c r="FG189">
        <v>0</v>
      </c>
      <c r="FH189">
        <v>-1</v>
      </c>
      <c r="FI189">
        <v>-1</v>
      </c>
      <c r="FJ189">
        <v>-1</v>
      </c>
      <c r="FK189">
        <v>-1</v>
      </c>
      <c r="FL189">
        <v>0.7</v>
      </c>
      <c r="FM189">
        <v>0.6</v>
      </c>
      <c r="FN189">
        <v>0.13916000000000001</v>
      </c>
      <c r="FO189">
        <v>4.99756</v>
      </c>
      <c r="FP189">
        <v>1.5979000000000001</v>
      </c>
      <c r="FQ189">
        <v>2.1105999999999998</v>
      </c>
      <c r="FR189">
        <v>1.5478499999999999</v>
      </c>
      <c r="FS189">
        <v>2.51709</v>
      </c>
      <c r="FT189">
        <v>47.4816</v>
      </c>
      <c r="FU189">
        <v>14.78</v>
      </c>
      <c r="FV189">
        <v>2</v>
      </c>
      <c r="FW189">
        <v>506.68599999999998</v>
      </c>
      <c r="FX189">
        <v>346.29</v>
      </c>
      <c r="FY189">
        <v>32.496400000000001</v>
      </c>
      <c r="FZ189">
        <v>39.173900000000003</v>
      </c>
      <c r="GA189">
        <v>29.9999</v>
      </c>
      <c r="GB189">
        <v>39.381300000000003</v>
      </c>
      <c r="GC189">
        <v>39.411000000000001</v>
      </c>
      <c r="GD189">
        <v>-1</v>
      </c>
      <c r="GE189">
        <v>0</v>
      </c>
      <c r="GF189">
        <v>100</v>
      </c>
      <c r="GG189">
        <v>32.508000000000003</v>
      </c>
      <c r="GH189">
        <v>432.1</v>
      </c>
      <c r="GI189">
        <v>44.267099999999999</v>
      </c>
      <c r="GJ189">
        <v>100.71299999999999</v>
      </c>
      <c r="GK189">
        <v>95.195499999999996</v>
      </c>
    </row>
    <row r="190" spans="1:193" x14ac:dyDescent="0.35">
      <c r="A190">
        <v>174</v>
      </c>
      <c r="B190">
        <v>1775542407.5</v>
      </c>
      <c r="C190">
        <v>10381.400000095369</v>
      </c>
      <c r="D190" t="s">
        <v>839</v>
      </c>
      <c r="E190" t="s">
        <v>840</v>
      </c>
      <c r="F190">
        <v>60</v>
      </c>
      <c r="G190">
        <v>1775542399.5</v>
      </c>
      <c r="H190">
        <f t="shared" si="60"/>
        <v>2.3444915463858448E-3</v>
      </c>
      <c r="I190">
        <f t="shared" si="61"/>
        <v>2.3444915463858447</v>
      </c>
      <c r="J190">
        <f t="shared" si="62"/>
        <v>-2.3994390444449669</v>
      </c>
      <c r="K190">
        <f t="shared" si="63"/>
        <v>-6.407703225806455</v>
      </c>
      <c r="L190">
        <f t="shared" si="64"/>
        <v>69.070208885354759</v>
      </c>
      <c r="M190">
        <f t="shared" si="65"/>
        <v>6.9129195663673091</v>
      </c>
      <c r="N190">
        <f t="shared" si="66"/>
        <v>-0.64131754804269336</v>
      </c>
      <c r="O190">
        <f t="shared" si="67"/>
        <v>4.9795541487719822E-2</v>
      </c>
      <c r="P190">
        <f t="shared" si="68"/>
        <v>2.3877540083362359</v>
      </c>
      <c r="Q190">
        <f t="shared" si="69"/>
        <v>4.9225742560924927E-2</v>
      </c>
      <c r="R190">
        <f t="shared" si="70"/>
        <v>3.0816739917530544E-2</v>
      </c>
      <c r="S190">
        <f t="shared" si="71"/>
        <v>0.15889508209354841</v>
      </c>
      <c r="T190">
        <f t="shared" si="72"/>
        <v>32.460985592664358</v>
      </c>
      <c r="U190">
        <f t="shared" si="73"/>
        <v>33.310851612903221</v>
      </c>
      <c r="V190">
        <f t="shared" si="74"/>
        <v>5.1410213171985593</v>
      </c>
      <c r="W190">
        <f t="shared" si="75"/>
        <v>9.9619496934748284</v>
      </c>
      <c r="X190">
        <f t="shared" si="76"/>
        <v>0.50876121414917341</v>
      </c>
      <c r="Y190">
        <f t="shared" si="77"/>
        <v>5.1070446027489664</v>
      </c>
      <c r="Z190">
        <f t="shared" si="78"/>
        <v>4.6322601030493855</v>
      </c>
      <c r="AA190">
        <f t="shared" si="79"/>
        <v>-103.39207719561576</v>
      </c>
      <c r="AB190">
        <f t="shared" si="80"/>
        <v>-15.219457104079487</v>
      </c>
      <c r="AC190">
        <f t="shared" si="81"/>
        <v>-1.4633778742442389</v>
      </c>
      <c r="AD190">
        <f t="shared" si="82"/>
        <v>-119.91601709184593</v>
      </c>
      <c r="AE190">
        <v>5</v>
      </c>
      <c r="AF190">
        <v>1</v>
      </c>
      <c r="AG190">
        <f t="shared" si="83"/>
        <v>1</v>
      </c>
      <c r="AH190">
        <f t="shared" si="84"/>
        <v>0</v>
      </c>
      <c r="AI190">
        <f t="shared" si="85"/>
        <v>25001.09151181066</v>
      </c>
      <c r="AJ190">
        <f t="shared" si="86"/>
        <v>0.83147609677419376</v>
      </c>
      <c r="AK190">
        <f t="shared" si="87"/>
        <v>0.66518087741935505</v>
      </c>
      <c r="AL190">
        <f t="shared" si="88"/>
        <v>0.8</v>
      </c>
      <c r="AM190">
        <f t="shared" si="89"/>
        <v>0.19109999999999999</v>
      </c>
      <c r="AN190">
        <v>3</v>
      </c>
      <c r="AO190">
        <v>0.5</v>
      </c>
      <c r="AP190" t="s">
        <v>317</v>
      </c>
      <c r="AQ190">
        <v>2</v>
      </c>
      <c r="AR190">
        <v>1775542399.5</v>
      </c>
      <c r="AS190">
        <v>-6.407703225806455</v>
      </c>
      <c r="AT190">
        <v>-7.8564025806451596</v>
      </c>
      <c r="AU190">
        <v>5.0832709677419361</v>
      </c>
      <c r="AV190">
        <v>3.6837051612903231</v>
      </c>
      <c r="AW190">
        <v>-13.326703225806449</v>
      </c>
      <c r="AX190">
        <v>5.6057051612903228</v>
      </c>
      <c r="AY190">
        <v>499.99232258064518</v>
      </c>
      <c r="AZ190">
        <v>100.0385483870968</v>
      </c>
      <c r="BA190">
        <v>4.68528E-2</v>
      </c>
      <c r="BB190">
        <v>33.192622580645157</v>
      </c>
      <c r="BC190">
        <v>33.310851612903221</v>
      </c>
      <c r="BD190">
        <v>999.90000000000032</v>
      </c>
      <c r="BE190">
        <v>0</v>
      </c>
      <c r="BF190">
        <v>0</v>
      </c>
      <c r="BG190">
        <v>4997.3548387096771</v>
      </c>
      <c r="BH190">
        <v>0.83147609677419376</v>
      </c>
      <c r="BI190">
        <v>704.95870967741951</v>
      </c>
      <c r="BJ190">
        <v>1.456355483870968</v>
      </c>
      <c r="BK190">
        <v>-6.4237106451612886</v>
      </c>
      <c r="BL190">
        <v>-7.8965429032258054</v>
      </c>
      <c r="BM190">
        <v>-1.399575161290322</v>
      </c>
      <c r="BN190">
        <v>-7.8564025806451596</v>
      </c>
      <c r="BO190">
        <v>5.0832709677419361</v>
      </c>
      <c r="BP190">
        <v>0.36851154838709682</v>
      </c>
      <c r="BQ190">
        <v>0.5085231612903226</v>
      </c>
      <c r="BR190">
        <v>-6.8223477419354843</v>
      </c>
      <c r="BS190">
        <v>-2.5597470967741942</v>
      </c>
      <c r="BT190">
        <v>1775542438</v>
      </c>
      <c r="BU190" t="s">
        <v>841</v>
      </c>
      <c r="BV190">
        <v>1775542424.5</v>
      </c>
      <c r="BW190">
        <v>1775542438</v>
      </c>
      <c r="BX190">
        <v>175</v>
      </c>
      <c r="BY190">
        <v>-8.0000000000000002E-3</v>
      </c>
      <c r="BZ190">
        <v>0</v>
      </c>
      <c r="CA190">
        <v>6.9189999999999996</v>
      </c>
      <c r="CB190">
        <v>-1.9219999999999999</v>
      </c>
      <c r="CC190">
        <v>-8</v>
      </c>
      <c r="CD190">
        <v>5</v>
      </c>
      <c r="CE190">
        <v>0.19</v>
      </c>
      <c r="CF190">
        <v>0.06</v>
      </c>
      <c r="CG190">
        <v>-7.8019350819672137</v>
      </c>
      <c r="CH190">
        <v>-0.40039081967212348</v>
      </c>
      <c r="CI190">
        <v>6.7241062459861459E-2</v>
      </c>
      <c r="CJ190">
        <v>-1</v>
      </c>
      <c r="CK190">
        <v>500.25670491803282</v>
      </c>
      <c r="CL190">
        <v>-2.8579101004758738</v>
      </c>
      <c r="CM190">
        <v>0.94233717720865751</v>
      </c>
      <c r="CN190">
        <v>-1</v>
      </c>
      <c r="CO190">
        <v>0</v>
      </c>
      <c r="CP190">
        <v>0</v>
      </c>
      <c r="CQ190" t="s">
        <v>319</v>
      </c>
      <c r="CR190">
        <v>3.1694</v>
      </c>
      <c r="CS190">
        <v>2.6686399999999999</v>
      </c>
      <c r="CT190">
        <v>-3.8738000000000002E-3</v>
      </c>
      <c r="CU190">
        <v>-2.2732E-3</v>
      </c>
      <c r="CV190">
        <v>3.6402900000000002E-2</v>
      </c>
      <c r="CW190">
        <v>3.31995E-2</v>
      </c>
      <c r="CX190">
        <v>21289.4</v>
      </c>
      <c r="CY190">
        <v>21710.799999999999</v>
      </c>
      <c r="CZ190">
        <v>22744.7</v>
      </c>
      <c r="DA190">
        <v>22034.9</v>
      </c>
      <c r="DB190">
        <v>28291</v>
      </c>
      <c r="DC190">
        <v>25357.8</v>
      </c>
      <c r="DD190">
        <v>40035.300000000003</v>
      </c>
      <c r="DE190">
        <v>36463.4</v>
      </c>
      <c r="DF190">
        <v>1.99152</v>
      </c>
      <c r="DG190">
        <v>1.6015999999999999</v>
      </c>
      <c r="DH190">
        <v>-4.27663E-2</v>
      </c>
      <c r="DI190">
        <v>0</v>
      </c>
      <c r="DJ190">
        <v>34.0047</v>
      </c>
      <c r="DK190">
        <v>999.9</v>
      </c>
      <c r="DL190">
        <v>54</v>
      </c>
      <c r="DM190">
        <v>44.3</v>
      </c>
      <c r="DN190">
        <v>50.183500000000002</v>
      </c>
      <c r="DO190">
        <v>30.731200000000001</v>
      </c>
      <c r="DP190">
        <v>10.801299999999999</v>
      </c>
      <c r="DQ190">
        <v>1</v>
      </c>
      <c r="DR190">
        <v>0.986433</v>
      </c>
      <c r="DS190">
        <v>1.7700800000000001</v>
      </c>
      <c r="DT190">
        <v>20.350100000000001</v>
      </c>
      <c r="DU190">
        <v>5.2107000000000001</v>
      </c>
      <c r="DV190">
        <v>11.8591</v>
      </c>
      <c r="DW190">
        <v>4.96732</v>
      </c>
      <c r="DX190">
        <v>3.2930000000000001</v>
      </c>
      <c r="DY190">
        <v>894.7</v>
      </c>
      <c r="DZ190">
        <v>6</v>
      </c>
      <c r="EA190">
        <v>9999</v>
      </c>
      <c r="EB190">
        <v>118.6</v>
      </c>
      <c r="EC190">
        <v>4.9715999999999996</v>
      </c>
      <c r="ED190">
        <v>1.8721000000000001</v>
      </c>
      <c r="EE190">
        <v>1.8694999999999999</v>
      </c>
      <c r="EF190">
        <v>1.8717999999999999</v>
      </c>
      <c r="EG190">
        <v>1.8695299999999999</v>
      </c>
      <c r="EH190">
        <v>1.86839</v>
      </c>
      <c r="EI190">
        <v>1.8701700000000001</v>
      </c>
      <c r="EJ190">
        <v>1.8719399999999999</v>
      </c>
      <c r="EK190">
        <v>0</v>
      </c>
      <c r="EL190">
        <v>0</v>
      </c>
      <c r="EM190">
        <v>0</v>
      </c>
      <c r="EN190">
        <v>0</v>
      </c>
      <c r="EO190" t="s">
        <v>320</v>
      </c>
      <c r="EP190" t="s">
        <v>321</v>
      </c>
      <c r="EQ190" t="s">
        <v>322</v>
      </c>
      <c r="ER190" t="s">
        <v>322</v>
      </c>
      <c r="ES190" t="s">
        <v>322</v>
      </c>
      <c r="ET190" t="s">
        <v>322</v>
      </c>
      <c r="EU190">
        <v>0</v>
      </c>
      <c r="EV190">
        <v>100</v>
      </c>
      <c r="EW190">
        <v>100</v>
      </c>
      <c r="EX190">
        <v>6.9189999999999996</v>
      </c>
      <c r="EY190">
        <v>-1.9219999999999999</v>
      </c>
      <c r="EZ190">
        <v>6.9266599999999956</v>
      </c>
      <c r="FA190">
        <v>0</v>
      </c>
      <c r="FB190">
        <v>0</v>
      </c>
      <c r="FC190">
        <v>0</v>
      </c>
      <c r="FD190">
        <v>-1.922009500000001</v>
      </c>
      <c r="FE190">
        <v>0</v>
      </c>
      <c r="FF190">
        <v>0</v>
      </c>
      <c r="FG190">
        <v>0</v>
      </c>
      <c r="FH190">
        <v>-1</v>
      </c>
      <c r="FI190">
        <v>-1</v>
      </c>
      <c r="FJ190">
        <v>-1</v>
      </c>
      <c r="FK190">
        <v>-1</v>
      </c>
      <c r="FL190">
        <v>0.7</v>
      </c>
      <c r="FM190">
        <v>0.6</v>
      </c>
      <c r="FN190">
        <v>0.14038100000000001</v>
      </c>
      <c r="FO190">
        <v>4.99756</v>
      </c>
      <c r="FP190">
        <v>1.5979000000000001</v>
      </c>
      <c r="FQ190">
        <v>2.1105999999999998</v>
      </c>
      <c r="FR190">
        <v>1.5478499999999999</v>
      </c>
      <c r="FS190">
        <v>2.50732</v>
      </c>
      <c r="FT190">
        <v>47.3917</v>
      </c>
      <c r="FU190">
        <v>14.7712</v>
      </c>
      <c r="FV190">
        <v>2</v>
      </c>
      <c r="FW190">
        <v>506.93200000000002</v>
      </c>
      <c r="FX190">
        <v>346.67099999999999</v>
      </c>
      <c r="FY190">
        <v>32.579900000000002</v>
      </c>
      <c r="FZ190">
        <v>39.147100000000002</v>
      </c>
      <c r="GA190">
        <v>29.9998</v>
      </c>
      <c r="GB190">
        <v>39.360700000000001</v>
      </c>
      <c r="GC190">
        <v>39.391500000000001</v>
      </c>
      <c r="GD190">
        <v>-1</v>
      </c>
      <c r="GE190">
        <v>0</v>
      </c>
      <c r="GF190">
        <v>100</v>
      </c>
      <c r="GG190">
        <v>32.584299999999999</v>
      </c>
      <c r="GH190">
        <v>432.1</v>
      </c>
      <c r="GI190">
        <v>44.267099999999999</v>
      </c>
      <c r="GJ190">
        <v>100.718</v>
      </c>
      <c r="GK190">
        <v>95.199600000000004</v>
      </c>
    </row>
    <row r="191" spans="1:193" x14ac:dyDescent="0.35">
      <c r="A191">
        <v>175</v>
      </c>
      <c r="B191">
        <v>1775542467.5</v>
      </c>
      <c r="C191">
        <v>10441.400000095369</v>
      </c>
      <c r="D191" t="s">
        <v>842</v>
      </c>
      <c r="E191" t="s">
        <v>843</v>
      </c>
      <c r="F191">
        <v>60</v>
      </c>
      <c r="G191">
        <v>1775542459.75</v>
      </c>
      <c r="H191">
        <f t="shared" si="60"/>
        <v>2.2953509776334324E-3</v>
      </c>
      <c r="I191">
        <f t="shared" si="61"/>
        <v>2.2953509776334324</v>
      </c>
      <c r="J191">
        <f t="shared" si="62"/>
        <v>-2.4740748242484898</v>
      </c>
      <c r="K191">
        <f t="shared" si="63"/>
        <v>-6.0122966666666704</v>
      </c>
      <c r="L191">
        <f t="shared" si="64"/>
        <v>73.370963676102789</v>
      </c>
      <c r="M191">
        <f t="shared" si="65"/>
        <v>7.3433433514610886</v>
      </c>
      <c r="N191">
        <f t="shared" si="66"/>
        <v>-0.60174156835503445</v>
      </c>
      <c r="O191">
        <f t="shared" si="67"/>
        <v>4.8776180120575004E-2</v>
      </c>
      <c r="P191">
        <f t="shared" si="68"/>
        <v>2.3911985371051721</v>
      </c>
      <c r="Q191">
        <f t="shared" si="69"/>
        <v>4.8230111095203899E-2</v>
      </c>
      <c r="R191">
        <f t="shared" si="70"/>
        <v>3.019237207962195E-2</v>
      </c>
      <c r="S191">
        <f t="shared" si="71"/>
        <v>0.15466706527999996</v>
      </c>
      <c r="T191">
        <f t="shared" si="72"/>
        <v>32.461820470557051</v>
      </c>
      <c r="U191">
        <f t="shared" si="73"/>
        <v>33.279783333333327</v>
      </c>
      <c r="V191">
        <f t="shared" si="74"/>
        <v>5.1320739082491125</v>
      </c>
      <c r="W191">
        <f t="shared" si="75"/>
        <v>9.8566103514244503</v>
      </c>
      <c r="X191">
        <f t="shared" si="76"/>
        <v>0.5029459562387838</v>
      </c>
      <c r="Y191">
        <f t="shared" si="77"/>
        <v>5.1026259363707061</v>
      </c>
      <c r="Z191">
        <f t="shared" si="78"/>
        <v>4.6291279520103288</v>
      </c>
      <c r="AA191">
        <f t="shared" si="79"/>
        <v>-101.22497811363436</v>
      </c>
      <c r="AB191">
        <f t="shared" si="80"/>
        <v>-13.224887864351079</v>
      </c>
      <c r="AC191">
        <f t="shared" si="81"/>
        <v>-1.2694756077312599</v>
      </c>
      <c r="AD191">
        <f t="shared" si="82"/>
        <v>-115.5646745204367</v>
      </c>
      <c r="AE191">
        <v>5</v>
      </c>
      <c r="AF191">
        <v>1</v>
      </c>
      <c r="AG191">
        <f t="shared" si="83"/>
        <v>1</v>
      </c>
      <c r="AH191">
        <f t="shared" si="84"/>
        <v>0</v>
      </c>
      <c r="AI191">
        <f t="shared" si="85"/>
        <v>25053.785829280368</v>
      </c>
      <c r="AJ191">
        <f t="shared" si="86"/>
        <v>0.80935146666666646</v>
      </c>
      <c r="AK191">
        <f t="shared" si="87"/>
        <v>0.64748117333333322</v>
      </c>
      <c r="AL191">
        <f t="shared" si="88"/>
        <v>0.8</v>
      </c>
      <c r="AM191">
        <f t="shared" si="89"/>
        <v>0.19109999999999999</v>
      </c>
      <c r="AN191">
        <v>3</v>
      </c>
      <c r="AO191">
        <v>0.5</v>
      </c>
      <c r="AP191" t="s">
        <v>317</v>
      </c>
      <c r="AQ191">
        <v>2</v>
      </c>
      <c r="AR191">
        <v>1775542459.75</v>
      </c>
      <c r="AS191">
        <v>-6.0122966666666704</v>
      </c>
      <c r="AT191">
        <v>-7.504986333333334</v>
      </c>
      <c r="AU191">
        <v>5.0251809999999999</v>
      </c>
      <c r="AV191">
        <v>3.654923666666666</v>
      </c>
      <c r="AW191">
        <v>-12.90929666666667</v>
      </c>
      <c r="AX191">
        <v>5.5679236666666663</v>
      </c>
      <c r="AY191">
        <v>500.01186666666678</v>
      </c>
      <c r="AZ191">
        <v>100.0361666666666</v>
      </c>
      <c r="BA191">
        <v>4.897578666666666E-2</v>
      </c>
      <c r="BB191">
        <v>33.177196666666667</v>
      </c>
      <c r="BC191">
        <v>33.279783333333327</v>
      </c>
      <c r="BD191">
        <v>999.9000000000002</v>
      </c>
      <c r="BE191">
        <v>0</v>
      </c>
      <c r="BF191">
        <v>0</v>
      </c>
      <c r="BG191">
        <v>5006.3500000000004</v>
      </c>
      <c r="BH191">
        <v>0.80935146666666646</v>
      </c>
      <c r="BI191">
        <v>656.25926666666646</v>
      </c>
      <c r="BJ191">
        <v>1.5144936666666671</v>
      </c>
      <c r="BK191">
        <v>-6.0124126666666662</v>
      </c>
      <c r="BL191">
        <v>-7.5428896666666674</v>
      </c>
      <c r="BM191">
        <v>-1.3794280000000001</v>
      </c>
      <c r="BN191">
        <v>-7.504986333333334</v>
      </c>
      <c r="BO191">
        <v>5.0251809999999999</v>
      </c>
      <c r="BP191">
        <v>0.36470740000000013</v>
      </c>
      <c r="BQ191">
        <v>0.50270009999999987</v>
      </c>
      <c r="BR191">
        <v>-6.9571620000000003</v>
      </c>
      <c r="BS191">
        <v>-2.714906333333333</v>
      </c>
      <c r="BT191">
        <v>1775542488.5</v>
      </c>
      <c r="BU191" t="s">
        <v>844</v>
      </c>
      <c r="BV191">
        <v>1775542485.5</v>
      </c>
      <c r="BW191">
        <v>1775542488.5</v>
      </c>
      <c r="BX191">
        <v>176</v>
      </c>
      <c r="BY191">
        <v>-2.1999999999999999E-2</v>
      </c>
      <c r="BZ191">
        <v>8.9999999999999993E-3</v>
      </c>
      <c r="CA191">
        <v>6.8970000000000002</v>
      </c>
      <c r="CB191">
        <v>-1.913</v>
      </c>
      <c r="CC191">
        <v>-7</v>
      </c>
      <c r="CD191">
        <v>5</v>
      </c>
      <c r="CE191">
        <v>0.31</v>
      </c>
      <c r="CF191">
        <v>0.06</v>
      </c>
      <c r="CG191">
        <v>-7.4020633333333334</v>
      </c>
      <c r="CH191">
        <v>-0.75425958321755471</v>
      </c>
      <c r="CI191">
        <v>0.14309220736605091</v>
      </c>
      <c r="CJ191">
        <v>-1</v>
      </c>
      <c r="CK191">
        <v>500.96244999999999</v>
      </c>
      <c r="CL191">
        <v>-7.2941228118914454</v>
      </c>
      <c r="CM191">
        <v>1.875042456630426</v>
      </c>
      <c r="CN191">
        <v>-1</v>
      </c>
      <c r="CO191">
        <v>0</v>
      </c>
      <c r="CP191">
        <v>0</v>
      </c>
      <c r="CQ191" t="s">
        <v>319</v>
      </c>
      <c r="CR191">
        <v>3.1694</v>
      </c>
      <c r="CS191">
        <v>2.6693600000000002</v>
      </c>
      <c r="CT191">
        <v>-3.77626E-3</v>
      </c>
      <c r="CU191">
        <v>-2.2464899999999999E-3</v>
      </c>
      <c r="CV191">
        <v>3.62134E-2</v>
      </c>
      <c r="CW191">
        <v>3.2795499999999998E-2</v>
      </c>
      <c r="CX191">
        <v>21288.6</v>
      </c>
      <c r="CY191">
        <v>21711.9</v>
      </c>
      <c r="CZ191">
        <v>22745.9</v>
      </c>
      <c r="DA191">
        <v>22036.400000000001</v>
      </c>
      <c r="DB191">
        <v>28298.1</v>
      </c>
      <c r="DC191">
        <v>25370.3</v>
      </c>
      <c r="DD191">
        <v>40037.300000000003</v>
      </c>
      <c r="DE191">
        <v>36466.1</v>
      </c>
      <c r="DF191">
        <v>1.9916199999999999</v>
      </c>
      <c r="DG191">
        <v>1.60328</v>
      </c>
      <c r="DH191">
        <v>-4.1949699999999999E-2</v>
      </c>
      <c r="DI191">
        <v>0</v>
      </c>
      <c r="DJ191">
        <v>33.948900000000002</v>
      </c>
      <c r="DK191">
        <v>999.9</v>
      </c>
      <c r="DL191">
        <v>54.1</v>
      </c>
      <c r="DM191">
        <v>44.2</v>
      </c>
      <c r="DN191">
        <v>50.008899999999997</v>
      </c>
      <c r="DO191">
        <v>30.641200000000001</v>
      </c>
      <c r="DP191">
        <v>10.609</v>
      </c>
      <c r="DQ191">
        <v>1</v>
      </c>
      <c r="DR191">
        <v>0.982321</v>
      </c>
      <c r="DS191">
        <v>1.6918599999999999</v>
      </c>
      <c r="DT191">
        <v>20.351400000000002</v>
      </c>
      <c r="DU191">
        <v>5.2102199999999996</v>
      </c>
      <c r="DV191">
        <v>11.8558</v>
      </c>
      <c r="DW191">
        <v>4.9676</v>
      </c>
      <c r="DX191">
        <v>3.2930000000000001</v>
      </c>
      <c r="DY191">
        <v>894.7</v>
      </c>
      <c r="DZ191">
        <v>6</v>
      </c>
      <c r="EA191">
        <v>9999</v>
      </c>
      <c r="EB191">
        <v>118.6</v>
      </c>
      <c r="EC191">
        <v>4.9715999999999996</v>
      </c>
      <c r="ED191">
        <v>1.8721000000000001</v>
      </c>
      <c r="EE191">
        <v>1.86947</v>
      </c>
      <c r="EF191">
        <v>1.8717999999999999</v>
      </c>
      <c r="EG191">
        <v>1.86951</v>
      </c>
      <c r="EH191">
        <v>1.86836</v>
      </c>
      <c r="EI191">
        <v>1.87015</v>
      </c>
      <c r="EJ191">
        <v>1.8719399999999999</v>
      </c>
      <c r="EK191">
        <v>0</v>
      </c>
      <c r="EL191">
        <v>0</v>
      </c>
      <c r="EM191">
        <v>0</v>
      </c>
      <c r="EN191">
        <v>0</v>
      </c>
      <c r="EO191" t="s">
        <v>320</v>
      </c>
      <c r="EP191" t="s">
        <v>321</v>
      </c>
      <c r="EQ191" t="s">
        <v>322</v>
      </c>
      <c r="ER191" t="s">
        <v>322</v>
      </c>
      <c r="ES191" t="s">
        <v>322</v>
      </c>
      <c r="ET191" t="s">
        <v>322</v>
      </c>
      <c r="EU191">
        <v>0</v>
      </c>
      <c r="EV191">
        <v>100</v>
      </c>
      <c r="EW191">
        <v>100</v>
      </c>
      <c r="EX191">
        <v>6.8970000000000002</v>
      </c>
      <c r="EY191">
        <v>-1.913</v>
      </c>
      <c r="EZ191">
        <v>6.9188010000000002</v>
      </c>
      <c r="FA191">
        <v>0</v>
      </c>
      <c r="FB191">
        <v>0</v>
      </c>
      <c r="FC191">
        <v>0</v>
      </c>
      <c r="FD191">
        <v>-1.922169999999999</v>
      </c>
      <c r="FE191">
        <v>0</v>
      </c>
      <c r="FF191">
        <v>0</v>
      </c>
      <c r="FG191">
        <v>0</v>
      </c>
      <c r="FH191">
        <v>-1</v>
      </c>
      <c r="FI191">
        <v>-1</v>
      </c>
      <c r="FJ191">
        <v>-1</v>
      </c>
      <c r="FK191">
        <v>-1</v>
      </c>
      <c r="FL191">
        <v>0.7</v>
      </c>
      <c r="FM191">
        <v>0.5</v>
      </c>
      <c r="FN191">
        <v>0.13916000000000001</v>
      </c>
      <c r="FO191">
        <v>4.99756</v>
      </c>
      <c r="FP191">
        <v>1.5979000000000001</v>
      </c>
      <c r="FQ191">
        <v>2.1105999999999998</v>
      </c>
      <c r="FR191">
        <v>1.5478499999999999</v>
      </c>
      <c r="FS191">
        <v>2.4633799999999999</v>
      </c>
      <c r="FT191">
        <v>47.271999999999998</v>
      </c>
      <c r="FU191">
        <v>14.762499999999999</v>
      </c>
      <c r="FV191">
        <v>2</v>
      </c>
      <c r="FW191">
        <v>506.77499999999998</v>
      </c>
      <c r="FX191">
        <v>347.42700000000002</v>
      </c>
      <c r="FY191">
        <v>32.561399999999999</v>
      </c>
      <c r="FZ191">
        <v>39.104500000000002</v>
      </c>
      <c r="GA191">
        <v>29.999500000000001</v>
      </c>
      <c r="GB191">
        <v>39.328200000000002</v>
      </c>
      <c r="GC191">
        <v>39.359900000000003</v>
      </c>
      <c r="GD191">
        <v>-1</v>
      </c>
      <c r="GE191">
        <v>0</v>
      </c>
      <c r="GF191">
        <v>100</v>
      </c>
      <c r="GG191">
        <v>32.5884</v>
      </c>
      <c r="GH191">
        <v>432.1</v>
      </c>
      <c r="GI191">
        <v>44.267099999999999</v>
      </c>
      <c r="GJ191">
        <v>100.723</v>
      </c>
      <c r="GK191">
        <v>95.206599999999995</v>
      </c>
    </row>
    <row r="192" spans="1:193" x14ac:dyDescent="0.35">
      <c r="A192">
        <v>176</v>
      </c>
      <c r="B192">
        <v>1775542527.5</v>
      </c>
      <c r="C192">
        <v>10501.400000095369</v>
      </c>
      <c r="D192" t="s">
        <v>845</v>
      </c>
      <c r="E192" t="s">
        <v>846</v>
      </c>
      <c r="F192">
        <v>60</v>
      </c>
      <c r="G192">
        <v>1775542519.5</v>
      </c>
      <c r="H192">
        <f t="shared" si="60"/>
        <v>1.6332462949664257E-3</v>
      </c>
      <c r="I192">
        <f t="shared" si="61"/>
        <v>1.6332462949664257</v>
      </c>
      <c r="J192">
        <f t="shared" si="62"/>
        <v>-1.8743925553175727</v>
      </c>
      <c r="K192">
        <f t="shared" si="63"/>
        <v>-6.1529806451612892</v>
      </c>
      <c r="L192">
        <f t="shared" si="64"/>
        <v>78.547481461564161</v>
      </c>
      <c r="M192">
        <f t="shared" si="65"/>
        <v>7.8616674908425095</v>
      </c>
      <c r="N192">
        <f t="shared" si="66"/>
        <v>-0.61584008818306935</v>
      </c>
      <c r="O192">
        <f t="shared" si="67"/>
        <v>3.4526189476963669E-2</v>
      </c>
      <c r="P192">
        <f t="shared" si="68"/>
        <v>2.3901953028685918</v>
      </c>
      <c r="Q192">
        <f t="shared" si="69"/>
        <v>3.4251497989823722E-2</v>
      </c>
      <c r="R192">
        <f t="shared" si="70"/>
        <v>2.1431683901713541E-2</v>
      </c>
      <c r="S192">
        <f t="shared" si="71"/>
        <v>0.14787954794516131</v>
      </c>
      <c r="T192">
        <f t="shared" si="72"/>
        <v>32.661789418045927</v>
      </c>
      <c r="U192">
        <f t="shared" si="73"/>
        <v>33.299674193548377</v>
      </c>
      <c r="V192">
        <f t="shared" si="74"/>
        <v>5.1378007507752201</v>
      </c>
      <c r="W192">
        <f t="shared" si="75"/>
        <v>9.7948489882552785</v>
      </c>
      <c r="X192">
        <f t="shared" si="76"/>
        <v>0.49961350253844689</v>
      </c>
      <c r="Y192">
        <f t="shared" si="77"/>
        <v>5.1007780021674565</v>
      </c>
      <c r="Z192">
        <f t="shared" si="78"/>
        <v>4.6381872482367736</v>
      </c>
      <c r="AA192">
        <f t="shared" si="79"/>
        <v>-72.026161608019379</v>
      </c>
      <c r="AB192">
        <f t="shared" si="80"/>
        <v>-16.614237742727632</v>
      </c>
      <c r="AC192">
        <f t="shared" si="81"/>
        <v>-1.5955985033235878</v>
      </c>
      <c r="AD192">
        <f t="shared" si="82"/>
        <v>-90.088118306125438</v>
      </c>
      <c r="AE192">
        <v>5</v>
      </c>
      <c r="AF192">
        <v>1</v>
      </c>
      <c r="AG192">
        <f t="shared" si="83"/>
        <v>1</v>
      </c>
      <c r="AH192">
        <f t="shared" si="84"/>
        <v>0</v>
      </c>
      <c r="AI192">
        <f t="shared" si="85"/>
        <v>25039.153003930987</v>
      </c>
      <c r="AJ192">
        <f t="shared" si="86"/>
        <v>0.7738333225806453</v>
      </c>
      <c r="AK192">
        <f t="shared" si="87"/>
        <v>0.61906665806451633</v>
      </c>
      <c r="AL192">
        <f t="shared" si="88"/>
        <v>0.8</v>
      </c>
      <c r="AM192">
        <f t="shared" si="89"/>
        <v>0.19109999999999999</v>
      </c>
      <c r="AN192">
        <v>3</v>
      </c>
      <c r="AO192">
        <v>0.5</v>
      </c>
      <c r="AP192" t="s">
        <v>317</v>
      </c>
      <c r="AQ192">
        <v>2</v>
      </c>
      <c r="AR192">
        <v>1775542519.5</v>
      </c>
      <c r="AS192">
        <v>-6.1529806451612892</v>
      </c>
      <c r="AT192">
        <v>-7.2836929032258073</v>
      </c>
      <c r="AU192">
        <v>4.9917377419354843</v>
      </c>
      <c r="AV192">
        <v>4.0166409677419352</v>
      </c>
      <c r="AW192">
        <v>-13.085980645161291</v>
      </c>
      <c r="AX192">
        <v>5.9296409677419346</v>
      </c>
      <c r="AY192">
        <v>499.97916129032262</v>
      </c>
      <c r="AZ192">
        <v>100.0414516129032</v>
      </c>
      <c r="BA192">
        <v>4.6639622580645163E-2</v>
      </c>
      <c r="BB192">
        <v>33.170741935483868</v>
      </c>
      <c r="BC192">
        <v>33.299674193548377</v>
      </c>
      <c r="BD192">
        <v>999.90000000000032</v>
      </c>
      <c r="BE192">
        <v>0</v>
      </c>
      <c r="BF192">
        <v>0</v>
      </c>
      <c r="BG192">
        <v>5003.5</v>
      </c>
      <c r="BH192">
        <v>0.7738333225806453</v>
      </c>
      <c r="BI192">
        <v>608.42767741935472</v>
      </c>
      <c r="BJ192">
        <v>1.094978612903226</v>
      </c>
      <c r="BK192">
        <v>-6.2136700000000014</v>
      </c>
      <c r="BL192">
        <v>-7.3202319354838714</v>
      </c>
      <c r="BM192">
        <v>-0.97512293548387097</v>
      </c>
      <c r="BN192">
        <v>-7.2836929032258073</v>
      </c>
      <c r="BO192">
        <v>4.9917377419354843</v>
      </c>
      <c r="BP192">
        <v>0.40182741935483862</v>
      </c>
      <c r="BQ192">
        <v>0.49938009677419359</v>
      </c>
      <c r="BR192">
        <v>-5.6921351612903219</v>
      </c>
      <c r="BS192">
        <v>-2.8040167741935478</v>
      </c>
      <c r="BT192">
        <v>1775542552</v>
      </c>
      <c r="BU192" t="s">
        <v>847</v>
      </c>
      <c r="BV192">
        <v>1775542551.5</v>
      </c>
      <c r="BW192">
        <v>1775542552</v>
      </c>
      <c r="BX192">
        <v>177</v>
      </c>
      <c r="BY192">
        <v>3.5999999999999997E-2</v>
      </c>
      <c r="BZ192">
        <v>1E-3</v>
      </c>
      <c r="CA192">
        <v>6.9329999999999998</v>
      </c>
      <c r="CB192">
        <v>-1.913</v>
      </c>
      <c r="CC192">
        <v>-7</v>
      </c>
      <c r="CD192">
        <v>5</v>
      </c>
      <c r="CE192">
        <v>0.25</v>
      </c>
      <c r="CF192">
        <v>0.1</v>
      </c>
      <c r="CG192">
        <v>-7.3685536666666671</v>
      </c>
      <c r="CH192">
        <v>0.47632951375380189</v>
      </c>
      <c r="CI192">
        <v>0.1416202227787009</v>
      </c>
      <c r="CJ192">
        <v>-1</v>
      </c>
      <c r="CK192">
        <v>500.00799999999992</v>
      </c>
      <c r="CL192">
        <v>-0.30785884967961918</v>
      </c>
      <c r="CM192">
        <v>9.6384646080171443E-2</v>
      </c>
      <c r="CN192">
        <v>-1</v>
      </c>
      <c r="CO192">
        <v>0</v>
      </c>
      <c r="CP192">
        <v>0</v>
      </c>
      <c r="CQ192" t="s">
        <v>319</v>
      </c>
      <c r="CR192">
        <v>3.16947</v>
      </c>
      <c r="CS192">
        <v>2.6688200000000002</v>
      </c>
      <c r="CT192">
        <v>-3.7661299999999999E-3</v>
      </c>
      <c r="CU192">
        <v>-2.0523799999999999E-3</v>
      </c>
      <c r="CV192">
        <v>3.8382800000000002E-2</v>
      </c>
      <c r="CW192">
        <v>3.2666100000000003E-2</v>
      </c>
      <c r="CX192">
        <v>21291.7</v>
      </c>
      <c r="CY192">
        <v>21711</v>
      </c>
      <c r="CZ192">
        <v>22749.200000000001</v>
      </c>
      <c r="DA192">
        <v>22039.5</v>
      </c>
      <c r="DB192">
        <v>28238.1</v>
      </c>
      <c r="DC192">
        <v>25377.599999999999</v>
      </c>
      <c r="DD192">
        <v>40042.400000000001</v>
      </c>
      <c r="DE192">
        <v>36471.5</v>
      </c>
      <c r="DF192">
        <v>1.99342</v>
      </c>
      <c r="DG192">
        <v>1.60388</v>
      </c>
      <c r="DH192">
        <v>-3.0005E-2</v>
      </c>
      <c r="DI192">
        <v>0</v>
      </c>
      <c r="DJ192">
        <v>33.802799999999998</v>
      </c>
      <c r="DK192">
        <v>999.9</v>
      </c>
      <c r="DL192">
        <v>54.2</v>
      </c>
      <c r="DM192">
        <v>44.1</v>
      </c>
      <c r="DN192">
        <v>49.8446</v>
      </c>
      <c r="DO192">
        <v>30.6112</v>
      </c>
      <c r="DP192">
        <v>10.492800000000001</v>
      </c>
      <c r="DQ192">
        <v>1</v>
      </c>
      <c r="DR192">
        <v>0.97256500000000001</v>
      </c>
      <c r="DS192">
        <v>1.27094</v>
      </c>
      <c r="DT192">
        <v>20.356200000000001</v>
      </c>
      <c r="DU192">
        <v>5.2111799999999997</v>
      </c>
      <c r="DV192">
        <v>11.854799999999999</v>
      </c>
      <c r="DW192">
        <v>4.9666800000000002</v>
      </c>
      <c r="DX192">
        <v>3.2930000000000001</v>
      </c>
      <c r="DY192">
        <v>894.7</v>
      </c>
      <c r="DZ192">
        <v>6</v>
      </c>
      <c r="EA192">
        <v>9999</v>
      </c>
      <c r="EB192">
        <v>118.7</v>
      </c>
      <c r="EC192">
        <v>4.9716100000000001</v>
      </c>
      <c r="ED192">
        <v>1.8721000000000001</v>
      </c>
      <c r="EE192">
        <v>1.8694599999999999</v>
      </c>
      <c r="EF192">
        <v>1.8717999999999999</v>
      </c>
      <c r="EG192">
        <v>1.8695200000000001</v>
      </c>
      <c r="EH192">
        <v>1.86836</v>
      </c>
      <c r="EI192">
        <v>1.87016</v>
      </c>
      <c r="EJ192">
        <v>1.8719399999999999</v>
      </c>
      <c r="EK192">
        <v>0</v>
      </c>
      <c r="EL192">
        <v>0</v>
      </c>
      <c r="EM192">
        <v>0</v>
      </c>
      <c r="EN192">
        <v>0</v>
      </c>
      <c r="EO192" t="s">
        <v>320</v>
      </c>
      <c r="EP192" t="s">
        <v>321</v>
      </c>
      <c r="EQ192" t="s">
        <v>322</v>
      </c>
      <c r="ER192" t="s">
        <v>322</v>
      </c>
      <c r="ES192" t="s">
        <v>322</v>
      </c>
      <c r="ET192" t="s">
        <v>322</v>
      </c>
      <c r="EU192">
        <v>0</v>
      </c>
      <c r="EV192">
        <v>100</v>
      </c>
      <c r="EW192">
        <v>100</v>
      </c>
      <c r="EX192">
        <v>6.9329999999999998</v>
      </c>
      <c r="EY192">
        <v>-1.913</v>
      </c>
      <c r="EZ192">
        <v>6.8972680000000013</v>
      </c>
      <c r="FA192">
        <v>0</v>
      </c>
      <c r="FB192">
        <v>0</v>
      </c>
      <c r="FC192">
        <v>0</v>
      </c>
      <c r="FD192">
        <v>-1.913025999999999</v>
      </c>
      <c r="FE192">
        <v>0</v>
      </c>
      <c r="FF192">
        <v>0</v>
      </c>
      <c r="FG192">
        <v>0</v>
      </c>
      <c r="FH192">
        <v>-1</v>
      </c>
      <c r="FI192">
        <v>-1</v>
      </c>
      <c r="FJ192">
        <v>-1</v>
      </c>
      <c r="FK192">
        <v>-1</v>
      </c>
      <c r="FL192">
        <v>0.7</v>
      </c>
      <c r="FM192">
        <v>0.7</v>
      </c>
      <c r="FN192">
        <v>0.13916000000000001</v>
      </c>
      <c r="FO192">
        <v>4.99756</v>
      </c>
      <c r="FP192">
        <v>1.5979000000000001</v>
      </c>
      <c r="FQ192">
        <v>2.1105999999999998</v>
      </c>
      <c r="FR192">
        <v>1.5478499999999999</v>
      </c>
      <c r="FS192">
        <v>2.4084500000000002</v>
      </c>
      <c r="FT192">
        <v>47.152700000000003</v>
      </c>
      <c r="FU192">
        <v>14.7537</v>
      </c>
      <c r="FV192">
        <v>2</v>
      </c>
      <c r="FW192">
        <v>507.447</v>
      </c>
      <c r="FX192">
        <v>347.44200000000001</v>
      </c>
      <c r="FY192">
        <v>32.902500000000003</v>
      </c>
      <c r="FZ192">
        <v>39.0169</v>
      </c>
      <c r="GA192">
        <v>29.999300000000002</v>
      </c>
      <c r="GB192">
        <v>39.262599999999999</v>
      </c>
      <c r="GC192">
        <v>39.293999999999997</v>
      </c>
      <c r="GD192">
        <v>-1</v>
      </c>
      <c r="GE192">
        <v>0</v>
      </c>
      <c r="GF192">
        <v>100</v>
      </c>
      <c r="GG192">
        <v>32.918199999999999</v>
      </c>
      <c r="GH192">
        <v>432.1</v>
      </c>
      <c r="GI192">
        <v>44.267099999999999</v>
      </c>
      <c r="GJ192">
        <v>100.73699999999999</v>
      </c>
      <c r="GK192">
        <v>95.220399999999998</v>
      </c>
    </row>
    <row r="193" spans="1:193" x14ac:dyDescent="0.35">
      <c r="A193">
        <v>177</v>
      </c>
      <c r="B193">
        <v>1775542587.5</v>
      </c>
      <c r="C193">
        <v>10561.400000095369</v>
      </c>
      <c r="D193" t="s">
        <v>848</v>
      </c>
      <c r="E193" t="s">
        <v>849</v>
      </c>
      <c r="F193">
        <v>60</v>
      </c>
      <c r="G193">
        <v>1775542579.75</v>
      </c>
      <c r="H193">
        <f t="shared" si="60"/>
        <v>1.7669053123991472E-3</v>
      </c>
      <c r="I193">
        <f t="shared" si="61"/>
        <v>1.7669053123991472</v>
      </c>
      <c r="J193">
        <f t="shared" si="62"/>
        <v>-2.0409144577006519</v>
      </c>
      <c r="K193">
        <f t="shared" si="63"/>
        <v>-5.5102066666666687</v>
      </c>
      <c r="L193">
        <f t="shared" si="64"/>
        <v>79.588523466617019</v>
      </c>
      <c r="M193">
        <f t="shared" si="65"/>
        <v>7.9658687825472576</v>
      </c>
      <c r="N193">
        <f t="shared" si="66"/>
        <v>-0.55150644037007079</v>
      </c>
      <c r="O193">
        <f t="shared" si="67"/>
        <v>3.7418975900223493E-2</v>
      </c>
      <c r="P193">
        <f t="shared" si="68"/>
        <v>2.3870239092317811</v>
      </c>
      <c r="Q193">
        <f t="shared" si="69"/>
        <v>3.7096133416488708E-2</v>
      </c>
      <c r="R193">
        <f t="shared" si="70"/>
        <v>2.3213857232216202E-2</v>
      </c>
      <c r="S193">
        <f t="shared" si="71"/>
        <v>0.14724634015000002</v>
      </c>
      <c r="T193">
        <f t="shared" si="72"/>
        <v>32.621783430895825</v>
      </c>
      <c r="U193">
        <f t="shared" si="73"/>
        <v>33.274836666666673</v>
      </c>
      <c r="V193">
        <f t="shared" si="74"/>
        <v>5.1306505598365533</v>
      </c>
      <c r="W193">
        <f t="shared" si="75"/>
        <v>9.7509501723231118</v>
      </c>
      <c r="X193">
        <f t="shared" si="76"/>
        <v>0.49744135250438448</v>
      </c>
      <c r="Y193">
        <f t="shared" si="77"/>
        <v>5.1014654337616383</v>
      </c>
      <c r="Z193">
        <f t="shared" si="78"/>
        <v>4.6332092073321691</v>
      </c>
      <c r="AA193">
        <f t="shared" si="79"/>
        <v>-77.920524276802396</v>
      </c>
      <c r="AB193">
        <f t="shared" si="80"/>
        <v>-13.086837067320628</v>
      </c>
      <c r="AC193">
        <f t="shared" si="81"/>
        <v>-1.2583654302813303</v>
      </c>
      <c r="AD193">
        <f t="shared" si="82"/>
        <v>-92.118480434254352</v>
      </c>
      <c r="AE193">
        <v>5</v>
      </c>
      <c r="AF193">
        <v>1</v>
      </c>
      <c r="AG193">
        <f t="shared" si="83"/>
        <v>1</v>
      </c>
      <c r="AH193">
        <f t="shared" si="84"/>
        <v>0</v>
      </c>
      <c r="AI193">
        <f t="shared" si="85"/>
        <v>24991.677722123302</v>
      </c>
      <c r="AJ193">
        <f t="shared" si="86"/>
        <v>0.7705198333333334</v>
      </c>
      <c r="AK193">
        <f t="shared" si="87"/>
        <v>0.61641586666666681</v>
      </c>
      <c r="AL193">
        <f t="shared" si="88"/>
        <v>0.8</v>
      </c>
      <c r="AM193">
        <f t="shared" si="89"/>
        <v>0.19109999999999999</v>
      </c>
      <c r="AN193">
        <v>3</v>
      </c>
      <c r="AO193">
        <v>0.5</v>
      </c>
      <c r="AP193" t="s">
        <v>317</v>
      </c>
      <c r="AQ193">
        <v>2</v>
      </c>
      <c r="AR193">
        <v>1775542579.75</v>
      </c>
      <c r="AS193">
        <v>-5.5102066666666687</v>
      </c>
      <c r="AT193">
        <v>-6.7405989999999996</v>
      </c>
      <c r="AU193">
        <v>4.9700319999999998</v>
      </c>
      <c r="AV193">
        <v>3.915156000000001</v>
      </c>
      <c r="AW193">
        <v>-12.42420666666667</v>
      </c>
      <c r="AX193">
        <v>5.8241560000000003</v>
      </c>
      <c r="AY193">
        <v>499.99916666666661</v>
      </c>
      <c r="AZ193">
        <v>100.04170000000001</v>
      </c>
      <c r="BA193">
        <v>4.645889000000001E-2</v>
      </c>
      <c r="BB193">
        <v>33.173143333333343</v>
      </c>
      <c r="BC193">
        <v>33.274836666666673</v>
      </c>
      <c r="BD193">
        <v>999.9000000000002</v>
      </c>
      <c r="BE193">
        <v>0</v>
      </c>
      <c r="BF193">
        <v>0</v>
      </c>
      <c r="BG193">
        <v>4995.3166666666666</v>
      </c>
      <c r="BH193">
        <v>0.7705198333333334</v>
      </c>
      <c r="BI193">
        <v>588.82209999999998</v>
      </c>
      <c r="BJ193">
        <v>1.2492656666666659</v>
      </c>
      <c r="BK193">
        <v>-5.5128986666666684</v>
      </c>
      <c r="BL193">
        <v>-6.7742666666666658</v>
      </c>
      <c r="BM193">
        <v>-1.0583806666666671</v>
      </c>
      <c r="BN193">
        <v>-6.7405989999999996</v>
      </c>
      <c r="BO193">
        <v>4.9700319999999998</v>
      </c>
      <c r="BP193">
        <v>0.39132856666666671</v>
      </c>
      <c r="BQ193">
        <v>0.49721080000000001</v>
      </c>
      <c r="BR193">
        <v>-6.0388596666666672</v>
      </c>
      <c r="BS193">
        <v>-2.8625523333333329</v>
      </c>
      <c r="BT193">
        <v>1775542609.0999999</v>
      </c>
      <c r="BU193" t="s">
        <v>850</v>
      </c>
      <c r="BV193">
        <v>1775542606.5999999</v>
      </c>
      <c r="BW193">
        <v>1775542609.0999999</v>
      </c>
      <c r="BX193">
        <v>178</v>
      </c>
      <c r="BY193">
        <v>-1.7999999999999999E-2</v>
      </c>
      <c r="BZ193">
        <v>3.0000000000000001E-3</v>
      </c>
      <c r="CA193">
        <v>6.9139999999999997</v>
      </c>
      <c r="CB193">
        <v>-1.909</v>
      </c>
      <c r="CC193">
        <v>-7</v>
      </c>
      <c r="CD193">
        <v>5</v>
      </c>
      <c r="CE193">
        <v>0.28999999999999998</v>
      </c>
      <c r="CF193">
        <v>0.08</v>
      </c>
      <c r="CG193">
        <v>-6.717126393442622</v>
      </c>
      <c r="CH193">
        <v>-0.1557153252247469</v>
      </c>
      <c r="CI193">
        <v>5.7879017150751631E-2</v>
      </c>
      <c r="CJ193">
        <v>-1</v>
      </c>
      <c r="CK193">
        <v>500.52565573770488</v>
      </c>
      <c r="CL193">
        <v>-5.5638307773671798</v>
      </c>
      <c r="CM193">
        <v>1.4648500833632701</v>
      </c>
      <c r="CN193">
        <v>-1</v>
      </c>
      <c r="CO193">
        <v>0</v>
      </c>
      <c r="CP193">
        <v>0</v>
      </c>
      <c r="CQ193" t="s">
        <v>319</v>
      </c>
      <c r="CR193">
        <v>3.1695000000000002</v>
      </c>
      <c r="CS193">
        <v>2.6677499999999998</v>
      </c>
      <c r="CT193">
        <v>-3.6068200000000002E-3</v>
      </c>
      <c r="CU193">
        <v>-1.9554899999999998E-3</v>
      </c>
      <c r="CV193">
        <v>3.7709699999999999E-2</v>
      </c>
      <c r="CW193">
        <v>3.2603E-2</v>
      </c>
      <c r="CX193">
        <v>21292.9</v>
      </c>
      <c r="CY193">
        <v>21713.200000000001</v>
      </c>
      <c r="CZ193">
        <v>22753.599999999999</v>
      </c>
      <c r="DA193">
        <v>22043.599999999999</v>
      </c>
      <c r="DB193">
        <v>28263</v>
      </c>
      <c r="DC193">
        <v>25384.400000000001</v>
      </c>
      <c r="DD193">
        <v>40049.300000000003</v>
      </c>
      <c r="DE193">
        <v>36478.5</v>
      </c>
      <c r="DF193">
        <v>1.99404</v>
      </c>
      <c r="DG193">
        <v>1.60592</v>
      </c>
      <c r="DH193">
        <v>-2.8550599999999999E-2</v>
      </c>
      <c r="DI193">
        <v>0</v>
      </c>
      <c r="DJ193">
        <v>33.741300000000003</v>
      </c>
      <c r="DK193">
        <v>999.9</v>
      </c>
      <c r="DL193">
        <v>54.3</v>
      </c>
      <c r="DM193">
        <v>44.1</v>
      </c>
      <c r="DN193">
        <v>49.933999999999997</v>
      </c>
      <c r="DO193">
        <v>30.401199999999999</v>
      </c>
      <c r="DP193">
        <v>10.412699999999999</v>
      </c>
      <c r="DQ193">
        <v>1</v>
      </c>
      <c r="DR193">
        <v>0.96314</v>
      </c>
      <c r="DS193">
        <v>1.35493</v>
      </c>
      <c r="DT193">
        <v>20.355</v>
      </c>
      <c r="DU193">
        <v>5.2068700000000003</v>
      </c>
      <c r="DV193">
        <v>11.854900000000001</v>
      </c>
      <c r="DW193">
        <v>4.9667599999999998</v>
      </c>
      <c r="DX193">
        <v>3.2923399999999998</v>
      </c>
      <c r="DY193">
        <v>894.7</v>
      </c>
      <c r="DZ193">
        <v>6</v>
      </c>
      <c r="EA193">
        <v>9999</v>
      </c>
      <c r="EB193">
        <v>118.7</v>
      </c>
      <c r="EC193">
        <v>4.9716100000000001</v>
      </c>
      <c r="ED193">
        <v>1.8721000000000001</v>
      </c>
      <c r="EE193">
        <v>1.8694500000000001</v>
      </c>
      <c r="EF193">
        <v>1.8717900000000001</v>
      </c>
      <c r="EG193">
        <v>1.86951</v>
      </c>
      <c r="EH193">
        <v>1.86833</v>
      </c>
      <c r="EI193">
        <v>1.87016</v>
      </c>
      <c r="EJ193">
        <v>1.87195</v>
      </c>
      <c r="EK193">
        <v>0</v>
      </c>
      <c r="EL193">
        <v>0</v>
      </c>
      <c r="EM193">
        <v>0</v>
      </c>
      <c r="EN193">
        <v>0</v>
      </c>
      <c r="EO193" t="s">
        <v>320</v>
      </c>
      <c r="EP193" t="s">
        <v>321</v>
      </c>
      <c r="EQ193" t="s">
        <v>322</v>
      </c>
      <c r="ER193" t="s">
        <v>322</v>
      </c>
      <c r="ES193" t="s">
        <v>322</v>
      </c>
      <c r="ET193" t="s">
        <v>322</v>
      </c>
      <c r="EU193">
        <v>0</v>
      </c>
      <c r="EV193">
        <v>100</v>
      </c>
      <c r="EW193">
        <v>100</v>
      </c>
      <c r="EX193">
        <v>6.9139999999999997</v>
      </c>
      <c r="EY193">
        <v>-1.909</v>
      </c>
      <c r="EZ193">
        <v>6.9328859999999981</v>
      </c>
      <c r="FA193">
        <v>0</v>
      </c>
      <c r="FB193">
        <v>0</v>
      </c>
      <c r="FC193">
        <v>0</v>
      </c>
      <c r="FD193">
        <v>-1.9125042857142851</v>
      </c>
      <c r="FE193">
        <v>0</v>
      </c>
      <c r="FF193">
        <v>0</v>
      </c>
      <c r="FG193">
        <v>0</v>
      </c>
      <c r="FH193">
        <v>-1</v>
      </c>
      <c r="FI193">
        <v>-1</v>
      </c>
      <c r="FJ193">
        <v>-1</v>
      </c>
      <c r="FK193">
        <v>-1</v>
      </c>
      <c r="FL193">
        <v>0.6</v>
      </c>
      <c r="FM193">
        <v>0.6</v>
      </c>
      <c r="FN193">
        <v>0.13916000000000001</v>
      </c>
      <c r="FO193">
        <v>4.99756</v>
      </c>
      <c r="FP193">
        <v>1.5979000000000001</v>
      </c>
      <c r="FQ193">
        <v>2.1118199999999998</v>
      </c>
      <c r="FR193">
        <v>1.5478499999999999</v>
      </c>
      <c r="FS193">
        <v>2.4230999999999998</v>
      </c>
      <c r="FT193">
        <v>47.004100000000001</v>
      </c>
      <c r="FU193">
        <v>14.7537</v>
      </c>
      <c r="FV193">
        <v>2</v>
      </c>
      <c r="FW193">
        <v>507.26600000000002</v>
      </c>
      <c r="FX193">
        <v>348.17099999999999</v>
      </c>
      <c r="FY193">
        <v>32.777900000000002</v>
      </c>
      <c r="FZ193">
        <v>38.911200000000001</v>
      </c>
      <c r="GA193">
        <v>29.999199999999998</v>
      </c>
      <c r="GB193">
        <v>39.179000000000002</v>
      </c>
      <c r="GC193">
        <v>39.215600000000002</v>
      </c>
      <c r="GD193">
        <v>-1</v>
      </c>
      <c r="GE193">
        <v>0</v>
      </c>
      <c r="GF193">
        <v>100</v>
      </c>
      <c r="GG193">
        <v>32.799399999999999</v>
      </c>
      <c r="GH193">
        <v>432.1</v>
      </c>
      <c r="GI193">
        <v>44.267099999999999</v>
      </c>
      <c r="GJ193">
        <v>100.755</v>
      </c>
      <c r="GK193">
        <v>95.238399999999999</v>
      </c>
    </row>
    <row r="194" spans="1:193" x14ac:dyDescent="0.35">
      <c r="A194">
        <v>178</v>
      </c>
      <c r="B194">
        <v>1775542647.5999999</v>
      </c>
      <c r="C194">
        <v>10621.5</v>
      </c>
      <c r="D194" t="s">
        <v>851</v>
      </c>
      <c r="E194" t="s">
        <v>852</v>
      </c>
      <c r="F194">
        <v>60</v>
      </c>
      <c r="G194">
        <v>1775542639.849999</v>
      </c>
      <c r="H194">
        <f t="shared" si="60"/>
        <v>1.4449288869331652E-3</v>
      </c>
      <c r="I194">
        <f t="shared" si="61"/>
        <v>1.4449288869331651</v>
      </c>
      <c r="J194">
        <f t="shared" si="62"/>
        <v>-2.1736883085027601</v>
      </c>
      <c r="K194">
        <f t="shared" si="63"/>
        <v>-5.6233633333333346</v>
      </c>
      <c r="L194">
        <f t="shared" si="64"/>
        <v>105.51142416600504</v>
      </c>
      <c r="M194">
        <f t="shared" si="65"/>
        <v>10.560331098086058</v>
      </c>
      <c r="N194">
        <f t="shared" si="66"/>
        <v>-0.56282605560706789</v>
      </c>
      <c r="O194">
        <f t="shared" si="67"/>
        <v>3.0438775150233913E-2</v>
      </c>
      <c r="P194">
        <f t="shared" si="68"/>
        <v>2.3889084580100515</v>
      </c>
      <c r="Q194">
        <f t="shared" si="69"/>
        <v>3.0224941522215179E-2</v>
      </c>
      <c r="R194">
        <f t="shared" si="70"/>
        <v>1.8909675210715085E-2</v>
      </c>
      <c r="S194">
        <f t="shared" si="71"/>
        <v>0.14047801767999998</v>
      </c>
      <c r="T194">
        <f t="shared" si="72"/>
        <v>32.757078925937861</v>
      </c>
      <c r="U194">
        <f t="shared" si="73"/>
        <v>33.322603333333333</v>
      </c>
      <c r="V194">
        <f t="shared" si="74"/>
        <v>5.14440925156405</v>
      </c>
      <c r="W194">
        <f t="shared" si="75"/>
        <v>9.6735865057457193</v>
      </c>
      <c r="X194">
        <f t="shared" si="76"/>
        <v>0.49444655771628909</v>
      </c>
      <c r="Y194">
        <f t="shared" si="77"/>
        <v>5.1113054855363913</v>
      </c>
      <c r="Z194">
        <f t="shared" si="78"/>
        <v>4.649962693847761</v>
      </c>
      <c r="AA194">
        <f t="shared" si="79"/>
        <v>-63.721363913752583</v>
      </c>
      <c r="AB194">
        <f t="shared" si="80"/>
        <v>-14.825971367806742</v>
      </c>
      <c r="AC194">
        <f t="shared" si="81"/>
        <v>-1.4250403738321247</v>
      </c>
      <c r="AD194">
        <f t="shared" si="82"/>
        <v>-79.83189763771145</v>
      </c>
      <c r="AE194">
        <v>5</v>
      </c>
      <c r="AF194">
        <v>1</v>
      </c>
      <c r="AG194">
        <f t="shared" si="83"/>
        <v>1</v>
      </c>
      <c r="AH194">
        <f t="shared" si="84"/>
        <v>0</v>
      </c>
      <c r="AI194">
        <f t="shared" si="85"/>
        <v>25016.955593853247</v>
      </c>
      <c r="AJ194">
        <f t="shared" si="86"/>
        <v>0.7351021333333333</v>
      </c>
      <c r="AK194">
        <f t="shared" si="87"/>
        <v>0.5880817066666667</v>
      </c>
      <c r="AL194">
        <f t="shared" si="88"/>
        <v>0.8</v>
      </c>
      <c r="AM194">
        <f t="shared" si="89"/>
        <v>0.19109999999999999</v>
      </c>
      <c r="AN194">
        <v>3</v>
      </c>
      <c r="AO194">
        <v>0.5</v>
      </c>
      <c r="AP194" t="s">
        <v>317</v>
      </c>
      <c r="AQ194">
        <v>2</v>
      </c>
      <c r="AR194">
        <v>1775542639.849999</v>
      </c>
      <c r="AS194">
        <v>-5.6233633333333346</v>
      </c>
      <c r="AT194">
        <v>-6.9324600000000007</v>
      </c>
      <c r="AU194">
        <v>4.9401633333333326</v>
      </c>
      <c r="AV194">
        <v>4.0774833333333342</v>
      </c>
      <c r="AW194">
        <v>-12.521363333333341</v>
      </c>
      <c r="AX194">
        <v>5.9844833333333343</v>
      </c>
      <c r="AY194">
        <v>499.99676666666659</v>
      </c>
      <c r="AZ194">
        <v>100.04179999999999</v>
      </c>
      <c r="BA194">
        <v>4.5287076666666669E-2</v>
      </c>
      <c r="BB194">
        <v>33.207486666666661</v>
      </c>
      <c r="BC194">
        <v>33.322603333333333</v>
      </c>
      <c r="BD194">
        <v>999.9000000000002</v>
      </c>
      <c r="BE194">
        <v>0</v>
      </c>
      <c r="BF194">
        <v>0</v>
      </c>
      <c r="BG194">
        <v>5000.166666666667</v>
      </c>
      <c r="BH194">
        <v>0.7351021333333333</v>
      </c>
      <c r="BI194">
        <v>573.15036666666674</v>
      </c>
      <c r="BJ194">
        <v>1.325563</v>
      </c>
      <c r="BK194">
        <v>-5.6298383333333311</v>
      </c>
      <c r="BL194">
        <v>-6.9668760000000001</v>
      </c>
      <c r="BM194">
        <v>-0.86473123333333324</v>
      </c>
      <c r="BN194">
        <v>-6.9324600000000007</v>
      </c>
      <c r="BO194">
        <v>4.9401633333333326</v>
      </c>
      <c r="BP194">
        <v>0.40771343333333332</v>
      </c>
      <c r="BQ194">
        <v>0.49422273333333328</v>
      </c>
      <c r="BR194">
        <v>-5.5012349999999994</v>
      </c>
      <c r="BS194">
        <v>-2.9435613333333328</v>
      </c>
      <c r="BT194">
        <v>1775542671.0999999</v>
      </c>
      <c r="BU194" t="s">
        <v>853</v>
      </c>
      <c r="BV194">
        <v>1775542665.0999999</v>
      </c>
      <c r="BW194">
        <v>1775542671.0999999</v>
      </c>
      <c r="BX194">
        <v>179</v>
      </c>
      <c r="BY194">
        <v>-1.7000000000000001E-2</v>
      </c>
      <c r="BZ194">
        <v>2E-3</v>
      </c>
      <c r="CA194">
        <v>6.8979999999999997</v>
      </c>
      <c r="CB194">
        <v>-1.907</v>
      </c>
      <c r="CC194">
        <v>-7</v>
      </c>
      <c r="CD194">
        <v>5</v>
      </c>
      <c r="CE194">
        <v>0.26</v>
      </c>
      <c r="CF194">
        <v>0.1</v>
      </c>
      <c r="CG194">
        <v>-6.7728599999999988</v>
      </c>
      <c r="CH194">
        <v>-1.140926938127973</v>
      </c>
      <c r="CI194">
        <v>0.1876845079853553</v>
      </c>
      <c r="CJ194">
        <v>-1</v>
      </c>
      <c r="CK194">
        <v>500.04544262295087</v>
      </c>
      <c r="CL194">
        <v>-0.6274711792685761</v>
      </c>
      <c r="CM194">
        <v>0.24458124297008929</v>
      </c>
      <c r="CN194">
        <v>-1</v>
      </c>
      <c r="CO194">
        <v>0</v>
      </c>
      <c r="CP194">
        <v>0</v>
      </c>
      <c r="CQ194" t="s">
        <v>319</v>
      </c>
      <c r="CR194">
        <v>3.1693799999999999</v>
      </c>
      <c r="CS194">
        <v>2.66723</v>
      </c>
      <c r="CT194">
        <v>-3.67439E-3</v>
      </c>
      <c r="CU194">
        <v>-2.0891299999999998E-3</v>
      </c>
      <c r="CV194">
        <v>3.80519E-2</v>
      </c>
      <c r="CW194">
        <v>3.2418599999999999E-2</v>
      </c>
      <c r="CX194">
        <v>21297.4</v>
      </c>
      <c r="CY194">
        <v>21718.1</v>
      </c>
      <c r="CZ194">
        <v>22756.5</v>
      </c>
      <c r="DA194">
        <v>22045.4</v>
      </c>
      <c r="DB194">
        <v>28256.400000000001</v>
      </c>
      <c r="DC194">
        <v>25391.7</v>
      </c>
      <c r="DD194">
        <v>40054.1</v>
      </c>
      <c r="DE194">
        <v>36481.9</v>
      </c>
      <c r="DF194">
        <v>1.99512</v>
      </c>
      <c r="DG194">
        <v>1.6065</v>
      </c>
      <c r="DH194">
        <v>-2.70098E-2</v>
      </c>
      <c r="DI194">
        <v>0</v>
      </c>
      <c r="DJ194">
        <v>33.738900000000001</v>
      </c>
      <c r="DK194">
        <v>999.9</v>
      </c>
      <c r="DL194">
        <v>54.4</v>
      </c>
      <c r="DM194">
        <v>44</v>
      </c>
      <c r="DN194">
        <v>49.765900000000002</v>
      </c>
      <c r="DO194">
        <v>30.5594</v>
      </c>
      <c r="DP194">
        <v>10.601000000000001</v>
      </c>
      <c r="DQ194">
        <v>1</v>
      </c>
      <c r="DR194">
        <v>0.95724600000000004</v>
      </c>
      <c r="DS194">
        <v>1.53331</v>
      </c>
      <c r="DT194">
        <v>20.353400000000001</v>
      </c>
      <c r="DU194">
        <v>5.2100999999999997</v>
      </c>
      <c r="DV194">
        <v>11.8544</v>
      </c>
      <c r="DW194">
        <v>4.9673999999999996</v>
      </c>
      <c r="DX194">
        <v>3.2930000000000001</v>
      </c>
      <c r="DY194">
        <v>894.7</v>
      </c>
      <c r="DZ194">
        <v>6</v>
      </c>
      <c r="EA194">
        <v>9999</v>
      </c>
      <c r="EB194">
        <v>118.7</v>
      </c>
      <c r="EC194">
        <v>4.97159</v>
      </c>
      <c r="ED194">
        <v>1.8721000000000001</v>
      </c>
      <c r="EE194">
        <v>1.8693900000000001</v>
      </c>
      <c r="EF194">
        <v>1.87178</v>
      </c>
      <c r="EG194">
        <v>1.86951</v>
      </c>
      <c r="EH194">
        <v>1.8684000000000001</v>
      </c>
      <c r="EI194">
        <v>1.87016</v>
      </c>
      <c r="EJ194">
        <v>1.87195</v>
      </c>
      <c r="EK194">
        <v>0</v>
      </c>
      <c r="EL194">
        <v>0</v>
      </c>
      <c r="EM194">
        <v>0</v>
      </c>
      <c r="EN194">
        <v>0</v>
      </c>
      <c r="EO194" t="s">
        <v>320</v>
      </c>
      <c r="EP194" t="s">
        <v>321</v>
      </c>
      <c r="EQ194" t="s">
        <v>322</v>
      </c>
      <c r="ER194" t="s">
        <v>322</v>
      </c>
      <c r="ES194" t="s">
        <v>322</v>
      </c>
      <c r="ET194" t="s">
        <v>322</v>
      </c>
      <c r="EU194">
        <v>0</v>
      </c>
      <c r="EV194">
        <v>100</v>
      </c>
      <c r="EW194">
        <v>100</v>
      </c>
      <c r="EX194">
        <v>6.8979999999999997</v>
      </c>
      <c r="EY194">
        <v>-1.907</v>
      </c>
      <c r="EZ194">
        <v>6.9144628571428566</v>
      </c>
      <c r="FA194">
        <v>0</v>
      </c>
      <c r="FB194">
        <v>0</v>
      </c>
      <c r="FC194">
        <v>0</v>
      </c>
      <c r="FD194">
        <v>-1.9090514999999999</v>
      </c>
      <c r="FE194">
        <v>0</v>
      </c>
      <c r="FF194">
        <v>0</v>
      </c>
      <c r="FG194">
        <v>0</v>
      </c>
      <c r="FH194">
        <v>-1</v>
      </c>
      <c r="FI194">
        <v>-1</v>
      </c>
      <c r="FJ194">
        <v>-1</v>
      </c>
      <c r="FK194">
        <v>-1</v>
      </c>
      <c r="FL194">
        <v>0.7</v>
      </c>
      <c r="FM194">
        <v>0.6</v>
      </c>
      <c r="FN194">
        <v>0.13916000000000001</v>
      </c>
      <c r="FO194">
        <v>4.99756</v>
      </c>
      <c r="FP194">
        <v>1.5979000000000001</v>
      </c>
      <c r="FQ194">
        <v>2.1105999999999998</v>
      </c>
      <c r="FR194">
        <v>1.5478499999999999</v>
      </c>
      <c r="FS194">
        <v>2.49512</v>
      </c>
      <c r="FT194">
        <v>46.915100000000002</v>
      </c>
      <c r="FU194">
        <v>14.744899999999999</v>
      </c>
      <c r="FV194">
        <v>2</v>
      </c>
      <c r="FW194">
        <v>507.43299999999999</v>
      </c>
      <c r="FX194">
        <v>348.17399999999998</v>
      </c>
      <c r="FY194">
        <v>32.765700000000002</v>
      </c>
      <c r="FZ194">
        <v>38.823099999999997</v>
      </c>
      <c r="GA194">
        <v>29.9998</v>
      </c>
      <c r="GB194">
        <v>39.104900000000001</v>
      </c>
      <c r="GC194">
        <v>39.15</v>
      </c>
      <c r="GD194">
        <v>-1</v>
      </c>
      <c r="GE194">
        <v>0</v>
      </c>
      <c r="GF194">
        <v>100</v>
      </c>
      <c r="GG194">
        <v>32.775399999999998</v>
      </c>
      <c r="GH194">
        <v>432.1</v>
      </c>
      <c r="GI194">
        <v>44.267099999999999</v>
      </c>
      <c r="GJ194">
        <v>100.767</v>
      </c>
      <c r="GK194">
        <v>95.246899999999997</v>
      </c>
    </row>
    <row r="195" spans="1:193" x14ac:dyDescent="0.35">
      <c r="A195">
        <v>179</v>
      </c>
      <c r="B195">
        <v>1775542707.5999999</v>
      </c>
      <c r="C195">
        <v>10681.5</v>
      </c>
      <c r="D195" t="s">
        <v>854</v>
      </c>
      <c r="E195" t="s">
        <v>855</v>
      </c>
      <c r="F195">
        <v>60</v>
      </c>
      <c r="G195">
        <v>1775542699.849999</v>
      </c>
      <c r="H195">
        <f t="shared" si="60"/>
        <v>1.4199233197985668E-3</v>
      </c>
      <c r="I195">
        <f t="shared" si="61"/>
        <v>1.4199233197985668</v>
      </c>
      <c r="J195">
        <f t="shared" si="62"/>
        <v>-1.8096618490930427</v>
      </c>
      <c r="K195">
        <f t="shared" si="63"/>
        <v>-6.3278766666666657</v>
      </c>
      <c r="L195">
        <f t="shared" si="64"/>
        <v>87.779190471719104</v>
      </c>
      <c r="M195">
        <f t="shared" si="65"/>
        <v>8.7852860857312844</v>
      </c>
      <c r="N195">
        <f t="shared" si="66"/>
        <v>-0.63331874597090465</v>
      </c>
      <c r="O195">
        <f t="shared" si="67"/>
        <v>2.9962053369154848E-2</v>
      </c>
      <c r="P195">
        <f t="shared" si="68"/>
        <v>2.3902408472454555</v>
      </c>
      <c r="Q195">
        <f t="shared" si="69"/>
        <v>2.9754955310861617E-2</v>
      </c>
      <c r="R195">
        <f t="shared" si="70"/>
        <v>1.8615334558954356E-2</v>
      </c>
      <c r="S195">
        <f t="shared" si="71"/>
        <v>0.13994163819999997</v>
      </c>
      <c r="T195">
        <f t="shared" si="72"/>
        <v>32.735160727492492</v>
      </c>
      <c r="U195">
        <f t="shared" si="73"/>
        <v>33.285286666666657</v>
      </c>
      <c r="V195">
        <f t="shared" si="74"/>
        <v>5.1336578349752662</v>
      </c>
      <c r="W195">
        <f t="shared" si="75"/>
        <v>9.6384104588341604</v>
      </c>
      <c r="X195">
        <f t="shared" si="76"/>
        <v>0.49182169141067622</v>
      </c>
      <c r="Y195">
        <f t="shared" si="77"/>
        <v>5.1027261550154588</v>
      </c>
      <c r="Z195">
        <f t="shared" si="78"/>
        <v>4.6418361435645901</v>
      </c>
      <c r="AA195">
        <f t="shared" si="79"/>
        <v>-62.618618403116791</v>
      </c>
      <c r="AB195">
        <f t="shared" si="80"/>
        <v>-13.8836634793385</v>
      </c>
      <c r="AC195">
        <f t="shared" si="81"/>
        <v>-1.3332846103305638</v>
      </c>
      <c r="AD195">
        <f t="shared" si="82"/>
        <v>-77.695624854585859</v>
      </c>
      <c r="AE195">
        <v>5</v>
      </c>
      <c r="AF195">
        <v>1</v>
      </c>
      <c r="AG195">
        <f t="shared" si="83"/>
        <v>1</v>
      </c>
      <c r="AH195">
        <f t="shared" si="84"/>
        <v>0</v>
      </c>
      <c r="AI195">
        <f t="shared" si="85"/>
        <v>25039.391840047116</v>
      </c>
      <c r="AJ195">
        <f t="shared" si="86"/>
        <v>0.73229533333333319</v>
      </c>
      <c r="AK195">
        <f t="shared" si="87"/>
        <v>0.58583626666666655</v>
      </c>
      <c r="AL195">
        <f t="shared" si="88"/>
        <v>0.8</v>
      </c>
      <c r="AM195">
        <f t="shared" si="89"/>
        <v>0.19109999999999999</v>
      </c>
      <c r="AN195">
        <v>3</v>
      </c>
      <c r="AO195">
        <v>0.5</v>
      </c>
      <c r="AP195" t="s">
        <v>317</v>
      </c>
      <c r="AQ195">
        <v>2</v>
      </c>
      <c r="AR195">
        <v>1775542699.849999</v>
      </c>
      <c r="AS195">
        <v>-6.3278766666666657</v>
      </c>
      <c r="AT195">
        <v>-7.4190883333333328</v>
      </c>
      <c r="AU195">
        <v>4.914092666666666</v>
      </c>
      <c r="AV195">
        <v>4.066307000000001</v>
      </c>
      <c r="AW195">
        <v>-13.230876666666671</v>
      </c>
      <c r="AX195">
        <v>5.9683070000000011</v>
      </c>
      <c r="AY195">
        <v>499.98923333333329</v>
      </c>
      <c r="AZ195">
        <v>100.03846666666669</v>
      </c>
      <c r="BA195">
        <v>4.5460269999999997E-2</v>
      </c>
      <c r="BB195">
        <v>33.177546666666657</v>
      </c>
      <c r="BC195">
        <v>33.285286666666657</v>
      </c>
      <c r="BD195">
        <v>999.9000000000002</v>
      </c>
      <c r="BE195">
        <v>0</v>
      </c>
      <c r="BF195">
        <v>0</v>
      </c>
      <c r="BG195">
        <v>5003.7666666666664</v>
      </c>
      <c r="BH195">
        <v>0.73229533333333319</v>
      </c>
      <c r="BI195">
        <v>545.53073333333339</v>
      </c>
      <c r="BJ195">
        <v>1.0861099000000001</v>
      </c>
      <c r="BK195">
        <v>-6.3588013333333331</v>
      </c>
      <c r="BL195">
        <v>-7.4557259999999994</v>
      </c>
      <c r="BM195">
        <v>-0.85305619999999982</v>
      </c>
      <c r="BN195">
        <v>-7.4190883333333328</v>
      </c>
      <c r="BO195">
        <v>4.914092666666666</v>
      </c>
      <c r="BP195">
        <v>0.40625966666666657</v>
      </c>
      <c r="BQ195">
        <v>0.49159813333333341</v>
      </c>
      <c r="BR195">
        <v>-5.5477846666666668</v>
      </c>
      <c r="BS195">
        <v>-3.0150696666666672</v>
      </c>
      <c r="BT195">
        <v>1775542729.0999999</v>
      </c>
      <c r="BU195" t="s">
        <v>856</v>
      </c>
      <c r="BV195">
        <v>1775542724.5999999</v>
      </c>
      <c r="BW195">
        <v>1775542729.0999999</v>
      </c>
      <c r="BX195">
        <v>180</v>
      </c>
      <c r="BY195">
        <v>5.0000000000000001E-3</v>
      </c>
      <c r="BZ195">
        <v>5.0000000000000001E-3</v>
      </c>
      <c r="CA195">
        <v>6.9029999999999996</v>
      </c>
      <c r="CB195">
        <v>-1.9019999999999999</v>
      </c>
      <c r="CC195">
        <v>-7</v>
      </c>
      <c r="CD195">
        <v>5</v>
      </c>
      <c r="CE195">
        <v>0.17</v>
      </c>
      <c r="CF195">
        <v>0.11</v>
      </c>
      <c r="CG195">
        <v>-7.4249511666666681</v>
      </c>
      <c r="CH195">
        <v>0.11745979438731879</v>
      </c>
      <c r="CI195">
        <v>5.9300955925169457E-2</v>
      </c>
      <c r="CJ195">
        <v>-1</v>
      </c>
      <c r="CK195">
        <v>500.16443333333342</v>
      </c>
      <c r="CL195">
        <v>-1.9545696026673729</v>
      </c>
      <c r="CM195">
        <v>0.61809522908870651</v>
      </c>
      <c r="CN195">
        <v>-1</v>
      </c>
      <c r="CO195">
        <v>0</v>
      </c>
      <c r="CP195">
        <v>0</v>
      </c>
      <c r="CQ195" t="s">
        <v>319</v>
      </c>
      <c r="CR195">
        <v>3.1694200000000001</v>
      </c>
      <c r="CS195">
        <v>2.6654300000000002</v>
      </c>
      <c r="CT195">
        <v>-3.81913E-3</v>
      </c>
      <c r="CU195">
        <v>-2.1015299999999999E-3</v>
      </c>
      <c r="CV195">
        <v>3.84807E-2</v>
      </c>
      <c r="CW195">
        <v>3.2270199999999999E-2</v>
      </c>
      <c r="CX195">
        <v>21304.2</v>
      </c>
      <c r="CY195">
        <v>21721.4</v>
      </c>
      <c r="CZ195">
        <v>22760.2</v>
      </c>
      <c r="DA195">
        <v>22048.2</v>
      </c>
      <c r="DB195">
        <v>28248</v>
      </c>
      <c r="DC195">
        <v>25399.3</v>
      </c>
      <c r="DD195">
        <v>40059.800000000003</v>
      </c>
      <c r="DE195">
        <v>36486.9</v>
      </c>
      <c r="DF195">
        <v>1.99604</v>
      </c>
      <c r="DG195">
        <v>1.60748</v>
      </c>
      <c r="DH195">
        <v>-2.4139899999999999E-2</v>
      </c>
      <c r="DI195">
        <v>0</v>
      </c>
      <c r="DJ195">
        <v>33.686700000000002</v>
      </c>
      <c r="DK195">
        <v>999.9</v>
      </c>
      <c r="DL195">
        <v>54.6</v>
      </c>
      <c r="DM195">
        <v>43.9</v>
      </c>
      <c r="DN195">
        <v>49.692900000000002</v>
      </c>
      <c r="DO195">
        <v>30.679400000000001</v>
      </c>
      <c r="DP195">
        <v>10.460699999999999</v>
      </c>
      <c r="DQ195">
        <v>1</v>
      </c>
      <c r="DR195">
        <v>0.94784599999999997</v>
      </c>
      <c r="DS195">
        <v>1.22906</v>
      </c>
      <c r="DT195">
        <v>20.3569</v>
      </c>
      <c r="DU195">
        <v>5.2083000000000004</v>
      </c>
      <c r="DV195">
        <v>11.857900000000001</v>
      </c>
      <c r="DW195">
        <v>4.9670399999999999</v>
      </c>
      <c r="DX195">
        <v>3.2927399999999998</v>
      </c>
      <c r="DY195">
        <v>894.7</v>
      </c>
      <c r="DZ195">
        <v>6</v>
      </c>
      <c r="EA195">
        <v>9999</v>
      </c>
      <c r="EB195">
        <v>118.7</v>
      </c>
      <c r="EC195">
        <v>4.9715800000000003</v>
      </c>
      <c r="ED195">
        <v>1.8721000000000001</v>
      </c>
      <c r="EE195">
        <v>1.86944</v>
      </c>
      <c r="EF195">
        <v>1.8717600000000001</v>
      </c>
      <c r="EG195">
        <v>1.86951</v>
      </c>
      <c r="EH195">
        <v>1.8683700000000001</v>
      </c>
      <c r="EI195">
        <v>1.8701300000000001</v>
      </c>
      <c r="EJ195">
        <v>1.8719399999999999</v>
      </c>
      <c r="EK195">
        <v>0</v>
      </c>
      <c r="EL195">
        <v>0</v>
      </c>
      <c r="EM195">
        <v>0</v>
      </c>
      <c r="EN195">
        <v>0</v>
      </c>
      <c r="EO195" t="s">
        <v>320</v>
      </c>
      <c r="EP195" t="s">
        <v>321</v>
      </c>
      <c r="EQ195" t="s">
        <v>322</v>
      </c>
      <c r="ER195" t="s">
        <v>322</v>
      </c>
      <c r="ES195" t="s">
        <v>322</v>
      </c>
      <c r="ET195" t="s">
        <v>322</v>
      </c>
      <c r="EU195">
        <v>0</v>
      </c>
      <c r="EV195">
        <v>100</v>
      </c>
      <c r="EW195">
        <v>100</v>
      </c>
      <c r="EX195">
        <v>6.9029999999999996</v>
      </c>
      <c r="EY195">
        <v>-1.9019999999999999</v>
      </c>
      <c r="EZ195">
        <v>6.8978966666666661</v>
      </c>
      <c r="FA195">
        <v>0</v>
      </c>
      <c r="FB195">
        <v>0</v>
      </c>
      <c r="FC195">
        <v>0</v>
      </c>
      <c r="FD195">
        <v>-1.9072695238095221</v>
      </c>
      <c r="FE195">
        <v>0</v>
      </c>
      <c r="FF195">
        <v>0</v>
      </c>
      <c r="FG195">
        <v>0</v>
      </c>
      <c r="FH195">
        <v>-1</v>
      </c>
      <c r="FI195">
        <v>-1</v>
      </c>
      <c r="FJ195">
        <v>-1</v>
      </c>
      <c r="FK195">
        <v>-1</v>
      </c>
      <c r="FL195">
        <v>0.7</v>
      </c>
      <c r="FM195">
        <v>0.6</v>
      </c>
      <c r="FN195">
        <v>0.13916000000000001</v>
      </c>
      <c r="FO195">
        <v>4.99756</v>
      </c>
      <c r="FP195">
        <v>1.5979000000000001</v>
      </c>
      <c r="FQ195">
        <v>2.1105999999999998</v>
      </c>
      <c r="FR195">
        <v>1.5478499999999999</v>
      </c>
      <c r="FS195">
        <v>2.50122</v>
      </c>
      <c r="FT195">
        <v>46.796900000000001</v>
      </c>
      <c r="FU195">
        <v>14.7362</v>
      </c>
      <c r="FV195">
        <v>2</v>
      </c>
      <c r="FW195">
        <v>507.471</v>
      </c>
      <c r="FX195">
        <v>348.32100000000003</v>
      </c>
      <c r="FY195">
        <v>32.883899999999997</v>
      </c>
      <c r="FZ195">
        <v>38.737099999999998</v>
      </c>
      <c r="GA195">
        <v>29.999300000000002</v>
      </c>
      <c r="GB195">
        <v>39.026400000000002</v>
      </c>
      <c r="GC195">
        <v>39.069200000000002</v>
      </c>
      <c r="GD195">
        <v>-1</v>
      </c>
      <c r="GE195">
        <v>0</v>
      </c>
      <c r="GF195">
        <v>100</v>
      </c>
      <c r="GG195">
        <v>32.901800000000001</v>
      </c>
      <c r="GH195">
        <v>432.1</v>
      </c>
      <c r="GI195">
        <v>44.267099999999999</v>
      </c>
      <c r="GJ195">
        <v>100.782</v>
      </c>
      <c r="GK195">
        <v>95.259699999999995</v>
      </c>
    </row>
    <row r="196" spans="1:193" x14ac:dyDescent="0.35">
      <c r="A196">
        <v>180</v>
      </c>
      <c r="B196">
        <v>1775542767.5999999</v>
      </c>
      <c r="C196">
        <v>10741.5</v>
      </c>
      <c r="D196" t="s">
        <v>857</v>
      </c>
      <c r="E196" t="s">
        <v>858</v>
      </c>
      <c r="F196">
        <v>60</v>
      </c>
      <c r="G196">
        <v>1775542759.849999</v>
      </c>
      <c r="H196">
        <f t="shared" si="60"/>
        <v>9.9871487989534641E-4</v>
      </c>
      <c r="I196">
        <f t="shared" si="61"/>
        <v>0.99871487989534646</v>
      </c>
      <c r="J196">
        <f t="shared" si="62"/>
        <v>-1.6307586077884075</v>
      </c>
      <c r="K196">
        <f t="shared" si="63"/>
        <v>-6.1117566666666656</v>
      </c>
      <c r="L196">
        <f t="shared" si="64"/>
        <v>114.67561915052808</v>
      </c>
      <c r="M196">
        <f t="shared" si="65"/>
        <v>11.477190742097257</v>
      </c>
      <c r="N196">
        <f t="shared" si="66"/>
        <v>-0.61168884504160825</v>
      </c>
      <c r="O196">
        <f t="shared" si="67"/>
        <v>2.0970762435005973E-2</v>
      </c>
      <c r="P196">
        <f t="shared" si="68"/>
        <v>2.3891012393144098</v>
      </c>
      <c r="Q196">
        <f t="shared" si="69"/>
        <v>2.0869034386004116E-2</v>
      </c>
      <c r="R196">
        <f t="shared" si="70"/>
        <v>1.3052245109900015E-2</v>
      </c>
      <c r="S196">
        <f t="shared" si="71"/>
        <v>0.13598571532000001</v>
      </c>
      <c r="T196">
        <f t="shared" si="72"/>
        <v>32.883492653349848</v>
      </c>
      <c r="U196">
        <f t="shared" si="73"/>
        <v>33.320546666666672</v>
      </c>
      <c r="V196">
        <f t="shared" si="74"/>
        <v>5.1438161895528545</v>
      </c>
      <c r="W196">
        <f t="shared" si="75"/>
        <v>9.5729958898141252</v>
      </c>
      <c r="X196">
        <f t="shared" si="76"/>
        <v>0.48894903874277523</v>
      </c>
      <c r="Y196">
        <f t="shared" si="77"/>
        <v>5.1075864271813556</v>
      </c>
      <c r="Z196">
        <f t="shared" si="78"/>
        <v>4.6548671508100794</v>
      </c>
      <c r="AA196">
        <f t="shared" si="79"/>
        <v>-44.04332620338478</v>
      </c>
      <c r="AB196">
        <f t="shared" si="80"/>
        <v>-16.23324785195495</v>
      </c>
      <c r="AC196">
        <f t="shared" si="81"/>
        <v>-1.5600640133220158</v>
      </c>
      <c r="AD196">
        <f t="shared" si="82"/>
        <v>-61.700652353341745</v>
      </c>
      <c r="AE196">
        <v>5</v>
      </c>
      <c r="AF196">
        <v>1</v>
      </c>
      <c r="AG196">
        <f t="shared" si="83"/>
        <v>1</v>
      </c>
      <c r="AH196">
        <f t="shared" si="84"/>
        <v>0</v>
      </c>
      <c r="AI196">
        <f t="shared" si="85"/>
        <v>25021.047533916069</v>
      </c>
      <c r="AJ196">
        <f t="shared" si="86"/>
        <v>0.71159453333333333</v>
      </c>
      <c r="AK196">
        <f t="shared" si="87"/>
        <v>0.56927562666666665</v>
      </c>
      <c r="AL196">
        <f t="shared" si="88"/>
        <v>0.8</v>
      </c>
      <c r="AM196">
        <f t="shared" si="89"/>
        <v>0.19109999999999999</v>
      </c>
      <c r="AN196">
        <v>3</v>
      </c>
      <c r="AO196">
        <v>0.5</v>
      </c>
      <c r="AP196" t="s">
        <v>317</v>
      </c>
      <c r="AQ196">
        <v>2</v>
      </c>
      <c r="AR196">
        <v>1775542759.849999</v>
      </c>
      <c r="AS196">
        <v>-6.1117566666666656</v>
      </c>
      <c r="AT196">
        <v>-7.0938800000000013</v>
      </c>
      <c r="AU196">
        <v>4.8853883333333341</v>
      </c>
      <c r="AV196">
        <v>4.2890833333333331</v>
      </c>
      <c r="AW196">
        <v>-13.017756666666671</v>
      </c>
      <c r="AX196">
        <v>6.1880833333333332</v>
      </c>
      <c r="AY196">
        <v>499.99703333333332</v>
      </c>
      <c r="AZ196">
        <v>100.03773333333331</v>
      </c>
      <c r="BA196">
        <v>4.623244E-2</v>
      </c>
      <c r="BB196">
        <v>33.194513333333333</v>
      </c>
      <c r="BC196">
        <v>33.320546666666672</v>
      </c>
      <c r="BD196">
        <v>999.9000000000002</v>
      </c>
      <c r="BE196">
        <v>0</v>
      </c>
      <c r="BF196">
        <v>0</v>
      </c>
      <c r="BG196">
        <v>5000.8666666666668</v>
      </c>
      <c r="BH196">
        <v>0.71159453333333333</v>
      </c>
      <c r="BI196">
        <v>508.53309999999999</v>
      </c>
      <c r="BJ196">
        <v>0.9787785</v>
      </c>
      <c r="BK196">
        <v>-6.1414233333333339</v>
      </c>
      <c r="BL196">
        <v>-7.1287079999999996</v>
      </c>
      <c r="BM196">
        <v>-0.59949140000000001</v>
      </c>
      <c r="BN196">
        <v>-7.0938800000000013</v>
      </c>
      <c r="BO196">
        <v>4.8853883333333341</v>
      </c>
      <c r="BP196">
        <v>0.42875156666666658</v>
      </c>
      <c r="BQ196">
        <v>0.48872340000000009</v>
      </c>
      <c r="BR196">
        <v>-4.8374630000000014</v>
      </c>
      <c r="BS196">
        <v>-3.0937873333333328</v>
      </c>
      <c r="BT196">
        <v>1775542788.0999999</v>
      </c>
      <c r="BU196" t="s">
        <v>859</v>
      </c>
      <c r="BV196">
        <v>1775542785.5999999</v>
      </c>
      <c r="BW196">
        <v>1775542788.0999999</v>
      </c>
      <c r="BX196">
        <v>181</v>
      </c>
      <c r="BY196">
        <v>4.0000000000000001E-3</v>
      </c>
      <c r="BZ196">
        <v>3.0000000000000001E-3</v>
      </c>
      <c r="CA196">
        <v>6.9059999999999997</v>
      </c>
      <c r="CB196">
        <v>-1.899</v>
      </c>
      <c r="CC196">
        <v>-7</v>
      </c>
      <c r="CD196">
        <v>5</v>
      </c>
      <c r="CE196">
        <v>0.13</v>
      </c>
      <c r="CF196">
        <v>0.12</v>
      </c>
      <c r="CG196">
        <v>-7.1304670491803286</v>
      </c>
      <c r="CH196">
        <v>0.21198339502908031</v>
      </c>
      <c r="CI196">
        <v>4.7174597788837251E-2</v>
      </c>
      <c r="CJ196">
        <v>-1</v>
      </c>
      <c r="CK196">
        <v>500.06021311475399</v>
      </c>
      <c r="CL196">
        <v>-0.69612691697563656</v>
      </c>
      <c r="CM196">
        <v>0.23879307969447161</v>
      </c>
      <c r="CN196">
        <v>-1</v>
      </c>
      <c r="CO196">
        <v>0</v>
      </c>
      <c r="CP196">
        <v>0</v>
      </c>
      <c r="CQ196" t="s">
        <v>319</v>
      </c>
      <c r="CR196">
        <v>3.16934</v>
      </c>
      <c r="CS196">
        <v>2.6680199999999998</v>
      </c>
      <c r="CT196">
        <v>-3.7660800000000002E-3</v>
      </c>
      <c r="CU196">
        <v>-2.0189700000000001E-3</v>
      </c>
      <c r="CV196">
        <v>3.95871E-2</v>
      </c>
      <c r="CW196">
        <v>3.2096300000000001E-2</v>
      </c>
      <c r="CX196">
        <v>21307.3</v>
      </c>
      <c r="CY196">
        <v>21724.1</v>
      </c>
      <c r="CZ196">
        <v>22764.3</v>
      </c>
      <c r="DA196">
        <v>22052.5</v>
      </c>
      <c r="DB196">
        <v>28220.400000000001</v>
      </c>
      <c r="DC196">
        <v>25409.200000000001</v>
      </c>
      <c r="DD196">
        <v>40066.5</v>
      </c>
      <c r="DE196">
        <v>36494.400000000001</v>
      </c>
      <c r="DF196">
        <v>1.9975400000000001</v>
      </c>
      <c r="DG196">
        <v>1.6103400000000001</v>
      </c>
      <c r="DH196">
        <v>-1.7863500000000001E-2</v>
      </c>
      <c r="DI196">
        <v>0</v>
      </c>
      <c r="DJ196">
        <v>33.6098</v>
      </c>
      <c r="DK196">
        <v>999.9</v>
      </c>
      <c r="DL196">
        <v>54.7</v>
      </c>
      <c r="DM196">
        <v>43.8</v>
      </c>
      <c r="DN196">
        <v>49.5246</v>
      </c>
      <c r="DO196">
        <v>30.619399999999999</v>
      </c>
      <c r="DP196">
        <v>10.641</v>
      </c>
      <c r="DQ196">
        <v>1</v>
      </c>
      <c r="DR196">
        <v>0.93713800000000003</v>
      </c>
      <c r="DS196">
        <v>1.14534</v>
      </c>
      <c r="DT196">
        <v>20.357900000000001</v>
      </c>
      <c r="DU196">
        <v>5.2100999999999997</v>
      </c>
      <c r="DV196">
        <v>11.8568</v>
      </c>
      <c r="DW196">
        <v>4.9673999999999996</v>
      </c>
      <c r="DX196">
        <v>3.2930000000000001</v>
      </c>
      <c r="DY196">
        <v>894.7</v>
      </c>
      <c r="DZ196">
        <v>6</v>
      </c>
      <c r="EA196">
        <v>9999</v>
      </c>
      <c r="EB196">
        <v>118.7</v>
      </c>
      <c r="EC196">
        <v>4.97159</v>
      </c>
      <c r="ED196">
        <v>1.8721000000000001</v>
      </c>
      <c r="EE196">
        <v>1.86941</v>
      </c>
      <c r="EF196">
        <v>1.8717699999999999</v>
      </c>
      <c r="EG196">
        <v>1.86951</v>
      </c>
      <c r="EH196">
        <v>1.8683700000000001</v>
      </c>
      <c r="EI196">
        <v>1.87016</v>
      </c>
      <c r="EJ196">
        <v>1.8719399999999999</v>
      </c>
      <c r="EK196">
        <v>0</v>
      </c>
      <c r="EL196">
        <v>0</v>
      </c>
      <c r="EM196">
        <v>0</v>
      </c>
      <c r="EN196">
        <v>0</v>
      </c>
      <c r="EO196" t="s">
        <v>320</v>
      </c>
      <c r="EP196" t="s">
        <v>321</v>
      </c>
      <c r="EQ196" t="s">
        <v>322</v>
      </c>
      <c r="ER196" t="s">
        <v>322</v>
      </c>
      <c r="ES196" t="s">
        <v>322</v>
      </c>
      <c r="ET196" t="s">
        <v>322</v>
      </c>
      <c r="EU196">
        <v>0</v>
      </c>
      <c r="EV196">
        <v>100</v>
      </c>
      <c r="EW196">
        <v>100</v>
      </c>
      <c r="EX196">
        <v>6.9059999999999997</v>
      </c>
      <c r="EY196">
        <v>-1.899</v>
      </c>
      <c r="EZ196">
        <v>6.9026510000000014</v>
      </c>
      <c r="FA196">
        <v>0</v>
      </c>
      <c r="FB196">
        <v>0</v>
      </c>
      <c r="FC196">
        <v>0</v>
      </c>
      <c r="FD196">
        <v>-1.9021861904761901</v>
      </c>
      <c r="FE196">
        <v>0</v>
      </c>
      <c r="FF196">
        <v>0</v>
      </c>
      <c r="FG196">
        <v>0</v>
      </c>
      <c r="FH196">
        <v>-1</v>
      </c>
      <c r="FI196">
        <v>-1</v>
      </c>
      <c r="FJ196">
        <v>-1</v>
      </c>
      <c r="FK196">
        <v>-1</v>
      </c>
      <c r="FL196">
        <v>0.7</v>
      </c>
      <c r="FM196">
        <v>0.6</v>
      </c>
      <c r="FN196">
        <v>0.13916000000000001</v>
      </c>
      <c r="FO196">
        <v>4.99756</v>
      </c>
      <c r="FP196">
        <v>1.5979000000000001</v>
      </c>
      <c r="FQ196">
        <v>2.1118199999999998</v>
      </c>
      <c r="FR196">
        <v>1.5478499999999999</v>
      </c>
      <c r="FS196">
        <v>2.4352999999999998</v>
      </c>
      <c r="FT196">
        <v>46.679000000000002</v>
      </c>
      <c r="FU196">
        <v>14.727399999999999</v>
      </c>
      <c r="FV196">
        <v>2</v>
      </c>
      <c r="FW196">
        <v>507.71199999999999</v>
      </c>
      <c r="FX196">
        <v>349.39299999999997</v>
      </c>
      <c r="FY196">
        <v>33.025199999999998</v>
      </c>
      <c r="FZ196">
        <v>38.620600000000003</v>
      </c>
      <c r="GA196">
        <v>29.999400000000001</v>
      </c>
      <c r="GB196">
        <v>38.925199999999997</v>
      </c>
      <c r="GC196">
        <v>38.970100000000002</v>
      </c>
      <c r="GD196">
        <v>-1</v>
      </c>
      <c r="GE196">
        <v>0</v>
      </c>
      <c r="GF196">
        <v>100</v>
      </c>
      <c r="GG196">
        <v>33.026200000000003</v>
      </c>
      <c r="GH196">
        <v>432.1</v>
      </c>
      <c r="GI196">
        <v>44.267099999999999</v>
      </c>
      <c r="GJ196">
        <v>100.8</v>
      </c>
      <c r="GK196">
        <v>95.278700000000001</v>
      </c>
    </row>
    <row r="197" spans="1:193" x14ac:dyDescent="0.35">
      <c r="A197">
        <v>181</v>
      </c>
      <c r="B197">
        <v>1775542827.5999999</v>
      </c>
      <c r="C197">
        <v>10801.5</v>
      </c>
      <c r="D197" t="s">
        <v>860</v>
      </c>
      <c r="E197" t="s">
        <v>861</v>
      </c>
      <c r="F197">
        <v>60</v>
      </c>
      <c r="G197">
        <v>1775542819.849999</v>
      </c>
      <c r="H197">
        <f t="shared" si="60"/>
        <v>8.8642270063632044E-4</v>
      </c>
      <c r="I197">
        <f t="shared" si="61"/>
        <v>0.88642270063632045</v>
      </c>
      <c r="J197">
        <f t="shared" si="62"/>
        <v>-1.8701558862672167</v>
      </c>
      <c r="K197">
        <f t="shared" si="63"/>
        <v>-6.0527966666666657</v>
      </c>
      <c r="L197">
        <f t="shared" si="64"/>
        <v>149.80073874741592</v>
      </c>
      <c r="M197">
        <f t="shared" si="65"/>
        <v>14.992974767791456</v>
      </c>
      <c r="N197">
        <f t="shared" si="66"/>
        <v>-0.60580093567443094</v>
      </c>
      <c r="O197">
        <f t="shared" si="67"/>
        <v>1.8613765610157311E-2</v>
      </c>
      <c r="P197">
        <f t="shared" si="68"/>
        <v>2.3890947606969863</v>
      </c>
      <c r="Q197">
        <f t="shared" si="69"/>
        <v>1.8533572398392224E-2</v>
      </c>
      <c r="R197">
        <f t="shared" si="70"/>
        <v>1.1590658896204446E-2</v>
      </c>
      <c r="S197">
        <f t="shared" si="71"/>
        <v>0.13642383118000001</v>
      </c>
      <c r="T197">
        <f t="shared" si="72"/>
        <v>32.898332050391119</v>
      </c>
      <c r="U197">
        <f t="shared" si="73"/>
        <v>33.283540000000002</v>
      </c>
      <c r="V197">
        <f t="shared" si="74"/>
        <v>5.1331550768576815</v>
      </c>
      <c r="W197">
        <f t="shared" si="75"/>
        <v>9.4179882661390657</v>
      </c>
      <c r="X197">
        <f t="shared" si="76"/>
        <v>0.48048597351129896</v>
      </c>
      <c r="Y197">
        <f t="shared" si="77"/>
        <v>5.101789893270654</v>
      </c>
      <c r="Z197">
        <f t="shared" si="78"/>
        <v>4.6526691033463825</v>
      </c>
      <c r="AA197">
        <f t="shared" si="79"/>
        <v>-39.09124109806173</v>
      </c>
      <c r="AB197">
        <f t="shared" si="80"/>
        <v>-14.07321312872725</v>
      </c>
      <c r="AC197">
        <f t="shared" si="81"/>
        <v>-1.3521026657072288</v>
      </c>
      <c r="AD197">
        <f t="shared" si="82"/>
        <v>-54.380133061316215</v>
      </c>
      <c r="AE197">
        <v>5</v>
      </c>
      <c r="AF197">
        <v>1</v>
      </c>
      <c r="AG197">
        <f t="shared" si="83"/>
        <v>1</v>
      </c>
      <c r="AH197">
        <f t="shared" si="84"/>
        <v>0</v>
      </c>
      <c r="AI197">
        <f t="shared" si="85"/>
        <v>25022.513657356951</v>
      </c>
      <c r="AJ197">
        <f t="shared" si="86"/>
        <v>0.71388713333333342</v>
      </c>
      <c r="AK197">
        <f t="shared" si="87"/>
        <v>0.57110970666666672</v>
      </c>
      <c r="AL197">
        <f t="shared" si="88"/>
        <v>0.8</v>
      </c>
      <c r="AM197">
        <f t="shared" si="89"/>
        <v>0.19109999999999999</v>
      </c>
      <c r="AN197">
        <v>3</v>
      </c>
      <c r="AO197">
        <v>0.5</v>
      </c>
      <c r="AP197" t="s">
        <v>317</v>
      </c>
      <c r="AQ197">
        <v>2</v>
      </c>
      <c r="AR197">
        <v>1775542819.849999</v>
      </c>
      <c r="AS197">
        <v>-6.0527966666666657</v>
      </c>
      <c r="AT197">
        <v>-7.1780746666666646</v>
      </c>
      <c r="AU197">
        <v>4.8007253333333342</v>
      </c>
      <c r="AV197">
        <v>4.2714413333333336</v>
      </c>
      <c r="AW197">
        <v>-12.975796666666669</v>
      </c>
      <c r="AX197">
        <v>6.163441333333334</v>
      </c>
      <c r="AY197">
        <v>500.01543333333319</v>
      </c>
      <c r="AZ197">
        <v>100.0400666666667</v>
      </c>
      <c r="BA197">
        <v>4.6053690000000001E-2</v>
      </c>
      <c r="BB197">
        <v>33.174276666666657</v>
      </c>
      <c r="BC197">
        <v>33.283540000000002</v>
      </c>
      <c r="BD197">
        <v>999.9000000000002</v>
      </c>
      <c r="BE197">
        <v>0</v>
      </c>
      <c r="BF197">
        <v>0</v>
      </c>
      <c r="BG197">
        <v>5000.7333333333336</v>
      </c>
      <c r="BH197">
        <v>0.71388713333333342</v>
      </c>
      <c r="BI197">
        <v>484.00273333333342</v>
      </c>
      <c r="BJ197">
        <v>1.1085062333333331</v>
      </c>
      <c r="BK197">
        <v>-6.0955639999999987</v>
      </c>
      <c r="BL197">
        <v>-7.2126996666666683</v>
      </c>
      <c r="BM197">
        <v>-0.53640470000000007</v>
      </c>
      <c r="BN197">
        <v>-7.1780746666666646</v>
      </c>
      <c r="BO197">
        <v>4.8007253333333342</v>
      </c>
      <c r="BP197">
        <v>0.4266030666666667</v>
      </c>
      <c r="BQ197">
        <v>0.48026503333333331</v>
      </c>
      <c r="BR197">
        <v>-4.9039923333333331</v>
      </c>
      <c r="BS197">
        <v>-3.3278216666666669</v>
      </c>
      <c r="BT197">
        <v>1775542849.5999999</v>
      </c>
      <c r="BU197" t="s">
        <v>862</v>
      </c>
      <c r="BV197">
        <v>1775542845.0999999</v>
      </c>
      <c r="BW197">
        <v>1775542849.5999999</v>
      </c>
      <c r="BX197">
        <v>182</v>
      </c>
      <c r="BY197">
        <v>1.6E-2</v>
      </c>
      <c r="BZ197">
        <v>7.0000000000000001E-3</v>
      </c>
      <c r="CA197">
        <v>6.923</v>
      </c>
      <c r="CB197">
        <v>-1.8919999999999999</v>
      </c>
      <c r="CC197">
        <v>-8</v>
      </c>
      <c r="CD197">
        <v>5</v>
      </c>
      <c r="CE197">
        <v>0.15</v>
      </c>
      <c r="CF197">
        <v>0.13</v>
      </c>
      <c r="CG197">
        <v>-7.081805833333334</v>
      </c>
      <c r="CH197">
        <v>-0.83879403167547462</v>
      </c>
      <c r="CI197">
        <v>0.14874662806589001</v>
      </c>
      <c r="CJ197">
        <v>-1</v>
      </c>
      <c r="CK197">
        <v>500.00966666666659</v>
      </c>
      <c r="CL197">
        <v>2.3186440678761439E-2</v>
      </c>
      <c r="CM197">
        <v>7.6606280566429402E-2</v>
      </c>
      <c r="CN197">
        <v>-1</v>
      </c>
      <c r="CO197">
        <v>0</v>
      </c>
      <c r="CP197">
        <v>0</v>
      </c>
      <c r="CQ197" t="s">
        <v>319</v>
      </c>
      <c r="CR197">
        <v>3.1693199999999999</v>
      </c>
      <c r="CS197">
        <v>2.66723</v>
      </c>
      <c r="CT197">
        <v>-3.8129100000000001E-3</v>
      </c>
      <c r="CU197">
        <v>-2.1740399999999999E-3</v>
      </c>
      <c r="CV197">
        <v>3.9580700000000003E-2</v>
      </c>
      <c r="CW197">
        <v>3.1593900000000001E-2</v>
      </c>
      <c r="CX197">
        <v>21312.5</v>
      </c>
      <c r="CY197">
        <v>21730.6</v>
      </c>
      <c r="CZ197">
        <v>22768.400000000001</v>
      </c>
      <c r="DA197">
        <v>22055.4</v>
      </c>
      <c r="DB197">
        <v>28225.4</v>
      </c>
      <c r="DC197">
        <v>25426.3</v>
      </c>
      <c r="DD197">
        <v>40073</v>
      </c>
      <c r="DE197">
        <v>36499.599999999999</v>
      </c>
      <c r="DF197">
        <v>1.9984999999999999</v>
      </c>
      <c r="DG197">
        <v>1.6133999999999999</v>
      </c>
      <c r="DH197">
        <v>-1.4454099999999999E-2</v>
      </c>
      <c r="DI197">
        <v>0</v>
      </c>
      <c r="DJ197">
        <v>33.530700000000003</v>
      </c>
      <c r="DK197">
        <v>999.9</v>
      </c>
      <c r="DL197">
        <v>54.8</v>
      </c>
      <c r="DM197">
        <v>43.7</v>
      </c>
      <c r="DN197">
        <v>49.359900000000003</v>
      </c>
      <c r="DO197">
        <v>30.619399999999999</v>
      </c>
      <c r="DP197">
        <v>10.5809</v>
      </c>
      <c r="DQ197">
        <v>1</v>
      </c>
      <c r="DR197">
        <v>0.92745699999999998</v>
      </c>
      <c r="DS197">
        <v>1.0163</v>
      </c>
      <c r="DT197">
        <v>20.359500000000001</v>
      </c>
      <c r="DU197">
        <v>5.2102199999999996</v>
      </c>
      <c r="DV197">
        <v>11.854799999999999</v>
      </c>
      <c r="DW197">
        <v>4.9673999999999996</v>
      </c>
      <c r="DX197">
        <v>3.2930000000000001</v>
      </c>
      <c r="DY197">
        <v>894.7</v>
      </c>
      <c r="DZ197">
        <v>6</v>
      </c>
      <c r="EA197">
        <v>9999</v>
      </c>
      <c r="EB197">
        <v>118.7</v>
      </c>
      <c r="EC197">
        <v>4.9715699999999998</v>
      </c>
      <c r="ED197">
        <v>1.87208</v>
      </c>
      <c r="EE197">
        <v>1.86937</v>
      </c>
      <c r="EF197">
        <v>1.8717600000000001</v>
      </c>
      <c r="EG197">
        <v>1.86951</v>
      </c>
      <c r="EH197">
        <v>1.86832</v>
      </c>
      <c r="EI197">
        <v>1.8701399999999999</v>
      </c>
      <c r="EJ197">
        <v>1.87191</v>
      </c>
      <c r="EK197">
        <v>0</v>
      </c>
      <c r="EL197">
        <v>0</v>
      </c>
      <c r="EM197">
        <v>0</v>
      </c>
      <c r="EN197">
        <v>0</v>
      </c>
      <c r="EO197" t="s">
        <v>320</v>
      </c>
      <c r="EP197" t="s">
        <v>321</v>
      </c>
      <c r="EQ197" t="s">
        <v>322</v>
      </c>
      <c r="ER197" t="s">
        <v>322</v>
      </c>
      <c r="ES197" t="s">
        <v>322</v>
      </c>
      <c r="ET197" t="s">
        <v>322</v>
      </c>
      <c r="EU197">
        <v>0</v>
      </c>
      <c r="EV197">
        <v>100</v>
      </c>
      <c r="EW197">
        <v>100</v>
      </c>
      <c r="EX197">
        <v>6.923</v>
      </c>
      <c r="EY197">
        <v>-1.8919999999999999</v>
      </c>
      <c r="EZ197">
        <v>6.9062314999999996</v>
      </c>
      <c r="FA197">
        <v>0</v>
      </c>
      <c r="FB197">
        <v>0</v>
      </c>
      <c r="FC197">
        <v>0</v>
      </c>
      <c r="FD197">
        <v>-1.899120476190475</v>
      </c>
      <c r="FE197">
        <v>0</v>
      </c>
      <c r="FF197">
        <v>0</v>
      </c>
      <c r="FG197">
        <v>0</v>
      </c>
      <c r="FH197">
        <v>-1</v>
      </c>
      <c r="FI197">
        <v>-1</v>
      </c>
      <c r="FJ197">
        <v>-1</v>
      </c>
      <c r="FK197">
        <v>-1</v>
      </c>
      <c r="FL197">
        <v>0.7</v>
      </c>
      <c r="FM197">
        <v>0.7</v>
      </c>
      <c r="FN197">
        <v>0.13916000000000001</v>
      </c>
      <c r="FO197">
        <v>4.99756</v>
      </c>
      <c r="FP197">
        <v>1.5979000000000001</v>
      </c>
      <c r="FQ197">
        <v>2.1105999999999998</v>
      </c>
      <c r="FR197">
        <v>1.5478499999999999</v>
      </c>
      <c r="FS197">
        <v>2.4414099999999999</v>
      </c>
      <c r="FT197">
        <v>46.561500000000002</v>
      </c>
      <c r="FU197">
        <v>14.727399999999999</v>
      </c>
      <c r="FV197">
        <v>2</v>
      </c>
      <c r="FW197">
        <v>507.64</v>
      </c>
      <c r="FX197">
        <v>350.59199999999998</v>
      </c>
      <c r="FY197">
        <v>33.039099999999998</v>
      </c>
      <c r="FZ197">
        <v>38.512900000000002</v>
      </c>
      <c r="GA197">
        <v>29.999199999999998</v>
      </c>
      <c r="GB197">
        <v>38.827399999999997</v>
      </c>
      <c r="GC197">
        <v>38.875</v>
      </c>
      <c r="GD197">
        <v>-1</v>
      </c>
      <c r="GE197">
        <v>0</v>
      </c>
      <c r="GF197">
        <v>100</v>
      </c>
      <c r="GG197">
        <v>33.057200000000002</v>
      </c>
      <c r="GH197">
        <v>432.1</v>
      </c>
      <c r="GI197">
        <v>44.267099999999999</v>
      </c>
      <c r="GJ197">
        <v>100.81699999999999</v>
      </c>
      <c r="GK197">
        <v>95.291899999999998</v>
      </c>
    </row>
    <row r="198" spans="1:193" x14ac:dyDescent="0.35">
      <c r="A198">
        <v>182</v>
      </c>
      <c r="B198">
        <v>1775542887.5999999</v>
      </c>
      <c r="C198">
        <v>10861.5</v>
      </c>
      <c r="D198" t="s">
        <v>863</v>
      </c>
      <c r="E198" t="s">
        <v>864</v>
      </c>
      <c r="F198">
        <v>60</v>
      </c>
      <c r="G198">
        <v>1775542879.599999</v>
      </c>
      <c r="H198">
        <f t="shared" si="60"/>
        <v>2.9245558491899069E-4</v>
      </c>
      <c r="I198">
        <f t="shared" si="61"/>
        <v>0.29245558491899071</v>
      </c>
      <c r="J198">
        <f t="shared" si="62"/>
        <v>-1.3488164608481492</v>
      </c>
      <c r="K198">
        <f t="shared" si="63"/>
        <v>-6.8746129032258052</v>
      </c>
      <c r="L198">
        <f t="shared" si="64"/>
        <v>334.74216078020072</v>
      </c>
      <c r="M198">
        <f t="shared" si="65"/>
        <v>33.503825469091083</v>
      </c>
      <c r="N198">
        <f t="shared" si="66"/>
        <v>-0.68806937954993985</v>
      </c>
      <c r="O198">
        <f t="shared" si="67"/>
        <v>6.100184901973481E-3</v>
      </c>
      <c r="P198">
        <f t="shared" si="68"/>
        <v>2.3884720369857604</v>
      </c>
      <c r="Q198">
        <f t="shared" si="69"/>
        <v>6.091542621121695E-3</v>
      </c>
      <c r="R198">
        <f t="shared" si="70"/>
        <v>3.8079895757943657E-3</v>
      </c>
      <c r="S198">
        <f t="shared" si="71"/>
        <v>0.1347441599903226</v>
      </c>
      <c r="T198">
        <f t="shared" si="72"/>
        <v>33.096550721654779</v>
      </c>
      <c r="U198">
        <f t="shared" si="73"/>
        <v>33.307658064516133</v>
      </c>
      <c r="V198">
        <f t="shared" si="74"/>
        <v>5.1401009762098333</v>
      </c>
      <c r="W198">
        <f t="shared" si="75"/>
        <v>9.1961523763997519</v>
      </c>
      <c r="X198">
        <f t="shared" si="76"/>
        <v>0.46950286403951091</v>
      </c>
      <c r="Y198">
        <f t="shared" si="77"/>
        <v>5.1054271919678538</v>
      </c>
      <c r="Z198">
        <f t="shared" si="78"/>
        <v>4.6705981121703228</v>
      </c>
      <c r="AA198">
        <f t="shared" si="79"/>
        <v>-12.89729129492749</v>
      </c>
      <c r="AB198">
        <f t="shared" si="80"/>
        <v>-15.539721377669276</v>
      </c>
      <c r="AC198">
        <f t="shared" si="81"/>
        <v>-1.493658009982672</v>
      </c>
      <c r="AD198">
        <f t="shared" si="82"/>
        <v>-29.795926522589113</v>
      </c>
      <c r="AE198">
        <v>4</v>
      </c>
      <c r="AF198">
        <v>1</v>
      </c>
      <c r="AG198">
        <f t="shared" si="83"/>
        <v>1</v>
      </c>
      <c r="AH198">
        <f t="shared" si="84"/>
        <v>0</v>
      </c>
      <c r="AI198">
        <f t="shared" si="85"/>
        <v>25012.106356716547</v>
      </c>
      <c r="AJ198">
        <f t="shared" si="86"/>
        <v>0.70509764516129048</v>
      </c>
      <c r="AK198">
        <f t="shared" si="87"/>
        <v>0.56407811612903236</v>
      </c>
      <c r="AL198">
        <f t="shared" si="88"/>
        <v>0.8</v>
      </c>
      <c r="AM198">
        <f t="shared" si="89"/>
        <v>0.19109999999999999</v>
      </c>
      <c r="AN198">
        <v>3</v>
      </c>
      <c r="AO198">
        <v>0.5</v>
      </c>
      <c r="AP198" t="s">
        <v>317</v>
      </c>
      <c r="AQ198">
        <v>2</v>
      </c>
      <c r="AR198">
        <v>1775542879.599999</v>
      </c>
      <c r="AS198">
        <v>-6.8746129032258052</v>
      </c>
      <c r="AT198">
        <v>-7.6851035483870982</v>
      </c>
      <c r="AU198">
        <v>4.6908793548387093</v>
      </c>
      <c r="AV198">
        <v>4.5162303225806442</v>
      </c>
      <c r="AW198">
        <v>-13.843612903225811</v>
      </c>
      <c r="AX198">
        <v>6.4022303225806443</v>
      </c>
      <c r="AY198">
        <v>500.00341935483863</v>
      </c>
      <c r="AZ198">
        <v>100.04232258064521</v>
      </c>
      <c r="BA198">
        <v>4.6131741935483861E-2</v>
      </c>
      <c r="BB198">
        <v>33.186977419354839</v>
      </c>
      <c r="BC198">
        <v>33.307658064516133</v>
      </c>
      <c r="BD198">
        <v>999.90000000000032</v>
      </c>
      <c r="BE198">
        <v>0</v>
      </c>
      <c r="BF198">
        <v>0</v>
      </c>
      <c r="BG198">
        <v>4999.0161290322594</v>
      </c>
      <c r="BH198">
        <v>0.70509764516129048</v>
      </c>
      <c r="BI198">
        <v>465.2103225806452</v>
      </c>
      <c r="BJ198">
        <v>0.76405706451612898</v>
      </c>
      <c r="BK198">
        <v>-6.952401612903226</v>
      </c>
      <c r="BL198">
        <v>-7.7213219354838714</v>
      </c>
      <c r="BM198">
        <v>-0.18080296774193549</v>
      </c>
      <c r="BN198">
        <v>-7.6851035483870982</v>
      </c>
      <c r="BO198">
        <v>4.6908793548387093</v>
      </c>
      <c r="BP198">
        <v>0.45119874193548393</v>
      </c>
      <c r="BQ198">
        <v>0.46928674193548381</v>
      </c>
      <c r="BR198">
        <v>-4.160892258064516</v>
      </c>
      <c r="BS198">
        <v>-3.6370703225806449</v>
      </c>
      <c r="BT198">
        <v>1775542911.5999999</v>
      </c>
      <c r="BU198" t="s">
        <v>865</v>
      </c>
      <c r="BV198">
        <v>1775542911.5999999</v>
      </c>
      <c r="BW198">
        <v>1775542907.5999999</v>
      </c>
      <c r="BX198">
        <v>183</v>
      </c>
      <c r="BY198">
        <v>4.7E-2</v>
      </c>
      <c r="BZ198">
        <v>6.0000000000000001E-3</v>
      </c>
      <c r="CA198">
        <v>6.9690000000000003</v>
      </c>
      <c r="CB198">
        <v>-1.8859999999999999</v>
      </c>
      <c r="CC198">
        <v>-6</v>
      </c>
      <c r="CD198">
        <v>5</v>
      </c>
      <c r="CE198">
        <v>0.56999999999999995</v>
      </c>
      <c r="CF198">
        <v>0.16</v>
      </c>
      <c r="CG198">
        <v>-7.7392904999999983</v>
      </c>
      <c r="CH198">
        <v>0.51078585162544465</v>
      </c>
      <c r="CI198">
        <v>7.7451524504578526E-2</v>
      </c>
      <c r="CJ198">
        <v>-1</v>
      </c>
      <c r="CK198">
        <v>500.03193333333331</v>
      </c>
      <c r="CL198">
        <v>-0.38297304806795152</v>
      </c>
      <c r="CM198">
        <v>0.17305903295953259</v>
      </c>
      <c r="CN198">
        <v>-1</v>
      </c>
      <c r="CO198">
        <v>0</v>
      </c>
      <c r="CP198">
        <v>0</v>
      </c>
      <c r="CQ198" t="s">
        <v>319</v>
      </c>
      <c r="CR198">
        <v>3.1694100000000001</v>
      </c>
      <c r="CS198">
        <v>2.6677</v>
      </c>
      <c r="CT198">
        <v>-3.9952199999999998E-3</v>
      </c>
      <c r="CU198">
        <v>-2.1891100000000002E-3</v>
      </c>
      <c r="CV198">
        <v>4.0792599999999998E-2</v>
      </c>
      <c r="CW198">
        <v>3.1237500000000001E-2</v>
      </c>
      <c r="CX198">
        <v>21320.7</v>
      </c>
      <c r="CY198">
        <v>21734.9</v>
      </c>
      <c r="CZ198">
        <v>22772.6</v>
      </c>
      <c r="DA198">
        <v>22059.1</v>
      </c>
      <c r="DB198">
        <v>28194.6</v>
      </c>
      <c r="DC198">
        <v>25440.5</v>
      </c>
      <c r="DD198">
        <v>40079.5</v>
      </c>
      <c r="DE198">
        <v>36506.199999999997</v>
      </c>
      <c r="DF198">
        <v>2.0003000000000002</v>
      </c>
      <c r="DG198">
        <v>1.6140600000000001</v>
      </c>
      <c r="DH198">
        <v>-6.3717399999999999E-3</v>
      </c>
      <c r="DI198">
        <v>0</v>
      </c>
      <c r="DJ198">
        <v>33.421300000000002</v>
      </c>
      <c r="DK198">
        <v>999.9</v>
      </c>
      <c r="DL198">
        <v>54.9</v>
      </c>
      <c r="DM198">
        <v>43.6</v>
      </c>
      <c r="DN198">
        <v>49.197499999999998</v>
      </c>
      <c r="DO198">
        <v>30.7394</v>
      </c>
      <c r="DP198">
        <v>10.448700000000001</v>
      </c>
      <c r="DQ198">
        <v>1</v>
      </c>
      <c r="DR198">
        <v>0.91656300000000002</v>
      </c>
      <c r="DS198">
        <v>0.84235899999999997</v>
      </c>
      <c r="DT198">
        <v>20.360800000000001</v>
      </c>
      <c r="DU198">
        <v>5.2093800000000003</v>
      </c>
      <c r="DV198">
        <v>11.855</v>
      </c>
      <c r="DW198">
        <v>4.9672799999999997</v>
      </c>
      <c r="DX198">
        <v>3.2930000000000001</v>
      </c>
      <c r="DY198">
        <v>894.7</v>
      </c>
      <c r="DZ198">
        <v>6</v>
      </c>
      <c r="EA198">
        <v>9999</v>
      </c>
      <c r="EB198">
        <v>118.8</v>
      </c>
      <c r="EC198">
        <v>4.9715699999999998</v>
      </c>
      <c r="ED198">
        <v>1.8721000000000001</v>
      </c>
      <c r="EE198">
        <v>1.8693500000000001</v>
      </c>
      <c r="EF198">
        <v>1.8716999999999999</v>
      </c>
      <c r="EG198">
        <v>1.86951</v>
      </c>
      <c r="EH198">
        <v>1.86832</v>
      </c>
      <c r="EI198">
        <v>1.8701300000000001</v>
      </c>
      <c r="EJ198">
        <v>1.8719300000000001</v>
      </c>
      <c r="EK198">
        <v>0</v>
      </c>
      <c r="EL198">
        <v>0</v>
      </c>
      <c r="EM198">
        <v>0</v>
      </c>
      <c r="EN198">
        <v>0</v>
      </c>
      <c r="EO198" t="s">
        <v>320</v>
      </c>
      <c r="EP198" t="s">
        <v>321</v>
      </c>
      <c r="EQ198" t="s">
        <v>322</v>
      </c>
      <c r="ER198" t="s">
        <v>322</v>
      </c>
      <c r="ES198" t="s">
        <v>322</v>
      </c>
      <c r="ET198" t="s">
        <v>322</v>
      </c>
      <c r="EU198">
        <v>0</v>
      </c>
      <c r="EV198">
        <v>100</v>
      </c>
      <c r="EW198">
        <v>100</v>
      </c>
      <c r="EX198">
        <v>6.9690000000000003</v>
      </c>
      <c r="EY198">
        <v>-1.8859999999999999</v>
      </c>
      <c r="EZ198">
        <v>6.9225733333333324</v>
      </c>
      <c r="FA198">
        <v>0</v>
      </c>
      <c r="FB198">
        <v>0</v>
      </c>
      <c r="FC198">
        <v>0</v>
      </c>
      <c r="FD198">
        <v>-1.8921545</v>
      </c>
      <c r="FE198">
        <v>0</v>
      </c>
      <c r="FF198">
        <v>0</v>
      </c>
      <c r="FG198">
        <v>0</v>
      </c>
      <c r="FH198">
        <v>-1</v>
      </c>
      <c r="FI198">
        <v>-1</v>
      </c>
      <c r="FJ198">
        <v>-1</v>
      </c>
      <c r="FK198">
        <v>-1</v>
      </c>
      <c r="FL198">
        <v>0.7</v>
      </c>
      <c r="FM198">
        <v>0.6</v>
      </c>
      <c r="FN198">
        <v>0.13916000000000001</v>
      </c>
      <c r="FO198">
        <v>4.99756</v>
      </c>
      <c r="FP198">
        <v>1.5979000000000001</v>
      </c>
      <c r="FQ198">
        <v>2.1118199999999998</v>
      </c>
      <c r="FR198">
        <v>1.5478499999999999</v>
      </c>
      <c r="FS198">
        <v>2.50244</v>
      </c>
      <c r="FT198">
        <v>46.414999999999999</v>
      </c>
      <c r="FU198">
        <v>14.727399999999999</v>
      </c>
      <c r="FV198">
        <v>2</v>
      </c>
      <c r="FW198">
        <v>508.01400000000001</v>
      </c>
      <c r="FX198">
        <v>350.43700000000001</v>
      </c>
      <c r="FY198">
        <v>33.209299999999999</v>
      </c>
      <c r="FZ198">
        <v>38.394500000000001</v>
      </c>
      <c r="GA198">
        <v>29.999199999999998</v>
      </c>
      <c r="GB198">
        <v>38.718699999999998</v>
      </c>
      <c r="GC198">
        <v>38.768000000000001</v>
      </c>
      <c r="GD198">
        <v>-1</v>
      </c>
      <c r="GE198">
        <v>0</v>
      </c>
      <c r="GF198">
        <v>100</v>
      </c>
      <c r="GG198">
        <v>33.216900000000003</v>
      </c>
      <c r="GH198">
        <v>432.1</v>
      </c>
      <c r="GI198">
        <v>44.267099999999999</v>
      </c>
      <c r="GJ198">
        <v>100.834</v>
      </c>
      <c r="GK198">
        <v>95.308800000000005</v>
      </c>
    </row>
    <row r="199" spans="1:193" x14ac:dyDescent="0.35">
      <c r="A199">
        <v>183</v>
      </c>
      <c r="B199">
        <v>1775542947.5999999</v>
      </c>
      <c r="C199">
        <v>10921.5</v>
      </c>
      <c r="D199" t="s">
        <v>866</v>
      </c>
      <c r="E199" t="s">
        <v>867</v>
      </c>
      <c r="F199">
        <v>60</v>
      </c>
      <c r="G199">
        <v>1775542939.599999</v>
      </c>
      <c r="H199">
        <f t="shared" si="60"/>
        <v>4.5686878056584246E-4</v>
      </c>
      <c r="I199">
        <f t="shared" si="61"/>
        <v>0.45686878056584246</v>
      </c>
      <c r="J199">
        <f t="shared" si="62"/>
        <v>-1.5496806128002816</v>
      </c>
      <c r="K199">
        <f t="shared" si="63"/>
        <v>-6.2180483870967711</v>
      </c>
      <c r="L199">
        <f t="shared" si="64"/>
        <v>244.51689505284833</v>
      </c>
      <c r="M199">
        <f t="shared" si="65"/>
        <v>24.473934879407857</v>
      </c>
      <c r="N199">
        <f t="shared" si="66"/>
        <v>-0.62237053709487933</v>
      </c>
      <c r="O199">
        <f t="shared" si="67"/>
        <v>9.5596659636033293E-3</v>
      </c>
      <c r="P199">
        <f t="shared" si="68"/>
        <v>2.3905107693313785</v>
      </c>
      <c r="Q199">
        <f t="shared" si="69"/>
        <v>9.5384783741829342E-3</v>
      </c>
      <c r="R199">
        <f t="shared" si="70"/>
        <v>5.9634486543563951E-3</v>
      </c>
      <c r="S199">
        <f t="shared" si="71"/>
        <v>0.13421323487419354</v>
      </c>
      <c r="T199">
        <f t="shared" si="72"/>
        <v>33.023223600985787</v>
      </c>
      <c r="U199">
        <f t="shared" si="73"/>
        <v>33.273351612903227</v>
      </c>
      <c r="V199">
        <f t="shared" si="74"/>
        <v>5.1302233191346263</v>
      </c>
      <c r="W199">
        <f t="shared" si="75"/>
        <v>9.2220955933245232</v>
      </c>
      <c r="X199">
        <f t="shared" si="76"/>
        <v>0.47024494125291105</v>
      </c>
      <c r="Y199">
        <f t="shared" si="77"/>
        <v>5.0991115467649362</v>
      </c>
      <c r="Z199">
        <f t="shared" si="78"/>
        <v>4.659978377881715</v>
      </c>
      <c r="AA199">
        <f t="shared" si="79"/>
        <v>-20.147913222953651</v>
      </c>
      <c r="AB199">
        <f t="shared" si="80"/>
        <v>-13.974447608595193</v>
      </c>
      <c r="AC199">
        <f t="shared" si="81"/>
        <v>-1.3416898826098176</v>
      </c>
      <c r="AD199">
        <f t="shared" si="82"/>
        <v>-35.329837479284471</v>
      </c>
      <c r="AE199">
        <v>5</v>
      </c>
      <c r="AF199">
        <v>1</v>
      </c>
      <c r="AG199">
        <f t="shared" si="83"/>
        <v>1</v>
      </c>
      <c r="AH199">
        <f t="shared" si="84"/>
        <v>0</v>
      </c>
      <c r="AI199">
        <f t="shared" si="85"/>
        <v>25044.188329860663</v>
      </c>
      <c r="AJ199">
        <f t="shared" si="86"/>
        <v>0.70231938709677422</v>
      </c>
      <c r="AK199">
        <f t="shared" si="87"/>
        <v>0.56185550967741937</v>
      </c>
      <c r="AL199">
        <f t="shared" si="88"/>
        <v>0.8</v>
      </c>
      <c r="AM199">
        <f t="shared" si="89"/>
        <v>0.19109999999999999</v>
      </c>
      <c r="AN199">
        <v>3</v>
      </c>
      <c r="AO199">
        <v>0.5</v>
      </c>
      <c r="AP199" t="s">
        <v>317</v>
      </c>
      <c r="AQ199">
        <v>2</v>
      </c>
      <c r="AR199">
        <v>1775542939.599999</v>
      </c>
      <c r="AS199">
        <v>-6.2180483870967711</v>
      </c>
      <c r="AT199">
        <v>-7.1495870967741926</v>
      </c>
      <c r="AU199">
        <v>4.6981751612903233</v>
      </c>
      <c r="AV199">
        <v>4.4253341935483874</v>
      </c>
      <c r="AW199">
        <v>-13.153048387096771</v>
      </c>
      <c r="AX199">
        <v>6.3003341935483874</v>
      </c>
      <c r="AY199">
        <v>499.98612903225808</v>
      </c>
      <c r="AZ199">
        <v>100.0451290322581</v>
      </c>
      <c r="BA199">
        <v>4.5847806451612919E-2</v>
      </c>
      <c r="BB199">
        <v>33.164919354838709</v>
      </c>
      <c r="BC199">
        <v>33.273351612903227</v>
      </c>
      <c r="BD199">
        <v>999.90000000000032</v>
      </c>
      <c r="BE199">
        <v>0</v>
      </c>
      <c r="BF199">
        <v>0</v>
      </c>
      <c r="BG199">
        <v>5004.1290322580644</v>
      </c>
      <c r="BH199">
        <v>0.70231938709677422</v>
      </c>
      <c r="BI199">
        <v>454.2396774193549</v>
      </c>
      <c r="BJ199">
        <v>0.96586083870967732</v>
      </c>
      <c r="BK199">
        <v>-6.2111458064516132</v>
      </c>
      <c r="BL199">
        <v>-7.1833341935483856</v>
      </c>
      <c r="BM199">
        <v>-0.28352338709677422</v>
      </c>
      <c r="BN199">
        <v>-7.1495870967741926</v>
      </c>
      <c r="BO199">
        <v>4.6981751612903233</v>
      </c>
      <c r="BP199">
        <v>0.44166422580645159</v>
      </c>
      <c r="BQ199">
        <v>0.47002948387096782</v>
      </c>
      <c r="BR199">
        <v>-4.4445864516129028</v>
      </c>
      <c r="BS199">
        <v>-3.6159796774193551</v>
      </c>
      <c r="BT199">
        <v>1775542966.5999999</v>
      </c>
      <c r="BU199" t="s">
        <v>868</v>
      </c>
      <c r="BV199">
        <v>1775542966.5999999</v>
      </c>
      <c r="BW199">
        <v>1775542965.5999999</v>
      </c>
      <c r="BX199">
        <v>184</v>
      </c>
      <c r="BY199">
        <v>-3.5000000000000003E-2</v>
      </c>
      <c r="BZ199">
        <v>1.0999999999999999E-2</v>
      </c>
      <c r="CA199">
        <v>6.9349999999999996</v>
      </c>
      <c r="CB199">
        <v>-1.875</v>
      </c>
      <c r="CC199">
        <v>-5</v>
      </c>
      <c r="CD199">
        <v>5</v>
      </c>
      <c r="CE199">
        <v>0.35</v>
      </c>
      <c r="CF199">
        <v>0.17</v>
      </c>
      <c r="CG199">
        <v>-7.1373365573770489</v>
      </c>
      <c r="CH199">
        <v>-0.31545176097302158</v>
      </c>
      <c r="CI199">
        <v>0.1162198656995882</v>
      </c>
      <c r="CJ199">
        <v>-1</v>
      </c>
      <c r="CK199">
        <v>500.43821311475398</v>
      </c>
      <c r="CL199">
        <v>-4.9299122157581214</v>
      </c>
      <c r="CM199">
        <v>1.3217287873724239</v>
      </c>
      <c r="CN199">
        <v>-1</v>
      </c>
      <c r="CO199">
        <v>0</v>
      </c>
      <c r="CP199">
        <v>0</v>
      </c>
      <c r="CQ199" t="s">
        <v>319</v>
      </c>
      <c r="CR199">
        <v>3.1692399999999998</v>
      </c>
      <c r="CS199">
        <v>2.6688200000000002</v>
      </c>
      <c r="CT199">
        <v>-3.84951E-3</v>
      </c>
      <c r="CU199">
        <v>-2.0473000000000002E-3</v>
      </c>
      <c r="CV199">
        <v>4.0334000000000002E-2</v>
      </c>
      <c r="CW199">
        <v>3.10198E-2</v>
      </c>
      <c r="CX199">
        <v>21322.799999999999</v>
      </c>
      <c r="CY199">
        <v>21736.1</v>
      </c>
      <c r="CZ199">
        <v>22777.599999999999</v>
      </c>
      <c r="DA199">
        <v>22063.1</v>
      </c>
      <c r="DB199">
        <v>28214</v>
      </c>
      <c r="DC199">
        <v>25451.200000000001</v>
      </c>
      <c r="DD199">
        <v>40087.699999999997</v>
      </c>
      <c r="DE199">
        <v>36513.1</v>
      </c>
      <c r="DF199">
        <v>2.0010599999999998</v>
      </c>
      <c r="DG199">
        <v>1.6152</v>
      </c>
      <c r="DH199">
        <v>-4.3511399999999999E-3</v>
      </c>
      <c r="DI199">
        <v>0</v>
      </c>
      <c r="DJ199">
        <v>33.345300000000002</v>
      </c>
      <c r="DK199">
        <v>999.9</v>
      </c>
      <c r="DL199">
        <v>55</v>
      </c>
      <c r="DM199">
        <v>43.5</v>
      </c>
      <c r="DN199">
        <v>49.0274</v>
      </c>
      <c r="DO199">
        <v>30.349399999999999</v>
      </c>
      <c r="DP199">
        <v>10.5288</v>
      </c>
      <c r="DQ199">
        <v>1</v>
      </c>
      <c r="DR199">
        <v>0.90479100000000001</v>
      </c>
      <c r="DS199">
        <v>0.78778899999999996</v>
      </c>
      <c r="DT199">
        <v>20.360900000000001</v>
      </c>
      <c r="DU199">
        <v>5.2075899999999997</v>
      </c>
      <c r="DV199">
        <v>11.854799999999999</v>
      </c>
      <c r="DW199">
        <v>4.9665600000000003</v>
      </c>
      <c r="DX199">
        <v>3.29236</v>
      </c>
      <c r="DY199">
        <v>894.7</v>
      </c>
      <c r="DZ199">
        <v>6</v>
      </c>
      <c r="EA199">
        <v>9999</v>
      </c>
      <c r="EB199">
        <v>118.8</v>
      </c>
      <c r="EC199">
        <v>4.9715800000000003</v>
      </c>
      <c r="ED199">
        <v>1.87209</v>
      </c>
      <c r="EE199">
        <v>1.8693500000000001</v>
      </c>
      <c r="EF199">
        <v>1.8717299999999999</v>
      </c>
      <c r="EG199">
        <v>1.86951</v>
      </c>
      <c r="EH199">
        <v>1.8683099999999999</v>
      </c>
      <c r="EI199">
        <v>1.8701300000000001</v>
      </c>
      <c r="EJ199">
        <v>1.8719399999999999</v>
      </c>
      <c r="EK199">
        <v>0</v>
      </c>
      <c r="EL199">
        <v>0</v>
      </c>
      <c r="EM199">
        <v>0</v>
      </c>
      <c r="EN199">
        <v>0</v>
      </c>
      <c r="EO199" t="s">
        <v>320</v>
      </c>
      <c r="EP199" t="s">
        <v>321</v>
      </c>
      <c r="EQ199" t="s">
        <v>322</v>
      </c>
      <c r="ER199" t="s">
        <v>322</v>
      </c>
      <c r="ES199" t="s">
        <v>322</v>
      </c>
      <c r="ET199" t="s">
        <v>322</v>
      </c>
      <c r="EU199">
        <v>0</v>
      </c>
      <c r="EV199">
        <v>100</v>
      </c>
      <c r="EW199">
        <v>100</v>
      </c>
      <c r="EX199">
        <v>6.9349999999999996</v>
      </c>
      <c r="EY199">
        <v>-1.875</v>
      </c>
      <c r="EZ199">
        <v>6.9693250000000004</v>
      </c>
      <c r="FA199">
        <v>0</v>
      </c>
      <c r="FB199">
        <v>0</v>
      </c>
      <c r="FC199">
        <v>0</v>
      </c>
      <c r="FD199">
        <v>-1.885682500000001</v>
      </c>
      <c r="FE199">
        <v>0</v>
      </c>
      <c r="FF199">
        <v>0</v>
      </c>
      <c r="FG199">
        <v>0</v>
      </c>
      <c r="FH199">
        <v>-1</v>
      </c>
      <c r="FI199">
        <v>-1</v>
      </c>
      <c r="FJ199">
        <v>-1</v>
      </c>
      <c r="FK199">
        <v>-1</v>
      </c>
      <c r="FL199">
        <v>0.6</v>
      </c>
      <c r="FM199">
        <v>0.7</v>
      </c>
      <c r="FN199">
        <v>0.13916000000000001</v>
      </c>
      <c r="FO199">
        <v>4.99756</v>
      </c>
      <c r="FP199">
        <v>1.5979000000000001</v>
      </c>
      <c r="FQ199">
        <v>2.1118199999999998</v>
      </c>
      <c r="FR199">
        <v>1.5478499999999999</v>
      </c>
      <c r="FS199">
        <v>2.49512</v>
      </c>
      <c r="FT199">
        <v>46.210799999999999</v>
      </c>
      <c r="FU199">
        <v>14.7187</v>
      </c>
      <c r="FV199">
        <v>2</v>
      </c>
      <c r="FW199">
        <v>507.67099999999999</v>
      </c>
      <c r="FX199">
        <v>350.49799999999999</v>
      </c>
      <c r="FY199">
        <v>33.1357</v>
      </c>
      <c r="FZ199">
        <v>38.264899999999997</v>
      </c>
      <c r="GA199">
        <v>29.998999999999999</v>
      </c>
      <c r="GB199">
        <v>38.599899999999998</v>
      </c>
      <c r="GC199">
        <v>38.651899999999998</v>
      </c>
      <c r="GD199">
        <v>-1</v>
      </c>
      <c r="GE199">
        <v>0</v>
      </c>
      <c r="GF199">
        <v>100</v>
      </c>
      <c r="GG199">
        <v>33.1633</v>
      </c>
      <c r="GH199">
        <v>432.1</v>
      </c>
      <c r="GI199">
        <v>44.267099999999999</v>
      </c>
      <c r="GJ199">
        <v>100.855</v>
      </c>
      <c r="GK199">
        <v>95.326400000000007</v>
      </c>
    </row>
    <row r="200" spans="1:193" x14ac:dyDescent="0.35">
      <c r="A200">
        <v>184</v>
      </c>
      <c r="B200">
        <v>1775543007.5999999</v>
      </c>
      <c r="C200">
        <v>10981.5</v>
      </c>
      <c r="D200" t="s">
        <v>869</v>
      </c>
      <c r="E200" t="s">
        <v>870</v>
      </c>
      <c r="F200">
        <v>60</v>
      </c>
      <c r="G200">
        <v>1775542999.599999</v>
      </c>
      <c r="H200">
        <f t="shared" si="60"/>
        <v>6.4340097543902114E-4</v>
      </c>
      <c r="I200">
        <f t="shared" si="61"/>
        <v>0.64340097543902119</v>
      </c>
      <c r="J200">
        <f t="shared" si="62"/>
        <v>-1.0333398374377607</v>
      </c>
      <c r="K200">
        <f t="shared" si="63"/>
        <v>-4.6971741935483866</v>
      </c>
      <c r="L200">
        <f t="shared" si="64"/>
        <v>113.90765547177868</v>
      </c>
      <c r="M200">
        <f t="shared" si="65"/>
        <v>11.401008240772542</v>
      </c>
      <c r="N200">
        <f t="shared" si="66"/>
        <v>-0.47013979409186629</v>
      </c>
      <c r="O200">
        <f t="shared" si="67"/>
        <v>1.3502185468331497E-2</v>
      </c>
      <c r="P200">
        <f t="shared" si="68"/>
        <v>2.3886948872329801</v>
      </c>
      <c r="Q200">
        <f t="shared" si="69"/>
        <v>1.3459927873819203E-2</v>
      </c>
      <c r="R200">
        <f t="shared" si="70"/>
        <v>8.4162405119855531E-3</v>
      </c>
      <c r="S200">
        <f t="shared" si="71"/>
        <v>0.13489090013225805</v>
      </c>
      <c r="T200">
        <f t="shared" si="72"/>
        <v>32.956099775012319</v>
      </c>
      <c r="U200">
        <f t="shared" si="73"/>
        <v>33.262412903225808</v>
      </c>
      <c r="V200">
        <f t="shared" si="74"/>
        <v>5.1270772741095287</v>
      </c>
      <c r="W200">
        <f t="shared" si="75"/>
        <v>9.3510798927071939</v>
      </c>
      <c r="X200">
        <f t="shared" si="76"/>
        <v>0.47658794196234078</v>
      </c>
      <c r="Y200">
        <f t="shared" si="77"/>
        <v>5.0966085995482358</v>
      </c>
      <c r="Z200">
        <f t="shared" si="78"/>
        <v>4.6504893321471883</v>
      </c>
      <c r="AA200">
        <f t="shared" si="79"/>
        <v>-28.373983016860834</v>
      </c>
      <c r="AB200">
        <f t="shared" si="80"/>
        <v>-13.681764075411465</v>
      </c>
      <c r="AC200">
        <f t="shared" si="81"/>
        <v>-1.3144610871632501</v>
      </c>
      <c r="AD200">
        <f t="shared" si="82"/>
        <v>-43.235317279303288</v>
      </c>
      <c r="AE200">
        <v>4</v>
      </c>
      <c r="AF200">
        <v>1</v>
      </c>
      <c r="AG200">
        <f t="shared" si="83"/>
        <v>1</v>
      </c>
      <c r="AH200">
        <f t="shared" si="84"/>
        <v>0</v>
      </c>
      <c r="AI200">
        <f t="shared" si="85"/>
        <v>25017.886949078438</v>
      </c>
      <c r="AJ200">
        <f t="shared" si="86"/>
        <v>0.70586551612903226</v>
      </c>
      <c r="AK200">
        <f t="shared" si="87"/>
        <v>0.5646924129032258</v>
      </c>
      <c r="AL200">
        <f t="shared" si="88"/>
        <v>0.8</v>
      </c>
      <c r="AM200">
        <f t="shared" si="89"/>
        <v>0.19109999999999999</v>
      </c>
      <c r="AN200">
        <v>3</v>
      </c>
      <c r="AO200">
        <v>0.5</v>
      </c>
      <c r="AP200" t="s">
        <v>317</v>
      </c>
      <c r="AQ200">
        <v>2</v>
      </c>
      <c r="AR200">
        <v>1775542999.599999</v>
      </c>
      <c r="AS200">
        <v>-4.6971741935483866</v>
      </c>
      <c r="AT200">
        <v>-5.3190041935483858</v>
      </c>
      <c r="AU200">
        <v>4.7615977419354829</v>
      </c>
      <c r="AV200">
        <v>4.3773874193548394</v>
      </c>
      <c r="AW200">
        <v>-11.64017419354839</v>
      </c>
      <c r="AX200">
        <v>6.6145977419354827</v>
      </c>
      <c r="AY200">
        <v>499.98970967741923</v>
      </c>
      <c r="AZ200">
        <v>100.04380645161289</v>
      </c>
      <c r="BA200">
        <v>4.6114577419354819E-2</v>
      </c>
      <c r="BB200">
        <v>33.156170967741929</v>
      </c>
      <c r="BC200">
        <v>33.262412903225808</v>
      </c>
      <c r="BD200">
        <v>999.90000000000032</v>
      </c>
      <c r="BE200">
        <v>0</v>
      </c>
      <c r="BF200">
        <v>0</v>
      </c>
      <c r="BG200">
        <v>4999.5161290322594</v>
      </c>
      <c r="BH200">
        <v>0.70586551612903226</v>
      </c>
      <c r="BI200">
        <v>446.35019354838721</v>
      </c>
      <c r="BJ200">
        <v>0.61337325806451604</v>
      </c>
      <c r="BK200">
        <v>-4.7280435483870971</v>
      </c>
      <c r="BL200">
        <v>-5.3423932258064522</v>
      </c>
      <c r="BM200">
        <v>0.36241693548387099</v>
      </c>
      <c r="BN200">
        <v>-5.3190041935483858</v>
      </c>
      <c r="BO200">
        <v>4.3773874193548394</v>
      </c>
      <c r="BP200">
        <v>0.4741880967741936</v>
      </c>
      <c r="BQ200">
        <v>0.43793058064516133</v>
      </c>
      <c r="BR200">
        <v>-3.4983261290322591</v>
      </c>
      <c r="BS200">
        <v>-4.5575916129032246</v>
      </c>
      <c r="BT200">
        <v>1775543025.5999999</v>
      </c>
      <c r="BU200" t="s">
        <v>871</v>
      </c>
      <c r="BV200">
        <v>1775543025.5999999</v>
      </c>
      <c r="BW200">
        <v>1775543025.5999999</v>
      </c>
      <c r="BX200">
        <v>185</v>
      </c>
      <c r="BY200">
        <v>8.9999999999999993E-3</v>
      </c>
      <c r="BZ200">
        <v>2.1999999999999999E-2</v>
      </c>
      <c r="CA200">
        <v>6.9429999999999996</v>
      </c>
      <c r="CB200">
        <v>-1.853</v>
      </c>
      <c r="CC200">
        <v>-4</v>
      </c>
      <c r="CD200">
        <v>4</v>
      </c>
      <c r="CE200">
        <v>0.2</v>
      </c>
      <c r="CF200">
        <v>0.14000000000000001</v>
      </c>
      <c r="CG200">
        <v>-5.2062141666666673</v>
      </c>
      <c r="CH200">
        <v>-0.79866295081967709</v>
      </c>
      <c r="CI200">
        <v>0.15566554807547781</v>
      </c>
      <c r="CJ200">
        <v>-1</v>
      </c>
      <c r="CK200">
        <v>499.98508333333331</v>
      </c>
      <c r="CL200">
        <v>-4.2975270908186612E-2</v>
      </c>
      <c r="CM200">
        <v>7.7276191173106565E-2</v>
      </c>
      <c r="CN200">
        <v>-1</v>
      </c>
      <c r="CO200">
        <v>0</v>
      </c>
      <c r="CP200">
        <v>0</v>
      </c>
      <c r="CQ200" t="s">
        <v>319</v>
      </c>
      <c r="CR200">
        <v>3.1692200000000001</v>
      </c>
      <c r="CS200">
        <v>2.66648</v>
      </c>
      <c r="CT200">
        <v>-3.4008699999999998E-3</v>
      </c>
      <c r="CU200">
        <v>-1.52662E-3</v>
      </c>
      <c r="CV200">
        <v>4.2035500000000003E-2</v>
      </c>
      <c r="CW200">
        <v>2.8998300000000001E-2</v>
      </c>
      <c r="CX200">
        <v>21318.799999999999</v>
      </c>
      <c r="CY200">
        <v>21729.9</v>
      </c>
      <c r="CZ200">
        <v>22782.799999999999</v>
      </c>
      <c r="DA200">
        <v>22067.9</v>
      </c>
      <c r="DB200">
        <v>28169.9</v>
      </c>
      <c r="DC200">
        <v>25510.799999999999</v>
      </c>
      <c r="DD200">
        <v>40095.599999999999</v>
      </c>
      <c r="DE200">
        <v>36521.800000000003</v>
      </c>
      <c r="DF200">
        <v>2.0042399999999998</v>
      </c>
      <c r="DG200">
        <v>1.6159600000000001</v>
      </c>
      <c r="DH200">
        <v>5.4657500000000001E-3</v>
      </c>
      <c r="DI200">
        <v>0</v>
      </c>
      <c r="DJ200">
        <v>33.177900000000001</v>
      </c>
      <c r="DK200">
        <v>999.9</v>
      </c>
      <c r="DL200">
        <v>55.1</v>
      </c>
      <c r="DM200">
        <v>43.4</v>
      </c>
      <c r="DN200">
        <v>48.859699999999997</v>
      </c>
      <c r="DO200">
        <v>30.259399999999999</v>
      </c>
      <c r="DP200">
        <v>10.7212</v>
      </c>
      <c r="DQ200">
        <v>1</v>
      </c>
      <c r="DR200">
        <v>0.89033499999999999</v>
      </c>
      <c r="DS200">
        <v>0.34498699999999999</v>
      </c>
      <c r="DT200">
        <v>20.363700000000001</v>
      </c>
      <c r="DU200">
        <v>5.20878</v>
      </c>
      <c r="DV200">
        <v>11.8544</v>
      </c>
      <c r="DW200">
        <v>4.9665600000000003</v>
      </c>
      <c r="DX200">
        <v>3.2930000000000001</v>
      </c>
      <c r="DY200">
        <v>894.7</v>
      </c>
      <c r="DZ200">
        <v>6</v>
      </c>
      <c r="EA200">
        <v>9999</v>
      </c>
      <c r="EB200">
        <v>118.8</v>
      </c>
      <c r="EC200">
        <v>4.9715999999999996</v>
      </c>
      <c r="ED200">
        <v>1.87209</v>
      </c>
      <c r="EE200">
        <v>1.8693599999999999</v>
      </c>
      <c r="EF200">
        <v>1.87168</v>
      </c>
      <c r="EG200">
        <v>1.86951</v>
      </c>
      <c r="EH200">
        <v>1.8683399999999999</v>
      </c>
      <c r="EI200">
        <v>1.87015</v>
      </c>
      <c r="EJ200">
        <v>1.8719399999999999</v>
      </c>
      <c r="EK200">
        <v>0</v>
      </c>
      <c r="EL200">
        <v>0</v>
      </c>
      <c r="EM200">
        <v>0</v>
      </c>
      <c r="EN200">
        <v>0</v>
      </c>
      <c r="EO200" t="s">
        <v>320</v>
      </c>
      <c r="EP200" t="s">
        <v>321</v>
      </c>
      <c r="EQ200" t="s">
        <v>322</v>
      </c>
      <c r="ER200" t="s">
        <v>322</v>
      </c>
      <c r="ES200" t="s">
        <v>322</v>
      </c>
      <c r="ET200" t="s">
        <v>322</v>
      </c>
      <c r="EU200">
        <v>0</v>
      </c>
      <c r="EV200">
        <v>100</v>
      </c>
      <c r="EW200">
        <v>100</v>
      </c>
      <c r="EX200">
        <v>6.9429999999999996</v>
      </c>
      <c r="EY200">
        <v>-1.853</v>
      </c>
      <c r="EZ200">
        <v>6.934546000000001</v>
      </c>
      <c r="FA200">
        <v>0</v>
      </c>
      <c r="FB200">
        <v>0</v>
      </c>
      <c r="FC200">
        <v>0</v>
      </c>
      <c r="FD200">
        <v>-1.874793500000002</v>
      </c>
      <c r="FE200">
        <v>0</v>
      </c>
      <c r="FF200">
        <v>0</v>
      </c>
      <c r="FG200">
        <v>0</v>
      </c>
      <c r="FH200">
        <v>-1</v>
      </c>
      <c r="FI200">
        <v>-1</v>
      </c>
      <c r="FJ200">
        <v>-1</v>
      </c>
      <c r="FK200">
        <v>-1</v>
      </c>
      <c r="FL200">
        <v>0.7</v>
      </c>
      <c r="FM200">
        <v>0.7</v>
      </c>
      <c r="FN200">
        <v>0.13916000000000001</v>
      </c>
      <c r="FO200">
        <v>4.99756</v>
      </c>
      <c r="FP200">
        <v>1.5979000000000001</v>
      </c>
      <c r="FQ200">
        <v>2.1105999999999998</v>
      </c>
      <c r="FR200">
        <v>1.5478499999999999</v>
      </c>
      <c r="FS200">
        <v>2.49878</v>
      </c>
      <c r="FT200">
        <v>46.0077</v>
      </c>
      <c r="FU200">
        <v>14.709899999999999</v>
      </c>
      <c r="FV200">
        <v>2</v>
      </c>
      <c r="FW200">
        <v>508.67599999999999</v>
      </c>
      <c r="FX200">
        <v>350.22</v>
      </c>
      <c r="FY200">
        <v>33.4482</v>
      </c>
      <c r="FZ200">
        <v>38.109000000000002</v>
      </c>
      <c r="GA200">
        <v>29.998699999999999</v>
      </c>
      <c r="GB200">
        <v>38.459400000000002</v>
      </c>
      <c r="GC200">
        <v>38.508200000000002</v>
      </c>
      <c r="GD200">
        <v>-1</v>
      </c>
      <c r="GE200">
        <v>0</v>
      </c>
      <c r="GF200">
        <v>100</v>
      </c>
      <c r="GG200">
        <v>33.4893</v>
      </c>
      <c r="GH200">
        <v>432.1</v>
      </c>
      <c r="GI200">
        <v>44.267099999999999</v>
      </c>
      <c r="GJ200">
        <v>100.876</v>
      </c>
      <c r="GK200">
        <v>95.348399999999998</v>
      </c>
    </row>
    <row r="201" spans="1:193" x14ac:dyDescent="0.35">
      <c r="A201">
        <v>185</v>
      </c>
      <c r="B201">
        <v>1775543067.5999999</v>
      </c>
      <c r="C201">
        <v>11041.5</v>
      </c>
      <c r="D201" t="s">
        <v>872</v>
      </c>
      <c r="E201" t="s">
        <v>873</v>
      </c>
      <c r="F201">
        <v>60</v>
      </c>
      <c r="G201">
        <v>1775543059.599999</v>
      </c>
      <c r="H201">
        <f t="shared" si="60"/>
        <v>1.2492706393446538E-3</v>
      </c>
      <c r="I201">
        <f t="shared" si="61"/>
        <v>1.2492706393446538</v>
      </c>
      <c r="J201">
        <f t="shared" si="62"/>
        <v>-0.73383923423669795</v>
      </c>
      <c r="K201">
        <f t="shared" si="63"/>
        <v>-4.0537548387096756</v>
      </c>
      <c r="L201">
        <f t="shared" si="64"/>
        <v>39.35613566094014</v>
      </c>
      <c r="M201">
        <f t="shared" si="65"/>
        <v>3.9393215404706101</v>
      </c>
      <c r="N201">
        <f t="shared" si="66"/>
        <v>-0.40575741209685928</v>
      </c>
      <c r="O201">
        <f t="shared" si="67"/>
        <v>2.6372820149468571E-2</v>
      </c>
      <c r="P201">
        <f t="shared" si="68"/>
        <v>2.3881125654165656</v>
      </c>
      <c r="Q201">
        <f t="shared" si="69"/>
        <v>2.6212082125661819E-2</v>
      </c>
      <c r="R201">
        <f t="shared" si="70"/>
        <v>1.6396911213410036E-2</v>
      </c>
      <c r="S201">
        <f t="shared" si="71"/>
        <v>0.13377156578709673</v>
      </c>
      <c r="T201">
        <f t="shared" si="72"/>
        <v>32.818363983921358</v>
      </c>
      <c r="U201">
        <f t="shared" si="73"/>
        <v>33.310154838709678</v>
      </c>
      <c r="V201">
        <f t="shared" si="74"/>
        <v>5.1408205033026499</v>
      </c>
      <c r="W201">
        <f t="shared" si="75"/>
        <v>9.8770656667576731</v>
      </c>
      <c r="X201">
        <f t="shared" si="76"/>
        <v>0.50485623946838787</v>
      </c>
      <c r="Y201">
        <f t="shared" si="77"/>
        <v>5.1113990379504699</v>
      </c>
      <c r="Z201">
        <f t="shared" si="78"/>
        <v>4.6359642638342624</v>
      </c>
      <c r="AA201">
        <f t="shared" si="79"/>
        <v>-55.092835195099234</v>
      </c>
      <c r="AB201">
        <f t="shared" si="80"/>
        <v>-13.176311795831873</v>
      </c>
      <c r="AC201">
        <f t="shared" si="81"/>
        <v>-1.2668255128152659</v>
      </c>
      <c r="AD201">
        <f t="shared" si="82"/>
        <v>-69.402200937959279</v>
      </c>
      <c r="AE201">
        <v>4</v>
      </c>
      <c r="AF201">
        <v>1</v>
      </c>
      <c r="AG201">
        <f t="shared" si="83"/>
        <v>1</v>
      </c>
      <c r="AH201">
        <f t="shared" si="84"/>
        <v>0</v>
      </c>
      <c r="AI201">
        <f t="shared" si="85"/>
        <v>25004.775118487974</v>
      </c>
      <c r="AJ201">
        <f t="shared" si="86"/>
        <v>0.70000819354838695</v>
      </c>
      <c r="AK201">
        <f t="shared" si="87"/>
        <v>0.56000655483870954</v>
      </c>
      <c r="AL201">
        <f t="shared" si="88"/>
        <v>0.8</v>
      </c>
      <c r="AM201">
        <f t="shared" si="89"/>
        <v>0.19109999999999999</v>
      </c>
      <c r="AN201">
        <v>3</v>
      </c>
      <c r="AO201">
        <v>0.5</v>
      </c>
      <c r="AP201" t="s">
        <v>317</v>
      </c>
      <c r="AQ201">
        <v>2</v>
      </c>
      <c r="AR201">
        <v>1775543059.599999</v>
      </c>
      <c r="AS201">
        <v>-4.0537548387096756</v>
      </c>
      <c r="AT201">
        <v>-4.4970841935483872</v>
      </c>
      <c r="AU201">
        <v>5.0438103225806454</v>
      </c>
      <c r="AV201">
        <v>4.2980500000000008</v>
      </c>
      <c r="AW201">
        <v>-11.030754838709679</v>
      </c>
      <c r="AX201">
        <v>6.8918103225806453</v>
      </c>
      <c r="AY201">
        <v>500.01435483870978</v>
      </c>
      <c r="AZ201">
        <v>100.0492903225807</v>
      </c>
      <c r="BA201">
        <v>4.4925593548387092E-2</v>
      </c>
      <c r="BB201">
        <v>33.207812903225808</v>
      </c>
      <c r="BC201">
        <v>33.310154838709678</v>
      </c>
      <c r="BD201">
        <v>999.90000000000032</v>
      </c>
      <c r="BE201">
        <v>0</v>
      </c>
      <c r="BF201">
        <v>0</v>
      </c>
      <c r="BG201">
        <v>4997.7419354838712</v>
      </c>
      <c r="BH201">
        <v>0.70000819354838695</v>
      </c>
      <c r="BI201">
        <v>438.27832258064512</v>
      </c>
      <c r="BJ201">
        <v>0.4094199032258064</v>
      </c>
      <c r="BK201">
        <v>-4.1083638709677421</v>
      </c>
      <c r="BL201">
        <v>-4.5164964516129036</v>
      </c>
      <c r="BM201">
        <v>0.74063148387096778</v>
      </c>
      <c r="BN201">
        <v>-4.4970841935483872</v>
      </c>
      <c r="BO201">
        <v>4.2980500000000008</v>
      </c>
      <c r="BP201">
        <v>0.50411651612903219</v>
      </c>
      <c r="BQ201">
        <v>0.43001690322580638</v>
      </c>
      <c r="BR201">
        <v>-2.6775338709677419</v>
      </c>
      <c r="BS201">
        <v>-4.7986632258064521</v>
      </c>
      <c r="BT201">
        <v>1775543089.5999999</v>
      </c>
      <c r="BU201" t="s">
        <v>874</v>
      </c>
      <c r="BV201">
        <v>1775543089.0999999</v>
      </c>
      <c r="BW201">
        <v>1775543089.5999999</v>
      </c>
      <c r="BX201">
        <v>186</v>
      </c>
      <c r="BY201">
        <v>3.4000000000000002E-2</v>
      </c>
      <c r="BZ201">
        <v>5.0000000000000001E-3</v>
      </c>
      <c r="CA201">
        <v>6.9770000000000003</v>
      </c>
      <c r="CB201">
        <v>-1.8480000000000001</v>
      </c>
      <c r="CC201">
        <v>-5</v>
      </c>
      <c r="CD201">
        <v>4</v>
      </c>
      <c r="CE201">
        <v>0.3</v>
      </c>
      <c r="CF201">
        <v>0.17</v>
      </c>
      <c r="CG201">
        <v>-4.3389094999999998</v>
      </c>
      <c r="CH201">
        <v>-1.2455085412614659</v>
      </c>
      <c r="CI201">
        <v>0.19340382582759319</v>
      </c>
      <c r="CJ201">
        <v>-1</v>
      </c>
      <c r="CK201">
        <v>499.99456666666663</v>
      </c>
      <c r="CL201">
        <v>0.11785273687143689</v>
      </c>
      <c r="CM201">
        <v>6.7470577949866592E-2</v>
      </c>
      <c r="CN201">
        <v>-1</v>
      </c>
      <c r="CO201">
        <v>0</v>
      </c>
      <c r="CP201">
        <v>0</v>
      </c>
      <c r="CQ201" t="s">
        <v>319</v>
      </c>
      <c r="CR201">
        <v>3.16913</v>
      </c>
      <c r="CS201">
        <v>2.6656</v>
      </c>
      <c r="CT201">
        <v>-3.21412E-3</v>
      </c>
      <c r="CU201">
        <v>-1.2795700000000001E-3</v>
      </c>
      <c r="CV201">
        <v>4.2515499999999998E-2</v>
      </c>
      <c r="CW201">
        <v>2.9121299999999999E-2</v>
      </c>
      <c r="CX201">
        <v>21322.7</v>
      </c>
      <c r="CY201">
        <v>21731.8</v>
      </c>
      <c r="CZ201">
        <v>22790.5</v>
      </c>
      <c r="DA201">
        <v>22074.7</v>
      </c>
      <c r="DB201">
        <v>28164.9</v>
      </c>
      <c r="DC201">
        <v>25516</v>
      </c>
      <c r="DD201">
        <v>40108.1</v>
      </c>
      <c r="DE201">
        <v>36533.300000000003</v>
      </c>
      <c r="DF201">
        <v>2.0059800000000001</v>
      </c>
      <c r="DG201">
        <v>1.61992</v>
      </c>
      <c r="DH201">
        <v>1.6033599999999999E-2</v>
      </c>
      <c r="DI201">
        <v>0</v>
      </c>
      <c r="DJ201">
        <v>33.038200000000003</v>
      </c>
      <c r="DK201">
        <v>999.9</v>
      </c>
      <c r="DL201">
        <v>55.3</v>
      </c>
      <c r="DM201">
        <v>43.3</v>
      </c>
      <c r="DN201">
        <v>48.7746</v>
      </c>
      <c r="DO201">
        <v>30.499400000000001</v>
      </c>
      <c r="DP201">
        <v>10.9696</v>
      </c>
      <c r="DQ201">
        <v>1</v>
      </c>
      <c r="DR201">
        <v>0.87468299999999999</v>
      </c>
      <c r="DS201">
        <v>0.89736800000000005</v>
      </c>
      <c r="DT201">
        <v>20.360399999999998</v>
      </c>
      <c r="DU201">
        <v>5.2093800000000003</v>
      </c>
      <c r="DV201">
        <v>11.854200000000001</v>
      </c>
      <c r="DW201">
        <v>4.9671599999999998</v>
      </c>
      <c r="DX201">
        <v>3.2930000000000001</v>
      </c>
      <c r="DY201">
        <v>894.7</v>
      </c>
      <c r="DZ201">
        <v>6</v>
      </c>
      <c r="EA201">
        <v>9999</v>
      </c>
      <c r="EB201">
        <v>118.8</v>
      </c>
      <c r="EC201">
        <v>4.9715800000000003</v>
      </c>
      <c r="ED201">
        <v>1.87209</v>
      </c>
      <c r="EE201">
        <v>1.8693599999999999</v>
      </c>
      <c r="EF201">
        <v>1.87168</v>
      </c>
      <c r="EG201">
        <v>1.86951</v>
      </c>
      <c r="EH201">
        <v>1.8683000000000001</v>
      </c>
      <c r="EI201">
        <v>1.87012</v>
      </c>
      <c r="EJ201">
        <v>1.8719399999999999</v>
      </c>
      <c r="EK201">
        <v>0</v>
      </c>
      <c r="EL201">
        <v>0</v>
      </c>
      <c r="EM201">
        <v>0</v>
      </c>
      <c r="EN201">
        <v>0</v>
      </c>
      <c r="EO201" t="s">
        <v>320</v>
      </c>
      <c r="EP201" t="s">
        <v>321</v>
      </c>
      <c r="EQ201" t="s">
        <v>322</v>
      </c>
      <c r="ER201" t="s">
        <v>322</v>
      </c>
      <c r="ES201" t="s">
        <v>322</v>
      </c>
      <c r="ET201" t="s">
        <v>322</v>
      </c>
      <c r="EU201">
        <v>0</v>
      </c>
      <c r="EV201">
        <v>100</v>
      </c>
      <c r="EW201">
        <v>100</v>
      </c>
      <c r="EX201">
        <v>6.9770000000000003</v>
      </c>
      <c r="EY201">
        <v>-1.8480000000000001</v>
      </c>
      <c r="EZ201">
        <v>6.9430924999999988</v>
      </c>
      <c r="FA201">
        <v>0</v>
      </c>
      <c r="FB201">
        <v>0</v>
      </c>
      <c r="FC201">
        <v>0</v>
      </c>
      <c r="FD201">
        <v>-1.8531295000000001</v>
      </c>
      <c r="FE201">
        <v>0</v>
      </c>
      <c r="FF201">
        <v>0</v>
      </c>
      <c r="FG201">
        <v>0</v>
      </c>
      <c r="FH201">
        <v>-1</v>
      </c>
      <c r="FI201">
        <v>-1</v>
      </c>
      <c r="FJ201">
        <v>-1</v>
      </c>
      <c r="FK201">
        <v>-1</v>
      </c>
      <c r="FL201">
        <v>0.7</v>
      </c>
      <c r="FM201">
        <v>0.7</v>
      </c>
      <c r="FN201">
        <v>0.13916000000000001</v>
      </c>
      <c r="FO201">
        <v>4.99756</v>
      </c>
      <c r="FP201">
        <v>1.5979000000000001</v>
      </c>
      <c r="FQ201">
        <v>2.1118199999999998</v>
      </c>
      <c r="FR201">
        <v>1.5478499999999999</v>
      </c>
      <c r="FS201">
        <v>2.3718300000000001</v>
      </c>
      <c r="FT201">
        <v>45.805599999999998</v>
      </c>
      <c r="FU201">
        <v>14.7012</v>
      </c>
      <c r="FV201">
        <v>2</v>
      </c>
      <c r="FW201">
        <v>508.53399999999999</v>
      </c>
      <c r="FX201">
        <v>351.54599999999999</v>
      </c>
      <c r="FY201">
        <v>33.298699999999997</v>
      </c>
      <c r="FZ201">
        <v>37.907800000000002</v>
      </c>
      <c r="GA201">
        <v>29.998999999999999</v>
      </c>
      <c r="GB201">
        <v>38.282400000000003</v>
      </c>
      <c r="GC201">
        <v>38.3401</v>
      </c>
      <c r="GD201">
        <v>-1</v>
      </c>
      <c r="GE201">
        <v>0</v>
      </c>
      <c r="GF201">
        <v>100</v>
      </c>
      <c r="GG201">
        <v>33.327199999999998</v>
      </c>
      <c r="GH201">
        <v>432.1</v>
      </c>
      <c r="GI201">
        <v>44.267099999999999</v>
      </c>
      <c r="GJ201">
        <v>100.908</v>
      </c>
      <c r="GK201">
        <v>95.378200000000007</v>
      </c>
    </row>
    <row r="202" spans="1:193" x14ac:dyDescent="0.35">
      <c r="A202">
        <v>186</v>
      </c>
      <c r="B202">
        <v>1775543127.5999999</v>
      </c>
      <c r="C202">
        <v>11101.5</v>
      </c>
      <c r="D202" t="s">
        <v>875</v>
      </c>
      <c r="E202" t="s">
        <v>876</v>
      </c>
      <c r="F202">
        <v>60</v>
      </c>
      <c r="G202">
        <v>1775543119.599999</v>
      </c>
      <c r="H202">
        <f t="shared" si="60"/>
        <v>1.1099072863578971E-3</v>
      </c>
      <c r="I202">
        <f t="shared" si="61"/>
        <v>1.1099072863578971</v>
      </c>
      <c r="J202">
        <f t="shared" si="62"/>
        <v>-1.1313064131484369</v>
      </c>
      <c r="K202">
        <f t="shared" si="63"/>
        <v>-3.7488741935483851</v>
      </c>
      <c r="L202">
        <f t="shared" si="64"/>
        <v>71.245268355306251</v>
      </c>
      <c r="M202">
        <f t="shared" si="65"/>
        <v>7.1309770419888165</v>
      </c>
      <c r="N202">
        <f t="shared" si="66"/>
        <v>-0.37522682452647155</v>
      </c>
      <c r="O202">
        <f t="shared" si="67"/>
        <v>2.344624703647958E-2</v>
      </c>
      <c r="P202">
        <f t="shared" si="68"/>
        <v>2.3875378838951136</v>
      </c>
      <c r="Q202">
        <f t="shared" si="69"/>
        <v>2.3319080391975208E-2</v>
      </c>
      <c r="R202">
        <f t="shared" si="70"/>
        <v>1.4585793051695252E-2</v>
      </c>
      <c r="S202">
        <f t="shared" si="71"/>
        <v>0.13494929659354837</v>
      </c>
      <c r="T202">
        <f t="shared" si="72"/>
        <v>32.829382912362142</v>
      </c>
      <c r="U202">
        <f t="shared" si="73"/>
        <v>33.25914516129032</v>
      </c>
      <c r="V202">
        <f t="shared" si="74"/>
        <v>5.1261377756262183</v>
      </c>
      <c r="W202">
        <f t="shared" si="75"/>
        <v>9.7209427540800135</v>
      </c>
      <c r="X202">
        <f t="shared" si="76"/>
        <v>0.49597217175055353</v>
      </c>
      <c r="Y202">
        <f t="shared" si="77"/>
        <v>5.1020995010220291</v>
      </c>
      <c r="Z202">
        <f t="shared" si="78"/>
        <v>4.6301656038756649</v>
      </c>
      <c r="AA202">
        <f t="shared" si="79"/>
        <v>-48.946911328383258</v>
      </c>
      <c r="AB202">
        <f t="shared" si="80"/>
        <v>-10.784818909057579</v>
      </c>
      <c r="AC202">
        <f t="shared" si="81"/>
        <v>-1.0367230736280475</v>
      </c>
      <c r="AD202">
        <f t="shared" si="82"/>
        <v>-60.633504014475335</v>
      </c>
      <c r="AE202">
        <v>4</v>
      </c>
      <c r="AF202">
        <v>1</v>
      </c>
      <c r="AG202">
        <f t="shared" si="83"/>
        <v>1</v>
      </c>
      <c r="AH202">
        <f t="shared" si="84"/>
        <v>0</v>
      </c>
      <c r="AI202">
        <f t="shared" si="85"/>
        <v>24999.046993398624</v>
      </c>
      <c r="AJ202">
        <f t="shared" si="86"/>
        <v>0.70617109677419354</v>
      </c>
      <c r="AK202">
        <f t="shared" si="87"/>
        <v>0.56493687741935483</v>
      </c>
      <c r="AL202">
        <f t="shared" si="88"/>
        <v>0.8</v>
      </c>
      <c r="AM202">
        <f t="shared" si="89"/>
        <v>0.19109999999999999</v>
      </c>
      <c r="AN202">
        <v>3</v>
      </c>
      <c r="AO202">
        <v>0.5</v>
      </c>
      <c r="AP202" t="s">
        <v>317</v>
      </c>
      <c r="AQ202">
        <v>2</v>
      </c>
      <c r="AR202">
        <v>1775543119.599999</v>
      </c>
      <c r="AS202">
        <v>-3.7488741935483851</v>
      </c>
      <c r="AT202">
        <v>-4.4301854838709662</v>
      </c>
      <c r="AU202">
        <v>4.9552354838709691</v>
      </c>
      <c r="AV202">
        <v>4.2925609677419354</v>
      </c>
      <c r="AW202">
        <v>-10.74287419354838</v>
      </c>
      <c r="AX202">
        <v>6.7922354838709689</v>
      </c>
      <c r="AY202">
        <v>499.97732258064508</v>
      </c>
      <c r="AZ202">
        <v>100.0445161290323</v>
      </c>
      <c r="BA202">
        <v>4.6019096774193538E-2</v>
      </c>
      <c r="BB202">
        <v>33.175358064516132</v>
      </c>
      <c r="BC202">
        <v>33.25914516129032</v>
      </c>
      <c r="BD202">
        <v>999.90000000000032</v>
      </c>
      <c r="BE202">
        <v>0</v>
      </c>
      <c r="BF202">
        <v>0</v>
      </c>
      <c r="BG202">
        <v>4996.5</v>
      </c>
      <c r="BH202">
        <v>0.70617109677419354</v>
      </c>
      <c r="BI202">
        <v>432.89299999999997</v>
      </c>
      <c r="BJ202">
        <v>0.66414256774193559</v>
      </c>
      <c r="BK202">
        <v>-3.7847606451612901</v>
      </c>
      <c r="BL202">
        <v>-4.4492880645161286</v>
      </c>
      <c r="BM202">
        <v>0.65126558064516149</v>
      </c>
      <c r="BN202">
        <v>-4.4301854838709662</v>
      </c>
      <c r="BO202">
        <v>4.2925609677419354</v>
      </c>
      <c r="BP202">
        <v>0.49460287096774191</v>
      </c>
      <c r="BQ202">
        <v>0.42944735483870972</v>
      </c>
      <c r="BR202">
        <v>-2.933322903225807</v>
      </c>
      <c r="BS202">
        <v>-4.8160306451612893</v>
      </c>
      <c r="BT202">
        <v>1775543148.5999999</v>
      </c>
      <c r="BU202" t="s">
        <v>877</v>
      </c>
      <c r="BV202">
        <v>1775543147.0999999</v>
      </c>
      <c r="BW202">
        <v>1775543148.5999999</v>
      </c>
      <c r="BX202">
        <v>187</v>
      </c>
      <c r="BY202">
        <v>1.7000000000000001E-2</v>
      </c>
      <c r="BZ202">
        <v>1.2E-2</v>
      </c>
      <c r="CA202">
        <v>6.9939999999999998</v>
      </c>
      <c r="CB202">
        <v>-1.837</v>
      </c>
      <c r="CC202">
        <v>-4</v>
      </c>
      <c r="CD202">
        <v>4</v>
      </c>
      <c r="CE202">
        <v>0.22</v>
      </c>
      <c r="CF202">
        <v>0.08</v>
      </c>
      <c r="CG202">
        <v>-3.819475333333334</v>
      </c>
      <c r="CH202">
        <v>-3.7344182717421539</v>
      </c>
      <c r="CI202">
        <v>1.0011053652779121</v>
      </c>
      <c r="CJ202">
        <v>-1</v>
      </c>
      <c r="CK202">
        <v>500.01814999999999</v>
      </c>
      <c r="CL202">
        <v>-0.4334637399269396</v>
      </c>
      <c r="CM202">
        <v>0.15115762468363941</v>
      </c>
      <c r="CN202">
        <v>-1</v>
      </c>
      <c r="CO202">
        <v>0</v>
      </c>
      <c r="CP202">
        <v>0</v>
      </c>
      <c r="CQ202" t="s">
        <v>319</v>
      </c>
      <c r="CR202">
        <v>3.1691600000000002</v>
      </c>
      <c r="CS202">
        <v>2.6680799999999998</v>
      </c>
      <c r="CT202">
        <v>-3.1740100000000001E-3</v>
      </c>
      <c r="CU202">
        <v>-1.08826E-3</v>
      </c>
      <c r="CV202">
        <v>4.2906100000000003E-2</v>
      </c>
      <c r="CW202">
        <v>2.8652299999999999E-2</v>
      </c>
      <c r="CX202">
        <v>21329.9</v>
      </c>
      <c r="CY202">
        <v>21734.7</v>
      </c>
      <c r="CZ202">
        <v>22798.3</v>
      </c>
      <c r="DA202">
        <v>22081.3</v>
      </c>
      <c r="DB202">
        <v>28162.799999999999</v>
      </c>
      <c r="DC202">
        <v>25536.9</v>
      </c>
      <c r="DD202">
        <v>40121</v>
      </c>
      <c r="DE202">
        <v>36545.1</v>
      </c>
      <c r="DF202">
        <v>2.0079600000000002</v>
      </c>
      <c r="DG202">
        <v>1.62232</v>
      </c>
      <c r="DH202">
        <v>1.8096000000000001E-2</v>
      </c>
      <c r="DI202">
        <v>0</v>
      </c>
      <c r="DJ202">
        <v>32.968699999999998</v>
      </c>
      <c r="DK202">
        <v>999.9</v>
      </c>
      <c r="DL202">
        <v>55.4</v>
      </c>
      <c r="DM202">
        <v>43.2</v>
      </c>
      <c r="DN202">
        <v>48.613399999999999</v>
      </c>
      <c r="DO202">
        <v>30.289400000000001</v>
      </c>
      <c r="DP202">
        <v>10.661099999999999</v>
      </c>
      <c r="DQ202">
        <v>1</v>
      </c>
      <c r="DR202">
        <v>0.85395100000000002</v>
      </c>
      <c r="DS202">
        <v>0.20480999999999999</v>
      </c>
      <c r="DT202">
        <v>20.364899999999999</v>
      </c>
      <c r="DU202">
        <v>5.2092599999999996</v>
      </c>
      <c r="DV202">
        <v>11.854200000000001</v>
      </c>
      <c r="DW202">
        <v>4.96732</v>
      </c>
      <c r="DX202">
        <v>3.2930000000000001</v>
      </c>
      <c r="DY202">
        <v>894.7</v>
      </c>
      <c r="DZ202">
        <v>6</v>
      </c>
      <c r="EA202">
        <v>9999</v>
      </c>
      <c r="EB202">
        <v>118.8</v>
      </c>
      <c r="EC202">
        <v>4.97159</v>
      </c>
      <c r="ED202">
        <v>1.87208</v>
      </c>
      <c r="EE202">
        <v>1.8693599999999999</v>
      </c>
      <c r="EF202">
        <v>1.87171</v>
      </c>
      <c r="EG202">
        <v>1.86951</v>
      </c>
      <c r="EH202">
        <v>1.86836</v>
      </c>
      <c r="EI202">
        <v>1.8701300000000001</v>
      </c>
      <c r="EJ202">
        <v>1.8719399999999999</v>
      </c>
      <c r="EK202">
        <v>0</v>
      </c>
      <c r="EL202">
        <v>0</v>
      </c>
      <c r="EM202">
        <v>0</v>
      </c>
      <c r="EN202">
        <v>0</v>
      </c>
      <c r="EO202" t="s">
        <v>320</v>
      </c>
      <c r="EP202" t="s">
        <v>321</v>
      </c>
      <c r="EQ202" t="s">
        <v>322</v>
      </c>
      <c r="ER202" t="s">
        <v>322</v>
      </c>
      <c r="ES202" t="s">
        <v>322</v>
      </c>
      <c r="ET202" t="s">
        <v>322</v>
      </c>
      <c r="EU202">
        <v>0</v>
      </c>
      <c r="EV202">
        <v>100</v>
      </c>
      <c r="EW202">
        <v>100</v>
      </c>
      <c r="EX202">
        <v>6.9939999999999998</v>
      </c>
      <c r="EY202">
        <v>-1.837</v>
      </c>
      <c r="EZ202">
        <v>6.976840000000001</v>
      </c>
      <c r="FA202">
        <v>0</v>
      </c>
      <c r="FB202">
        <v>0</v>
      </c>
      <c r="FC202">
        <v>0</v>
      </c>
      <c r="FD202">
        <v>-1.8484090000000011</v>
      </c>
      <c r="FE202">
        <v>0</v>
      </c>
      <c r="FF202">
        <v>0</v>
      </c>
      <c r="FG202">
        <v>0</v>
      </c>
      <c r="FH202">
        <v>-1</v>
      </c>
      <c r="FI202">
        <v>-1</v>
      </c>
      <c r="FJ202">
        <v>-1</v>
      </c>
      <c r="FK202">
        <v>-1</v>
      </c>
      <c r="FL202">
        <v>0.6</v>
      </c>
      <c r="FM202">
        <v>0.6</v>
      </c>
      <c r="FN202">
        <v>0.13916000000000001</v>
      </c>
      <c r="FO202">
        <v>4.99756</v>
      </c>
      <c r="FP202">
        <v>1.5979000000000001</v>
      </c>
      <c r="FQ202">
        <v>2.1118199999999998</v>
      </c>
      <c r="FR202">
        <v>1.5478499999999999</v>
      </c>
      <c r="FS202">
        <v>2.4939</v>
      </c>
      <c r="FT202">
        <v>45.604500000000002</v>
      </c>
      <c r="FU202">
        <v>14.7012</v>
      </c>
      <c r="FV202">
        <v>2</v>
      </c>
      <c r="FW202">
        <v>508.54</v>
      </c>
      <c r="FX202">
        <v>352.00599999999997</v>
      </c>
      <c r="FY202">
        <v>33.5563</v>
      </c>
      <c r="FZ202">
        <v>37.708500000000001</v>
      </c>
      <c r="GA202">
        <v>29.998799999999999</v>
      </c>
      <c r="GB202">
        <v>38.106000000000002</v>
      </c>
      <c r="GC202">
        <v>38.167499999999997</v>
      </c>
      <c r="GD202">
        <v>-1</v>
      </c>
      <c r="GE202">
        <v>0</v>
      </c>
      <c r="GF202">
        <v>100</v>
      </c>
      <c r="GG202">
        <v>33.572099999999999</v>
      </c>
      <c r="GH202">
        <v>432.1</v>
      </c>
      <c r="GI202">
        <v>44.267099999999999</v>
      </c>
      <c r="GJ202">
        <v>100.94199999999999</v>
      </c>
      <c r="GK202">
        <v>95.408000000000001</v>
      </c>
    </row>
    <row r="203" spans="1:193" x14ac:dyDescent="0.35">
      <c r="A203">
        <v>187</v>
      </c>
      <c r="B203">
        <v>1775543187.5999999</v>
      </c>
      <c r="C203">
        <v>11161.5</v>
      </c>
      <c r="D203" t="s">
        <v>878</v>
      </c>
      <c r="E203" t="s">
        <v>879</v>
      </c>
      <c r="F203">
        <v>60</v>
      </c>
      <c r="G203">
        <v>1775543179.599999</v>
      </c>
      <c r="H203">
        <f t="shared" si="60"/>
        <v>9.9125628767374966E-4</v>
      </c>
      <c r="I203">
        <f t="shared" si="61"/>
        <v>0.99125628767374974</v>
      </c>
      <c r="J203">
        <f t="shared" si="62"/>
        <v>-0.43516366210319907</v>
      </c>
      <c r="K203">
        <f t="shared" si="63"/>
        <v>-3.9250322580645149</v>
      </c>
      <c r="L203">
        <f t="shared" si="64"/>
        <v>28.563839704012199</v>
      </c>
      <c r="M203">
        <f t="shared" si="65"/>
        <v>2.8589286438231136</v>
      </c>
      <c r="N203">
        <f t="shared" si="66"/>
        <v>-0.39285289606684615</v>
      </c>
      <c r="O203">
        <f t="shared" si="67"/>
        <v>2.0916077409583175E-2</v>
      </c>
      <c r="P203">
        <f t="shared" si="68"/>
        <v>2.389736518643752</v>
      </c>
      <c r="Q203">
        <f t="shared" si="69"/>
        <v>2.0814904597344992E-2</v>
      </c>
      <c r="R203">
        <f t="shared" si="70"/>
        <v>1.3018364447867227E-2</v>
      </c>
      <c r="S203">
        <f t="shared" si="71"/>
        <v>0.13609859665161289</v>
      </c>
      <c r="T203">
        <f t="shared" si="72"/>
        <v>32.879667167734702</v>
      </c>
      <c r="U203">
        <f t="shared" si="73"/>
        <v>33.262467741935481</v>
      </c>
      <c r="V203">
        <f t="shared" si="74"/>
        <v>5.1270930418970462</v>
      </c>
      <c r="W203">
        <f t="shared" si="75"/>
        <v>9.6843526894759826</v>
      </c>
      <c r="X203">
        <f t="shared" si="76"/>
        <v>0.49446382172706976</v>
      </c>
      <c r="Y203">
        <f t="shared" si="77"/>
        <v>5.1058014673960113</v>
      </c>
      <c r="Z203">
        <f t="shared" si="78"/>
        <v>4.6326292201699761</v>
      </c>
      <c r="AA203">
        <f t="shared" si="79"/>
        <v>-43.714402286412358</v>
      </c>
      <c r="AB203">
        <f t="shared" si="80"/>
        <v>-9.557514267794522</v>
      </c>
      <c r="AC203">
        <f t="shared" si="81"/>
        <v>-0.91797251417131964</v>
      </c>
      <c r="AD203">
        <f t="shared" si="82"/>
        <v>-54.053790471726586</v>
      </c>
      <c r="AE203">
        <v>4</v>
      </c>
      <c r="AF203">
        <v>1</v>
      </c>
      <c r="AG203">
        <f t="shared" si="83"/>
        <v>1</v>
      </c>
      <c r="AH203">
        <f t="shared" si="84"/>
        <v>0</v>
      </c>
      <c r="AI203">
        <f t="shared" si="85"/>
        <v>25030.758072030836</v>
      </c>
      <c r="AJ203">
        <f t="shared" si="86"/>
        <v>0.71218522580645161</v>
      </c>
      <c r="AK203">
        <f t="shared" si="87"/>
        <v>0.56974818064516131</v>
      </c>
      <c r="AL203">
        <f t="shared" si="88"/>
        <v>0.8</v>
      </c>
      <c r="AM203">
        <f t="shared" si="89"/>
        <v>0.19109999999999999</v>
      </c>
      <c r="AN203">
        <v>3</v>
      </c>
      <c r="AO203">
        <v>0.5</v>
      </c>
      <c r="AP203" t="s">
        <v>317</v>
      </c>
      <c r="AQ203">
        <v>2</v>
      </c>
      <c r="AR203">
        <v>1775543179.599999</v>
      </c>
      <c r="AS203">
        <v>-3.9250322580645149</v>
      </c>
      <c r="AT203">
        <v>-4.188454516129033</v>
      </c>
      <c r="AU203">
        <v>4.9402370967741946</v>
      </c>
      <c r="AV203">
        <v>4.3484448387096766</v>
      </c>
      <c r="AW203">
        <v>-10.91903225806452</v>
      </c>
      <c r="AX203">
        <v>6.7962370967741954</v>
      </c>
      <c r="AY203">
        <v>500.01967741935482</v>
      </c>
      <c r="AZ203">
        <v>100.0445806451613</v>
      </c>
      <c r="BA203">
        <v>4.4506587096774193E-2</v>
      </c>
      <c r="BB203">
        <v>33.188283870967737</v>
      </c>
      <c r="BC203">
        <v>33.262467741935481</v>
      </c>
      <c r="BD203">
        <v>999.90000000000032</v>
      </c>
      <c r="BE203">
        <v>0</v>
      </c>
      <c r="BF203">
        <v>0</v>
      </c>
      <c r="BG203">
        <v>5002.1612903225796</v>
      </c>
      <c r="BH203">
        <v>0.71218522580645161</v>
      </c>
      <c r="BI203">
        <v>422.31377419354828</v>
      </c>
      <c r="BJ203">
        <v>0.26307103225806461</v>
      </c>
      <c r="BK203">
        <v>-3.9449487096774201</v>
      </c>
      <c r="BL203">
        <v>-4.2067467741935483</v>
      </c>
      <c r="BM203">
        <v>0.61122235483870968</v>
      </c>
      <c r="BN203">
        <v>-4.188454516129033</v>
      </c>
      <c r="BO203">
        <v>4.3484448387096766</v>
      </c>
      <c r="BP203">
        <v>0.49618832258064521</v>
      </c>
      <c r="BQ203">
        <v>0.43503883870967741</v>
      </c>
      <c r="BR203">
        <v>-2.8902199999999998</v>
      </c>
      <c r="BS203">
        <v>-4.6450612903225803</v>
      </c>
      <c r="BT203">
        <v>1775543209.5999999</v>
      </c>
      <c r="BU203" t="s">
        <v>880</v>
      </c>
      <c r="BV203">
        <v>1775543207.5999999</v>
      </c>
      <c r="BW203">
        <v>1775543209.5999999</v>
      </c>
      <c r="BX203">
        <v>188</v>
      </c>
      <c r="BY203">
        <v>0</v>
      </c>
      <c r="BZ203">
        <v>-1.9E-2</v>
      </c>
      <c r="CA203">
        <v>6.9939999999999998</v>
      </c>
      <c r="CB203">
        <v>-1.8560000000000001</v>
      </c>
      <c r="CC203">
        <v>-4</v>
      </c>
      <c r="CD203">
        <v>4</v>
      </c>
      <c r="CE203">
        <v>0.21</v>
      </c>
      <c r="CF203">
        <v>0.16</v>
      </c>
      <c r="CG203">
        <v>-4.2390116666666664</v>
      </c>
      <c r="CH203">
        <v>0.40628378994164971</v>
      </c>
      <c r="CI203">
        <v>6.2954578551170995E-2</v>
      </c>
      <c r="CJ203">
        <v>-1</v>
      </c>
      <c r="CK203">
        <v>500.05085000000003</v>
      </c>
      <c r="CL203">
        <v>-0.43461739371964181</v>
      </c>
      <c r="CM203">
        <v>0.15357460998919489</v>
      </c>
      <c r="CN203">
        <v>-1</v>
      </c>
      <c r="CO203">
        <v>0</v>
      </c>
      <c r="CP203">
        <v>0</v>
      </c>
      <c r="CQ203" t="s">
        <v>319</v>
      </c>
      <c r="CR203">
        <v>3.1691600000000002</v>
      </c>
      <c r="CS203">
        <v>2.6661100000000002</v>
      </c>
      <c r="CT203">
        <v>-3.1634900000000001E-3</v>
      </c>
      <c r="CU203">
        <v>-1.2232600000000001E-3</v>
      </c>
      <c r="CV203">
        <v>4.2800999999999999E-2</v>
      </c>
      <c r="CW203">
        <v>2.9410599999999999E-2</v>
      </c>
      <c r="CX203">
        <v>21336.799999999999</v>
      </c>
      <c r="CY203">
        <v>21743.3</v>
      </c>
      <c r="CZ203">
        <v>22805.200000000001</v>
      </c>
      <c r="DA203">
        <v>22086.5</v>
      </c>
      <c r="DB203">
        <v>28173.8</v>
      </c>
      <c r="DC203">
        <v>25523.5</v>
      </c>
      <c r="DD203">
        <v>40131.800000000003</v>
      </c>
      <c r="DE203">
        <v>36554.1</v>
      </c>
      <c r="DF203">
        <v>2.0094599999999998</v>
      </c>
      <c r="DG203">
        <v>1.62734</v>
      </c>
      <c r="DH203">
        <v>2.0152300000000001E-2</v>
      </c>
      <c r="DI203">
        <v>0</v>
      </c>
      <c r="DJ203">
        <v>32.938099999999999</v>
      </c>
      <c r="DK203">
        <v>999.9</v>
      </c>
      <c r="DL203">
        <v>55.5</v>
      </c>
      <c r="DM203">
        <v>43.1</v>
      </c>
      <c r="DN203">
        <v>48.451000000000001</v>
      </c>
      <c r="DO203">
        <v>30.499400000000001</v>
      </c>
      <c r="DP203">
        <v>10.6851</v>
      </c>
      <c r="DQ203">
        <v>1</v>
      </c>
      <c r="DR203">
        <v>0.83875</v>
      </c>
      <c r="DS203">
        <v>0.29419600000000001</v>
      </c>
      <c r="DT203">
        <v>20.364599999999999</v>
      </c>
      <c r="DU203">
        <v>5.2098599999999999</v>
      </c>
      <c r="DV203">
        <v>11.854200000000001</v>
      </c>
      <c r="DW203">
        <v>4.9672799999999997</v>
      </c>
      <c r="DX203">
        <v>3.2930000000000001</v>
      </c>
      <c r="DY203">
        <v>894.7</v>
      </c>
      <c r="DZ203">
        <v>6</v>
      </c>
      <c r="EA203">
        <v>9999</v>
      </c>
      <c r="EB203">
        <v>118.8</v>
      </c>
      <c r="EC203">
        <v>4.9715699999999998</v>
      </c>
      <c r="ED203">
        <v>1.87208</v>
      </c>
      <c r="EE203">
        <v>1.8693500000000001</v>
      </c>
      <c r="EF203">
        <v>1.87168</v>
      </c>
      <c r="EG203">
        <v>1.8694999999999999</v>
      </c>
      <c r="EH203">
        <v>1.8683000000000001</v>
      </c>
      <c r="EI203">
        <v>1.8701399999999999</v>
      </c>
      <c r="EJ203">
        <v>1.87192</v>
      </c>
      <c r="EK203">
        <v>0</v>
      </c>
      <c r="EL203">
        <v>0</v>
      </c>
      <c r="EM203">
        <v>0</v>
      </c>
      <c r="EN203">
        <v>0</v>
      </c>
      <c r="EO203" t="s">
        <v>320</v>
      </c>
      <c r="EP203" t="s">
        <v>321</v>
      </c>
      <c r="EQ203" t="s">
        <v>322</v>
      </c>
      <c r="ER203" t="s">
        <v>322</v>
      </c>
      <c r="ES203" t="s">
        <v>322</v>
      </c>
      <c r="ET203" t="s">
        <v>322</v>
      </c>
      <c r="EU203">
        <v>0</v>
      </c>
      <c r="EV203">
        <v>100</v>
      </c>
      <c r="EW203">
        <v>100</v>
      </c>
      <c r="EX203">
        <v>6.9939999999999998</v>
      </c>
      <c r="EY203">
        <v>-1.8560000000000001</v>
      </c>
      <c r="EZ203">
        <v>6.9936500000000006</v>
      </c>
      <c r="FA203">
        <v>0</v>
      </c>
      <c r="FB203">
        <v>0</v>
      </c>
      <c r="FC203">
        <v>0</v>
      </c>
      <c r="FD203">
        <v>-1.8365709999999991</v>
      </c>
      <c r="FE203">
        <v>0</v>
      </c>
      <c r="FF203">
        <v>0</v>
      </c>
      <c r="FG203">
        <v>0</v>
      </c>
      <c r="FH203">
        <v>-1</v>
      </c>
      <c r="FI203">
        <v>-1</v>
      </c>
      <c r="FJ203">
        <v>-1</v>
      </c>
      <c r="FK203">
        <v>-1</v>
      </c>
      <c r="FL203">
        <v>0.7</v>
      </c>
      <c r="FM203">
        <v>0.7</v>
      </c>
      <c r="FN203">
        <v>0.13916000000000001</v>
      </c>
      <c r="FO203">
        <v>4.99756</v>
      </c>
      <c r="FP203">
        <v>1.5979000000000001</v>
      </c>
      <c r="FQ203">
        <v>2.1118199999999998</v>
      </c>
      <c r="FR203">
        <v>1.5478499999999999</v>
      </c>
      <c r="FS203">
        <v>2.47803</v>
      </c>
      <c r="FT203">
        <v>45.4328</v>
      </c>
      <c r="FU203">
        <v>14.692399999999999</v>
      </c>
      <c r="FV203">
        <v>2</v>
      </c>
      <c r="FW203">
        <v>508.28399999999999</v>
      </c>
      <c r="FX203">
        <v>353.91800000000001</v>
      </c>
      <c r="FY203">
        <v>33.459400000000002</v>
      </c>
      <c r="FZ203">
        <v>37.524299999999997</v>
      </c>
      <c r="GA203">
        <v>29.998799999999999</v>
      </c>
      <c r="GB203">
        <v>37.935099999999998</v>
      </c>
      <c r="GC203">
        <v>38.0032</v>
      </c>
      <c r="GD203">
        <v>-1</v>
      </c>
      <c r="GE203">
        <v>0</v>
      </c>
      <c r="GF203">
        <v>100</v>
      </c>
      <c r="GG203">
        <v>33.472000000000001</v>
      </c>
      <c r="GH203">
        <v>432.1</v>
      </c>
      <c r="GI203">
        <v>44.267099999999999</v>
      </c>
      <c r="GJ203">
        <v>100.97</v>
      </c>
      <c r="GK203">
        <v>95.431399999999996</v>
      </c>
    </row>
    <row r="204" spans="1:193" x14ac:dyDescent="0.35">
      <c r="A204">
        <v>188</v>
      </c>
      <c r="B204">
        <v>1775543247.5999999</v>
      </c>
      <c r="C204">
        <v>11221.5</v>
      </c>
      <c r="D204" t="s">
        <v>881</v>
      </c>
      <c r="E204" t="s">
        <v>882</v>
      </c>
      <c r="F204">
        <v>60</v>
      </c>
      <c r="G204">
        <v>1775543239.599999</v>
      </c>
      <c r="H204">
        <f t="shared" si="60"/>
        <v>9.8992506099362422E-4</v>
      </c>
      <c r="I204">
        <f t="shared" si="61"/>
        <v>0.98992506099362421</v>
      </c>
      <c r="J204">
        <f t="shared" si="62"/>
        <v>-0.47822278180856509</v>
      </c>
      <c r="K204">
        <f t="shared" si="63"/>
        <v>-3.559583870967741</v>
      </c>
      <c r="L204">
        <f t="shared" si="64"/>
        <v>32.122053757925514</v>
      </c>
      <c r="M204">
        <f t="shared" si="65"/>
        <v>3.2149350848137446</v>
      </c>
      <c r="N204">
        <f t="shared" si="66"/>
        <v>-0.35626087797352501</v>
      </c>
      <c r="O204">
        <f t="shared" si="67"/>
        <v>2.0896576114858043E-2</v>
      </c>
      <c r="P204">
        <f t="shared" si="68"/>
        <v>2.3899480730614635</v>
      </c>
      <c r="Q204">
        <f t="shared" si="69"/>
        <v>2.0795600274222122E-2</v>
      </c>
      <c r="R204">
        <f t="shared" si="70"/>
        <v>1.3006281669658674E-2</v>
      </c>
      <c r="S204">
        <f t="shared" si="71"/>
        <v>0.13059021929032258</v>
      </c>
      <c r="T204">
        <f t="shared" si="72"/>
        <v>32.895072778042028</v>
      </c>
      <c r="U204">
        <f t="shared" si="73"/>
        <v>33.285077419354828</v>
      </c>
      <c r="V204">
        <f t="shared" si="74"/>
        <v>5.1335976032599868</v>
      </c>
      <c r="W204">
        <f t="shared" si="75"/>
        <v>9.852246690590281</v>
      </c>
      <c r="X204">
        <f t="shared" si="76"/>
        <v>0.50345969897335507</v>
      </c>
      <c r="Y204">
        <f t="shared" si="77"/>
        <v>5.1101004144993762</v>
      </c>
      <c r="Z204">
        <f t="shared" si="78"/>
        <v>4.6301379042866317</v>
      </c>
      <c r="AA204">
        <f t="shared" si="79"/>
        <v>-43.655695189818829</v>
      </c>
      <c r="AB204">
        <f t="shared" si="80"/>
        <v>-10.538843555920197</v>
      </c>
      <c r="AC204">
        <f t="shared" si="81"/>
        <v>-1.0123233229957223</v>
      </c>
      <c r="AD204">
        <f t="shared" si="82"/>
        <v>-55.076271849444424</v>
      </c>
      <c r="AE204">
        <v>4</v>
      </c>
      <c r="AF204">
        <v>1</v>
      </c>
      <c r="AG204">
        <f t="shared" si="83"/>
        <v>1</v>
      </c>
      <c r="AH204">
        <f t="shared" si="84"/>
        <v>0</v>
      </c>
      <c r="AI204">
        <f t="shared" si="85"/>
        <v>25032.838544580729</v>
      </c>
      <c r="AJ204">
        <f t="shared" si="86"/>
        <v>0.68336064516129036</v>
      </c>
      <c r="AK204">
        <f t="shared" si="87"/>
        <v>0.54668851612903235</v>
      </c>
      <c r="AL204">
        <f t="shared" si="88"/>
        <v>0.8</v>
      </c>
      <c r="AM204">
        <f t="shared" si="89"/>
        <v>0.19109999999999999</v>
      </c>
      <c r="AN204">
        <v>3</v>
      </c>
      <c r="AO204">
        <v>0.5</v>
      </c>
      <c r="AP204" t="s">
        <v>317</v>
      </c>
      <c r="AQ204">
        <v>2</v>
      </c>
      <c r="AR204">
        <v>1775543239.599999</v>
      </c>
      <c r="AS204">
        <v>-3.559583870967741</v>
      </c>
      <c r="AT204">
        <v>-3.848635483870968</v>
      </c>
      <c r="AU204">
        <v>5.0303222580645146</v>
      </c>
      <c r="AV204">
        <v>4.4393474193548386</v>
      </c>
      <c r="AW204">
        <v>-10.575583870967741</v>
      </c>
      <c r="AX204">
        <v>6.8663222580645158</v>
      </c>
      <c r="AY204">
        <v>499.99358064516127</v>
      </c>
      <c r="AZ204">
        <v>100.0406451612903</v>
      </c>
      <c r="BA204">
        <v>4.4334119354838712E-2</v>
      </c>
      <c r="BB204">
        <v>33.203283870967738</v>
      </c>
      <c r="BC204">
        <v>33.285077419354828</v>
      </c>
      <c r="BD204">
        <v>999.90000000000032</v>
      </c>
      <c r="BE204">
        <v>0</v>
      </c>
      <c r="BF204">
        <v>0</v>
      </c>
      <c r="BG204">
        <v>5002.9032258064517</v>
      </c>
      <c r="BH204">
        <v>0.68336064516129036</v>
      </c>
      <c r="BI204">
        <v>410.46512903225801</v>
      </c>
      <c r="BJ204">
        <v>0.26679867741935481</v>
      </c>
      <c r="BK204">
        <v>-3.5998748387096779</v>
      </c>
      <c r="BL204">
        <v>-3.8657977419354839</v>
      </c>
      <c r="BM204">
        <v>0.57100683870967739</v>
      </c>
      <c r="BN204">
        <v>-3.848635483870968</v>
      </c>
      <c r="BO204">
        <v>4.4393474193548386</v>
      </c>
      <c r="BP204">
        <v>0.50123929032258074</v>
      </c>
      <c r="BQ204">
        <v>0.44411538709677417</v>
      </c>
      <c r="BR204">
        <v>-2.7540358064516131</v>
      </c>
      <c r="BS204">
        <v>-4.3710425806451623</v>
      </c>
      <c r="BT204">
        <v>1775543276.5999999</v>
      </c>
      <c r="BU204" t="s">
        <v>883</v>
      </c>
      <c r="BV204">
        <v>1775543264.5999999</v>
      </c>
      <c r="BW204">
        <v>1775543276.5999999</v>
      </c>
      <c r="BX204">
        <v>189</v>
      </c>
      <c r="BY204">
        <v>2.1999999999999999E-2</v>
      </c>
      <c r="BZ204">
        <v>0.02</v>
      </c>
      <c r="CA204">
        <v>7.016</v>
      </c>
      <c r="CB204">
        <v>-1.8360000000000001</v>
      </c>
      <c r="CC204">
        <v>-3</v>
      </c>
      <c r="CD204">
        <v>4</v>
      </c>
      <c r="CE204">
        <v>0.14000000000000001</v>
      </c>
      <c r="CF204">
        <v>0.17</v>
      </c>
      <c r="CG204">
        <v>-3.8775071666666672</v>
      </c>
      <c r="CH204">
        <v>0.24451302028340219</v>
      </c>
      <c r="CI204">
        <v>5.3590289639438321E-2</v>
      </c>
      <c r="CJ204">
        <v>-1</v>
      </c>
      <c r="CK204">
        <v>500.13341666666668</v>
      </c>
      <c r="CL204">
        <v>-1.571173103639232</v>
      </c>
      <c r="CM204">
        <v>0.49473424824737089</v>
      </c>
      <c r="CN204">
        <v>-1</v>
      </c>
      <c r="CO204">
        <v>0</v>
      </c>
      <c r="CP204">
        <v>0</v>
      </c>
      <c r="CQ204" t="s">
        <v>319</v>
      </c>
      <c r="CR204">
        <v>3.16913</v>
      </c>
      <c r="CS204">
        <v>2.6637200000000001</v>
      </c>
      <c r="CT204">
        <v>-3.0563399999999998E-3</v>
      </c>
      <c r="CU204">
        <v>-1.0872E-3</v>
      </c>
      <c r="CV204">
        <v>4.3101100000000003E-2</v>
      </c>
      <c r="CW204">
        <v>2.9709699999999999E-2</v>
      </c>
      <c r="CX204">
        <v>21339.8</v>
      </c>
      <c r="CY204">
        <v>21744.7</v>
      </c>
      <c r="CZ204">
        <v>22810.3</v>
      </c>
      <c r="DA204">
        <v>22090.5</v>
      </c>
      <c r="DB204">
        <v>28170.799999999999</v>
      </c>
      <c r="DC204">
        <v>25521.1</v>
      </c>
      <c r="DD204">
        <v>40139.599999999999</v>
      </c>
      <c r="DE204">
        <v>36561.599999999999</v>
      </c>
      <c r="DF204">
        <v>2.0108199999999998</v>
      </c>
      <c r="DG204">
        <v>1.63028</v>
      </c>
      <c r="DH204">
        <v>1.9919900000000001E-2</v>
      </c>
      <c r="DI204">
        <v>0</v>
      </c>
      <c r="DJ204">
        <v>32.958100000000002</v>
      </c>
      <c r="DK204">
        <v>999.9</v>
      </c>
      <c r="DL204">
        <v>55.7</v>
      </c>
      <c r="DM204">
        <v>43</v>
      </c>
      <c r="DN204">
        <v>48.373699999999999</v>
      </c>
      <c r="DO204">
        <v>30.439399999999999</v>
      </c>
      <c r="DP204">
        <v>10.8293</v>
      </c>
      <c r="DQ204">
        <v>1</v>
      </c>
      <c r="DR204">
        <v>0.82620700000000002</v>
      </c>
      <c r="DS204">
        <v>0.34001500000000001</v>
      </c>
      <c r="DT204">
        <v>20.364999999999998</v>
      </c>
      <c r="DU204">
        <v>5.2092599999999996</v>
      </c>
      <c r="DV204">
        <v>11.8543</v>
      </c>
      <c r="DW204">
        <v>4.9673600000000002</v>
      </c>
      <c r="DX204">
        <v>3.2930000000000001</v>
      </c>
      <c r="DY204">
        <v>894.7</v>
      </c>
      <c r="DZ204">
        <v>6</v>
      </c>
      <c r="EA204">
        <v>9999</v>
      </c>
      <c r="EB204">
        <v>118.9</v>
      </c>
      <c r="EC204">
        <v>4.9716100000000001</v>
      </c>
      <c r="ED204">
        <v>1.8720699999999999</v>
      </c>
      <c r="EE204">
        <v>1.8693599999999999</v>
      </c>
      <c r="EF204">
        <v>1.8716900000000001</v>
      </c>
      <c r="EG204">
        <v>1.86951</v>
      </c>
      <c r="EH204">
        <v>1.8683000000000001</v>
      </c>
      <c r="EI204">
        <v>1.8701300000000001</v>
      </c>
      <c r="EJ204">
        <v>1.8719399999999999</v>
      </c>
      <c r="EK204">
        <v>0</v>
      </c>
      <c r="EL204">
        <v>0</v>
      </c>
      <c r="EM204">
        <v>0</v>
      </c>
      <c r="EN204">
        <v>0</v>
      </c>
      <c r="EO204" t="s">
        <v>320</v>
      </c>
      <c r="EP204" t="s">
        <v>321</v>
      </c>
      <c r="EQ204" t="s">
        <v>322</v>
      </c>
      <c r="ER204" t="s">
        <v>322</v>
      </c>
      <c r="ES204" t="s">
        <v>322</v>
      </c>
      <c r="ET204" t="s">
        <v>322</v>
      </c>
      <c r="EU204">
        <v>0</v>
      </c>
      <c r="EV204">
        <v>100</v>
      </c>
      <c r="EW204">
        <v>100</v>
      </c>
      <c r="EX204">
        <v>7.016</v>
      </c>
      <c r="EY204">
        <v>-1.8360000000000001</v>
      </c>
      <c r="EZ204">
        <v>6.993751500000001</v>
      </c>
      <c r="FA204">
        <v>0</v>
      </c>
      <c r="FB204">
        <v>0</v>
      </c>
      <c r="FC204">
        <v>0</v>
      </c>
      <c r="FD204">
        <v>-1.8559680000000001</v>
      </c>
      <c r="FE204">
        <v>0</v>
      </c>
      <c r="FF204">
        <v>0</v>
      </c>
      <c r="FG204">
        <v>0</v>
      </c>
      <c r="FH204">
        <v>-1</v>
      </c>
      <c r="FI204">
        <v>-1</v>
      </c>
      <c r="FJ204">
        <v>-1</v>
      </c>
      <c r="FK204">
        <v>-1</v>
      </c>
      <c r="FL204">
        <v>0.7</v>
      </c>
      <c r="FM204">
        <v>0.6</v>
      </c>
      <c r="FN204">
        <v>0.14038100000000001</v>
      </c>
      <c r="FO204">
        <v>4.99756</v>
      </c>
      <c r="FP204">
        <v>1.5979000000000001</v>
      </c>
      <c r="FQ204">
        <v>2.1118199999999998</v>
      </c>
      <c r="FR204">
        <v>1.5478499999999999</v>
      </c>
      <c r="FS204">
        <v>2.4279799999999998</v>
      </c>
      <c r="FT204">
        <v>45.290399999999998</v>
      </c>
      <c r="FU204">
        <v>14.6837</v>
      </c>
      <c r="FV204">
        <v>2</v>
      </c>
      <c r="FW204">
        <v>508.07499999999999</v>
      </c>
      <c r="FX204">
        <v>354.786</v>
      </c>
      <c r="FY204">
        <v>33.473199999999999</v>
      </c>
      <c r="FZ204">
        <v>37.372</v>
      </c>
      <c r="GA204">
        <v>29.999199999999998</v>
      </c>
      <c r="GB204">
        <v>37.783999999999999</v>
      </c>
      <c r="GC204">
        <v>37.855499999999999</v>
      </c>
      <c r="GD204">
        <v>-1</v>
      </c>
      <c r="GE204">
        <v>0</v>
      </c>
      <c r="GF204">
        <v>100</v>
      </c>
      <c r="GG204">
        <v>33.475700000000003</v>
      </c>
      <c r="GH204">
        <v>432.1</v>
      </c>
      <c r="GI204">
        <v>44.267099999999999</v>
      </c>
      <c r="GJ204">
        <v>100.991</v>
      </c>
      <c r="GK204">
        <v>95.45</v>
      </c>
    </row>
    <row r="205" spans="1:193" x14ac:dyDescent="0.35">
      <c r="A205">
        <v>189</v>
      </c>
      <c r="B205">
        <v>1775543307.5999999</v>
      </c>
      <c r="C205">
        <v>11281.5</v>
      </c>
      <c r="D205" t="s">
        <v>884</v>
      </c>
      <c r="E205" t="s">
        <v>885</v>
      </c>
      <c r="F205">
        <v>60</v>
      </c>
      <c r="G205">
        <v>1775543299.599999</v>
      </c>
      <c r="H205">
        <f t="shared" si="60"/>
        <v>1.571266716385941E-3</v>
      </c>
      <c r="I205">
        <f t="shared" si="61"/>
        <v>1.5712667163859411</v>
      </c>
      <c r="J205">
        <f t="shared" si="62"/>
        <v>-9.661105270460707E-2</v>
      </c>
      <c r="K205">
        <f t="shared" si="63"/>
        <v>-2.5335019354838701</v>
      </c>
      <c r="L205">
        <f t="shared" si="64"/>
        <v>2.1461752395143461</v>
      </c>
      <c r="M205">
        <f t="shared" si="65"/>
        <v>0.21480323088181677</v>
      </c>
      <c r="N205">
        <f t="shared" si="66"/>
        <v>-0.25356941556665169</v>
      </c>
      <c r="O205">
        <f t="shared" si="67"/>
        <v>3.3355739401860006E-2</v>
      </c>
      <c r="P205">
        <f t="shared" si="68"/>
        <v>2.3885878473264186</v>
      </c>
      <c r="Q205">
        <f t="shared" si="69"/>
        <v>3.3099110710534896E-2</v>
      </c>
      <c r="R205">
        <f t="shared" si="70"/>
        <v>2.0709836566347409E-2</v>
      </c>
      <c r="S205">
        <f t="shared" si="71"/>
        <v>0.12346344685161291</v>
      </c>
      <c r="T205">
        <f t="shared" si="72"/>
        <v>32.69739279938473</v>
      </c>
      <c r="U205">
        <f t="shared" si="73"/>
        <v>33.265122580645148</v>
      </c>
      <c r="V205">
        <f t="shared" si="74"/>
        <v>5.1278564387747902</v>
      </c>
      <c r="W205">
        <f t="shared" si="75"/>
        <v>9.9973422923765938</v>
      </c>
      <c r="X205">
        <f t="shared" si="76"/>
        <v>0.51042079757126679</v>
      </c>
      <c r="Y205">
        <f t="shared" si="77"/>
        <v>5.1055648855844895</v>
      </c>
      <c r="Z205">
        <f t="shared" si="78"/>
        <v>4.6174356412035236</v>
      </c>
      <c r="AA205">
        <f t="shared" si="79"/>
        <v>-69.292862192619992</v>
      </c>
      <c r="AB205">
        <f t="shared" si="80"/>
        <v>-10.001135297584339</v>
      </c>
      <c r="AC205">
        <f t="shared" si="81"/>
        <v>-0.96105162813184608</v>
      </c>
      <c r="AD205">
        <f t="shared" si="82"/>
        <v>-80.131585671484572</v>
      </c>
      <c r="AE205">
        <v>4</v>
      </c>
      <c r="AF205">
        <v>1</v>
      </c>
      <c r="AG205">
        <f t="shared" si="83"/>
        <v>1</v>
      </c>
      <c r="AH205">
        <f t="shared" si="84"/>
        <v>0</v>
      </c>
      <c r="AI205">
        <f t="shared" si="85"/>
        <v>25013.774250084934</v>
      </c>
      <c r="AJ205">
        <f t="shared" si="86"/>
        <v>0.64606722580645171</v>
      </c>
      <c r="AK205">
        <f t="shared" si="87"/>
        <v>0.51685378064516141</v>
      </c>
      <c r="AL205">
        <f t="shared" si="88"/>
        <v>0.8</v>
      </c>
      <c r="AM205">
        <f t="shared" si="89"/>
        <v>0.19109999999999999</v>
      </c>
      <c r="AN205">
        <v>3</v>
      </c>
      <c r="AO205">
        <v>0.5</v>
      </c>
      <c r="AP205" t="s">
        <v>317</v>
      </c>
      <c r="AQ205">
        <v>2</v>
      </c>
      <c r="AR205">
        <v>1775543299.599999</v>
      </c>
      <c r="AS205">
        <v>-2.5335019354838701</v>
      </c>
      <c r="AT205">
        <v>-2.5938583870967742</v>
      </c>
      <c r="AU205">
        <v>5.0997951612903218</v>
      </c>
      <c r="AV205">
        <v>4.1618222580645172</v>
      </c>
      <c r="AW205">
        <v>-9.5985019354838705</v>
      </c>
      <c r="AX205">
        <v>6.9197951612903221</v>
      </c>
      <c r="AY205">
        <v>499.98893548387088</v>
      </c>
      <c r="AZ205">
        <v>100.0428064516129</v>
      </c>
      <c r="BA205">
        <v>4.3722796774193558E-2</v>
      </c>
      <c r="BB205">
        <v>33.187458064516122</v>
      </c>
      <c r="BC205">
        <v>33.265122580645148</v>
      </c>
      <c r="BD205">
        <v>999.90000000000032</v>
      </c>
      <c r="BE205">
        <v>0</v>
      </c>
      <c r="BF205">
        <v>0</v>
      </c>
      <c r="BG205">
        <v>4999.2903225806449</v>
      </c>
      <c r="BH205">
        <v>0.64606722580645171</v>
      </c>
      <c r="BI205">
        <v>399.40419354838713</v>
      </c>
      <c r="BJ205">
        <v>1.1097378322580641E-2</v>
      </c>
      <c r="BK205">
        <v>-2.595958709677419</v>
      </c>
      <c r="BL205">
        <v>-2.6047029032258062</v>
      </c>
      <c r="BM205">
        <v>0.92220883870967774</v>
      </c>
      <c r="BN205">
        <v>-2.5938583870967742</v>
      </c>
      <c r="BO205">
        <v>4.1618222580645172</v>
      </c>
      <c r="BP205">
        <v>0.5086205483870968</v>
      </c>
      <c r="BQ205">
        <v>0.416360129032258</v>
      </c>
      <c r="BR205">
        <v>-2.5572103225806448</v>
      </c>
      <c r="BS205">
        <v>-5.2245974193548381</v>
      </c>
      <c r="BT205">
        <v>1775543338.5999999</v>
      </c>
      <c r="BU205" t="s">
        <v>886</v>
      </c>
      <c r="BV205">
        <v>1775543324.5999999</v>
      </c>
      <c r="BW205">
        <v>1775543338.5999999</v>
      </c>
      <c r="BX205">
        <v>190</v>
      </c>
      <c r="BY205">
        <v>0.05</v>
      </c>
      <c r="BZ205">
        <v>1.6E-2</v>
      </c>
      <c r="CA205">
        <v>7.0650000000000004</v>
      </c>
      <c r="CB205">
        <v>-1.82</v>
      </c>
      <c r="CC205">
        <v>-2</v>
      </c>
      <c r="CD205">
        <v>4</v>
      </c>
      <c r="CE205">
        <v>0.28999999999999998</v>
      </c>
      <c r="CF205">
        <v>7.0000000000000007E-2</v>
      </c>
      <c r="CG205">
        <v>-2.8429380327868849</v>
      </c>
      <c r="CH205">
        <v>1.715421448968798</v>
      </c>
      <c r="CI205">
        <v>0.38723037645808178</v>
      </c>
      <c r="CJ205">
        <v>-1</v>
      </c>
      <c r="CK205">
        <v>500.9050655737704</v>
      </c>
      <c r="CL205">
        <v>-7.4015378106810559</v>
      </c>
      <c r="CM205">
        <v>1.8093844245212469</v>
      </c>
      <c r="CN205">
        <v>-1</v>
      </c>
      <c r="CO205">
        <v>0</v>
      </c>
      <c r="CP205">
        <v>0</v>
      </c>
      <c r="CQ205" t="s">
        <v>319</v>
      </c>
      <c r="CR205">
        <v>3.16913</v>
      </c>
      <c r="CS205">
        <v>2.6637</v>
      </c>
      <c r="CT205">
        <v>-2.7997600000000001E-3</v>
      </c>
      <c r="CU205">
        <v>-8.6235800000000003E-4</v>
      </c>
      <c r="CV205">
        <v>4.3593E-2</v>
      </c>
      <c r="CW205">
        <v>2.8269599999999999E-2</v>
      </c>
      <c r="CX205">
        <v>21339.9</v>
      </c>
      <c r="CY205">
        <v>21744.3</v>
      </c>
      <c r="CZ205">
        <v>22815.599999999999</v>
      </c>
      <c r="DA205">
        <v>22094.7</v>
      </c>
      <c r="DB205">
        <v>28162.3</v>
      </c>
      <c r="DC205">
        <v>25564.5</v>
      </c>
      <c r="DD205">
        <v>40147.9</v>
      </c>
      <c r="DE205">
        <v>36569</v>
      </c>
      <c r="DF205">
        <v>2.0126400000000002</v>
      </c>
      <c r="DG205">
        <v>1.63184</v>
      </c>
      <c r="DH205">
        <v>2.1272900000000001E-2</v>
      </c>
      <c r="DI205">
        <v>0</v>
      </c>
      <c r="DJ205">
        <v>32.923499999999997</v>
      </c>
      <c r="DK205">
        <v>999.9</v>
      </c>
      <c r="DL205">
        <v>55.8</v>
      </c>
      <c r="DM205">
        <v>42.8</v>
      </c>
      <c r="DN205">
        <v>47.955199999999998</v>
      </c>
      <c r="DO205">
        <v>30.7394</v>
      </c>
      <c r="DP205">
        <v>10.601000000000001</v>
      </c>
      <c r="DQ205">
        <v>1</v>
      </c>
      <c r="DR205">
        <v>0.81233900000000003</v>
      </c>
      <c r="DS205">
        <v>0.106852</v>
      </c>
      <c r="DT205">
        <v>20.3658</v>
      </c>
      <c r="DU205">
        <v>5.2081799999999996</v>
      </c>
      <c r="DV205">
        <v>11.854200000000001</v>
      </c>
      <c r="DW205">
        <v>4.9669999999999996</v>
      </c>
      <c r="DX205">
        <v>3.2929400000000002</v>
      </c>
      <c r="DY205">
        <v>894.7</v>
      </c>
      <c r="DZ205">
        <v>6</v>
      </c>
      <c r="EA205">
        <v>9999</v>
      </c>
      <c r="EB205">
        <v>118.9</v>
      </c>
      <c r="EC205">
        <v>4.9715800000000003</v>
      </c>
      <c r="ED205">
        <v>1.87208</v>
      </c>
      <c r="EE205">
        <v>1.8693500000000001</v>
      </c>
      <c r="EF205">
        <v>1.87164</v>
      </c>
      <c r="EG205">
        <v>1.86951</v>
      </c>
      <c r="EH205">
        <v>1.86829</v>
      </c>
      <c r="EI205">
        <v>1.8701300000000001</v>
      </c>
      <c r="EJ205">
        <v>1.87191</v>
      </c>
      <c r="EK205">
        <v>0</v>
      </c>
      <c r="EL205">
        <v>0</v>
      </c>
      <c r="EM205">
        <v>0</v>
      </c>
      <c r="EN205">
        <v>0</v>
      </c>
      <c r="EO205" t="s">
        <v>320</v>
      </c>
      <c r="EP205" t="s">
        <v>321</v>
      </c>
      <c r="EQ205" t="s">
        <v>322</v>
      </c>
      <c r="ER205" t="s">
        <v>322</v>
      </c>
      <c r="ES205" t="s">
        <v>322</v>
      </c>
      <c r="ET205" t="s">
        <v>322</v>
      </c>
      <c r="EU205">
        <v>0</v>
      </c>
      <c r="EV205">
        <v>100</v>
      </c>
      <c r="EW205">
        <v>100</v>
      </c>
      <c r="EX205">
        <v>7.0650000000000004</v>
      </c>
      <c r="EY205">
        <v>-1.82</v>
      </c>
      <c r="EZ205">
        <v>7.015738500000003</v>
      </c>
      <c r="FA205">
        <v>0</v>
      </c>
      <c r="FB205">
        <v>0</v>
      </c>
      <c r="FC205">
        <v>0</v>
      </c>
      <c r="FD205">
        <v>-1.8357650000000001</v>
      </c>
      <c r="FE205">
        <v>0</v>
      </c>
      <c r="FF205">
        <v>0</v>
      </c>
      <c r="FG205">
        <v>0</v>
      </c>
      <c r="FH205">
        <v>-1</v>
      </c>
      <c r="FI205">
        <v>-1</v>
      </c>
      <c r="FJ205">
        <v>-1</v>
      </c>
      <c r="FK205">
        <v>-1</v>
      </c>
      <c r="FL205">
        <v>0.7</v>
      </c>
      <c r="FM205">
        <v>0.5</v>
      </c>
      <c r="FN205">
        <v>0.14038100000000001</v>
      </c>
      <c r="FO205">
        <v>4.99756</v>
      </c>
      <c r="FP205">
        <v>1.5979000000000001</v>
      </c>
      <c r="FQ205">
        <v>2.1130399999999998</v>
      </c>
      <c r="FR205">
        <v>1.5478499999999999</v>
      </c>
      <c r="FS205">
        <v>2.50488</v>
      </c>
      <c r="FT205">
        <v>45.1768</v>
      </c>
      <c r="FU205">
        <v>14.6837</v>
      </c>
      <c r="FV205">
        <v>2</v>
      </c>
      <c r="FW205">
        <v>508.17599999999999</v>
      </c>
      <c r="FX205">
        <v>354.89400000000001</v>
      </c>
      <c r="FY205">
        <v>33.621600000000001</v>
      </c>
      <c r="FZ205">
        <v>37.228099999999998</v>
      </c>
      <c r="GA205">
        <v>29.999099999999999</v>
      </c>
      <c r="GB205">
        <v>37.6372</v>
      </c>
      <c r="GC205">
        <v>37.706000000000003</v>
      </c>
      <c r="GD205">
        <v>-1</v>
      </c>
      <c r="GE205">
        <v>0</v>
      </c>
      <c r="GF205">
        <v>100</v>
      </c>
      <c r="GG205">
        <v>33.626199999999997</v>
      </c>
      <c r="GH205">
        <v>432.1</v>
      </c>
      <c r="GI205">
        <v>44.267099999999999</v>
      </c>
      <c r="GJ205">
        <v>101.01300000000001</v>
      </c>
      <c r="GK205">
        <v>95.468900000000005</v>
      </c>
    </row>
    <row r="206" spans="1:193" x14ac:dyDescent="0.35">
      <c r="A206">
        <v>190</v>
      </c>
      <c r="B206">
        <v>1775543367.5999999</v>
      </c>
      <c r="C206">
        <v>11341.5</v>
      </c>
      <c r="D206" t="s">
        <v>887</v>
      </c>
      <c r="E206" t="s">
        <v>888</v>
      </c>
      <c r="F206">
        <v>60</v>
      </c>
      <c r="G206">
        <v>1775543359.599999</v>
      </c>
      <c r="H206">
        <f t="shared" si="60"/>
        <v>2.0701783411404937E-3</v>
      </c>
      <c r="I206">
        <f t="shared" si="61"/>
        <v>2.0701783411404935</v>
      </c>
      <c r="J206">
        <f t="shared" si="62"/>
        <v>0.22367505314479666</v>
      </c>
      <c r="K206">
        <f t="shared" si="63"/>
        <v>-2.2391409677419372</v>
      </c>
      <c r="L206">
        <f t="shared" si="64"/>
        <v>-9.9598112657154125</v>
      </c>
      <c r="M206">
        <f t="shared" si="65"/>
        <v>-0.99679697593308281</v>
      </c>
      <c r="N206">
        <f t="shared" si="66"/>
        <v>-0.22409751407801573</v>
      </c>
      <c r="O206">
        <f t="shared" si="67"/>
        <v>4.4120936186365818E-2</v>
      </c>
      <c r="P206">
        <f t="shared" si="68"/>
        <v>2.3875499217826666</v>
      </c>
      <c r="Q206">
        <f t="shared" si="69"/>
        <v>4.3672935983344485E-2</v>
      </c>
      <c r="R206">
        <f t="shared" si="70"/>
        <v>2.7335456851594504E-2</v>
      </c>
      <c r="S206">
        <f t="shared" si="71"/>
        <v>0.12555419797741935</v>
      </c>
      <c r="T206">
        <f t="shared" si="72"/>
        <v>32.545288801469013</v>
      </c>
      <c r="U206">
        <f t="shared" si="73"/>
        <v>33.258599999999987</v>
      </c>
      <c r="V206">
        <f t="shared" si="74"/>
        <v>5.125981052550145</v>
      </c>
      <c r="W206">
        <f t="shared" si="75"/>
        <v>10.096968864346936</v>
      </c>
      <c r="X206">
        <f t="shared" si="76"/>
        <v>0.51562357129807679</v>
      </c>
      <c r="Y206">
        <f t="shared" si="77"/>
        <v>5.106716463381181</v>
      </c>
      <c r="Z206">
        <f t="shared" si="78"/>
        <v>4.610357481252068</v>
      </c>
      <c r="AA206">
        <f t="shared" si="79"/>
        <v>-91.294864844295773</v>
      </c>
      <c r="AB206">
        <f t="shared" si="80"/>
        <v>-8.6398569080635106</v>
      </c>
      <c r="AC206">
        <f t="shared" si="81"/>
        <v>-0.83059133555204667</v>
      </c>
      <c r="AD206">
        <f t="shared" si="82"/>
        <v>-100.6397588899339</v>
      </c>
      <c r="AE206">
        <v>4</v>
      </c>
      <c r="AF206">
        <v>1</v>
      </c>
      <c r="AG206">
        <f t="shared" si="83"/>
        <v>1</v>
      </c>
      <c r="AH206">
        <f t="shared" si="84"/>
        <v>0</v>
      </c>
      <c r="AI206">
        <f t="shared" si="85"/>
        <v>24998.176264919279</v>
      </c>
      <c r="AJ206">
        <f t="shared" si="86"/>
        <v>0.65700783870967738</v>
      </c>
      <c r="AK206">
        <f t="shared" si="87"/>
        <v>0.52560627096774193</v>
      </c>
      <c r="AL206">
        <f t="shared" si="88"/>
        <v>0.8</v>
      </c>
      <c r="AM206">
        <f t="shared" si="89"/>
        <v>0.19109999999999999</v>
      </c>
      <c r="AN206">
        <v>3</v>
      </c>
      <c r="AO206">
        <v>0.5</v>
      </c>
      <c r="AP206" t="s">
        <v>317</v>
      </c>
      <c r="AQ206">
        <v>2</v>
      </c>
      <c r="AR206">
        <v>1775543359.599999</v>
      </c>
      <c r="AS206">
        <v>-2.2391409677419372</v>
      </c>
      <c r="AT206">
        <v>-2.1077158064516128</v>
      </c>
      <c r="AU206">
        <v>5.1520154838709677</v>
      </c>
      <c r="AV206">
        <v>3.916294838709677</v>
      </c>
      <c r="AW206">
        <v>-9.2841409677419371</v>
      </c>
      <c r="AX206">
        <v>6.9600154838709676</v>
      </c>
      <c r="AY206">
        <v>499.99474193548377</v>
      </c>
      <c r="AZ206">
        <v>100.0377096774193</v>
      </c>
      <c r="BA206">
        <v>4.4204461290322579E-2</v>
      </c>
      <c r="BB206">
        <v>33.191477419354847</v>
      </c>
      <c r="BC206">
        <v>33.258599999999987</v>
      </c>
      <c r="BD206">
        <v>999.90000000000032</v>
      </c>
      <c r="BE206">
        <v>0</v>
      </c>
      <c r="BF206">
        <v>0</v>
      </c>
      <c r="BG206">
        <v>4996.8709677419356</v>
      </c>
      <c r="BH206">
        <v>0.65700783870967738</v>
      </c>
      <c r="BI206">
        <v>390.27019354838711</v>
      </c>
      <c r="BJ206">
        <v>-0.11111972161290321</v>
      </c>
      <c r="BK206">
        <v>-2.2303006451612908</v>
      </c>
      <c r="BL206">
        <v>-2.1160019354838711</v>
      </c>
      <c r="BM206">
        <v>1.224217741935484</v>
      </c>
      <c r="BN206">
        <v>-2.1077158064516128</v>
      </c>
      <c r="BO206">
        <v>3.916294838709677</v>
      </c>
      <c r="BP206">
        <v>0.5142454193548387</v>
      </c>
      <c r="BQ206">
        <v>0.39177748387096772</v>
      </c>
      <c r="BR206">
        <v>-2.4088535483870972</v>
      </c>
      <c r="BS206">
        <v>-6.0237490322580634</v>
      </c>
      <c r="BT206">
        <v>1775543394.5999999</v>
      </c>
      <c r="BU206" t="s">
        <v>889</v>
      </c>
      <c r="BV206">
        <v>1775543384.5999999</v>
      </c>
      <c r="BW206">
        <v>1775543394.5999999</v>
      </c>
      <c r="BX206">
        <v>191</v>
      </c>
      <c r="BY206">
        <v>-0.02</v>
      </c>
      <c r="BZ206">
        <v>1.0999999999999999E-2</v>
      </c>
      <c r="CA206">
        <v>7.0449999999999999</v>
      </c>
      <c r="CB206">
        <v>-1.8080000000000001</v>
      </c>
      <c r="CC206">
        <v>-2</v>
      </c>
      <c r="CD206">
        <v>4</v>
      </c>
      <c r="CE206">
        <v>0.22</v>
      </c>
      <c r="CF206">
        <v>0.05</v>
      </c>
      <c r="CG206">
        <v>-2.2172098360655732</v>
      </c>
      <c r="CH206">
        <v>0.67332685351665411</v>
      </c>
      <c r="CI206">
        <v>0.1280924466168907</v>
      </c>
      <c r="CJ206">
        <v>-1</v>
      </c>
      <c r="CK206">
        <v>500.91019672131142</v>
      </c>
      <c r="CL206">
        <v>-5.9762665256483576</v>
      </c>
      <c r="CM206">
        <v>1.7720918713895699</v>
      </c>
      <c r="CN206">
        <v>-1</v>
      </c>
      <c r="CO206">
        <v>0</v>
      </c>
      <c r="CP206">
        <v>0</v>
      </c>
      <c r="CQ206" t="s">
        <v>319</v>
      </c>
      <c r="CR206">
        <v>3.16893</v>
      </c>
      <c r="CS206">
        <v>2.66526</v>
      </c>
      <c r="CT206">
        <v>-2.6882099999999999E-3</v>
      </c>
      <c r="CU206">
        <v>-6.5098399999999996E-4</v>
      </c>
      <c r="CV206">
        <v>4.3764299999999999E-2</v>
      </c>
      <c r="CW206">
        <v>2.6676700000000001E-2</v>
      </c>
      <c r="CX206">
        <v>21343.3</v>
      </c>
      <c r="CY206">
        <v>21744.2</v>
      </c>
      <c r="CZ206">
        <v>22821.200000000001</v>
      </c>
      <c r="DA206">
        <v>22098.799999999999</v>
      </c>
      <c r="DB206">
        <v>28163.200000000001</v>
      </c>
      <c r="DC206">
        <v>25611.7</v>
      </c>
      <c r="DD206">
        <v>40156</v>
      </c>
      <c r="DE206">
        <v>36576.1</v>
      </c>
      <c r="DF206">
        <v>2.0144199999999999</v>
      </c>
      <c r="DG206">
        <v>1.63368</v>
      </c>
      <c r="DH206">
        <v>2.3877599999999999E-2</v>
      </c>
      <c r="DI206">
        <v>0</v>
      </c>
      <c r="DJ206">
        <v>32.875300000000003</v>
      </c>
      <c r="DK206">
        <v>999.9</v>
      </c>
      <c r="DL206">
        <v>56</v>
      </c>
      <c r="DM206">
        <v>42.7</v>
      </c>
      <c r="DN206">
        <v>47.8765</v>
      </c>
      <c r="DO206">
        <v>30.7394</v>
      </c>
      <c r="DP206">
        <v>11.041700000000001</v>
      </c>
      <c r="DQ206">
        <v>1</v>
      </c>
      <c r="DR206">
        <v>0.79869500000000004</v>
      </c>
      <c r="DS206">
        <v>-3.0908499999999998E-2</v>
      </c>
      <c r="DT206">
        <v>20.366099999999999</v>
      </c>
      <c r="DU206">
        <v>5.2084200000000003</v>
      </c>
      <c r="DV206">
        <v>11.854200000000001</v>
      </c>
      <c r="DW206">
        <v>4.9672400000000003</v>
      </c>
      <c r="DX206">
        <v>3.2930000000000001</v>
      </c>
      <c r="DY206">
        <v>894.7</v>
      </c>
      <c r="DZ206">
        <v>6</v>
      </c>
      <c r="EA206">
        <v>9999</v>
      </c>
      <c r="EB206">
        <v>118.9</v>
      </c>
      <c r="EC206">
        <v>4.9715999999999996</v>
      </c>
      <c r="ED206">
        <v>1.87209</v>
      </c>
      <c r="EE206">
        <v>1.8693500000000001</v>
      </c>
      <c r="EF206">
        <v>1.87165</v>
      </c>
      <c r="EG206">
        <v>1.86951</v>
      </c>
      <c r="EH206">
        <v>1.8683000000000001</v>
      </c>
      <c r="EI206">
        <v>1.87012</v>
      </c>
      <c r="EJ206">
        <v>1.8719399999999999</v>
      </c>
      <c r="EK206">
        <v>0</v>
      </c>
      <c r="EL206">
        <v>0</v>
      </c>
      <c r="EM206">
        <v>0</v>
      </c>
      <c r="EN206">
        <v>0</v>
      </c>
      <c r="EO206" t="s">
        <v>320</v>
      </c>
      <c r="EP206" t="s">
        <v>321</v>
      </c>
      <c r="EQ206" t="s">
        <v>322</v>
      </c>
      <c r="ER206" t="s">
        <v>322</v>
      </c>
      <c r="ES206" t="s">
        <v>322</v>
      </c>
      <c r="ET206" t="s">
        <v>322</v>
      </c>
      <c r="EU206">
        <v>0</v>
      </c>
      <c r="EV206">
        <v>100</v>
      </c>
      <c r="EW206">
        <v>100</v>
      </c>
      <c r="EX206">
        <v>7.0449999999999999</v>
      </c>
      <c r="EY206">
        <v>-1.8080000000000001</v>
      </c>
      <c r="EZ206">
        <v>7.0653050000000004</v>
      </c>
      <c r="FA206">
        <v>0</v>
      </c>
      <c r="FB206">
        <v>0</v>
      </c>
      <c r="FC206">
        <v>0</v>
      </c>
      <c r="FD206">
        <v>-1.8194999999999999</v>
      </c>
      <c r="FE206">
        <v>0</v>
      </c>
      <c r="FF206">
        <v>0</v>
      </c>
      <c r="FG206">
        <v>0</v>
      </c>
      <c r="FH206">
        <v>-1</v>
      </c>
      <c r="FI206">
        <v>-1</v>
      </c>
      <c r="FJ206">
        <v>-1</v>
      </c>
      <c r="FK206">
        <v>-1</v>
      </c>
      <c r="FL206">
        <v>0.7</v>
      </c>
      <c r="FM206">
        <v>0.5</v>
      </c>
      <c r="FN206">
        <v>0.14038100000000001</v>
      </c>
      <c r="FO206">
        <v>4.99756</v>
      </c>
      <c r="FP206">
        <v>1.5979000000000001</v>
      </c>
      <c r="FQ206">
        <v>2.1118199999999998</v>
      </c>
      <c r="FR206">
        <v>1.5478499999999999</v>
      </c>
      <c r="FS206">
        <v>2.36938</v>
      </c>
      <c r="FT206">
        <v>45.035200000000003</v>
      </c>
      <c r="FU206">
        <v>14.6661</v>
      </c>
      <c r="FV206">
        <v>2</v>
      </c>
      <c r="FW206">
        <v>508.202</v>
      </c>
      <c r="FX206">
        <v>355.12200000000001</v>
      </c>
      <c r="FY206">
        <v>33.718000000000004</v>
      </c>
      <c r="FZ206">
        <v>37.075499999999998</v>
      </c>
      <c r="GA206">
        <v>29.998999999999999</v>
      </c>
      <c r="GB206">
        <v>37.483499999999999</v>
      </c>
      <c r="GC206">
        <v>37.550400000000003</v>
      </c>
      <c r="GD206">
        <v>-1</v>
      </c>
      <c r="GE206">
        <v>0</v>
      </c>
      <c r="GF206">
        <v>100</v>
      </c>
      <c r="GG206">
        <v>33.722299999999997</v>
      </c>
      <c r="GH206">
        <v>432.1</v>
      </c>
      <c r="GI206">
        <v>44.267099999999999</v>
      </c>
      <c r="GJ206">
        <v>101.03400000000001</v>
      </c>
      <c r="GK206">
        <v>95.486999999999995</v>
      </c>
    </row>
    <row r="207" spans="1:193" x14ac:dyDescent="0.35">
      <c r="A207">
        <v>191</v>
      </c>
      <c r="B207">
        <v>1775543427.5999999</v>
      </c>
      <c r="C207">
        <v>11401.5</v>
      </c>
      <c r="D207" t="s">
        <v>890</v>
      </c>
      <c r="E207" t="s">
        <v>891</v>
      </c>
      <c r="F207">
        <v>60</v>
      </c>
      <c r="G207">
        <v>1775543419.599999</v>
      </c>
      <c r="H207">
        <f t="shared" si="60"/>
        <v>2.274157789790265E-3</v>
      </c>
      <c r="I207">
        <f t="shared" si="61"/>
        <v>2.2741577897902649</v>
      </c>
      <c r="J207">
        <f t="shared" si="62"/>
        <v>0.41293021626512044</v>
      </c>
      <c r="K207">
        <f t="shared" si="63"/>
        <v>-2.373716451612903</v>
      </c>
      <c r="L207">
        <f t="shared" si="64"/>
        <v>-15.452676864454242</v>
      </c>
      <c r="M207">
        <f t="shared" si="65"/>
        <v>-1.5464129626878744</v>
      </c>
      <c r="N207">
        <f t="shared" si="66"/>
        <v>-0.23754757332455881</v>
      </c>
      <c r="O207">
        <f t="shared" si="67"/>
        <v>4.8499498117140639E-2</v>
      </c>
      <c r="P207">
        <f t="shared" si="68"/>
        <v>2.3873535021727217</v>
      </c>
      <c r="Q207">
        <f t="shared" si="69"/>
        <v>4.79587105259262E-2</v>
      </c>
      <c r="R207">
        <f t="shared" si="70"/>
        <v>3.0022279161254634E-2</v>
      </c>
      <c r="S207">
        <f t="shared" si="71"/>
        <v>0.12063548124193546</v>
      </c>
      <c r="T207">
        <f t="shared" si="72"/>
        <v>32.489660420428883</v>
      </c>
      <c r="U207">
        <f t="shared" si="73"/>
        <v>33.26178387096774</v>
      </c>
      <c r="V207">
        <f t="shared" si="74"/>
        <v>5.1268964113287385</v>
      </c>
      <c r="W207">
        <f t="shared" si="75"/>
        <v>10.084943593915391</v>
      </c>
      <c r="X207">
        <f t="shared" si="76"/>
        <v>0.51524685081591881</v>
      </c>
      <c r="Y207">
        <f t="shared" si="77"/>
        <v>5.1090702294734278</v>
      </c>
      <c r="Z207">
        <f t="shared" si="78"/>
        <v>4.61164956051282</v>
      </c>
      <c r="AA207">
        <f t="shared" si="79"/>
        <v>-100.29035852975069</v>
      </c>
      <c r="AB207">
        <f t="shared" si="80"/>
        <v>-7.9918744570124085</v>
      </c>
      <c r="AC207">
        <f t="shared" si="81"/>
        <v>-0.76840374604656014</v>
      </c>
      <c r="AD207">
        <f t="shared" si="82"/>
        <v>-108.93000125156773</v>
      </c>
      <c r="AE207">
        <v>4</v>
      </c>
      <c r="AF207">
        <v>1</v>
      </c>
      <c r="AG207">
        <f t="shared" si="83"/>
        <v>1</v>
      </c>
      <c r="AH207">
        <f t="shared" si="84"/>
        <v>0</v>
      </c>
      <c r="AI207">
        <f t="shared" si="85"/>
        <v>24994.923958955314</v>
      </c>
      <c r="AJ207">
        <f t="shared" si="86"/>
        <v>0.63126887096774187</v>
      </c>
      <c r="AK207">
        <f t="shared" si="87"/>
        <v>0.50501509677419354</v>
      </c>
      <c r="AL207">
        <f t="shared" si="88"/>
        <v>0.8</v>
      </c>
      <c r="AM207">
        <f t="shared" si="89"/>
        <v>0.19109999999999999</v>
      </c>
      <c r="AN207">
        <v>3</v>
      </c>
      <c r="AO207">
        <v>0.5</v>
      </c>
      <c r="AP207" t="s">
        <v>317</v>
      </c>
      <c r="AQ207">
        <v>2</v>
      </c>
      <c r="AR207">
        <v>1775543419.599999</v>
      </c>
      <c r="AS207">
        <v>-2.373716451612903</v>
      </c>
      <c r="AT207">
        <v>-2.129194516129032</v>
      </c>
      <c r="AU207">
        <v>5.1486525806451624</v>
      </c>
      <c r="AV207">
        <v>3.7911680645161292</v>
      </c>
      <c r="AW207">
        <v>-9.4367164516129023</v>
      </c>
      <c r="AX207">
        <v>6.9486525806451622</v>
      </c>
      <c r="AY207">
        <v>499.99441935483873</v>
      </c>
      <c r="AZ207">
        <v>100.0288709677419</v>
      </c>
      <c r="BA207">
        <v>4.5244103225806458E-2</v>
      </c>
      <c r="BB207">
        <v>33.199690322580643</v>
      </c>
      <c r="BC207">
        <v>33.26178387096774</v>
      </c>
      <c r="BD207">
        <v>999.90000000000032</v>
      </c>
      <c r="BE207">
        <v>0</v>
      </c>
      <c r="BF207">
        <v>0</v>
      </c>
      <c r="BG207">
        <v>4996.8064516129034</v>
      </c>
      <c r="BH207">
        <v>0.63126887096774187</v>
      </c>
      <c r="BI207">
        <v>382.7814516129032</v>
      </c>
      <c r="BJ207">
        <v>-0.26245138709677418</v>
      </c>
      <c r="BK207">
        <v>-2.4040038709677418</v>
      </c>
      <c r="BL207">
        <v>-2.137299677419354</v>
      </c>
      <c r="BM207">
        <v>1.3492083870967739</v>
      </c>
      <c r="BN207">
        <v>-2.129194516129032</v>
      </c>
      <c r="BO207">
        <v>3.7911680645161292</v>
      </c>
      <c r="BP207">
        <v>0.51418577419354838</v>
      </c>
      <c r="BQ207">
        <v>0.379226064516129</v>
      </c>
      <c r="BR207">
        <v>-2.4104141935483869</v>
      </c>
      <c r="BS207">
        <v>-6.4497483870967747</v>
      </c>
      <c r="BT207">
        <v>1775543448.0999999</v>
      </c>
      <c r="BU207" t="s">
        <v>892</v>
      </c>
      <c r="BV207">
        <v>1775543442.5999999</v>
      </c>
      <c r="BW207">
        <v>1775543448.0999999</v>
      </c>
      <c r="BX207">
        <v>192</v>
      </c>
      <c r="BY207">
        <v>1.7999999999999999E-2</v>
      </c>
      <c r="BZ207">
        <v>8.0000000000000002E-3</v>
      </c>
      <c r="CA207">
        <v>7.0629999999999997</v>
      </c>
      <c r="CB207">
        <v>-1.8</v>
      </c>
      <c r="CC207">
        <v>-2</v>
      </c>
      <c r="CD207">
        <v>4</v>
      </c>
      <c r="CE207">
        <v>0.14000000000000001</v>
      </c>
      <c r="CF207">
        <v>7.0000000000000007E-2</v>
      </c>
      <c r="CG207">
        <v>-2.2779701639344259</v>
      </c>
      <c r="CH207">
        <v>1.017537112638812</v>
      </c>
      <c r="CI207">
        <v>0.16034637829125009</v>
      </c>
      <c r="CJ207">
        <v>-1</v>
      </c>
      <c r="CK207">
        <v>500.89095081967213</v>
      </c>
      <c r="CL207">
        <v>-8.4991411951350671</v>
      </c>
      <c r="CM207">
        <v>1.8273306916367591</v>
      </c>
      <c r="CN207">
        <v>-1</v>
      </c>
      <c r="CO207">
        <v>0</v>
      </c>
      <c r="CP207">
        <v>0</v>
      </c>
      <c r="CQ207" t="s">
        <v>319</v>
      </c>
      <c r="CR207">
        <v>3.16893</v>
      </c>
      <c r="CS207">
        <v>2.6664500000000002</v>
      </c>
      <c r="CT207">
        <v>-2.7156900000000002E-3</v>
      </c>
      <c r="CU207">
        <v>-5.7113599999999997E-4</v>
      </c>
      <c r="CV207">
        <v>4.3623700000000001E-2</v>
      </c>
      <c r="CW207">
        <v>2.5650900000000001E-2</v>
      </c>
      <c r="CX207">
        <v>21349.3</v>
      </c>
      <c r="CY207">
        <v>21747.5</v>
      </c>
      <c r="CZ207">
        <v>22826.400000000001</v>
      </c>
      <c r="DA207">
        <v>22103.5</v>
      </c>
      <c r="DB207">
        <v>28172.7</v>
      </c>
      <c r="DC207">
        <v>25645.3</v>
      </c>
      <c r="DD207">
        <v>40163.199999999997</v>
      </c>
      <c r="DE207">
        <v>36584.9</v>
      </c>
      <c r="DF207">
        <v>2.0165799999999998</v>
      </c>
      <c r="DG207">
        <v>1.6355599999999999</v>
      </c>
      <c r="DH207">
        <v>2.7465799999999999E-2</v>
      </c>
      <c r="DI207">
        <v>0</v>
      </c>
      <c r="DJ207">
        <v>32.820900000000002</v>
      </c>
      <c r="DK207">
        <v>999.9</v>
      </c>
      <c r="DL207">
        <v>56.1</v>
      </c>
      <c r="DM207">
        <v>42.6</v>
      </c>
      <c r="DN207">
        <v>47.713200000000001</v>
      </c>
      <c r="DO207">
        <v>30.7394</v>
      </c>
      <c r="DP207">
        <v>10.677099999999999</v>
      </c>
      <c r="DQ207">
        <v>1</v>
      </c>
      <c r="DR207">
        <v>0.78494900000000001</v>
      </c>
      <c r="DS207">
        <v>-3.74641E-2</v>
      </c>
      <c r="DT207">
        <v>20.3658</v>
      </c>
      <c r="DU207">
        <v>5.2059100000000003</v>
      </c>
      <c r="DV207">
        <v>11.854200000000001</v>
      </c>
      <c r="DW207">
        <v>4.9661999999999997</v>
      </c>
      <c r="DX207">
        <v>3.2923399999999998</v>
      </c>
      <c r="DY207">
        <v>894.7</v>
      </c>
      <c r="DZ207">
        <v>6</v>
      </c>
      <c r="EA207">
        <v>9999</v>
      </c>
      <c r="EB207">
        <v>118.9</v>
      </c>
      <c r="EC207">
        <v>4.97159</v>
      </c>
      <c r="ED207">
        <v>1.8720600000000001</v>
      </c>
      <c r="EE207">
        <v>1.8693500000000001</v>
      </c>
      <c r="EF207">
        <v>1.87165</v>
      </c>
      <c r="EG207">
        <v>1.8694900000000001</v>
      </c>
      <c r="EH207">
        <v>1.86829</v>
      </c>
      <c r="EI207">
        <v>1.87012</v>
      </c>
      <c r="EJ207">
        <v>1.8719300000000001</v>
      </c>
      <c r="EK207">
        <v>0</v>
      </c>
      <c r="EL207">
        <v>0</v>
      </c>
      <c r="EM207">
        <v>0</v>
      </c>
      <c r="EN207">
        <v>0</v>
      </c>
      <c r="EO207" t="s">
        <v>320</v>
      </c>
      <c r="EP207" t="s">
        <v>321</v>
      </c>
      <c r="EQ207" t="s">
        <v>322</v>
      </c>
      <c r="ER207" t="s">
        <v>322</v>
      </c>
      <c r="ES207" t="s">
        <v>322</v>
      </c>
      <c r="ET207" t="s">
        <v>322</v>
      </c>
      <c r="EU207">
        <v>0</v>
      </c>
      <c r="EV207">
        <v>100</v>
      </c>
      <c r="EW207">
        <v>100</v>
      </c>
      <c r="EX207">
        <v>7.0629999999999997</v>
      </c>
      <c r="EY207">
        <v>-1.8</v>
      </c>
      <c r="EZ207">
        <v>7.0450715000000006</v>
      </c>
      <c r="FA207">
        <v>0</v>
      </c>
      <c r="FB207">
        <v>0</v>
      </c>
      <c r="FC207">
        <v>0</v>
      </c>
      <c r="FD207">
        <v>-1.808275000000001</v>
      </c>
      <c r="FE207">
        <v>0</v>
      </c>
      <c r="FF207">
        <v>0</v>
      </c>
      <c r="FG207">
        <v>0</v>
      </c>
      <c r="FH207">
        <v>-1</v>
      </c>
      <c r="FI207">
        <v>-1</v>
      </c>
      <c r="FJ207">
        <v>-1</v>
      </c>
      <c r="FK207">
        <v>-1</v>
      </c>
      <c r="FL207">
        <v>0.7</v>
      </c>
      <c r="FM207">
        <v>0.6</v>
      </c>
      <c r="FN207">
        <v>0.14038100000000001</v>
      </c>
      <c r="FO207">
        <v>4.99756</v>
      </c>
      <c r="FP207">
        <v>1.5979000000000001</v>
      </c>
      <c r="FQ207">
        <v>2.1118199999999998</v>
      </c>
      <c r="FR207">
        <v>1.5478499999999999</v>
      </c>
      <c r="FS207">
        <v>2.4890099999999999</v>
      </c>
      <c r="FT207">
        <v>44.893999999999998</v>
      </c>
      <c r="FU207">
        <v>14.674899999999999</v>
      </c>
      <c r="FV207">
        <v>2</v>
      </c>
      <c r="FW207">
        <v>508.42099999999999</v>
      </c>
      <c r="FX207">
        <v>355.35300000000001</v>
      </c>
      <c r="FY207">
        <v>33.765799999999999</v>
      </c>
      <c r="FZ207">
        <v>36.914099999999998</v>
      </c>
      <c r="GA207">
        <v>29.998999999999999</v>
      </c>
      <c r="GB207">
        <v>37.324599999999997</v>
      </c>
      <c r="GC207">
        <v>37.3917</v>
      </c>
      <c r="GD207">
        <v>-1</v>
      </c>
      <c r="GE207">
        <v>0</v>
      </c>
      <c r="GF207">
        <v>100</v>
      </c>
      <c r="GG207">
        <v>33.622500000000002</v>
      </c>
      <c r="GH207">
        <v>432.1</v>
      </c>
      <c r="GI207">
        <v>44.267099999999999</v>
      </c>
      <c r="GJ207">
        <v>101.054</v>
      </c>
      <c r="GK207">
        <v>95.509200000000007</v>
      </c>
    </row>
    <row r="208" spans="1:193" x14ac:dyDescent="0.35">
      <c r="A208">
        <v>192</v>
      </c>
      <c r="B208">
        <v>1775543487.5999999</v>
      </c>
      <c r="C208">
        <v>11461.5</v>
      </c>
      <c r="D208" t="s">
        <v>893</v>
      </c>
      <c r="E208" t="s">
        <v>894</v>
      </c>
      <c r="F208">
        <v>60</v>
      </c>
      <c r="G208">
        <v>1775543479.849999</v>
      </c>
      <c r="H208">
        <f t="shared" si="60"/>
        <v>2.2095220579797072E-3</v>
      </c>
      <c r="I208">
        <f t="shared" si="61"/>
        <v>2.209522057979707</v>
      </c>
      <c r="J208">
        <f t="shared" si="62"/>
        <v>0.60258995968780527</v>
      </c>
      <c r="K208">
        <f t="shared" si="63"/>
        <v>-1.935313333333333</v>
      </c>
      <c r="L208">
        <f t="shared" si="64"/>
        <v>-21.707720305582527</v>
      </c>
      <c r="M208">
        <f t="shared" si="65"/>
        <v>-2.1722772673285782</v>
      </c>
      <c r="N208">
        <f t="shared" si="66"/>
        <v>-0.19366553005000489</v>
      </c>
      <c r="O208">
        <f t="shared" si="67"/>
        <v>4.70854825081947E-2</v>
      </c>
      <c r="P208">
        <f t="shared" si="68"/>
        <v>2.3889816113199824</v>
      </c>
      <c r="Q208">
        <f t="shared" si="69"/>
        <v>4.6575933466041955E-2</v>
      </c>
      <c r="R208">
        <f t="shared" si="70"/>
        <v>2.9155279796006493E-2</v>
      </c>
      <c r="S208">
        <f t="shared" si="71"/>
        <v>0.12191875513999999</v>
      </c>
      <c r="T208">
        <f t="shared" si="72"/>
        <v>32.472086825804467</v>
      </c>
      <c r="U208">
        <f t="shared" si="73"/>
        <v>33.22499333333333</v>
      </c>
      <c r="V208">
        <f t="shared" si="74"/>
        <v>5.1163278465556408</v>
      </c>
      <c r="W208">
        <f t="shared" si="75"/>
        <v>9.8545599947051556</v>
      </c>
      <c r="X208">
        <f t="shared" si="76"/>
        <v>0.50239849381305701</v>
      </c>
      <c r="Y208">
        <f t="shared" si="77"/>
        <v>5.0981321751858548</v>
      </c>
      <c r="Z208">
        <f t="shared" si="78"/>
        <v>4.6139293527425842</v>
      </c>
      <c r="AA208">
        <f t="shared" si="79"/>
        <v>-97.439922756905091</v>
      </c>
      <c r="AB208">
        <f t="shared" si="80"/>
        <v>-8.1780390000490186</v>
      </c>
      <c r="AC208">
        <f t="shared" si="81"/>
        <v>-0.7854786754758305</v>
      </c>
      <c r="AD208">
        <f t="shared" si="82"/>
        <v>-106.28152167728993</v>
      </c>
      <c r="AE208">
        <v>4</v>
      </c>
      <c r="AF208">
        <v>1</v>
      </c>
      <c r="AG208">
        <f t="shared" si="83"/>
        <v>1</v>
      </c>
      <c r="AH208">
        <f t="shared" si="84"/>
        <v>0</v>
      </c>
      <c r="AI208">
        <f t="shared" si="85"/>
        <v>25022.476667017574</v>
      </c>
      <c r="AJ208">
        <f t="shared" si="86"/>
        <v>0.63798406666666663</v>
      </c>
      <c r="AK208">
        <f t="shared" si="87"/>
        <v>0.51038725333333335</v>
      </c>
      <c r="AL208">
        <f t="shared" si="88"/>
        <v>0.8</v>
      </c>
      <c r="AM208">
        <f t="shared" si="89"/>
        <v>0.19109999999999999</v>
      </c>
      <c r="AN208">
        <v>3</v>
      </c>
      <c r="AO208">
        <v>0.5</v>
      </c>
      <c r="AP208" t="s">
        <v>317</v>
      </c>
      <c r="AQ208">
        <v>2</v>
      </c>
      <c r="AR208">
        <v>1775543479.849999</v>
      </c>
      <c r="AS208">
        <v>-1.935313333333333</v>
      </c>
      <c r="AT208">
        <v>-1.5763149999999999</v>
      </c>
      <c r="AU208">
        <v>5.0205036666666674</v>
      </c>
      <c r="AV208">
        <v>3.7014093333333329</v>
      </c>
      <c r="AW208">
        <v>-8.9993133333333333</v>
      </c>
      <c r="AX208">
        <v>6.8095036666666671</v>
      </c>
      <c r="AY208">
        <v>499.9860333333333</v>
      </c>
      <c r="AZ208">
        <v>100.0245666666666</v>
      </c>
      <c r="BA208">
        <v>4.4774413333333332E-2</v>
      </c>
      <c r="BB208">
        <v>33.161496666666672</v>
      </c>
      <c r="BC208">
        <v>33.22499333333333</v>
      </c>
      <c r="BD208">
        <v>999.9000000000002</v>
      </c>
      <c r="BE208">
        <v>0</v>
      </c>
      <c r="BF208">
        <v>0</v>
      </c>
      <c r="BG208">
        <v>5001.2166666666662</v>
      </c>
      <c r="BH208">
        <v>0.63798406666666663</v>
      </c>
      <c r="BI208">
        <v>376.14173333333332</v>
      </c>
      <c r="BJ208">
        <v>-0.36023473333333328</v>
      </c>
      <c r="BK208">
        <v>-1.946302666666667</v>
      </c>
      <c r="BL208">
        <v>-1.582179</v>
      </c>
      <c r="BM208">
        <v>1.308204666666666</v>
      </c>
      <c r="BN208">
        <v>-1.5763149999999999</v>
      </c>
      <c r="BO208">
        <v>3.7014093333333329</v>
      </c>
      <c r="BP208">
        <v>0.50108453333333325</v>
      </c>
      <c r="BQ208">
        <v>0.37023210000000001</v>
      </c>
      <c r="BR208">
        <v>-2.7582100000000001</v>
      </c>
      <c r="BS208">
        <v>-6.7624480000000009</v>
      </c>
      <c r="BT208">
        <v>1775543507.5999999</v>
      </c>
      <c r="BU208" t="s">
        <v>895</v>
      </c>
      <c r="BV208">
        <v>1775543507.5999999</v>
      </c>
      <c r="BW208">
        <v>1775543507.5999999</v>
      </c>
      <c r="BX208">
        <v>193</v>
      </c>
      <c r="BY208">
        <v>2E-3</v>
      </c>
      <c r="BZ208">
        <v>1.0999999999999999E-2</v>
      </c>
      <c r="CA208">
        <v>7.0640000000000001</v>
      </c>
      <c r="CB208">
        <v>-1.7889999999999999</v>
      </c>
      <c r="CC208">
        <v>-2</v>
      </c>
      <c r="CD208">
        <v>4</v>
      </c>
      <c r="CE208">
        <v>0.22</v>
      </c>
      <c r="CF208">
        <v>0.03</v>
      </c>
      <c r="CG208">
        <v>-1.851163278688525</v>
      </c>
      <c r="CH208">
        <v>1.975516340560548</v>
      </c>
      <c r="CI208">
        <v>0.29331345522965419</v>
      </c>
      <c r="CJ208">
        <v>-1</v>
      </c>
      <c r="CK208">
        <v>500.00577049180328</v>
      </c>
      <c r="CL208">
        <v>-0.26467265996793288</v>
      </c>
      <c r="CM208">
        <v>0.11197048695499461</v>
      </c>
      <c r="CN208">
        <v>-1</v>
      </c>
      <c r="CO208">
        <v>0</v>
      </c>
      <c r="CP208">
        <v>0</v>
      </c>
      <c r="CQ208" t="s">
        <v>319</v>
      </c>
      <c r="CR208">
        <v>3.1690100000000001</v>
      </c>
      <c r="CS208">
        <v>2.6654300000000002</v>
      </c>
      <c r="CT208">
        <v>-2.5556799999999998E-3</v>
      </c>
      <c r="CU208">
        <v>-3.6614599999999997E-4</v>
      </c>
      <c r="CV208">
        <v>4.2857199999999998E-2</v>
      </c>
      <c r="CW208">
        <v>2.5006199999999999E-2</v>
      </c>
      <c r="CX208">
        <v>21351.599999999999</v>
      </c>
      <c r="CY208">
        <v>21747.8</v>
      </c>
      <c r="CZ208">
        <v>22831.9</v>
      </c>
      <c r="DA208">
        <v>22107.9</v>
      </c>
      <c r="DB208">
        <v>28201.599999999999</v>
      </c>
      <c r="DC208">
        <v>25668</v>
      </c>
      <c r="DD208">
        <v>40171.9</v>
      </c>
      <c r="DE208">
        <v>36592.699999999997</v>
      </c>
      <c r="DF208">
        <v>2.0182000000000002</v>
      </c>
      <c r="DG208">
        <v>1.63778</v>
      </c>
      <c r="DH208">
        <v>2.6679000000000001E-2</v>
      </c>
      <c r="DI208">
        <v>0</v>
      </c>
      <c r="DJ208">
        <v>32.790500000000002</v>
      </c>
      <c r="DK208">
        <v>999.9</v>
      </c>
      <c r="DL208">
        <v>56.3</v>
      </c>
      <c r="DM208">
        <v>42.4</v>
      </c>
      <c r="DN208">
        <v>47.384799999999998</v>
      </c>
      <c r="DO208">
        <v>30.619399999999999</v>
      </c>
      <c r="DP208">
        <v>10.837300000000001</v>
      </c>
      <c r="DQ208">
        <v>1</v>
      </c>
      <c r="DR208">
        <v>0.77250200000000002</v>
      </c>
      <c r="DS208">
        <v>-0.262573</v>
      </c>
      <c r="DT208">
        <v>20.365600000000001</v>
      </c>
      <c r="DU208">
        <v>5.2055499999999997</v>
      </c>
      <c r="DV208">
        <v>11.854200000000001</v>
      </c>
      <c r="DW208">
        <v>4.9664799999999998</v>
      </c>
      <c r="DX208">
        <v>3.2923800000000001</v>
      </c>
      <c r="DY208">
        <v>894.7</v>
      </c>
      <c r="DZ208">
        <v>6</v>
      </c>
      <c r="EA208">
        <v>9999</v>
      </c>
      <c r="EB208">
        <v>118.9</v>
      </c>
      <c r="EC208">
        <v>4.97159</v>
      </c>
      <c r="ED208">
        <v>1.87208</v>
      </c>
      <c r="EE208">
        <v>1.8693500000000001</v>
      </c>
      <c r="EF208">
        <v>1.8716600000000001</v>
      </c>
      <c r="EG208">
        <v>1.86951</v>
      </c>
      <c r="EH208">
        <v>1.8683000000000001</v>
      </c>
      <c r="EI208">
        <v>1.87012</v>
      </c>
      <c r="EJ208">
        <v>1.8719300000000001</v>
      </c>
      <c r="EK208">
        <v>0</v>
      </c>
      <c r="EL208">
        <v>0</v>
      </c>
      <c r="EM208">
        <v>0</v>
      </c>
      <c r="EN208">
        <v>0</v>
      </c>
      <c r="EO208" t="s">
        <v>320</v>
      </c>
      <c r="EP208" t="s">
        <v>321</v>
      </c>
      <c r="EQ208" t="s">
        <v>322</v>
      </c>
      <c r="ER208" t="s">
        <v>322</v>
      </c>
      <c r="ES208" t="s">
        <v>322</v>
      </c>
      <c r="ET208" t="s">
        <v>322</v>
      </c>
      <c r="EU208">
        <v>0</v>
      </c>
      <c r="EV208">
        <v>100</v>
      </c>
      <c r="EW208">
        <v>100</v>
      </c>
      <c r="EX208">
        <v>7.0640000000000001</v>
      </c>
      <c r="EY208">
        <v>-1.7889999999999999</v>
      </c>
      <c r="EZ208">
        <v>7.0627620000000002</v>
      </c>
      <c r="FA208">
        <v>0</v>
      </c>
      <c r="FB208">
        <v>0</v>
      </c>
      <c r="FC208">
        <v>0</v>
      </c>
      <c r="FD208">
        <v>-1.79989142857143</v>
      </c>
      <c r="FE208">
        <v>0</v>
      </c>
      <c r="FF208">
        <v>0</v>
      </c>
      <c r="FG208">
        <v>0</v>
      </c>
      <c r="FH208">
        <v>-1</v>
      </c>
      <c r="FI208">
        <v>-1</v>
      </c>
      <c r="FJ208">
        <v>-1</v>
      </c>
      <c r="FK208">
        <v>-1</v>
      </c>
      <c r="FL208">
        <v>0.8</v>
      </c>
      <c r="FM208">
        <v>0.7</v>
      </c>
      <c r="FN208">
        <v>0.13916000000000001</v>
      </c>
      <c r="FO208">
        <v>4.99634</v>
      </c>
      <c r="FP208">
        <v>1.5979000000000001</v>
      </c>
      <c r="FQ208">
        <v>2.1130399999999998</v>
      </c>
      <c r="FR208">
        <v>1.5478499999999999</v>
      </c>
      <c r="FS208">
        <v>2.48291</v>
      </c>
      <c r="FT208">
        <v>44.753399999999999</v>
      </c>
      <c r="FU208">
        <v>14.6661</v>
      </c>
      <c r="FV208">
        <v>2</v>
      </c>
      <c r="FW208">
        <v>508.35599999999999</v>
      </c>
      <c r="FX208">
        <v>355.81400000000002</v>
      </c>
      <c r="FY208">
        <v>33.733400000000003</v>
      </c>
      <c r="FZ208">
        <v>36.763399999999997</v>
      </c>
      <c r="GA208">
        <v>29.999099999999999</v>
      </c>
      <c r="GB208">
        <v>37.173200000000001</v>
      </c>
      <c r="GC208">
        <v>37.243000000000002</v>
      </c>
      <c r="GD208">
        <v>-1</v>
      </c>
      <c r="GE208">
        <v>0</v>
      </c>
      <c r="GF208">
        <v>100</v>
      </c>
      <c r="GG208">
        <v>33.771900000000002</v>
      </c>
      <c r="GH208">
        <v>432.1</v>
      </c>
      <c r="GI208">
        <v>44.267099999999999</v>
      </c>
      <c r="GJ208">
        <v>101.077</v>
      </c>
      <c r="GK208">
        <v>95.528999999999996</v>
      </c>
    </row>
    <row r="209" spans="1:193" x14ac:dyDescent="0.35">
      <c r="A209">
        <v>193</v>
      </c>
      <c r="B209">
        <v>1775543547.5999999</v>
      </c>
      <c r="C209">
        <v>11521.5</v>
      </c>
      <c r="D209" t="s">
        <v>896</v>
      </c>
      <c r="E209" t="s">
        <v>897</v>
      </c>
      <c r="F209">
        <v>60</v>
      </c>
      <c r="G209">
        <v>1775543539.599999</v>
      </c>
      <c r="H209">
        <f t="shared" ref="H209:H255" si="90">(I209)/1000</f>
        <v>2.8851119439387944E-3</v>
      </c>
      <c r="I209">
        <f t="shared" ref="I209:I255" si="91">1000*AY209*AG209*(AU209-AV209)/(100*AN209*(1000-AG209*AU209))</f>
        <v>2.8851119439387944</v>
      </c>
      <c r="J209">
        <f t="shared" ref="J209:J255" si="92">AY209*AG209*(AT209-AS209*(1000-AG209*AV209)/(1000-AG209*AU209))/(100*AN209)</f>
        <v>0.73015142423631019</v>
      </c>
      <c r="K209">
        <f t="shared" ref="K209:K255" si="93">AS209 - IF(AG209&gt;1, J209*AN209*100/(AI209), 0)</f>
        <v>-1.733451935483872</v>
      </c>
      <c r="L209">
        <f t="shared" ref="L209:L255" si="94">((R209-H209/2)*K209-J209)/(R209+H209/2)</f>
        <v>-20.052632839727462</v>
      </c>
      <c r="M209">
        <f t="shared" ref="M209:M272" si="95">L209*(AZ209+BA209)/1000</f>
        <v>-2.0066009808785847</v>
      </c>
      <c r="N209">
        <f t="shared" ref="N209:N255" si="96">(AS209 - IF(AG209&gt;1, J209*AN209*100/(AI209), 0))*(AZ209+BA209)/1000</f>
        <v>-0.17346083089681172</v>
      </c>
      <c r="O209">
        <f t="shared" ref="O209:O255" si="97">2/((1/Q209-1/P209)+SIGN(Q209)*SQRT((1/Q209-1/P209)*(1/Q209-1/P209) + 4*AO209/((AO209+1)*(AO209+1))*(2*1/Q209*1/P209-1/P209*1/P209)))</f>
        <v>6.177672846674049E-2</v>
      </c>
      <c r="P209">
        <f t="shared" ref="P209:P255" si="98">IF(LEFT(AP209,1)&lt;&gt;"0",IF(LEFT(AP209,1)="1",3,AQ209),$D$5+$E$5*(BG209*AZ209/($K$5*1000))+$F$5*(BG209*AZ209/($K$5*1000))*MAX(MIN(AN209,$J$5),$I$5)*MAX(MIN(AN209,$J$5),$I$5)+$G$5*MAX(MIN(AN209,$J$5),$I$5)*(BG209*AZ209/($K$5*1000))+$H$5*(BG209*AZ209/($K$5*1000))*(BG209*AZ209/($K$5*1000)))</f>
        <v>2.3885592010625816</v>
      </c>
      <c r="Q209">
        <f t="shared" ref="Q209:Q255" si="99">H209*(1000-(1000*0.61365*EXP(17.502*U209/(240.97+U209))/(AZ209+BA209)+AU209)/2)/(1000*0.61365*EXP(17.502*U209/(240.97+U209))/(AZ209+BA209)-AU209)</f>
        <v>6.0902633465110524E-2</v>
      </c>
      <c r="R209">
        <f t="shared" ref="R209:R255" si="100">1/((AO209+1)/(O209/1.6)+1/(P209/1.37)) + AO209/((AO209+1)/(O209/1.6) + AO209/(P209/1.37))</f>
        <v>3.8141649519719517E-2</v>
      </c>
      <c r="S209">
        <f t="shared" ref="S209:S255" si="101">(AJ209*AM209)</f>
        <v>0.11969285891612902</v>
      </c>
      <c r="T209">
        <f t="shared" ref="T209:T272" si="102">(BB209+(S209+2*0.95*0.0000000567*(((BB209+$B$7)+273)^4-(BB209+273)^4)-44100*H209)/(1.84*29.3*P209+8*0.95*0.0000000567*(BB209+273)^3))</f>
        <v>32.27322053825344</v>
      </c>
      <c r="U209">
        <f t="shared" ref="U209:U272" si="103">($C$7*BC209+$D$7*BD209+$E$7*T209)</f>
        <v>33.216335483870971</v>
      </c>
      <c r="V209">
        <f t="shared" ref="V209:V255" si="104">0.61365*EXP(17.502*U209/(240.97+U209))</f>
        <v>5.1138435223877048</v>
      </c>
      <c r="W209">
        <f t="shared" ref="W209:W255" si="105">(X209/Y209*100)</f>
        <v>9.9292367076378607</v>
      </c>
      <c r="X209">
        <f t="shared" ref="X209:X255" si="106">AU209*(AZ209+BA209)/1000</f>
        <v>0.50655643686570917</v>
      </c>
      <c r="Y209">
        <f t="shared" ref="Y209:Y255" si="107">0.61365*EXP(17.502*BB209/(240.97+BB209))</f>
        <v>5.101665432913399</v>
      </c>
      <c r="Z209">
        <f t="shared" ref="Z209:Z255" si="108">(V209-AU209*(AZ209+BA209)/1000)</f>
        <v>4.6072870855219961</v>
      </c>
      <c r="AA209">
        <f t="shared" ref="AA209:AA255" si="109">(-H209*44100)</f>
        <v>-127.23343672770083</v>
      </c>
      <c r="AB209">
        <f t="shared" ref="AB209:AB255" si="110">2*29.3*P209*0.92*(BB209-U209)</f>
        <v>-5.4719793679067106</v>
      </c>
      <c r="AC209">
        <f t="shared" ref="AC209:AC255" si="111">2*0.95*0.0000000567*(((BB209+$B$7)+273)^4-(U209+273)^4)</f>
        <v>-0.52567135572834922</v>
      </c>
      <c r="AD209">
        <f t="shared" ref="AD209:AD255" si="112">S209+AC209+AA209+AB209</f>
        <v>-133.11139459241977</v>
      </c>
      <c r="AE209">
        <v>4</v>
      </c>
      <c r="AF209">
        <v>1</v>
      </c>
      <c r="AG209">
        <f t="shared" ref="AG209:AG255" si="113">IF(AE209*$H$13&gt;=AI209,1,(AI209/(AI209-AE209*$H$13)))</f>
        <v>1</v>
      </c>
      <c r="AH209">
        <f t="shared" ref="AH209:AH255" si="114">(AG209-1)*100</f>
        <v>0</v>
      </c>
      <c r="AI209">
        <f t="shared" ref="AI209:AI255" si="115">MAX(0,($B$13+$C$13*BG209)/(1+$D$13*BG209)*AZ209/(BB209+273)*$E$13)</f>
        <v>25015.260762860606</v>
      </c>
      <c r="AJ209">
        <f t="shared" ref="AJ209:AJ255" si="116">$B$11*BH209+$C$11*BI209</f>
        <v>0.62633625806451609</v>
      </c>
      <c r="AK209">
        <f t="shared" ref="AK209:AK255" si="117">AJ209*AL209</f>
        <v>0.5010690064516129</v>
      </c>
      <c r="AL209">
        <f t="shared" ref="AL209:AL255" si="118">($B$11*$D$9+$C$11*$D$9)/($B$11+$C$11)</f>
        <v>0.8</v>
      </c>
      <c r="AM209">
        <f t="shared" ref="AM209:AM255" si="119">($B$11*$K$9+$C$11*$K$9)/($B$11+$C$11)</f>
        <v>0.19109999999999999</v>
      </c>
      <c r="AN209">
        <v>3</v>
      </c>
      <c r="AO209">
        <v>0.5</v>
      </c>
      <c r="AP209" t="s">
        <v>317</v>
      </c>
      <c r="AQ209">
        <v>2</v>
      </c>
      <c r="AR209">
        <v>1775543539.599999</v>
      </c>
      <c r="AS209">
        <v>-1.733451935483872</v>
      </c>
      <c r="AT209">
        <v>-1.298351612903226</v>
      </c>
      <c r="AU209">
        <v>5.0621874193548386</v>
      </c>
      <c r="AV209">
        <v>3.339842903225807</v>
      </c>
      <c r="AW209">
        <v>-8.8584519354838722</v>
      </c>
      <c r="AX209">
        <v>6.8211874193548381</v>
      </c>
      <c r="AY209">
        <v>499.98829032258072</v>
      </c>
      <c r="AZ209">
        <v>100.0222903225807</v>
      </c>
      <c r="BA209">
        <v>4.4418967741935489E-2</v>
      </c>
      <c r="BB209">
        <v>33.173841935483871</v>
      </c>
      <c r="BC209">
        <v>33.216335483870971</v>
      </c>
      <c r="BD209">
        <v>999.90000000000032</v>
      </c>
      <c r="BE209">
        <v>0</v>
      </c>
      <c r="BF209">
        <v>0</v>
      </c>
      <c r="BG209">
        <v>5000.2419354838712</v>
      </c>
      <c r="BH209">
        <v>0.62633625806451609</v>
      </c>
      <c r="BI209">
        <v>370.65790322580642</v>
      </c>
      <c r="BJ209">
        <v>-0.49568567741935482</v>
      </c>
      <c r="BK209">
        <v>-1.8031125806451609</v>
      </c>
      <c r="BL209">
        <v>-1.302705161290322</v>
      </c>
      <c r="BM209">
        <v>1.6926051612903219</v>
      </c>
      <c r="BN209">
        <v>-1.298351612903226</v>
      </c>
      <c r="BO209">
        <v>3.339842903225807</v>
      </c>
      <c r="BP209">
        <v>0.50335674193548385</v>
      </c>
      <c r="BQ209">
        <v>0.3340586451612903</v>
      </c>
      <c r="BR209">
        <v>-2.69728935483871</v>
      </c>
      <c r="BS209">
        <v>-8.0918103225806455</v>
      </c>
      <c r="BT209">
        <v>1775543568.0999999</v>
      </c>
      <c r="BU209" t="s">
        <v>898</v>
      </c>
      <c r="BV209">
        <v>1775543566.5999999</v>
      </c>
      <c r="BW209">
        <v>1775543568.0999999</v>
      </c>
      <c r="BX209">
        <v>194</v>
      </c>
      <c r="BY209">
        <v>0.06</v>
      </c>
      <c r="BZ209">
        <v>2.9000000000000001E-2</v>
      </c>
      <c r="CA209">
        <v>7.125</v>
      </c>
      <c r="CB209">
        <v>-1.7589999999999999</v>
      </c>
      <c r="CC209">
        <v>-1</v>
      </c>
      <c r="CD209">
        <v>3</v>
      </c>
      <c r="CE209">
        <v>0.3</v>
      </c>
      <c r="CF209">
        <v>0.05</v>
      </c>
      <c r="CG209">
        <v>-1.460143666666667</v>
      </c>
      <c r="CH209">
        <v>1.2131108419005241</v>
      </c>
      <c r="CI209">
        <v>0.1801127766888167</v>
      </c>
      <c r="CJ209">
        <v>-1</v>
      </c>
      <c r="CK209">
        <v>499.99573333333331</v>
      </c>
      <c r="CL209">
        <v>-0.12878243956507501</v>
      </c>
      <c r="CM209">
        <v>7.18078144927254E-2</v>
      </c>
      <c r="CN209">
        <v>-1</v>
      </c>
      <c r="CO209">
        <v>0</v>
      </c>
      <c r="CP209">
        <v>0</v>
      </c>
      <c r="CQ209" t="s">
        <v>319</v>
      </c>
      <c r="CR209">
        <v>3.16873</v>
      </c>
      <c r="CS209">
        <v>2.66601</v>
      </c>
      <c r="CT209">
        <v>-2.5569799999999999E-3</v>
      </c>
      <c r="CU209">
        <v>-3.4465400000000001E-4</v>
      </c>
      <c r="CV209">
        <v>4.3064600000000001E-2</v>
      </c>
      <c r="CW209">
        <v>2.3054600000000001E-2</v>
      </c>
      <c r="CX209">
        <v>21356.6</v>
      </c>
      <c r="CY209">
        <v>21752.6</v>
      </c>
      <c r="CZ209">
        <v>22836.6</v>
      </c>
      <c r="DA209">
        <v>22112.799999999999</v>
      </c>
      <c r="DB209">
        <v>28199.7</v>
      </c>
      <c r="DC209">
        <v>25725.8</v>
      </c>
      <c r="DD209">
        <v>40177.4</v>
      </c>
      <c r="DE209">
        <v>36601.300000000003</v>
      </c>
      <c r="DF209">
        <v>2.0207000000000002</v>
      </c>
      <c r="DG209">
        <v>1.6398999999999999</v>
      </c>
      <c r="DH209">
        <v>3.2657400000000003E-2</v>
      </c>
      <c r="DI209">
        <v>0</v>
      </c>
      <c r="DJ209">
        <v>32.696100000000001</v>
      </c>
      <c r="DK209">
        <v>999.9</v>
      </c>
      <c r="DL209">
        <v>56.4</v>
      </c>
      <c r="DM209">
        <v>42.3</v>
      </c>
      <c r="DN209">
        <v>47.221299999999999</v>
      </c>
      <c r="DO209">
        <v>30.619399999999999</v>
      </c>
      <c r="DP209">
        <v>11.133800000000001</v>
      </c>
      <c r="DQ209">
        <v>1</v>
      </c>
      <c r="DR209">
        <v>0.75911200000000001</v>
      </c>
      <c r="DS209">
        <v>-0.55877600000000005</v>
      </c>
      <c r="DT209">
        <v>20.365200000000002</v>
      </c>
      <c r="DU209">
        <v>5.2093800000000003</v>
      </c>
      <c r="DV209">
        <v>11.854200000000001</v>
      </c>
      <c r="DW209">
        <v>4.96732</v>
      </c>
      <c r="DX209">
        <v>3.29298</v>
      </c>
      <c r="DY209">
        <v>894.7</v>
      </c>
      <c r="DZ209">
        <v>6</v>
      </c>
      <c r="EA209">
        <v>9999</v>
      </c>
      <c r="EB209">
        <v>118.9</v>
      </c>
      <c r="EC209">
        <v>4.9715699999999998</v>
      </c>
      <c r="ED209">
        <v>1.87205</v>
      </c>
      <c r="EE209">
        <v>1.8693500000000001</v>
      </c>
      <c r="EF209">
        <v>1.8716600000000001</v>
      </c>
      <c r="EG209">
        <v>1.86951</v>
      </c>
      <c r="EH209">
        <v>1.8683000000000001</v>
      </c>
      <c r="EI209">
        <v>1.87012</v>
      </c>
      <c r="EJ209">
        <v>1.8719300000000001</v>
      </c>
      <c r="EK209">
        <v>0</v>
      </c>
      <c r="EL209">
        <v>0</v>
      </c>
      <c r="EM209">
        <v>0</v>
      </c>
      <c r="EN209">
        <v>0</v>
      </c>
      <c r="EO209" t="s">
        <v>320</v>
      </c>
      <c r="EP209" t="s">
        <v>321</v>
      </c>
      <c r="EQ209" t="s">
        <v>322</v>
      </c>
      <c r="ER209" t="s">
        <v>322</v>
      </c>
      <c r="ES209" t="s">
        <v>322</v>
      </c>
      <c r="ET209" t="s">
        <v>322</v>
      </c>
      <c r="EU209">
        <v>0</v>
      </c>
      <c r="EV209">
        <v>100</v>
      </c>
      <c r="EW209">
        <v>100</v>
      </c>
      <c r="EX209">
        <v>7.125</v>
      </c>
      <c r="EY209">
        <v>-1.7589999999999999</v>
      </c>
      <c r="EZ209">
        <v>7.0644145000000016</v>
      </c>
      <c r="FA209">
        <v>0</v>
      </c>
      <c r="FB209">
        <v>0</v>
      </c>
      <c r="FC209">
        <v>0</v>
      </c>
      <c r="FD209">
        <v>-1.788739000000001</v>
      </c>
      <c r="FE209">
        <v>0</v>
      </c>
      <c r="FF209">
        <v>0</v>
      </c>
      <c r="FG209">
        <v>0</v>
      </c>
      <c r="FH209">
        <v>-1</v>
      </c>
      <c r="FI209">
        <v>-1</v>
      </c>
      <c r="FJ209">
        <v>-1</v>
      </c>
      <c r="FK209">
        <v>-1</v>
      </c>
      <c r="FL209">
        <v>0.7</v>
      </c>
      <c r="FM209">
        <v>0.7</v>
      </c>
      <c r="FN209">
        <v>0.13916000000000001</v>
      </c>
      <c r="FO209">
        <v>4.99756</v>
      </c>
      <c r="FP209">
        <v>1.5979000000000001</v>
      </c>
      <c r="FQ209">
        <v>2.1142599999999998</v>
      </c>
      <c r="FR209">
        <v>1.5478499999999999</v>
      </c>
      <c r="FS209">
        <v>2.3547400000000001</v>
      </c>
      <c r="FT209">
        <v>44.613199999999999</v>
      </c>
      <c r="FU209">
        <v>14.6486</v>
      </c>
      <c r="FV209">
        <v>2</v>
      </c>
      <c r="FW209">
        <v>508.77100000000002</v>
      </c>
      <c r="FX209">
        <v>356.14699999999999</v>
      </c>
      <c r="FY209">
        <v>34.029299999999999</v>
      </c>
      <c r="FZ209">
        <v>36.600700000000003</v>
      </c>
      <c r="GA209">
        <v>29.998899999999999</v>
      </c>
      <c r="GB209">
        <v>37.013500000000001</v>
      </c>
      <c r="GC209">
        <v>37.080199999999998</v>
      </c>
      <c r="GD209">
        <v>-1</v>
      </c>
      <c r="GE209">
        <v>0</v>
      </c>
      <c r="GF209">
        <v>100</v>
      </c>
      <c r="GG209">
        <v>34.044699999999999</v>
      </c>
      <c r="GH209">
        <v>432.1</v>
      </c>
      <c r="GI209">
        <v>44.267099999999999</v>
      </c>
      <c r="GJ209">
        <v>101.09399999999999</v>
      </c>
      <c r="GK209">
        <v>95.550899999999999</v>
      </c>
    </row>
    <row r="210" spans="1:193" x14ac:dyDescent="0.35">
      <c r="A210">
        <v>194</v>
      </c>
      <c r="B210">
        <v>1775543607.5999999</v>
      </c>
      <c r="C210">
        <v>11581.5</v>
      </c>
      <c r="D210" t="s">
        <v>899</v>
      </c>
      <c r="E210" t="s">
        <v>900</v>
      </c>
      <c r="F210">
        <v>60</v>
      </c>
      <c r="G210">
        <v>1775543599.849999</v>
      </c>
      <c r="H210">
        <f t="shared" si="90"/>
        <v>3.2281415026670572E-3</v>
      </c>
      <c r="I210">
        <f t="shared" si="91"/>
        <v>3.2281415026670572</v>
      </c>
      <c r="J210">
        <f t="shared" si="92"/>
        <v>0.8125279626861277</v>
      </c>
      <c r="K210">
        <f t="shared" si="93"/>
        <v>-1.158542333333334</v>
      </c>
      <c r="L210">
        <f t="shared" si="94"/>
        <v>-19.390263526508438</v>
      </c>
      <c r="M210">
        <f t="shared" si="95"/>
        <v>-1.9402537325466831</v>
      </c>
      <c r="N210">
        <f t="shared" si="96"/>
        <v>-0.11592756764188822</v>
      </c>
      <c r="O210">
        <f t="shared" si="97"/>
        <v>6.9339246797877271E-2</v>
      </c>
      <c r="P210">
        <f t="shared" si="98"/>
        <v>2.3891723939274638</v>
      </c>
      <c r="Q210">
        <f t="shared" si="99"/>
        <v>6.8240374756737415E-2</v>
      </c>
      <c r="R210">
        <f t="shared" si="100"/>
        <v>4.2747512860424476E-2</v>
      </c>
      <c r="S210">
        <f t="shared" si="101"/>
        <v>0.11549682689999997</v>
      </c>
      <c r="T210">
        <f t="shared" si="102"/>
        <v>32.133451692369547</v>
      </c>
      <c r="U210">
        <f t="shared" si="103"/>
        <v>33.164343333333328</v>
      </c>
      <c r="V210">
        <f t="shared" si="104"/>
        <v>5.0989467119133787</v>
      </c>
      <c r="W210">
        <f t="shared" si="105"/>
        <v>9.7752728355299556</v>
      </c>
      <c r="X210">
        <f t="shared" si="106"/>
        <v>0.49778549278749434</v>
      </c>
      <c r="Y210">
        <f t="shared" si="107"/>
        <v>5.0922925749776011</v>
      </c>
      <c r="Z210">
        <f t="shared" si="108"/>
        <v>4.6011612191258839</v>
      </c>
      <c r="AA210">
        <f t="shared" si="109"/>
        <v>-142.36104026761723</v>
      </c>
      <c r="AB210">
        <f t="shared" si="110"/>
        <v>-2.9968644448917909</v>
      </c>
      <c r="AC210">
        <f t="shared" si="111"/>
        <v>-0.28770349912365095</v>
      </c>
      <c r="AD210">
        <f t="shared" si="112"/>
        <v>-145.53011138473266</v>
      </c>
      <c r="AE210">
        <v>4</v>
      </c>
      <c r="AF210">
        <v>1</v>
      </c>
      <c r="AG210">
        <f t="shared" si="113"/>
        <v>1</v>
      </c>
      <c r="AH210">
        <f t="shared" si="114"/>
        <v>0</v>
      </c>
      <c r="AI210">
        <f t="shared" si="115"/>
        <v>25027.061142625847</v>
      </c>
      <c r="AJ210">
        <f t="shared" si="116"/>
        <v>0.60437899999999989</v>
      </c>
      <c r="AK210">
        <f t="shared" si="117"/>
        <v>0.48350319999999991</v>
      </c>
      <c r="AL210">
        <f t="shared" si="118"/>
        <v>0.8</v>
      </c>
      <c r="AM210">
        <f t="shared" si="119"/>
        <v>0.19109999999999999</v>
      </c>
      <c r="AN210">
        <v>3</v>
      </c>
      <c r="AO210">
        <v>0.5</v>
      </c>
      <c r="AP210" t="s">
        <v>317</v>
      </c>
      <c r="AQ210">
        <v>2</v>
      </c>
      <c r="AR210">
        <v>1775543599.849999</v>
      </c>
      <c r="AS210">
        <v>-1.158542333333334</v>
      </c>
      <c r="AT210">
        <v>-0.67328550000000009</v>
      </c>
      <c r="AU210">
        <v>4.9747060000000003</v>
      </c>
      <c r="AV210">
        <v>3.04752</v>
      </c>
      <c r="AW210">
        <v>-8.3115423333333336</v>
      </c>
      <c r="AX210">
        <v>6.6937060000000006</v>
      </c>
      <c r="AY210">
        <v>500.01646666666682</v>
      </c>
      <c r="AZ210">
        <v>100.02273333333341</v>
      </c>
      <c r="BA210">
        <v>4.0565440000000001E-2</v>
      </c>
      <c r="BB210">
        <v>33.14107666666667</v>
      </c>
      <c r="BC210">
        <v>33.164343333333328</v>
      </c>
      <c r="BD210">
        <v>999.9000000000002</v>
      </c>
      <c r="BE210">
        <v>0</v>
      </c>
      <c r="BF210">
        <v>0</v>
      </c>
      <c r="BG210">
        <v>5001.8</v>
      </c>
      <c r="BH210">
        <v>0.60437899999999989</v>
      </c>
      <c r="BI210">
        <v>365.6658666666666</v>
      </c>
      <c r="BJ210">
        <v>-0.51365516666666666</v>
      </c>
      <c r="BK210">
        <v>-1.192828</v>
      </c>
      <c r="BL210">
        <v>-0.67534383333333337</v>
      </c>
      <c r="BM210">
        <v>1.886832666666667</v>
      </c>
      <c r="BN210">
        <v>-0.67328550000000009</v>
      </c>
      <c r="BO210">
        <v>3.04752</v>
      </c>
      <c r="BP210">
        <v>0.49354749999999992</v>
      </c>
      <c r="BQ210">
        <v>0.30482143333333328</v>
      </c>
      <c r="BR210">
        <v>-2.961926333333333</v>
      </c>
      <c r="BS210">
        <v>-9.2634559999999979</v>
      </c>
      <c r="BT210">
        <v>1775543631.5999999</v>
      </c>
      <c r="BU210" t="s">
        <v>901</v>
      </c>
      <c r="BV210">
        <v>1775543623.5999999</v>
      </c>
      <c r="BW210">
        <v>1775543631.5999999</v>
      </c>
      <c r="BX210">
        <v>195</v>
      </c>
      <c r="BY210">
        <v>2.9000000000000001E-2</v>
      </c>
      <c r="BZ210">
        <v>0.04</v>
      </c>
      <c r="CA210">
        <v>7.1529999999999996</v>
      </c>
      <c r="CB210">
        <v>-1.7190000000000001</v>
      </c>
      <c r="CC210">
        <v>0</v>
      </c>
      <c r="CD210">
        <v>3</v>
      </c>
      <c r="CE210">
        <v>0.17</v>
      </c>
      <c r="CF210">
        <v>0.04</v>
      </c>
      <c r="CG210">
        <v>-0.75576791666666676</v>
      </c>
      <c r="CH210">
        <v>0.52576256182272685</v>
      </c>
      <c r="CI210">
        <v>9.1640988622866723E-2</v>
      </c>
      <c r="CJ210">
        <v>-1</v>
      </c>
      <c r="CK210">
        <v>499.99385000000012</v>
      </c>
      <c r="CL210">
        <v>6.5954987497560166E-2</v>
      </c>
      <c r="CM210">
        <v>7.8649819876889987E-2</v>
      </c>
      <c r="CN210">
        <v>-1</v>
      </c>
      <c r="CO210">
        <v>0</v>
      </c>
      <c r="CP210">
        <v>0</v>
      </c>
      <c r="CQ210" t="s">
        <v>319</v>
      </c>
      <c r="CR210">
        <v>3.16892</v>
      </c>
      <c r="CS210">
        <v>2.6616200000000001</v>
      </c>
      <c r="CT210">
        <v>-2.41114E-3</v>
      </c>
      <c r="CU210">
        <v>-1.87701E-4</v>
      </c>
      <c r="CV210">
        <v>4.2421100000000003E-2</v>
      </c>
      <c r="CW210">
        <v>2.1106E-2</v>
      </c>
      <c r="CX210">
        <v>21360.400000000001</v>
      </c>
      <c r="CY210">
        <v>21755.9</v>
      </c>
      <c r="CZ210">
        <v>22843.200000000001</v>
      </c>
      <c r="DA210">
        <v>22119.1</v>
      </c>
      <c r="DB210">
        <v>28226</v>
      </c>
      <c r="DC210">
        <v>25785.4</v>
      </c>
      <c r="DD210">
        <v>40187.5</v>
      </c>
      <c r="DE210">
        <v>36612.400000000001</v>
      </c>
      <c r="DF210">
        <v>2.0230399999999999</v>
      </c>
      <c r="DG210">
        <v>1.6413199999999999</v>
      </c>
      <c r="DH210">
        <v>3.5303800000000003E-2</v>
      </c>
      <c r="DI210">
        <v>0</v>
      </c>
      <c r="DJ210">
        <v>32.589300000000001</v>
      </c>
      <c r="DK210">
        <v>999.9</v>
      </c>
      <c r="DL210">
        <v>56.6</v>
      </c>
      <c r="DM210">
        <v>42.2</v>
      </c>
      <c r="DN210">
        <v>47.144799999999996</v>
      </c>
      <c r="DO210">
        <v>30.619399999999999</v>
      </c>
      <c r="DP210">
        <v>10.757199999999999</v>
      </c>
      <c r="DQ210">
        <v>1</v>
      </c>
      <c r="DR210">
        <v>0.74343300000000001</v>
      </c>
      <c r="DS210">
        <v>-0.73708499999999999</v>
      </c>
      <c r="DT210">
        <v>20.3644</v>
      </c>
      <c r="DU210">
        <v>5.2112999999999996</v>
      </c>
      <c r="DV210">
        <v>11.854200000000001</v>
      </c>
      <c r="DW210">
        <v>4.9677199999999999</v>
      </c>
      <c r="DX210">
        <v>3.2929599999999999</v>
      </c>
      <c r="DY210">
        <v>894.7</v>
      </c>
      <c r="DZ210">
        <v>6</v>
      </c>
      <c r="EA210">
        <v>9999</v>
      </c>
      <c r="EB210">
        <v>119</v>
      </c>
      <c r="EC210">
        <v>4.9715800000000003</v>
      </c>
      <c r="ED210">
        <v>1.87199</v>
      </c>
      <c r="EE210">
        <v>1.8693500000000001</v>
      </c>
      <c r="EF210">
        <v>1.87164</v>
      </c>
      <c r="EG210">
        <v>1.86944</v>
      </c>
      <c r="EH210">
        <v>1.86829</v>
      </c>
      <c r="EI210">
        <v>1.87012</v>
      </c>
      <c r="EJ210">
        <v>1.87188</v>
      </c>
      <c r="EK210">
        <v>0</v>
      </c>
      <c r="EL210">
        <v>0</v>
      </c>
      <c r="EM210">
        <v>0</v>
      </c>
      <c r="EN210">
        <v>0</v>
      </c>
      <c r="EO210" t="s">
        <v>320</v>
      </c>
      <c r="EP210" t="s">
        <v>321</v>
      </c>
      <c r="EQ210" t="s">
        <v>322</v>
      </c>
      <c r="ER210" t="s">
        <v>322</v>
      </c>
      <c r="ES210" t="s">
        <v>322</v>
      </c>
      <c r="ET210" t="s">
        <v>322</v>
      </c>
      <c r="EU210">
        <v>0</v>
      </c>
      <c r="EV210">
        <v>100</v>
      </c>
      <c r="EW210">
        <v>100</v>
      </c>
      <c r="EX210">
        <v>7.1529999999999996</v>
      </c>
      <c r="EY210">
        <v>-1.7190000000000001</v>
      </c>
      <c r="EZ210">
        <v>7.124601750000001</v>
      </c>
      <c r="FA210">
        <v>0</v>
      </c>
      <c r="FB210">
        <v>0</v>
      </c>
      <c r="FC210">
        <v>0</v>
      </c>
      <c r="FD210">
        <v>-1.759351904761904</v>
      </c>
      <c r="FE210">
        <v>0</v>
      </c>
      <c r="FF210">
        <v>0</v>
      </c>
      <c r="FG210">
        <v>0</v>
      </c>
      <c r="FH210">
        <v>-1</v>
      </c>
      <c r="FI210">
        <v>-1</v>
      </c>
      <c r="FJ210">
        <v>-1</v>
      </c>
      <c r="FK210">
        <v>-1</v>
      </c>
      <c r="FL210">
        <v>0.7</v>
      </c>
      <c r="FM210">
        <v>0.7</v>
      </c>
      <c r="FN210">
        <v>0.13916000000000001</v>
      </c>
      <c r="FO210">
        <v>4.99756</v>
      </c>
      <c r="FP210">
        <v>1.5979000000000001</v>
      </c>
      <c r="FQ210">
        <v>2.1142599999999998</v>
      </c>
      <c r="FR210">
        <v>1.5478499999999999</v>
      </c>
      <c r="FS210">
        <v>2.4841299999999999</v>
      </c>
      <c r="FT210">
        <v>44.445599999999999</v>
      </c>
      <c r="FU210">
        <v>14.6486</v>
      </c>
      <c r="FV210">
        <v>2</v>
      </c>
      <c r="FW210">
        <v>508.94600000000003</v>
      </c>
      <c r="FX210">
        <v>356.017</v>
      </c>
      <c r="FY210">
        <v>34.0227</v>
      </c>
      <c r="FZ210">
        <v>36.412500000000001</v>
      </c>
      <c r="GA210">
        <v>29.998699999999999</v>
      </c>
      <c r="GB210">
        <v>36.834499999999998</v>
      </c>
      <c r="GC210">
        <v>36.900799999999997</v>
      </c>
      <c r="GD210">
        <v>-1</v>
      </c>
      <c r="GE210">
        <v>0</v>
      </c>
      <c r="GF210">
        <v>100</v>
      </c>
      <c r="GG210">
        <v>34.071800000000003</v>
      </c>
      <c r="GH210">
        <v>432.1</v>
      </c>
      <c r="GI210">
        <v>44.267099999999999</v>
      </c>
      <c r="GJ210">
        <v>101.12</v>
      </c>
      <c r="GK210">
        <v>95.5792</v>
      </c>
    </row>
    <row r="211" spans="1:193" x14ac:dyDescent="0.35">
      <c r="A211">
        <v>195</v>
      </c>
      <c r="B211">
        <v>1775543667.5999999</v>
      </c>
      <c r="C211">
        <v>11641.5</v>
      </c>
      <c r="D211" t="s">
        <v>902</v>
      </c>
      <c r="E211" t="s">
        <v>903</v>
      </c>
      <c r="F211">
        <v>60</v>
      </c>
      <c r="G211">
        <v>1775543659.599999</v>
      </c>
      <c r="H211">
        <f t="shared" si="90"/>
        <v>3.2319960711100159E-3</v>
      </c>
      <c r="I211">
        <f t="shared" si="91"/>
        <v>3.2319960711100157</v>
      </c>
      <c r="J211">
        <f t="shared" si="92"/>
        <v>0.82356559572702981</v>
      </c>
      <c r="K211">
        <f t="shared" si="93"/>
        <v>-0.34724129032258227</v>
      </c>
      <c r="L211">
        <f t="shared" si="94"/>
        <v>-18.916602833614142</v>
      </c>
      <c r="M211">
        <f t="shared" si="95"/>
        <v>-1.892831379366066</v>
      </c>
      <c r="N211">
        <f t="shared" si="96"/>
        <v>-3.4745626173754707E-2</v>
      </c>
      <c r="O211">
        <f t="shared" si="97"/>
        <v>6.9218550499293624E-2</v>
      </c>
      <c r="P211">
        <f t="shared" si="98"/>
        <v>2.3901118537901702</v>
      </c>
      <c r="Q211">
        <f t="shared" si="99"/>
        <v>6.8123891186494728E-2</v>
      </c>
      <c r="R211">
        <f t="shared" si="100"/>
        <v>4.2674340720765834E-2</v>
      </c>
      <c r="S211">
        <f t="shared" si="101"/>
        <v>0.11771951100000001</v>
      </c>
      <c r="T211">
        <f t="shared" si="102"/>
        <v>32.202554068051818</v>
      </c>
      <c r="U211">
        <f t="shared" si="103"/>
        <v>33.225370967741938</v>
      </c>
      <c r="V211">
        <f t="shared" si="104"/>
        <v>5.1164362306473166</v>
      </c>
      <c r="W211">
        <f t="shared" si="105"/>
        <v>9.8291772525970273</v>
      </c>
      <c r="X211">
        <f t="shared" si="106"/>
        <v>0.50249676604348859</v>
      </c>
      <c r="Y211">
        <f t="shared" si="107"/>
        <v>5.1122973279449289</v>
      </c>
      <c r="Z211">
        <f t="shared" si="108"/>
        <v>4.6139394646038276</v>
      </c>
      <c r="AA211">
        <f t="shared" si="109"/>
        <v>-142.53102673595171</v>
      </c>
      <c r="AB211">
        <f t="shared" si="110"/>
        <v>-1.8588475364188608</v>
      </c>
      <c r="AC211">
        <f t="shared" si="111"/>
        <v>-0.17849644540928108</v>
      </c>
      <c r="AD211">
        <f t="shared" si="112"/>
        <v>-144.45065120677987</v>
      </c>
      <c r="AE211">
        <v>4</v>
      </c>
      <c r="AF211">
        <v>1</v>
      </c>
      <c r="AG211">
        <f t="shared" si="113"/>
        <v>1</v>
      </c>
      <c r="AH211">
        <f t="shared" si="114"/>
        <v>0</v>
      </c>
      <c r="AI211">
        <f t="shared" si="115"/>
        <v>25035.506297317734</v>
      </c>
      <c r="AJ211">
        <f t="shared" si="116"/>
        <v>0.61601000000000006</v>
      </c>
      <c r="AK211">
        <f t="shared" si="117"/>
        <v>0.49280800000000008</v>
      </c>
      <c r="AL211">
        <f t="shared" si="118"/>
        <v>0.8</v>
      </c>
      <c r="AM211">
        <f t="shared" si="119"/>
        <v>0.19109999999999999</v>
      </c>
      <c r="AN211">
        <v>3</v>
      </c>
      <c r="AO211">
        <v>0.5</v>
      </c>
      <c r="AP211" t="s">
        <v>317</v>
      </c>
      <c r="AQ211">
        <v>2</v>
      </c>
      <c r="AR211">
        <v>1775543659.599999</v>
      </c>
      <c r="AS211">
        <v>-0.34724129032258227</v>
      </c>
      <c r="AT211">
        <v>0.1462484806451613</v>
      </c>
      <c r="AU211">
        <v>5.0218587096774181</v>
      </c>
      <c r="AV211">
        <v>3.0923064516129029</v>
      </c>
      <c r="AW211">
        <v>-7.5222412903225822</v>
      </c>
      <c r="AX211">
        <v>6.7578587096774179</v>
      </c>
      <c r="AY211">
        <v>499.97590322580652</v>
      </c>
      <c r="AZ211">
        <v>100.0187741935484</v>
      </c>
      <c r="BA211">
        <v>4.3134174193548383E-2</v>
      </c>
      <c r="BB211">
        <v>33.210945161290319</v>
      </c>
      <c r="BC211">
        <v>33.225370967741938</v>
      </c>
      <c r="BD211">
        <v>999.90000000000032</v>
      </c>
      <c r="BE211">
        <v>0</v>
      </c>
      <c r="BF211">
        <v>0</v>
      </c>
      <c r="BG211">
        <v>5004.4193548387093</v>
      </c>
      <c r="BH211">
        <v>0.61601000000000006</v>
      </c>
      <c r="BI211">
        <v>361.51387096774192</v>
      </c>
      <c r="BJ211">
        <v>-0.51537358064516137</v>
      </c>
      <c r="BK211">
        <v>-0.37099496774193552</v>
      </c>
      <c r="BL211">
        <v>0.14670250000000001</v>
      </c>
      <c r="BM211">
        <v>1.946561935483871</v>
      </c>
      <c r="BN211">
        <v>0.1462484806451613</v>
      </c>
      <c r="BO211">
        <v>3.0923064516129029</v>
      </c>
      <c r="BP211">
        <v>0.5039813225806451</v>
      </c>
      <c r="BQ211">
        <v>0.30928854838709668</v>
      </c>
      <c r="BR211">
        <v>-2.680629677419355</v>
      </c>
      <c r="BS211">
        <v>-9.0781625806451611</v>
      </c>
      <c r="BT211">
        <v>1775543692.0999999</v>
      </c>
      <c r="BU211" t="s">
        <v>904</v>
      </c>
      <c r="BV211">
        <v>1775543683.5999999</v>
      </c>
      <c r="BW211">
        <v>1775543692.0999999</v>
      </c>
      <c r="BX211">
        <v>196</v>
      </c>
      <c r="BY211">
        <v>2.1999999999999999E-2</v>
      </c>
      <c r="BZ211">
        <v>-1.7000000000000001E-2</v>
      </c>
      <c r="CA211">
        <v>7.1749999999999998</v>
      </c>
      <c r="CB211">
        <v>-1.736</v>
      </c>
      <c r="CC211">
        <v>0</v>
      </c>
      <c r="CD211">
        <v>3</v>
      </c>
      <c r="CE211">
        <v>0.17</v>
      </c>
      <c r="CF211">
        <v>0.05</v>
      </c>
      <c r="CG211">
        <v>0.11061071843333339</v>
      </c>
      <c r="CH211">
        <v>0.34144867587440952</v>
      </c>
      <c r="CI211">
        <v>7.0186969044017847E-2</v>
      </c>
      <c r="CJ211">
        <v>-1</v>
      </c>
      <c r="CK211">
        <v>500.25383333333332</v>
      </c>
      <c r="CL211">
        <v>-2.910695193106946</v>
      </c>
      <c r="CM211">
        <v>0.87326533132198281</v>
      </c>
      <c r="CN211">
        <v>-1</v>
      </c>
      <c r="CO211">
        <v>0</v>
      </c>
      <c r="CP211">
        <v>0</v>
      </c>
      <c r="CQ211" t="s">
        <v>319</v>
      </c>
      <c r="CR211">
        <v>3.1686700000000001</v>
      </c>
      <c r="CS211">
        <v>2.6641699999999999</v>
      </c>
      <c r="CT211">
        <v>-2.1792000000000001E-3</v>
      </c>
      <c r="CU211">
        <v>7.7460700000000002E-5</v>
      </c>
      <c r="CV211">
        <v>4.2674700000000003E-2</v>
      </c>
      <c r="CW211">
        <v>2.1991199999999999E-2</v>
      </c>
      <c r="CX211">
        <v>21362.400000000001</v>
      </c>
      <c r="CY211">
        <v>21756.799999999999</v>
      </c>
      <c r="CZ211">
        <v>22849.9</v>
      </c>
      <c r="DA211">
        <v>22125.3</v>
      </c>
      <c r="DB211">
        <v>28226.400000000001</v>
      </c>
      <c r="DC211">
        <v>25770.2</v>
      </c>
      <c r="DD211">
        <v>40198.199999999997</v>
      </c>
      <c r="DE211">
        <v>36623.599999999999</v>
      </c>
      <c r="DF211">
        <v>2.0243600000000002</v>
      </c>
      <c r="DG211">
        <v>1.6455</v>
      </c>
      <c r="DH211">
        <v>4.0954400000000002E-2</v>
      </c>
      <c r="DI211">
        <v>0</v>
      </c>
      <c r="DJ211">
        <v>32.548200000000001</v>
      </c>
      <c r="DK211">
        <v>999.9</v>
      </c>
      <c r="DL211">
        <v>56.7</v>
      </c>
      <c r="DM211">
        <v>42.1</v>
      </c>
      <c r="DN211">
        <v>46.974800000000002</v>
      </c>
      <c r="DO211">
        <v>30.529399999999999</v>
      </c>
      <c r="DP211">
        <v>11.177899999999999</v>
      </c>
      <c r="DQ211">
        <v>1</v>
      </c>
      <c r="DR211">
        <v>0.72745899999999997</v>
      </c>
      <c r="DS211">
        <v>-0.544817</v>
      </c>
      <c r="DT211">
        <v>20.365500000000001</v>
      </c>
      <c r="DU211">
        <v>5.2083000000000004</v>
      </c>
      <c r="DV211">
        <v>11.854200000000001</v>
      </c>
      <c r="DW211">
        <v>4.9673999999999996</v>
      </c>
      <c r="DX211">
        <v>3.2925200000000001</v>
      </c>
      <c r="DY211">
        <v>894.7</v>
      </c>
      <c r="DZ211">
        <v>6</v>
      </c>
      <c r="EA211">
        <v>9999</v>
      </c>
      <c r="EB211">
        <v>119</v>
      </c>
      <c r="EC211">
        <v>4.9715800000000003</v>
      </c>
      <c r="ED211">
        <v>1.8720399999999999</v>
      </c>
      <c r="EE211">
        <v>1.8693500000000001</v>
      </c>
      <c r="EF211">
        <v>1.8716600000000001</v>
      </c>
      <c r="EG211">
        <v>1.8694900000000001</v>
      </c>
      <c r="EH211">
        <v>1.8683000000000001</v>
      </c>
      <c r="EI211">
        <v>1.8701300000000001</v>
      </c>
      <c r="EJ211">
        <v>1.8719399999999999</v>
      </c>
      <c r="EK211">
        <v>0</v>
      </c>
      <c r="EL211">
        <v>0</v>
      </c>
      <c r="EM211">
        <v>0</v>
      </c>
      <c r="EN211">
        <v>0</v>
      </c>
      <c r="EO211" t="s">
        <v>320</v>
      </c>
      <c r="EP211" t="s">
        <v>321</v>
      </c>
      <c r="EQ211" t="s">
        <v>322</v>
      </c>
      <c r="ER211" t="s">
        <v>322</v>
      </c>
      <c r="ES211" t="s">
        <v>322</v>
      </c>
      <c r="ET211" t="s">
        <v>322</v>
      </c>
      <c r="EU211">
        <v>0</v>
      </c>
      <c r="EV211">
        <v>100</v>
      </c>
      <c r="EW211">
        <v>100</v>
      </c>
      <c r="EX211">
        <v>7.1749999999999998</v>
      </c>
      <c r="EY211">
        <v>-1.736</v>
      </c>
      <c r="EZ211">
        <v>7.1531162000000004</v>
      </c>
      <c r="FA211">
        <v>0</v>
      </c>
      <c r="FB211">
        <v>0</v>
      </c>
      <c r="FC211">
        <v>0</v>
      </c>
      <c r="FD211">
        <v>-1.7189920000000001</v>
      </c>
      <c r="FE211">
        <v>0</v>
      </c>
      <c r="FF211">
        <v>0</v>
      </c>
      <c r="FG211">
        <v>0</v>
      </c>
      <c r="FH211">
        <v>-1</v>
      </c>
      <c r="FI211">
        <v>-1</v>
      </c>
      <c r="FJ211">
        <v>-1</v>
      </c>
      <c r="FK211">
        <v>-1</v>
      </c>
      <c r="FL211">
        <v>0.7</v>
      </c>
      <c r="FM211">
        <v>0.6</v>
      </c>
      <c r="FN211">
        <v>0.14038100000000001</v>
      </c>
      <c r="FO211">
        <v>4.99756</v>
      </c>
      <c r="FP211">
        <v>1.5979000000000001</v>
      </c>
      <c r="FQ211">
        <v>2.1130399999999998</v>
      </c>
      <c r="FR211">
        <v>1.5478499999999999</v>
      </c>
      <c r="FS211">
        <v>2.4291999999999998</v>
      </c>
      <c r="FT211">
        <v>44.306399999999996</v>
      </c>
      <c r="FU211">
        <v>14.639900000000001</v>
      </c>
      <c r="FV211">
        <v>2</v>
      </c>
      <c r="FW211">
        <v>508.44</v>
      </c>
      <c r="FX211">
        <v>357.37299999999999</v>
      </c>
      <c r="FY211">
        <v>33.971899999999998</v>
      </c>
      <c r="FZ211">
        <v>36.213000000000001</v>
      </c>
      <c r="GA211">
        <v>29.998799999999999</v>
      </c>
      <c r="GB211">
        <v>36.648299999999999</v>
      </c>
      <c r="GC211">
        <v>36.721499999999999</v>
      </c>
      <c r="GD211">
        <v>-1</v>
      </c>
      <c r="GE211">
        <v>0</v>
      </c>
      <c r="GF211">
        <v>100</v>
      </c>
      <c r="GG211">
        <v>33.987099999999998</v>
      </c>
      <c r="GH211">
        <v>432.1</v>
      </c>
      <c r="GI211">
        <v>44.267099999999999</v>
      </c>
      <c r="GJ211">
        <v>101.148</v>
      </c>
      <c r="GK211">
        <v>95.607600000000005</v>
      </c>
    </row>
    <row r="212" spans="1:193" x14ac:dyDescent="0.35">
      <c r="A212">
        <v>196</v>
      </c>
      <c r="B212">
        <v>1775543727.5999999</v>
      </c>
      <c r="C212">
        <v>11701.5</v>
      </c>
      <c r="D212" t="s">
        <v>905</v>
      </c>
      <c r="E212" t="s">
        <v>906</v>
      </c>
      <c r="F212">
        <v>60</v>
      </c>
      <c r="G212">
        <v>1775543719.849999</v>
      </c>
      <c r="H212">
        <f t="shared" si="90"/>
        <v>2.9909778189687523E-3</v>
      </c>
      <c r="I212">
        <f t="shared" si="91"/>
        <v>2.9909778189687524</v>
      </c>
      <c r="J212">
        <f t="shared" si="92"/>
        <v>0.79667289398628638</v>
      </c>
      <c r="K212">
        <f t="shared" si="93"/>
        <v>0.29936566666666492</v>
      </c>
      <c r="L212">
        <f t="shared" si="94"/>
        <v>-19.169846534427894</v>
      </c>
      <c r="M212">
        <f t="shared" si="95"/>
        <v>-1.9183447029987151</v>
      </c>
      <c r="N212">
        <f t="shared" si="96"/>
        <v>2.9957805863405924E-2</v>
      </c>
      <c r="O212">
        <f t="shared" si="97"/>
        <v>6.395557615370899E-2</v>
      </c>
      <c r="P212">
        <f t="shared" si="98"/>
        <v>2.3891342437116245</v>
      </c>
      <c r="Q212">
        <f t="shared" si="99"/>
        <v>6.3019461340752356E-2</v>
      </c>
      <c r="R212">
        <f t="shared" si="100"/>
        <v>3.9470128076816074E-2</v>
      </c>
      <c r="S212">
        <f t="shared" si="101"/>
        <v>0.11942239035999999</v>
      </c>
      <c r="T212">
        <f t="shared" si="102"/>
        <v>32.281152687941209</v>
      </c>
      <c r="U212">
        <f t="shared" si="103"/>
        <v>33.227266666666658</v>
      </c>
      <c r="V212">
        <f t="shared" si="104"/>
        <v>5.1169803415626323</v>
      </c>
      <c r="W212">
        <f t="shared" si="105"/>
        <v>9.794142431484028</v>
      </c>
      <c r="X212">
        <f t="shared" si="106"/>
        <v>0.50080882528536463</v>
      </c>
      <c r="Y212">
        <f t="shared" si="107"/>
        <v>5.1133504417444042</v>
      </c>
      <c r="Z212">
        <f t="shared" si="108"/>
        <v>4.6161715162772676</v>
      </c>
      <c r="AA212">
        <f t="shared" si="109"/>
        <v>-131.90212181652197</v>
      </c>
      <c r="AB212">
        <f t="shared" si="110"/>
        <v>-1.6293580176366578</v>
      </c>
      <c r="AC212">
        <f t="shared" si="111"/>
        <v>-0.15652792924475714</v>
      </c>
      <c r="AD212">
        <f t="shared" si="112"/>
        <v>-133.56858537304339</v>
      </c>
      <c r="AE212">
        <v>4</v>
      </c>
      <c r="AF212">
        <v>1</v>
      </c>
      <c r="AG212">
        <f t="shared" si="113"/>
        <v>1</v>
      </c>
      <c r="AH212">
        <f t="shared" si="114"/>
        <v>0</v>
      </c>
      <c r="AI212">
        <f t="shared" si="115"/>
        <v>25020.298725202727</v>
      </c>
      <c r="AJ212">
        <f t="shared" si="116"/>
        <v>0.62492093333333332</v>
      </c>
      <c r="AK212">
        <f t="shared" si="117"/>
        <v>0.49993674666666665</v>
      </c>
      <c r="AL212">
        <f t="shared" si="118"/>
        <v>0.8</v>
      </c>
      <c r="AM212">
        <f t="shared" si="119"/>
        <v>0.19109999999999999</v>
      </c>
      <c r="AN212">
        <v>3</v>
      </c>
      <c r="AO212">
        <v>0.5</v>
      </c>
      <c r="AP212" t="s">
        <v>317</v>
      </c>
      <c r="AQ212">
        <v>2</v>
      </c>
      <c r="AR212">
        <v>1775543719.849999</v>
      </c>
      <c r="AS212">
        <v>0.29936566666666492</v>
      </c>
      <c r="AT212">
        <v>0.77789343333333316</v>
      </c>
      <c r="AU212">
        <v>5.0045376666666677</v>
      </c>
      <c r="AV212">
        <v>3.2189813333333328</v>
      </c>
      <c r="AW212">
        <v>-6.8936343333333348</v>
      </c>
      <c r="AX212">
        <v>6.7295376666666673</v>
      </c>
      <c r="AY212">
        <v>500.01380000000012</v>
      </c>
      <c r="AZ212">
        <v>100.02743333333331</v>
      </c>
      <c r="BA212">
        <v>4.3514003333333343E-2</v>
      </c>
      <c r="BB212">
        <v>33.214616666666679</v>
      </c>
      <c r="BC212">
        <v>33.227266666666658</v>
      </c>
      <c r="BD212">
        <v>999.9000000000002</v>
      </c>
      <c r="BE212">
        <v>0</v>
      </c>
      <c r="BF212">
        <v>0</v>
      </c>
      <c r="BG212">
        <v>5001.4666666666662</v>
      </c>
      <c r="BH212">
        <v>0.62492093333333332</v>
      </c>
      <c r="BI212">
        <v>357.75276666666667</v>
      </c>
      <c r="BJ212">
        <v>-0.49612139999999988</v>
      </c>
      <c r="BK212">
        <v>0.28318636666666669</v>
      </c>
      <c r="BL212">
        <v>0.78040723333333339</v>
      </c>
      <c r="BM212">
        <v>1.7747059999999999</v>
      </c>
      <c r="BN212">
        <v>0.77789343333333316</v>
      </c>
      <c r="BO212">
        <v>3.2189813333333328</v>
      </c>
      <c r="BP212">
        <v>0.49950549999999999</v>
      </c>
      <c r="BQ212">
        <v>0.32198633333333337</v>
      </c>
      <c r="BR212">
        <v>-2.8006390000000012</v>
      </c>
      <c r="BS212">
        <v>-8.5638680000000011</v>
      </c>
      <c r="BT212">
        <v>1775543768.0999999</v>
      </c>
      <c r="BU212" t="s">
        <v>907</v>
      </c>
      <c r="BV212">
        <v>1775543745.5999999</v>
      </c>
      <c r="BW212">
        <v>1775543768.0999999</v>
      </c>
      <c r="BX212">
        <v>197</v>
      </c>
      <c r="BY212">
        <v>1.7999999999999999E-2</v>
      </c>
      <c r="BZ212">
        <v>1.0999999999999999E-2</v>
      </c>
      <c r="CA212">
        <v>7.1929999999999996</v>
      </c>
      <c r="CB212">
        <v>-1.7250000000000001</v>
      </c>
      <c r="CC212">
        <v>1</v>
      </c>
      <c r="CD212">
        <v>3</v>
      </c>
      <c r="CE212">
        <v>0.3</v>
      </c>
      <c r="CF212">
        <v>0.17</v>
      </c>
      <c r="CG212">
        <v>0.73064991666666679</v>
      </c>
      <c r="CH212">
        <v>0.35195698249513763</v>
      </c>
      <c r="CI212">
        <v>0.1063434995934231</v>
      </c>
      <c r="CJ212">
        <v>-1</v>
      </c>
      <c r="CK212">
        <v>500.34186666666682</v>
      </c>
      <c r="CL212">
        <v>-3.6533948318976419</v>
      </c>
      <c r="CM212">
        <v>1.0976431033000771</v>
      </c>
      <c r="CN212">
        <v>-1</v>
      </c>
      <c r="CO212">
        <v>0</v>
      </c>
      <c r="CP212">
        <v>0</v>
      </c>
      <c r="CQ212" t="s">
        <v>319</v>
      </c>
      <c r="CR212">
        <v>3.1687500000000002</v>
      </c>
      <c r="CS212">
        <v>2.6645699999999999</v>
      </c>
      <c r="CT212">
        <v>-1.9777900000000001E-3</v>
      </c>
      <c r="CU212">
        <v>2.9221899999999997E-4</v>
      </c>
      <c r="CV212">
        <v>4.2638599999999999E-2</v>
      </c>
      <c r="CW212">
        <v>2.27353E-2</v>
      </c>
      <c r="CX212">
        <v>21363.8</v>
      </c>
      <c r="CY212">
        <v>21756.7</v>
      </c>
      <c r="CZ212">
        <v>22855.4</v>
      </c>
      <c r="DA212">
        <v>22129.599999999999</v>
      </c>
      <c r="DB212">
        <v>28233.7</v>
      </c>
      <c r="DC212">
        <v>25756.1</v>
      </c>
      <c r="DD212">
        <v>40206.699999999997</v>
      </c>
      <c r="DE212">
        <v>36631.1</v>
      </c>
      <c r="DF212">
        <v>2.0257000000000001</v>
      </c>
      <c r="DG212">
        <v>1.6493199999999999</v>
      </c>
      <c r="DH212">
        <v>4.0745700000000003E-2</v>
      </c>
      <c r="DI212">
        <v>0</v>
      </c>
      <c r="DJ212">
        <v>32.5685</v>
      </c>
      <c r="DK212">
        <v>999.9</v>
      </c>
      <c r="DL212">
        <v>56.9</v>
      </c>
      <c r="DM212">
        <v>41.9</v>
      </c>
      <c r="DN212">
        <v>46.644799999999996</v>
      </c>
      <c r="DO212">
        <v>30.4694</v>
      </c>
      <c r="DP212">
        <v>10.9215</v>
      </c>
      <c r="DQ212">
        <v>1</v>
      </c>
      <c r="DR212">
        <v>0.71427200000000002</v>
      </c>
      <c r="DS212">
        <v>-0.46462500000000001</v>
      </c>
      <c r="DT212">
        <v>20.365500000000001</v>
      </c>
      <c r="DU212">
        <v>5.2083000000000004</v>
      </c>
      <c r="DV212">
        <v>11.854200000000001</v>
      </c>
      <c r="DW212">
        <v>4.9673600000000002</v>
      </c>
      <c r="DX212">
        <v>3.29244</v>
      </c>
      <c r="DY212">
        <v>894.7</v>
      </c>
      <c r="DZ212">
        <v>6</v>
      </c>
      <c r="EA212">
        <v>9999</v>
      </c>
      <c r="EB212">
        <v>119</v>
      </c>
      <c r="EC212">
        <v>4.9715800000000003</v>
      </c>
      <c r="ED212">
        <v>1.8720600000000001</v>
      </c>
      <c r="EE212">
        <v>1.8693500000000001</v>
      </c>
      <c r="EF212">
        <v>1.87165</v>
      </c>
      <c r="EG212">
        <v>1.8694900000000001</v>
      </c>
      <c r="EH212">
        <v>1.86829</v>
      </c>
      <c r="EI212">
        <v>1.87012</v>
      </c>
      <c r="EJ212">
        <v>1.87191</v>
      </c>
      <c r="EK212">
        <v>0</v>
      </c>
      <c r="EL212">
        <v>0</v>
      </c>
      <c r="EM212">
        <v>0</v>
      </c>
      <c r="EN212">
        <v>0</v>
      </c>
      <c r="EO212" t="s">
        <v>320</v>
      </c>
      <c r="EP212" t="s">
        <v>321</v>
      </c>
      <c r="EQ212" t="s">
        <v>322</v>
      </c>
      <c r="ER212" t="s">
        <v>322</v>
      </c>
      <c r="ES212" t="s">
        <v>322</v>
      </c>
      <c r="ET212" t="s">
        <v>322</v>
      </c>
      <c r="EU212">
        <v>0</v>
      </c>
      <c r="EV212">
        <v>100</v>
      </c>
      <c r="EW212">
        <v>100</v>
      </c>
      <c r="EX212">
        <v>7.1929999999999996</v>
      </c>
      <c r="EY212">
        <v>-1.7250000000000001</v>
      </c>
      <c r="EZ212">
        <v>7.1754058000000001</v>
      </c>
      <c r="FA212">
        <v>0</v>
      </c>
      <c r="FB212">
        <v>0</v>
      </c>
      <c r="FC212">
        <v>0</v>
      </c>
      <c r="FD212">
        <v>-1.735849523809524</v>
      </c>
      <c r="FE212">
        <v>0</v>
      </c>
      <c r="FF212">
        <v>0</v>
      </c>
      <c r="FG212">
        <v>0</v>
      </c>
      <c r="FH212">
        <v>-1</v>
      </c>
      <c r="FI212">
        <v>-1</v>
      </c>
      <c r="FJ212">
        <v>-1</v>
      </c>
      <c r="FK212">
        <v>-1</v>
      </c>
      <c r="FL212">
        <v>0.7</v>
      </c>
      <c r="FM212">
        <v>0.6</v>
      </c>
      <c r="FN212">
        <v>0.14038100000000001</v>
      </c>
      <c r="FO212">
        <v>4.99756</v>
      </c>
      <c r="FP212">
        <v>1.5979000000000001</v>
      </c>
      <c r="FQ212">
        <v>2.1142599999999998</v>
      </c>
      <c r="FR212">
        <v>1.5478499999999999</v>
      </c>
      <c r="FS212">
        <v>2.4169900000000002</v>
      </c>
      <c r="FT212">
        <v>44.14</v>
      </c>
      <c r="FU212">
        <v>14.639900000000001</v>
      </c>
      <c r="FV212">
        <v>2</v>
      </c>
      <c r="FW212">
        <v>508.089</v>
      </c>
      <c r="FX212">
        <v>358.62</v>
      </c>
      <c r="FY212">
        <v>33.957599999999999</v>
      </c>
      <c r="FZ212">
        <v>36.043399999999998</v>
      </c>
      <c r="GA212">
        <v>29.999099999999999</v>
      </c>
      <c r="GB212">
        <v>36.482799999999997</v>
      </c>
      <c r="GC212">
        <v>36.559600000000003</v>
      </c>
      <c r="GD212">
        <v>-1</v>
      </c>
      <c r="GE212">
        <v>0</v>
      </c>
      <c r="GF212">
        <v>100</v>
      </c>
      <c r="GG212">
        <v>33.9377</v>
      </c>
      <c r="GH212">
        <v>432.1</v>
      </c>
      <c r="GI212">
        <v>44.267099999999999</v>
      </c>
      <c r="GJ212">
        <v>101.17100000000001</v>
      </c>
      <c r="GK212">
        <v>95.6267</v>
      </c>
    </row>
    <row r="213" spans="1:193" x14ac:dyDescent="0.35">
      <c r="A213">
        <v>197</v>
      </c>
      <c r="B213">
        <v>1775543787.5999999</v>
      </c>
      <c r="C213">
        <v>11761.5</v>
      </c>
      <c r="D213" t="s">
        <v>908</v>
      </c>
      <c r="E213" t="s">
        <v>909</v>
      </c>
      <c r="F213">
        <v>60</v>
      </c>
      <c r="G213">
        <v>1775543779.849999</v>
      </c>
      <c r="H213">
        <f t="shared" si="90"/>
        <v>3.084042889208992E-3</v>
      </c>
      <c r="I213">
        <f t="shared" si="91"/>
        <v>3.0840428892089919</v>
      </c>
      <c r="J213">
        <f t="shared" si="92"/>
        <v>0.73575345435424389</v>
      </c>
      <c r="K213">
        <f t="shared" si="93"/>
        <v>1.314217666666667</v>
      </c>
      <c r="L213">
        <f t="shared" si="94"/>
        <v>-16.211248931033271</v>
      </c>
      <c r="M213">
        <f t="shared" si="95"/>
        <v>-1.6223108677091118</v>
      </c>
      <c r="N213">
        <f t="shared" si="96"/>
        <v>0.13151791155875805</v>
      </c>
      <c r="O213">
        <f t="shared" si="97"/>
        <v>6.59273207800289E-2</v>
      </c>
      <c r="P213">
        <f t="shared" si="98"/>
        <v>2.3889285706386318</v>
      </c>
      <c r="Q213">
        <f t="shared" si="99"/>
        <v>6.4932995111151762E-2</v>
      </c>
      <c r="R213">
        <f t="shared" si="100"/>
        <v>4.0671208878238552E-2</v>
      </c>
      <c r="S213">
        <f t="shared" si="101"/>
        <v>0.11784039448999999</v>
      </c>
      <c r="T213">
        <f t="shared" si="102"/>
        <v>32.213562836362613</v>
      </c>
      <c r="U213">
        <f t="shared" si="103"/>
        <v>33.186796666666673</v>
      </c>
      <c r="V213">
        <f t="shared" si="104"/>
        <v>5.1053754113788283</v>
      </c>
      <c r="W213">
        <f t="shared" si="105"/>
        <v>9.5070969315653411</v>
      </c>
      <c r="X213">
        <f t="shared" si="106"/>
        <v>0.48508491661769559</v>
      </c>
      <c r="Y213">
        <f t="shared" si="107"/>
        <v>5.1023453332754283</v>
      </c>
      <c r="Z213">
        <f t="shared" si="108"/>
        <v>4.6202904947611323</v>
      </c>
      <c r="AA213">
        <f t="shared" si="109"/>
        <v>-136.00629141411653</v>
      </c>
      <c r="AB213">
        <f t="shared" si="110"/>
        <v>-1.3626184829214321</v>
      </c>
      <c r="AC213">
        <f t="shared" si="111"/>
        <v>-0.13086369734455655</v>
      </c>
      <c r="AD213">
        <f t="shared" si="112"/>
        <v>-137.3819331998925</v>
      </c>
      <c r="AE213">
        <v>5</v>
      </c>
      <c r="AF213">
        <v>1</v>
      </c>
      <c r="AG213">
        <f t="shared" si="113"/>
        <v>1</v>
      </c>
      <c r="AH213">
        <f t="shared" si="114"/>
        <v>0</v>
      </c>
      <c r="AI213">
        <f t="shared" si="115"/>
        <v>25020.290543721676</v>
      </c>
      <c r="AJ213">
        <f t="shared" si="116"/>
        <v>0.61664256666666661</v>
      </c>
      <c r="AK213">
        <f t="shared" si="117"/>
        <v>0.49331405333333334</v>
      </c>
      <c r="AL213">
        <f t="shared" si="118"/>
        <v>0.8</v>
      </c>
      <c r="AM213">
        <f t="shared" si="119"/>
        <v>0.19109999999999999</v>
      </c>
      <c r="AN213">
        <v>3</v>
      </c>
      <c r="AO213">
        <v>0.5</v>
      </c>
      <c r="AP213" t="s">
        <v>317</v>
      </c>
      <c r="AQ213">
        <v>2</v>
      </c>
      <c r="AR213">
        <v>1775543779.849999</v>
      </c>
      <c r="AS213">
        <v>1.314217666666667</v>
      </c>
      <c r="AT213">
        <v>1.7572166666666671</v>
      </c>
      <c r="AU213">
        <v>4.8473030000000001</v>
      </c>
      <c r="AV213">
        <v>3.0095179999999999</v>
      </c>
      <c r="AW213">
        <v>-5.8917823333333326</v>
      </c>
      <c r="AX213">
        <v>6.5583030000000004</v>
      </c>
      <c r="AY213">
        <v>500.99880000000002</v>
      </c>
      <c r="AZ213">
        <v>100.0295</v>
      </c>
      <c r="BA213">
        <v>4.3657509999999997E-2</v>
      </c>
      <c r="BB213">
        <v>33.176216666666669</v>
      </c>
      <c r="BC213">
        <v>33.186796666666673</v>
      </c>
      <c r="BD213">
        <v>999.9000000000002</v>
      </c>
      <c r="BE213">
        <v>0</v>
      </c>
      <c r="BF213">
        <v>0</v>
      </c>
      <c r="BG213">
        <v>5000.833333333333</v>
      </c>
      <c r="BH213">
        <v>0.61664256666666661</v>
      </c>
      <c r="BI213">
        <v>349.69733333333329</v>
      </c>
      <c r="BJ213">
        <v>-0.45577729999999989</v>
      </c>
      <c r="BK213">
        <v>1.307752666666667</v>
      </c>
      <c r="BL213">
        <v>1.762520333333333</v>
      </c>
      <c r="BM213">
        <v>1.8234779999999999</v>
      </c>
      <c r="BN213">
        <v>1.7572166666666671</v>
      </c>
      <c r="BO213">
        <v>3.0095179999999999</v>
      </c>
      <c r="BP213">
        <v>0.48344196666666672</v>
      </c>
      <c r="BQ213">
        <v>0.30104059999999999</v>
      </c>
      <c r="BR213">
        <v>-3.2476136666666671</v>
      </c>
      <c r="BS213">
        <v>-9.422037333333332</v>
      </c>
      <c r="BT213">
        <v>1775543817.0999999</v>
      </c>
      <c r="BU213" t="s">
        <v>910</v>
      </c>
      <c r="BV213">
        <v>1775543803.5999999</v>
      </c>
      <c r="BW213">
        <v>1775543817.0999999</v>
      </c>
      <c r="BX213">
        <v>198</v>
      </c>
      <c r="BY213">
        <v>1.2999999999999999E-2</v>
      </c>
      <c r="BZ213">
        <v>1.4E-2</v>
      </c>
      <c r="CA213">
        <v>7.2060000000000004</v>
      </c>
      <c r="CB213">
        <v>-1.7110000000000001</v>
      </c>
      <c r="CC213">
        <v>2</v>
      </c>
      <c r="CD213">
        <v>3</v>
      </c>
      <c r="CE213">
        <v>0.13</v>
      </c>
      <c r="CF213">
        <v>0.04</v>
      </c>
      <c r="CG213">
        <v>1.718550833333333</v>
      </c>
      <c r="CH213">
        <v>0.25673561544873541</v>
      </c>
      <c r="CI213">
        <v>6.3848924639643603E-2</v>
      </c>
      <c r="CJ213">
        <v>-1</v>
      </c>
      <c r="CK213">
        <v>500.89954999999998</v>
      </c>
      <c r="CL213">
        <v>0.772071130870156</v>
      </c>
      <c r="CM213">
        <v>1.741088638610913</v>
      </c>
      <c r="CN213">
        <v>-1</v>
      </c>
      <c r="CO213">
        <v>0</v>
      </c>
      <c r="CP213">
        <v>0</v>
      </c>
      <c r="CQ213" t="s">
        <v>319</v>
      </c>
      <c r="CR213">
        <v>3.1686899999999998</v>
      </c>
      <c r="CS213">
        <v>2.6650299999999998</v>
      </c>
      <c r="CT213">
        <v>-1.7276100000000001E-3</v>
      </c>
      <c r="CU213">
        <v>5.1661999999999997E-4</v>
      </c>
      <c r="CV213">
        <v>4.2169100000000001E-2</v>
      </c>
      <c r="CW213">
        <v>2.12643E-2</v>
      </c>
      <c r="CX213">
        <v>21364</v>
      </c>
      <c r="CY213">
        <v>21755.9</v>
      </c>
      <c r="CZ213">
        <v>22860.7</v>
      </c>
      <c r="DA213">
        <v>22133.4</v>
      </c>
      <c r="DB213">
        <v>28253.7</v>
      </c>
      <c r="DC213">
        <v>25800</v>
      </c>
      <c r="DD213">
        <v>40215</v>
      </c>
      <c r="DE213">
        <v>36638</v>
      </c>
      <c r="DF213">
        <v>2.0259800000000001</v>
      </c>
      <c r="DG213">
        <v>1.6491</v>
      </c>
      <c r="DH213">
        <v>3.9505999999999999E-2</v>
      </c>
      <c r="DI213">
        <v>0</v>
      </c>
      <c r="DJ213">
        <v>32.555100000000003</v>
      </c>
      <c r="DK213">
        <v>999.9</v>
      </c>
      <c r="DL213">
        <v>57.1</v>
      </c>
      <c r="DM213">
        <v>41.8</v>
      </c>
      <c r="DN213">
        <v>46.564300000000003</v>
      </c>
      <c r="DO213">
        <v>30.019400000000001</v>
      </c>
      <c r="DP213">
        <v>11.1258</v>
      </c>
      <c r="DQ213">
        <v>1</v>
      </c>
      <c r="DR213">
        <v>0.70323400000000003</v>
      </c>
      <c r="DS213">
        <v>-0.73291899999999999</v>
      </c>
      <c r="DT213">
        <v>20.365400000000001</v>
      </c>
      <c r="DU213">
        <v>5.2103400000000004</v>
      </c>
      <c r="DV213">
        <v>11.854200000000001</v>
      </c>
      <c r="DW213">
        <v>4.9678000000000004</v>
      </c>
      <c r="DX213">
        <v>3.2930000000000001</v>
      </c>
      <c r="DY213">
        <v>894.7</v>
      </c>
      <c r="DZ213">
        <v>6</v>
      </c>
      <c r="EA213">
        <v>9999</v>
      </c>
      <c r="EB213">
        <v>119</v>
      </c>
      <c r="EC213">
        <v>4.97159</v>
      </c>
      <c r="ED213">
        <v>1.87208</v>
      </c>
      <c r="EE213">
        <v>1.8693500000000001</v>
      </c>
      <c r="EF213">
        <v>1.87164</v>
      </c>
      <c r="EG213">
        <v>1.86947</v>
      </c>
      <c r="EH213">
        <v>1.86829</v>
      </c>
      <c r="EI213">
        <v>1.87012</v>
      </c>
      <c r="EJ213">
        <v>1.8718999999999999</v>
      </c>
      <c r="EK213">
        <v>0</v>
      </c>
      <c r="EL213">
        <v>0</v>
      </c>
      <c r="EM213">
        <v>0</v>
      </c>
      <c r="EN213">
        <v>0</v>
      </c>
      <c r="EO213" t="s">
        <v>320</v>
      </c>
      <c r="EP213" t="s">
        <v>321</v>
      </c>
      <c r="EQ213" t="s">
        <v>322</v>
      </c>
      <c r="ER213" t="s">
        <v>322</v>
      </c>
      <c r="ES213" t="s">
        <v>322</v>
      </c>
      <c r="ET213" t="s">
        <v>322</v>
      </c>
      <c r="EU213">
        <v>0</v>
      </c>
      <c r="EV213">
        <v>100</v>
      </c>
      <c r="EW213">
        <v>100</v>
      </c>
      <c r="EX213">
        <v>7.2060000000000004</v>
      </c>
      <c r="EY213">
        <v>-1.7110000000000001</v>
      </c>
      <c r="EZ213">
        <v>7.1932212999999994</v>
      </c>
      <c r="FA213">
        <v>0</v>
      </c>
      <c r="FB213">
        <v>0</v>
      </c>
      <c r="FC213">
        <v>0</v>
      </c>
      <c r="FD213">
        <v>-1.725306666666667</v>
      </c>
      <c r="FE213">
        <v>0</v>
      </c>
      <c r="FF213">
        <v>0</v>
      </c>
      <c r="FG213">
        <v>0</v>
      </c>
      <c r="FH213">
        <v>-1</v>
      </c>
      <c r="FI213">
        <v>-1</v>
      </c>
      <c r="FJ213">
        <v>-1</v>
      </c>
      <c r="FK213">
        <v>-1</v>
      </c>
      <c r="FL213">
        <v>0.7</v>
      </c>
      <c r="FM213">
        <v>0.3</v>
      </c>
      <c r="FN213">
        <v>0.14038100000000001</v>
      </c>
      <c r="FO213">
        <v>4.99756</v>
      </c>
      <c r="FP213">
        <v>1.5979000000000001</v>
      </c>
      <c r="FQ213">
        <v>2.1142599999999998</v>
      </c>
      <c r="FR213">
        <v>1.5478499999999999</v>
      </c>
      <c r="FS213">
        <v>2.4682599999999999</v>
      </c>
      <c r="FT213">
        <v>44.029499999999999</v>
      </c>
      <c r="FU213">
        <v>14.6311</v>
      </c>
      <c r="FV213">
        <v>2</v>
      </c>
      <c r="FW213">
        <v>507.24700000000001</v>
      </c>
      <c r="FX213">
        <v>357.74700000000001</v>
      </c>
      <c r="FY213">
        <v>34.031500000000001</v>
      </c>
      <c r="FZ213">
        <v>35.900799999999997</v>
      </c>
      <c r="GA213">
        <v>29.999199999999998</v>
      </c>
      <c r="GB213">
        <v>36.339700000000001</v>
      </c>
      <c r="GC213">
        <v>36.411299999999997</v>
      </c>
      <c r="GD213">
        <v>-1</v>
      </c>
      <c r="GE213">
        <v>0</v>
      </c>
      <c r="GF213">
        <v>100</v>
      </c>
      <c r="GG213">
        <v>34.050699999999999</v>
      </c>
      <c r="GH213">
        <v>432.1</v>
      </c>
      <c r="GI213">
        <v>44.267099999999999</v>
      </c>
      <c r="GJ213">
        <v>101.19199999999999</v>
      </c>
      <c r="GK213">
        <v>95.644000000000005</v>
      </c>
    </row>
    <row r="214" spans="1:193" x14ac:dyDescent="0.35">
      <c r="A214">
        <v>198</v>
      </c>
      <c r="B214">
        <v>1775543847.5999999</v>
      </c>
      <c r="C214">
        <v>11821.5</v>
      </c>
      <c r="D214" t="s">
        <v>911</v>
      </c>
      <c r="E214" t="s">
        <v>912</v>
      </c>
      <c r="F214">
        <v>60</v>
      </c>
      <c r="G214">
        <v>1775543839.849999</v>
      </c>
      <c r="H214">
        <f t="shared" si="90"/>
        <v>3.4173487060919602E-3</v>
      </c>
      <c r="I214">
        <f t="shared" si="91"/>
        <v>3.4173487060919601</v>
      </c>
      <c r="J214">
        <f t="shared" si="92"/>
        <v>0.92232771765767718</v>
      </c>
      <c r="K214">
        <f t="shared" si="93"/>
        <v>1.491317</v>
      </c>
      <c r="L214">
        <f t="shared" si="94"/>
        <v>-18.30556048332139</v>
      </c>
      <c r="M214">
        <f t="shared" si="95"/>
        <v>-1.8318240540045909</v>
      </c>
      <c r="N214">
        <f t="shared" si="96"/>
        <v>0.14923500185831495</v>
      </c>
      <c r="O214">
        <f t="shared" si="97"/>
        <v>7.3274539539656347E-2</v>
      </c>
      <c r="P214">
        <f t="shared" si="98"/>
        <v>2.3873600212079134</v>
      </c>
      <c r="Q214">
        <f t="shared" si="99"/>
        <v>7.2047671717890602E-2</v>
      </c>
      <c r="R214">
        <f t="shared" si="100"/>
        <v>4.5138312938729837E-2</v>
      </c>
      <c r="S214">
        <f t="shared" si="101"/>
        <v>0.10733964059000001</v>
      </c>
      <c r="T214">
        <f t="shared" si="102"/>
        <v>32.131494779674583</v>
      </c>
      <c r="U214">
        <f t="shared" si="103"/>
        <v>33.207753333333343</v>
      </c>
      <c r="V214">
        <f t="shared" si="104"/>
        <v>5.1113819554275066</v>
      </c>
      <c r="W214">
        <f t="shared" si="105"/>
        <v>9.7467762464819785</v>
      </c>
      <c r="X214">
        <f t="shared" si="106"/>
        <v>0.49794951862820913</v>
      </c>
      <c r="Y214">
        <f t="shared" si="107"/>
        <v>5.108863751827073</v>
      </c>
      <c r="Z214">
        <f t="shared" si="108"/>
        <v>4.6134324367992976</v>
      </c>
      <c r="AA214">
        <f t="shared" si="109"/>
        <v>-150.70507793865545</v>
      </c>
      <c r="AB214">
        <f t="shared" si="110"/>
        <v>-1.1304795879208014</v>
      </c>
      <c r="AC214">
        <f t="shared" si="111"/>
        <v>-0.10866404787338338</v>
      </c>
      <c r="AD214">
        <f t="shared" si="112"/>
        <v>-151.83688193385964</v>
      </c>
      <c r="AE214">
        <v>4</v>
      </c>
      <c r="AF214">
        <v>1</v>
      </c>
      <c r="AG214">
        <f t="shared" si="113"/>
        <v>1</v>
      </c>
      <c r="AH214">
        <f t="shared" si="114"/>
        <v>0</v>
      </c>
      <c r="AI214">
        <f t="shared" si="115"/>
        <v>24995.192071280966</v>
      </c>
      <c r="AJ214">
        <f t="shared" si="116"/>
        <v>0.5616935666666667</v>
      </c>
      <c r="AK214">
        <f t="shared" si="117"/>
        <v>0.44935485333333336</v>
      </c>
      <c r="AL214">
        <f t="shared" si="118"/>
        <v>0.8</v>
      </c>
      <c r="AM214">
        <f t="shared" si="119"/>
        <v>0.19109999999999999</v>
      </c>
      <c r="AN214">
        <v>3</v>
      </c>
      <c r="AO214">
        <v>0.5</v>
      </c>
      <c r="AP214" t="s">
        <v>317</v>
      </c>
      <c r="AQ214">
        <v>2</v>
      </c>
      <c r="AR214">
        <v>1775543839.849999</v>
      </c>
      <c r="AS214">
        <v>1.491317</v>
      </c>
      <c r="AT214">
        <v>2.0477959999999999</v>
      </c>
      <c r="AU214">
        <v>4.976048333333333</v>
      </c>
      <c r="AV214">
        <v>2.9357519999999999</v>
      </c>
      <c r="AW214">
        <v>-5.7206830000000002</v>
      </c>
      <c r="AX214">
        <v>6.6850483333333326</v>
      </c>
      <c r="AY214">
        <v>499.9779333333334</v>
      </c>
      <c r="AZ214">
        <v>100.026</v>
      </c>
      <c r="BA214">
        <v>4.3268880000000003E-2</v>
      </c>
      <c r="BB214">
        <v>33.198970000000003</v>
      </c>
      <c r="BC214">
        <v>33.207753333333343</v>
      </c>
      <c r="BD214">
        <v>999.9000000000002</v>
      </c>
      <c r="BE214">
        <v>0</v>
      </c>
      <c r="BF214">
        <v>0</v>
      </c>
      <c r="BG214">
        <v>4996.9666666666662</v>
      </c>
      <c r="BH214">
        <v>0.5616935666666667</v>
      </c>
      <c r="BI214">
        <v>329.55919999999992</v>
      </c>
      <c r="BJ214">
        <v>-0.56267506666666667</v>
      </c>
      <c r="BK214">
        <v>1.492545</v>
      </c>
      <c r="BL214">
        <v>2.053825666666667</v>
      </c>
      <c r="BM214">
        <v>2.038164333333333</v>
      </c>
      <c r="BN214">
        <v>2.0477959999999999</v>
      </c>
      <c r="BO214">
        <v>2.9357519999999999</v>
      </c>
      <c r="BP214">
        <v>0.4975206333333333</v>
      </c>
      <c r="BQ214">
        <v>0.29365129999999989</v>
      </c>
      <c r="BR214">
        <v>-2.854188666666666</v>
      </c>
      <c r="BS214">
        <v>-9.7375273333333343</v>
      </c>
      <c r="BT214">
        <v>1775543871.5999999</v>
      </c>
      <c r="BU214" t="s">
        <v>913</v>
      </c>
      <c r="BV214">
        <v>1775543865.0999999</v>
      </c>
      <c r="BW214">
        <v>1775543871.5999999</v>
      </c>
      <c r="BX214">
        <v>199</v>
      </c>
      <c r="BY214">
        <v>6.0000000000000001E-3</v>
      </c>
      <c r="BZ214">
        <v>2E-3</v>
      </c>
      <c r="CA214">
        <v>7.2119999999999997</v>
      </c>
      <c r="CB214">
        <v>-1.7090000000000001</v>
      </c>
      <c r="CC214">
        <v>2</v>
      </c>
      <c r="CD214">
        <v>3</v>
      </c>
      <c r="CE214">
        <v>0.25</v>
      </c>
      <c r="CF214">
        <v>0.02</v>
      </c>
      <c r="CG214">
        <v>2.0184479999999998</v>
      </c>
      <c r="CH214">
        <v>0.20122823006390769</v>
      </c>
      <c r="CI214">
        <v>6.0550299993751729E-2</v>
      </c>
      <c r="CJ214">
        <v>-1</v>
      </c>
      <c r="CK214">
        <v>500.9114166666667</v>
      </c>
      <c r="CL214">
        <v>-7.1420005557094894</v>
      </c>
      <c r="CM214">
        <v>1.7887560509253959</v>
      </c>
      <c r="CN214">
        <v>-1</v>
      </c>
      <c r="CO214">
        <v>0</v>
      </c>
      <c r="CP214">
        <v>0</v>
      </c>
      <c r="CQ214" t="s">
        <v>319</v>
      </c>
      <c r="CR214">
        <v>3.16866</v>
      </c>
      <c r="CS214">
        <v>2.66242</v>
      </c>
      <c r="CT214">
        <v>-1.64394E-3</v>
      </c>
      <c r="CU214">
        <v>6.5373000000000004E-4</v>
      </c>
      <c r="CV214">
        <v>4.2450000000000002E-2</v>
      </c>
      <c r="CW214">
        <v>2.0729000000000001E-2</v>
      </c>
      <c r="CX214">
        <v>21366.400000000001</v>
      </c>
      <c r="CY214">
        <v>21756.400000000001</v>
      </c>
      <c r="CZ214">
        <v>22864.6</v>
      </c>
      <c r="DA214">
        <v>22136.5</v>
      </c>
      <c r="DB214">
        <v>28250</v>
      </c>
      <c r="DC214">
        <v>25818.5</v>
      </c>
      <c r="DD214">
        <v>40221.199999999997</v>
      </c>
      <c r="DE214">
        <v>36643.9</v>
      </c>
      <c r="DF214">
        <v>2.0289799999999998</v>
      </c>
      <c r="DG214">
        <v>1.65232</v>
      </c>
      <c r="DH214">
        <v>4.3541200000000002E-2</v>
      </c>
      <c r="DI214">
        <v>0</v>
      </c>
      <c r="DJ214">
        <v>32.5182</v>
      </c>
      <c r="DK214">
        <v>999.9</v>
      </c>
      <c r="DL214">
        <v>57.2</v>
      </c>
      <c r="DM214">
        <v>41.6</v>
      </c>
      <c r="DN214">
        <v>46.149500000000003</v>
      </c>
      <c r="DO214">
        <v>30.589400000000001</v>
      </c>
      <c r="DP214">
        <v>10.9816</v>
      </c>
      <c r="DQ214">
        <v>1</v>
      </c>
      <c r="DR214">
        <v>0.69278499999999998</v>
      </c>
      <c r="DS214">
        <v>-0.77237900000000004</v>
      </c>
      <c r="DT214">
        <v>20.365100000000002</v>
      </c>
      <c r="DU214">
        <v>5.2110599999999998</v>
      </c>
      <c r="DV214">
        <v>11.854200000000001</v>
      </c>
      <c r="DW214">
        <v>4.9677199999999999</v>
      </c>
      <c r="DX214">
        <v>3.2930000000000001</v>
      </c>
      <c r="DY214">
        <v>894.7</v>
      </c>
      <c r="DZ214">
        <v>6</v>
      </c>
      <c r="EA214">
        <v>9999</v>
      </c>
      <c r="EB214">
        <v>119</v>
      </c>
      <c r="EC214">
        <v>4.9715699999999998</v>
      </c>
      <c r="ED214">
        <v>1.87205</v>
      </c>
      <c r="EE214">
        <v>1.8693500000000001</v>
      </c>
      <c r="EF214">
        <v>1.87165</v>
      </c>
      <c r="EG214">
        <v>1.86948</v>
      </c>
      <c r="EH214">
        <v>1.86829</v>
      </c>
      <c r="EI214">
        <v>1.87012</v>
      </c>
      <c r="EJ214">
        <v>1.87192</v>
      </c>
      <c r="EK214">
        <v>0</v>
      </c>
      <c r="EL214">
        <v>0</v>
      </c>
      <c r="EM214">
        <v>0</v>
      </c>
      <c r="EN214">
        <v>0</v>
      </c>
      <c r="EO214" t="s">
        <v>320</v>
      </c>
      <c r="EP214" t="s">
        <v>321</v>
      </c>
      <c r="EQ214" t="s">
        <v>322</v>
      </c>
      <c r="ER214" t="s">
        <v>322</v>
      </c>
      <c r="ES214" t="s">
        <v>322</v>
      </c>
      <c r="ET214" t="s">
        <v>322</v>
      </c>
      <c r="EU214">
        <v>0</v>
      </c>
      <c r="EV214">
        <v>100</v>
      </c>
      <c r="EW214">
        <v>100</v>
      </c>
      <c r="EX214">
        <v>7.2119999999999997</v>
      </c>
      <c r="EY214">
        <v>-1.7090000000000001</v>
      </c>
      <c r="EZ214">
        <v>7.2058039999999988</v>
      </c>
      <c r="FA214">
        <v>0</v>
      </c>
      <c r="FB214">
        <v>0</v>
      </c>
      <c r="FC214">
        <v>0</v>
      </c>
      <c r="FD214">
        <v>-1.711130952380953</v>
      </c>
      <c r="FE214">
        <v>0</v>
      </c>
      <c r="FF214">
        <v>0</v>
      </c>
      <c r="FG214">
        <v>0</v>
      </c>
      <c r="FH214">
        <v>-1</v>
      </c>
      <c r="FI214">
        <v>-1</v>
      </c>
      <c r="FJ214">
        <v>-1</v>
      </c>
      <c r="FK214">
        <v>-1</v>
      </c>
      <c r="FL214">
        <v>0.7</v>
      </c>
      <c r="FM214">
        <v>0.5</v>
      </c>
      <c r="FN214">
        <v>0.14038100000000001</v>
      </c>
      <c r="FO214">
        <v>4.99756</v>
      </c>
      <c r="FP214">
        <v>1.5979000000000001</v>
      </c>
      <c r="FQ214">
        <v>2.1142599999999998</v>
      </c>
      <c r="FR214">
        <v>1.5478499999999999</v>
      </c>
      <c r="FS214">
        <v>2.4157700000000002</v>
      </c>
      <c r="FT214">
        <v>43.864100000000001</v>
      </c>
      <c r="FU214">
        <v>14.622400000000001</v>
      </c>
      <c r="FV214">
        <v>2</v>
      </c>
      <c r="FW214">
        <v>508.05099999999999</v>
      </c>
      <c r="FX214">
        <v>358.76</v>
      </c>
      <c r="FY214">
        <v>34.2072</v>
      </c>
      <c r="FZ214">
        <v>35.764400000000002</v>
      </c>
      <c r="GA214">
        <v>29.999300000000002</v>
      </c>
      <c r="GB214">
        <v>36.195099999999996</v>
      </c>
      <c r="GC214">
        <v>36.268500000000003</v>
      </c>
      <c r="GD214">
        <v>-1</v>
      </c>
      <c r="GE214">
        <v>0</v>
      </c>
      <c r="GF214">
        <v>100</v>
      </c>
      <c r="GG214">
        <v>34.075000000000003</v>
      </c>
      <c r="GH214">
        <v>432.1</v>
      </c>
      <c r="GI214">
        <v>44.267099999999999</v>
      </c>
      <c r="GJ214">
        <v>101.209</v>
      </c>
      <c r="GK214">
        <v>95.658799999999999</v>
      </c>
    </row>
    <row r="215" spans="1:193" x14ac:dyDescent="0.35">
      <c r="A215">
        <v>199</v>
      </c>
      <c r="B215">
        <v>1775543907.5999999</v>
      </c>
      <c r="C215">
        <v>11881.5</v>
      </c>
      <c r="D215" t="s">
        <v>914</v>
      </c>
      <c r="E215" t="s">
        <v>915</v>
      </c>
      <c r="F215">
        <v>60</v>
      </c>
      <c r="G215">
        <v>1775543899.599999</v>
      </c>
      <c r="H215">
        <f t="shared" si="90"/>
        <v>3.3706701240403271E-3</v>
      </c>
      <c r="I215">
        <f t="shared" si="91"/>
        <v>3.370670124040327</v>
      </c>
      <c r="J215">
        <f t="shared" si="92"/>
        <v>-1.700208083873967</v>
      </c>
      <c r="K215">
        <f t="shared" si="93"/>
        <v>3.5023416129032259</v>
      </c>
      <c r="L215">
        <f t="shared" si="94"/>
        <v>40.079216275549264</v>
      </c>
      <c r="M215">
        <f t="shared" si="95"/>
        <v>4.0107646971836726</v>
      </c>
      <c r="N215">
        <f t="shared" si="96"/>
        <v>0.35048260429880568</v>
      </c>
      <c r="O215">
        <f t="shared" si="97"/>
        <v>7.2181628015391089E-2</v>
      </c>
      <c r="P215">
        <f t="shared" si="98"/>
        <v>2.3891462818435638</v>
      </c>
      <c r="Q215">
        <f t="shared" si="99"/>
        <v>7.09916393641431E-2</v>
      </c>
      <c r="R215">
        <f t="shared" si="100"/>
        <v>4.4475056201792332E-2</v>
      </c>
      <c r="S215">
        <f t="shared" si="101"/>
        <v>0.10508354748387098</v>
      </c>
      <c r="T215">
        <f t="shared" si="102"/>
        <v>32.151374118506794</v>
      </c>
      <c r="U215">
        <f t="shared" si="103"/>
        <v>33.21490967741935</v>
      </c>
      <c r="V215">
        <f t="shared" si="104"/>
        <v>5.113434495419912</v>
      </c>
      <c r="W215">
        <f t="shared" si="105"/>
        <v>9.6911301742743774</v>
      </c>
      <c r="X215">
        <f t="shared" si="106"/>
        <v>0.49523392235820873</v>
      </c>
      <c r="Y215">
        <f t="shared" si="107"/>
        <v>5.110177176990498</v>
      </c>
      <c r="Z215">
        <f t="shared" si="108"/>
        <v>4.6182005730617028</v>
      </c>
      <c r="AA215">
        <f t="shared" si="109"/>
        <v>-148.64655247017842</v>
      </c>
      <c r="AB215">
        <f t="shared" si="110"/>
        <v>-1.4629602159819493</v>
      </c>
      <c r="AC215">
        <f t="shared" si="111"/>
        <v>-0.14052571947980871</v>
      </c>
      <c r="AD215">
        <f t="shared" si="112"/>
        <v>-150.1449548581563</v>
      </c>
      <c r="AE215">
        <v>5</v>
      </c>
      <c r="AF215">
        <v>1</v>
      </c>
      <c r="AG215">
        <f t="shared" si="113"/>
        <v>1</v>
      </c>
      <c r="AH215">
        <f t="shared" si="114"/>
        <v>0</v>
      </c>
      <c r="AI215">
        <f t="shared" si="115"/>
        <v>25021.346312916627</v>
      </c>
      <c r="AJ215">
        <f t="shared" si="116"/>
        <v>0.54988774193548395</v>
      </c>
      <c r="AK215">
        <f t="shared" si="117"/>
        <v>0.43991019354838717</v>
      </c>
      <c r="AL215">
        <f t="shared" si="118"/>
        <v>0.8</v>
      </c>
      <c r="AM215">
        <f t="shared" si="119"/>
        <v>0.19109999999999999</v>
      </c>
      <c r="AN215">
        <v>3</v>
      </c>
      <c r="AO215">
        <v>0.5</v>
      </c>
      <c r="AP215" t="s">
        <v>317</v>
      </c>
      <c r="AQ215">
        <v>2</v>
      </c>
      <c r="AR215">
        <v>1775543899.599999</v>
      </c>
      <c r="AS215">
        <v>3.5023416129032259</v>
      </c>
      <c r="AT215">
        <v>2.4893374193548392</v>
      </c>
      <c r="AU215">
        <v>4.9488287096774188</v>
      </c>
      <c r="AV215">
        <v>2.9365096774193549</v>
      </c>
      <c r="AW215">
        <v>-3.7236583870967741</v>
      </c>
      <c r="AX215">
        <v>6.6528287096774186</v>
      </c>
      <c r="AY215">
        <v>500.01851612903232</v>
      </c>
      <c r="AZ215">
        <v>100.0283548387097</v>
      </c>
      <c r="BA215">
        <v>4.2581419354838709E-2</v>
      </c>
      <c r="BB215">
        <v>33.203551612903233</v>
      </c>
      <c r="BC215">
        <v>33.21490967741935</v>
      </c>
      <c r="BD215">
        <v>999.90000000000032</v>
      </c>
      <c r="BE215">
        <v>0</v>
      </c>
      <c r="BF215">
        <v>0</v>
      </c>
      <c r="BG215">
        <v>5001.4516129032254</v>
      </c>
      <c r="BH215">
        <v>0.54988774193548395</v>
      </c>
      <c r="BI215">
        <v>300.62922580645159</v>
      </c>
      <c r="BJ215">
        <v>0.99916319354838712</v>
      </c>
      <c r="BK215">
        <v>3.5058261290322581</v>
      </c>
      <c r="BL215">
        <v>2.4966658064516132</v>
      </c>
      <c r="BM215">
        <v>2.007627741935484</v>
      </c>
      <c r="BN215">
        <v>2.4893374193548392</v>
      </c>
      <c r="BO215">
        <v>2.9365096774193549</v>
      </c>
      <c r="BP215">
        <v>0.49455399999999999</v>
      </c>
      <c r="BQ215">
        <v>0.29373425806451608</v>
      </c>
      <c r="BR215">
        <v>-2.9345706451612901</v>
      </c>
      <c r="BS215">
        <v>-9.734165483870969</v>
      </c>
      <c r="BT215">
        <v>1775543941.0999999</v>
      </c>
      <c r="BU215" t="s">
        <v>916</v>
      </c>
      <c r="BV215">
        <v>1775543929.5999999</v>
      </c>
      <c r="BW215">
        <v>1775543941.0999999</v>
      </c>
      <c r="BX215">
        <v>200</v>
      </c>
      <c r="BY215">
        <v>1.2999999999999999E-2</v>
      </c>
      <c r="BZ215">
        <v>4.0000000000000001E-3</v>
      </c>
      <c r="CA215">
        <v>7.226</v>
      </c>
      <c r="CB215">
        <v>-1.704</v>
      </c>
      <c r="CC215">
        <v>2</v>
      </c>
      <c r="CD215">
        <v>3</v>
      </c>
      <c r="CE215">
        <v>0.22</v>
      </c>
      <c r="CF215">
        <v>0.04</v>
      </c>
      <c r="CG215">
        <v>3.9311094999999998</v>
      </c>
      <c r="CH215">
        <v>-6.6114882911919848</v>
      </c>
      <c r="CI215">
        <v>2.527985349301181</v>
      </c>
      <c r="CJ215">
        <v>-1</v>
      </c>
      <c r="CK215">
        <v>500.25241666666659</v>
      </c>
      <c r="CL215">
        <v>-2.6821016949145249</v>
      </c>
      <c r="CM215">
        <v>0.86941768427046806</v>
      </c>
      <c r="CN215">
        <v>-1</v>
      </c>
      <c r="CO215">
        <v>0</v>
      </c>
      <c r="CP215">
        <v>0</v>
      </c>
      <c r="CQ215" t="s">
        <v>319</v>
      </c>
      <c r="CR215">
        <v>3.1686200000000002</v>
      </c>
      <c r="CS215">
        <v>2.6625899999999998</v>
      </c>
      <c r="CT215">
        <v>-1.42537E-3</v>
      </c>
      <c r="CU215">
        <v>6.51765E-4</v>
      </c>
      <c r="CV215">
        <v>4.2338800000000003E-2</v>
      </c>
      <c r="CW215">
        <v>2.1012599999999999E-2</v>
      </c>
      <c r="CX215">
        <v>21366.5</v>
      </c>
      <c r="CY215">
        <v>21760</v>
      </c>
      <c r="CZ215">
        <v>22869.200000000001</v>
      </c>
      <c r="DA215">
        <v>22139.8</v>
      </c>
      <c r="DB215">
        <v>28258.5</v>
      </c>
      <c r="DC215">
        <v>25815.3</v>
      </c>
      <c r="DD215">
        <v>40228.300000000003</v>
      </c>
      <c r="DE215">
        <v>36649.699999999997</v>
      </c>
      <c r="DF215">
        <v>2.0301</v>
      </c>
      <c r="DG215">
        <v>1.6561399999999999</v>
      </c>
      <c r="DH215">
        <v>4.2563700000000003E-2</v>
      </c>
      <c r="DI215">
        <v>0</v>
      </c>
      <c r="DJ215">
        <v>32.526299999999999</v>
      </c>
      <c r="DK215">
        <v>999.9</v>
      </c>
      <c r="DL215">
        <v>57.4</v>
      </c>
      <c r="DM215">
        <v>41.5</v>
      </c>
      <c r="DN215">
        <v>46.072800000000001</v>
      </c>
      <c r="DO215">
        <v>30.4694</v>
      </c>
      <c r="DP215">
        <v>11.1899</v>
      </c>
      <c r="DQ215">
        <v>1</v>
      </c>
      <c r="DR215">
        <v>0.68225000000000002</v>
      </c>
      <c r="DS215">
        <v>-0.68332199999999998</v>
      </c>
      <c r="DT215">
        <v>20.365500000000001</v>
      </c>
      <c r="DU215">
        <v>5.2075899999999997</v>
      </c>
      <c r="DV215">
        <v>11.854200000000001</v>
      </c>
      <c r="DW215">
        <v>4.9673999999999996</v>
      </c>
      <c r="DX215">
        <v>3.2924600000000002</v>
      </c>
      <c r="DY215">
        <v>894.7</v>
      </c>
      <c r="DZ215">
        <v>6</v>
      </c>
      <c r="EA215">
        <v>9999</v>
      </c>
      <c r="EB215">
        <v>119</v>
      </c>
      <c r="EC215">
        <v>4.9715999999999996</v>
      </c>
      <c r="ED215">
        <v>1.87202</v>
      </c>
      <c r="EE215">
        <v>1.86934</v>
      </c>
      <c r="EF215">
        <v>1.87164</v>
      </c>
      <c r="EG215">
        <v>1.8694599999999999</v>
      </c>
      <c r="EH215">
        <v>1.86829</v>
      </c>
      <c r="EI215">
        <v>1.87012</v>
      </c>
      <c r="EJ215">
        <v>1.8718999999999999</v>
      </c>
      <c r="EK215">
        <v>0</v>
      </c>
      <c r="EL215">
        <v>0</v>
      </c>
      <c r="EM215">
        <v>0</v>
      </c>
      <c r="EN215">
        <v>0</v>
      </c>
      <c r="EO215" t="s">
        <v>320</v>
      </c>
      <c r="EP215" t="s">
        <v>321</v>
      </c>
      <c r="EQ215" t="s">
        <v>322</v>
      </c>
      <c r="ER215" t="s">
        <v>322</v>
      </c>
      <c r="ES215" t="s">
        <v>322</v>
      </c>
      <c r="ET215" t="s">
        <v>322</v>
      </c>
      <c r="EU215">
        <v>0</v>
      </c>
      <c r="EV215">
        <v>100</v>
      </c>
      <c r="EW215">
        <v>100</v>
      </c>
      <c r="EX215">
        <v>7.226</v>
      </c>
      <c r="EY215">
        <v>-1.704</v>
      </c>
      <c r="EZ215">
        <v>7.2121595238095244</v>
      </c>
      <c r="FA215">
        <v>0</v>
      </c>
      <c r="FB215">
        <v>0</v>
      </c>
      <c r="FC215">
        <v>0</v>
      </c>
      <c r="FD215">
        <v>-1.708692000000001</v>
      </c>
      <c r="FE215">
        <v>0</v>
      </c>
      <c r="FF215">
        <v>0</v>
      </c>
      <c r="FG215">
        <v>0</v>
      </c>
      <c r="FH215">
        <v>-1</v>
      </c>
      <c r="FI215">
        <v>-1</v>
      </c>
      <c r="FJ215">
        <v>-1</v>
      </c>
      <c r="FK215">
        <v>-1</v>
      </c>
      <c r="FL215">
        <v>0.7</v>
      </c>
      <c r="FM215">
        <v>0.6</v>
      </c>
      <c r="FN215">
        <v>0.14038100000000001</v>
      </c>
      <c r="FO215">
        <v>4.99756</v>
      </c>
      <c r="FP215">
        <v>1.5979000000000001</v>
      </c>
      <c r="FQ215">
        <v>2.1142599999999998</v>
      </c>
      <c r="FR215">
        <v>1.5478499999999999</v>
      </c>
      <c r="FS215">
        <v>2.4194300000000002</v>
      </c>
      <c r="FT215">
        <v>43.726900000000001</v>
      </c>
      <c r="FU215">
        <v>14.6136</v>
      </c>
      <c r="FV215">
        <v>2</v>
      </c>
      <c r="FW215">
        <v>507.762</v>
      </c>
      <c r="FX215">
        <v>360.137</v>
      </c>
      <c r="FY215">
        <v>34.075000000000003</v>
      </c>
      <c r="FZ215">
        <v>35.634</v>
      </c>
      <c r="GA215">
        <v>29.999300000000002</v>
      </c>
      <c r="GB215">
        <v>36.058500000000002</v>
      </c>
      <c r="GC215">
        <v>36.133800000000001</v>
      </c>
      <c r="GD215">
        <v>-1</v>
      </c>
      <c r="GE215">
        <v>0</v>
      </c>
      <c r="GF215">
        <v>100</v>
      </c>
      <c r="GG215">
        <v>34.061199999999999</v>
      </c>
      <c r="GH215">
        <v>432.1</v>
      </c>
      <c r="GI215">
        <v>44.267099999999999</v>
      </c>
      <c r="GJ215">
        <v>101.227</v>
      </c>
      <c r="GK215">
        <v>95.673500000000004</v>
      </c>
    </row>
    <row r="216" spans="1:193" x14ac:dyDescent="0.35">
      <c r="A216">
        <v>200</v>
      </c>
      <c r="B216">
        <v>1775543967.5999999</v>
      </c>
      <c r="C216">
        <v>11941.5</v>
      </c>
      <c r="D216" t="s">
        <v>917</v>
      </c>
      <c r="E216" t="s">
        <v>918</v>
      </c>
      <c r="F216">
        <v>60</v>
      </c>
      <c r="G216">
        <v>1775543959.849999</v>
      </c>
      <c r="H216">
        <f t="shared" si="90"/>
        <v>3.5045412483217797E-3</v>
      </c>
      <c r="I216">
        <f t="shared" si="91"/>
        <v>3.5045412483217797</v>
      </c>
      <c r="J216">
        <f t="shared" si="92"/>
        <v>-0.47533852447196095</v>
      </c>
      <c r="K216">
        <f t="shared" si="93"/>
        <v>2.9365203333333332</v>
      </c>
      <c r="L216">
        <f t="shared" si="94"/>
        <v>12.616504475366394</v>
      </c>
      <c r="M216">
        <f t="shared" si="95"/>
        <v>1.2625291474995792</v>
      </c>
      <c r="N216">
        <f t="shared" si="96"/>
        <v>0.29385655276366446</v>
      </c>
      <c r="O216">
        <f t="shared" si="97"/>
        <v>7.5171267857032376E-2</v>
      </c>
      <c r="P216">
        <f t="shared" si="98"/>
        <v>2.3886420626921985</v>
      </c>
      <c r="Q216">
        <f t="shared" si="99"/>
        <v>7.3881345363101911E-2</v>
      </c>
      <c r="R216">
        <f t="shared" si="100"/>
        <v>4.6289891533719055E-2</v>
      </c>
      <c r="S216">
        <f t="shared" si="101"/>
        <v>9.799607363E-2</v>
      </c>
      <c r="T216">
        <f t="shared" si="102"/>
        <v>32.09672479427185</v>
      </c>
      <c r="U216">
        <f t="shared" si="103"/>
        <v>33.201746666666658</v>
      </c>
      <c r="V216">
        <f t="shared" si="104"/>
        <v>5.1096597123973764</v>
      </c>
      <c r="W216">
        <f t="shared" si="105"/>
        <v>9.7096545027010634</v>
      </c>
      <c r="X216">
        <f t="shared" si="106"/>
        <v>0.49583105710070685</v>
      </c>
      <c r="Y216">
        <f t="shared" si="107"/>
        <v>5.1065777568375363</v>
      </c>
      <c r="Z216">
        <f t="shared" si="108"/>
        <v>4.6138286552966692</v>
      </c>
      <c r="AA216">
        <f t="shared" si="109"/>
        <v>-154.55026905099049</v>
      </c>
      <c r="AB216">
        <f t="shared" si="110"/>
        <v>-1.384776316903582</v>
      </c>
      <c r="AC216">
        <f t="shared" si="111"/>
        <v>-0.13302702324647522</v>
      </c>
      <c r="AD216">
        <f t="shared" si="112"/>
        <v>-155.97007631751055</v>
      </c>
      <c r="AE216">
        <v>5</v>
      </c>
      <c r="AF216">
        <v>1</v>
      </c>
      <c r="AG216">
        <f t="shared" si="113"/>
        <v>1</v>
      </c>
      <c r="AH216">
        <f t="shared" si="114"/>
        <v>0</v>
      </c>
      <c r="AI216">
        <f t="shared" si="115"/>
        <v>25014.999085950396</v>
      </c>
      <c r="AJ216">
        <f t="shared" si="116"/>
        <v>0.51279996666666672</v>
      </c>
      <c r="AK216">
        <f t="shared" si="117"/>
        <v>0.4102399733333334</v>
      </c>
      <c r="AL216">
        <f t="shared" si="118"/>
        <v>0.8</v>
      </c>
      <c r="AM216">
        <f t="shared" si="119"/>
        <v>0.19109999999999999</v>
      </c>
      <c r="AN216">
        <v>3</v>
      </c>
      <c r="AO216">
        <v>0.5</v>
      </c>
      <c r="AP216" t="s">
        <v>317</v>
      </c>
      <c r="AQ216">
        <v>2</v>
      </c>
      <c r="AR216">
        <v>1775543959.849999</v>
      </c>
      <c r="AS216">
        <v>2.9365203333333332</v>
      </c>
      <c r="AT216">
        <v>2.6574546666666672</v>
      </c>
      <c r="AU216">
        <v>4.9548596666666684</v>
      </c>
      <c r="AV216">
        <v>2.8622743333333331</v>
      </c>
      <c r="AW216">
        <v>-4.2644796666666656</v>
      </c>
      <c r="AX216">
        <v>6.6238596666666671</v>
      </c>
      <c r="AY216">
        <v>499.93326666666673</v>
      </c>
      <c r="AZ216">
        <v>100.0247333333333</v>
      </c>
      <c r="BA216">
        <v>4.4913529999999993E-2</v>
      </c>
      <c r="BB216">
        <v>33.190993333333331</v>
      </c>
      <c r="BC216">
        <v>33.201746666666658</v>
      </c>
      <c r="BD216">
        <v>999.9000000000002</v>
      </c>
      <c r="BE216">
        <v>0</v>
      </c>
      <c r="BF216">
        <v>0</v>
      </c>
      <c r="BG216">
        <v>5000.333333333333</v>
      </c>
      <c r="BH216">
        <v>0.51279996666666672</v>
      </c>
      <c r="BI216">
        <v>266.00846666666672</v>
      </c>
      <c r="BJ216">
        <v>0.30363971666666673</v>
      </c>
      <c r="BK216">
        <v>2.9757483333333341</v>
      </c>
      <c r="BL216">
        <v>2.6650999999999998</v>
      </c>
      <c r="BM216">
        <v>2.057309333333333</v>
      </c>
      <c r="BN216">
        <v>2.6574546666666672</v>
      </c>
      <c r="BO216">
        <v>2.8622743333333331</v>
      </c>
      <c r="BP216">
        <v>0.49207996666666648</v>
      </c>
      <c r="BQ216">
        <v>0.28629816666666669</v>
      </c>
      <c r="BR216">
        <v>-3.00217</v>
      </c>
      <c r="BS216">
        <v>-10.064144000000001</v>
      </c>
      <c r="BT216">
        <v>1775544000.5999999</v>
      </c>
      <c r="BU216" t="s">
        <v>919</v>
      </c>
      <c r="BV216">
        <v>1775543983.5999999</v>
      </c>
      <c r="BW216">
        <v>1775544000.5999999</v>
      </c>
      <c r="BX216">
        <v>201</v>
      </c>
      <c r="BY216">
        <v>-2.4E-2</v>
      </c>
      <c r="BZ216">
        <v>3.5000000000000003E-2</v>
      </c>
      <c r="CA216">
        <v>7.2009999999999996</v>
      </c>
      <c r="CB216">
        <v>-1.669</v>
      </c>
      <c r="CC216">
        <v>3</v>
      </c>
      <c r="CD216">
        <v>2</v>
      </c>
      <c r="CE216">
        <v>0.22</v>
      </c>
      <c r="CF216">
        <v>0.04</v>
      </c>
      <c r="CG216">
        <v>3.1933931666666662</v>
      </c>
      <c r="CH216">
        <v>-1.555469641567097</v>
      </c>
      <c r="CI216">
        <v>1.165504540962828</v>
      </c>
      <c r="CJ216">
        <v>-1</v>
      </c>
      <c r="CK216">
        <v>500.86261666666672</v>
      </c>
      <c r="CL216">
        <v>-4.982373992775786</v>
      </c>
      <c r="CM216">
        <v>1.7731682575892851</v>
      </c>
      <c r="CN216">
        <v>-1</v>
      </c>
      <c r="CO216">
        <v>0</v>
      </c>
      <c r="CP216">
        <v>0</v>
      </c>
      <c r="CQ216" t="s">
        <v>319</v>
      </c>
      <c r="CR216">
        <v>3.1686399999999999</v>
      </c>
      <c r="CS216">
        <v>2.6654900000000001</v>
      </c>
      <c r="CT216">
        <v>-1.4370400000000001E-3</v>
      </c>
      <c r="CU216">
        <v>7.6946299999999996E-4</v>
      </c>
      <c r="CV216">
        <v>4.1785599999999999E-2</v>
      </c>
      <c r="CW216">
        <v>1.90881E-2</v>
      </c>
      <c r="CX216">
        <v>21370.5</v>
      </c>
      <c r="CY216">
        <v>21760.5</v>
      </c>
      <c r="CZ216">
        <v>22872.799999999999</v>
      </c>
      <c r="DA216">
        <v>22142.6</v>
      </c>
      <c r="DB216">
        <v>28278.799999999999</v>
      </c>
      <c r="DC216">
        <v>25870</v>
      </c>
      <c r="DD216">
        <v>40233.800000000003</v>
      </c>
      <c r="DE216">
        <v>36654.800000000003</v>
      </c>
      <c r="DF216">
        <v>2.0308799999999998</v>
      </c>
      <c r="DG216">
        <v>1.65524</v>
      </c>
      <c r="DH216">
        <v>4.0906699999999997E-2</v>
      </c>
      <c r="DI216">
        <v>0</v>
      </c>
      <c r="DJ216">
        <v>32.527999999999999</v>
      </c>
      <c r="DK216">
        <v>999.9</v>
      </c>
      <c r="DL216">
        <v>57.6</v>
      </c>
      <c r="DM216">
        <v>41.4</v>
      </c>
      <c r="DN216">
        <v>45.985199999999999</v>
      </c>
      <c r="DO216">
        <v>30.319400000000002</v>
      </c>
      <c r="DP216">
        <v>10.897399999999999</v>
      </c>
      <c r="DQ216">
        <v>1</v>
      </c>
      <c r="DR216">
        <v>0.67323</v>
      </c>
      <c r="DS216">
        <v>-0.784196</v>
      </c>
      <c r="DT216">
        <v>20.365300000000001</v>
      </c>
      <c r="DU216">
        <v>5.2112999999999996</v>
      </c>
      <c r="DV216">
        <v>11.854200000000001</v>
      </c>
      <c r="DW216">
        <v>4.9677199999999999</v>
      </c>
      <c r="DX216">
        <v>3.2930000000000001</v>
      </c>
      <c r="DY216">
        <v>894.7</v>
      </c>
      <c r="DZ216">
        <v>6</v>
      </c>
      <c r="EA216">
        <v>9999</v>
      </c>
      <c r="EB216">
        <v>119.1</v>
      </c>
      <c r="EC216">
        <v>4.97159</v>
      </c>
      <c r="ED216">
        <v>1.8720600000000001</v>
      </c>
      <c r="EE216">
        <v>1.8693500000000001</v>
      </c>
      <c r="EF216">
        <v>1.87164</v>
      </c>
      <c r="EG216">
        <v>1.86947</v>
      </c>
      <c r="EH216">
        <v>1.8683000000000001</v>
      </c>
      <c r="EI216">
        <v>1.8701300000000001</v>
      </c>
      <c r="EJ216">
        <v>1.8719300000000001</v>
      </c>
      <c r="EK216">
        <v>0</v>
      </c>
      <c r="EL216">
        <v>0</v>
      </c>
      <c r="EM216">
        <v>0</v>
      </c>
      <c r="EN216">
        <v>0</v>
      </c>
      <c r="EO216" t="s">
        <v>320</v>
      </c>
      <c r="EP216" t="s">
        <v>321</v>
      </c>
      <c r="EQ216" t="s">
        <v>322</v>
      </c>
      <c r="ER216" t="s">
        <v>322</v>
      </c>
      <c r="ES216" t="s">
        <v>322</v>
      </c>
      <c r="ET216" t="s">
        <v>322</v>
      </c>
      <c r="EU216">
        <v>0</v>
      </c>
      <c r="EV216">
        <v>100</v>
      </c>
      <c r="EW216">
        <v>100</v>
      </c>
      <c r="EX216">
        <v>7.2009999999999996</v>
      </c>
      <c r="EY216">
        <v>-1.669</v>
      </c>
      <c r="EZ216">
        <v>7.2255739999999999</v>
      </c>
      <c r="FA216">
        <v>0</v>
      </c>
      <c r="FB216">
        <v>0</v>
      </c>
      <c r="FC216">
        <v>0</v>
      </c>
      <c r="FD216">
        <v>-1.704276666666666</v>
      </c>
      <c r="FE216">
        <v>0</v>
      </c>
      <c r="FF216">
        <v>0</v>
      </c>
      <c r="FG216">
        <v>0</v>
      </c>
      <c r="FH216">
        <v>-1</v>
      </c>
      <c r="FI216">
        <v>-1</v>
      </c>
      <c r="FJ216">
        <v>-1</v>
      </c>
      <c r="FK216">
        <v>-1</v>
      </c>
      <c r="FL216">
        <v>0.6</v>
      </c>
      <c r="FM216">
        <v>0.4</v>
      </c>
      <c r="FN216">
        <v>0.14038100000000001</v>
      </c>
      <c r="FO216">
        <v>4.99756</v>
      </c>
      <c r="FP216">
        <v>1.5979000000000001</v>
      </c>
      <c r="FQ216">
        <v>2.1142599999999998</v>
      </c>
      <c r="FR216">
        <v>1.5478499999999999</v>
      </c>
      <c r="FS216">
        <v>2.48169</v>
      </c>
      <c r="FT216">
        <v>43.5627</v>
      </c>
      <c r="FU216">
        <v>14.6136</v>
      </c>
      <c r="FV216">
        <v>2</v>
      </c>
      <c r="FW216">
        <v>507.34300000000002</v>
      </c>
      <c r="FX216">
        <v>358.98500000000001</v>
      </c>
      <c r="FY216">
        <v>34.051099999999998</v>
      </c>
      <c r="FZ216">
        <v>35.517400000000002</v>
      </c>
      <c r="GA216">
        <v>29.999400000000001</v>
      </c>
      <c r="GB216">
        <v>35.933100000000003</v>
      </c>
      <c r="GC216">
        <v>36.004399999999997</v>
      </c>
      <c r="GD216">
        <v>-1</v>
      </c>
      <c r="GE216">
        <v>0</v>
      </c>
      <c r="GF216">
        <v>100</v>
      </c>
      <c r="GG216">
        <v>34.077599999999997</v>
      </c>
      <c r="GH216">
        <v>432.1</v>
      </c>
      <c r="GI216">
        <v>44.267099999999999</v>
      </c>
      <c r="GJ216">
        <v>101.242</v>
      </c>
      <c r="GK216">
        <v>95.686499999999995</v>
      </c>
    </row>
    <row r="217" spans="1:193" x14ac:dyDescent="0.35">
      <c r="A217">
        <v>201</v>
      </c>
      <c r="B217">
        <v>1775544027.5999999</v>
      </c>
      <c r="C217">
        <v>12001.5</v>
      </c>
      <c r="D217" t="s">
        <v>920</v>
      </c>
      <c r="E217" t="s">
        <v>921</v>
      </c>
      <c r="F217">
        <v>60</v>
      </c>
      <c r="G217">
        <v>1775544019.599999</v>
      </c>
      <c r="H217">
        <f t="shared" si="90"/>
        <v>4.1146576375736344E-3</v>
      </c>
      <c r="I217">
        <f t="shared" si="91"/>
        <v>4.1146576375736341</v>
      </c>
      <c r="J217">
        <f t="shared" si="92"/>
        <v>1.8290297202159074</v>
      </c>
      <c r="K217">
        <f t="shared" si="93"/>
        <v>3.1513554838709679</v>
      </c>
      <c r="L217">
        <f t="shared" si="94"/>
        <v>-29.432760939601618</v>
      </c>
      <c r="M217">
        <f t="shared" si="95"/>
        <v>-2.945475510000342</v>
      </c>
      <c r="N217">
        <f t="shared" si="96"/>
        <v>0.31537103909806879</v>
      </c>
      <c r="O217">
        <f t="shared" si="97"/>
        <v>8.8695426969439523E-2</v>
      </c>
      <c r="P217">
        <f t="shared" si="98"/>
        <v>2.3871023494968786</v>
      </c>
      <c r="Q217">
        <f t="shared" si="99"/>
        <v>8.6904435499820895E-2</v>
      </c>
      <c r="R217">
        <f t="shared" si="100"/>
        <v>5.4473173502872257E-2</v>
      </c>
      <c r="S217">
        <f t="shared" si="101"/>
        <v>9.0091376448387078E-2</v>
      </c>
      <c r="T217">
        <f t="shared" si="102"/>
        <v>31.88293695469244</v>
      </c>
      <c r="U217">
        <f t="shared" si="103"/>
        <v>33.165758064516133</v>
      </c>
      <c r="V217">
        <f t="shared" si="104"/>
        <v>5.099351560998203</v>
      </c>
      <c r="W217">
        <f t="shared" si="105"/>
        <v>9.6765890178675846</v>
      </c>
      <c r="X217">
        <f t="shared" si="106"/>
        <v>0.49352387405440917</v>
      </c>
      <c r="Y217">
        <f t="shared" si="107"/>
        <v>5.1001843019593931</v>
      </c>
      <c r="Z217">
        <f t="shared" si="108"/>
        <v>4.605827686943794</v>
      </c>
      <c r="AA217">
        <f t="shared" si="109"/>
        <v>-181.45640181699727</v>
      </c>
      <c r="AB217">
        <f t="shared" si="110"/>
        <v>0.37445646001012928</v>
      </c>
      <c r="AC217">
        <f t="shared" si="111"/>
        <v>3.598467106398702E-2</v>
      </c>
      <c r="AD217">
        <f t="shared" si="112"/>
        <v>-180.95586930947476</v>
      </c>
      <c r="AE217">
        <v>4</v>
      </c>
      <c r="AF217">
        <v>1</v>
      </c>
      <c r="AG217">
        <f t="shared" si="113"/>
        <v>1</v>
      </c>
      <c r="AH217">
        <f t="shared" si="114"/>
        <v>0</v>
      </c>
      <c r="AI217">
        <f t="shared" si="115"/>
        <v>24993.525654597113</v>
      </c>
      <c r="AJ217">
        <f t="shared" si="116"/>
        <v>0.47143577419354832</v>
      </c>
      <c r="AK217">
        <f t="shared" si="117"/>
        <v>0.37714861935483868</v>
      </c>
      <c r="AL217">
        <f t="shared" si="118"/>
        <v>0.8</v>
      </c>
      <c r="AM217">
        <f t="shared" si="119"/>
        <v>0.19109999999999999</v>
      </c>
      <c r="AN217">
        <v>3</v>
      </c>
      <c r="AO217">
        <v>0.5</v>
      </c>
      <c r="AP217" t="s">
        <v>317</v>
      </c>
      <c r="AQ217">
        <v>2</v>
      </c>
      <c r="AR217">
        <v>1775544019.599999</v>
      </c>
      <c r="AS217">
        <v>3.1513554838709679</v>
      </c>
      <c r="AT217">
        <v>4.2565593548387097</v>
      </c>
      <c r="AU217">
        <v>4.9315535483870976</v>
      </c>
      <c r="AV217">
        <v>2.4749206451612902</v>
      </c>
      <c r="AW217">
        <v>-4.0756445161290316</v>
      </c>
      <c r="AX217">
        <v>6.5835535483870986</v>
      </c>
      <c r="AY217">
        <v>499.99729032258062</v>
      </c>
      <c r="AZ217">
        <v>100.0336774193548</v>
      </c>
      <c r="BA217">
        <v>4.1049380645161282E-2</v>
      </c>
      <c r="BB217">
        <v>33.168667741935487</v>
      </c>
      <c r="BC217">
        <v>33.165758064516133</v>
      </c>
      <c r="BD217">
        <v>999.90000000000032</v>
      </c>
      <c r="BE217">
        <v>0</v>
      </c>
      <c r="BF217">
        <v>0</v>
      </c>
      <c r="BG217">
        <v>4995.9193548387093</v>
      </c>
      <c r="BH217">
        <v>0.47143577419354832</v>
      </c>
      <c r="BI217">
        <v>231.67729032258069</v>
      </c>
      <c r="BJ217">
        <v>-1.130888161290323</v>
      </c>
      <c r="BK217">
        <v>3.14111064516129</v>
      </c>
      <c r="BL217">
        <v>4.2671232258064524</v>
      </c>
      <c r="BM217">
        <v>2.4394890322580651</v>
      </c>
      <c r="BN217">
        <v>4.2565593548387097</v>
      </c>
      <c r="BO217">
        <v>2.4749206451612902</v>
      </c>
      <c r="BP217">
        <v>0.49160651612903222</v>
      </c>
      <c r="BQ217">
        <v>0.24757525806451611</v>
      </c>
      <c r="BR217">
        <v>-3.014865806451613</v>
      </c>
      <c r="BS217">
        <v>-11.881580645161289</v>
      </c>
      <c r="BT217">
        <v>1775544063.5999999</v>
      </c>
      <c r="BU217" t="s">
        <v>922</v>
      </c>
      <c r="BV217">
        <v>1775544043.0999999</v>
      </c>
      <c r="BW217">
        <v>1775544063.5999999</v>
      </c>
      <c r="BX217">
        <v>202</v>
      </c>
      <c r="BY217">
        <v>2.5999999999999999E-2</v>
      </c>
      <c r="BZ217">
        <v>1.7999999999999999E-2</v>
      </c>
      <c r="CA217">
        <v>7.2270000000000003</v>
      </c>
      <c r="CB217">
        <v>-1.6519999999999999</v>
      </c>
      <c r="CC217">
        <v>3</v>
      </c>
      <c r="CD217">
        <v>2</v>
      </c>
      <c r="CE217">
        <v>0.34</v>
      </c>
      <c r="CF217">
        <v>0.03</v>
      </c>
      <c r="CG217">
        <v>3.745373166666667</v>
      </c>
      <c r="CH217">
        <v>3.006356732425675</v>
      </c>
      <c r="CI217">
        <v>0.59444129853864092</v>
      </c>
      <c r="CJ217">
        <v>-1</v>
      </c>
      <c r="CK217">
        <v>500.90718333333331</v>
      </c>
      <c r="CL217">
        <v>-5.2063895526527988</v>
      </c>
      <c r="CM217">
        <v>1.744193466827066</v>
      </c>
      <c r="CN217">
        <v>-1</v>
      </c>
      <c r="CO217">
        <v>0</v>
      </c>
      <c r="CP217">
        <v>0</v>
      </c>
      <c r="CQ217" t="s">
        <v>319</v>
      </c>
      <c r="CR217">
        <v>3.1684899999999998</v>
      </c>
      <c r="CS217">
        <v>2.6642399999999999</v>
      </c>
      <c r="CT217">
        <v>-1.1265800000000001E-3</v>
      </c>
      <c r="CU217">
        <v>1.0713000000000001E-3</v>
      </c>
      <c r="CV217">
        <v>4.2039199999999999E-2</v>
      </c>
      <c r="CW217">
        <v>1.7661900000000001E-2</v>
      </c>
      <c r="CX217">
        <v>21368.3</v>
      </c>
      <c r="CY217">
        <v>21758.1</v>
      </c>
      <c r="CZ217">
        <v>22877.1</v>
      </c>
      <c r="DA217">
        <v>22146.5</v>
      </c>
      <c r="DB217">
        <v>28276</v>
      </c>
      <c r="DC217">
        <v>25912.799999999999</v>
      </c>
      <c r="DD217">
        <v>40240.1</v>
      </c>
      <c r="DE217">
        <v>36661.699999999997</v>
      </c>
      <c r="DF217">
        <v>2.0334599999999998</v>
      </c>
      <c r="DG217">
        <v>1.65768</v>
      </c>
      <c r="DH217">
        <v>4.4971700000000003E-2</v>
      </c>
      <c r="DI217">
        <v>0</v>
      </c>
      <c r="DJ217">
        <v>32.430599999999998</v>
      </c>
      <c r="DK217">
        <v>999.9</v>
      </c>
      <c r="DL217">
        <v>57.7</v>
      </c>
      <c r="DM217">
        <v>41.2</v>
      </c>
      <c r="DN217">
        <v>45.583399999999997</v>
      </c>
      <c r="DO217">
        <v>30.3794</v>
      </c>
      <c r="DP217">
        <v>11.273999999999999</v>
      </c>
      <c r="DQ217">
        <v>1</v>
      </c>
      <c r="DR217">
        <v>0.66336200000000001</v>
      </c>
      <c r="DS217">
        <v>-1.18536</v>
      </c>
      <c r="DT217">
        <v>20.3626</v>
      </c>
      <c r="DU217">
        <v>5.2102199999999996</v>
      </c>
      <c r="DV217">
        <v>11.854200000000001</v>
      </c>
      <c r="DW217">
        <v>4.9677199999999999</v>
      </c>
      <c r="DX217">
        <v>3.2930000000000001</v>
      </c>
      <c r="DY217">
        <v>894.7</v>
      </c>
      <c r="DZ217">
        <v>6</v>
      </c>
      <c r="EA217">
        <v>9999</v>
      </c>
      <c r="EB217">
        <v>119.1</v>
      </c>
      <c r="EC217">
        <v>4.9715999999999996</v>
      </c>
      <c r="ED217">
        <v>1.87199</v>
      </c>
      <c r="EE217">
        <v>1.86934</v>
      </c>
      <c r="EF217">
        <v>1.87164</v>
      </c>
      <c r="EG217">
        <v>1.8694299999999999</v>
      </c>
      <c r="EH217">
        <v>1.86829</v>
      </c>
      <c r="EI217">
        <v>1.8701300000000001</v>
      </c>
      <c r="EJ217">
        <v>1.8718999999999999</v>
      </c>
      <c r="EK217">
        <v>0</v>
      </c>
      <c r="EL217">
        <v>0</v>
      </c>
      <c r="EM217">
        <v>0</v>
      </c>
      <c r="EN217">
        <v>0</v>
      </c>
      <c r="EO217" t="s">
        <v>320</v>
      </c>
      <c r="EP217" t="s">
        <v>321</v>
      </c>
      <c r="EQ217" t="s">
        <v>322</v>
      </c>
      <c r="ER217" t="s">
        <v>322</v>
      </c>
      <c r="ES217" t="s">
        <v>322</v>
      </c>
      <c r="ET217" t="s">
        <v>322</v>
      </c>
      <c r="EU217">
        <v>0</v>
      </c>
      <c r="EV217">
        <v>100</v>
      </c>
      <c r="EW217">
        <v>100</v>
      </c>
      <c r="EX217">
        <v>7.2270000000000003</v>
      </c>
      <c r="EY217">
        <v>-1.6519999999999999</v>
      </c>
      <c r="EZ217">
        <v>7.2013165000000008</v>
      </c>
      <c r="FA217">
        <v>0</v>
      </c>
      <c r="FB217">
        <v>0</v>
      </c>
      <c r="FC217">
        <v>0</v>
      </c>
      <c r="FD217">
        <v>-1.669144</v>
      </c>
      <c r="FE217">
        <v>0</v>
      </c>
      <c r="FF217">
        <v>0</v>
      </c>
      <c r="FG217">
        <v>0</v>
      </c>
      <c r="FH217">
        <v>-1</v>
      </c>
      <c r="FI217">
        <v>-1</v>
      </c>
      <c r="FJ217">
        <v>-1</v>
      </c>
      <c r="FK217">
        <v>-1</v>
      </c>
      <c r="FL217">
        <v>0.7</v>
      </c>
      <c r="FM217">
        <v>0.5</v>
      </c>
      <c r="FN217">
        <v>0.13916000000000001</v>
      </c>
      <c r="FO217">
        <v>4.99756</v>
      </c>
      <c r="FP217">
        <v>1.5979000000000001</v>
      </c>
      <c r="FQ217">
        <v>2.1130399999999998</v>
      </c>
      <c r="FR217">
        <v>1.5478499999999999</v>
      </c>
      <c r="FS217">
        <v>2.3754900000000001</v>
      </c>
      <c r="FT217">
        <v>43.399099999999997</v>
      </c>
      <c r="FU217">
        <v>14.5961</v>
      </c>
      <c r="FV217">
        <v>2</v>
      </c>
      <c r="FW217">
        <v>507.995</v>
      </c>
      <c r="FX217">
        <v>359.61099999999999</v>
      </c>
      <c r="FY217">
        <v>34.404600000000002</v>
      </c>
      <c r="FZ217">
        <v>35.388100000000001</v>
      </c>
      <c r="GA217">
        <v>29.999199999999998</v>
      </c>
      <c r="GB217">
        <v>35.804299999999998</v>
      </c>
      <c r="GC217">
        <v>35.869900000000001</v>
      </c>
      <c r="GD217">
        <v>-1</v>
      </c>
      <c r="GE217">
        <v>0</v>
      </c>
      <c r="GF217">
        <v>100</v>
      </c>
      <c r="GG217">
        <v>34.428699999999999</v>
      </c>
      <c r="GH217">
        <v>432.1</v>
      </c>
      <c r="GI217">
        <v>44.267099999999999</v>
      </c>
      <c r="GJ217">
        <v>101.259</v>
      </c>
      <c r="GK217">
        <v>95.703999999999994</v>
      </c>
    </row>
    <row r="218" spans="1:193" x14ac:dyDescent="0.35">
      <c r="A218">
        <v>202</v>
      </c>
      <c r="B218">
        <v>1775544087.5999999</v>
      </c>
      <c r="C218">
        <v>12061.5</v>
      </c>
      <c r="D218" t="s">
        <v>923</v>
      </c>
      <c r="E218" t="s">
        <v>924</v>
      </c>
      <c r="F218">
        <v>60</v>
      </c>
      <c r="G218">
        <v>1775544079.599999</v>
      </c>
      <c r="H218">
        <f t="shared" si="90"/>
        <v>4.5742875762450532E-3</v>
      </c>
      <c r="I218">
        <f t="shared" si="91"/>
        <v>4.5742875762450534</v>
      </c>
      <c r="J218">
        <f t="shared" si="92"/>
        <v>1.5187549417446726</v>
      </c>
      <c r="K218">
        <f t="shared" si="93"/>
        <v>2.814735806451615</v>
      </c>
      <c r="L218">
        <f t="shared" si="94"/>
        <v>-21.519643131598311</v>
      </c>
      <c r="M218">
        <f t="shared" si="95"/>
        <v>-2.1536704685627823</v>
      </c>
      <c r="N218">
        <f t="shared" si="96"/>
        <v>0.28169674311466386</v>
      </c>
      <c r="O218">
        <f t="shared" si="97"/>
        <v>9.8954384880126034E-2</v>
      </c>
      <c r="P218">
        <f t="shared" si="98"/>
        <v>2.3902497271270482</v>
      </c>
      <c r="Q218">
        <f t="shared" si="99"/>
        <v>9.6733576199382332E-2</v>
      </c>
      <c r="R218">
        <f t="shared" si="100"/>
        <v>6.0653864760882838E-2</v>
      </c>
      <c r="S218">
        <f t="shared" si="101"/>
        <v>8.9838261416129023E-2</v>
      </c>
      <c r="T218">
        <f t="shared" si="102"/>
        <v>31.771976586778031</v>
      </c>
      <c r="U218">
        <f t="shared" si="103"/>
        <v>33.168048387096768</v>
      </c>
      <c r="V218">
        <f t="shared" si="104"/>
        <v>5.1000070345490682</v>
      </c>
      <c r="W218">
        <f t="shared" si="105"/>
        <v>9.7848253318278591</v>
      </c>
      <c r="X218">
        <f t="shared" si="106"/>
        <v>0.49991242181607526</v>
      </c>
      <c r="Y218">
        <f t="shared" si="107"/>
        <v>5.1090582086322112</v>
      </c>
      <c r="Z218">
        <f t="shared" si="108"/>
        <v>4.6000946127329927</v>
      </c>
      <c r="AA218">
        <f t="shared" si="109"/>
        <v>-201.72608211240686</v>
      </c>
      <c r="AB218">
        <f t="shared" si="110"/>
        <v>4.0720753279298973</v>
      </c>
      <c r="AC218">
        <f t="shared" si="111"/>
        <v>0.39086840534446948</v>
      </c>
      <c r="AD218">
        <f t="shared" si="112"/>
        <v>-197.17330011771637</v>
      </c>
      <c r="AE218">
        <v>5</v>
      </c>
      <c r="AF218">
        <v>1</v>
      </c>
      <c r="AG218">
        <f t="shared" si="113"/>
        <v>1</v>
      </c>
      <c r="AH218">
        <f t="shared" si="114"/>
        <v>0</v>
      </c>
      <c r="AI218">
        <f t="shared" si="115"/>
        <v>25037.755165987594</v>
      </c>
      <c r="AJ218">
        <f t="shared" si="116"/>
        <v>0.47011125806451609</v>
      </c>
      <c r="AK218">
        <f t="shared" si="117"/>
        <v>0.37608900645161292</v>
      </c>
      <c r="AL218">
        <f t="shared" si="118"/>
        <v>0.8</v>
      </c>
      <c r="AM218">
        <f t="shared" si="119"/>
        <v>0.19109999999999999</v>
      </c>
      <c r="AN218">
        <v>3</v>
      </c>
      <c r="AO218">
        <v>0.5</v>
      </c>
      <c r="AP218" t="s">
        <v>317</v>
      </c>
      <c r="AQ218">
        <v>2</v>
      </c>
      <c r="AR218">
        <v>1775544079.599999</v>
      </c>
      <c r="AS218">
        <v>2.814735806451615</v>
      </c>
      <c r="AT218">
        <v>3.7337003225806451</v>
      </c>
      <c r="AU218">
        <v>4.9951638709677431</v>
      </c>
      <c r="AV218">
        <v>2.2643416129032259</v>
      </c>
      <c r="AW218">
        <v>-4.4192641935483854</v>
      </c>
      <c r="AX218">
        <v>6.6011638709677429</v>
      </c>
      <c r="AY218">
        <v>500.0074516129032</v>
      </c>
      <c r="AZ218">
        <v>100.03748387096771</v>
      </c>
      <c r="BA218">
        <v>4.1799758064516128E-2</v>
      </c>
      <c r="BB218">
        <v>33.199648387096779</v>
      </c>
      <c r="BC218">
        <v>33.168048387096768</v>
      </c>
      <c r="BD218">
        <v>999.90000000000032</v>
      </c>
      <c r="BE218">
        <v>0</v>
      </c>
      <c r="BF218">
        <v>0</v>
      </c>
      <c r="BG218">
        <v>5003.8387096774204</v>
      </c>
      <c r="BH218">
        <v>0.47011125806451609</v>
      </c>
      <c r="BI218">
        <v>204.37412903225811</v>
      </c>
      <c r="BJ218">
        <v>-0.92568722580645157</v>
      </c>
      <c r="BK218">
        <v>2.8219793548387089</v>
      </c>
      <c r="BL218">
        <v>3.7421735483870968</v>
      </c>
      <c r="BM218">
        <v>2.6852764516129031</v>
      </c>
      <c r="BN218">
        <v>3.7337003225806451</v>
      </c>
      <c r="BO218">
        <v>2.2643416129032259</v>
      </c>
      <c r="BP218">
        <v>0.49514758064516129</v>
      </c>
      <c r="BQ218">
        <v>0.22651912903225799</v>
      </c>
      <c r="BR218">
        <v>-2.918637741935485</v>
      </c>
      <c r="BS218">
        <v>-12.98226451612903</v>
      </c>
      <c r="BT218">
        <v>1775544128.0999999</v>
      </c>
      <c r="BU218" t="s">
        <v>925</v>
      </c>
      <c r="BV218">
        <v>1775544107.5999999</v>
      </c>
      <c r="BW218">
        <v>1775544128.0999999</v>
      </c>
      <c r="BX218">
        <v>203</v>
      </c>
      <c r="BY218">
        <v>6.0000000000000001E-3</v>
      </c>
      <c r="BZ218">
        <v>4.5999999999999999E-2</v>
      </c>
      <c r="CA218">
        <v>7.234</v>
      </c>
      <c r="CB218">
        <v>-1.6060000000000001</v>
      </c>
      <c r="CC218">
        <v>3</v>
      </c>
      <c r="CD218">
        <v>2</v>
      </c>
      <c r="CE218">
        <v>0.28999999999999998</v>
      </c>
      <c r="CF218">
        <v>0.18</v>
      </c>
      <c r="CG218">
        <v>3.6206938333333332</v>
      </c>
      <c r="CH218">
        <v>0.80881063628786476</v>
      </c>
      <c r="CI218">
        <v>0.12402897034015441</v>
      </c>
      <c r="CJ218">
        <v>-1</v>
      </c>
      <c r="CK218">
        <v>500.86725000000001</v>
      </c>
      <c r="CL218">
        <v>-2.9918610725197592</v>
      </c>
      <c r="CM218">
        <v>1.7819334875821431</v>
      </c>
      <c r="CN218">
        <v>-1</v>
      </c>
      <c r="CO218">
        <v>0</v>
      </c>
      <c r="CP218">
        <v>0</v>
      </c>
      <c r="CQ218" t="s">
        <v>319</v>
      </c>
      <c r="CR218">
        <v>3.1684299999999999</v>
      </c>
      <c r="CS218">
        <v>2.6632600000000002</v>
      </c>
      <c r="CT218">
        <v>-1.2504300000000001E-3</v>
      </c>
      <c r="CU218">
        <v>1.0966999999999999E-3</v>
      </c>
      <c r="CV218">
        <v>4.1756000000000001E-2</v>
      </c>
      <c r="CW218">
        <v>1.6235800000000002E-2</v>
      </c>
      <c r="CX218">
        <v>21375.7</v>
      </c>
      <c r="CY218">
        <v>21761.9</v>
      </c>
      <c r="CZ218">
        <v>22881.599999999999</v>
      </c>
      <c r="DA218">
        <v>22150.5</v>
      </c>
      <c r="DB218">
        <v>28289.5</v>
      </c>
      <c r="DC218">
        <v>25955.5</v>
      </c>
      <c r="DD218">
        <v>40247.1</v>
      </c>
      <c r="DE218">
        <v>36668.5</v>
      </c>
      <c r="DF218">
        <v>2.0341800000000001</v>
      </c>
      <c r="DG218">
        <v>1.65968</v>
      </c>
      <c r="DH218">
        <v>4.9173799999999997E-2</v>
      </c>
      <c r="DI218">
        <v>0</v>
      </c>
      <c r="DJ218">
        <v>32.348999999999997</v>
      </c>
      <c r="DK218">
        <v>999.9</v>
      </c>
      <c r="DL218">
        <v>57.9</v>
      </c>
      <c r="DM218">
        <v>41.1</v>
      </c>
      <c r="DN218">
        <v>45.494300000000003</v>
      </c>
      <c r="DO218">
        <v>30.499400000000001</v>
      </c>
      <c r="DP218">
        <v>11.1098</v>
      </c>
      <c r="DQ218">
        <v>1</v>
      </c>
      <c r="DR218">
        <v>0.65172099999999999</v>
      </c>
      <c r="DS218">
        <v>-1.02</v>
      </c>
      <c r="DT218">
        <v>20.3644</v>
      </c>
      <c r="DU218">
        <v>5.2107000000000001</v>
      </c>
      <c r="DV218">
        <v>11.854200000000001</v>
      </c>
      <c r="DW218">
        <v>4.9677600000000002</v>
      </c>
      <c r="DX218">
        <v>3.2930000000000001</v>
      </c>
      <c r="DY218">
        <v>894.7</v>
      </c>
      <c r="DZ218">
        <v>6</v>
      </c>
      <c r="EA218">
        <v>9999</v>
      </c>
      <c r="EB218">
        <v>119.1</v>
      </c>
      <c r="EC218">
        <v>4.9715999999999996</v>
      </c>
      <c r="ED218">
        <v>1.87199</v>
      </c>
      <c r="EE218">
        <v>1.86934</v>
      </c>
      <c r="EF218">
        <v>1.87164</v>
      </c>
      <c r="EG218">
        <v>1.86938</v>
      </c>
      <c r="EH218">
        <v>1.86829</v>
      </c>
      <c r="EI218">
        <v>1.87012</v>
      </c>
      <c r="EJ218">
        <v>1.87191</v>
      </c>
      <c r="EK218">
        <v>0</v>
      </c>
      <c r="EL218">
        <v>0</v>
      </c>
      <c r="EM218">
        <v>0</v>
      </c>
      <c r="EN218">
        <v>0</v>
      </c>
      <c r="EO218" t="s">
        <v>320</v>
      </c>
      <c r="EP218" t="s">
        <v>321</v>
      </c>
      <c r="EQ218" t="s">
        <v>322</v>
      </c>
      <c r="ER218" t="s">
        <v>322</v>
      </c>
      <c r="ES218" t="s">
        <v>322</v>
      </c>
      <c r="ET218" t="s">
        <v>322</v>
      </c>
      <c r="EU218">
        <v>0</v>
      </c>
      <c r="EV218">
        <v>100</v>
      </c>
      <c r="EW218">
        <v>100</v>
      </c>
      <c r="EX218">
        <v>7.234</v>
      </c>
      <c r="EY218">
        <v>-1.6060000000000001</v>
      </c>
      <c r="EZ218">
        <v>7.2272771428571421</v>
      </c>
      <c r="FA218">
        <v>0</v>
      </c>
      <c r="FB218">
        <v>0</v>
      </c>
      <c r="FC218">
        <v>0</v>
      </c>
      <c r="FD218">
        <v>-1.651546</v>
      </c>
      <c r="FE218">
        <v>0</v>
      </c>
      <c r="FF218">
        <v>0</v>
      </c>
      <c r="FG218">
        <v>0</v>
      </c>
      <c r="FH218">
        <v>-1</v>
      </c>
      <c r="FI218">
        <v>-1</v>
      </c>
      <c r="FJ218">
        <v>-1</v>
      </c>
      <c r="FK218">
        <v>-1</v>
      </c>
      <c r="FL218">
        <v>0.7</v>
      </c>
      <c r="FM218">
        <v>0.4</v>
      </c>
      <c r="FN218">
        <v>0.14038100000000001</v>
      </c>
      <c r="FO218">
        <v>4.99756</v>
      </c>
      <c r="FP218">
        <v>1.5979000000000001</v>
      </c>
      <c r="FQ218">
        <v>2.1142599999999998</v>
      </c>
      <c r="FR218">
        <v>1.5478499999999999</v>
      </c>
      <c r="FS218">
        <v>2.4902299999999999</v>
      </c>
      <c r="FT218">
        <v>43.209099999999999</v>
      </c>
      <c r="FU218">
        <v>14.5961</v>
      </c>
      <c r="FV218">
        <v>2</v>
      </c>
      <c r="FW218">
        <v>507.423</v>
      </c>
      <c r="FX218">
        <v>359.96699999999998</v>
      </c>
      <c r="FY218">
        <v>34.249600000000001</v>
      </c>
      <c r="FZ218">
        <v>35.244199999999999</v>
      </c>
      <c r="GA218">
        <v>29.999199999999998</v>
      </c>
      <c r="GB218">
        <v>35.663200000000003</v>
      </c>
      <c r="GC218">
        <v>35.729700000000001</v>
      </c>
      <c r="GD218">
        <v>-1</v>
      </c>
      <c r="GE218">
        <v>0</v>
      </c>
      <c r="GF218">
        <v>100</v>
      </c>
      <c r="GG218">
        <v>34.276800000000001</v>
      </c>
      <c r="GH218">
        <v>432.1</v>
      </c>
      <c r="GI218">
        <v>44.267099999999999</v>
      </c>
      <c r="GJ218">
        <v>101.277</v>
      </c>
      <c r="GK218">
        <v>95.721599999999995</v>
      </c>
    </row>
    <row r="219" spans="1:193" x14ac:dyDescent="0.35">
      <c r="A219">
        <v>203</v>
      </c>
      <c r="B219">
        <v>1775544147.5999999</v>
      </c>
      <c r="C219">
        <v>12121.5</v>
      </c>
      <c r="D219" t="s">
        <v>926</v>
      </c>
      <c r="E219" t="s">
        <v>927</v>
      </c>
      <c r="F219">
        <v>60</v>
      </c>
      <c r="G219">
        <v>1775544139.849999</v>
      </c>
      <c r="H219">
        <f t="shared" si="90"/>
        <v>5.1716257545228799E-3</v>
      </c>
      <c r="I219">
        <f t="shared" si="91"/>
        <v>5.1716257545228803</v>
      </c>
      <c r="J219">
        <f t="shared" si="92"/>
        <v>1.7655019174430238</v>
      </c>
      <c r="K219">
        <f t="shared" si="93"/>
        <v>2.6953136666666659</v>
      </c>
      <c r="L219">
        <f t="shared" si="94"/>
        <v>-22.226055311541323</v>
      </c>
      <c r="M219">
        <f t="shared" si="95"/>
        <v>-2.2243449504664539</v>
      </c>
      <c r="N219">
        <f t="shared" si="96"/>
        <v>0.26974230291148599</v>
      </c>
      <c r="O219">
        <f t="shared" si="97"/>
        <v>0.11256970736450543</v>
      </c>
      <c r="P219">
        <f t="shared" si="98"/>
        <v>2.3891924466745422</v>
      </c>
      <c r="Q219">
        <f t="shared" si="99"/>
        <v>0.10970402041878557</v>
      </c>
      <c r="R219">
        <f t="shared" si="100"/>
        <v>6.8816407144201772E-2</v>
      </c>
      <c r="S219">
        <f t="shared" si="101"/>
        <v>8.7117903599999977E-2</v>
      </c>
      <c r="T219">
        <f t="shared" si="102"/>
        <v>31.484975282661296</v>
      </c>
      <c r="U219">
        <f t="shared" si="103"/>
        <v>33.031393333333341</v>
      </c>
      <c r="V219">
        <f t="shared" si="104"/>
        <v>5.0610254060573672</v>
      </c>
      <c r="W219">
        <f t="shared" si="105"/>
        <v>9.3224042448964024</v>
      </c>
      <c r="X219">
        <f t="shared" si="106"/>
        <v>0.47362994135460029</v>
      </c>
      <c r="Y219">
        <f t="shared" si="107"/>
        <v>5.0805557119440667</v>
      </c>
      <c r="Z219">
        <f t="shared" si="108"/>
        <v>4.5873954647027668</v>
      </c>
      <c r="AA219">
        <f t="shared" si="109"/>
        <v>-228.068695774459</v>
      </c>
      <c r="AB219">
        <f t="shared" si="110"/>
        <v>8.8335252996350277</v>
      </c>
      <c r="AC219">
        <f t="shared" si="111"/>
        <v>0.84730165093529686</v>
      </c>
      <c r="AD219">
        <f t="shared" si="112"/>
        <v>-218.30075092028866</v>
      </c>
      <c r="AE219">
        <v>5</v>
      </c>
      <c r="AF219">
        <v>1</v>
      </c>
      <c r="AG219">
        <f t="shared" si="113"/>
        <v>1</v>
      </c>
      <c r="AH219">
        <f t="shared" si="114"/>
        <v>0</v>
      </c>
      <c r="AI219">
        <f t="shared" si="115"/>
        <v>25030.237971061913</v>
      </c>
      <c r="AJ219">
        <f t="shared" si="116"/>
        <v>0.45587599999999989</v>
      </c>
      <c r="AK219">
        <f t="shared" si="117"/>
        <v>0.36470079999999994</v>
      </c>
      <c r="AL219">
        <f t="shared" si="118"/>
        <v>0.8</v>
      </c>
      <c r="AM219">
        <f t="shared" si="119"/>
        <v>0.19109999999999999</v>
      </c>
      <c r="AN219">
        <v>3</v>
      </c>
      <c r="AO219">
        <v>0.5</v>
      </c>
      <c r="AP219" t="s">
        <v>317</v>
      </c>
      <c r="AQ219">
        <v>2</v>
      </c>
      <c r="AR219">
        <v>1775544139.849999</v>
      </c>
      <c r="AS219">
        <v>2.6953136666666659</v>
      </c>
      <c r="AT219">
        <v>3.7608163333333331</v>
      </c>
      <c r="AU219">
        <v>4.7325956666666658</v>
      </c>
      <c r="AV219">
        <v>1.6505590000000001</v>
      </c>
      <c r="AW219">
        <v>-4.5216863333333333</v>
      </c>
      <c r="AX219">
        <v>6.3115956666666646</v>
      </c>
      <c r="AY219">
        <v>501.01453333333319</v>
      </c>
      <c r="AZ219">
        <v>100.0351</v>
      </c>
      <c r="BA219">
        <v>4.3160370000000003E-2</v>
      </c>
      <c r="BB219">
        <v>33.099973333333338</v>
      </c>
      <c r="BC219">
        <v>33.031393333333341</v>
      </c>
      <c r="BD219">
        <v>999.9000000000002</v>
      </c>
      <c r="BE219">
        <v>0</v>
      </c>
      <c r="BF219">
        <v>0</v>
      </c>
      <c r="BG219">
        <v>5001.2333333333336</v>
      </c>
      <c r="BH219">
        <v>0.45587599999999989</v>
      </c>
      <c r="BI219">
        <v>189.9358</v>
      </c>
      <c r="BJ219">
        <v>-1.0489919999999999</v>
      </c>
      <c r="BK219">
        <v>2.7246130000000002</v>
      </c>
      <c r="BL219">
        <v>3.7670319999999999</v>
      </c>
      <c r="BM219">
        <v>3.0554190000000001</v>
      </c>
      <c r="BN219">
        <v>3.7608163333333331</v>
      </c>
      <c r="BO219">
        <v>1.6505590000000001</v>
      </c>
      <c r="BP219">
        <v>0.47076273333333329</v>
      </c>
      <c r="BQ219">
        <v>0.1651139333333333</v>
      </c>
      <c r="BR219">
        <v>-3.620308000000001</v>
      </c>
      <c r="BS219">
        <v>-16.814910000000001</v>
      </c>
      <c r="BT219">
        <v>1775544174.5999999</v>
      </c>
      <c r="BU219" t="s">
        <v>928</v>
      </c>
      <c r="BV219">
        <v>1775544164.5999999</v>
      </c>
      <c r="BW219">
        <v>1775544174.5999999</v>
      </c>
      <c r="BX219">
        <v>204</v>
      </c>
      <c r="BY219">
        <v>-1.6E-2</v>
      </c>
      <c r="BZ219">
        <v>2.7E-2</v>
      </c>
      <c r="CA219">
        <v>7.2169999999999996</v>
      </c>
      <c r="CB219">
        <v>-1.579</v>
      </c>
      <c r="CC219">
        <v>4</v>
      </c>
      <c r="CD219">
        <v>2</v>
      </c>
      <c r="CE219">
        <v>0.14000000000000001</v>
      </c>
      <c r="CF219">
        <v>0.02</v>
      </c>
      <c r="CG219">
        <v>3.681996666666667</v>
      </c>
      <c r="CH219">
        <v>0.64444394554043272</v>
      </c>
      <c r="CI219">
        <v>0.1212506213546507</v>
      </c>
      <c r="CJ219">
        <v>-1</v>
      </c>
      <c r="CK219">
        <v>500.86258333333342</v>
      </c>
      <c r="CL219">
        <v>0.99075854404146635</v>
      </c>
      <c r="CM219">
        <v>1.7587202761446279</v>
      </c>
      <c r="CN219">
        <v>-1</v>
      </c>
      <c r="CO219">
        <v>0</v>
      </c>
      <c r="CP219">
        <v>0</v>
      </c>
      <c r="CQ219" t="s">
        <v>319</v>
      </c>
      <c r="CR219">
        <v>3.1684600000000001</v>
      </c>
      <c r="CS219">
        <v>2.6644899999999998</v>
      </c>
      <c r="CT219">
        <v>-1.3238600000000001E-3</v>
      </c>
      <c r="CU219">
        <v>1.1990099999999999E-3</v>
      </c>
      <c r="CV219">
        <v>4.1130300000000002E-2</v>
      </c>
      <c r="CW219">
        <v>1.1986500000000001E-2</v>
      </c>
      <c r="CX219">
        <v>21383.4</v>
      </c>
      <c r="CY219">
        <v>21766.3</v>
      </c>
      <c r="CZ219">
        <v>22887.4</v>
      </c>
      <c r="DA219">
        <v>22156.799999999999</v>
      </c>
      <c r="DB219">
        <v>28314.799999999999</v>
      </c>
      <c r="DC219">
        <v>26076.2</v>
      </c>
      <c r="DD219">
        <v>40256.400000000001</v>
      </c>
      <c r="DE219">
        <v>36679.9</v>
      </c>
      <c r="DF219">
        <v>2.0369600000000001</v>
      </c>
      <c r="DG219">
        <v>1.6587000000000001</v>
      </c>
      <c r="DH219">
        <v>5.6368099999999997E-2</v>
      </c>
      <c r="DI219">
        <v>0</v>
      </c>
      <c r="DJ219">
        <v>32.123699999999999</v>
      </c>
      <c r="DK219">
        <v>999.9</v>
      </c>
      <c r="DL219">
        <v>58</v>
      </c>
      <c r="DM219">
        <v>40.9</v>
      </c>
      <c r="DN219">
        <v>45.095599999999997</v>
      </c>
      <c r="DO219">
        <v>30.499400000000001</v>
      </c>
      <c r="DP219">
        <v>11.1739</v>
      </c>
      <c r="DQ219">
        <v>1</v>
      </c>
      <c r="DR219">
        <v>0.63931899999999997</v>
      </c>
      <c r="DS219">
        <v>-1.98245</v>
      </c>
      <c r="DT219">
        <v>20.352799999999998</v>
      </c>
      <c r="DU219">
        <v>5.2107000000000001</v>
      </c>
      <c r="DV219">
        <v>11.854200000000001</v>
      </c>
      <c r="DW219">
        <v>4.9677199999999999</v>
      </c>
      <c r="DX219">
        <v>3.2929599999999999</v>
      </c>
      <c r="DY219">
        <v>894.7</v>
      </c>
      <c r="DZ219">
        <v>6</v>
      </c>
      <c r="EA219">
        <v>9999</v>
      </c>
      <c r="EB219">
        <v>119.1</v>
      </c>
      <c r="EC219">
        <v>4.9715499999999997</v>
      </c>
      <c r="ED219">
        <v>1.8719600000000001</v>
      </c>
      <c r="EE219">
        <v>1.8693200000000001</v>
      </c>
      <c r="EF219">
        <v>1.87164</v>
      </c>
      <c r="EG219">
        <v>1.8693599999999999</v>
      </c>
      <c r="EH219">
        <v>1.86829</v>
      </c>
      <c r="EI219">
        <v>1.87012</v>
      </c>
      <c r="EJ219">
        <v>1.87188</v>
      </c>
      <c r="EK219">
        <v>0</v>
      </c>
      <c r="EL219">
        <v>0</v>
      </c>
      <c r="EM219">
        <v>0</v>
      </c>
      <c r="EN219">
        <v>0</v>
      </c>
      <c r="EO219" t="s">
        <v>320</v>
      </c>
      <c r="EP219" t="s">
        <v>321</v>
      </c>
      <c r="EQ219" t="s">
        <v>322</v>
      </c>
      <c r="ER219" t="s">
        <v>322</v>
      </c>
      <c r="ES219" t="s">
        <v>322</v>
      </c>
      <c r="ET219" t="s">
        <v>322</v>
      </c>
      <c r="EU219">
        <v>0</v>
      </c>
      <c r="EV219">
        <v>100</v>
      </c>
      <c r="EW219">
        <v>100</v>
      </c>
      <c r="EX219">
        <v>7.2169999999999996</v>
      </c>
      <c r="EY219">
        <v>-1.579</v>
      </c>
      <c r="EZ219">
        <v>7.2335105000000004</v>
      </c>
      <c r="FA219">
        <v>0</v>
      </c>
      <c r="FB219">
        <v>0</v>
      </c>
      <c r="FC219">
        <v>0</v>
      </c>
      <c r="FD219">
        <v>-1.605617619047619</v>
      </c>
      <c r="FE219">
        <v>0</v>
      </c>
      <c r="FF219">
        <v>0</v>
      </c>
      <c r="FG219">
        <v>0</v>
      </c>
      <c r="FH219">
        <v>-1</v>
      </c>
      <c r="FI219">
        <v>-1</v>
      </c>
      <c r="FJ219">
        <v>-1</v>
      </c>
      <c r="FK219">
        <v>-1</v>
      </c>
      <c r="FL219">
        <v>0.7</v>
      </c>
      <c r="FM219">
        <v>0.3</v>
      </c>
      <c r="FN219">
        <v>0.14038100000000001</v>
      </c>
      <c r="FO219">
        <v>4.99756</v>
      </c>
      <c r="FP219">
        <v>1.5979000000000001</v>
      </c>
      <c r="FQ219">
        <v>2.1142599999999998</v>
      </c>
      <c r="FR219">
        <v>1.5478499999999999</v>
      </c>
      <c r="FS219">
        <v>2.4084500000000002</v>
      </c>
      <c r="FT219">
        <v>43.0199</v>
      </c>
      <c r="FU219">
        <v>14.5786</v>
      </c>
      <c r="FV219">
        <v>2</v>
      </c>
      <c r="FW219">
        <v>508.01100000000002</v>
      </c>
      <c r="FX219">
        <v>358.59199999999998</v>
      </c>
      <c r="FY219">
        <v>34.949800000000003</v>
      </c>
      <c r="FZ219">
        <v>35.076000000000001</v>
      </c>
      <c r="GA219">
        <v>29.998999999999999</v>
      </c>
      <c r="GB219">
        <v>35.509500000000003</v>
      </c>
      <c r="GC219">
        <v>35.566000000000003</v>
      </c>
      <c r="GD219">
        <v>-1</v>
      </c>
      <c r="GE219">
        <v>0</v>
      </c>
      <c r="GF219">
        <v>100</v>
      </c>
      <c r="GG219">
        <v>35.022500000000001</v>
      </c>
      <c r="GH219">
        <v>432.1</v>
      </c>
      <c r="GI219">
        <v>44.267099999999999</v>
      </c>
      <c r="GJ219">
        <v>101.30200000000001</v>
      </c>
      <c r="GK219">
        <v>95.750399999999999</v>
      </c>
    </row>
    <row r="220" spans="1:193" x14ac:dyDescent="0.35">
      <c r="A220">
        <v>204</v>
      </c>
      <c r="B220">
        <v>1775544207.5999999</v>
      </c>
      <c r="C220">
        <v>12181.5</v>
      </c>
      <c r="D220" t="s">
        <v>929</v>
      </c>
      <c r="E220" t="s">
        <v>930</v>
      </c>
      <c r="F220">
        <v>60</v>
      </c>
      <c r="G220">
        <v>1775544199.599999</v>
      </c>
      <c r="H220">
        <f t="shared" si="90"/>
        <v>5.6242855955860108E-3</v>
      </c>
      <c r="I220">
        <f t="shared" si="91"/>
        <v>5.6242855955860112</v>
      </c>
      <c r="J220">
        <f t="shared" si="92"/>
        <v>1.9329243676433145</v>
      </c>
      <c r="K220">
        <f t="shared" si="93"/>
        <v>2.537000645161291</v>
      </c>
      <c r="L220">
        <f t="shared" si="94"/>
        <v>-22.523941345239116</v>
      </c>
      <c r="M220">
        <f t="shared" si="95"/>
        <v>-2.2540715624054246</v>
      </c>
      <c r="N220">
        <f t="shared" si="96"/>
        <v>0.2538890028352439</v>
      </c>
      <c r="O220">
        <f t="shared" si="97"/>
        <v>0.122740601056003</v>
      </c>
      <c r="P220">
        <f t="shared" si="98"/>
        <v>2.3890123301977968</v>
      </c>
      <c r="Q220">
        <f t="shared" si="99"/>
        <v>0.11934184897743527</v>
      </c>
      <c r="R220">
        <f t="shared" si="100"/>
        <v>7.4886180935359564E-2</v>
      </c>
      <c r="S220">
        <f t="shared" si="101"/>
        <v>8.9225107819354846E-2</v>
      </c>
      <c r="T220">
        <f t="shared" si="102"/>
        <v>31.431692192590834</v>
      </c>
      <c r="U220">
        <f t="shared" si="103"/>
        <v>33.073132258064518</v>
      </c>
      <c r="V220">
        <f t="shared" si="104"/>
        <v>5.0729040784041031</v>
      </c>
      <c r="W220">
        <f t="shared" si="105"/>
        <v>9.5514082146130566</v>
      </c>
      <c r="X220">
        <f t="shared" si="106"/>
        <v>0.48767020319964888</v>
      </c>
      <c r="Y220">
        <f t="shared" si="107"/>
        <v>5.1057413968920731</v>
      </c>
      <c r="Z220">
        <f t="shared" si="108"/>
        <v>4.5852338752044544</v>
      </c>
      <c r="AA220">
        <f t="shared" si="109"/>
        <v>-248.03099476534308</v>
      </c>
      <c r="AB220">
        <f t="shared" si="110"/>
        <v>14.804111263200058</v>
      </c>
      <c r="AC220">
        <f t="shared" si="111"/>
        <v>1.4210043720176921</v>
      </c>
      <c r="AD220">
        <f t="shared" si="112"/>
        <v>-231.71665402230596</v>
      </c>
      <c r="AE220">
        <v>4</v>
      </c>
      <c r="AF220">
        <v>1</v>
      </c>
      <c r="AG220">
        <f t="shared" si="113"/>
        <v>1</v>
      </c>
      <c r="AH220">
        <f t="shared" si="114"/>
        <v>0</v>
      </c>
      <c r="AI220">
        <f t="shared" si="115"/>
        <v>25020.430833486433</v>
      </c>
      <c r="AJ220">
        <f t="shared" si="116"/>
        <v>0.46690270967741943</v>
      </c>
      <c r="AK220">
        <f t="shared" si="117"/>
        <v>0.37352216774193558</v>
      </c>
      <c r="AL220">
        <f t="shared" si="118"/>
        <v>0.8</v>
      </c>
      <c r="AM220">
        <f t="shared" si="119"/>
        <v>0.19109999999999999</v>
      </c>
      <c r="AN220">
        <v>3</v>
      </c>
      <c r="AO220">
        <v>0.5</v>
      </c>
      <c r="AP220" t="s">
        <v>317</v>
      </c>
      <c r="AQ220">
        <v>2</v>
      </c>
      <c r="AR220">
        <v>1775544199.599999</v>
      </c>
      <c r="AS220">
        <v>2.537000645161291</v>
      </c>
      <c r="AT220">
        <v>3.7052477419354841</v>
      </c>
      <c r="AU220">
        <v>4.8730729032258067</v>
      </c>
      <c r="AV220">
        <v>1.5151438709677421</v>
      </c>
      <c r="AW220">
        <v>-4.6739993548387098</v>
      </c>
      <c r="AX220">
        <v>6.4360729032258064</v>
      </c>
      <c r="AY220">
        <v>500.0294516129033</v>
      </c>
      <c r="AZ220">
        <v>100.033064516129</v>
      </c>
      <c r="BA220">
        <v>4.1408590322580638E-2</v>
      </c>
      <c r="BB220">
        <v>33.188074193548388</v>
      </c>
      <c r="BC220">
        <v>33.073132258064518</v>
      </c>
      <c r="BD220">
        <v>999.90000000000032</v>
      </c>
      <c r="BE220">
        <v>0</v>
      </c>
      <c r="BF220">
        <v>0</v>
      </c>
      <c r="BG220">
        <v>5000.8709677419356</v>
      </c>
      <c r="BH220">
        <v>0.46690270967741943</v>
      </c>
      <c r="BI220">
        <v>190.6758709677419</v>
      </c>
      <c r="BJ220">
        <v>-1.161855161290323</v>
      </c>
      <c r="BK220">
        <v>2.5558070967741928</v>
      </c>
      <c r="BL220">
        <v>3.7108699999999999</v>
      </c>
      <c r="BM220">
        <v>3.3423325806451598</v>
      </c>
      <c r="BN220">
        <v>3.7052477419354841</v>
      </c>
      <c r="BO220">
        <v>1.5151438709677421</v>
      </c>
      <c r="BP220">
        <v>0.4859080967741935</v>
      </c>
      <c r="BQ220">
        <v>0.15156445161290319</v>
      </c>
      <c r="BR220">
        <v>-3.1712896774193551</v>
      </c>
      <c r="BS220">
        <v>-17.829261290322581</v>
      </c>
      <c r="BT220">
        <v>1775544248.0999999</v>
      </c>
      <c r="BU220" t="s">
        <v>931</v>
      </c>
      <c r="BV220">
        <v>1775544226.5999999</v>
      </c>
      <c r="BW220">
        <v>1775544248.0999999</v>
      </c>
      <c r="BX220">
        <v>205</v>
      </c>
      <c r="BY220">
        <v>-6.0000000000000001E-3</v>
      </c>
      <c r="BZ220">
        <v>1.4999999999999999E-2</v>
      </c>
      <c r="CA220">
        <v>7.2110000000000003</v>
      </c>
      <c r="CB220">
        <v>-1.5629999999999999</v>
      </c>
      <c r="CC220">
        <v>4</v>
      </c>
      <c r="CD220">
        <v>1</v>
      </c>
      <c r="CE220">
        <v>0.19</v>
      </c>
      <c r="CF220">
        <v>0.06</v>
      </c>
      <c r="CG220">
        <v>3.5954365573770488</v>
      </c>
      <c r="CH220">
        <v>0.73746682178740719</v>
      </c>
      <c r="CI220">
        <v>0.2083119287399583</v>
      </c>
      <c r="CJ220">
        <v>-1</v>
      </c>
      <c r="CK220">
        <v>500.84140983606551</v>
      </c>
      <c r="CL220">
        <v>-7.8108323638288013</v>
      </c>
      <c r="CM220">
        <v>1.6472491164685821</v>
      </c>
      <c r="CN220">
        <v>-1</v>
      </c>
      <c r="CO220">
        <v>0</v>
      </c>
      <c r="CP220">
        <v>0</v>
      </c>
      <c r="CQ220" t="s">
        <v>319</v>
      </c>
      <c r="CR220">
        <v>3.1682100000000002</v>
      </c>
      <c r="CS220">
        <v>2.6636700000000002</v>
      </c>
      <c r="CT220">
        <v>-1.36082E-3</v>
      </c>
      <c r="CU220">
        <v>1.1047699999999999E-3</v>
      </c>
      <c r="CV220">
        <v>4.1140700000000002E-2</v>
      </c>
      <c r="CW220">
        <v>1.1482300000000001E-2</v>
      </c>
      <c r="CX220">
        <v>21390.1</v>
      </c>
      <c r="CY220">
        <v>21774.9</v>
      </c>
      <c r="CZ220">
        <v>22893.1</v>
      </c>
      <c r="DA220">
        <v>22162.9</v>
      </c>
      <c r="DB220">
        <v>28320.9</v>
      </c>
      <c r="DC220">
        <v>26097.1</v>
      </c>
      <c r="DD220">
        <v>40265</v>
      </c>
      <c r="DE220">
        <v>36690.199999999997</v>
      </c>
      <c r="DF220">
        <v>2.04034</v>
      </c>
      <c r="DG220">
        <v>1.66428</v>
      </c>
      <c r="DH220">
        <v>6.3109399999999996E-2</v>
      </c>
      <c r="DI220">
        <v>0</v>
      </c>
      <c r="DJ220">
        <v>32.047699999999999</v>
      </c>
      <c r="DK220">
        <v>999.9</v>
      </c>
      <c r="DL220">
        <v>58.1</v>
      </c>
      <c r="DM220">
        <v>40.799999999999997</v>
      </c>
      <c r="DN220">
        <v>44.9315</v>
      </c>
      <c r="DO220">
        <v>30.3794</v>
      </c>
      <c r="DP220">
        <v>11.386200000000001</v>
      </c>
      <c r="DQ220">
        <v>1</v>
      </c>
      <c r="DR220">
        <v>0.62371699999999997</v>
      </c>
      <c r="DS220">
        <v>-1.52359</v>
      </c>
      <c r="DT220">
        <v>20.359000000000002</v>
      </c>
      <c r="DU220">
        <v>5.2073499999999999</v>
      </c>
      <c r="DV220">
        <v>11.854200000000001</v>
      </c>
      <c r="DW220">
        <v>4.96732</v>
      </c>
      <c r="DX220">
        <v>3.2923200000000001</v>
      </c>
      <c r="DY220">
        <v>894.7</v>
      </c>
      <c r="DZ220">
        <v>6</v>
      </c>
      <c r="EA220">
        <v>9999</v>
      </c>
      <c r="EB220">
        <v>119.1</v>
      </c>
      <c r="EC220">
        <v>4.9715600000000002</v>
      </c>
      <c r="ED220">
        <v>1.8719600000000001</v>
      </c>
      <c r="EE220">
        <v>1.8693299999999999</v>
      </c>
      <c r="EF220">
        <v>1.87164</v>
      </c>
      <c r="EG220">
        <v>1.8693599999999999</v>
      </c>
      <c r="EH220">
        <v>1.86829</v>
      </c>
      <c r="EI220">
        <v>1.87012</v>
      </c>
      <c r="EJ220">
        <v>1.8718399999999999</v>
      </c>
      <c r="EK220">
        <v>0</v>
      </c>
      <c r="EL220">
        <v>0</v>
      </c>
      <c r="EM220">
        <v>0</v>
      </c>
      <c r="EN220">
        <v>0</v>
      </c>
      <c r="EO220" t="s">
        <v>320</v>
      </c>
      <c r="EP220" t="s">
        <v>321</v>
      </c>
      <c r="EQ220" t="s">
        <v>322</v>
      </c>
      <c r="ER220" t="s">
        <v>322</v>
      </c>
      <c r="ES220" t="s">
        <v>322</v>
      </c>
      <c r="ET220" t="s">
        <v>322</v>
      </c>
      <c r="EU220">
        <v>0</v>
      </c>
      <c r="EV220">
        <v>100</v>
      </c>
      <c r="EW220">
        <v>100</v>
      </c>
      <c r="EX220">
        <v>7.2110000000000003</v>
      </c>
      <c r="EY220">
        <v>-1.5629999999999999</v>
      </c>
      <c r="EZ220">
        <v>7.2173914999999997</v>
      </c>
      <c r="FA220">
        <v>0</v>
      </c>
      <c r="FB220">
        <v>0</v>
      </c>
      <c r="FC220">
        <v>0</v>
      </c>
      <c r="FD220">
        <v>-1.578597</v>
      </c>
      <c r="FE220">
        <v>0</v>
      </c>
      <c r="FF220">
        <v>0</v>
      </c>
      <c r="FG220">
        <v>0</v>
      </c>
      <c r="FH220">
        <v>-1</v>
      </c>
      <c r="FI220">
        <v>-1</v>
      </c>
      <c r="FJ220">
        <v>-1</v>
      </c>
      <c r="FK220">
        <v>-1</v>
      </c>
      <c r="FL220">
        <v>0.7</v>
      </c>
      <c r="FM220">
        <v>0.6</v>
      </c>
      <c r="FN220">
        <v>0.13916000000000001</v>
      </c>
      <c r="FO220">
        <v>4.99756</v>
      </c>
      <c r="FP220">
        <v>1.5979000000000001</v>
      </c>
      <c r="FQ220">
        <v>2.1154799999999998</v>
      </c>
      <c r="FR220">
        <v>1.5478499999999999</v>
      </c>
      <c r="FS220">
        <v>2.4621599999999999</v>
      </c>
      <c r="FT220">
        <v>42.777799999999999</v>
      </c>
      <c r="FU220">
        <v>14.5786</v>
      </c>
      <c r="FV220">
        <v>2</v>
      </c>
      <c r="FW220">
        <v>508.78800000000001</v>
      </c>
      <c r="FX220">
        <v>360.73700000000002</v>
      </c>
      <c r="FY220">
        <v>34.686399999999999</v>
      </c>
      <c r="FZ220">
        <v>34.8874</v>
      </c>
      <c r="GA220">
        <v>29.998899999999999</v>
      </c>
      <c r="GB220">
        <v>35.332000000000001</v>
      </c>
      <c r="GC220">
        <v>35.399700000000003</v>
      </c>
      <c r="GD220">
        <v>-1</v>
      </c>
      <c r="GE220">
        <v>0</v>
      </c>
      <c r="GF220">
        <v>100</v>
      </c>
      <c r="GG220">
        <v>34.702300000000001</v>
      </c>
      <c r="GH220">
        <v>432.1</v>
      </c>
      <c r="GI220">
        <v>44.267099999999999</v>
      </c>
      <c r="GJ220">
        <v>101.325</v>
      </c>
      <c r="GK220">
        <v>95.777199999999993</v>
      </c>
    </row>
    <row r="221" spans="1:193" x14ac:dyDescent="0.35">
      <c r="A221">
        <v>205</v>
      </c>
      <c r="B221">
        <v>1775544267.5999999</v>
      </c>
      <c r="C221">
        <v>12241.5</v>
      </c>
      <c r="D221" t="s">
        <v>932</v>
      </c>
      <c r="E221" t="s">
        <v>933</v>
      </c>
      <c r="F221">
        <v>60</v>
      </c>
      <c r="G221">
        <v>1775544259.849999</v>
      </c>
      <c r="H221">
        <f t="shared" si="90"/>
        <v>5.5232450965168054E-3</v>
      </c>
      <c r="I221">
        <f t="shared" si="91"/>
        <v>5.5232450965168054</v>
      </c>
      <c r="J221">
        <f t="shared" si="92"/>
        <v>1.9397301031005847</v>
      </c>
      <c r="K221">
        <f t="shared" si="93"/>
        <v>3.1655786666666659</v>
      </c>
      <c r="L221">
        <f t="shared" si="94"/>
        <v>-22.581634369685986</v>
      </c>
      <c r="M221">
        <f t="shared" si="95"/>
        <v>-2.2599962446864632</v>
      </c>
      <c r="N221">
        <f t="shared" si="96"/>
        <v>0.3168147965645115</v>
      </c>
      <c r="O221">
        <f t="shared" si="97"/>
        <v>0.1200040076318234</v>
      </c>
      <c r="P221">
        <f t="shared" si="98"/>
        <v>2.3884123330184077</v>
      </c>
      <c r="Q221">
        <f t="shared" si="99"/>
        <v>0.11675216722489637</v>
      </c>
      <c r="R221">
        <f t="shared" si="100"/>
        <v>7.3254929891241993E-2</v>
      </c>
      <c r="S221">
        <f t="shared" si="101"/>
        <v>9.6760484729999999E-2</v>
      </c>
      <c r="T221">
        <f t="shared" si="102"/>
        <v>31.461301842347233</v>
      </c>
      <c r="U221">
        <f t="shared" si="103"/>
        <v>33.07369666666667</v>
      </c>
      <c r="V221">
        <f t="shared" si="104"/>
        <v>5.0730648721210549</v>
      </c>
      <c r="W221">
        <f t="shared" si="105"/>
        <v>9.1980543974718323</v>
      </c>
      <c r="X221">
        <f t="shared" si="106"/>
        <v>0.46958642435968406</v>
      </c>
      <c r="Y221">
        <f t="shared" si="107"/>
        <v>5.1052799219012455</v>
      </c>
      <c r="Z221">
        <f t="shared" si="108"/>
        <v>4.6034784477613711</v>
      </c>
      <c r="AA221">
        <f t="shared" si="109"/>
        <v>-243.57510875639113</v>
      </c>
      <c r="AB221">
        <f t="shared" si="110"/>
        <v>14.520296730510101</v>
      </c>
      <c r="AC221">
        <f t="shared" si="111"/>
        <v>1.3941048045661049</v>
      </c>
      <c r="AD221">
        <f t="shared" si="112"/>
        <v>-227.56394673658494</v>
      </c>
      <c r="AE221">
        <v>5</v>
      </c>
      <c r="AF221">
        <v>1</v>
      </c>
      <c r="AG221">
        <f t="shared" si="113"/>
        <v>1</v>
      </c>
      <c r="AH221">
        <f t="shared" si="114"/>
        <v>0</v>
      </c>
      <c r="AI221">
        <f t="shared" si="115"/>
        <v>25011.392175134708</v>
      </c>
      <c r="AJ221">
        <f t="shared" si="116"/>
        <v>0.50633430000000001</v>
      </c>
      <c r="AK221">
        <f t="shared" si="117"/>
        <v>0.40506744000000006</v>
      </c>
      <c r="AL221">
        <f t="shared" si="118"/>
        <v>0.8</v>
      </c>
      <c r="AM221">
        <f t="shared" si="119"/>
        <v>0.19109999999999999</v>
      </c>
      <c r="AN221">
        <v>3</v>
      </c>
      <c r="AO221">
        <v>0.5</v>
      </c>
      <c r="AP221" t="s">
        <v>317</v>
      </c>
      <c r="AQ221">
        <v>2</v>
      </c>
      <c r="AR221">
        <v>1775544259.849999</v>
      </c>
      <c r="AS221">
        <v>3.1655786666666659</v>
      </c>
      <c r="AT221">
        <v>4.3376116666666658</v>
      </c>
      <c r="AU221">
        <v>4.6920560000000009</v>
      </c>
      <c r="AV221">
        <v>1.4001060000000001</v>
      </c>
      <c r="AW221">
        <v>-4.057421333333334</v>
      </c>
      <c r="AX221">
        <v>6.2500560000000007</v>
      </c>
      <c r="AY221">
        <v>500.97933333333327</v>
      </c>
      <c r="AZ221">
        <v>100.0389</v>
      </c>
      <c r="BA221">
        <v>4.226364333333333E-2</v>
      </c>
      <c r="BB221">
        <v>33.186463333333343</v>
      </c>
      <c r="BC221">
        <v>33.07369666666667</v>
      </c>
      <c r="BD221">
        <v>999.9000000000002</v>
      </c>
      <c r="BE221">
        <v>0</v>
      </c>
      <c r="BF221">
        <v>0</v>
      </c>
      <c r="BG221">
        <v>4999.0333333333338</v>
      </c>
      <c r="BH221">
        <v>0.50633430000000001</v>
      </c>
      <c r="BI221">
        <v>206.01656666666659</v>
      </c>
      <c r="BJ221">
        <v>-1.1836193333333329</v>
      </c>
      <c r="BK221">
        <v>3.1688113333333332</v>
      </c>
      <c r="BL221">
        <v>4.3436936666666659</v>
      </c>
      <c r="BM221">
        <v>3.2865613333333328</v>
      </c>
      <c r="BN221">
        <v>4.3376116666666658</v>
      </c>
      <c r="BO221">
        <v>1.4001060000000001</v>
      </c>
      <c r="BP221">
        <v>0.46884856666666658</v>
      </c>
      <c r="BQ221">
        <v>0.1400647666666667</v>
      </c>
      <c r="BR221">
        <v>-3.6803253333333328</v>
      </c>
      <c r="BS221">
        <v>-18.756853333333339</v>
      </c>
      <c r="BT221">
        <v>1775544308.0999999</v>
      </c>
      <c r="BU221" t="s">
        <v>934</v>
      </c>
      <c r="BV221">
        <v>1775544286.0999999</v>
      </c>
      <c r="BW221">
        <v>1775544308.0999999</v>
      </c>
      <c r="BX221">
        <v>206</v>
      </c>
      <c r="BY221">
        <v>1.0999999999999999E-2</v>
      </c>
      <c r="BZ221">
        <v>6.0000000000000001E-3</v>
      </c>
      <c r="CA221">
        <v>7.2229999999999999</v>
      </c>
      <c r="CB221">
        <v>-1.5580000000000001</v>
      </c>
      <c r="CC221">
        <v>4</v>
      </c>
      <c r="CD221">
        <v>1</v>
      </c>
      <c r="CE221">
        <v>0.24</v>
      </c>
      <c r="CF221">
        <v>7.0000000000000007E-2</v>
      </c>
      <c r="CG221">
        <v>4.3342930000000006</v>
      </c>
      <c r="CH221">
        <v>0.12608195609892911</v>
      </c>
      <c r="CI221">
        <v>5.0382289159981657E-2</v>
      </c>
      <c r="CJ221">
        <v>-1</v>
      </c>
      <c r="CK221">
        <v>500.90481666666659</v>
      </c>
      <c r="CL221">
        <v>5.7412614615922057E-2</v>
      </c>
      <c r="CM221">
        <v>1.6804402249774411</v>
      </c>
      <c r="CN221">
        <v>-1</v>
      </c>
      <c r="CO221">
        <v>0</v>
      </c>
      <c r="CP221">
        <v>0</v>
      </c>
      <c r="CQ221" t="s">
        <v>319</v>
      </c>
      <c r="CR221">
        <v>3.1681400000000002</v>
      </c>
      <c r="CS221">
        <v>2.6632799999999999</v>
      </c>
      <c r="CT221">
        <v>-1.1839400000000001E-3</v>
      </c>
      <c r="CU221">
        <v>1.28616E-3</v>
      </c>
      <c r="CV221">
        <v>4.0966099999999998E-2</v>
      </c>
      <c r="CW221">
        <v>1.06737E-2</v>
      </c>
      <c r="CX221">
        <v>21392.3</v>
      </c>
      <c r="CY221">
        <v>21777</v>
      </c>
      <c r="CZ221">
        <v>22898.799999999999</v>
      </c>
      <c r="DA221">
        <v>22168.6</v>
      </c>
      <c r="DB221">
        <v>28332.7</v>
      </c>
      <c r="DC221">
        <v>26125.9</v>
      </c>
      <c r="DD221">
        <v>40273.9</v>
      </c>
      <c r="DE221">
        <v>36700.199999999997</v>
      </c>
      <c r="DF221">
        <v>2.04026</v>
      </c>
      <c r="DG221">
        <v>1.66648</v>
      </c>
      <c r="DH221">
        <v>6.7430699999999996E-2</v>
      </c>
      <c r="DI221">
        <v>0</v>
      </c>
      <c r="DJ221">
        <v>31.996200000000002</v>
      </c>
      <c r="DK221">
        <v>999.9</v>
      </c>
      <c r="DL221">
        <v>58.2</v>
      </c>
      <c r="DM221">
        <v>40.6</v>
      </c>
      <c r="DN221">
        <v>44.531399999999998</v>
      </c>
      <c r="DO221">
        <v>30.589400000000001</v>
      </c>
      <c r="DP221">
        <v>11.1859</v>
      </c>
      <c r="DQ221">
        <v>1</v>
      </c>
      <c r="DR221">
        <v>0.60826800000000003</v>
      </c>
      <c r="DS221">
        <v>-1.69052</v>
      </c>
      <c r="DT221">
        <v>20.357900000000001</v>
      </c>
      <c r="DU221">
        <v>5.2104600000000003</v>
      </c>
      <c r="DV221">
        <v>11.854200000000001</v>
      </c>
      <c r="DW221">
        <v>4.9677199999999999</v>
      </c>
      <c r="DX221">
        <v>3.2930000000000001</v>
      </c>
      <c r="DY221">
        <v>894.7</v>
      </c>
      <c r="DZ221">
        <v>6</v>
      </c>
      <c r="EA221">
        <v>9999</v>
      </c>
      <c r="EB221">
        <v>119.1</v>
      </c>
      <c r="EC221">
        <v>4.9715499999999997</v>
      </c>
      <c r="ED221">
        <v>1.8719600000000001</v>
      </c>
      <c r="EE221">
        <v>1.86931</v>
      </c>
      <c r="EF221">
        <v>1.87164</v>
      </c>
      <c r="EG221">
        <v>1.8693500000000001</v>
      </c>
      <c r="EH221">
        <v>1.86829</v>
      </c>
      <c r="EI221">
        <v>1.87012</v>
      </c>
      <c r="EJ221">
        <v>1.8718900000000001</v>
      </c>
      <c r="EK221">
        <v>0</v>
      </c>
      <c r="EL221">
        <v>0</v>
      </c>
      <c r="EM221">
        <v>0</v>
      </c>
      <c r="EN221">
        <v>0</v>
      </c>
      <c r="EO221" t="s">
        <v>320</v>
      </c>
      <c r="EP221" t="s">
        <v>321</v>
      </c>
      <c r="EQ221" t="s">
        <v>322</v>
      </c>
      <c r="ER221" t="s">
        <v>322</v>
      </c>
      <c r="ES221" t="s">
        <v>322</v>
      </c>
      <c r="ET221" t="s">
        <v>322</v>
      </c>
      <c r="EU221">
        <v>0</v>
      </c>
      <c r="EV221">
        <v>100</v>
      </c>
      <c r="EW221">
        <v>100</v>
      </c>
      <c r="EX221">
        <v>7.2229999999999999</v>
      </c>
      <c r="EY221">
        <v>-1.5580000000000001</v>
      </c>
      <c r="EZ221">
        <v>7.211413499999999</v>
      </c>
      <c r="FA221">
        <v>0</v>
      </c>
      <c r="FB221">
        <v>0</v>
      </c>
      <c r="FC221">
        <v>0</v>
      </c>
      <c r="FD221">
        <v>-1.563390476190476</v>
      </c>
      <c r="FE221">
        <v>0</v>
      </c>
      <c r="FF221">
        <v>0</v>
      </c>
      <c r="FG221">
        <v>0</v>
      </c>
      <c r="FH221">
        <v>-1</v>
      </c>
      <c r="FI221">
        <v>-1</v>
      </c>
      <c r="FJ221">
        <v>-1</v>
      </c>
      <c r="FK221">
        <v>-1</v>
      </c>
      <c r="FL221">
        <v>0.7</v>
      </c>
      <c r="FM221">
        <v>0.3</v>
      </c>
      <c r="FN221">
        <v>0.14038100000000001</v>
      </c>
      <c r="FO221">
        <v>4.99756</v>
      </c>
      <c r="FP221">
        <v>1.5979000000000001</v>
      </c>
      <c r="FQ221">
        <v>2.1154799999999998</v>
      </c>
      <c r="FR221">
        <v>1.5478499999999999</v>
      </c>
      <c r="FS221">
        <v>2.3962400000000001</v>
      </c>
      <c r="FT221">
        <v>42.563699999999997</v>
      </c>
      <c r="FU221">
        <v>14.5611</v>
      </c>
      <c r="FV221">
        <v>2</v>
      </c>
      <c r="FW221">
        <v>507.59199999999998</v>
      </c>
      <c r="FX221">
        <v>361.06799999999998</v>
      </c>
      <c r="FY221">
        <v>34.8718</v>
      </c>
      <c r="FZ221">
        <v>34.711199999999998</v>
      </c>
      <c r="GA221">
        <v>29.998799999999999</v>
      </c>
      <c r="GB221">
        <v>35.173400000000001</v>
      </c>
      <c r="GC221">
        <v>35.235700000000001</v>
      </c>
      <c r="GD221">
        <v>-1</v>
      </c>
      <c r="GE221">
        <v>0</v>
      </c>
      <c r="GF221">
        <v>100</v>
      </c>
      <c r="GG221">
        <v>34.871400000000001</v>
      </c>
      <c r="GH221">
        <v>432.1</v>
      </c>
      <c r="GI221">
        <v>44.267099999999999</v>
      </c>
      <c r="GJ221">
        <v>101.348</v>
      </c>
      <c r="GK221">
        <v>95.802700000000002</v>
      </c>
    </row>
    <row r="222" spans="1:193" x14ac:dyDescent="0.35">
      <c r="A222">
        <v>206</v>
      </c>
      <c r="B222">
        <v>1775544327.5999999</v>
      </c>
      <c r="C222">
        <v>12301.5</v>
      </c>
      <c r="D222" t="s">
        <v>935</v>
      </c>
      <c r="E222" t="s">
        <v>936</v>
      </c>
      <c r="F222">
        <v>60</v>
      </c>
      <c r="G222">
        <v>1775544319.849999</v>
      </c>
      <c r="H222">
        <f t="shared" si="90"/>
        <v>5.634497755319331E-3</v>
      </c>
      <c r="I222">
        <f t="shared" si="91"/>
        <v>5.6344977553193312</v>
      </c>
      <c r="J222">
        <f t="shared" si="92"/>
        <v>2.1326531783593028</v>
      </c>
      <c r="K222">
        <f t="shared" si="93"/>
        <v>3.4805023333333329</v>
      </c>
      <c r="L222">
        <f t="shared" si="94"/>
        <v>-24.290703577434567</v>
      </c>
      <c r="M222">
        <f t="shared" si="95"/>
        <v>-2.4309544092452242</v>
      </c>
      <c r="N222">
        <f t="shared" si="96"/>
        <v>0.348320190340841</v>
      </c>
      <c r="O222">
        <f t="shared" si="97"/>
        <v>0.12239952802166619</v>
      </c>
      <c r="P222">
        <f t="shared" si="98"/>
        <v>2.3884375762829633</v>
      </c>
      <c r="Q222">
        <f t="shared" si="99"/>
        <v>0.11901856940118928</v>
      </c>
      <c r="R222">
        <f t="shared" si="100"/>
        <v>7.4682592787816693E-2</v>
      </c>
      <c r="S222">
        <f t="shared" si="101"/>
        <v>0.10235449132999999</v>
      </c>
      <c r="T222">
        <f t="shared" si="102"/>
        <v>31.41993864535565</v>
      </c>
      <c r="U222">
        <f t="shared" si="103"/>
        <v>33.067066666666669</v>
      </c>
      <c r="V222">
        <f t="shared" si="104"/>
        <v>5.0711763389172644</v>
      </c>
      <c r="W222">
        <f t="shared" si="105"/>
        <v>9.0998959584780081</v>
      </c>
      <c r="X222">
        <f t="shared" si="106"/>
        <v>0.46440192330324903</v>
      </c>
      <c r="Y222">
        <f t="shared" si="107"/>
        <v>5.1033761860824836</v>
      </c>
      <c r="Z222">
        <f t="shared" si="108"/>
        <v>4.6067744156140158</v>
      </c>
      <c r="AA222">
        <f t="shared" si="109"/>
        <v>-248.48135100958248</v>
      </c>
      <c r="AB222">
        <f t="shared" si="110"/>
        <v>14.518304105565816</v>
      </c>
      <c r="AC222">
        <f t="shared" si="111"/>
        <v>1.3938080821270566</v>
      </c>
      <c r="AD222">
        <f t="shared" si="112"/>
        <v>-232.46688433055959</v>
      </c>
      <c r="AE222">
        <v>5</v>
      </c>
      <c r="AF222">
        <v>1</v>
      </c>
      <c r="AG222">
        <f t="shared" si="113"/>
        <v>1</v>
      </c>
      <c r="AH222">
        <f t="shared" si="114"/>
        <v>0</v>
      </c>
      <c r="AI222">
        <f t="shared" si="115"/>
        <v>25012.364734648574</v>
      </c>
      <c r="AJ222">
        <f t="shared" si="116"/>
        <v>0.53560696666666663</v>
      </c>
      <c r="AK222">
        <f t="shared" si="117"/>
        <v>0.42848557333333331</v>
      </c>
      <c r="AL222">
        <f t="shared" si="118"/>
        <v>0.8</v>
      </c>
      <c r="AM222">
        <f t="shared" si="119"/>
        <v>0.19109999999999999</v>
      </c>
      <c r="AN222">
        <v>3</v>
      </c>
      <c r="AO222">
        <v>0.5</v>
      </c>
      <c r="AP222" t="s">
        <v>317</v>
      </c>
      <c r="AQ222">
        <v>2</v>
      </c>
      <c r="AR222">
        <v>1775544319.849999</v>
      </c>
      <c r="AS222">
        <v>3.4805023333333329</v>
      </c>
      <c r="AT222">
        <v>4.7692610000000002</v>
      </c>
      <c r="AU222">
        <v>4.6404200000000007</v>
      </c>
      <c r="AV222">
        <v>1.2821836666666671</v>
      </c>
      <c r="AW222">
        <v>-3.7404976666666672</v>
      </c>
      <c r="AX222">
        <v>6.1874200000000004</v>
      </c>
      <c r="AY222">
        <v>501.00863333333331</v>
      </c>
      <c r="AZ222">
        <v>100.0375333333333</v>
      </c>
      <c r="BA222">
        <v>4.0029323333333332E-2</v>
      </c>
      <c r="BB222">
        <v>33.17981666666666</v>
      </c>
      <c r="BC222">
        <v>33.067066666666669</v>
      </c>
      <c r="BD222">
        <v>999.9000000000002</v>
      </c>
      <c r="BE222">
        <v>0</v>
      </c>
      <c r="BF222">
        <v>0</v>
      </c>
      <c r="BG222">
        <v>4999.166666666667</v>
      </c>
      <c r="BH222">
        <v>0.53560696666666663</v>
      </c>
      <c r="BI222">
        <v>230.2030666666667</v>
      </c>
      <c r="BJ222">
        <v>-1.286895233333333</v>
      </c>
      <c r="BK222">
        <v>3.498536333333333</v>
      </c>
      <c r="BL222">
        <v>4.775383333333334</v>
      </c>
      <c r="BM222">
        <v>3.3475636666666659</v>
      </c>
      <c r="BN222">
        <v>4.7692610000000002</v>
      </c>
      <c r="BO222">
        <v>1.2821836666666671</v>
      </c>
      <c r="BP222">
        <v>0.46314853333333339</v>
      </c>
      <c r="BQ222">
        <v>0.12826653333333329</v>
      </c>
      <c r="BR222">
        <v>-3.8439086666666671</v>
      </c>
      <c r="BS222">
        <v>-19.782716666666669</v>
      </c>
      <c r="BT222">
        <v>1775544355.5999999</v>
      </c>
      <c r="BU222" t="s">
        <v>937</v>
      </c>
      <c r="BV222">
        <v>1775544344.5999999</v>
      </c>
      <c r="BW222">
        <v>1775544355.5999999</v>
      </c>
      <c r="BX222">
        <v>207</v>
      </c>
      <c r="BY222">
        <v>-2E-3</v>
      </c>
      <c r="BZ222">
        <v>0.01</v>
      </c>
      <c r="CA222">
        <v>7.2210000000000001</v>
      </c>
      <c r="CB222">
        <v>-1.5469999999999999</v>
      </c>
      <c r="CC222">
        <v>5</v>
      </c>
      <c r="CD222">
        <v>1</v>
      </c>
      <c r="CE222">
        <v>0.3</v>
      </c>
      <c r="CF222">
        <v>0.02</v>
      </c>
      <c r="CG222">
        <v>4.6687183333333344</v>
      </c>
      <c r="CH222">
        <v>0.60096000000000405</v>
      </c>
      <c r="CI222">
        <v>9.9646006378691546E-2</v>
      </c>
      <c r="CJ222">
        <v>-1</v>
      </c>
      <c r="CK222">
        <v>500.8735666666667</v>
      </c>
      <c r="CL222">
        <v>0.85196332314615164</v>
      </c>
      <c r="CM222">
        <v>1.639753826713698</v>
      </c>
      <c r="CN222">
        <v>-1</v>
      </c>
      <c r="CO222">
        <v>0</v>
      </c>
      <c r="CP222">
        <v>0</v>
      </c>
      <c r="CQ222" t="s">
        <v>319</v>
      </c>
      <c r="CR222">
        <v>3.1682800000000002</v>
      </c>
      <c r="CS222">
        <v>2.6623700000000001</v>
      </c>
      <c r="CT222">
        <v>-1.0912999999999999E-3</v>
      </c>
      <c r="CU222">
        <v>1.40037E-3</v>
      </c>
      <c r="CV222">
        <v>4.0479800000000003E-2</v>
      </c>
      <c r="CW222">
        <v>9.5391199999999999E-3</v>
      </c>
      <c r="CX222">
        <v>21395.599999999999</v>
      </c>
      <c r="CY222">
        <v>21779.7</v>
      </c>
      <c r="CZ222">
        <v>22903.8</v>
      </c>
      <c r="DA222">
        <v>22173.4</v>
      </c>
      <c r="DB222">
        <v>28352.9</v>
      </c>
      <c r="DC222">
        <v>26162.1</v>
      </c>
      <c r="DD222">
        <v>40281.800000000003</v>
      </c>
      <c r="DE222">
        <v>36708.699999999997</v>
      </c>
      <c r="DF222">
        <v>2.0423200000000001</v>
      </c>
      <c r="DG222">
        <v>1.6689400000000001</v>
      </c>
      <c r="DH222">
        <v>6.57827E-2</v>
      </c>
      <c r="DI222">
        <v>0</v>
      </c>
      <c r="DJ222">
        <v>31.991800000000001</v>
      </c>
      <c r="DK222">
        <v>999.9</v>
      </c>
      <c r="DL222">
        <v>58.3</v>
      </c>
      <c r="DM222">
        <v>40.4</v>
      </c>
      <c r="DN222">
        <v>44.137700000000002</v>
      </c>
      <c r="DO222">
        <v>30.109400000000001</v>
      </c>
      <c r="DP222">
        <v>11.0817</v>
      </c>
      <c r="DQ222">
        <v>1</v>
      </c>
      <c r="DR222">
        <v>0.59415399999999996</v>
      </c>
      <c r="DS222">
        <v>-1.6622399999999999</v>
      </c>
      <c r="DT222">
        <v>20.3584</v>
      </c>
      <c r="DU222">
        <v>5.2104600000000003</v>
      </c>
      <c r="DV222">
        <v>11.854200000000001</v>
      </c>
      <c r="DW222">
        <v>4.9677600000000002</v>
      </c>
      <c r="DX222">
        <v>3.29298</v>
      </c>
      <c r="DY222">
        <v>894.7</v>
      </c>
      <c r="DZ222">
        <v>6</v>
      </c>
      <c r="EA222">
        <v>9999</v>
      </c>
      <c r="EB222">
        <v>119.2</v>
      </c>
      <c r="EC222">
        <v>4.9715699999999998</v>
      </c>
      <c r="ED222">
        <v>1.8719699999999999</v>
      </c>
      <c r="EE222">
        <v>1.8692500000000001</v>
      </c>
      <c r="EF222">
        <v>1.87164</v>
      </c>
      <c r="EG222">
        <v>1.8693599999999999</v>
      </c>
      <c r="EH222">
        <v>1.86829</v>
      </c>
      <c r="EI222">
        <v>1.87012</v>
      </c>
      <c r="EJ222">
        <v>1.87181</v>
      </c>
      <c r="EK222">
        <v>0</v>
      </c>
      <c r="EL222">
        <v>0</v>
      </c>
      <c r="EM222">
        <v>0</v>
      </c>
      <c r="EN222">
        <v>0</v>
      </c>
      <c r="EO222" t="s">
        <v>320</v>
      </c>
      <c r="EP222" t="s">
        <v>321</v>
      </c>
      <c r="EQ222" t="s">
        <v>322</v>
      </c>
      <c r="ER222" t="s">
        <v>322</v>
      </c>
      <c r="ES222" t="s">
        <v>322</v>
      </c>
      <c r="ET222" t="s">
        <v>322</v>
      </c>
      <c r="EU222">
        <v>0</v>
      </c>
      <c r="EV222">
        <v>100</v>
      </c>
      <c r="EW222">
        <v>100</v>
      </c>
      <c r="EX222">
        <v>7.2210000000000001</v>
      </c>
      <c r="EY222">
        <v>-1.5469999999999999</v>
      </c>
      <c r="EZ222">
        <v>7.2228642857142864</v>
      </c>
      <c r="FA222">
        <v>0</v>
      </c>
      <c r="FB222">
        <v>0</v>
      </c>
      <c r="FC222">
        <v>0</v>
      </c>
      <c r="FD222">
        <v>-1.557673809523809</v>
      </c>
      <c r="FE222">
        <v>0</v>
      </c>
      <c r="FF222">
        <v>0</v>
      </c>
      <c r="FG222">
        <v>0</v>
      </c>
      <c r="FH222">
        <v>-1</v>
      </c>
      <c r="FI222">
        <v>-1</v>
      </c>
      <c r="FJ222">
        <v>-1</v>
      </c>
      <c r="FK222">
        <v>-1</v>
      </c>
      <c r="FL222">
        <v>0.7</v>
      </c>
      <c r="FM222">
        <v>0.3</v>
      </c>
      <c r="FN222">
        <v>0.14038100000000001</v>
      </c>
      <c r="FO222">
        <v>4.99756</v>
      </c>
      <c r="FP222">
        <v>1.5979000000000001</v>
      </c>
      <c r="FQ222">
        <v>2.1154799999999998</v>
      </c>
      <c r="FR222">
        <v>1.5478499999999999</v>
      </c>
      <c r="FS222">
        <v>2.50122</v>
      </c>
      <c r="FT222">
        <v>42.377200000000002</v>
      </c>
      <c r="FU222">
        <v>14.569800000000001</v>
      </c>
      <c r="FV222">
        <v>2</v>
      </c>
      <c r="FW222">
        <v>507.70600000000002</v>
      </c>
      <c r="FX222">
        <v>361.58199999999999</v>
      </c>
      <c r="FY222">
        <v>34.773200000000003</v>
      </c>
      <c r="FZ222">
        <v>34.552700000000002</v>
      </c>
      <c r="GA222">
        <v>29.998999999999999</v>
      </c>
      <c r="GB222">
        <v>35.016399999999997</v>
      </c>
      <c r="GC222">
        <v>35.080599999999997</v>
      </c>
      <c r="GD222">
        <v>-1</v>
      </c>
      <c r="GE222">
        <v>0</v>
      </c>
      <c r="GF222">
        <v>100</v>
      </c>
      <c r="GG222">
        <v>34.795200000000001</v>
      </c>
      <c r="GH222">
        <v>432.1</v>
      </c>
      <c r="GI222">
        <v>44.267099999999999</v>
      </c>
      <c r="GJ222">
        <v>101.369</v>
      </c>
      <c r="GK222">
        <v>95.824299999999994</v>
      </c>
    </row>
    <row r="223" spans="1:193" x14ac:dyDescent="0.35">
      <c r="A223">
        <v>207</v>
      </c>
      <c r="B223">
        <v>1775544387.5999999</v>
      </c>
      <c r="C223">
        <v>12361.5</v>
      </c>
      <c r="D223" t="s">
        <v>938</v>
      </c>
      <c r="E223" t="s">
        <v>939</v>
      </c>
      <c r="F223">
        <v>60</v>
      </c>
      <c r="G223">
        <v>1775544379.599999</v>
      </c>
      <c r="H223">
        <f t="shared" si="90"/>
        <v>5.7519753577715306E-3</v>
      </c>
      <c r="I223">
        <f t="shared" si="91"/>
        <v>5.7519753577715305</v>
      </c>
      <c r="J223">
        <f t="shared" si="92"/>
        <v>1.9694036021586427</v>
      </c>
      <c r="K223">
        <f t="shared" si="93"/>
        <v>3.7534493548387098</v>
      </c>
      <c r="L223">
        <f t="shared" si="94"/>
        <v>-21.381059565016113</v>
      </c>
      <c r="M223">
        <f t="shared" si="95"/>
        <v>-2.1395453095678336</v>
      </c>
      <c r="N223">
        <f t="shared" si="96"/>
        <v>0.3755976142073631</v>
      </c>
      <c r="O223">
        <f t="shared" si="97"/>
        <v>0.12517825968748481</v>
      </c>
      <c r="P223">
        <f t="shared" si="98"/>
        <v>2.3891957258014127</v>
      </c>
      <c r="Q223">
        <f t="shared" si="99"/>
        <v>0.12164552200398347</v>
      </c>
      <c r="R223">
        <f t="shared" si="100"/>
        <v>7.6337549243713415E-2</v>
      </c>
      <c r="S223">
        <f t="shared" si="101"/>
        <v>0.10047091746774194</v>
      </c>
      <c r="T223">
        <f t="shared" si="102"/>
        <v>31.414186968712478</v>
      </c>
      <c r="U223">
        <f t="shared" si="103"/>
        <v>33.104190322580649</v>
      </c>
      <c r="V223">
        <f t="shared" si="104"/>
        <v>5.081758768893522</v>
      </c>
      <c r="W223">
        <f t="shared" si="105"/>
        <v>9.4214832972993694</v>
      </c>
      <c r="X223">
        <f t="shared" si="106"/>
        <v>0.48163462673630142</v>
      </c>
      <c r="Y223">
        <f t="shared" si="107"/>
        <v>5.112089164074197</v>
      </c>
      <c r="Z223">
        <f t="shared" si="108"/>
        <v>4.6001241421572203</v>
      </c>
      <c r="AA223">
        <f t="shared" si="109"/>
        <v>-253.6621132777245</v>
      </c>
      <c r="AB223">
        <f t="shared" si="110"/>
        <v>13.657209455078656</v>
      </c>
      <c r="AC223">
        <f t="shared" si="111"/>
        <v>1.3111576534863358</v>
      </c>
      <c r="AD223">
        <f t="shared" si="112"/>
        <v>-238.59327525169178</v>
      </c>
      <c r="AE223">
        <v>4</v>
      </c>
      <c r="AF223">
        <v>1</v>
      </c>
      <c r="AG223">
        <f t="shared" si="113"/>
        <v>1</v>
      </c>
      <c r="AH223">
        <f t="shared" si="114"/>
        <v>0</v>
      </c>
      <c r="AI223">
        <f t="shared" si="115"/>
        <v>25021.58995901062</v>
      </c>
      <c r="AJ223">
        <f t="shared" si="116"/>
        <v>0.52575048387096779</v>
      </c>
      <c r="AK223">
        <f t="shared" si="117"/>
        <v>0.42060038709677428</v>
      </c>
      <c r="AL223">
        <f t="shared" si="118"/>
        <v>0.8</v>
      </c>
      <c r="AM223">
        <f t="shared" si="119"/>
        <v>0.19109999999999999</v>
      </c>
      <c r="AN223">
        <v>3</v>
      </c>
      <c r="AO223">
        <v>0.5</v>
      </c>
      <c r="AP223" t="s">
        <v>317</v>
      </c>
      <c r="AQ223">
        <v>2</v>
      </c>
      <c r="AR223">
        <v>1775544379.599999</v>
      </c>
      <c r="AS223">
        <v>3.7534493548387098</v>
      </c>
      <c r="AT223">
        <v>4.9480619354838709</v>
      </c>
      <c r="AU223">
        <v>4.813106129032259</v>
      </c>
      <c r="AV223">
        <v>1.3784841935483869</v>
      </c>
      <c r="AW223">
        <v>-3.4775506451612901</v>
      </c>
      <c r="AX223">
        <v>6.3501061290322589</v>
      </c>
      <c r="AY223">
        <v>499.99306451612898</v>
      </c>
      <c r="AZ223">
        <v>100.02703225806449</v>
      </c>
      <c r="BA223">
        <v>4.0286812903225798E-2</v>
      </c>
      <c r="BB223">
        <v>33.210219354838713</v>
      </c>
      <c r="BC223">
        <v>33.104190322580649</v>
      </c>
      <c r="BD223">
        <v>999.90000000000032</v>
      </c>
      <c r="BE223">
        <v>0</v>
      </c>
      <c r="BF223">
        <v>0</v>
      </c>
      <c r="BG223">
        <v>5001.6451612903229</v>
      </c>
      <c r="BH223">
        <v>0.52575048387096779</v>
      </c>
      <c r="BI223">
        <v>255.56719354838711</v>
      </c>
      <c r="BJ223">
        <v>-1.2046625806451621</v>
      </c>
      <c r="BK223">
        <v>3.7614664516129031</v>
      </c>
      <c r="BL223">
        <v>4.9548925806451596</v>
      </c>
      <c r="BM223">
        <v>3.4242225806451621</v>
      </c>
      <c r="BN223">
        <v>4.9480619354838709</v>
      </c>
      <c r="BO223">
        <v>1.3784841935483869</v>
      </c>
      <c r="BP223">
        <v>0.48040029032258058</v>
      </c>
      <c r="BQ223">
        <v>0.13788561290322579</v>
      </c>
      <c r="BR223">
        <v>-3.3240361290322582</v>
      </c>
      <c r="BS223">
        <v>-18.940267741935489</v>
      </c>
      <c r="BT223">
        <v>1775544428</v>
      </c>
      <c r="BU223" t="s">
        <v>940</v>
      </c>
      <c r="BV223">
        <v>1775544405.5999999</v>
      </c>
      <c r="BW223">
        <v>1775544428</v>
      </c>
      <c r="BX223">
        <v>208</v>
      </c>
      <c r="BY223">
        <v>0.01</v>
      </c>
      <c r="BZ223">
        <v>1.0999999999999999E-2</v>
      </c>
      <c r="CA223">
        <v>7.2309999999999999</v>
      </c>
      <c r="CB223">
        <v>-1.5369999999999999</v>
      </c>
      <c r="CC223">
        <v>5</v>
      </c>
      <c r="CD223">
        <v>1</v>
      </c>
      <c r="CE223">
        <v>0.15</v>
      </c>
      <c r="CF223">
        <v>0.11</v>
      </c>
      <c r="CG223">
        <v>4.9799591803278682</v>
      </c>
      <c r="CH223">
        <v>-0.18506868323637471</v>
      </c>
      <c r="CI223">
        <v>6.5852444203118657E-2</v>
      </c>
      <c r="CJ223">
        <v>-1</v>
      </c>
      <c r="CK223">
        <v>500.8514426229508</v>
      </c>
      <c r="CL223">
        <v>-7.6653410893710676</v>
      </c>
      <c r="CM223">
        <v>1.6950848087936361</v>
      </c>
      <c r="CN223">
        <v>-1</v>
      </c>
      <c r="CO223">
        <v>0</v>
      </c>
      <c r="CP223">
        <v>0</v>
      </c>
      <c r="CQ223" t="s">
        <v>319</v>
      </c>
      <c r="CR223">
        <v>3.1680899999999999</v>
      </c>
      <c r="CS223">
        <v>2.6613699999999998</v>
      </c>
      <c r="CT223">
        <v>-1.03396E-3</v>
      </c>
      <c r="CU223">
        <v>1.4411700000000001E-3</v>
      </c>
      <c r="CV223">
        <v>4.0691600000000001E-2</v>
      </c>
      <c r="CW223">
        <v>1.02507E-2</v>
      </c>
      <c r="CX223">
        <v>21398.7</v>
      </c>
      <c r="CY223">
        <v>21783.4</v>
      </c>
      <c r="CZ223">
        <v>22907.9</v>
      </c>
      <c r="DA223">
        <v>22177.8</v>
      </c>
      <c r="DB223">
        <v>28351</v>
      </c>
      <c r="DC223">
        <v>26149</v>
      </c>
      <c r="DD223">
        <v>40287.699999999997</v>
      </c>
      <c r="DE223">
        <v>36716.5</v>
      </c>
      <c r="DF223">
        <v>2.0450400000000002</v>
      </c>
      <c r="DG223">
        <v>1.67326</v>
      </c>
      <c r="DH223">
        <v>6.6387699999999994E-2</v>
      </c>
      <c r="DI223">
        <v>0</v>
      </c>
      <c r="DJ223">
        <v>32.013100000000001</v>
      </c>
      <c r="DK223">
        <v>999.9</v>
      </c>
      <c r="DL223">
        <v>58.5</v>
      </c>
      <c r="DM223">
        <v>40.299999999999997</v>
      </c>
      <c r="DN223">
        <v>44.058900000000001</v>
      </c>
      <c r="DO223">
        <v>30.529399999999999</v>
      </c>
      <c r="DP223">
        <v>11.4343</v>
      </c>
      <c r="DQ223">
        <v>1</v>
      </c>
      <c r="DR223">
        <v>0.58093899999999998</v>
      </c>
      <c r="DS223">
        <v>-1.5043800000000001</v>
      </c>
      <c r="DT223">
        <v>20.3598</v>
      </c>
      <c r="DU223">
        <v>5.20411</v>
      </c>
      <c r="DV223">
        <v>11.854200000000001</v>
      </c>
      <c r="DW223">
        <v>4.9670399999999999</v>
      </c>
      <c r="DX223">
        <v>3.2923</v>
      </c>
      <c r="DY223">
        <v>894.7</v>
      </c>
      <c r="DZ223">
        <v>6</v>
      </c>
      <c r="EA223">
        <v>9999</v>
      </c>
      <c r="EB223">
        <v>119.2</v>
      </c>
      <c r="EC223">
        <v>4.9715600000000002</v>
      </c>
      <c r="ED223">
        <v>1.8719600000000001</v>
      </c>
      <c r="EE223">
        <v>1.86927</v>
      </c>
      <c r="EF223">
        <v>1.87164</v>
      </c>
      <c r="EG223">
        <v>1.8693599999999999</v>
      </c>
      <c r="EH223">
        <v>1.86829</v>
      </c>
      <c r="EI223">
        <v>1.87012</v>
      </c>
      <c r="EJ223">
        <v>1.87181</v>
      </c>
      <c r="EK223">
        <v>0</v>
      </c>
      <c r="EL223">
        <v>0</v>
      </c>
      <c r="EM223">
        <v>0</v>
      </c>
      <c r="EN223">
        <v>0</v>
      </c>
      <c r="EO223" t="s">
        <v>320</v>
      </c>
      <c r="EP223" t="s">
        <v>321</v>
      </c>
      <c r="EQ223" t="s">
        <v>322</v>
      </c>
      <c r="ER223" t="s">
        <v>322</v>
      </c>
      <c r="ES223" t="s">
        <v>322</v>
      </c>
      <c r="ET223" t="s">
        <v>322</v>
      </c>
      <c r="EU223">
        <v>0</v>
      </c>
      <c r="EV223">
        <v>100</v>
      </c>
      <c r="EW223">
        <v>100</v>
      </c>
      <c r="EX223">
        <v>7.2309999999999999</v>
      </c>
      <c r="EY223">
        <v>-1.5369999999999999</v>
      </c>
      <c r="EZ223">
        <v>7.2209514999999991</v>
      </c>
      <c r="FA223">
        <v>0</v>
      </c>
      <c r="FB223">
        <v>0</v>
      </c>
      <c r="FC223">
        <v>0</v>
      </c>
      <c r="FD223">
        <v>-1.5474005</v>
      </c>
      <c r="FE223">
        <v>0</v>
      </c>
      <c r="FF223">
        <v>0</v>
      </c>
      <c r="FG223">
        <v>0</v>
      </c>
      <c r="FH223">
        <v>-1</v>
      </c>
      <c r="FI223">
        <v>-1</v>
      </c>
      <c r="FJ223">
        <v>-1</v>
      </c>
      <c r="FK223">
        <v>-1</v>
      </c>
      <c r="FL223">
        <v>0.7</v>
      </c>
      <c r="FM223">
        <v>0.5</v>
      </c>
      <c r="FN223">
        <v>0.14038100000000001</v>
      </c>
      <c r="FO223">
        <v>4.99634</v>
      </c>
      <c r="FP223">
        <v>1.5979000000000001</v>
      </c>
      <c r="FQ223">
        <v>2.1142599999999998</v>
      </c>
      <c r="FR223">
        <v>1.5478499999999999</v>
      </c>
      <c r="FS223">
        <v>2.3901400000000002</v>
      </c>
      <c r="FT223">
        <v>42.164999999999999</v>
      </c>
      <c r="FU223">
        <v>14.552300000000001</v>
      </c>
      <c r="FV223">
        <v>2</v>
      </c>
      <c r="FW223">
        <v>508.21</v>
      </c>
      <c r="FX223">
        <v>363.13600000000002</v>
      </c>
      <c r="FY223">
        <v>34.740200000000002</v>
      </c>
      <c r="FZ223">
        <v>34.407499999999999</v>
      </c>
      <c r="GA223">
        <v>29.999099999999999</v>
      </c>
      <c r="GB223">
        <v>34.858800000000002</v>
      </c>
      <c r="GC223">
        <v>34.932499999999997</v>
      </c>
      <c r="GD223">
        <v>-1</v>
      </c>
      <c r="GE223">
        <v>0</v>
      </c>
      <c r="GF223">
        <v>100</v>
      </c>
      <c r="GG223">
        <v>34.736800000000002</v>
      </c>
      <c r="GH223">
        <v>432.1</v>
      </c>
      <c r="GI223">
        <v>44.267099999999999</v>
      </c>
      <c r="GJ223">
        <v>101.38500000000001</v>
      </c>
      <c r="GK223">
        <v>95.844099999999997</v>
      </c>
    </row>
    <row r="224" spans="1:193" x14ac:dyDescent="0.35">
      <c r="A224">
        <v>208</v>
      </c>
      <c r="B224">
        <v>1775544448</v>
      </c>
      <c r="C224">
        <v>12421.900000095369</v>
      </c>
      <c r="D224" t="s">
        <v>941</v>
      </c>
      <c r="E224" t="s">
        <v>942</v>
      </c>
      <c r="F224">
        <v>60</v>
      </c>
      <c r="G224">
        <v>1775544440</v>
      </c>
      <c r="H224">
        <f t="shared" si="90"/>
        <v>5.6885213395733644E-3</v>
      </c>
      <c r="I224">
        <f t="shared" si="91"/>
        <v>5.6885213395733647</v>
      </c>
      <c r="J224">
        <f t="shared" si="92"/>
        <v>2.2042027637355415</v>
      </c>
      <c r="K224">
        <f t="shared" si="93"/>
        <v>4.0871332258064514</v>
      </c>
      <c r="L224">
        <f t="shared" si="94"/>
        <v>-24.438876144805285</v>
      </c>
      <c r="M224">
        <f t="shared" si="95"/>
        <v>-2.4452802708539618</v>
      </c>
      <c r="N224">
        <f t="shared" si="96"/>
        <v>0.40894622904092026</v>
      </c>
      <c r="O224">
        <f t="shared" si="97"/>
        <v>0.12333935443254003</v>
      </c>
      <c r="P224">
        <f t="shared" si="98"/>
        <v>2.3862757075852352</v>
      </c>
      <c r="Q224">
        <f t="shared" si="99"/>
        <v>0.11990404373460303</v>
      </c>
      <c r="R224">
        <f t="shared" si="100"/>
        <v>7.5240706609337973E-2</v>
      </c>
      <c r="S224">
        <f t="shared" si="101"/>
        <v>0.10381728189677418</v>
      </c>
      <c r="T224">
        <f t="shared" si="102"/>
        <v>31.397399367309564</v>
      </c>
      <c r="U224">
        <f t="shared" si="103"/>
        <v>33.074151612903229</v>
      </c>
      <c r="V224">
        <f t="shared" si="104"/>
        <v>5.0731944844583383</v>
      </c>
      <c r="W224">
        <f t="shared" si="105"/>
        <v>8.9659055322066639</v>
      </c>
      <c r="X224">
        <f t="shared" si="106"/>
        <v>0.45745621168872619</v>
      </c>
      <c r="Y224">
        <f t="shared" si="107"/>
        <v>5.1021752353455625</v>
      </c>
      <c r="Z224">
        <f t="shared" si="108"/>
        <v>4.6157382727696117</v>
      </c>
      <c r="AA224">
        <f t="shared" si="109"/>
        <v>-250.86379107518536</v>
      </c>
      <c r="AB224">
        <f t="shared" si="110"/>
        <v>13.054127970708114</v>
      </c>
      <c r="AC224">
        <f t="shared" si="111"/>
        <v>1.254395187871661</v>
      </c>
      <c r="AD224">
        <f t="shared" si="112"/>
        <v>-236.45145063470881</v>
      </c>
      <c r="AE224">
        <v>5</v>
      </c>
      <c r="AF224">
        <v>1</v>
      </c>
      <c r="AG224">
        <f t="shared" si="113"/>
        <v>1</v>
      </c>
      <c r="AH224">
        <f t="shared" si="114"/>
        <v>0</v>
      </c>
      <c r="AI224">
        <f t="shared" si="115"/>
        <v>24981.333432552576</v>
      </c>
      <c r="AJ224">
        <f t="shared" si="116"/>
        <v>0.54326154838709673</v>
      </c>
      <c r="AK224">
        <f t="shared" si="117"/>
        <v>0.43460923870967738</v>
      </c>
      <c r="AL224">
        <f t="shared" si="118"/>
        <v>0.8</v>
      </c>
      <c r="AM224">
        <f t="shared" si="119"/>
        <v>0.19109999999999999</v>
      </c>
      <c r="AN224">
        <v>3</v>
      </c>
      <c r="AO224">
        <v>0.5</v>
      </c>
      <c r="AP224" t="s">
        <v>317</v>
      </c>
      <c r="AQ224">
        <v>2</v>
      </c>
      <c r="AR224">
        <v>1775544440</v>
      </c>
      <c r="AS224">
        <v>4.0871332258064514</v>
      </c>
      <c r="AT224">
        <v>5.421050322580645</v>
      </c>
      <c r="AU224">
        <v>4.5719567741935494</v>
      </c>
      <c r="AV224">
        <v>1.1809422580645159</v>
      </c>
      <c r="AW224">
        <v>-3.1158667741935488</v>
      </c>
      <c r="AX224">
        <v>6.1159567741935481</v>
      </c>
      <c r="AY224">
        <v>500.95748387096762</v>
      </c>
      <c r="AZ224">
        <v>100.0159032258064</v>
      </c>
      <c r="BA224">
        <v>4.1082061290322588E-2</v>
      </c>
      <c r="BB224">
        <v>33.175622580645168</v>
      </c>
      <c r="BC224">
        <v>33.074151612903229</v>
      </c>
      <c r="BD224">
        <v>999.90000000000032</v>
      </c>
      <c r="BE224">
        <v>0</v>
      </c>
      <c r="BF224">
        <v>0</v>
      </c>
      <c r="BG224">
        <v>4994.677419354839</v>
      </c>
      <c r="BH224">
        <v>0.54326154838709673</v>
      </c>
      <c r="BI224">
        <v>278.42870967741942</v>
      </c>
      <c r="BJ224">
        <v>-1.305648451612903</v>
      </c>
      <c r="BK224">
        <v>4.1342967741935484</v>
      </c>
      <c r="BL224">
        <v>5.427458064516129</v>
      </c>
      <c r="BM224">
        <v>3.3982025806451608</v>
      </c>
      <c r="BN224">
        <v>5.421050322580645</v>
      </c>
      <c r="BO224">
        <v>1.1809422580645159</v>
      </c>
      <c r="BP224">
        <v>0.45798683870967738</v>
      </c>
      <c r="BQ224">
        <v>0.1181128709677419</v>
      </c>
      <c r="BR224">
        <v>-3.9970332258064518</v>
      </c>
      <c r="BS224">
        <v>-20.73738387096774</v>
      </c>
      <c r="BT224">
        <v>1775544486</v>
      </c>
      <c r="BU224" t="s">
        <v>943</v>
      </c>
      <c r="BV224">
        <v>1775544466</v>
      </c>
      <c r="BW224">
        <v>1775544486</v>
      </c>
      <c r="BX224">
        <v>209</v>
      </c>
      <c r="BY224">
        <v>-2.8000000000000001E-2</v>
      </c>
      <c r="BZ224">
        <v>-8.0000000000000002E-3</v>
      </c>
      <c r="CA224">
        <v>7.2030000000000003</v>
      </c>
      <c r="CB224">
        <v>-1.544</v>
      </c>
      <c r="CC224">
        <v>5</v>
      </c>
      <c r="CD224">
        <v>1</v>
      </c>
      <c r="CE224">
        <v>0.21</v>
      </c>
      <c r="CF224">
        <v>0.02</v>
      </c>
      <c r="CG224">
        <v>5.2592565000000002</v>
      </c>
      <c r="CH224">
        <v>1.340116021116988</v>
      </c>
      <c r="CI224">
        <v>0.24830642741597189</v>
      </c>
      <c r="CJ224">
        <v>-1</v>
      </c>
      <c r="CK224">
        <v>500.84061666666668</v>
      </c>
      <c r="CL224">
        <v>0.84249069185892156</v>
      </c>
      <c r="CM224">
        <v>1.684523573513359</v>
      </c>
      <c r="CN224">
        <v>-1</v>
      </c>
      <c r="CO224">
        <v>0</v>
      </c>
      <c r="CP224">
        <v>0</v>
      </c>
      <c r="CQ224" t="s">
        <v>319</v>
      </c>
      <c r="CR224">
        <v>3.1680299999999999</v>
      </c>
      <c r="CS224">
        <v>2.66201</v>
      </c>
      <c r="CT224">
        <v>-9.2348699999999996E-4</v>
      </c>
      <c r="CU224">
        <v>1.5500799999999999E-3</v>
      </c>
      <c r="CV224">
        <v>4.0316400000000002E-2</v>
      </c>
      <c r="CW224">
        <v>9.2809899999999994E-3</v>
      </c>
      <c r="CX224">
        <v>21400.799999999999</v>
      </c>
      <c r="CY224">
        <v>21785.4</v>
      </c>
      <c r="CZ224">
        <v>22912.2</v>
      </c>
      <c r="DA224">
        <v>22181.8</v>
      </c>
      <c r="DB224">
        <v>28367</v>
      </c>
      <c r="DC224">
        <v>26179.8</v>
      </c>
      <c r="DD224">
        <v>40294.400000000001</v>
      </c>
      <c r="DE224">
        <v>36723.5</v>
      </c>
      <c r="DF224">
        <v>2.0450200000000001</v>
      </c>
      <c r="DG224">
        <v>1.6751400000000001</v>
      </c>
      <c r="DH224">
        <v>6.8372500000000003E-2</v>
      </c>
      <c r="DI224">
        <v>0</v>
      </c>
      <c r="DJ224">
        <v>31.975000000000001</v>
      </c>
      <c r="DK224">
        <v>999.9</v>
      </c>
      <c r="DL224">
        <v>58.7</v>
      </c>
      <c r="DM224">
        <v>40.1</v>
      </c>
      <c r="DN224">
        <v>43.748199999999997</v>
      </c>
      <c r="DO224">
        <v>30.659400000000002</v>
      </c>
      <c r="DP224">
        <v>11.4543</v>
      </c>
      <c r="DQ224">
        <v>1</v>
      </c>
      <c r="DR224">
        <v>0.56933299999999998</v>
      </c>
      <c r="DS224">
        <v>-1.8343499999999999</v>
      </c>
      <c r="DT224">
        <v>20.3566</v>
      </c>
      <c r="DU224">
        <v>5.2068700000000003</v>
      </c>
      <c r="DV224">
        <v>11.854200000000001</v>
      </c>
      <c r="DW224">
        <v>4.9678399999999998</v>
      </c>
      <c r="DX224">
        <v>3.29298</v>
      </c>
      <c r="DY224">
        <v>894.7</v>
      </c>
      <c r="DZ224">
        <v>6</v>
      </c>
      <c r="EA224">
        <v>9999</v>
      </c>
      <c r="EB224">
        <v>119.2</v>
      </c>
      <c r="EC224">
        <v>4.9715800000000003</v>
      </c>
      <c r="ED224">
        <v>1.8719699999999999</v>
      </c>
      <c r="EE224">
        <v>1.86927</v>
      </c>
      <c r="EF224">
        <v>1.87164</v>
      </c>
      <c r="EG224">
        <v>1.8693599999999999</v>
      </c>
      <c r="EH224">
        <v>1.86829</v>
      </c>
      <c r="EI224">
        <v>1.8701099999999999</v>
      </c>
      <c r="EJ224">
        <v>1.87182</v>
      </c>
      <c r="EK224">
        <v>0</v>
      </c>
      <c r="EL224">
        <v>0</v>
      </c>
      <c r="EM224">
        <v>0</v>
      </c>
      <c r="EN224">
        <v>0</v>
      </c>
      <c r="EO224" t="s">
        <v>320</v>
      </c>
      <c r="EP224" t="s">
        <v>321</v>
      </c>
      <c r="EQ224" t="s">
        <v>322</v>
      </c>
      <c r="ER224" t="s">
        <v>322</v>
      </c>
      <c r="ES224" t="s">
        <v>322</v>
      </c>
      <c r="ET224" t="s">
        <v>322</v>
      </c>
      <c r="EU224">
        <v>0</v>
      </c>
      <c r="EV224">
        <v>100</v>
      </c>
      <c r="EW224">
        <v>100</v>
      </c>
      <c r="EX224">
        <v>7.2030000000000003</v>
      </c>
      <c r="EY224">
        <v>-1.544</v>
      </c>
      <c r="EZ224">
        <v>7.2312679999999983</v>
      </c>
      <c r="FA224">
        <v>0</v>
      </c>
      <c r="FB224">
        <v>0</v>
      </c>
      <c r="FC224">
        <v>0</v>
      </c>
      <c r="FD224">
        <v>-1.536812380952381</v>
      </c>
      <c r="FE224">
        <v>0</v>
      </c>
      <c r="FF224">
        <v>0</v>
      </c>
      <c r="FG224">
        <v>0</v>
      </c>
      <c r="FH224">
        <v>-1</v>
      </c>
      <c r="FI224">
        <v>-1</v>
      </c>
      <c r="FJ224">
        <v>-1</v>
      </c>
      <c r="FK224">
        <v>-1</v>
      </c>
      <c r="FL224">
        <v>0.7</v>
      </c>
      <c r="FM224">
        <v>0.3</v>
      </c>
      <c r="FN224">
        <v>0.14038100000000001</v>
      </c>
      <c r="FO224">
        <v>4.99756</v>
      </c>
      <c r="FP224">
        <v>1.5979000000000001</v>
      </c>
      <c r="FQ224">
        <v>2.1154799999999998</v>
      </c>
      <c r="FR224">
        <v>1.5478499999999999</v>
      </c>
      <c r="FS224">
        <v>2.4218799999999998</v>
      </c>
      <c r="FT224">
        <v>42.006500000000003</v>
      </c>
      <c r="FU224">
        <v>14.5436</v>
      </c>
      <c r="FV224">
        <v>2</v>
      </c>
      <c r="FW224">
        <v>507.23</v>
      </c>
      <c r="FX224">
        <v>363.392</v>
      </c>
      <c r="FY224">
        <v>34.965400000000002</v>
      </c>
      <c r="FZ224">
        <v>34.2697</v>
      </c>
      <c r="GA224">
        <v>29.999199999999998</v>
      </c>
      <c r="GB224">
        <v>34.725700000000003</v>
      </c>
      <c r="GC224">
        <v>34.789000000000001</v>
      </c>
      <c r="GD224">
        <v>-1</v>
      </c>
      <c r="GE224">
        <v>0</v>
      </c>
      <c r="GF224">
        <v>100</v>
      </c>
      <c r="GG224">
        <v>34.970999999999997</v>
      </c>
      <c r="GH224">
        <v>432.1</v>
      </c>
      <c r="GI224">
        <v>44.267099999999999</v>
      </c>
      <c r="GJ224">
        <v>101.402</v>
      </c>
      <c r="GK224">
        <v>95.862099999999998</v>
      </c>
    </row>
    <row r="225" spans="1:193" x14ac:dyDescent="0.35">
      <c r="A225">
        <v>209</v>
      </c>
      <c r="B225">
        <v>1775544508</v>
      </c>
      <c r="C225">
        <v>12481.900000095369</v>
      </c>
      <c r="D225" t="s">
        <v>944</v>
      </c>
      <c r="E225" t="s">
        <v>945</v>
      </c>
      <c r="F225">
        <v>60</v>
      </c>
      <c r="G225">
        <v>1775544500</v>
      </c>
      <c r="H225">
        <f t="shared" si="90"/>
        <v>5.6136782516874968E-3</v>
      </c>
      <c r="I225">
        <f t="shared" si="91"/>
        <v>5.6136782516874968</v>
      </c>
      <c r="J225">
        <f t="shared" si="92"/>
        <v>2.0914648253411148</v>
      </c>
      <c r="K225">
        <f t="shared" si="93"/>
        <v>3.8936996774193551</v>
      </c>
      <c r="L225">
        <f t="shared" si="94"/>
        <v>-23.532228024858512</v>
      </c>
      <c r="M225">
        <f t="shared" si="95"/>
        <v>-2.3543215033865494</v>
      </c>
      <c r="N225">
        <f t="shared" si="96"/>
        <v>0.38955176146491449</v>
      </c>
      <c r="O225">
        <f t="shared" si="97"/>
        <v>0.12166931316451179</v>
      </c>
      <c r="P225">
        <f t="shared" si="98"/>
        <v>2.3901642054647865</v>
      </c>
      <c r="Q225">
        <f t="shared" si="99"/>
        <v>0.11833032415595492</v>
      </c>
      <c r="R225">
        <f t="shared" si="100"/>
        <v>7.4248815125127099E-2</v>
      </c>
      <c r="S225">
        <f t="shared" si="101"/>
        <v>0.10759905226451613</v>
      </c>
      <c r="T225">
        <f t="shared" si="102"/>
        <v>31.45763948147183</v>
      </c>
      <c r="U225">
        <f t="shared" si="103"/>
        <v>33.105900000000013</v>
      </c>
      <c r="V225">
        <f t="shared" si="104"/>
        <v>5.082246590164762</v>
      </c>
      <c r="W225">
        <f t="shared" si="105"/>
        <v>9.1472127186069603</v>
      </c>
      <c r="X225">
        <f t="shared" si="106"/>
        <v>0.46760199193864921</v>
      </c>
      <c r="Y225">
        <f t="shared" si="107"/>
        <v>5.1119614938818305</v>
      </c>
      <c r="Z225">
        <f t="shared" si="108"/>
        <v>4.6146445982261124</v>
      </c>
      <c r="AA225">
        <f t="shared" si="109"/>
        <v>-247.56321089941861</v>
      </c>
      <c r="AB225">
        <f t="shared" si="110"/>
        <v>13.385076160326767</v>
      </c>
      <c r="AC225">
        <f t="shared" si="111"/>
        <v>1.2845188208948464</v>
      </c>
      <c r="AD225">
        <f t="shared" si="112"/>
        <v>-232.78601686593248</v>
      </c>
      <c r="AE225">
        <v>5</v>
      </c>
      <c r="AF225">
        <v>1</v>
      </c>
      <c r="AG225">
        <f t="shared" si="113"/>
        <v>1</v>
      </c>
      <c r="AH225">
        <f t="shared" si="114"/>
        <v>0</v>
      </c>
      <c r="AI225">
        <f t="shared" si="115"/>
        <v>25036.880399037123</v>
      </c>
      <c r="AJ225">
        <f t="shared" si="116"/>
        <v>0.56305103225806452</v>
      </c>
      <c r="AK225">
        <f t="shared" si="117"/>
        <v>0.45044082580645162</v>
      </c>
      <c r="AL225">
        <f t="shared" si="118"/>
        <v>0.8</v>
      </c>
      <c r="AM225">
        <f t="shared" si="119"/>
        <v>0.19109999999999999</v>
      </c>
      <c r="AN225">
        <v>3</v>
      </c>
      <c r="AO225">
        <v>0.5</v>
      </c>
      <c r="AP225" t="s">
        <v>317</v>
      </c>
      <c r="AQ225">
        <v>2</v>
      </c>
      <c r="AR225">
        <v>1775544500</v>
      </c>
      <c r="AS225">
        <v>3.8936996774193551</v>
      </c>
      <c r="AT225">
        <v>5.1609303225806444</v>
      </c>
      <c r="AU225">
        <v>4.6738377419354844</v>
      </c>
      <c r="AV225">
        <v>1.32339064516129</v>
      </c>
      <c r="AW225">
        <v>-3.3423003225806451</v>
      </c>
      <c r="AX225">
        <v>6.217837741935484</v>
      </c>
      <c r="AY225">
        <v>500.30106451612897</v>
      </c>
      <c r="AZ225">
        <v>100.006</v>
      </c>
      <c r="BA225">
        <v>4.0689199999999988E-2</v>
      </c>
      <c r="BB225">
        <v>33.209774193548377</v>
      </c>
      <c r="BC225">
        <v>33.105900000000013</v>
      </c>
      <c r="BD225">
        <v>999.90000000000032</v>
      </c>
      <c r="BE225">
        <v>0</v>
      </c>
      <c r="BF225">
        <v>0</v>
      </c>
      <c r="BG225">
        <v>5005.1935483870966</v>
      </c>
      <c r="BH225">
        <v>0.56305103225806452</v>
      </c>
      <c r="BI225">
        <v>293.12019354838708</v>
      </c>
      <c r="BJ225">
        <v>-1.300407741935484</v>
      </c>
      <c r="BK225">
        <v>3.8786493548387102</v>
      </c>
      <c r="BL225">
        <v>5.167768064516129</v>
      </c>
      <c r="BM225">
        <v>3.350006774193548</v>
      </c>
      <c r="BN225">
        <v>5.1609303225806444</v>
      </c>
      <c r="BO225">
        <v>1.32339064516129</v>
      </c>
      <c r="BP225">
        <v>0.4673682258064516</v>
      </c>
      <c r="BQ225">
        <v>0.13234722580645161</v>
      </c>
      <c r="BR225">
        <v>-3.6917906451612899</v>
      </c>
      <c r="BS225">
        <v>-19.41872903225806</v>
      </c>
      <c r="BT225">
        <v>1775544548.5</v>
      </c>
      <c r="BU225" t="s">
        <v>946</v>
      </c>
      <c r="BV225">
        <v>1775544525</v>
      </c>
      <c r="BW225">
        <v>1775544486</v>
      </c>
      <c r="BX225">
        <v>210</v>
      </c>
      <c r="BY225">
        <v>3.3000000000000002E-2</v>
      </c>
      <c r="BZ225">
        <v>-8.0000000000000002E-3</v>
      </c>
      <c r="CA225">
        <v>7.2359999999999998</v>
      </c>
      <c r="CB225">
        <v>-1.544</v>
      </c>
      <c r="CC225">
        <v>5</v>
      </c>
      <c r="CD225">
        <v>1</v>
      </c>
      <c r="CE225">
        <v>0.23</v>
      </c>
      <c r="CF225">
        <v>0.02</v>
      </c>
      <c r="CG225">
        <v>5.0750369999999991</v>
      </c>
      <c r="CH225">
        <v>0.53181612670186906</v>
      </c>
      <c r="CI225">
        <v>9.2862478344772487E-2</v>
      </c>
      <c r="CJ225">
        <v>-1</v>
      </c>
      <c r="CK225">
        <v>500.86718333333329</v>
      </c>
      <c r="CL225">
        <v>-0.84772547929943853</v>
      </c>
      <c r="CM225">
        <v>1.6019136419885081</v>
      </c>
      <c r="CN225">
        <v>-1</v>
      </c>
      <c r="CO225">
        <v>0</v>
      </c>
      <c r="CP225">
        <v>0</v>
      </c>
      <c r="CQ225" t="s">
        <v>319</v>
      </c>
      <c r="CR225">
        <v>3.1681499999999998</v>
      </c>
      <c r="CS225">
        <v>2.6619899999999999</v>
      </c>
      <c r="CT225">
        <v>-9.5415699999999997E-4</v>
      </c>
      <c r="CU225">
        <v>1.5683699999999999E-3</v>
      </c>
      <c r="CV225">
        <v>4.0016799999999998E-2</v>
      </c>
      <c r="CW225">
        <v>9.9604700000000008E-3</v>
      </c>
      <c r="CX225">
        <v>21405.5</v>
      </c>
      <c r="CY225">
        <v>21788.3</v>
      </c>
      <c r="CZ225">
        <v>22916</v>
      </c>
      <c r="DA225">
        <v>22184.799999999999</v>
      </c>
      <c r="DB225">
        <v>28380.2</v>
      </c>
      <c r="DC225">
        <v>26165.9</v>
      </c>
      <c r="DD225">
        <v>40300.199999999997</v>
      </c>
      <c r="DE225">
        <v>36729</v>
      </c>
      <c r="DF225">
        <v>2.0459200000000002</v>
      </c>
      <c r="DG225">
        <v>1.6783999999999999</v>
      </c>
      <c r="DH225">
        <v>6.6888299999999998E-2</v>
      </c>
      <c r="DI225">
        <v>0</v>
      </c>
      <c r="DJ225">
        <v>32.008499999999998</v>
      </c>
      <c r="DK225">
        <v>999.9</v>
      </c>
      <c r="DL225">
        <v>58.9</v>
      </c>
      <c r="DM225">
        <v>39.9</v>
      </c>
      <c r="DN225">
        <v>43.429499999999997</v>
      </c>
      <c r="DO225">
        <v>30.539400000000001</v>
      </c>
      <c r="DP225">
        <v>10.993600000000001</v>
      </c>
      <c r="DQ225">
        <v>1</v>
      </c>
      <c r="DR225">
        <v>0.55821500000000002</v>
      </c>
      <c r="DS225">
        <v>-1.5925400000000001</v>
      </c>
      <c r="DT225">
        <v>20.36</v>
      </c>
      <c r="DU225">
        <v>5.2075899999999997</v>
      </c>
      <c r="DV225">
        <v>11.854200000000001</v>
      </c>
      <c r="DW225">
        <v>4.9677199999999999</v>
      </c>
      <c r="DX225">
        <v>3.2930000000000001</v>
      </c>
      <c r="DY225">
        <v>894.7</v>
      </c>
      <c r="DZ225">
        <v>6</v>
      </c>
      <c r="EA225">
        <v>9999</v>
      </c>
      <c r="EB225">
        <v>119.2</v>
      </c>
      <c r="EC225">
        <v>4.9715600000000002</v>
      </c>
      <c r="ED225">
        <v>1.8719600000000001</v>
      </c>
      <c r="EE225">
        <v>1.86927</v>
      </c>
      <c r="EF225">
        <v>1.87164</v>
      </c>
      <c r="EG225">
        <v>1.8693500000000001</v>
      </c>
      <c r="EH225">
        <v>1.8682799999999999</v>
      </c>
      <c r="EI225">
        <v>1.8701099999999999</v>
      </c>
      <c r="EJ225">
        <v>1.8718300000000001</v>
      </c>
      <c r="EK225">
        <v>0</v>
      </c>
      <c r="EL225">
        <v>0</v>
      </c>
      <c r="EM225">
        <v>0</v>
      </c>
      <c r="EN225">
        <v>0</v>
      </c>
      <c r="EO225" t="s">
        <v>320</v>
      </c>
      <c r="EP225" t="s">
        <v>321</v>
      </c>
      <c r="EQ225" t="s">
        <v>322</v>
      </c>
      <c r="ER225" t="s">
        <v>322</v>
      </c>
      <c r="ES225" t="s">
        <v>322</v>
      </c>
      <c r="ET225" t="s">
        <v>322</v>
      </c>
      <c r="EU225">
        <v>0</v>
      </c>
      <c r="EV225">
        <v>100</v>
      </c>
      <c r="EW225">
        <v>100</v>
      </c>
      <c r="EX225">
        <v>7.2359999999999998</v>
      </c>
      <c r="EY225">
        <v>-1.544</v>
      </c>
      <c r="EZ225">
        <v>7.2028240000000006</v>
      </c>
      <c r="FA225">
        <v>0</v>
      </c>
      <c r="FB225">
        <v>0</v>
      </c>
      <c r="FC225">
        <v>0</v>
      </c>
      <c r="FD225">
        <v>-1.5444410000000011</v>
      </c>
      <c r="FE225">
        <v>0</v>
      </c>
      <c r="FF225">
        <v>0</v>
      </c>
      <c r="FG225">
        <v>0</v>
      </c>
      <c r="FH225">
        <v>-1</v>
      </c>
      <c r="FI225">
        <v>-1</v>
      </c>
      <c r="FJ225">
        <v>-1</v>
      </c>
      <c r="FK225">
        <v>-1</v>
      </c>
      <c r="FL225">
        <v>0.7</v>
      </c>
      <c r="FM225">
        <v>0.4</v>
      </c>
      <c r="FN225">
        <v>0.14038100000000001</v>
      </c>
      <c r="FO225">
        <v>4.99756</v>
      </c>
      <c r="FP225">
        <v>1.5979000000000001</v>
      </c>
      <c r="FQ225">
        <v>2.1154799999999998</v>
      </c>
      <c r="FR225">
        <v>1.5478499999999999</v>
      </c>
      <c r="FS225">
        <v>2.4511699999999998</v>
      </c>
      <c r="FT225">
        <v>41.848599999999998</v>
      </c>
      <c r="FU225">
        <v>14.5436</v>
      </c>
      <c r="FV225">
        <v>2</v>
      </c>
      <c r="FW225">
        <v>506.82299999999998</v>
      </c>
      <c r="FX225">
        <v>364.47899999999998</v>
      </c>
      <c r="FY225">
        <v>34.676099999999998</v>
      </c>
      <c r="FZ225">
        <v>34.151499999999999</v>
      </c>
      <c r="GA225">
        <v>29.999400000000001</v>
      </c>
      <c r="GB225">
        <v>34.595100000000002</v>
      </c>
      <c r="GC225">
        <v>34.661799999999999</v>
      </c>
      <c r="GD225">
        <v>-1</v>
      </c>
      <c r="GE225">
        <v>0</v>
      </c>
      <c r="GF225">
        <v>100</v>
      </c>
      <c r="GG225">
        <v>34.7744</v>
      </c>
      <c r="GH225">
        <v>432.1</v>
      </c>
      <c r="GI225">
        <v>44.267099999999999</v>
      </c>
      <c r="GJ225">
        <v>101.41800000000001</v>
      </c>
      <c r="GK225">
        <v>95.875900000000001</v>
      </c>
    </row>
    <row r="226" spans="1:193" x14ac:dyDescent="0.35">
      <c r="A226">
        <v>210</v>
      </c>
      <c r="B226">
        <v>1775544568</v>
      </c>
      <c r="C226">
        <v>12541.900000095369</v>
      </c>
      <c r="D226" t="s">
        <v>947</v>
      </c>
      <c r="E226" t="s">
        <v>948</v>
      </c>
      <c r="F226">
        <v>60</v>
      </c>
      <c r="G226">
        <v>1775544560.25</v>
      </c>
      <c r="H226">
        <f t="shared" si="90"/>
        <v>5.4375673037773348E-3</v>
      </c>
      <c r="I226">
        <f t="shared" si="91"/>
        <v>5.4375673037773344</v>
      </c>
      <c r="J226">
        <f t="shared" si="92"/>
        <v>2.0453666155804768</v>
      </c>
      <c r="K226">
        <f t="shared" si="93"/>
        <v>3.8818329999999999</v>
      </c>
      <c r="L226">
        <f t="shared" si="94"/>
        <v>-23.815297685862628</v>
      </c>
      <c r="M226">
        <f t="shared" si="95"/>
        <v>-2.3824732051739579</v>
      </c>
      <c r="N226">
        <f t="shared" si="96"/>
        <v>0.38833707776620008</v>
      </c>
      <c r="O226">
        <f t="shared" si="97"/>
        <v>0.11771652841434545</v>
      </c>
      <c r="P226">
        <f t="shared" si="98"/>
        <v>2.389093460966631</v>
      </c>
      <c r="Q226">
        <f t="shared" si="99"/>
        <v>0.11458660311686644</v>
      </c>
      <c r="R226">
        <f t="shared" si="100"/>
        <v>7.189090668815748E-2</v>
      </c>
      <c r="S226">
        <f t="shared" si="101"/>
        <v>0.10581793676999998</v>
      </c>
      <c r="T226">
        <f t="shared" si="102"/>
        <v>31.493453264230784</v>
      </c>
      <c r="U226">
        <f t="shared" si="103"/>
        <v>33.087373333333318</v>
      </c>
      <c r="V226">
        <f t="shared" si="104"/>
        <v>5.0769625577705364</v>
      </c>
      <c r="W226">
        <f t="shared" si="105"/>
        <v>9.0294767224032384</v>
      </c>
      <c r="X226">
        <f t="shared" si="106"/>
        <v>0.46110596021387845</v>
      </c>
      <c r="Y226">
        <f t="shared" si="107"/>
        <v>5.1066742225473378</v>
      </c>
      <c r="Z226">
        <f t="shared" si="108"/>
        <v>4.6158565975566583</v>
      </c>
      <c r="AA226">
        <f t="shared" si="109"/>
        <v>-239.79671809658046</v>
      </c>
      <c r="AB226">
        <f t="shared" si="110"/>
        <v>13.389702525146996</v>
      </c>
      <c r="AC226">
        <f t="shared" si="111"/>
        <v>1.2853058482795501</v>
      </c>
      <c r="AD226">
        <f t="shared" si="112"/>
        <v>-225.01589178638392</v>
      </c>
      <c r="AE226">
        <v>6</v>
      </c>
      <c r="AF226">
        <v>1</v>
      </c>
      <c r="AG226">
        <f t="shared" si="113"/>
        <v>1</v>
      </c>
      <c r="AH226">
        <f t="shared" si="114"/>
        <v>0</v>
      </c>
      <c r="AI226">
        <f t="shared" si="115"/>
        <v>25022.742046886542</v>
      </c>
      <c r="AJ226">
        <f t="shared" si="116"/>
        <v>0.55373069999999991</v>
      </c>
      <c r="AK226">
        <f t="shared" si="117"/>
        <v>0.44298455999999997</v>
      </c>
      <c r="AL226">
        <f t="shared" si="118"/>
        <v>0.8</v>
      </c>
      <c r="AM226">
        <f t="shared" si="119"/>
        <v>0.19109999999999999</v>
      </c>
      <c r="AN226">
        <v>3</v>
      </c>
      <c r="AO226">
        <v>0.5</v>
      </c>
      <c r="AP226" t="s">
        <v>317</v>
      </c>
      <c r="AQ226">
        <v>2</v>
      </c>
      <c r="AR226">
        <v>1775544560.25</v>
      </c>
      <c r="AS226">
        <v>3.8818329999999999</v>
      </c>
      <c r="AT226">
        <v>5.1196030000000006</v>
      </c>
      <c r="AU226">
        <v>4.6092336666666656</v>
      </c>
      <c r="AV226">
        <v>1.367269666666667</v>
      </c>
      <c r="AW226">
        <v>-3.3511669999999989</v>
      </c>
      <c r="AX226">
        <v>6.1652336666666674</v>
      </c>
      <c r="AY226">
        <v>500.85419999999999</v>
      </c>
      <c r="AZ226">
        <v>99.998006666666669</v>
      </c>
      <c r="BA226">
        <v>4.1608063333333327E-2</v>
      </c>
      <c r="BB226">
        <v>33.191330000000001</v>
      </c>
      <c r="BC226">
        <v>33.087373333333318</v>
      </c>
      <c r="BD226">
        <v>999.9000000000002</v>
      </c>
      <c r="BE226">
        <v>0</v>
      </c>
      <c r="BF226">
        <v>0</v>
      </c>
      <c r="BG226">
        <v>5002.833333333333</v>
      </c>
      <c r="BH226">
        <v>0.55373069999999991</v>
      </c>
      <c r="BI226">
        <v>299.32416666666671</v>
      </c>
      <c r="BJ226">
        <v>-1.2344576666666669</v>
      </c>
      <c r="BK226">
        <v>3.903162333333333</v>
      </c>
      <c r="BL226">
        <v>5.1266119999999997</v>
      </c>
      <c r="BM226">
        <v>3.2535249999999998</v>
      </c>
      <c r="BN226">
        <v>5.1196030000000006</v>
      </c>
      <c r="BO226">
        <v>1.367269666666667</v>
      </c>
      <c r="BP226">
        <v>0.46207029999999999</v>
      </c>
      <c r="BQ226">
        <v>0.1367241333333333</v>
      </c>
      <c r="BR226">
        <v>-3.8629376666666668</v>
      </c>
      <c r="BS226">
        <v>-19.04122666666666</v>
      </c>
      <c r="BT226">
        <v>1775544602</v>
      </c>
      <c r="BU226" t="s">
        <v>949</v>
      </c>
      <c r="BV226">
        <v>1775544586</v>
      </c>
      <c r="BW226">
        <v>1775544602</v>
      </c>
      <c r="BX226">
        <v>211</v>
      </c>
      <c r="BY226">
        <v>-3.0000000000000001E-3</v>
      </c>
      <c r="BZ226">
        <v>-1.0999999999999999E-2</v>
      </c>
      <c r="CA226">
        <v>7.2329999999999997</v>
      </c>
      <c r="CB226">
        <v>-1.556</v>
      </c>
      <c r="CC226">
        <v>5</v>
      </c>
      <c r="CD226">
        <v>1</v>
      </c>
      <c r="CE226">
        <v>0.16</v>
      </c>
      <c r="CF226">
        <v>0.02</v>
      </c>
      <c r="CG226">
        <v>4.9886288524590174</v>
      </c>
      <c r="CH226">
        <v>1.0560764674775289</v>
      </c>
      <c r="CI226">
        <v>0.20427425561856591</v>
      </c>
      <c r="CJ226">
        <v>-1</v>
      </c>
      <c r="CK226">
        <v>500.86857377049188</v>
      </c>
      <c r="CL226">
        <v>0.381220518244763</v>
      </c>
      <c r="CM226">
        <v>1.623962483001764</v>
      </c>
      <c r="CN226">
        <v>-1</v>
      </c>
      <c r="CO226">
        <v>0</v>
      </c>
      <c r="CP226">
        <v>0</v>
      </c>
      <c r="CQ226" t="s">
        <v>319</v>
      </c>
      <c r="CR226">
        <v>3.1681599999999999</v>
      </c>
      <c r="CS226">
        <v>2.6620699999999999</v>
      </c>
      <c r="CT226">
        <v>-9.9547099999999994E-4</v>
      </c>
      <c r="CU226">
        <v>1.4667599999999999E-3</v>
      </c>
      <c r="CV226">
        <v>4.04003E-2</v>
      </c>
      <c r="CW226">
        <v>1.0661199999999999E-2</v>
      </c>
      <c r="CX226">
        <v>21408.400000000001</v>
      </c>
      <c r="CY226">
        <v>21793.1</v>
      </c>
      <c r="CZ226">
        <v>22917.8</v>
      </c>
      <c r="DA226">
        <v>22187.200000000001</v>
      </c>
      <c r="DB226">
        <v>28370.400000000001</v>
      </c>
      <c r="DC226">
        <v>26150.799999999999</v>
      </c>
      <c r="DD226">
        <v>40302.1</v>
      </c>
      <c r="DE226">
        <v>36733.599999999999</v>
      </c>
      <c r="DF226">
        <v>2.0464199999999999</v>
      </c>
      <c r="DG226">
        <v>1.6812800000000001</v>
      </c>
      <c r="DH226">
        <v>7.0035500000000001E-2</v>
      </c>
      <c r="DI226">
        <v>0</v>
      </c>
      <c r="DJ226">
        <v>31.9694</v>
      </c>
      <c r="DK226">
        <v>999.9</v>
      </c>
      <c r="DL226">
        <v>59.1</v>
      </c>
      <c r="DM226">
        <v>39.799999999999997</v>
      </c>
      <c r="DN226">
        <v>43.3536</v>
      </c>
      <c r="DO226">
        <v>30.269400000000001</v>
      </c>
      <c r="DP226">
        <v>11.085699999999999</v>
      </c>
      <c r="DQ226">
        <v>1</v>
      </c>
      <c r="DR226">
        <v>0.54931300000000005</v>
      </c>
      <c r="DS226">
        <v>-1.74028</v>
      </c>
      <c r="DT226">
        <v>20.358000000000001</v>
      </c>
      <c r="DU226">
        <v>5.2100999999999997</v>
      </c>
      <c r="DV226">
        <v>11.854200000000001</v>
      </c>
      <c r="DW226">
        <v>4.9676</v>
      </c>
      <c r="DX226">
        <v>3.2929599999999999</v>
      </c>
      <c r="DY226">
        <v>894.7</v>
      </c>
      <c r="DZ226">
        <v>6</v>
      </c>
      <c r="EA226">
        <v>9999</v>
      </c>
      <c r="EB226">
        <v>119.2</v>
      </c>
      <c r="EC226">
        <v>4.9715499999999997</v>
      </c>
      <c r="ED226">
        <v>1.87195</v>
      </c>
      <c r="EE226">
        <v>1.8692200000000001</v>
      </c>
      <c r="EF226">
        <v>1.87164</v>
      </c>
      <c r="EG226">
        <v>1.8693500000000001</v>
      </c>
      <c r="EH226">
        <v>1.8682799999999999</v>
      </c>
      <c r="EI226">
        <v>1.8701099999999999</v>
      </c>
      <c r="EJ226">
        <v>1.8718300000000001</v>
      </c>
      <c r="EK226">
        <v>0</v>
      </c>
      <c r="EL226">
        <v>0</v>
      </c>
      <c r="EM226">
        <v>0</v>
      </c>
      <c r="EN226">
        <v>0</v>
      </c>
      <c r="EO226" t="s">
        <v>320</v>
      </c>
      <c r="EP226" t="s">
        <v>321</v>
      </c>
      <c r="EQ226" t="s">
        <v>322</v>
      </c>
      <c r="ER226" t="s">
        <v>322</v>
      </c>
      <c r="ES226" t="s">
        <v>322</v>
      </c>
      <c r="ET226" t="s">
        <v>322</v>
      </c>
      <c r="EU226">
        <v>0</v>
      </c>
      <c r="EV226">
        <v>100</v>
      </c>
      <c r="EW226">
        <v>100</v>
      </c>
      <c r="EX226">
        <v>7.2329999999999997</v>
      </c>
      <c r="EY226">
        <v>-1.556</v>
      </c>
      <c r="EZ226">
        <v>7.2363134999999996</v>
      </c>
      <c r="FA226">
        <v>0</v>
      </c>
      <c r="FB226">
        <v>0</v>
      </c>
      <c r="FC226">
        <v>0</v>
      </c>
      <c r="FD226">
        <v>-1.5444410000000011</v>
      </c>
      <c r="FE226">
        <v>0</v>
      </c>
      <c r="FF226">
        <v>0</v>
      </c>
      <c r="FG226">
        <v>0</v>
      </c>
      <c r="FH226">
        <v>-1</v>
      </c>
      <c r="FI226">
        <v>-1</v>
      </c>
      <c r="FJ226">
        <v>-1</v>
      </c>
      <c r="FK226">
        <v>-1</v>
      </c>
      <c r="FL226">
        <v>0.7</v>
      </c>
      <c r="FM226">
        <v>1.4</v>
      </c>
      <c r="FN226">
        <v>0.14038100000000001</v>
      </c>
      <c r="FO226">
        <v>4.99756</v>
      </c>
      <c r="FP226">
        <v>1.5979000000000001</v>
      </c>
      <c r="FQ226">
        <v>2.1154799999999998</v>
      </c>
      <c r="FR226">
        <v>1.5478499999999999</v>
      </c>
      <c r="FS226">
        <v>2.31812</v>
      </c>
      <c r="FT226">
        <v>41.717399999999998</v>
      </c>
      <c r="FU226">
        <v>14.534800000000001</v>
      </c>
      <c r="FV226">
        <v>2</v>
      </c>
      <c r="FW226">
        <v>506.315</v>
      </c>
      <c r="FX226">
        <v>365.40300000000002</v>
      </c>
      <c r="FY226">
        <v>34.899099999999997</v>
      </c>
      <c r="FZ226">
        <v>34.045000000000002</v>
      </c>
      <c r="GA226">
        <v>29.999400000000001</v>
      </c>
      <c r="GB226">
        <v>34.483899999999998</v>
      </c>
      <c r="GC226">
        <v>34.542900000000003</v>
      </c>
      <c r="GD226">
        <v>-1</v>
      </c>
      <c r="GE226">
        <v>0</v>
      </c>
      <c r="GF226">
        <v>100</v>
      </c>
      <c r="GG226">
        <v>34.896999999999998</v>
      </c>
      <c r="GH226">
        <v>432.1</v>
      </c>
      <c r="GI226">
        <v>44.267099999999999</v>
      </c>
      <c r="GJ226">
        <v>101.42400000000001</v>
      </c>
      <c r="GK226">
        <v>95.887299999999996</v>
      </c>
    </row>
    <row r="227" spans="1:193" x14ac:dyDescent="0.35">
      <c r="A227">
        <v>211</v>
      </c>
      <c r="B227">
        <v>1775544628</v>
      </c>
      <c r="C227">
        <v>12601.900000095369</v>
      </c>
      <c r="D227" t="s">
        <v>950</v>
      </c>
      <c r="E227" t="s">
        <v>951</v>
      </c>
      <c r="F227">
        <v>60</v>
      </c>
      <c r="G227">
        <v>1775544620</v>
      </c>
      <c r="H227">
        <f t="shared" si="90"/>
        <v>5.3708247855311459E-3</v>
      </c>
      <c r="I227">
        <f t="shared" si="91"/>
        <v>5.3708247855311457</v>
      </c>
      <c r="J227">
        <f t="shared" si="92"/>
        <v>1.8260872422399457</v>
      </c>
      <c r="K227">
        <f t="shared" si="93"/>
        <v>3.5279241935483872</v>
      </c>
      <c r="L227">
        <f t="shared" si="94"/>
        <v>-21.513972325052254</v>
      </c>
      <c r="M227">
        <f t="shared" si="95"/>
        <v>-2.1521329353374381</v>
      </c>
      <c r="N227">
        <f t="shared" si="96"/>
        <v>0.35291306206004486</v>
      </c>
      <c r="O227">
        <f t="shared" si="97"/>
        <v>0.11621266998220425</v>
      </c>
      <c r="P227">
        <f t="shared" si="98"/>
        <v>2.388106976537876</v>
      </c>
      <c r="Q227">
        <f t="shared" si="99"/>
        <v>0.11315986382151945</v>
      </c>
      <c r="R227">
        <f t="shared" si="100"/>
        <v>7.0992517853838297E-2</v>
      </c>
      <c r="S227">
        <f t="shared" si="101"/>
        <v>0.108889020416129</v>
      </c>
      <c r="T227">
        <f t="shared" si="102"/>
        <v>31.533174411538553</v>
      </c>
      <c r="U227">
        <f t="shared" si="103"/>
        <v>33.112454838709667</v>
      </c>
      <c r="V227">
        <f t="shared" si="104"/>
        <v>5.084117256069498</v>
      </c>
      <c r="W227">
        <f t="shared" si="105"/>
        <v>9.154972649875269</v>
      </c>
      <c r="X227">
        <f t="shared" si="106"/>
        <v>0.46802518712966856</v>
      </c>
      <c r="Y227">
        <f t="shared" si="107"/>
        <v>5.1122510686697149</v>
      </c>
      <c r="Z227">
        <f t="shared" si="108"/>
        <v>4.6160920689398299</v>
      </c>
      <c r="AA227">
        <f t="shared" si="109"/>
        <v>-236.85337304192353</v>
      </c>
      <c r="AB227">
        <f t="shared" si="110"/>
        <v>12.659629206494795</v>
      </c>
      <c r="AC227">
        <f t="shared" si="111"/>
        <v>1.2159918556833471</v>
      </c>
      <c r="AD227">
        <f t="shared" si="112"/>
        <v>-222.86886295932925</v>
      </c>
      <c r="AE227">
        <v>6</v>
      </c>
      <c r="AF227">
        <v>1</v>
      </c>
      <c r="AG227">
        <f t="shared" si="113"/>
        <v>1</v>
      </c>
      <c r="AH227">
        <f t="shared" si="114"/>
        <v>0</v>
      </c>
      <c r="AI227">
        <f t="shared" si="115"/>
        <v>25006.627778101047</v>
      </c>
      <c r="AJ227">
        <f t="shared" si="116"/>
        <v>0.56980125806451598</v>
      </c>
      <c r="AK227">
        <f t="shared" si="117"/>
        <v>0.4558410064516128</v>
      </c>
      <c r="AL227">
        <f t="shared" si="118"/>
        <v>0.8</v>
      </c>
      <c r="AM227">
        <f t="shared" si="119"/>
        <v>0.19109999999999999</v>
      </c>
      <c r="AN227">
        <v>3</v>
      </c>
      <c r="AO227">
        <v>0.5</v>
      </c>
      <c r="AP227" t="s">
        <v>317</v>
      </c>
      <c r="AQ227">
        <v>2</v>
      </c>
      <c r="AR227">
        <v>1775544620</v>
      </c>
      <c r="AS227">
        <v>3.5279241935483872</v>
      </c>
      <c r="AT227">
        <v>4.6349035483870962</v>
      </c>
      <c r="AU227">
        <v>4.678651935483872</v>
      </c>
      <c r="AV227">
        <v>1.471354838709678</v>
      </c>
      <c r="AW227">
        <v>-3.7420758064516129</v>
      </c>
      <c r="AX227">
        <v>6.2466519354838734</v>
      </c>
      <c r="AY227">
        <v>500.01883870967742</v>
      </c>
      <c r="AZ227">
        <v>99.993496774193517</v>
      </c>
      <c r="BA227">
        <v>4.069973870967742E-2</v>
      </c>
      <c r="BB227">
        <v>33.210783870967738</v>
      </c>
      <c r="BC227">
        <v>33.112454838709667</v>
      </c>
      <c r="BD227">
        <v>999.90000000000032</v>
      </c>
      <c r="BE227">
        <v>0</v>
      </c>
      <c r="BF227">
        <v>0</v>
      </c>
      <c r="BG227">
        <v>5000.5161290322594</v>
      </c>
      <c r="BH227">
        <v>0.56980125806451598</v>
      </c>
      <c r="BI227">
        <v>302.0111612903226</v>
      </c>
      <c r="BJ227">
        <v>-1.143881290322581</v>
      </c>
      <c r="BK227">
        <v>3.5074751612903232</v>
      </c>
      <c r="BL227">
        <v>4.641733548387097</v>
      </c>
      <c r="BM227">
        <v>3.2195632258064508</v>
      </c>
      <c r="BN227">
        <v>4.6349035483870962</v>
      </c>
      <c r="BO227">
        <v>1.471354838709678</v>
      </c>
      <c r="BP227">
        <v>0.46906138709677409</v>
      </c>
      <c r="BQ227">
        <v>0.14712587096774191</v>
      </c>
      <c r="BR227">
        <v>-3.643460322580645</v>
      </c>
      <c r="BS227">
        <v>-18.18062258064516</v>
      </c>
      <c r="BT227">
        <v>1775544656</v>
      </c>
      <c r="BU227" t="s">
        <v>952</v>
      </c>
      <c r="BV227">
        <v>1775544651</v>
      </c>
      <c r="BW227">
        <v>1775544656</v>
      </c>
      <c r="BX227">
        <v>212</v>
      </c>
      <c r="BY227">
        <v>3.6999999999999998E-2</v>
      </c>
      <c r="BZ227">
        <v>-1.2E-2</v>
      </c>
      <c r="CA227">
        <v>7.27</v>
      </c>
      <c r="CB227">
        <v>-1.5680000000000001</v>
      </c>
      <c r="CC227">
        <v>5</v>
      </c>
      <c r="CD227">
        <v>2</v>
      </c>
      <c r="CE227">
        <v>0.2</v>
      </c>
      <c r="CF227">
        <v>0.03</v>
      </c>
      <c r="CG227">
        <v>4.6738833333333334</v>
      </c>
      <c r="CH227">
        <v>-0.27322316198943541</v>
      </c>
      <c r="CI227">
        <v>4.6273967291436E-2</v>
      </c>
      <c r="CJ227">
        <v>-1</v>
      </c>
      <c r="CK227">
        <v>500.88154999999989</v>
      </c>
      <c r="CL227">
        <v>-4.2508974715189476</v>
      </c>
      <c r="CM227">
        <v>1.6719236767368699</v>
      </c>
      <c r="CN227">
        <v>-1</v>
      </c>
      <c r="CO227">
        <v>0</v>
      </c>
      <c r="CP227">
        <v>0</v>
      </c>
      <c r="CQ227" t="s">
        <v>319</v>
      </c>
      <c r="CR227">
        <v>3.1680600000000001</v>
      </c>
      <c r="CS227">
        <v>2.66222</v>
      </c>
      <c r="CT227">
        <v>-1.1049199999999999E-3</v>
      </c>
      <c r="CU227">
        <v>1.3572E-3</v>
      </c>
      <c r="CV227">
        <v>4.0317899999999997E-2</v>
      </c>
      <c r="CW227">
        <v>1.12873E-2</v>
      </c>
      <c r="CX227">
        <v>21413.3</v>
      </c>
      <c r="CY227">
        <v>21798</v>
      </c>
      <c r="CZ227">
        <v>22920.1</v>
      </c>
      <c r="DA227">
        <v>22189.599999999999</v>
      </c>
      <c r="DB227">
        <v>28375.3</v>
      </c>
      <c r="DC227">
        <v>26137.5</v>
      </c>
      <c r="DD227">
        <v>40305.4</v>
      </c>
      <c r="DE227">
        <v>36738</v>
      </c>
      <c r="DF227">
        <v>2.0482399999999998</v>
      </c>
      <c r="DG227">
        <v>1.6857</v>
      </c>
      <c r="DH227">
        <v>6.8545300000000003E-2</v>
      </c>
      <c r="DI227">
        <v>0</v>
      </c>
      <c r="DJ227">
        <v>32.008000000000003</v>
      </c>
      <c r="DK227">
        <v>999.9</v>
      </c>
      <c r="DL227">
        <v>59.3</v>
      </c>
      <c r="DM227">
        <v>39.6</v>
      </c>
      <c r="DN227">
        <v>43.035800000000002</v>
      </c>
      <c r="DO227">
        <v>30.179400000000001</v>
      </c>
      <c r="DP227">
        <v>11.286099999999999</v>
      </c>
      <c r="DQ227">
        <v>1</v>
      </c>
      <c r="DR227">
        <v>0.54043099999999999</v>
      </c>
      <c r="DS227">
        <v>-1.54512</v>
      </c>
      <c r="DT227">
        <v>20.360299999999999</v>
      </c>
      <c r="DU227">
        <v>5.2096200000000001</v>
      </c>
      <c r="DV227">
        <v>11.854200000000001</v>
      </c>
      <c r="DW227">
        <v>4.9677600000000002</v>
      </c>
      <c r="DX227">
        <v>3.2929599999999999</v>
      </c>
      <c r="DY227">
        <v>894.7</v>
      </c>
      <c r="DZ227">
        <v>6</v>
      </c>
      <c r="EA227">
        <v>9999</v>
      </c>
      <c r="EB227">
        <v>119.2</v>
      </c>
      <c r="EC227">
        <v>4.9715600000000002</v>
      </c>
      <c r="ED227">
        <v>1.87195</v>
      </c>
      <c r="EE227">
        <v>1.8692</v>
      </c>
      <c r="EF227">
        <v>1.87164</v>
      </c>
      <c r="EG227">
        <v>1.8693500000000001</v>
      </c>
      <c r="EH227">
        <v>1.86829</v>
      </c>
      <c r="EI227">
        <v>1.8701000000000001</v>
      </c>
      <c r="EJ227">
        <v>1.8718300000000001</v>
      </c>
      <c r="EK227">
        <v>0</v>
      </c>
      <c r="EL227">
        <v>0</v>
      </c>
      <c r="EM227">
        <v>0</v>
      </c>
      <c r="EN227">
        <v>0</v>
      </c>
      <c r="EO227" t="s">
        <v>320</v>
      </c>
      <c r="EP227" t="s">
        <v>321</v>
      </c>
      <c r="EQ227" t="s">
        <v>322</v>
      </c>
      <c r="ER227" t="s">
        <v>322</v>
      </c>
      <c r="ES227" t="s">
        <v>322</v>
      </c>
      <c r="ET227" t="s">
        <v>322</v>
      </c>
      <c r="EU227">
        <v>0</v>
      </c>
      <c r="EV227">
        <v>100</v>
      </c>
      <c r="EW227">
        <v>100</v>
      </c>
      <c r="EX227">
        <v>7.27</v>
      </c>
      <c r="EY227">
        <v>-1.5680000000000001</v>
      </c>
      <c r="EZ227">
        <v>7.2330980000000009</v>
      </c>
      <c r="FA227">
        <v>0</v>
      </c>
      <c r="FB227">
        <v>0</v>
      </c>
      <c r="FC227">
        <v>0</v>
      </c>
      <c r="FD227">
        <v>-1.555733</v>
      </c>
      <c r="FE227">
        <v>0</v>
      </c>
      <c r="FF227">
        <v>0</v>
      </c>
      <c r="FG227">
        <v>0</v>
      </c>
      <c r="FH227">
        <v>-1</v>
      </c>
      <c r="FI227">
        <v>-1</v>
      </c>
      <c r="FJ227">
        <v>-1</v>
      </c>
      <c r="FK227">
        <v>-1</v>
      </c>
      <c r="FL227">
        <v>0.7</v>
      </c>
      <c r="FM227">
        <v>0.4</v>
      </c>
      <c r="FN227">
        <v>0.14038100000000001</v>
      </c>
      <c r="FO227">
        <v>4.99756</v>
      </c>
      <c r="FP227">
        <v>1.5979000000000001</v>
      </c>
      <c r="FQ227">
        <v>2.1154799999999998</v>
      </c>
      <c r="FR227">
        <v>1.5478499999999999</v>
      </c>
      <c r="FS227">
        <v>2.3901400000000002</v>
      </c>
      <c r="FT227">
        <v>41.612699999999997</v>
      </c>
      <c r="FU227">
        <v>14.5261</v>
      </c>
      <c r="FV227">
        <v>2</v>
      </c>
      <c r="FW227">
        <v>506.56200000000001</v>
      </c>
      <c r="FX227">
        <v>367.20800000000003</v>
      </c>
      <c r="FY227">
        <v>34.766800000000003</v>
      </c>
      <c r="FZ227">
        <v>33.9499</v>
      </c>
      <c r="GA227">
        <v>29.999400000000001</v>
      </c>
      <c r="GB227">
        <v>34.3675</v>
      </c>
      <c r="GC227">
        <v>34.432200000000002</v>
      </c>
      <c r="GD227">
        <v>-1</v>
      </c>
      <c r="GE227">
        <v>0</v>
      </c>
      <c r="GF227">
        <v>100</v>
      </c>
      <c r="GG227">
        <v>34.750999999999998</v>
      </c>
      <c r="GH227">
        <v>432.1</v>
      </c>
      <c r="GI227">
        <v>44.267099999999999</v>
      </c>
      <c r="GJ227">
        <v>101.43300000000001</v>
      </c>
      <c r="GK227">
        <v>95.898300000000006</v>
      </c>
    </row>
    <row r="228" spans="1:193" x14ac:dyDescent="0.35">
      <c r="A228">
        <v>212</v>
      </c>
      <c r="B228">
        <v>1775544688</v>
      </c>
      <c r="C228">
        <v>12661.900000095369</v>
      </c>
      <c r="D228" t="s">
        <v>953</v>
      </c>
      <c r="E228" t="s">
        <v>954</v>
      </c>
      <c r="F228">
        <v>60</v>
      </c>
      <c r="G228">
        <v>1775544680</v>
      </c>
      <c r="H228">
        <f t="shared" si="90"/>
        <v>5.4029431884717203E-3</v>
      </c>
      <c r="I228">
        <f t="shared" si="91"/>
        <v>5.4029431884717205</v>
      </c>
      <c r="J228">
        <f t="shared" si="92"/>
        <v>1.9257869419841329</v>
      </c>
      <c r="K228">
        <f t="shared" si="93"/>
        <v>4.1591929032258061</v>
      </c>
      <c r="L228">
        <f t="shared" si="94"/>
        <v>-22.129797819141501</v>
      </c>
      <c r="M228">
        <f t="shared" si="95"/>
        <v>-2.2137278231913613</v>
      </c>
      <c r="N228">
        <f t="shared" si="96"/>
        <v>0.41605988121260706</v>
      </c>
      <c r="O228">
        <f t="shared" si="97"/>
        <v>0.11691160390433156</v>
      </c>
      <c r="P228">
        <f t="shared" si="98"/>
        <v>2.3852045976479972</v>
      </c>
      <c r="Q228">
        <f t="shared" si="99"/>
        <v>0.11381884033083051</v>
      </c>
      <c r="R228">
        <f t="shared" si="100"/>
        <v>7.1407833153341649E-2</v>
      </c>
      <c r="S228">
        <f t="shared" si="101"/>
        <v>0.10556095227096775</v>
      </c>
      <c r="T228">
        <f t="shared" si="102"/>
        <v>31.474175437479946</v>
      </c>
      <c r="U228">
        <f t="shared" si="103"/>
        <v>33.077570967741927</v>
      </c>
      <c r="V228">
        <f t="shared" si="104"/>
        <v>5.0741687369886819</v>
      </c>
      <c r="W228">
        <f t="shared" si="105"/>
        <v>8.9604679084029044</v>
      </c>
      <c r="X228">
        <f t="shared" si="106"/>
        <v>0.4568752215207223</v>
      </c>
      <c r="Y228">
        <f t="shared" si="107"/>
        <v>5.0987875431401974</v>
      </c>
      <c r="Z228">
        <f t="shared" si="108"/>
        <v>4.61729351546796</v>
      </c>
      <c r="AA228">
        <f t="shared" si="109"/>
        <v>-238.26979461160286</v>
      </c>
      <c r="AB228">
        <f t="shared" si="110"/>
        <v>11.0866312039487</v>
      </c>
      <c r="AC228">
        <f t="shared" si="111"/>
        <v>1.0657692450198633</v>
      </c>
      <c r="AD228">
        <f t="shared" si="112"/>
        <v>-226.01183321036331</v>
      </c>
      <c r="AE228">
        <v>5</v>
      </c>
      <c r="AF228">
        <v>1</v>
      </c>
      <c r="AG228">
        <f t="shared" si="113"/>
        <v>1</v>
      </c>
      <c r="AH228">
        <f t="shared" si="114"/>
        <v>0</v>
      </c>
      <c r="AI228">
        <f t="shared" si="115"/>
        <v>24967.285838049655</v>
      </c>
      <c r="AJ228">
        <f t="shared" si="116"/>
        <v>0.55238593548387105</v>
      </c>
      <c r="AK228">
        <f t="shared" si="117"/>
        <v>0.44190874838709687</v>
      </c>
      <c r="AL228">
        <f t="shared" si="118"/>
        <v>0.8</v>
      </c>
      <c r="AM228">
        <f t="shared" si="119"/>
        <v>0.19109999999999999</v>
      </c>
      <c r="AN228">
        <v>3</v>
      </c>
      <c r="AO228">
        <v>0.5</v>
      </c>
      <c r="AP228" t="s">
        <v>317</v>
      </c>
      <c r="AQ228">
        <v>2</v>
      </c>
      <c r="AR228">
        <v>1775544680</v>
      </c>
      <c r="AS228">
        <v>4.1591929032258061</v>
      </c>
      <c r="AT228">
        <v>5.3282048387096781</v>
      </c>
      <c r="AU228">
        <v>4.5672083870967732</v>
      </c>
      <c r="AV228">
        <v>1.340091935483871</v>
      </c>
      <c r="AW228">
        <v>-3.1088070967741941</v>
      </c>
      <c r="AX228">
        <v>6.1132083870967726</v>
      </c>
      <c r="AY228">
        <v>499.97577419354838</v>
      </c>
      <c r="AZ228">
        <v>99.99164838709676</v>
      </c>
      <c r="BA228">
        <v>4.2154058064516137E-2</v>
      </c>
      <c r="BB228">
        <v>33.1637870967742</v>
      </c>
      <c r="BC228">
        <v>33.077570967741927</v>
      </c>
      <c r="BD228">
        <v>999.90000000000032</v>
      </c>
      <c r="BE228">
        <v>0</v>
      </c>
      <c r="BF228">
        <v>0</v>
      </c>
      <c r="BG228">
        <v>4993.1290322580644</v>
      </c>
      <c r="BH228">
        <v>0.55238593548387105</v>
      </c>
      <c r="BI228">
        <v>300.30799999999999</v>
      </c>
      <c r="BJ228">
        <v>-1.1666099999999999</v>
      </c>
      <c r="BK228">
        <v>4.1805974193548376</v>
      </c>
      <c r="BL228">
        <v>5.3353532258064513</v>
      </c>
      <c r="BM228">
        <v>3.2055841935483871</v>
      </c>
      <c r="BN228">
        <v>5.3282048387096781</v>
      </c>
      <c r="BO228">
        <v>1.340091935483871</v>
      </c>
      <c r="BP228">
        <v>0.45452967741935479</v>
      </c>
      <c r="BQ228">
        <v>0.13399793548387101</v>
      </c>
      <c r="BR228">
        <v>-4.0629900000000001</v>
      </c>
      <c r="BS228">
        <v>-19.27456451612904</v>
      </c>
      <c r="BT228">
        <v>1775544716.5</v>
      </c>
      <c r="BU228" t="s">
        <v>955</v>
      </c>
      <c r="BV228">
        <v>1775544707.5</v>
      </c>
      <c r="BW228">
        <v>1775544716.5</v>
      </c>
      <c r="BX228">
        <v>213</v>
      </c>
      <c r="BY228">
        <v>-2E-3</v>
      </c>
      <c r="BZ228">
        <v>2.1000000000000001E-2</v>
      </c>
      <c r="CA228">
        <v>7.2679999999999998</v>
      </c>
      <c r="CB228">
        <v>-1.546</v>
      </c>
      <c r="CC228">
        <v>6</v>
      </c>
      <c r="CD228">
        <v>1</v>
      </c>
      <c r="CE228">
        <v>0.3</v>
      </c>
      <c r="CF228">
        <v>0.02</v>
      </c>
      <c r="CG228">
        <v>5.3342008333333322</v>
      </c>
      <c r="CH228">
        <v>3.6235165323706041E-2</v>
      </c>
      <c r="CI228">
        <v>5.0748055440304522E-2</v>
      </c>
      <c r="CJ228">
        <v>-1</v>
      </c>
      <c r="CK228">
        <v>500.82654999999988</v>
      </c>
      <c r="CL228">
        <v>-7.5151175326476443</v>
      </c>
      <c r="CM228">
        <v>1.6456984173393761</v>
      </c>
      <c r="CN228">
        <v>-1</v>
      </c>
      <c r="CO228">
        <v>0</v>
      </c>
      <c r="CP228">
        <v>0</v>
      </c>
      <c r="CQ228" t="s">
        <v>319</v>
      </c>
      <c r="CR228">
        <v>3.1680299999999999</v>
      </c>
      <c r="CS228">
        <v>2.6635399999999998</v>
      </c>
      <c r="CT228">
        <v>-9.1756599999999998E-4</v>
      </c>
      <c r="CU228">
        <v>1.58672E-3</v>
      </c>
      <c r="CV228">
        <v>3.9519600000000002E-2</v>
      </c>
      <c r="CW228">
        <v>9.8818299999999994E-3</v>
      </c>
      <c r="CX228">
        <v>21413</v>
      </c>
      <c r="CY228">
        <v>21794.7</v>
      </c>
      <c r="CZ228">
        <v>22923.7</v>
      </c>
      <c r="DA228">
        <v>22191.1</v>
      </c>
      <c r="DB228">
        <v>28403.3</v>
      </c>
      <c r="DC228">
        <v>26176.7</v>
      </c>
      <c r="DD228">
        <v>40311.4</v>
      </c>
      <c r="DE228">
        <v>36740.699999999997</v>
      </c>
      <c r="DF228">
        <v>2.04996</v>
      </c>
      <c r="DG228">
        <v>1.6859200000000001</v>
      </c>
      <c r="DH228">
        <v>6.3914100000000001E-2</v>
      </c>
      <c r="DI228">
        <v>0</v>
      </c>
      <c r="DJ228">
        <v>32.0274</v>
      </c>
      <c r="DK228">
        <v>999.9</v>
      </c>
      <c r="DL228">
        <v>59.5</v>
      </c>
      <c r="DM228">
        <v>39.4</v>
      </c>
      <c r="DN228">
        <v>42.721800000000002</v>
      </c>
      <c r="DO228">
        <v>30.839400000000001</v>
      </c>
      <c r="DP228">
        <v>11.3462</v>
      </c>
      <c r="DQ228">
        <v>1</v>
      </c>
      <c r="DR228">
        <v>0.53340200000000004</v>
      </c>
      <c r="DS228">
        <v>-1.7805800000000001</v>
      </c>
      <c r="DT228">
        <v>20.3568</v>
      </c>
      <c r="DU228">
        <v>5.2066299999999996</v>
      </c>
      <c r="DV228">
        <v>11.854200000000001</v>
      </c>
      <c r="DW228">
        <v>4.9671599999999998</v>
      </c>
      <c r="DX228">
        <v>3.2921</v>
      </c>
      <c r="DY228">
        <v>894.7</v>
      </c>
      <c r="DZ228">
        <v>6</v>
      </c>
      <c r="EA228">
        <v>9999</v>
      </c>
      <c r="EB228">
        <v>119.3</v>
      </c>
      <c r="EC228">
        <v>4.9715600000000002</v>
      </c>
      <c r="ED228">
        <v>1.87195</v>
      </c>
      <c r="EE228">
        <v>1.8692</v>
      </c>
      <c r="EF228">
        <v>1.87164</v>
      </c>
      <c r="EG228">
        <v>1.8693500000000001</v>
      </c>
      <c r="EH228">
        <v>1.86829</v>
      </c>
      <c r="EI228">
        <v>1.8701099999999999</v>
      </c>
      <c r="EJ228">
        <v>1.8718399999999999</v>
      </c>
      <c r="EK228">
        <v>0</v>
      </c>
      <c r="EL228">
        <v>0</v>
      </c>
      <c r="EM228">
        <v>0</v>
      </c>
      <c r="EN228">
        <v>0</v>
      </c>
      <c r="EO228" t="s">
        <v>320</v>
      </c>
      <c r="EP228" t="s">
        <v>321</v>
      </c>
      <c r="EQ228" t="s">
        <v>322</v>
      </c>
      <c r="ER228" t="s">
        <v>322</v>
      </c>
      <c r="ES228" t="s">
        <v>322</v>
      </c>
      <c r="ET228" t="s">
        <v>322</v>
      </c>
      <c r="EU228">
        <v>0</v>
      </c>
      <c r="EV228">
        <v>100</v>
      </c>
      <c r="EW228">
        <v>100</v>
      </c>
      <c r="EX228">
        <v>7.2679999999999998</v>
      </c>
      <c r="EY228">
        <v>-1.546</v>
      </c>
      <c r="EZ228">
        <v>7.2704025000000003</v>
      </c>
      <c r="FA228">
        <v>0</v>
      </c>
      <c r="FB228">
        <v>0</v>
      </c>
      <c r="FC228">
        <v>0</v>
      </c>
      <c r="FD228">
        <v>-1.567531</v>
      </c>
      <c r="FE228">
        <v>0</v>
      </c>
      <c r="FF228">
        <v>0</v>
      </c>
      <c r="FG228">
        <v>0</v>
      </c>
      <c r="FH228">
        <v>-1</v>
      </c>
      <c r="FI228">
        <v>-1</v>
      </c>
      <c r="FJ228">
        <v>-1</v>
      </c>
      <c r="FK228">
        <v>-1</v>
      </c>
      <c r="FL228">
        <v>0.6</v>
      </c>
      <c r="FM228">
        <v>0.5</v>
      </c>
      <c r="FN228">
        <v>0.14038100000000001</v>
      </c>
      <c r="FO228">
        <v>4.99756</v>
      </c>
      <c r="FP228">
        <v>1.5979000000000001</v>
      </c>
      <c r="FQ228">
        <v>2.1154799999999998</v>
      </c>
      <c r="FR228">
        <v>1.5478499999999999</v>
      </c>
      <c r="FS228">
        <v>2.4084500000000002</v>
      </c>
      <c r="FT228">
        <v>41.508299999999998</v>
      </c>
      <c r="FU228">
        <v>14.517300000000001</v>
      </c>
      <c r="FV228">
        <v>2</v>
      </c>
      <c r="FW228">
        <v>506.84800000000001</v>
      </c>
      <c r="FX228">
        <v>366.774</v>
      </c>
      <c r="FY228">
        <v>34.819899999999997</v>
      </c>
      <c r="FZ228">
        <v>33.866500000000002</v>
      </c>
      <c r="GA228">
        <v>29.999500000000001</v>
      </c>
      <c r="GB228">
        <v>34.264699999999998</v>
      </c>
      <c r="GC228">
        <v>34.33</v>
      </c>
      <c r="GD228">
        <v>-1</v>
      </c>
      <c r="GE228">
        <v>0</v>
      </c>
      <c r="GF228">
        <v>100</v>
      </c>
      <c r="GG228">
        <v>34.849899999999998</v>
      </c>
      <c r="GH228">
        <v>432.1</v>
      </c>
      <c r="GI228">
        <v>44.267099999999999</v>
      </c>
      <c r="GJ228">
        <v>101.44799999999999</v>
      </c>
      <c r="GK228">
        <v>95.905100000000004</v>
      </c>
    </row>
    <row r="229" spans="1:193" x14ac:dyDescent="0.35">
      <c r="A229">
        <v>213</v>
      </c>
      <c r="B229">
        <v>1775544748</v>
      </c>
      <c r="C229">
        <v>12721.900000095369</v>
      </c>
      <c r="D229" t="s">
        <v>956</v>
      </c>
      <c r="E229" t="s">
        <v>957</v>
      </c>
      <c r="F229">
        <v>60</v>
      </c>
      <c r="G229">
        <v>1775544740.25</v>
      </c>
      <c r="H229">
        <f t="shared" si="90"/>
        <v>5.8659702391787123E-3</v>
      </c>
      <c r="I229">
        <f t="shared" si="91"/>
        <v>5.8659702391787123</v>
      </c>
      <c r="J229">
        <f t="shared" si="92"/>
        <v>2.0750930684608786</v>
      </c>
      <c r="K229">
        <f t="shared" si="93"/>
        <v>4.3521533333333338</v>
      </c>
      <c r="L229">
        <f t="shared" si="94"/>
        <v>-21.658937427697822</v>
      </c>
      <c r="M229">
        <f t="shared" si="95"/>
        <v>-2.1666080238426533</v>
      </c>
      <c r="N229">
        <f t="shared" si="96"/>
        <v>0.43535886118471623</v>
      </c>
      <c r="O229">
        <f t="shared" si="97"/>
        <v>0.12768321158243573</v>
      </c>
      <c r="P229">
        <f t="shared" si="98"/>
        <v>2.3871155399534958</v>
      </c>
      <c r="Q229">
        <f t="shared" si="99"/>
        <v>0.12400680332832764</v>
      </c>
      <c r="R229">
        <f t="shared" si="100"/>
        <v>7.7825745442284239E-2</v>
      </c>
      <c r="S229">
        <f t="shared" si="101"/>
        <v>0.10265274747</v>
      </c>
      <c r="T229">
        <f t="shared" si="102"/>
        <v>31.342043180874192</v>
      </c>
      <c r="U229">
        <f t="shared" si="103"/>
        <v>33.057519999999997</v>
      </c>
      <c r="V229">
        <f t="shared" si="104"/>
        <v>5.0684580775274872</v>
      </c>
      <c r="W229">
        <f t="shared" si="105"/>
        <v>9.1624213182899865</v>
      </c>
      <c r="X229">
        <f t="shared" si="106"/>
        <v>0.4674711812149282</v>
      </c>
      <c r="Y229">
        <f t="shared" si="107"/>
        <v>5.1020485194428264</v>
      </c>
      <c r="Z229">
        <f t="shared" si="108"/>
        <v>4.6009868963125591</v>
      </c>
      <c r="AA229">
        <f t="shared" si="109"/>
        <v>-258.68928754778119</v>
      </c>
      <c r="AB229">
        <f t="shared" si="110"/>
        <v>15.142156394000308</v>
      </c>
      <c r="AC229">
        <f t="shared" si="111"/>
        <v>1.4544041004715997</v>
      </c>
      <c r="AD229">
        <f t="shared" si="112"/>
        <v>-241.99007430583927</v>
      </c>
      <c r="AE229">
        <v>5</v>
      </c>
      <c r="AF229">
        <v>1</v>
      </c>
      <c r="AG229">
        <f t="shared" si="113"/>
        <v>1</v>
      </c>
      <c r="AH229">
        <f t="shared" si="114"/>
        <v>0</v>
      </c>
      <c r="AI229">
        <f t="shared" si="115"/>
        <v>24994.869251714685</v>
      </c>
      <c r="AJ229">
        <f t="shared" si="116"/>
        <v>0.53716770000000003</v>
      </c>
      <c r="AK229">
        <f t="shared" si="117"/>
        <v>0.42973416000000003</v>
      </c>
      <c r="AL229">
        <f t="shared" si="118"/>
        <v>0.8</v>
      </c>
      <c r="AM229">
        <f t="shared" si="119"/>
        <v>0.19109999999999999</v>
      </c>
      <c r="AN229">
        <v>3</v>
      </c>
      <c r="AO229">
        <v>0.5</v>
      </c>
      <c r="AP229" t="s">
        <v>317</v>
      </c>
      <c r="AQ229">
        <v>2</v>
      </c>
      <c r="AR229">
        <v>1775544740.25</v>
      </c>
      <c r="AS229">
        <v>4.3521533333333338</v>
      </c>
      <c r="AT229">
        <v>5.612565</v>
      </c>
      <c r="AU229">
        <v>4.6731706666666657</v>
      </c>
      <c r="AV229">
        <v>1.1699303333333331</v>
      </c>
      <c r="AW229">
        <v>-2.926846666666667</v>
      </c>
      <c r="AX229">
        <v>6.1931706666666662</v>
      </c>
      <c r="AY229">
        <v>499.98489999999998</v>
      </c>
      <c r="AZ229">
        <v>99.990713333333346</v>
      </c>
      <c r="BA229">
        <v>4.2265249999999997E-2</v>
      </c>
      <c r="BB229">
        <v>33.175179999999997</v>
      </c>
      <c r="BC229">
        <v>33.057519999999997</v>
      </c>
      <c r="BD229">
        <v>999.9000000000002</v>
      </c>
      <c r="BE229">
        <v>0</v>
      </c>
      <c r="BF229">
        <v>0</v>
      </c>
      <c r="BG229">
        <v>4998.1000000000004</v>
      </c>
      <c r="BH229">
        <v>0.53716770000000003</v>
      </c>
      <c r="BI229">
        <v>292.61113333333338</v>
      </c>
      <c r="BJ229">
        <v>-1.271317666666667</v>
      </c>
      <c r="BK229">
        <v>4.3615136666666672</v>
      </c>
      <c r="BL229">
        <v>5.6191343333333332</v>
      </c>
      <c r="BM229">
        <v>3.4769426666666661</v>
      </c>
      <c r="BN229">
        <v>5.612565</v>
      </c>
      <c r="BO229">
        <v>1.1699303333333331</v>
      </c>
      <c r="BP229">
        <v>0.46464430000000001</v>
      </c>
      <c r="BQ229">
        <v>0.1169822333333333</v>
      </c>
      <c r="BR229">
        <v>-3.769734666666666</v>
      </c>
      <c r="BS229">
        <v>-20.853593333333329</v>
      </c>
      <c r="BT229">
        <v>1775544781.5</v>
      </c>
      <c r="BU229" t="s">
        <v>958</v>
      </c>
      <c r="BV229">
        <v>1775544769.5</v>
      </c>
      <c r="BW229">
        <v>1775544781.5</v>
      </c>
      <c r="BX229">
        <v>214</v>
      </c>
      <c r="BY229">
        <v>1.0999999999999999E-2</v>
      </c>
      <c r="BZ229">
        <v>2.7E-2</v>
      </c>
      <c r="CA229">
        <v>7.2789999999999999</v>
      </c>
      <c r="CB229">
        <v>-1.52</v>
      </c>
      <c r="CC229">
        <v>6</v>
      </c>
      <c r="CD229">
        <v>1</v>
      </c>
      <c r="CE229">
        <v>0.3</v>
      </c>
      <c r="CF229">
        <v>0.02</v>
      </c>
      <c r="CG229">
        <v>5.6558929508196716</v>
      </c>
      <c r="CH229">
        <v>-0.30099629825489738</v>
      </c>
      <c r="CI229">
        <v>9.5695962166118753E-2</v>
      </c>
      <c r="CJ229">
        <v>-1</v>
      </c>
      <c r="CK229">
        <v>500.8043442622951</v>
      </c>
      <c r="CL229">
        <v>-6.9520169222648214</v>
      </c>
      <c r="CM229">
        <v>1.6490812333752269</v>
      </c>
      <c r="CN229">
        <v>-1</v>
      </c>
      <c r="CO229">
        <v>0</v>
      </c>
      <c r="CP229">
        <v>0</v>
      </c>
      <c r="CQ229" t="s">
        <v>319</v>
      </c>
      <c r="CR229">
        <v>3.1681599999999999</v>
      </c>
      <c r="CS229">
        <v>2.66221</v>
      </c>
      <c r="CT229">
        <v>-8.6246599999999999E-4</v>
      </c>
      <c r="CU229">
        <v>1.69925E-3</v>
      </c>
      <c r="CV229">
        <v>4.0009000000000003E-2</v>
      </c>
      <c r="CW229">
        <v>8.3420500000000002E-3</v>
      </c>
      <c r="CX229">
        <v>21412.3</v>
      </c>
      <c r="CY229">
        <v>21794.799999999999</v>
      </c>
      <c r="CZ229">
        <v>22924</v>
      </c>
      <c r="DA229">
        <v>22193.4</v>
      </c>
      <c r="DB229">
        <v>28388.3</v>
      </c>
      <c r="DC229">
        <v>26220.5</v>
      </c>
      <c r="DD229">
        <v>40310.5</v>
      </c>
      <c r="DE229">
        <v>36744.800000000003</v>
      </c>
      <c r="DF229">
        <v>2.0516200000000002</v>
      </c>
      <c r="DG229">
        <v>1.6853</v>
      </c>
      <c r="DH229">
        <v>6.8724199999999999E-2</v>
      </c>
      <c r="DI229">
        <v>0</v>
      </c>
      <c r="DJ229">
        <v>31.946999999999999</v>
      </c>
      <c r="DK229">
        <v>999.9</v>
      </c>
      <c r="DL229">
        <v>59.7</v>
      </c>
      <c r="DM229">
        <v>39.299999999999997</v>
      </c>
      <c r="DN229">
        <v>42.631999999999998</v>
      </c>
      <c r="DO229">
        <v>30.449400000000001</v>
      </c>
      <c r="DP229">
        <v>11.1418</v>
      </c>
      <c r="DQ229">
        <v>1</v>
      </c>
      <c r="DR229">
        <v>0.52716300000000005</v>
      </c>
      <c r="DS229">
        <v>-1.9955000000000001</v>
      </c>
      <c r="DT229">
        <v>20.354500000000002</v>
      </c>
      <c r="DU229">
        <v>5.2071100000000001</v>
      </c>
      <c r="DV229">
        <v>11.854200000000001</v>
      </c>
      <c r="DW229">
        <v>4.9674800000000001</v>
      </c>
      <c r="DX229">
        <v>3.2925</v>
      </c>
      <c r="DY229">
        <v>894.7</v>
      </c>
      <c r="DZ229">
        <v>6</v>
      </c>
      <c r="EA229">
        <v>9999</v>
      </c>
      <c r="EB229">
        <v>119.3</v>
      </c>
      <c r="EC229">
        <v>4.9715600000000002</v>
      </c>
      <c r="ED229">
        <v>1.87195</v>
      </c>
      <c r="EE229">
        <v>1.8692</v>
      </c>
      <c r="EF229">
        <v>1.87164</v>
      </c>
      <c r="EG229">
        <v>1.8693500000000001</v>
      </c>
      <c r="EH229">
        <v>1.86829</v>
      </c>
      <c r="EI229">
        <v>1.87008</v>
      </c>
      <c r="EJ229">
        <v>1.87182</v>
      </c>
      <c r="EK229">
        <v>0</v>
      </c>
      <c r="EL229">
        <v>0</v>
      </c>
      <c r="EM229">
        <v>0</v>
      </c>
      <c r="EN229">
        <v>0</v>
      </c>
      <c r="EO229" t="s">
        <v>320</v>
      </c>
      <c r="EP229" t="s">
        <v>321</v>
      </c>
      <c r="EQ229" t="s">
        <v>322</v>
      </c>
      <c r="ER229" t="s">
        <v>322</v>
      </c>
      <c r="ES229" t="s">
        <v>322</v>
      </c>
      <c r="ET229" t="s">
        <v>322</v>
      </c>
      <c r="EU229">
        <v>0</v>
      </c>
      <c r="EV229">
        <v>100</v>
      </c>
      <c r="EW229">
        <v>100</v>
      </c>
      <c r="EX229">
        <v>7.2789999999999999</v>
      </c>
      <c r="EY229">
        <v>-1.52</v>
      </c>
      <c r="EZ229">
        <v>7.2680942857142856</v>
      </c>
      <c r="FA229">
        <v>0</v>
      </c>
      <c r="FB229">
        <v>0</v>
      </c>
      <c r="FC229">
        <v>0</v>
      </c>
      <c r="FD229">
        <v>-1.5462957142857141</v>
      </c>
      <c r="FE229">
        <v>0</v>
      </c>
      <c r="FF229">
        <v>0</v>
      </c>
      <c r="FG229">
        <v>0</v>
      </c>
      <c r="FH229">
        <v>-1</v>
      </c>
      <c r="FI229">
        <v>-1</v>
      </c>
      <c r="FJ229">
        <v>-1</v>
      </c>
      <c r="FK229">
        <v>-1</v>
      </c>
      <c r="FL229">
        <v>0.7</v>
      </c>
      <c r="FM229">
        <v>0.5</v>
      </c>
      <c r="FN229">
        <v>0.14038100000000001</v>
      </c>
      <c r="FO229">
        <v>4.99756</v>
      </c>
      <c r="FP229">
        <v>1.5979000000000001</v>
      </c>
      <c r="FQ229">
        <v>2.1154799999999998</v>
      </c>
      <c r="FR229">
        <v>1.5478499999999999</v>
      </c>
      <c r="FS229">
        <v>2.33643</v>
      </c>
      <c r="FT229">
        <v>41.4041</v>
      </c>
      <c r="FU229">
        <v>14.5085</v>
      </c>
      <c r="FV229">
        <v>2</v>
      </c>
      <c r="FW229">
        <v>507.19900000000001</v>
      </c>
      <c r="FX229">
        <v>365.928</v>
      </c>
      <c r="FY229">
        <v>35.122500000000002</v>
      </c>
      <c r="FZ229">
        <v>33.784999999999997</v>
      </c>
      <c r="GA229">
        <v>29.999600000000001</v>
      </c>
      <c r="GB229">
        <v>34.176099999999998</v>
      </c>
      <c r="GC229">
        <v>34.235999999999997</v>
      </c>
      <c r="GD229">
        <v>-1</v>
      </c>
      <c r="GE229">
        <v>0</v>
      </c>
      <c r="GF229">
        <v>100</v>
      </c>
      <c r="GG229">
        <v>35.139000000000003</v>
      </c>
      <c r="GH229">
        <v>432.1</v>
      </c>
      <c r="GI229">
        <v>44.267099999999999</v>
      </c>
      <c r="GJ229">
        <v>101.447</v>
      </c>
      <c r="GK229">
        <v>95.915599999999998</v>
      </c>
    </row>
    <row r="230" spans="1:193" x14ac:dyDescent="0.35">
      <c r="A230">
        <v>214</v>
      </c>
      <c r="B230">
        <v>1775544808</v>
      </c>
      <c r="C230">
        <v>12781.900000095369</v>
      </c>
      <c r="D230" t="s">
        <v>959</v>
      </c>
      <c r="E230" t="s">
        <v>960</v>
      </c>
      <c r="F230">
        <v>60</v>
      </c>
      <c r="G230">
        <v>1775544800.25</v>
      </c>
      <c r="H230">
        <f t="shared" si="90"/>
        <v>5.9695698262119175E-3</v>
      </c>
      <c r="I230">
        <f t="shared" si="91"/>
        <v>5.9695698262119175</v>
      </c>
      <c r="J230">
        <f t="shared" si="92"/>
        <v>2.5955212380440389</v>
      </c>
      <c r="K230">
        <f t="shared" si="93"/>
        <v>4.6871886666666658</v>
      </c>
      <c r="L230">
        <f t="shared" si="94"/>
        <v>-27.276153420823629</v>
      </c>
      <c r="M230">
        <f t="shared" si="95"/>
        <v>-2.7286133939018482</v>
      </c>
      <c r="N230">
        <f t="shared" si="96"/>
        <v>0.46889037388415666</v>
      </c>
      <c r="O230">
        <f t="shared" si="97"/>
        <v>0.12981805259068099</v>
      </c>
      <c r="P230">
        <f t="shared" si="98"/>
        <v>2.3863664175713035</v>
      </c>
      <c r="Q230">
        <f t="shared" si="99"/>
        <v>0.12601849275972909</v>
      </c>
      <c r="R230">
        <f t="shared" si="100"/>
        <v>7.9093670177643516E-2</v>
      </c>
      <c r="S230">
        <f t="shared" si="101"/>
        <v>0.10111248147000002</v>
      </c>
      <c r="T230">
        <f t="shared" si="102"/>
        <v>31.337922703240075</v>
      </c>
      <c r="U230">
        <f t="shared" si="103"/>
        <v>33.070569999999996</v>
      </c>
      <c r="V230">
        <f t="shared" si="104"/>
        <v>5.0721741754088852</v>
      </c>
      <c r="W230">
        <f t="shared" si="105"/>
        <v>9.0899042649357291</v>
      </c>
      <c r="X230">
        <f t="shared" si="106"/>
        <v>0.46452050884090551</v>
      </c>
      <c r="Y230">
        <f t="shared" si="107"/>
        <v>5.1102904420323938</v>
      </c>
      <c r="Z230">
        <f t="shared" si="108"/>
        <v>4.6076536665679795</v>
      </c>
      <c r="AA230">
        <f t="shared" si="109"/>
        <v>-263.25802933594554</v>
      </c>
      <c r="AB230">
        <f t="shared" si="110"/>
        <v>17.15941317128755</v>
      </c>
      <c r="AC230">
        <f t="shared" si="111"/>
        <v>1.6490168622482853</v>
      </c>
      <c r="AD230">
        <f t="shared" si="112"/>
        <v>-244.34848682093968</v>
      </c>
      <c r="AE230">
        <v>6</v>
      </c>
      <c r="AF230">
        <v>1</v>
      </c>
      <c r="AG230">
        <f t="shared" si="113"/>
        <v>1</v>
      </c>
      <c r="AH230">
        <f t="shared" si="114"/>
        <v>0</v>
      </c>
      <c r="AI230">
        <f t="shared" si="115"/>
        <v>24981.121920184225</v>
      </c>
      <c r="AJ230">
        <f t="shared" si="116"/>
        <v>0.52910770000000007</v>
      </c>
      <c r="AK230">
        <f t="shared" si="117"/>
        <v>0.42328616000000008</v>
      </c>
      <c r="AL230">
        <f t="shared" si="118"/>
        <v>0.8</v>
      </c>
      <c r="AM230">
        <f t="shared" si="119"/>
        <v>0.19109999999999999</v>
      </c>
      <c r="AN230">
        <v>3</v>
      </c>
      <c r="AO230">
        <v>0.5</v>
      </c>
      <c r="AP230" t="s">
        <v>317</v>
      </c>
      <c r="AQ230">
        <v>2</v>
      </c>
      <c r="AR230">
        <v>1775544800.25</v>
      </c>
      <c r="AS230">
        <v>4.6871886666666658</v>
      </c>
      <c r="AT230">
        <v>6.2613036666666666</v>
      </c>
      <c r="AU230">
        <v>4.6435060000000004</v>
      </c>
      <c r="AV230">
        <v>1.078364333333333</v>
      </c>
      <c r="AW230">
        <v>-2.5778113333333339</v>
      </c>
      <c r="AX230">
        <v>6.1715059999999999</v>
      </c>
      <c r="AY230">
        <v>499.99556666666672</v>
      </c>
      <c r="AZ230">
        <v>99.996773333333323</v>
      </c>
      <c r="BA230">
        <v>3.9817303333333331E-2</v>
      </c>
      <c r="BB230">
        <v>33.203946666666667</v>
      </c>
      <c r="BC230">
        <v>33.070569999999996</v>
      </c>
      <c r="BD230">
        <v>999.9000000000002</v>
      </c>
      <c r="BE230">
        <v>0</v>
      </c>
      <c r="BF230">
        <v>0</v>
      </c>
      <c r="BG230">
        <v>4995.8666666666668</v>
      </c>
      <c r="BH230">
        <v>0.52910770000000007</v>
      </c>
      <c r="BI230">
        <v>281.17763333333329</v>
      </c>
      <c r="BJ230">
        <v>-1.5600476666666669</v>
      </c>
      <c r="BK230">
        <v>4.7232269999999996</v>
      </c>
      <c r="BL230">
        <v>6.2680636666666674</v>
      </c>
      <c r="BM230">
        <v>3.573370333333334</v>
      </c>
      <c r="BN230">
        <v>6.2613036666666666</v>
      </c>
      <c r="BO230">
        <v>1.078364333333333</v>
      </c>
      <c r="BP230">
        <v>0.46515840000000003</v>
      </c>
      <c r="BQ230">
        <v>0.1078329</v>
      </c>
      <c r="BR230">
        <v>-3.7549929999999998</v>
      </c>
      <c r="BS230">
        <v>-21.77773333333333</v>
      </c>
      <c r="BT230">
        <v>1775544845.5</v>
      </c>
      <c r="BU230" t="s">
        <v>961</v>
      </c>
      <c r="BV230">
        <v>1775544826</v>
      </c>
      <c r="BW230">
        <v>1775544845.5</v>
      </c>
      <c r="BX230">
        <v>215</v>
      </c>
      <c r="BY230">
        <v>-1.4E-2</v>
      </c>
      <c r="BZ230">
        <v>-8.0000000000000002E-3</v>
      </c>
      <c r="CA230">
        <v>7.2649999999999997</v>
      </c>
      <c r="CB230">
        <v>-1.528</v>
      </c>
      <c r="CC230">
        <v>6</v>
      </c>
      <c r="CD230">
        <v>1</v>
      </c>
      <c r="CE230">
        <v>0.25</v>
      </c>
      <c r="CF230">
        <v>0.02</v>
      </c>
      <c r="CG230">
        <v>6.1313896721311476</v>
      </c>
      <c r="CH230">
        <v>0.78477804336329848</v>
      </c>
      <c r="CI230">
        <v>0.1562914917601525</v>
      </c>
      <c r="CJ230">
        <v>-1</v>
      </c>
      <c r="CK230">
        <v>500.83427868852459</v>
      </c>
      <c r="CL230">
        <v>-3.6200655737706851</v>
      </c>
      <c r="CM230">
        <v>1.742787602449229</v>
      </c>
      <c r="CN230">
        <v>-1</v>
      </c>
      <c r="CO230">
        <v>0</v>
      </c>
      <c r="CP230">
        <v>0</v>
      </c>
      <c r="CQ230" t="s">
        <v>319</v>
      </c>
      <c r="CR230">
        <v>3.1680299999999999</v>
      </c>
      <c r="CS230">
        <v>2.6614300000000002</v>
      </c>
      <c r="CT230">
        <v>-7.0740699999999996E-4</v>
      </c>
      <c r="CU230">
        <v>1.90113E-3</v>
      </c>
      <c r="CV230">
        <v>3.9974599999999999E-2</v>
      </c>
      <c r="CW230">
        <v>8.4357700000000004E-3</v>
      </c>
      <c r="CX230">
        <v>21410.5</v>
      </c>
      <c r="CY230">
        <v>21792.3</v>
      </c>
      <c r="CZ230">
        <v>22925.200000000001</v>
      </c>
      <c r="DA230">
        <v>22195.1</v>
      </c>
      <c r="DB230">
        <v>28390.5</v>
      </c>
      <c r="DC230">
        <v>26220.5</v>
      </c>
      <c r="DD230">
        <v>40312</v>
      </c>
      <c r="DE230">
        <v>36748.199999999997</v>
      </c>
      <c r="DF230">
        <v>2.0518000000000001</v>
      </c>
      <c r="DG230">
        <v>1.68906</v>
      </c>
      <c r="DH230">
        <v>7.2848800000000005E-2</v>
      </c>
      <c r="DI230">
        <v>0</v>
      </c>
      <c r="DJ230">
        <v>31.900500000000001</v>
      </c>
      <c r="DK230">
        <v>999.9</v>
      </c>
      <c r="DL230">
        <v>59.9</v>
      </c>
      <c r="DM230">
        <v>39.1</v>
      </c>
      <c r="DN230">
        <v>42.318300000000001</v>
      </c>
      <c r="DO230">
        <v>30.659400000000002</v>
      </c>
      <c r="DP230">
        <v>11.3101</v>
      </c>
      <c r="DQ230">
        <v>1</v>
      </c>
      <c r="DR230">
        <v>0.51952600000000004</v>
      </c>
      <c r="DS230">
        <v>-1.71488</v>
      </c>
      <c r="DT230">
        <v>20.358699999999999</v>
      </c>
      <c r="DU230">
        <v>5.2100999999999997</v>
      </c>
      <c r="DV230">
        <v>11.854200000000001</v>
      </c>
      <c r="DW230">
        <v>4.9678000000000004</v>
      </c>
      <c r="DX230">
        <v>3.2928600000000001</v>
      </c>
      <c r="DY230">
        <v>894.7</v>
      </c>
      <c r="DZ230">
        <v>6</v>
      </c>
      <c r="EA230">
        <v>9999</v>
      </c>
      <c r="EB230">
        <v>119.3</v>
      </c>
      <c r="EC230">
        <v>4.9715699999999998</v>
      </c>
      <c r="ED230">
        <v>1.87195</v>
      </c>
      <c r="EE230">
        <v>1.8692</v>
      </c>
      <c r="EF230">
        <v>1.8716299999999999</v>
      </c>
      <c r="EG230">
        <v>1.8693500000000001</v>
      </c>
      <c r="EH230">
        <v>1.8682799999999999</v>
      </c>
      <c r="EI230">
        <v>1.8701000000000001</v>
      </c>
      <c r="EJ230">
        <v>1.87181</v>
      </c>
      <c r="EK230">
        <v>0</v>
      </c>
      <c r="EL230">
        <v>0</v>
      </c>
      <c r="EM230">
        <v>0</v>
      </c>
      <c r="EN230">
        <v>0</v>
      </c>
      <c r="EO230" t="s">
        <v>320</v>
      </c>
      <c r="EP230" t="s">
        <v>321</v>
      </c>
      <c r="EQ230" t="s">
        <v>322</v>
      </c>
      <c r="ER230" t="s">
        <v>322</v>
      </c>
      <c r="ES230" t="s">
        <v>322</v>
      </c>
      <c r="ET230" t="s">
        <v>322</v>
      </c>
      <c r="EU230">
        <v>0</v>
      </c>
      <c r="EV230">
        <v>100</v>
      </c>
      <c r="EW230">
        <v>100</v>
      </c>
      <c r="EX230">
        <v>7.2649999999999997</v>
      </c>
      <c r="EY230">
        <v>-1.528</v>
      </c>
      <c r="EZ230">
        <v>7.279066666666667</v>
      </c>
      <c r="FA230">
        <v>0</v>
      </c>
      <c r="FB230">
        <v>0</v>
      </c>
      <c r="FC230">
        <v>0</v>
      </c>
      <c r="FD230">
        <v>-1.5197723809523811</v>
      </c>
      <c r="FE230">
        <v>0</v>
      </c>
      <c r="FF230">
        <v>0</v>
      </c>
      <c r="FG230">
        <v>0</v>
      </c>
      <c r="FH230">
        <v>-1</v>
      </c>
      <c r="FI230">
        <v>-1</v>
      </c>
      <c r="FJ230">
        <v>-1</v>
      </c>
      <c r="FK230">
        <v>-1</v>
      </c>
      <c r="FL230">
        <v>0.6</v>
      </c>
      <c r="FM230">
        <v>0.4</v>
      </c>
      <c r="FN230">
        <v>0.14038100000000001</v>
      </c>
      <c r="FO230">
        <v>4.99756</v>
      </c>
      <c r="FP230">
        <v>1.5979000000000001</v>
      </c>
      <c r="FQ230">
        <v>2.1166999999999998</v>
      </c>
      <c r="FR230">
        <v>1.5478499999999999</v>
      </c>
      <c r="FS230">
        <v>2.4841299999999999</v>
      </c>
      <c r="FT230">
        <v>41.248199999999997</v>
      </c>
      <c r="FU230">
        <v>14.517300000000001</v>
      </c>
      <c r="FV230">
        <v>2</v>
      </c>
      <c r="FW230">
        <v>506.68099999999998</v>
      </c>
      <c r="FX230">
        <v>367.47800000000001</v>
      </c>
      <c r="FY230">
        <v>34.901200000000003</v>
      </c>
      <c r="FZ230">
        <v>33.702500000000001</v>
      </c>
      <c r="GA230">
        <v>29.999600000000001</v>
      </c>
      <c r="GB230">
        <v>34.090699999999998</v>
      </c>
      <c r="GC230">
        <v>34.145400000000002</v>
      </c>
      <c r="GD230">
        <v>-1</v>
      </c>
      <c r="GE230">
        <v>0</v>
      </c>
      <c r="GF230">
        <v>100</v>
      </c>
      <c r="GG230">
        <v>34.897500000000001</v>
      </c>
      <c r="GH230">
        <v>432.1</v>
      </c>
      <c r="GI230">
        <v>44.267099999999999</v>
      </c>
      <c r="GJ230">
        <v>101.452</v>
      </c>
      <c r="GK230">
        <v>95.9238</v>
      </c>
    </row>
    <row r="231" spans="1:193" x14ac:dyDescent="0.35">
      <c r="A231">
        <v>215</v>
      </c>
      <c r="B231">
        <v>1775544868</v>
      </c>
      <c r="C231">
        <v>12841.900000095369</v>
      </c>
      <c r="D231" t="s">
        <v>962</v>
      </c>
      <c r="E231" t="s">
        <v>963</v>
      </c>
      <c r="F231">
        <v>60</v>
      </c>
      <c r="G231">
        <v>1775544860.25</v>
      </c>
      <c r="H231">
        <f t="shared" si="90"/>
        <v>5.8223294748087368E-3</v>
      </c>
      <c r="I231">
        <f t="shared" si="91"/>
        <v>5.8223294748087371</v>
      </c>
      <c r="J231">
        <f t="shared" si="92"/>
        <v>2.2580304869112315</v>
      </c>
      <c r="K231">
        <f t="shared" si="93"/>
        <v>4.8786670000000001</v>
      </c>
      <c r="L231">
        <f t="shared" si="94"/>
        <v>-23.692561457325972</v>
      </c>
      <c r="M231">
        <f t="shared" si="95"/>
        <v>-2.3701535829212297</v>
      </c>
      <c r="N231">
        <f t="shared" si="96"/>
        <v>0.48805149627897731</v>
      </c>
      <c r="O231">
        <f t="shared" si="97"/>
        <v>0.12648245710933936</v>
      </c>
      <c r="P231">
        <f t="shared" si="98"/>
        <v>2.3907389795836234</v>
      </c>
      <c r="Q231">
        <f t="shared" si="99"/>
        <v>0.12287912030773188</v>
      </c>
      <c r="R231">
        <f t="shared" si="100"/>
        <v>7.7114645038263208E-2</v>
      </c>
      <c r="S231">
        <f t="shared" si="101"/>
        <v>8.9625313960000008E-2</v>
      </c>
      <c r="T231">
        <f t="shared" si="102"/>
        <v>31.384638423303048</v>
      </c>
      <c r="U231">
        <f t="shared" si="103"/>
        <v>33.072056666666668</v>
      </c>
      <c r="V231">
        <f t="shared" si="104"/>
        <v>5.0725976666856232</v>
      </c>
      <c r="W231">
        <f t="shared" si="105"/>
        <v>9.0751521497442909</v>
      </c>
      <c r="X231">
        <f t="shared" si="106"/>
        <v>0.46370731190737396</v>
      </c>
      <c r="Y231">
        <f t="shared" si="107"/>
        <v>5.1096367780504899</v>
      </c>
      <c r="Z231">
        <f t="shared" si="108"/>
        <v>4.6088903547782492</v>
      </c>
      <c r="AA231">
        <f t="shared" si="109"/>
        <v>-256.7647298390653</v>
      </c>
      <c r="AB231">
        <f t="shared" si="110"/>
        <v>16.705370670002292</v>
      </c>
      <c r="AC231">
        <f t="shared" si="111"/>
        <v>1.6024410378359482</v>
      </c>
      <c r="AD231">
        <f t="shared" si="112"/>
        <v>-238.36729281726707</v>
      </c>
      <c r="AE231">
        <v>6</v>
      </c>
      <c r="AF231">
        <v>1</v>
      </c>
      <c r="AG231">
        <f t="shared" si="113"/>
        <v>1</v>
      </c>
      <c r="AH231">
        <f t="shared" si="114"/>
        <v>0</v>
      </c>
      <c r="AI231">
        <f t="shared" si="115"/>
        <v>25046.492364960781</v>
      </c>
      <c r="AJ231">
        <f t="shared" si="116"/>
        <v>0.46899693333333342</v>
      </c>
      <c r="AK231">
        <f t="shared" si="117"/>
        <v>0.37519754666666677</v>
      </c>
      <c r="AL231">
        <f t="shared" si="118"/>
        <v>0.8</v>
      </c>
      <c r="AM231">
        <f t="shared" si="119"/>
        <v>0.19109999999999999</v>
      </c>
      <c r="AN231">
        <v>3</v>
      </c>
      <c r="AO231">
        <v>0.5</v>
      </c>
      <c r="AP231" t="s">
        <v>317</v>
      </c>
      <c r="AQ231">
        <v>2</v>
      </c>
      <c r="AR231">
        <v>1775544860.25</v>
      </c>
      <c r="AS231">
        <v>4.8786670000000001</v>
      </c>
      <c r="AT231">
        <v>6.2501926666666652</v>
      </c>
      <c r="AU231">
        <v>4.635317333333334</v>
      </c>
      <c r="AV231">
        <v>1.1589636666666669</v>
      </c>
      <c r="AW231">
        <v>-2.4053330000000002</v>
      </c>
      <c r="AX231">
        <v>6.151317333333334</v>
      </c>
      <c r="AY231">
        <v>500.12240000000003</v>
      </c>
      <c r="AZ231">
        <v>99.996186666666674</v>
      </c>
      <c r="BA231">
        <v>4.1691770000000003E-2</v>
      </c>
      <c r="BB231">
        <v>33.201666666666668</v>
      </c>
      <c r="BC231">
        <v>33.072056666666668</v>
      </c>
      <c r="BD231">
        <v>999.9000000000002</v>
      </c>
      <c r="BE231">
        <v>0</v>
      </c>
      <c r="BF231">
        <v>0</v>
      </c>
      <c r="BG231">
        <v>5007.166666666667</v>
      </c>
      <c r="BH231">
        <v>0.46899693333333342</v>
      </c>
      <c r="BI231">
        <v>267.37233333333342</v>
      </c>
      <c r="BJ231">
        <v>-1.3902730000000001</v>
      </c>
      <c r="BK231">
        <v>4.8824923333333343</v>
      </c>
      <c r="BL231">
        <v>6.2574443333333347</v>
      </c>
      <c r="BM231">
        <v>3.4644673333333338</v>
      </c>
      <c r="BN231">
        <v>6.2501926666666652</v>
      </c>
      <c r="BO231">
        <v>1.1589636666666669</v>
      </c>
      <c r="BP231">
        <v>0.46232523333333331</v>
      </c>
      <c r="BQ231">
        <v>0.1158918666666667</v>
      </c>
      <c r="BR231">
        <v>-3.8364940000000001</v>
      </c>
      <c r="BS231">
        <v>-20.953866666666659</v>
      </c>
      <c r="BT231">
        <v>1775544908.5</v>
      </c>
      <c r="BU231" t="s">
        <v>964</v>
      </c>
      <c r="BV231">
        <v>1775544891.5</v>
      </c>
      <c r="BW231">
        <v>1775544908.5</v>
      </c>
      <c r="BX231">
        <v>216</v>
      </c>
      <c r="BY231">
        <v>1.9E-2</v>
      </c>
      <c r="BZ231">
        <v>1.2E-2</v>
      </c>
      <c r="CA231">
        <v>7.2839999999999998</v>
      </c>
      <c r="CB231">
        <v>-1.516</v>
      </c>
      <c r="CC231">
        <v>6</v>
      </c>
      <c r="CD231">
        <v>1</v>
      </c>
      <c r="CE231">
        <v>0.28999999999999998</v>
      </c>
      <c r="CF231">
        <v>0.05</v>
      </c>
      <c r="CG231">
        <v>6.2446777049180344</v>
      </c>
      <c r="CH231">
        <v>6.604829190903759E-2</v>
      </c>
      <c r="CI231">
        <v>4.0023516095343707E-2</v>
      </c>
      <c r="CJ231">
        <v>-1</v>
      </c>
      <c r="CK231">
        <v>500.83916393442632</v>
      </c>
      <c r="CL231">
        <v>-1.278161819143933</v>
      </c>
      <c r="CM231">
        <v>1.636965016403459</v>
      </c>
      <c r="CN231">
        <v>-1</v>
      </c>
      <c r="CO231">
        <v>0</v>
      </c>
      <c r="CP231">
        <v>0</v>
      </c>
      <c r="CQ231" t="s">
        <v>319</v>
      </c>
      <c r="CR231">
        <v>3.1680299999999999</v>
      </c>
      <c r="CS231">
        <v>2.6629800000000001</v>
      </c>
      <c r="CT231">
        <v>-6.9366399999999998E-4</v>
      </c>
      <c r="CU231">
        <v>1.84688E-3</v>
      </c>
      <c r="CV231">
        <v>3.9686899999999997E-2</v>
      </c>
      <c r="CW231">
        <v>8.6624600000000003E-3</v>
      </c>
      <c r="CX231">
        <v>21412.2</v>
      </c>
      <c r="CY231">
        <v>21794.799999999999</v>
      </c>
      <c r="CZ231">
        <v>22927.1</v>
      </c>
      <c r="DA231">
        <v>22196.3</v>
      </c>
      <c r="DB231">
        <v>28401.1</v>
      </c>
      <c r="DC231">
        <v>26216.2</v>
      </c>
      <c r="DD231">
        <v>40314.699999999997</v>
      </c>
      <c r="DE231">
        <v>36750.400000000001</v>
      </c>
      <c r="DF231">
        <v>2.0514999999999999</v>
      </c>
      <c r="DG231">
        <v>1.6906000000000001</v>
      </c>
      <c r="DH231">
        <v>7.0100999999999997E-2</v>
      </c>
      <c r="DI231">
        <v>0</v>
      </c>
      <c r="DJ231">
        <v>31.924399999999999</v>
      </c>
      <c r="DK231">
        <v>999.9</v>
      </c>
      <c r="DL231">
        <v>60.1</v>
      </c>
      <c r="DM231">
        <v>39</v>
      </c>
      <c r="DN231">
        <v>42.234999999999999</v>
      </c>
      <c r="DO231">
        <v>30.359400000000001</v>
      </c>
      <c r="DP231">
        <v>11.0136</v>
      </c>
      <c r="DQ231">
        <v>1</v>
      </c>
      <c r="DR231">
        <v>0.51317900000000005</v>
      </c>
      <c r="DS231">
        <v>-1.7140899999999999</v>
      </c>
      <c r="DT231">
        <v>20.358899999999998</v>
      </c>
      <c r="DU231">
        <v>5.2111799999999997</v>
      </c>
      <c r="DV231">
        <v>11.854200000000001</v>
      </c>
      <c r="DW231">
        <v>4.9677600000000002</v>
      </c>
      <c r="DX231">
        <v>3.2929400000000002</v>
      </c>
      <c r="DY231">
        <v>894.7</v>
      </c>
      <c r="DZ231">
        <v>6</v>
      </c>
      <c r="EA231">
        <v>9999</v>
      </c>
      <c r="EB231">
        <v>119.3</v>
      </c>
      <c r="EC231">
        <v>4.9715699999999998</v>
      </c>
      <c r="ED231">
        <v>1.87195</v>
      </c>
      <c r="EE231">
        <v>1.8692</v>
      </c>
      <c r="EF231">
        <v>1.8716299999999999</v>
      </c>
      <c r="EG231">
        <v>1.8693500000000001</v>
      </c>
      <c r="EH231">
        <v>1.8682799999999999</v>
      </c>
      <c r="EI231">
        <v>1.87008</v>
      </c>
      <c r="EJ231">
        <v>1.87181</v>
      </c>
      <c r="EK231">
        <v>0</v>
      </c>
      <c r="EL231">
        <v>0</v>
      </c>
      <c r="EM231">
        <v>0</v>
      </c>
      <c r="EN231">
        <v>0</v>
      </c>
      <c r="EO231" t="s">
        <v>320</v>
      </c>
      <c r="EP231" t="s">
        <v>321</v>
      </c>
      <c r="EQ231" t="s">
        <v>322</v>
      </c>
      <c r="ER231" t="s">
        <v>322</v>
      </c>
      <c r="ES231" t="s">
        <v>322</v>
      </c>
      <c r="ET231" t="s">
        <v>322</v>
      </c>
      <c r="EU231">
        <v>0</v>
      </c>
      <c r="EV231">
        <v>100</v>
      </c>
      <c r="EW231">
        <v>100</v>
      </c>
      <c r="EX231">
        <v>7.2839999999999998</v>
      </c>
      <c r="EY231">
        <v>-1.516</v>
      </c>
      <c r="EZ231">
        <v>7.2652519999999976</v>
      </c>
      <c r="FA231">
        <v>0</v>
      </c>
      <c r="FB231">
        <v>0</v>
      </c>
      <c r="FC231">
        <v>0</v>
      </c>
      <c r="FD231">
        <v>-1.5278866666666671</v>
      </c>
      <c r="FE231">
        <v>0</v>
      </c>
      <c r="FF231">
        <v>0</v>
      </c>
      <c r="FG231">
        <v>0</v>
      </c>
      <c r="FH231">
        <v>-1</v>
      </c>
      <c r="FI231">
        <v>-1</v>
      </c>
      <c r="FJ231">
        <v>-1</v>
      </c>
      <c r="FK231">
        <v>-1</v>
      </c>
      <c r="FL231">
        <v>0.7</v>
      </c>
      <c r="FM231">
        <v>0.4</v>
      </c>
      <c r="FN231">
        <v>0.14038100000000001</v>
      </c>
      <c r="FO231">
        <v>4.99756</v>
      </c>
      <c r="FP231">
        <v>1.5979000000000001</v>
      </c>
      <c r="FQ231">
        <v>2.1166999999999998</v>
      </c>
      <c r="FR231">
        <v>1.5478499999999999</v>
      </c>
      <c r="FS231">
        <v>2.47437</v>
      </c>
      <c r="FT231">
        <v>41.118699999999997</v>
      </c>
      <c r="FU231">
        <v>14.5085</v>
      </c>
      <c r="FV231">
        <v>2</v>
      </c>
      <c r="FW231">
        <v>505.93799999999999</v>
      </c>
      <c r="FX231">
        <v>367.86700000000002</v>
      </c>
      <c r="FY231">
        <v>34.811599999999999</v>
      </c>
      <c r="FZ231">
        <v>33.633899999999997</v>
      </c>
      <c r="GA231">
        <v>29.999600000000001</v>
      </c>
      <c r="GB231">
        <v>34.014099999999999</v>
      </c>
      <c r="GC231">
        <v>34.063299999999998</v>
      </c>
      <c r="GD231">
        <v>-1</v>
      </c>
      <c r="GE231">
        <v>0</v>
      </c>
      <c r="GF231">
        <v>100</v>
      </c>
      <c r="GG231">
        <v>34.885800000000003</v>
      </c>
      <c r="GH231">
        <v>432.1</v>
      </c>
      <c r="GI231">
        <v>44.267099999999999</v>
      </c>
      <c r="GJ231">
        <v>101.459</v>
      </c>
      <c r="GK231">
        <v>95.929500000000004</v>
      </c>
    </row>
    <row r="232" spans="1:193" x14ac:dyDescent="0.35">
      <c r="A232">
        <v>216</v>
      </c>
      <c r="B232">
        <v>1775544928</v>
      </c>
      <c r="C232">
        <v>12901.900000095369</v>
      </c>
      <c r="D232" t="s">
        <v>965</v>
      </c>
      <c r="E232" t="s">
        <v>966</v>
      </c>
      <c r="F232">
        <v>60</v>
      </c>
      <c r="G232">
        <v>1775544920.25</v>
      </c>
      <c r="H232">
        <f t="shared" si="90"/>
        <v>5.6976860503426836E-3</v>
      </c>
      <c r="I232">
        <f t="shared" si="91"/>
        <v>5.6976860503426838</v>
      </c>
      <c r="J232">
        <f t="shared" si="92"/>
        <v>1.7594595715457133</v>
      </c>
      <c r="K232">
        <f t="shared" si="93"/>
        <v>5.0196566666666662</v>
      </c>
      <c r="L232">
        <f t="shared" si="94"/>
        <v>-17.897906890648404</v>
      </c>
      <c r="M232">
        <f t="shared" si="95"/>
        <v>-1.7905186075575079</v>
      </c>
      <c r="N232">
        <f t="shared" si="96"/>
        <v>0.50216981908162961</v>
      </c>
      <c r="O232">
        <f t="shared" si="97"/>
        <v>0.12322376323830067</v>
      </c>
      <c r="P232">
        <f t="shared" si="98"/>
        <v>2.3871572638982683</v>
      </c>
      <c r="Q232">
        <f t="shared" si="99"/>
        <v>0.11979602051312765</v>
      </c>
      <c r="R232">
        <f t="shared" si="100"/>
        <v>7.5172539781996991E-2</v>
      </c>
      <c r="S232">
        <f t="shared" si="101"/>
        <v>9.4617107130000003E-2</v>
      </c>
      <c r="T232">
        <f t="shared" si="102"/>
        <v>31.419719897780379</v>
      </c>
      <c r="U232">
        <f t="shared" si="103"/>
        <v>33.072463333333332</v>
      </c>
      <c r="V232">
        <f t="shared" si="104"/>
        <v>5.0727135149492959</v>
      </c>
      <c r="W232">
        <f t="shared" si="105"/>
        <v>8.7265406977824771</v>
      </c>
      <c r="X232">
        <f t="shared" si="106"/>
        <v>0.44585875968360333</v>
      </c>
      <c r="Y232">
        <f t="shared" si="107"/>
        <v>5.10922684170718</v>
      </c>
      <c r="Z232">
        <f t="shared" si="108"/>
        <v>4.6268547552656925</v>
      </c>
      <c r="AA232">
        <f t="shared" si="109"/>
        <v>-251.26795482011235</v>
      </c>
      <c r="AB232">
        <f t="shared" si="110"/>
        <v>16.443970879563985</v>
      </c>
      <c r="AC232">
        <f t="shared" si="111"/>
        <v>1.5797253760160215</v>
      </c>
      <c r="AD232">
        <f t="shared" si="112"/>
        <v>-233.14964145740234</v>
      </c>
      <c r="AE232">
        <v>7</v>
      </c>
      <c r="AF232">
        <v>1</v>
      </c>
      <c r="AG232">
        <f t="shared" si="113"/>
        <v>1</v>
      </c>
      <c r="AH232">
        <f t="shared" si="114"/>
        <v>0</v>
      </c>
      <c r="AI232">
        <f t="shared" si="115"/>
        <v>24993.140194872809</v>
      </c>
      <c r="AJ232">
        <f t="shared" si="116"/>
        <v>0.49511830000000001</v>
      </c>
      <c r="AK232">
        <f t="shared" si="117"/>
        <v>0.39609464000000005</v>
      </c>
      <c r="AL232">
        <f t="shared" si="118"/>
        <v>0.8</v>
      </c>
      <c r="AM232">
        <f t="shared" si="119"/>
        <v>0.19109999999999999</v>
      </c>
      <c r="AN232">
        <v>3</v>
      </c>
      <c r="AO232">
        <v>0.5</v>
      </c>
      <c r="AP232" t="s">
        <v>317</v>
      </c>
      <c r="AQ232">
        <v>2</v>
      </c>
      <c r="AR232">
        <v>1775544920.25</v>
      </c>
      <c r="AS232">
        <v>5.0196566666666662</v>
      </c>
      <c r="AT232">
        <v>6.090411333333333</v>
      </c>
      <c r="AU232">
        <v>4.4567750000000013</v>
      </c>
      <c r="AV232">
        <v>1.0600020000000001</v>
      </c>
      <c r="AW232">
        <v>-2.2763433333333341</v>
      </c>
      <c r="AX232">
        <v>5.9787750000000024</v>
      </c>
      <c r="AY232">
        <v>500.97189999999989</v>
      </c>
      <c r="AZ232">
        <v>99.998533333333341</v>
      </c>
      <c r="BA232">
        <v>4.2137260000000003E-2</v>
      </c>
      <c r="BB232">
        <v>33.200236666666662</v>
      </c>
      <c r="BC232">
        <v>33.072463333333332</v>
      </c>
      <c r="BD232">
        <v>999.9000000000002</v>
      </c>
      <c r="BE232">
        <v>0</v>
      </c>
      <c r="BF232">
        <v>0</v>
      </c>
      <c r="BG232">
        <v>4997.8166666666666</v>
      </c>
      <c r="BH232">
        <v>0.49511830000000001</v>
      </c>
      <c r="BI232">
        <v>252.6953</v>
      </c>
      <c r="BJ232">
        <v>-1.0823101666666659</v>
      </c>
      <c r="BK232">
        <v>5.0304903333333328</v>
      </c>
      <c r="BL232">
        <v>6.0968739999999997</v>
      </c>
      <c r="BM232">
        <v>3.403165</v>
      </c>
      <c r="BN232">
        <v>6.090411333333333</v>
      </c>
      <c r="BO232">
        <v>1.0600020000000001</v>
      </c>
      <c r="BP232">
        <v>0.44630979999999998</v>
      </c>
      <c r="BQ232">
        <v>0.1059985</v>
      </c>
      <c r="BR232">
        <v>-4.3439900000000007</v>
      </c>
      <c r="BS232">
        <v>-21.972746666666659</v>
      </c>
      <c r="BT232">
        <v>1775544956</v>
      </c>
      <c r="BU232" t="s">
        <v>967</v>
      </c>
      <c r="BV232">
        <v>1775544945</v>
      </c>
      <c r="BW232">
        <v>1775544956</v>
      </c>
      <c r="BX232">
        <v>217</v>
      </c>
      <c r="BY232">
        <v>1.0999999999999999E-2</v>
      </c>
      <c r="BZ232">
        <v>-6.0000000000000001E-3</v>
      </c>
      <c r="CA232">
        <v>7.2960000000000003</v>
      </c>
      <c r="CB232">
        <v>-1.522</v>
      </c>
      <c r="CC232">
        <v>6</v>
      </c>
      <c r="CD232">
        <v>1</v>
      </c>
      <c r="CE232">
        <v>0.25</v>
      </c>
      <c r="CF232">
        <v>0.02</v>
      </c>
      <c r="CG232">
        <v>6.3405873333333327</v>
      </c>
      <c r="CH232">
        <v>-1.9338869241455809</v>
      </c>
      <c r="CI232">
        <v>0.31421957140862861</v>
      </c>
      <c r="CJ232">
        <v>-1</v>
      </c>
      <c r="CK232">
        <v>500.87181666666669</v>
      </c>
      <c r="CL232">
        <v>0.14270297304928931</v>
      </c>
      <c r="CM232">
        <v>1.6475782985103391</v>
      </c>
      <c r="CN232">
        <v>-1</v>
      </c>
      <c r="CO232">
        <v>0</v>
      </c>
      <c r="CP232">
        <v>0</v>
      </c>
      <c r="CQ232" t="s">
        <v>319</v>
      </c>
      <c r="CR232">
        <v>3.1680700000000002</v>
      </c>
      <c r="CS232">
        <v>2.6636000000000002</v>
      </c>
      <c r="CT232">
        <v>-7.7222300000000005E-4</v>
      </c>
      <c r="CU232">
        <v>1.6197399999999999E-3</v>
      </c>
      <c r="CV232">
        <v>3.9595699999999998E-2</v>
      </c>
      <c r="CW232">
        <v>8.1300499999999998E-3</v>
      </c>
      <c r="CX232">
        <v>21415</v>
      </c>
      <c r="CY232">
        <v>21801.3</v>
      </c>
      <c r="CZ232">
        <v>22928</v>
      </c>
      <c r="DA232">
        <v>22197.7</v>
      </c>
      <c r="DB232">
        <v>28404.6</v>
      </c>
      <c r="DC232">
        <v>26232.2</v>
      </c>
      <c r="DD232">
        <v>40315.800000000003</v>
      </c>
      <c r="DE232">
        <v>36753.1</v>
      </c>
      <c r="DF232">
        <v>2.0516800000000002</v>
      </c>
      <c r="DG232">
        <v>1.69198</v>
      </c>
      <c r="DH232">
        <v>7.2801099999999994E-2</v>
      </c>
      <c r="DI232">
        <v>0</v>
      </c>
      <c r="DJ232">
        <v>31.8962</v>
      </c>
      <c r="DK232">
        <v>999.9</v>
      </c>
      <c r="DL232">
        <v>60.3</v>
      </c>
      <c r="DM232">
        <v>38.799999999999997</v>
      </c>
      <c r="DN232">
        <v>41.918300000000002</v>
      </c>
      <c r="DO232">
        <v>30.299399999999999</v>
      </c>
      <c r="DP232">
        <v>10.929500000000001</v>
      </c>
      <c r="DQ232">
        <v>1</v>
      </c>
      <c r="DR232">
        <v>0.50787400000000005</v>
      </c>
      <c r="DS232">
        <v>-1.60643</v>
      </c>
      <c r="DT232">
        <v>20.3599</v>
      </c>
      <c r="DU232">
        <v>5.2110599999999998</v>
      </c>
      <c r="DV232">
        <v>11.854200000000001</v>
      </c>
      <c r="DW232">
        <v>4.9678000000000004</v>
      </c>
      <c r="DX232">
        <v>3.2928199999999999</v>
      </c>
      <c r="DY232">
        <v>894.7</v>
      </c>
      <c r="DZ232">
        <v>6</v>
      </c>
      <c r="EA232">
        <v>9999</v>
      </c>
      <c r="EB232">
        <v>119.3</v>
      </c>
      <c r="EC232">
        <v>4.9715600000000002</v>
      </c>
      <c r="ED232">
        <v>1.87195</v>
      </c>
      <c r="EE232">
        <v>1.8692</v>
      </c>
      <c r="EF232">
        <v>1.87164</v>
      </c>
      <c r="EG232">
        <v>1.8693500000000001</v>
      </c>
      <c r="EH232">
        <v>1.8682799999999999</v>
      </c>
      <c r="EI232">
        <v>1.8701099999999999</v>
      </c>
      <c r="EJ232">
        <v>1.87181</v>
      </c>
      <c r="EK232">
        <v>0</v>
      </c>
      <c r="EL232">
        <v>0</v>
      </c>
      <c r="EM232">
        <v>0</v>
      </c>
      <c r="EN232">
        <v>0</v>
      </c>
      <c r="EO232" t="s">
        <v>320</v>
      </c>
      <c r="EP232" t="s">
        <v>321</v>
      </c>
      <c r="EQ232" t="s">
        <v>322</v>
      </c>
      <c r="ER232" t="s">
        <v>322</v>
      </c>
      <c r="ES232" t="s">
        <v>322</v>
      </c>
      <c r="ET232" t="s">
        <v>322</v>
      </c>
      <c r="EU232">
        <v>0</v>
      </c>
      <c r="EV232">
        <v>100</v>
      </c>
      <c r="EW232">
        <v>100</v>
      </c>
      <c r="EX232">
        <v>7.2960000000000003</v>
      </c>
      <c r="EY232">
        <v>-1.522</v>
      </c>
      <c r="EZ232">
        <v>7.2844457619047622</v>
      </c>
      <c r="FA232">
        <v>0</v>
      </c>
      <c r="FB232">
        <v>0</v>
      </c>
      <c r="FC232">
        <v>0</v>
      </c>
      <c r="FD232">
        <v>-1.515608571428571</v>
      </c>
      <c r="FE232">
        <v>0</v>
      </c>
      <c r="FF232">
        <v>0</v>
      </c>
      <c r="FG232">
        <v>0</v>
      </c>
      <c r="FH232">
        <v>-1</v>
      </c>
      <c r="FI232">
        <v>-1</v>
      </c>
      <c r="FJ232">
        <v>-1</v>
      </c>
      <c r="FK232">
        <v>-1</v>
      </c>
      <c r="FL232">
        <v>0.6</v>
      </c>
      <c r="FM232">
        <v>0.3</v>
      </c>
      <c r="FN232">
        <v>0.14038100000000001</v>
      </c>
      <c r="FO232">
        <v>4.99756</v>
      </c>
      <c r="FP232">
        <v>1.5979000000000001</v>
      </c>
      <c r="FQ232">
        <v>2.1179199999999998</v>
      </c>
      <c r="FR232">
        <v>1.5478499999999999</v>
      </c>
      <c r="FS232">
        <v>2.3974600000000001</v>
      </c>
      <c r="FT232">
        <v>41.0154</v>
      </c>
      <c r="FU232">
        <v>14.491</v>
      </c>
      <c r="FV232">
        <v>2</v>
      </c>
      <c r="FW232">
        <v>505.577</v>
      </c>
      <c r="FX232">
        <v>368.20499999999998</v>
      </c>
      <c r="FY232">
        <v>34.960999999999999</v>
      </c>
      <c r="FZ232">
        <v>33.569600000000001</v>
      </c>
      <c r="GA232">
        <v>29.999500000000001</v>
      </c>
      <c r="GB232">
        <v>33.950099999999999</v>
      </c>
      <c r="GC232">
        <v>33.987699999999997</v>
      </c>
      <c r="GD232">
        <v>-1</v>
      </c>
      <c r="GE232">
        <v>0</v>
      </c>
      <c r="GF232">
        <v>100</v>
      </c>
      <c r="GG232">
        <v>34.933900000000001</v>
      </c>
      <c r="GH232">
        <v>432.1</v>
      </c>
      <c r="GI232">
        <v>44.267099999999999</v>
      </c>
      <c r="GJ232">
        <v>101.462</v>
      </c>
      <c r="GK232">
        <v>95.936000000000007</v>
      </c>
    </row>
    <row r="233" spans="1:193" x14ac:dyDescent="0.35">
      <c r="A233">
        <v>217</v>
      </c>
      <c r="B233">
        <v>1775544988</v>
      </c>
      <c r="C233">
        <v>12961.900000095369</v>
      </c>
      <c r="D233" t="s">
        <v>968</v>
      </c>
      <c r="E233" t="s">
        <v>969</v>
      </c>
      <c r="F233">
        <v>60</v>
      </c>
      <c r="G233">
        <v>1775544980</v>
      </c>
      <c r="H233">
        <f t="shared" si="90"/>
        <v>5.8274071319238847E-3</v>
      </c>
      <c r="I233">
        <f t="shared" si="91"/>
        <v>5.8274071319238852</v>
      </c>
      <c r="J233">
        <f t="shared" si="92"/>
        <v>2.601569023166963</v>
      </c>
      <c r="K233">
        <f t="shared" si="93"/>
        <v>4.7574835483870972</v>
      </c>
      <c r="L233">
        <f t="shared" si="94"/>
        <v>-28.116069447757805</v>
      </c>
      <c r="M233">
        <f t="shared" si="95"/>
        <v>-2.8127913690289148</v>
      </c>
      <c r="N233">
        <f t="shared" si="96"/>
        <v>0.47594876972632649</v>
      </c>
      <c r="O233">
        <f t="shared" si="97"/>
        <v>0.12640547928333648</v>
      </c>
      <c r="P233">
        <f t="shared" si="98"/>
        <v>2.3900358502998085</v>
      </c>
      <c r="Q233">
        <f t="shared" si="99"/>
        <v>0.12280543364002379</v>
      </c>
      <c r="R233">
        <f t="shared" si="100"/>
        <v>7.7068305590005562E-2</v>
      </c>
      <c r="S233">
        <f t="shared" si="101"/>
        <v>9.8079085209677397E-2</v>
      </c>
      <c r="T233">
        <f t="shared" si="102"/>
        <v>31.386990892711157</v>
      </c>
      <c r="U233">
        <f t="shared" si="103"/>
        <v>33.078548387096781</v>
      </c>
      <c r="V233">
        <f t="shared" si="104"/>
        <v>5.0744472560692646</v>
      </c>
      <c r="W233">
        <f t="shared" si="105"/>
        <v>8.970813325513177</v>
      </c>
      <c r="X233">
        <f t="shared" si="106"/>
        <v>0.45848809471734825</v>
      </c>
      <c r="Y233">
        <f t="shared" si="107"/>
        <v>5.110886583866356</v>
      </c>
      <c r="Z233">
        <f t="shared" si="108"/>
        <v>4.615959161351916</v>
      </c>
      <c r="AA233">
        <f t="shared" si="109"/>
        <v>-256.98865451784332</v>
      </c>
      <c r="AB233">
        <f t="shared" si="110"/>
        <v>16.425671074527706</v>
      </c>
      <c r="AC233">
        <f t="shared" si="111"/>
        <v>1.5761585425328744</v>
      </c>
      <c r="AD233">
        <f t="shared" si="112"/>
        <v>-238.88874581557306</v>
      </c>
      <c r="AE233">
        <v>6</v>
      </c>
      <c r="AF233">
        <v>1</v>
      </c>
      <c r="AG233">
        <f t="shared" si="113"/>
        <v>1</v>
      </c>
      <c r="AH233">
        <f t="shared" si="114"/>
        <v>0</v>
      </c>
      <c r="AI233">
        <f t="shared" si="115"/>
        <v>25035.468888256913</v>
      </c>
      <c r="AJ233">
        <f t="shared" si="116"/>
        <v>0.51323435483870961</v>
      </c>
      <c r="AK233">
        <f t="shared" si="117"/>
        <v>0.41058748387096772</v>
      </c>
      <c r="AL233">
        <f t="shared" si="118"/>
        <v>0.8</v>
      </c>
      <c r="AM233">
        <f t="shared" si="119"/>
        <v>0.19109999999999999</v>
      </c>
      <c r="AN233">
        <v>3</v>
      </c>
      <c r="AO233">
        <v>0.5</v>
      </c>
      <c r="AP233" t="s">
        <v>317</v>
      </c>
      <c r="AQ233">
        <v>2</v>
      </c>
      <c r="AR233">
        <v>1775544980</v>
      </c>
      <c r="AS233">
        <v>4.7574835483870972</v>
      </c>
      <c r="AT233">
        <v>6.3350819354838697</v>
      </c>
      <c r="AU233">
        <v>4.5829503225806461</v>
      </c>
      <c r="AV233">
        <v>1.1024799999999999</v>
      </c>
      <c r="AW233">
        <v>-2.5405164516129028</v>
      </c>
      <c r="AX233">
        <v>6.1149503225806461</v>
      </c>
      <c r="AY233">
        <v>499.99280645161292</v>
      </c>
      <c r="AZ233">
        <v>100.001</v>
      </c>
      <c r="BA233">
        <v>4.1126238709677423E-2</v>
      </c>
      <c r="BB233">
        <v>33.20602580645162</v>
      </c>
      <c r="BC233">
        <v>33.078548387096781</v>
      </c>
      <c r="BD233">
        <v>999.90000000000032</v>
      </c>
      <c r="BE233">
        <v>0</v>
      </c>
      <c r="BF233">
        <v>0</v>
      </c>
      <c r="BG233">
        <v>5005.1129032258068</v>
      </c>
      <c r="BH233">
        <v>0.51323435483870961</v>
      </c>
      <c r="BI233">
        <v>237.64229032258069</v>
      </c>
      <c r="BJ233">
        <v>-1.580010322580645</v>
      </c>
      <c r="BK233">
        <v>4.7770151612903211</v>
      </c>
      <c r="BL233">
        <v>6.3420741935483882</v>
      </c>
      <c r="BM233">
        <v>3.490928387096774</v>
      </c>
      <c r="BN233">
        <v>6.3350819354838697</v>
      </c>
      <c r="BO233">
        <v>1.1024799999999999</v>
      </c>
      <c r="BP233">
        <v>0.45934564516129039</v>
      </c>
      <c r="BQ233">
        <v>0.1102491612903226</v>
      </c>
      <c r="BR233">
        <v>-3.9226532258064521</v>
      </c>
      <c r="BS233">
        <v>-21.524825806451609</v>
      </c>
      <c r="BT233">
        <v>1775545028.5</v>
      </c>
      <c r="BU233" t="s">
        <v>970</v>
      </c>
      <c r="BV233">
        <v>1775545006</v>
      </c>
      <c r="BW233">
        <v>1775545028.5</v>
      </c>
      <c r="BX233">
        <v>218</v>
      </c>
      <c r="BY233">
        <v>2E-3</v>
      </c>
      <c r="BZ233">
        <v>-0.01</v>
      </c>
      <c r="CA233">
        <v>7.298</v>
      </c>
      <c r="CB233">
        <v>-1.532</v>
      </c>
      <c r="CC233">
        <v>7</v>
      </c>
      <c r="CD233">
        <v>1</v>
      </c>
      <c r="CE233">
        <v>0.15</v>
      </c>
      <c r="CF233">
        <v>0.05</v>
      </c>
      <c r="CG233">
        <v>6.0739168333333327</v>
      </c>
      <c r="CH233">
        <v>2.064162211725483</v>
      </c>
      <c r="CI233">
        <v>0.32256988176978368</v>
      </c>
      <c r="CJ233">
        <v>-1</v>
      </c>
      <c r="CK233">
        <v>500.85998333333328</v>
      </c>
      <c r="CL233">
        <v>-7.6299827729915508</v>
      </c>
      <c r="CM233">
        <v>1.661748321213399</v>
      </c>
      <c r="CN233">
        <v>-1</v>
      </c>
      <c r="CO233">
        <v>0</v>
      </c>
      <c r="CP233">
        <v>0</v>
      </c>
      <c r="CQ233" t="s">
        <v>319</v>
      </c>
      <c r="CR233">
        <v>3.1680100000000002</v>
      </c>
      <c r="CS233">
        <v>2.66256</v>
      </c>
      <c r="CT233">
        <v>-7.0270700000000001E-4</v>
      </c>
      <c r="CU233">
        <v>1.8563500000000001E-3</v>
      </c>
      <c r="CV233">
        <v>3.9699699999999997E-2</v>
      </c>
      <c r="CW233">
        <v>8.5871999999999997E-3</v>
      </c>
      <c r="CX233">
        <v>21413.599999999999</v>
      </c>
      <c r="CY233">
        <v>21797.5</v>
      </c>
      <c r="CZ233">
        <v>22927.9</v>
      </c>
      <c r="DA233">
        <v>22198.9</v>
      </c>
      <c r="DB233">
        <v>28400.6</v>
      </c>
      <c r="DC233">
        <v>26221.8</v>
      </c>
      <c r="DD233">
        <v>40314.300000000003</v>
      </c>
      <c r="DE233">
        <v>36755.4</v>
      </c>
      <c r="DF233">
        <v>2.0539800000000001</v>
      </c>
      <c r="DG233">
        <v>1.6954199999999999</v>
      </c>
      <c r="DH233">
        <v>7.2234900000000005E-2</v>
      </c>
      <c r="DI233">
        <v>0</v>
      </c>
      <c r="DJ233">
        <v>31.9147</v>
      </c>
      <c r="DK233">
        <v>999.9</v>
      </c>
      <c r="DL233">
        <v>60.5</v>
      </c>
      <c r="DM233">
        <v>38.700000000000003</v>
      </c>
      <c r="DN233">
        <v>41.832000000000001</v>
      </c>
      <c r="DO233">
        <v>30.599399999999999</v>
      </c>
      <c r="DP233">
        <v>10.9335</v>
      </c>
      <c r="DQ233">
        <v>1</v>
      </c>
      <c r="DR233">
        <v>0.50314400000000004</v>
      </c>
      <c r="DS233">
        <v>-1.67954</v>
      </c>
      <c r="DT233">
        <v>20.3565</v>
      </c>
      <c r="DU233">
        <v>5.2086600000000001</v>
      </c>
      <c r="DV233">
        <v>11.854200000000001</v>
      </c>
      <c r="DW233">
        <v>4.96732</v>
      </c>
      <c r="DX233">
        <v>3.2922400000000001</v>
      </c>
      <c r="DY233">
        <v>894.7</v>
      </c>
      <c r="DZ233">
        <v>6</v>
      </c>
      <c r="EA233">
        <v>9999</v>
      </c>
      <c r="EB233">
        <v>119.3</v>
      </c>
      <c r="EC233">
        <v>4.9715499999999997</v>
      </c>
      <c r="ED233">
        <v>1.87195</v>
      </c>
      <c r="EE233">
        <v>1.8692</v>
      </c>
      <c r="EF233">
        <v>1.87164</v>
      </c>
      <c r="EG233">
        <v>1.8693500000000001</v>
      </c>
      <c r="EH233">
        <v>1.8682700000000001</v>
      </c>
      <c r="EI233">
        <v>1.8701000000000001</v>
      </c>
      <c r="EJ233">
        <v>1.87181</v>
      </c>
      <c r="EK233">
        <v>0</v>
      </c>
      <c r="EL233">
        <v>0</v>
      </c>
      <c r="EM233">
        <v>0</v>
      </c>
      <c r="EN233">
        <v>0</v>
      </c>
      <c r="EO233" t="s">
        <v>320</v>
      </c>
      <c r="EP233" t="s">
        <v>321</v>
      </c>
      <c r="EQ233" t="s">
        <v>322</v>
      </c>
      <c r="ER233" t="s">
        <v>322</v>
      </c>
      <c r="ES233" t="s">
        <v>322</v>
      </c>
      <c r="ET233" t="s">
        <v>322</v>
      </c>
      <c r="EU233">
        <v>0</v>
      </c>
      <c r="EV233">
        <v>100</v>
      </c>
      <c r="EW233">
        <v>100</v>
      </c>
      <c r="EX233">
        <v>7.298</v>
      </c>
      <c r="EY233">
        <v>-1.532</v>
      </c>
      <c r="EZ233">
        <v>7.2955884999999983</v>
      </c>
      <c r="FA233">
        <v>0</v>
      </c>
      <c r="FB233">
        <v>0</v>
      </c>
      <c r="FC233">
        <v>0</v>
      </c>
      <c r="FD233">
        <v>-1.5215425</v>
      </c>
      <c r="FE233">
        <v>0</v>
      </c>
      <c r="FF233">
        <v>0</v>
      </c>
      <c r="FG233">
        <v>0</v>
      </c>
      <c r="FH233">
        <v>-1</v>
      </c>
      <c r="FI233">
        <v>-1</v>
      </c>
      <c r="FJ233">
        <v>-1</v>
      </c>
      <c r="FK233">
        <v>-1</v>
      </c>
      <c r="FL233">
        <v>0.7</v>
      </c>
      <c r="FM233">
        <v>0.5</v>
      </c>
      <c r="FN233">
        <v>0.14038100000000001</v>
      </c>
      <c r="FO233">
        <v>4.99756</v>
      </c>
      <c r="FP233">
        <v>1.5979000000000001</v>
      </c>
      <c r="FQ233">
        <v>2.1166999999999998</v>
      </c>
      <c r="FR233">
        <v>1.5478499999999999</v>
      </c>
      <c r="FS233">
        <v>2.3547400000000001</v>
      </c>
      <c r="FT233">
        <v>40.886499999999998</v>
      </c>
      <c r="FU233">
        <v>14.491</v>
      </c>
      <c r="FV233">
        <v>2</v>
      </c>
      <c r="FW233">
        <v>506.37799999999999</v>
      </c>
      <c r="FX233">
        <v>369.721</v>
      </c>
      <c r="FY233">
        <v>34.8767</v>
      </c>
      <c r="FZ233">
        <v>33.5139</v>
      </c>
      <c r="GA233">
        <v>29.9998</v>
      </c>
      <c r="GB233">
        <v>33.871299999999998</v>
      </c>
      <c r="GC233">
        <v>33.922499999999999</v>
      </c>
      <c r="GD233">
        <v>-1</v>
      </c>
      <c r="GE233">
        <v>0</v>
      </c>
      <c r="GF233">
        <v>100</v>
      </c>
      <c r="GG233">
        <v>34.867800000000003</v>
      </c>
      <c r="GH233">
        <v>432.1</v>
      </c>
      <c r="GI233">
        <v>44.267099999999999</v>
      </c>
      <c r="GJ233">
        <v>101.46</v>
      </c>
      <c r="GK233">
        <v>95.941699999999997</v>
      </c>
    </row>
    <row r="234" spans="1:193" x14ac:dyDescent="0.35">
      <c r="A234">
        <v>218</v>
      </c>
      <c r="B234">
        <v>1775545048</v>
      </c>
      <c r="C234">
        <v>13021.900000095369</v>
      </c>
      <c r="D234" t="s">
        <v>971</v>
      </c>
      <c r="E234" t="s">
        <v>972</v>
      </c>
      <c r="F234">
        <v>60</v>
      </c>
      <c r="G234">
        <v>1775545040.25</v>
      </c>
      <c r="H234">
        <f t="shared" si="90"/>
        <v>5.6114152903863779E-3</v>
      </c>
      <c r="I234">
        <f t="shared" si="91"/>
        <v>5.6114152903863781</v>
      </c>
      <c r="J234">
        <f t="shared" si="92"/>
        <v>1.8470009917790886</v>
      </c>
      <c r="K234">
        <f t="shared" si="93"/>
        <v>5.1461526666666666</v>
      </c>
      <c r="L234">
        <f t="shared" si="94"/>
        <v>-19.219841151147534</v>
      </c>
      <c r="M234">
        <f t="shared" si="95"/>
        <v>-1.9228984626679535</v>
      </c>
      <c r="N234">
        <f t="shared" si="96"/>
        <v>0.51486008513640102</v>
      </c>
      <c r="O234">
        <f t="shared" si="97"/>
        <v>0.12155973765429461</v>
      </c>
      <c r="P234">
        <f t="shared" si="98"/>
        <v>2.3878705644165747</v>
      </c>
      <c r="Q234">
        <f t="shared" si="99"/>
        <v>0.11822356450298746</v>
      </c>
      <c r="R234">
        <f t="shared" si="100"/>
        <v>7.4181843347617654E-2</v>
      </c>
      <c r="S234">
        <f t="shared" si="101"/>
        <v>9.1208513759999985E-2</v>
      </c>
      <c r="T234">
        <f t="shared" si="102"/>
        <v>31.424522570764218</v>
      </c>
      <c r="U234">
        <f t="shared" si="103"/>
        <v>33.055403333333331</v>
      </c>
      <c r="V234">
        <f t="shared" si="104"/>
        <v>5.0678555621080887</v>
      </c>
      <c r="W234">
        <f t="shared" si="105"/>
        <v>8.8208617202984581</v>
      </c>
      <c r="X234">
        <f t="shared" si="106"/>
        <v>0.45010702807677588</v>
      </c>
      <c r="Y234">
        <f t="shared" si="107"/>
        <v>5.1027557437046678</v>
      </c>
      <c r="Z234">
        <f t="shared" si="108"/>
        <v>4.6177485340313131</v>
      </c>
      <c r="AA234">
        <f t="shared" si="109"/>
        <v>-247.46341430603925</v>
      </c>
      <c r="AB234">
        <f t="shared" si="110"/>
        <v>15.737409703204769</v>
      </c>
      <c r="AC234">
        <f t="shared" si="111"/>
        <v>1.5111028524684333</v>
      </c>
      <c r="AD234">
        <f t="shared" si="112"/>
        <v>-230.12369323660604</v>
      </c>
      <c r="AE234">
        <v>7</v>
      </c>
      <c r="AF234">
        <v>1</v>
      </c>
      <c r="AG234">
        <f t="shared" si="113"/>
        <v>1</v>
      </c>
      <c r="AH234">
        <f t="shared" si="114"/>
        <v>0</v>
      </c>
      <c r="AI234">
        <f t="shared" si="115"/>
        <v>25005.349818481594</v>
      </c>
      <c r="AJ234">
        <f t="shared" si="116"/>
        <v>0.47728159999999997</v>
      </c>
      <c r="AK234">
        <f t="shared" si="117"/>
        <v>0.38182527999999999</v>
      </c>
      <c r="AL234">
        <f t="shared" si="118"/>
        <v>0.8</v>
      </c>
      <c r="AM234">
        <f t="shared" si="119"/>
        <v>0.19109999999999999</v>
      </c>
      <c r="AN234">
        <v>3</v>
      </c>
      <c r="AO234">
        <v>0.5</v>
      </c>
      <c r="AP234" t="s">
        <v>317</v>
      </c>
      <c r="AQ234">
        <v>2</v>
      </c>
      <c r="AR234">
        <v>1775545040.25</v>
      </c>
      <c r="AS234">
        <v>5.1461526666666666</v>
      </c>
      <c r="AT234">
        <v>6.2694723333333346</v>
      </c>
      <c r="AU234">
        <v>4.4989299999999997</v>
      </c>
      <c r="AV234">
        <v>1.1538010000000001</v>
      </c>
      <c r="AW234">
        <v>-2.1658473333333328</v>
      </c>
      <c r="AX234">
        <v>6.0009299999999994</v>
      </c>
      <c r="AY234">
        <v>500.98246666666671</v>
      </c>
      <c r="AZ234">
        <v>100.00530000000001</v>
      </c>
      <c r="BA234">
        <v>4.2273106666666657E-2</v>
      </c>
      <c r="BB234">
        <v>33.17765</v>
      </c>
      <c r="BC234">
        <v>33.055403333333331</v>
      </c>
      <c r="BD234">
        <v>999.9000000000002</v>
      </c>
      <c r="BE234">
        <v>0</v>
      </c>
      <c r="BF234">
        <v>0</v>
      </c>
      <c r="BG234">
        <v>4999.3166666666666</v>
      </c>
      <c r="BH234">
        <v>0.47728159999999997</v>
      </c>
      <c r="BI234">
        <v>224.29603333333341</v>
      </c>
      <c r="BJ234">
        <v>-1.1376381666666671</v>
      </c>
      <c r="BK234">
        <v>5.1548183333333339</v>
      </c>
      <c r="BL234">
        <v>6.2767153333333328</v>
      </c>
      <c r="BM234">
        <v>3.3152699999999999</v>
      </c>
      <c r="BN234">
        <v>6.2694723333333346</v>
      </c>
      <c r="BO234">
        <v>1.1538010000000001</v>
      </c>
      <c r="BP234">
        <v>0.44693040000000001</v>
      </c>
      <c r="BQ234">
        <v>0.1153860666666667</v>
      </c>
      <c r="BR234">
        <v>-4.3233189999999988</v>
      </c>
      <c r="BS234">
        <v>-21.00319</v>
      </c>
      <c r="BT234">
        <v>1775545088.5</v>
      </c>
      <c r="BU234" t="s">
        <v>973</v>
      </c>
      <c r="BV234">
        <v>1775545065</v>
      </c>
      <c r="BW234">
        <v>1775545088.5</v>
      </c>
      <c r="BX234">
        <v>219</v>
      </c>
      <c r="BY234">
        <v>1.4E-2</v>
      </c>
      <c r="BZ234">
        <v>2.9000000000000001E-2</v>
      </c>
      <c r="CA234">
        <v>7.3120000000000003</v>
      </c>
      <c r="CB234">
        <v>-1.502</v>
      </c>
      <c r="CC234">
        <v>6</v>
      </c>
      <c r="CD234">
        <v>1</v>
      </c>
      <c r="CE234">
        <v>0.23</v>
      </c>
      <c r="CF234">
        <v>0.04</v>
      </c>
      <c r="CG234">
        <v>6.3603400000000008</v>
      </c>
      <c r="CH234">
        <v>-0.52325209941829809</v>
      </c>
      <c r="CI234">
        <v>0.20707332891403701</v>
      </c>
      <c r="CJ234">
        <v>-1</v>
      </c>
      <c r="CK234">
        <v>500.84360655737709</v>
      </c>
      <c r="CL234">
        <v>0.92249603384490331</v>
      </c>
      <c r="CM234">
        <v>1.681319293446184</v>
      </c>
      <c r="CN234">
        <v>-1</v>
      </c>
      <c r="CO234">
        <v>0</v>
      </c>
      <c r="CP234">
        <v>0</v>
      </c>
      <c r="CQ234" t="s">
        <v>319</v>
      </c>
      <c r="CR234">
        <v>3.1680700000000002</v>
      </c>
      <c r="CS234">
        <v>2.6632199999999999</v>
      </c>
      <c r="CT234">
        <v>-7.1887000000000003E-4</v>
      </c>
      <c r="CU234">
        <v>1.7126299999999999E-3</v>
      </c>
      <c r="CV234">
        <v>3.9657600000000001E-2</v>
      </c>
      <c r="CW234">
        <v>8.6724699999999998E-3</v>
      </c>
      <c r="CX234">
        <v>21414.400000000001</v>
      </c>
      <c r="CY234">
        <v>21800.2</v>
      </c>
      <c r="CZ234">
        <v>22928.3</v>
      </c>
      <c r="DA234">
        <v>22198.400000000001</v>
      </c>
      <c r="DB234">
        <v>28402.2</v>
      </c>
      <c r="DC234">
        <v>26219.3</v>
      </c>
      <c r="DD234">
        <v>40314.699999999997</v>
      </c>
      <c r="DE234">
        <v>36754.9</v>
      </c>
      <c r="DF234">
        <v>2.0521600000000002</v>
      </c>
      <c r="DG234">
        <v>1.6957800000000001</v>
      </c>
      <c r="DH234">
        <v>6.9719600000000007E-2</v>
      </c>
      <c r="DI234">
        <v>0</v>
      </c>
      <c r="DJ234">
        <v>31.915199999999999</v>
      </c>
      <c r="DK234">
        <v>999.9</v>
      </c>
      <c r="DL234">
        <v>60.7</v>
      </c>
      <c r="DM234">
        <v>38.6</v>
      </c>
      <c r="DN234">
        <v>41.7395</v>
      </c>
      <c r="DO234">
        <v>30.599399999999999</v>
      </c>
      <c r="DP234">
        <v>10.8293</v>
      </c>
      <c r="DQ234">
        <v>1</v>
      </c>
      <c r="DR234">
        <v>0.50061999999999995</v>
      </c>
      <c r="DS234">
        <v>-1.81395</v>
      </c>
      <c r="DT234">
        <v>20.3552</v>
      </c>
      <c r="DU234">
        <v>5.2107000000000001</v>
      </c>
      <c r="DV234">
        <v>11.854200000000001</v>
      </c>
      <c r="DW234">
        <v>4.9675599999999998</v>
      </c>
      <c r="DX234">
        <v>3.2929599999999999</v>
      </c>
      <c r="DY234">
        <v>894.7</v>
      </c>
      <c r="DZ234">
        <v>6</v>
      </c>
      <c r="EA234">
        <v>9999</v>
      </c>
      <c r="EB234">
        <v>119.4</v>
      </c>
      <c r="EC234">
        <v>4.9715400000000001</v>
      </c>
      <c r="ED234">
        <v>1.87195</v>
      </c>
      <c r="EE234">
        <v>1.8692</v>
      </c>
      <c r="EF234">
        <v>1.8716299999999999</v>
      </c>
      <c r="EG234">
        <v>1.8693500000000001</v>
      </c>
      <c r="EH234">
        <v>1.86826</v>
      </c>
      <c r="EI234">
        <v>1.8700699999999999</v>
      </c>
      <c r="EJ234">
        <v>1.8718300000000001</v>
      </c>
      <c r="EK234">
        <v>0</v>
      </c>
      <c r="EL234">
        <v>0</v>
      </c>
      <c r="EM234">
        <v>0</v>
      </c>
      <c r="EN234">
        <v>0</v>
      </c>
      <c r="EO234" t="s">
        <v>320</v>
      </c>
      <c r="EP234" t="s">
        <v>321</v>
      </c>
      <c r="EQ234" t="s">
        <v>322</v>
      </c>
      <c r="ER234" t="s">
        <v>322</v>
      </c>
      <c r="ES234" t="s">
        <v>322</v>
      </c>
      <c r="ET234" t="s">
        <v>322</v>
      </c>
      <c r="EU234">
        <v>0</v>
      </c>
      <c r="EV234">
        <v>100</v>
      </c>
      <c r="EW234">
        <v>100</v>
      </c>
      <c r="EX234">
        <v>7.3120000000000003</v>
      </c>
      <c r="EY234">
        <v>-1.502</v>
      </c>
      <c r="EZ234">
        <v>7.29767995</v>
      </c>
      <c r="FA234">
        <v>0</v>
      </c>
      <c r="FB234">
        <v>0</v>
      </c>
      <c r="FC234">
        <v>0</v>
      </c>
      <c r="FD234">
        <v>-1.531859047619047</v>
      </c>
      <c r="FE234">
        <v>0</v>
      </c>
      <c r="FF234">
        <v>0</v>
      </c>
      <c r="FG234">
        <v>0</v>
      </c>
      <c r="FH234">
        <v>-1</v>
      </c>
      <c r="FI234">
        <v>-1</v>
      </c>
      <c r="FJ234">
        <v>-1</v>
      </c>
      <c r="FK234">
        <v>-1</v>
      </c>
      <c r="FL234">
        <v>0.7</v>
      </c>
      <c r="FM234">
        <v>0.3</v>
      </c>
      <c r="FN234">
        <v>0.14038100000000001</v>
      </c>
      <c r="FO234">
        <v>4.99756</v>
      </c>
      <c r="FP234">
        <v>1.5979000000000001</v>
      </c>
      <c r="FQ234">
        <v>2.1179199999999998</v>
      </c>
      <c r="FR234">
        <v>1.5478499999999999</v>
      </c>
      <c r="FS234">
        <v>2.3950200000000001</v>
      </c>
      <c r="FT234">
        <v>40.783700000000003</v>
      </c>
      <c r="FU234">
        <v>14.491</v>
      </c>
      <c r="FV234">
        <v>2</v>
      </c>
      <c r="FW234">
        <v>505.03899999999999</v>
      </c>
      <c r="FX234">
        <v>369.625</v>
      </c>
      <c r="FY234">
        <v>34.937199999999997</v>
      </c>
      <c r="FZ234">
        <v>33.476700000000001</v>
      </c>
      <c r="GA234">
        <v>29.9999</v>
      </c>
      <c r="GB234">
        <v>33.837600000000002</v>
      </c>
      <c r="GC234">
        <v>33.869500000000002</v>
      </c>
      <c r="GD234">
        <v>-1</v>
      </c>
      <c r="GE234">
        <v>0</v>
      </c>
      <c r="GF234">
        <v>100</v>
      </c>
      <c r="GG234">
        <v>34.953699999999998</v>
      </c>
      <c r="GH234">
        <v>432.1</v>
      </c>
      <c r="GI234">
        <v>44.267099999999999</v>
      </c>
      <c r="GJ234">
        <v>101.461</v>
      </c>
      <c r="GK234">
        <v>95.94</v>
      </c>
    </row>
    <row r="235" spans="1:193" x14ac:dyDescent="0.35">
      <c r="A235">
        <v>219</v>
      </c>
      <c r="B235">
        <v>1775545108</v>
      </c>
      <c r="C235">
        <v>13081.900000095369</v>
      </c>
      <c r="D235" t="s">
        <v>974</v>
      </c>
      <c r="E235" t="s">
        <v>975</v>
      </c>
      <c r="F235">
        <v>60</v>
      </c>
      <c r="G235">
        <v>1775545100.25</v>
      </c>
      <c r="H235">
        <f t="shared" si="90"/>
        <v>6.1035497787912387E-3</v>
      </c>
      <c r="I235">
        <f t="shared" si="91"/>
        <v>6.1035497787912387</v>
      </c>
      <c r="J235">
        <f t="shared" si="92"/>
        <v>2.4858978394193323</v>
      </c>
      <c r="K235">
        <f t="shared" si="93"/>
        <v>3.5343566666666661</v>
      </c>
      <c r="L235">
        <f t="shared" si="94"/>
        <v>-26.369893084836296</v>
      </c>
      <c r="M235">
        <f t="shared" si="95"/>
        <v>-2.6381933948076317</v>
      </c>
      <c r="N235">
        <f t="shared" si="96"/>
        <v>0.35359705035194688</v>
      </c>
      <c r="O235">
        <f t="shared" si="97"/>
        <v>0.13268927898895558</v>
      </c>
      <c r="P235">
        <f t="shared" si="98"/>
        <v>2.3864431395008245</v>
      </c>
      <c r="Q235">
        <f t="shared" si="99"/>
        <v>0.128722676311711</v>
      </c>
      <c r="R235">
        <f t="shared" si="100"/>
        <v>8.0798178950168997E-2</v>
      </c>
      <c r="S235">
        <f t="shared" si="101"/>
        <v>9.5469642450000017E-2</v>
      </c>
      <c r="T235">
        <f t="shared" si="102"/>
        <v>31.224184232667483</v>
      </c>
      <c r="U235">
        <f t="shared" si="103"/>
        <v>32.991196666666667</v>
      </c>
      <c r="V235">
        <f t="shared" si="104"/>
        <v>5.0496085354651647</v>
      </c>
      <c r="W235">
        <f t="shared" si="105"/>
        <v>8.5635973815789193</v>
      </c>
      <c r="X235">
        <f t="shared" si="106"/>
        <v>0.43586636519725946</v>
      </c>
      <c r="Y235">
        <f t="shared" si="107"/>
        <v>5.0897577942518391</v>
      </c>
      <c r="Z235">
        <f t="shared" si="108"/>
        <v>4.6137421702679049</v>
      </c>
      <c r="AA235">
        <f t="shared" si="109"/>
        <v>-269.16654524469362</v>
      </c>
      <c r="AB235">
        <f t="shared" si="110"/>
        <v>18.142053656909905</v>
      </c>
      <c r="AC235">
        <f t="shared" si="111"/>
        <v>1.7421018921437352</v>
      </c>
      <c r="AD235">
        <f t="shared" si="112"/>
        <v>-249.18692005318999</v>
      </c>
      <c r="AE235">
        <v>7</v>
      </c>
      <c r="AF235">
        <v>1</v>
      </c>
      <c r="AG235">
        <f t="shared" si="113"/>
        <v>1</v>
      </c>
      <c r="AH235">
        <f t="shared" si="114"/>
        <v>0</v>
      </c>
      <c r="AI235">
        <f t="shared" si="115"/>
        <v>24987.834465804772</v>
      </c>
      <c r="AJ235">
        <f t="shared" si="116"/>
        <v>0.49957950000000012</v>
      </c>
      <c r="AK235">
        <f t="shared" si="117"/>
        <v>0.39966360000000012</v>
      </c>
      <c r="AL235">
        <f t="shared" si="118"/>
        <v>0.8</v>
      </c>
      <c r="AM235">
        <f t="shared" si="119"/>
        <v>0.19109999999999999</v>
      </c>
      <c r="AN235">
        <v>3</v>
      </c>
      <c r="AO235">
        <v>0.5</v>
      </c>
      <c r="AP235" t="s">
        <v>317</v>
      </c>
      <c r="AQ235">
        <v>2</v>
      </c>
      <c r="AR235">
        <v>1775545100.25</v>
      </c>
      <c r="AS235">
        <v>3.5343566666666661</v>
      </c>
      <c r="AT235">
        <v>5.0359636666666674</v>
      </c>
      <c r="AU235">
        <v>4.3566743333333342</v>
      </c>
      <c r="AV235">
        <v>0.71746680000000007</v>
      </c>
      <c r="AW235">
        <v>-3.786643333333334</v>
      </c>
      <c r="AX235">
        <v>5.8446743333333337</v>
      </c>
      <c r="AY235">
        <v>500.95729999999998</v>
      </c>
      <c r="AZ235">
        <v>100.0040666666666</v>
      </c>
      <c r="BA235">
        <v>4.159473666666666E-2</v>
      </c>
      <c r="BB235">
        <v>33.132206666666669</v>
      </c>
      <c r="BC235">
        <v>32.991196666666667</v>
      </c>
      <c r="BD235">
        <v>999.9000000000002</v>
      </c>
      <c r="BE235">
        <v>0</v>
      </c>
      <c r="BF235">
        <v>0</v>
      </c>
      <c r="BG235">
        <v>4995.7</v>
      </c>
      <c r="BH235">
        <v>0.49957950000000012</v>
      </c>
      <c r="BI235">
        <v>213.57996666666671</v>
      </c>
      <c r="BJ235">
        <v>-1.5104485999999999</v>
      </c>
      <c r="BK235">
        <v>3.5408559999999998</v>
      </c>
      <c r="BL235">
        <v>5.039568</v>
      </c>
      <c r="BM235">
        <v>3.624794333333333</v>
      </c>
      <c r="BN235">
        <v>5.0359636666666674</v>
      </c>
      <c r="BO235">
        <v>0.71746680000000007</v>
      </c>
      <c r="BP235">
        <v>0.43424429999999992</v>
      </c>
      <c r="BQ235">
        <v>7.1749550000000009E-2</v>
      </c>
      <c r="BR235">
        <v>-4.7107696666666667</v>
      </c>
      <c r="BS235">
        <v>-26.33049333333333</v>
      </c>
      <c r="BT235">
        <v>1775545142.5</v>
      </c>
      <c r="BU235" t="s">
        <v>976</v>
      </c>
      <c r="BV235">
        <v>1775545125</v>
      </c>
      <c r="BW235">
        <v>1775545142.5</v>
      </c>
      <c r="BX235">
        <v>220</v>
      </c>
      <c r="BY235">
        <v>8.9999999999999993E-3</v>
      </c>
      <c r="BZ235">
        <v>1.4999999999999999E-2</v>
      </c>
      <c r="CA235">
        <v>7.3209999999999997</v>
      </c>
      <c r="CB235">
        <v>-1.488</v>
      </c>
      <c r="CC235">
        <v>6</v>
      </c>
      <c r="CD235">
        <v>1</v>
      </c>
      <c r="CE235">
        <v>0.21</v>
      </c>
      <c r="CF235">
        <v>0.02</v>
      </c>
      <c r="CG235">
        <v>5.2664763934426233</v>
      </c>
      <c r="CH235">
        <v>-2.0304381385510331</v>
      </c>
      <c r="CI235">
        <v>0.64873747953560224</v>
      </c>
      <c r="CJ235">
        <v>-1</v>
      </c>
      <c r="CK235">
        <v>500.83575409836072</v>
      </c>
      <c r="CL235">
        <v>0.53781068217881445</v>
      </c>
      <c r="CM235">
        <v>1.6088941794027309</v>
      </c>
      <c r="CN235">
        <v>-1</v>
      </c>
      <c r="CO235">
        <v>0</v>
      </c>
      <c r="CP235">
        <v>0</v>
      </c>
      <c r="CQ235" t="s">
        <v>319</v>
      </c>
      <c r="CR235">
        <v>3.16805</v>
      </c>
      <c r="CS235">
        <v>2.6602399999999999</v>
      </c>
      <c r="CT235">
        <v>-1.0546399999999999E-3</v>
      </c>
      <c r="CU235">
        <v>1.6582599999999999E-3</v>
      </c>
      <c r="CV235">
        <v>3.8880400000000002E-2</v>
      </c>
      <c r="CW235">
        <v>5.3166300000000001E-3</v>
      </c>
      <c r="CX235">
        <v>21424.9</v>
      </c>
      <c r="CY235">
        <v>21803.1</v>
      </c>
      <c r="CZ235">
        <v>22931.7</v>
      </c>
      <c r="DA235">
        <v>22200</v>
      </c>
      <c r="DB235">
        <v>28429.4</v>
      </c>
      <c r="DC235">
        <v>26310.2</v>
      </c>
      <c r="DD235">
        <v>40320.5</v>
      </c>
      <c r="DE235">
        <v>36757.800000000003</v>
      </c>
      <c r="DF235">
        <v>2.0538599999999998</v>
      </c>
      <c r="DG235">
        <v>1.6963200000000001</v>
      </c>
      <c r="DH235">
        <v>7.45416E-2</v>
      </c>
      <c r="DI235">
        <v>0</v>
      </c>
      <c r="DJ235">
        <v>31.7895</v>
      </c>
      <c r="DK235">
        <v>999.9</v>
      </c>
      <c r="DL235">
        <v>60.8</v>
      </c>
      <c r="DM235">
        <v>38.4</v>
      </c>
      <c r="DN235">
        <v>41.360100000000003</v>
      </c>
      <c r="DO235">
        <v>30.509399999999999</v>
      </c>
      <c r="DP235">
        <v>10.9175</v>
      </c>
      <c r="DQ235">
        <v>1</v>
      </c>
      <c r="DR235">
        <v>0.49797400000000003</v>
      </c>
      <c r="DS235">
        <v>-2.36768</v>
      </c>
      <c r="DT235">
        <v>20.346399999999999</v>
      </c>
      <c r="DU235">
        <v>5.2111799999999997</v>
      </c>
      <c r="DV235">
        <v>11.854200000000001</v>
      </c>
      <c r="DW235">
        <v>4.9677199999999999</v>
      </c>
      <c r="DX235">
        <v>3.2930000000000001</v>
      </c>
      <c r="DY235">
        <v>894.7</v>
      </c>
      <c r="DZ235">
        <v>6</v>
      </c>
      <c r="EA235">
        <v>9999</v>
      </c>
      <c r="EB235">
        <v>119.4</v>
      </c>
      <c r="EC235">
        <v>4.9715499999999997</v>
      </c>
      <c r="ED235">
        <v>1.87195</v>
      </c>
      <c r="EE235">
        <v>1.8692</v>
      </c>
      <c r="EF235">
        <v>1.8716299999999999</v>
      </c>
      <c r="EG235">
        <v>1.8693500000000001</v>
      </c>
      <c r="EH235">
        <v>1.8682799999999999</v>
      </c>
      <c r="EI235">
        <v>1.87008</v>
      </c>
      <c r="EJ235">
        <v>1.87182</v>
      </c>
      <c r="EK235">
        <v>0</v>
      </c>
      <c r="EL235">
        <v>0</v>
      </c>
      <c r="EM235">
        <v>0</v>
      </c>
      <c r="EN235">
        <v>0</v>
      </c>
      <c r="EO235" t="s">
        <v>320</v>
      </c>
      <c r="EP235" t="s">
        <v>321</v>
      </c>
      <c r="EQ235" t="s">
        <v>322</v>
      </c>
      <c r="ER235" t="s">
        <v>322</v>
      </c>
      <c r="ES235" t="s">
        <v>322</v>
      </c>
      <c r="ET235" t="s">
        <v>322</v>
      </c>
      <c r="EU235">
        <v>0</v>
      </c>
      <c r="EV235">
        <v>100</v>
      </c>
      <c r="EW235">
        <v>100</v>
      </c>
      <c r="EX235">
        <v>7.3209999999999997</v>
      </c>
      <c r="EY235">
        <v>-1.488</v>
      </c>
      <c r="EZ235">
        <v>7.3121589999999994</v>
      </c>
      <c r="FA235">
        <v>0</v>
      </c>
      <c r="FB235">
        <v>0</v>
      </c>
      <c r="FC235">
        <v>0</v>
      </c>
      <c r="FD235">
        <v>-1.502413857142856</v>
      </c>
      <c r="FE235">
        <v>0</v>
      </c>
      <c r="FF235">
        <v>0</v>
      </c>
      <c r="FG235">
        <v>0</v>
      </c>
      <c r="FH235">
        <v>-1</v>
      </c>
      <c r="FI235">
        <v>-1</v>
      </c>
      <c r="FJ235">
        <v>-1</v>
      </c>
      <c r="FK235">
        <v>-1</v>
      </c>
      <c r="FL235">
        <v>0.7</v>
      </c>
      <c r="FM235">
        <v>0.3</v>
      </c>
      <c r="FN235">
        <v>0.14038100000000001</v>
      </c>
      <c r="FO235">
        <v>4.99756</v>
      </c>
      <c r="FP235">
        <v>1.5979000000000001</v>
      </c>
      <c r="FQ235">
        <v>2.1179199999999998</v>
      </c>
      <c r="FR235">
        <v>1.5478499999999999</v>
      </c>
      <c r="FS235">
        <v>2.4621599999999999</v>
      </c>
      <c r="FT235">
        <v>40.6554</v>
      </c>
      <c r="FU235">
        <v>14.4735</v>
      </c>
      <c r="FV235">
        <v>2</v>
      </c>
      <c r="FW235">
        <v>505.63900000000001</v>
      </c>
      <c r="FX235">
        <v>369.57400000000001</v>
      </c>
      <c r="FY235">
        <v>35.424799999999998</v>
      </c>
      <c r="FZ235">
        <v>33.425400000000003</v>
      </c>
      <c r="GA235">
        <v>29.9998</v>
      </c>
      <c r="GB235">
        <v>33.780500000000004</v>
      </c>
      <c r="GC235">
        <v>33.807000000000002</v>
      </c>
      <c r="GD235">
        <v>-1</v>
      </c>
      <c r="GE235">
        <v>0</v>
      </c>
      <c r="GF235">
        <v>100</v>
      </c>
      <c r="GG235">
        <v>35.4681</v>
      </c>
      <c r="GH235">
        <v>432.1</v>
      </c>
      <c r="GI235">
        <v>44.267099999999999</v>
      </c>
      <c r="GJ235">
        <v>101.476</v>
      </c>
      <c r="GK235">
        <v>95.947500000000005</v>
      </c>
    </row>
    <row r="236" spans="1:193" x14ac:dyDescent="0.35">
      <c r="A236">
        <v>220</v>
      </c>
      <c r="B236">
        <v>1775545168</v>
      </c>
      <c r="C236">
        <v>13141.900000095369</v>
      </c>
      <c r="D236" t="s">
        <v>977</v>
      </c>
      <c r="E236" t="s">
        <v>978</v>
      </c>
      <c r="F236">
        <v>60</v>
      </c>
      <c r="G236">
        <v>1775545160.25</v>
      </c>
      <c r="H236">
        <f t="shared" si="90"/>
        <v>6.3605293483565773E-3</v>
      </c>
      <c r="I236">
        <f t="shared" si="91"/>
        <v>6.360529348356577</v>
      </c>
      <c r="J236">
        <f t="shared" si="92"/>
        <v>2.5528156915679694</v>
      </c>
      <c r="K236">
        <f t="shared" si="93"/>
        <v>3.6575973333333338</v>
      </c>
      <c r="L236">
        <f t="shared" si="94"/>
        <v>-25.771452312431144</v>
      </c>
      <c r="M236">
        <f t="shared" si="95"/>
        <v>-2.5783644748722025</v>
      </c>
      <c r="N236">
        <f t="shared" si="96"/>
        <v>0.36593277372672578</v>
      </c>
      <c r="O236">
        <f t="shared" si="97"/>
        <v>0.13868421015414245</v>
      </c>
      <c r="P236">
        <f t="shared" si="98"/>
        <v>2.3908293448558497</v>
      </c>
      <c r="Q236">
        <f t="shared" si="99"/>
        <v>0.13436504936449933</v>
      </c>
      <c r="R236">
        <f t="shared" si="100"/>
        <v>8.4355010088656757E-2</v>
      </c>
      <c r="S236">
        <f t="shared" si="101"/>
        <v>9.0149163649999989E-2</v>
      </c>
      <c r="T236">
        <f t="shared" si="102"/>
        <v>31.222257055897217</v>
      </c>
      <c r="U236">
        <f t="shared" si="103"/>
        <v>33.027616666666667</v>
      </c>
      <c r="V236">
        <f t="shared" si="104"/>
        <v>5.0599517820738864</v>
      </c>
      <c r="W236">
        <f t="shared" si="105"/>
        <v>8.8914867951463314</v>
      </c>
      <c r="X236">
        <f t="shared" si="106"/>
        <v>0.45446433807401082</v>
      </c>
      <c r="Y236">
        <f t="shared" si="107"/>
        <v>5.111229972495634</v>
      </c>
      <c r="Z236">
        <f t="shared" si="108"/>
        <v>4.6054874439998752</v>
      </c>
      <c r="AA236">
        <f t="shared" si="109"/>
        <v>-280.49934426252509</v>
      </c>
      <c r="AB236">
        <f t="shared" si="110"/>
        <v>23.15029203446441</v>
      </c>
      <c r="AC236">
        <f t="shared" si="111"/>
        <v>2.2201548914623914</v>
      </c>
      <c r="AD236">
        <f t="shared" si="112"/>
        <v>-255.03874817294829</v>
      </c>
      <c r="AE236">
        <v>6</v>
      </c>
      <c r="AF236">
        <v>1</v>
      </c>
      <c r="AG236">
        <f t="shared" si="113"/>
        <v>1</v>
      </c>
      <c r="AH236">
        <f t="shared" si="114"/>
        <v>0</v>
      </c>
      <c r="AI236">
        <f t="shared" si="115"/>
        <v>25047.021678694848</v>
      </c>
      <c r="AJ236">
        <f t="shared" si="116"/>
        <v>0.47173816666666663</v>
      </c>
      <c r="AK236">
        <f t="shared" si="117"/>
        <v>0.37739053333333333</v>
      </c>
      <c r="AL236">
        <f t="shared" si="118"/>
        <v>0.8</v>
      </c>
      <c r="AM236">
        <f t="shared" si="119"/>
        <v>0.19109999999999999</v>
      </c>
      <c r="AN236">
        <v>3</v>
      </c>
      <c r="AO236">
        <v>0.5</v>
      </c>
      <c r="AP236" t="s">
        <v>317</v>
      </c>
      <c r="AQ236">
        <v>2</v>
      </c>
      <c r="AR236">
        <v>1775545160.25</v>
      </c>
      <c r="AS236">
        <v>3.6575973333333338</v>
      </c>
      <c r="AT236">
        <v>5.2032576666666648</v>
      </c>
      <c r="AU236">
        <v>4.542494333333333</v>
      </c>
      <c r="AV236">
        <v>0.74348193333333312</v>
      </c>
      <c r="AW236">
        <v>-3.662402666666666</v>
      </c>
      <c r="AX236">
        <v>6.0244943333333332</v>
      </c>
      <c r="AY236">
        <v>499.99599999999998</v>
      </c>
      <c r="AZ236">
        <v>100.0055</v>
      </c>
      <c r="BA236">
        <v>4.1809853333333327E-2</v>
      </c>
      <c r="BB236">
        <v>33.207223333333332</v>
      </c>
      <c r="BC236">
        <v>33.027616666666667</v>
      </c>
      <c r="BD236">
        <v>999.9000000000002</v>
      </c>
      <c r="BE236">
        <v>0</v>
      </c>
      <c r="BF236">
        <v>0</v>
      </c>
      <c r="BG236">
        <v>5006.9333333333334</v>
      </c>
      <c r="BH236">
        <v>0.47173816666666663</v>
      </c>
      <c r="BI236">
        <v>204.50973333333329</v>
      </c>
      <c r="BJ236">
        <v>-1.5446610666666669</v>
      </c>
      <c r="BK236">
        <v>3.675272666666666</v>
      </c>
      <c r="BL236">
        <v>5.2071286666666659</v>
      </c>
      <c r="BM236">
        <v>3.793498333333333</v>
      </c>
      <c r="BN236">
        <v>5.2032576666666648</v>
      </c>
      <c r="BO236">
        <v>0.74348193333333312</v>
      </c>
      <c r="BP236">
        <v>0.45372316666666668</v>
      </c>
      <c r="BQ236">
        <v>7.4352299999999996E-2</v>
      </c>
      <c r="BR236">
        <v>-4.0866166666666679</v>
      </c>
      <c r="BS236">
        <v>-25.932090000000009</v>
      </c>
      <c r="BT236">
        <v>1775545207</v>
      </c>
      <c r="BU236" t="s">
        <v>979</v>
      </c>
      <c r="BV236">
        <v>1775545186</v>
      </c>
      <c r="BW236">
        <v>1775545207</v>
      </c>
      <c r="BX236">
        <v>221</v>
      </c>
      <c r="BY236">
        <v>-1E-3</v>
      </c>
      <c r="BZ236">
        <v>6.0000000000000001E-3</v>
      </c>
      <c r="CA236">
        <v>7.32</v>
      </c>
      <c r="CB236">
        <v>-1.482</v>
      </c>
      <c r="CC236">
        <v>6</v>
      </c>
      <c r="CD236">
        <v>1</v>
      </c>
      <c r="CE236">
        <v>0.21</v>
      </c>
      <c r="CF236">
        <v>0.02</v>
      </c>
      <c r="CG236">
        <v>5.3113283333333348</v>
      </c>
      <c r="CH236">
        <v>-1.0367435176437789</v>
      </c>
      <c r="CI236">
        <v>0.34516548233258909</v>
      </c>
      <c r="CJ236">
        <v>-1</v>
      </c>
      <c r="CK236">
        <v>500.87518333333338</v>
      </c>
      <c r="CL236">
        <v>-3.4112909141427101</v>
      </c>
      <c r="CM236">
        <v>1.6706358818492519</v>
      </c>
      <c r="CN236">
        <v>-1</v>
      </c>
      <c r="CO236">
        <v>0</v>
      </c>
      <c r="CP236">
        <v>0</v>
      </c>
      <c r="CQ236" t="s">
        <v>319</v>
      </c>
      <c r="CR236">
        <v>3.1679599999999999</v>
      </c>
      <c r="CS236">
        <v>2.6610299999999998</v>
      </c>
      <c r="CT236">
        <v>-1.0307199999999999E-3</v>
      </c>
      <c r="CU236">
        <v>1.6415799999999999E-3</v>
      </c>
      <c r="CV236">
        <v>3.91356E-2</v>
      </c>
      <c r="CW236">
        <v>5.7160800000000001E-3</v>
      </c>
      <c r="CX236">
        <v>21423.5</v>
      </c>
      <c r="CY236">
        <v>21805.5</v>
      </c>
      <c r="CZ236">
        <v>22930.400000000001</v>
      </c>
      <c r="DA236">
        <v>22201.9</v>
      </c>
      <c r="DB236">
        <v>28419.4</v>
      </c>
      <c r="DC236">
        <v>26302</v>
      </c>
      <c r="DD236">
        <v>40316.9</v>
      </c>
      <c r="DE236">
        <v>36761</v>
      </c>
      <c r="DF236">
        <v>2.0558000000000001</v>
      </c>
      <c r="DG236">
        <v>1.6988799999999999</v>
      </c>
      <c r="DH236">
        <v>8.0305299999999996E-2</v>
      </c>
      <c r="DI236">
        <v>0</v>
      </c>
      <c r="DJ236">
        <v>31.729600000000001</v>
      </c>
      <c r="DK236">
        <v>999.9</v>
      </c>
      <c r="DL236">
        <v>60.9</v>
      </c>
      <c r="DM236">
        <v>38.299999999999997</v>
      </c>
      <c r="DN236">
        <v>41.202500000000001</v>
      </c>
      <c r="DO236">
        <v>30.179400000000001</v>
      </c>
      <c r="DP236">
        <v>11.257999999999999</v>
      </c>
      <c r="DQ236">
        <v>1</v>
      </c>
      <c r="DR236">
        <v>0.49093900000000001</v>
      </c>
      <c r="DS236">
        <v>-1.9342900000000001</v>
      </c>
      <c r="DT236">
        <v>20.354099999999999</v>
      </c>
      <c r="DU236">
        <v>5.2111799999999997</v>
      </c>
      <c r="DV236">
        <v>11.854200000000001</v>
      </c>
      <c r="DW236">
        <v>4.9677199999999999</v>
      </c>
      <c r="DX236">
        <v>3.29298</v>
      </c>
      <c r="DY236">
        <v>894.7</v>
      </c>
      <c r="DZ236">
        <v>6</v>
      </c>
      <c r="EA236">
        <v>9999</v>
      </c>
      <c r="EB236">
        <v>119.4</v>
      </c>
      <c r="EC236">
        <v>4.9715400000000001</v>
      </c>
      <c r="ED236">
        <v>1.87195</v>
      </c>
      <c r="EE236">
        <v>1.8692</v>
      </c>
      <c r="EF236">
        <v>1.8715999999999999</v>
      </c>
      <c r="EG236">
        <v>1.8693500000000001</v>
      </c>
      <c r="EH236">
        <v>1.8682799999999999</v>
      </c>
      <c r="EI236">
        <v>1.8700699999999999</v>
      </c>
      <c r="EJ236">
        <v>1.8717999999999999</v>
      </c>
      <c r="EK236">
        <v>0</v>
      </c>
      <c r="EL236">
        <v>0</v>
      </c>
      <c r="EM236">
        <v>0</v>
      </c>
      <c r="EN236">
        <v>0</v>
      </c>
      <c r="EO236" t="s">
        <v>320</v>
      </c>
      <c r="EP236" t="s">
        <v>321</v>
      </c>
      <c r="EQ236" t="s">
        <v>322</v>
      </c>
      <c r="ER236" t="s">
        <v>322</v>
      </c>
      <c r="ES236" t="s">
        <v>322</v>
      </c>
      <c r="ET236" t="s">
        <v>322</v>
      </c>
      <c r="EU236">
        <v>0</v>
      </c>
      <c r="EV236">
        <v>100</v>
      </c>
      <c r="EW236">
        <v>100</v>
      </c>
      <c r="EX236">
        <v>7.32</v>
      </c>
      <c r="EY236">
        <v>-1.482</v>
      </c>
      <c r="EZ236">
        <v>7.3210004999999994</v>
      </c>
      <c r="FA236">
        <v>0</v>
      </c>
      <c r="FB236">
        <v>0</v>
      </c>
      <c r="FC236">
        <v>0</v>
      </c>
      <c r="FD236">
        <v>-1.4875121428571421</v>
      </c>
      <c r="FE236">
        <v>0</v>
      </c>
      <c r="FF236">
        <v>0</v>
      </c>
      <c r="FG236">
        <v>0</v>
      </c>
      <c r="FH236">
        <v>-1</v>
      </c>
      <c r="FI236">
        <v>-1</v>
      </c>
      <c r="FJ236">
        <v>-1</v>
      </c>
      <c r="FK236">
        <v>-1</v>
      </c>
      <c r="FL236">
        <v>0.7</v>
      </c>
      <c r="FM236">
        <v>0.4</v>
      </c>
      <c r="FN236">
        <v>0.14038100000000001</v>
      </c>
      <c r="FO236">
        <v>4.99756</v>
      </c>
      <c r="FP236">
        <v>1.5979000000000001</v>
      </c>
      <c r="FQ236">
        <v>2.1179199999999998</v>
      </c>
      <c r="FR236">
        <v>1.5478499999999999</v>
      </c>
      <c r="FS236">
        <v>2.47437</v>
      </c>
      <c r="FT236">
        <v>40.502000000000002</v>
      </c>
      <c r="FU236">
        <v>14.4735</v>
      </c>
      <c r="FV236">
        <v>2</v>
      </c>
      <c r="FW236">
        <v>506.24700000000001</v>
      </c>
      <c r="FX236">
        <v>370.60700000000003</v>
      </c>
      <c r="FY236">
        <v>35.192599999999999</v>
      </c>
      <c r="FZ236">
        <v>33.357799999999997</v>
      </c>
      <c r="GA236">
        <v>29.999700000000001</v>
      </c>
      <c r="GB236">
        <v>33.704999999999998</v>
      </c>
      <c r="GC236">
        <v>33.741100000000003</v>
      </c>
      <c r="GD236">
        <v>-1</v>
      </c>
      <c r="GE236">
        <v>0</v>
      </c>
      <c r="GF236">
        <v>100</v>
      </c>
      <c r="GG236">
        <v>35.182299999999998</v>
      </c>
      <c r="GH236">
        <v>432.1</v>
      </c>
      <c r="GI236">
        <v>44.267099999999999</v>
      </c>
      <c r="GJ236">
        <v>101.468</v>
      </c>
      <c r="GK236">
        <v>95.955699999999993</v>
      </c>
    </row>
    <row r="237" spans="1:193" x14ac:dyDescent="0.35">
      <c r="A237">
        <v>221</v>
      </c>
      <c r="B237">
        <v>1775545228</v>
      </c>
      <c r="C237">
        <v>13201.900000095369</v>
      </c>
      <c r="D237" t="s">
        <v>980</v>
      </c>
      <c r="E237" t="s">
        <v>981</v>
      </c>
      <c r="F237">
        <v>60</v>
      </c>
      <c r="G237">
        <v>1775545220</v>
      </c>
      <c r="H237">
        <f t="shared" si="90"/>
        <v>6.2773449408055106E-3</v>
      </c>
      <c r="I237">
        <f t="shared" si="91"/>
        <v>6.2773449408055102</v>
      </c>
      <c r="J237">
        <f t="shared" si="92"/>
        <v>1.951973028236337</v>
      </c>
      <c r="K237">
        <f t="shared" si="93"/>
        <v>4.1042229032258062</v>
      </c>
      <c r="L237">
        <f t="shared" si="94"/>
        <v>-18.818220719791203</v>
      </c>
      <c r="M237">
        <f t="shared" si="95"/>
        <v>-1.8827087265032412</v>
      </c>
      <c r="N237">
        <f t="shared" si="96"/>
        <v>0.41061566821198542</v>
      </c>
      <c r="O237">
        <f t="shared" si="97"/>
        <v>0.13663446412898675</v>
      </c>
      <c r="P237">
        <f t="shared" si="98"/>
        <v>2.390510226000643</v>
      </c>
      <c r="Q237">
        <f t="shared" si="99"/>
        <v>0.13243941404208195</v>
      </c>
      <c r="R237">
        <f t="shared" si="100"/>
        <v>8.3140813418612319E-2</v>
      </c>
      <c r="S237">
        <f t="shared" si="101"/>
        <v>9.6311687612903207E-2</v>
      </c>
      <c r="T237">
        <f t="shared" si="102"/>
        <v>31.222997159737005</v>
      </c>
      <c r="U237">
        <f t="shared" si="103"/>
        <v>32.99883548387097</v>
      </c>
      <c r="V237">
        <f t="shared" si="104"/>
        <v>5.051776426634909</v>
      </c>
      <c r="W237">
        <f t="shared" si="105"/>
        <v>8.6186947977405008</v>
      </c>
      <c r="X237">
        <f t="shared" si="106"/>
        <v>0.43990404210559314</v>
      </c>
      <c r="Y237">
        <f t="shared" si="107"/>
        <v>5.1040679874279746</v>
      </c>
      <c r="Z237">
        <f t="shared" si="108"/>
        <v>4.6118723845293159</v>
      </c>
      <c r="AA237">
        <f t="shared" si="109"/>
        <v>-276.83091188952301</v>
      </c>
      <c r="AB237">
        <f t="shared" si="110"/>
        <v>23.635660418718928</v>
      </c>
      <c r="AC237">
        <f t="shared" si="111"/>
        <v>2.2664079202170599</v>
      </c>
      <c r="AD237">
        <f t="shared" si="112"/>
        <v>-250.83253186297412</v>
      </c>
      <c r="AE237">
        <v>7</v>
      </c>
      <c r="AF237">
        <v>1</v>
      </c>
      <c r="AG237">
        <f t="shared" si="113"/>
        <v>1</v>
      </c>
      <c r="AH237">
        <f t="shared" si="114"/>
        <v>0</v>
      </c>
      <c r="AI237">
        <f t="shared" si="115"/>
        <v>25044.223335511557</v>
      </c>
      <c r="AJ237">
        <f t="shared" si="116"/>
        <v>0.50398580645161284</v>
      </c>
      <c r="AK237">
        <f t="shared" si="117"/>
        <v>0.40318864516129027</v>
      </c>
      <c r="AL237">
        <f t="shared" si="118"/>
        <v>0.8</v>
      </c>
      <c r="AM237">
        <f t="shared" si="119"/>
        <v>0.19109999999999999</v>
      </c>
      <c r="AN237">
        <v>3</v>
      </c>
      <c r="AO237">
        <v>0.5</v>
      </c>
      <c r="AP237" t="s">
        <v>317</v>
      </c>
      <c r="AQ237">
        <v>2</v>
      </c>
      <c r="AR237">
        <v>1775545220</v>
      </c>
      <c r="AS237">
        <v>4.1042229032258062</v>
      </c>
      <c r="AT237">
        <v>5.2893254838709671</v>
      </c>
      <c r="AU237">
        <v>4.3969687096774193</v>
      </c>
      <c r="AV237">
        <v>0.65198712903225819</v>
      </c>
      <c r="AW237">
        <v>-3.240777096774194</v>
      </c>
      <c r="AX237">
        <v>5.8679687096774193</v>
      </c>
      <c r="AY237">
        <v>500.6494838709678</v>
      </c>
      <c r="AZ237">
        <v>100.0077096774193</v>
      </c>
      <c r="BA237">
        <v>3.9407132258064519E-2</v>
      </c>
      <c r="BB237">
        <v>33.182232258064523</v>
      </c>
      <c r="BC237">
        <v>32.99883548387097</v>
      </c>
      <c r="BD237">
        <v>999.90000000000032</v>
      </c>
      <c r="BE237">
        <v>0</v>
      </c>
      <c r="BF237">
        <v>0</v>
      </c>
      <c r="BG237">
        <v>5006</v>
      </c>
      <c r="BH237">
        <v>0.50398580645161284</v>
      </c>
      <c r="BI237">
        <v>197.73764516129029</v>
      </c>
      <c r="BJ237">
        <v>-1.2104823225806449</v>
      </c>
      <c r="BK237">
        <v>4.0967954838709684</v>
      </c>
      <c r="BL237">
        <v>5.2927783870967744</v>
      </c>
      <c r="BM237">
        <v>3.7340896774193539</v>
      </c>
      <c r="BN237">
        <v>5.2893254838709671</v>
      </c>
      <c r="BO237">
        <v>0.65198712903225819</v>
      </c>
      <c r="BP237">
        <v>0.43864158064516129</v>
      </c>
      <c r="BQ237">
        <v>6.5203729032258059E-2</v>
      </c>
      <c r="BR237">
        <v>-4.5424990322580632</v>
      </c>
      <c r="BS237">
        <v>-27.363380645161289</v>
      </c>
      <c r="BT237">
        <v>1775545263</v>
      </c>
      <c r="BU237" t="s">
        <v>982</v>
      </c>
      <c r="BV237">
        <v>1775545245</v>
      </c>
      <c r="BW237">
        <v>1775545263</v>
      </c>
      <c r="BX237">
        <v>222</v>
      </c>
      <c r="BY237">
        <v>2.5999999999999999E-2</v>
      </c>
      <c r="BZ237">
        <v>1.0999999999999999E-2</v>
      </c>
      <c r="CA237">
        <v>7.3449999999999998</v>
      </c>
      <c r="CB237">
        <v>-1.4710000000000001</v>
      </c>
      <c r="CC237">
        <v>5</v>
      </c>
      <c r="CD237">
        <v>1</v>
      </c>
      <c r="CE237">
        <v>0.22</v>
      </c>
      <c r="CF237">
        <v>0.02</v>
      </c>
      <c r="CG237">
        <v>5.6719033333333337</v>
      </c>
      <c r="CH237">
        <v>-2.804153664906917</v>
      </c>
      <c r="CI237">
        <v>0.42226749468658942</v>
      </c>
      <c r="CJ237">
        <v>-1</v>
      </c>
      <c r="CK237">
        <v>500.88454999999988</v>
      </c>
      <c r="CL237">
        <v>-0.13566768546712299</v>
      </c>
      <c r="CM237">
        <v>1.605265039642982</v>
      </c>
      <c r="CN237">
        <v>-1</v>
      </c>
      <c r="CO237">
        <v>0</v>
      </c>
      <c r="CP237">
        <v>0</v>
      </c>
      <c r="CQ237" t="s">
        <v>319</v>
      </c>
      <c r="CR237">
        <v>3.1680299999999999</v>
      </c>
      <c r="CS237">
        <v>2.6598999999999999</v>
      </c>
      <c r="CT237">
        <v>-1.04105E-3</v>
      </c>
      <c r="CU237">
        <v>1.41905E-3</v>
      </c>
      <c r="CV237">
        <v>3.8456999999999998E-2</v>
      </c>
      <c r="CW237">
        <v>4.8878100000000002E-3</v>
      </c>
      <c r="CX237">
        <v>21427.1</v>
      </c>
      <c r="CY237">
        <v>21812.7</v>
      </c>
      <c r="CZ237">
        <v>22933.8</v>
      </c>
      <c r="DA237">
        <v>22204</v>
      </c>
      <c r="DB237">
        <v>28443.8</v>
      </c>
      <c r="DC237">
        <v>26326.7</v>
      </c>
      <c r="DD237">
        <v>40322.9</v>
      </c>
      <c r="DE237">
        <v>36764.800000000003</v>
      </c>
      <c r="DF237">
        <v>2.0552999999999999</v>
      </c>
      <c r="DG237">
        <v>1.70082</v>
      </c>
      <c r="DH237">
        <v>8.0221899999999999E-2</v>
      </c>
      <c r="DI237">
        <v>0</v>
      </c>
      <c r="DJ237">
        <v>31.6861</v>
      </c>
      <c r="DK237">
        <v>999.9</v>
      </c>
      <c r="DL237">
        <v>61.1</v>
      </c>
      <c r="DM237">
        <v>38.1</v>
      </c>
      <c r="DN237">
        <v>40.890700000000002</v>
      </c>
      <c r="DO237">
        <v>30.599399999999999</v>
      </c>
      <c r="DP237">
        <v>10.7812</v>
      </c>
      <c r="DQ237">
        <v>1</v>
      </c>
      <c r="DR237">
        <v>0.48529899999999998</v>
      </c>
      <c r="DS237">
        <v>-2.0667599999999999</v>
      </c>
      <c r="DT237">
        <v>20.3522</v>
      </c>
      <c r="DU237">
        <v>5.21082</v>
      </c>
      <c r="DV237">
        <v>11.854200000000001</v>
      </c>
      <c r="DW237">
        <v>4.9677600000000002</v>
      </c>
      <c r="DX237">
        <v>3.29298</v>
      </c>
      <c r="DY237">
        <v>894.7</v>
      </c>
      <c r="DZ237">
        <v>6</v>
      </c>
      <c r="EA237">
        <v>9999</v>
      </c>
      <c r="EB237">
        <v>119.4</v>
      </c>
      <c r="EC237">
        <v>4.9715499999999997</v>
      </c>
      <c r="ED237">
        <v>1.87195</v>
      </c>
      <c r="EE237">
        <v>1.8692</v>
      </c>
      <c r="EF237">
        <v>1.87161</v>
      </c>
      <c r="EG237">
        <v>1.86934</v>
      </c>
      <c r="EH237">
        <v>1.8682700000000001</v>
      </c>
      <c r="EI237">
        <v>1.87009</v>
      </c>
      <c r="EJ237">
        <v>1.87181</v>
      </c>
      <c r="EK237">
        <v>0</v>
      </c>
      <c r="EL237">
        <v>0</v>
      </c>
      <c r="EM237">
        <v>0</v>
      </c>
      <c r="EN237">
        <v>0</v>
      </c>
      <c r="EO237" t="s">
        <v>320</v>
      </c>
      <c r="EP237" t="s">
        <v>321</v>
      </c>
      <c r="EQ237" t="s">
        <v>322</v>
      </c>
      <c r="ER237" t="s">
        <v>322</v>
      </c>
      <c r="ES237" t="s">
        <v>322</v>
      </c>
      <c r="ET237" t="s">
        <v>322</v>
      </c>
      <c r="EU237">
        <v>0</v>
      </c>
      <c r="EV237">
        <v>100</v>
      </c>
      <c r="EW237">
        <v>100</v>
      </c>
      <c r="EX237">
        <v>7.3449999999999998</v>
      </c>
      <c r="EY237">
        <v>-1.4710000000000001</v>
      </c>
      <c r="EZ237">
        <v>7.3196205000000001</v>
      </c>
      <c r="FA237">
        <v>0</v>
      </c>
      <c r="FB237">
        <v>0</v>
      </c>
      <c r="FC237">
        <v>0</v>
      </c>
      <c r="FD237">
        <v>-1.4818912</v>
      </c>
      <c r="FE237">
        <v>0</v>
      </c>
      <c r="FF237">
        <v>0</v>
      </c>
      <c r="FG237">
        <v>0</v>
      </c>
      <c r="FH237">
        <v>-1</v>
      </c>
      <c r="FI237">
        <v>-1</v>
      </c>
      <c r="FJ237">
        <v>-1</v>
      </c>
      <c r="FK237">
        <v>-1</v>
      </c>
      <c r="FL237">
        <v>0.7</v>
      </c>
      <c r="FM237">
        <v>0.3</v>
      </c>
      <c r="FN237">
        <v>0.14038100000000001</v>
      </c>
      <c r="FO237">
        <v>4.99756</v>
      </c>
      <c r="FP237">
        <v>1.5979000000000001</v>
      </c>
      <c r="FQ237">
        <v>2.1191399999999998</v>
      </c>
      <c r="FR237">
        <v>1.5478499999999999</v>
      </c>
      <c r="FS237">
        <v>2.4096700000000002</v>
      </c>
      <c r="FT237">
        <v>40.374499999999998</v>
      </c>
      <c r="FU237">
        <v>14.4648</v>
      </c>
      <c r="FV237">
        <v>2</v>
      </c>
      <c r="FW237">
        <v>505.50299999999999</v>
      </c>
      <c r="FX237">
        <v>371.29399999999998</v>
      </c>
      <c r="FY237">
        <v>35.232199999999999</v>
      </c>
      <c r="FZ237">
        <v>33.293999999999997</v>
      </c>
      <c r="GA237">
        <v>29.999600000000001</v>
      </c>
      <c r="GB237">
        <v>33.6447</v>
      </c>
      <c r="GC237">
        <v>33.673999999999999</v>
      </c>
      <c r="GD237">
        <v>-1</v>
      </c>
      <c r="GE237">
        <v>0</v>
      </c>
      <c r="GF237">
        <v>100</v>
      </c>
      <c r="GG237">
        <v>35.2517</v>
      </c>
      <c r="GH237">
        <v>432.1</v>
      </c>
      <c r="GI237">
        <v>44.267099999999999</v>
      </c>
      <c r="GJ237">
        <v>101.483</v>
      </c>
      <c r="GK237">
        <v>95.965400000000002</v>
      </c>
    </row>
    <row r="238" spans="1:193" x14ac:dyDescent="0.35">
      <c r="A238">
        <v>222</v>
      </c>
      <c r="B238">
        <v>1775545288</v>
      </c>
      <c r="C238">
        <v>13261.900000095369</v>
      </c>
      <c r="D238" t="s">
        <v>983</v>
      </c>
      <c r="E238" t="s">
        <v>984</v>
      </c>
      <c r="F238">
        <v>60</v>
      </c>
      <c r="G238">
        <v>1775545280</v>
      </c>
      <c r="H238">
        <f t="shared" si="90"/>
        <v>6.5871898528563535E-3</v>
      </c>
      <c r="I238">
        <f t="shared" si="91"/>
        <v>6.5871898528563531</v>
      </c>
      <c r="J238">
        <f t="shared" si="92"/>
        <v>2.682598666220164</v>
      </c>
      <c r="K238">
        <f t="shared" si="93"/>
        <v>3.5864661290322579</v>
      </c>
      <c r="L238">
        <f t="shared" si="94"/>
        <v>-26.23040555802238</v>
      </c>
      <c r="M238">
        <f t="shared" si="95"/>
        <v>-2.624298171412117</v>
      </c>
      <c r="N238">
        <f t="shared" si="96"/>
        <v>0.35881856585981264</v>
      </c>
      <c r="O238">
        <f t="shared" si="97"/>
        <v>0.1439533809922271</v>
      </c>
      <c r="P238">
        <f t="shared" si="98"/>
        <v>2.3876260684939283</v>
      </c>
      <c r="Q238">
        <f t="shared" si="99"/>
        <v>0.13929968165501669</v>
      </c>
      <c r="R238">
        <f t="shared" si="100"/>
        <v>8.7467884946991231E-2</v>
      </c>
      <c r="S238">
        <f t="shared" si="101"/>
        <v>8.9513896906451604E-2</v>
      </c>
      <c r="T238">
        <f t="shared" si="102"/>
        <v>31.111715143901698</v>
      </c>
      <c r="U238">
        <f t="shared" si="103"/>
        <v>32.963290322580647</v>
      </c>
      <c r="V238">
        <f t="shared" si="104"/>
        <v>5.041695612376218</v>
      </c>
      <c r="W238">
        <f t="shared" si="105"/>
        <v>8.6314421691788823</v>
      </c>
      <c r="X238">
        <f t="shared" si="106"/>
        <v>0.44025301021170171</v>
      </c>
      <c r="Y238">
        <f t="shared" si="107"/>
        <v>5.1005730164508929</v>
      </c>
      <c r="Z238">
        <f t="shared" si="108"/>
        <v>4.6014426021645161</v>
      </c>
      <c r="AA238">
        <f t="shared" si="109"/>
        <v>-290.4950725109652</v>
      </c>
      <c r="AB238">
        <f t="shared" si="110"/>
        <v>26.611342232250909</v>
      </c>
      <c r="AC238">
        <f t="shared" si="111"/>
        <v>2.5542287569261153</v>
      </c>
      <c r="AD238">
        <f t="shared" si="112"/>
        <v>-261.23998762488168</v>
      </c>
      <c r="AE238">
        <v>6</v>
      </c>
      <c r="AF238">
        <v>1</v>
      </c>
      <c r="AG238">
        <f t="shared" si="113"/>
        <v>1</v>
      </c>
      <c r="AH238">
        <f t="shared" si="114"/>
        <v>0</v>
      </c>
      <c r="AI238">
        <f t="shared" si="115"/>
        <v>25002.258493421472</v>
      </c>
      <c r="AJ238">
        <f t="shared" si="116"/>
        <v>0.46841390322580639</v>
      </c>
      <c r="AK238">
        <f t="shared" si="117"/>
        <v>0.37473112258064512</v>
      </c>
      <c r="AL238">
        <f t="shared" si="118"/>
        <v>0.8</v>
      </c>
      <c r="AM238">
        <f t="shared" si="119"/>
        <v>0.19109999999999999</v>
      </c>
      <c r="AN238">
        <v>3</v>
      </c>
      <c r="AO238">
        <v>0.5</v>
      </c>
      <c r="AP238" t="s">
        <v>317</v>
      </c>
      <c r="AQ238">
        <v>2</v>
      </c>
      <c r="AR238">
        <v>1775545280</v>
      </c>
      <c r="AS238">
        <v>3.5864661290322579</v>
      </c>
      <c r="AT238">
        <v>5.2101496774193548</v>
      </c>
      <c r="AU238">
        <v>4.4004203225806453</v>
      </c>
      <c r="AV238">
        <v>0.46562061290322582</v>
      </c>
      <c r="AW238">
        <v>-3.7355338709677421</v>
      </c>
      <c r="AX238">
        <v>5.8394203225806454</v>
      </c>
      <c r="AY238">
        <v>500.01554838709683</v>
      </c>
      <c r="AZ238">
        <v>100.0070967741935</v>
      </c>
      <c r="BA238">
        <v>4.084818064516129E-2</v>
      </c>
      <c r="BB238">
        <v>33.170025806451598</v>
      </c>
      <c r="BC238">
        <v>32.963290322580647</v>
      </c>
      <c r="BD238">
        <v>999.90000000000032</v>
      </c>
      <c r="BE238">
        <v>0</v>
      </c>
      <c r="BF238">
        <v>0</v>
      </c>
      <c r="BG238">
        <v>4998.5967741935483</v>
      </c>
      <c r="BH238">
        <v>0.46841390322580639</v>
      </c>
      <c r="BI238">
        <v>194.10361290322581</v>
      </c>
      <c r="BJ238">
        <v>-1.6005380645161289</v>
      </c>
      <c r="BK238">
        <v>3.625452580645161</v>
      </c>
      <c r="BL238">
        <v>5.2125774193548384</v>
      </c>
      <c r="BM238">
        <v>3.90301935483871</v>
      </c>
      <c r="BN238">
        <v>5.2101496774193548</v>
      </c>
      <c r="BO238">
        <v>0.46562061290322582</v>
      </c>
      <c r="BP238">
        <v>0.43689496774193548</v>
      </c>
      <c r="BQ238">
        <v>4.6565364516129047E-2</v>
      </c>
      <c r="BR238">
        <v>-4.5884267741935494</v>
      </c>
      <c r="BS238">
        <v>-30.952941935483871</v>
      </c>
      <c r="BT238">
        <v>1775545328.5</v>
      </c>
      <c r="BU238" t="s">
        <v>985</v>
      </c>
      <c r="BV238">
        <v>1775545306</v>
      </c>
      <c r="BW238">
        <v>1775545328.5</v>
      </c>
      <c r="BX238">
        <v>223</v>
      </c>
      <c r="BY238">
        <v>-2.3E-2</v>
      </c>
      <c r="BZ238">
        <v>3.2000000000000001E-2</v>
      </c>
      <c r="CA238">
        <v>7.3220000000000001</v>
      </c>
      <c r="CB238">
        <v>-1.4390000000000001</v>
      </c>
      <c r="CC238">
        <v>5</v>
      </c>
      <c r="CD238">
        <v>0</v>
      </c>
      <c r="CE238">
        <v>0.19</v>
      </c>
      <c r="CF238">
        <v>0.05</v>
      </c>
      <c r="CG238">
        <v>5.1789818333333333</v>
      </c>
      <c r="CH238">
        <v>-5.1702195054166469E-2</v>
      </c>
      <c r="CI238">
        <v>0.12645428074330081</v>
      </c>
      <c r="CJ238">
        <v>-1</v>
      </c>
      <c r="CK238">
        <v>500.83138333333329</v>
      </c>
      <c r="CL238">
        <v>-2.774820783549921</v>
      </c>
      <c r="CM238">
        <v>1.598887989527582</v>
      </c>
      <c r="CN238">
        <v>-1</v>
      </c>
      <c r="CO238">
        <v>0</v>
      </c>
      <c r="CP238">
        <v>0</v>
      </c>
      <c r="CQ238" t="s">
        <v>319</v>
      </c>
      <c r="CR238">
        <v>3.16784</v>
      </c>
      <c r="CS238">
        <v>2.6611600000000002</v>
      </c>
      <c r="CT238">
        <v>-1.09454E-3</v>
      </c>
      <c r="CU238">
        <v>1.5418599999999999E-3</v>
      </c>
      <c r="CV238">
        <v>3.8111800000000001E-2</v>
      </c>
      <c r="CW238">
        <v>3.4268100000000002E-3</v>
      </c>
      <c r="CX238">
        <v>21430.3</v>
      </c>
      <c r="CY238">
        <v>21812.5</v>
      </c>
      <c r="CZ238">
        <v>22935.7</v>
      </c>
      <c r="DA238">
        <v>22206.400000000001</v>
      </c>
      <c r="DB238">
        <v>28456.2</v>
      </c>
      <c r="DC238">
        <v>26368.2</v>
      </c>
      <c r="DD238">
        <v>40325.699999999997</v>
      </c>
      <c r="DE238">
        <v>36768.699999999997</v>
      </c>
      <c r="DF238">
        <v>2.0575399999999999</v>
      </c>
      <c r="DG238">
        <v>1.70184</v>
      </c>
      <c r="DH238">
        <v>8.4948499999999996E-2</v>
      </c>
      <c r="DI238">
        <v>0</v>
      </c>
      <c r="DJ238">
        <v>31.5946</v>
      </c>
      <c r="DK238">
        <v>999.9</v>
      </c>
      <c r="DL238">
        <v>61.2</v>
      </c>
      <c r="DM238">
        <v>38</v>
      </c>
      <c r="DN238">
        <v>40.739800000000002</v>
      </c>
      <c r="DO238">
        <v>30.509399999999999</v>
      </c>
      <c r="DP238">
        <v>10.9375</v>
      </c>
      <c r="DQ238">
        <v>1</v>
      </c>
      <c r="DR238">
        <v>0.47959099999999999</v>
      </c>
      <c r="DS238">
        <v>-2.3192400000000002</v>
      </c>
      <c r="DT238">
        <v>20.347899999999999</v>
      </c>
      <c r="DU238">
        <v>5.2110599999999998</v>
      </c>
      <c r="DV238">
        <v>11.854200000000001</v>
      </c>
      <c r="DW238">
        <v>4.9677600000000002</v>
      </c>
      <c r="DX238">
        <v>3.2930000000000001</v>
      </c>
      <c r="DY238">
        <v>894.7</v>
      </c>
      <c r="DZ238">
        <v>6</v>
      </c>
      <c r="EA238">
        <v>9999</v>
      </c>
      <c r="EB238">
        <v>119.4</v>
      </c>
      <c r="EC238">
        <v>4.9715600000000002</v>
      </c>
      <c r="ED238">
        <v>1.87195</v>
      </c>
      <c r="EE238">
        <v>1.8691899999999999</v>
      </c>
      <c r="EF238">
        <v>1.8716200000000001</v>
      </c>
      <c r="EG238">
        <v>1.8693500000000001</v>
      </c>
      <c r="EH238">
        <v>1.86826</v>
      </c>
      <c r="EI238">
        <v>1.8700399999999999</v>
      </c>
      <c r="EJ238">
        <v>1.8717999999999999</v>
      </c>
      <c r="EK238">
        <v>0</v>
      </c>
      <c r="EL238">
        <v>0</v>
      </c>
      <c r="EM238">
        <v>0</v>
      </c>
      <c r="EN238">
        <v>0</v>
      </c>
      <c r="EO238" t="s">
        <v>320</v>
      </c>
      <c r="EP238" t="s">
        <v>321</v>
      </c>
      <c r="EQ238" t="s">
        <v>322</v>
      </c>
      <c r="ER238" t="s">
        <v>322</v>
      </c>
      <c r="ES238" t="s">
        <v>322</v>
      </c>
      <c r="ET238" t="s">
        <v>322</v>
      </c>
      <c r="EU238">
        <v>0</v>
      </c>
      <c r="EV238">
        <v>100</v>
      </c>
      <c r="EW238">
        <v>100</v>
      </c>
      <c r="EX238">
        <v>7.3220000000000001</v>
      </c>
      <c r="EY238">
        <v>-1.4390000000000001</v>
      </c>
      <c r="EZ238">
        <v>7.3451474999999986</v>
      </c>
      <c r="FA238">
        <v>0</v>
      </c>
      <c r="FB238">
        <v>0</v>
      </c>
      <c r="FC238">
        <v>0</v>
      </c>
      <c r="FD238">
        <v>-1.4707803500000001</v>
      </c>
      <c r="FE238">
        <v>0</v>
      </c>
      <c r="FF238">
        <v>0</v>
      </c>
      <c r="FG238">
        <v>0</v>
      </c>
      <c r="FH238">
        <v>-1</v>
      </c>
      <c r="FI238">
        <v>-1</v>
      </c>
      <c r="FJ238">
        <v>-1</v>
      </c>
      <c r="FK238">
        <v>-1</v>
      </c>
      <c r="FL238">
        <v>0.7</v>
      </c>
      <c r="FM238">
        <v>0.4</v>
      </c>
      <c r="FN238">
        <v>0.14038100000000001</v>
      </c>
      <c r="FO238">
        <v>4.99756</v>
      </c>
      <c r="FP238">
        <v>1.5979000000000001</v>
      </c>
      <c r="FQ238">
        <v>2.1179199999999998</v>
      </c>
      <c r="FR238">
        <v>1.5478499999999999</v>
      </c>
      <c r="FS238">
        <v>2.35229</v>
      </c>
      <c r="FT238">
        <v>40.247399999999999</v>
      </c>
      <c r="FU238">
        <v>14.456</v>
      </c>
      <c r="FV238">
        <v>2</v>
      </c>
      <c r="FW238">
        <v>506.28</v>
      </c>
      <c r="FX238">
        <v>371.452</v>
      </c>
      <c r="FY238">
        <v>35.502699999999997</v>
      </c>
      <c r="FZ238">
        <v>33.2209</v>
      </c>
      <c r="GA238">
        <v>29.999600000000001</v>
      </c>
      <c r="GB238">
        <v>33.568199999999997</v>
      </c>
      <c r="GC238">
        <v>33.6023</v>
      </c>
      <c r="GD238">
        <v>-1</v>
      </c>
      <c r="GE238">
        <v>0</v>
      </c>
      <c r="GF238">
        <v>100</v>
      </c>
      <c r="GG238">
        <v>35.518300000000004</v>
      </c>
      <c r="GH238">
        <v>432.1</v>
      </c>
      <c r="GI238">
        <v>44.267099999999999</v>
      </c>
      <c r="GJ238">
        <v>101.49</v>
      </c>
      <c r="GK238">
        <v>95.975499999999997</v>
      </c>
    </row>
    <row r="239" spans="1:193" x14ac:dyDescent="0.35">
      <c r="A239">
        <v>223</v>
      </c>
      <c r="B239">
        <v>1775545348</v>
      </c>
      <c r="C239">
        <v>13321.900000095369</v>
      </c>
      <c r="D239" t="s">
        <v>986</v>
      </c>
      <c r="E239" t="s">
        <v>987</v>
      </c>
      <c r="F239">
        <v>60</v>
      </c>
      <c r="G239">
        <v>1775545340.25</v>
      </c>
      <c r="H239">
        <f t="shared" si="90"/>
        <v>6.5104043552630074E-3</v>
      </c>
      <c r="I239">
        <f t="shared" si="91"/>
        <v>6.5104043552630078</v>
      </c>
      <c r="J239">
        <f t="shared" si="92"/>
        <v>2.7968386097700382</v>
      </c>
      <c r="K239">
        <f t="shared" si="93"/>
        <v>4.0723639999999994</v>
      </c>
      <c r="L239">
        <f t="shared" si="94"/>
        <v>-27.573062581754556</v>
      </c>
      <c r="M239">
        <f t="shared" si="95"/>
        <v>-2.7585842984859266</v>
      </c>
      <c r="N239">
        <f t="shared" si="96"/>
        <v>0.40742515833380777</v>
      </c>
      <c r="O239">
        <f t="shared" si="97"/>
        <v>0.14140886792923693</v>
      </c>
      <c r="P239">
        <f t="shared" si="98"/>
        <v>2.386726424764543</v>
      </c>
      <c r="Q239">
        <f t="shared" si="99"/>
        <v>0.13691383237691848</v>
      </c>
      <c r="R239">
        <f t="shared" si="100"/>
        <v>8.5963103627090448E-2</v>
      </c>
      <c r="S239">
        <f t="shared" si="101"/>
        <v>8.9656030099999978E-2</v>
      </c>
      <c r="T239">
        <f t="shared" si="102"/>
        <v>31.161253937305876</v>
      </c>
      <c r="U239">
        <f t="shared" si="103"/>
        <v>32.962449999999997</v>
      </c>
      <c r="V239">
        <f t="shared" si="104"/>
        <v>5.0414575039516238</v>
      </c>
      <c r="W239">
        <f t="shared" si="105"/>
        <v>8.1017917652761895</v>
      </c>
      <c r="X239">
        <f t="shared" si="106"/>
        <v>0.41384556621466029</v>
      </c>
      <c r="Y239">
        <f t="shared" si="107"/>
        <v>5.108074586517743</v>
      </c>
      <c r="Z239">
        <f t="shared" si="108"/>
        <v>4.6276119377369636</v>
      </c>
      <c r="AA239">
        <f t="shared" si="109"/>
        <v>-287.1088320670986</v>
      </c>
      <c r="AB239">
        <f t="shared" si="110"/>
        <v>30.079503887284297</v>
      </c>
      <c r="AC239">
        <f t="shared" si="111"/>
        <v>2.8885595077252386</v>
      </c>
      <c r="AD239">
        <f t="shared" si="112"/>
        <v>-254.05111264198908</v>
      </c>
      <c r="AE239">
        <v>6</v>
      </c>
      <c r="AF239">
        <v>1</v>
      </c>
      <c r="AG239">
        <f t="shared" si="113"/>
        <v>1</v>
      </c>
      <c r="AH239">
        <f t="shared" si="114"/>
        <v>0</v>
      </c>
      <c r="AI239">
        <f t="shared" si="115"/>
        <v>24986.769541309066</v>
      </c>
      <c r="AJ239">
        <f t="shared" si="116"/>
        <v>0.46915766666666658</v>
      </c>
      <c r="AK239">
        <f t="shared" si="117"/>
        <v>0.37532613333333331</v>
      </c>
      <c r="AL239">
        <f t="shared" si="118"/>
        <v>0.8</v>
      </c>
      <c r="AM239">
        <f t="shared" si="119"/>
        <v>0.19109999999999999</v>
      </c>
      <c r="AN239">
        <v>3</v>
      </c>
      <c r="AO239">
        <v>0.5</v>
      </c>
      <c r="AP239" t="s">
        <v>317</v>
      </c>
      <c r="AQ239">
        <v>2</v>
      </c>
      <c r="AR239">
        <v>1775545340.25</v>
      </c>
      <c r="AS239">
        <v>4.0723639999999994</v>
      </c>
      <c r="AT239">
        <v>5.7631746666666679</v>
      </c>
      <c r="AU239">
        <v>4.1365383333333332</v>
      </c>
      <c r="AV239">
        <v>0.25380276666666662</v>
      </c>
      <c r="AW239">
        <v>-3.238636000000001</v>
      </c>
      <c r="AX239">
        <v>5.5725383333333331</v>
      </c>
      <c r="AY239">
        <v>500.94633333333331</v>
      </c>
      <c r="AZ239">
        <v>100.0056666666667</v>
      </c>
      <c r="BA239">
        <v>4.0684379999999999E-2</v>
      </c>
      <c r="BB239">
        <v>33.196216666666672</v>
      </c>
      <c r="BC239">
        <v>32.962449999999997</v>
      </c>
      <c r="BD239">
        <v>999.9000000000002</v>
      </c>
      <c r="BE239">
        <v>0</v>
      </c>
      <c r="BF239">
        <v>0</v>
      </c>
      <c r="BG239">
        <v>4996.3500000000004</v>
      </c>
      <c r="BH239">
        <v>0.46915766666666658</v>
      </c>
      <c r="BI239">
        <v>190.9091333333333</v>
      </c>
      <c r="BJ239">
        <v>-1.6798230000000001</v>
      </c>
      <c r="BK239">
        <v>4.1002446666666668</v>
      </c>
      <c r="BL239">
        <v>5.7646376666666672</v>
      </c>
      <c r="BM239">
        <v>3.8799939999999999</v>
      </c>
      <c r="BN239">
        <v>5.7631746666666679</v>
      </c>
      <c r="BO239">
        <v>0.25380276666666662</v>
      </c>
      <c r="BP239">
        <v>0.41340379999999999</v>
      </c>
      <c r="BQ239">
        <v>2.538174666666667E-2</v>
      </c>
      <c r="BR239">
        <v>-5.377053666666666</v>
      </c>
      <c r="BS239">
        <v>-37.10761333333334</v>
      </c>
      <c r="BT239">
        <v>1775545382</v>
      </c>
      <c r="BU239" t="s">
        <v>988</v>
      </c>
      <c r="BV239">
        <v>1775545368.5</v>
      </c>
      <c r="BW239">
        <v>1775545382</v>
      </c>
      <c r="BX239">
        <v>224</v>
      </c>
      <c r="BY239">
        <v>-1.0999999999999999E-2</v>
      </c>
      <c r="BZ239">
        <v>2E-3</v>
      </c>
      <c r="CA239">
        <v>7.3109999999999999</v>
      </c>
      <c r="CB239">
        <v>-1.4359999999999999</v>
      </c>
      <c r="CC239">
        <v>6</v>
      </c>
      <c r="CD239">
        <v>0</v>
      </c>
      <c r="CE239">
        <v>0.2</v>
      </c>
      <c r="CF239">
        <v>0.02</v>
      </c>
      <c r="CG239">
        <v>5.6593790000000004</v>
      </c>
      <c r="CH239">
        <v>0.83874531814394182</v>
      </c>
      <c r="CI239">
        <v>0.1383759870148478</v>
      </c>
      <c r="CJ239">
        <v>-1</v>
      </c>
      <c r="CK239">
        <v>500.85411666666658</v>
      </c>
      <c r="CL239">
        <v>0.86717754931981639</v>
      </c>
      <c r="CM239">
        <v>1.6459836987008329</v>
      </c>
      <c r="CN239">
        <v>-1</v>
      </c>
      <c r="CO239">
        <v>0</v>
      </c>
      <c r="CP239">
        <v>0</v>
      </c>
      <c r="CQ239" t="s">
        <v>319</v>
      </c>
      <c r="CR239">
        <v>3.1679200000000001</v>
      </c>
      <c r="CS239">
        <v>2.6610900000000002</v>
      </c>
      <c r="CT239">
        <v>-9.5367100000000001E-4</v>
      </c>
      <c r="CU239">
        <v>1.7134299999999999E-3</v>
      </c>
      <c r="CV239">
        <v>3.7418199999999999E-2</v>
      </c>
      <c r="CW239">
        <v>1.9550700000000002E-3</v>
      </c>
      <c r="CX239">
        <v>21431.200000000001</v>
      </c>
      <c r="CY239">
        <v>21812.2</v>
      </c>
      <c r="CZ239">
        <v>22939.599999999999</v>
      </c>
      <c r="DA239">
        <v>22209.7</v>
      </c>
      <c r="DB239">
        <v>28481.200000000001</v>
      </c>
      <c r="DC239">
        <v>26411.3</v>
      </c>
      <c r="DD239">
        <v>40331.9</v>
      </c>
      <c r="DE239">
        <v>36774.400000000001</v>
      </c>
      <c r="DF239">
        <v>2.0575000000000001</v>
      </c>
      <c r="DG239">
        <v>1.70262</v>
      </c>
      <c r="DH239">
        <v>8.8459300000000005E-2</v>
      </c>
      <c r="DI239">
        <v>0</v>
      </c>
      <c r="DJ239">
        <v>31.521599999999999</v>
      </c>
      <c r="DK239">
        <v>999.9</v>
      </c>
      <c r="DL239">
        <v>61.4</v>
      </c>
      <c r="DM239">
        <v>37.9</v>
      </c>
      <c r="DN239">
        <v>40.654800000000002</v>
      </c>
      <c r="DO239">
        <v>30.209399999999999</v>
      </c>
      <c r="DP239">
        <v>10.8293</v>
      </c>
      <c r="DQ239">
        <v>1</v>
      </c>
      <c r="DR239">
        <v>0.471522</v>
      </c>
      <c r="DS239">
        <v>-2.1464799999999999</v>
      </c>
      <c r="DT239">
        <v>20.351299999999998</v>
      </c>
      <c r="DU239">
        <v>5.2109399999999999</v>
      </c>
      <c r="DV239">
        <v>11.854200000000001</v>
      </c>
      <c r="DW239">
        <v>4.9677199999999999</v>
      </c>
      <c r="DX239">
        <v>3.29298</v>
      </c>
      <c r="DY239">
        <v>894.7</v>
      </c>
      <c r="DZ239">
        <v>6</v>
      </c>
      <c r="EA239">
        <v>9999</v>
      </c>
      <c r="EB239">
        <v>119.4</v>
      </c>
      <c r="EC239">
        <v>4.9715600000000002</v>
      </c>
      <c r="ED239">
        <v>1.87195</v>
      </c>
      <c r="EE239">
        <v>1.8692</v>
      </c>
      <c r="EF239">
        <v>1.8716299999999999</v>
      </c>
      <c r="EG239">
        <v>1.8693500000000001</v>
      </c>
      <c r="EH239">
        <v>1.8682700000000001</v>
      </c>
      <c r="EI239">
        <v>1.87008</v>
      </c>
      <c r="EJ239">
        <v>1.8718300000000001</v>
      </c>
      <c r="EK239">
        <v>0</v>
      </c>
      <c r="EL239">
        <v>0</v>
      </c>
      <c r="EM239">
        <v>0</v>
      </c>
      <c r="EN239">
        <v>0</v>
      </c>
      <c r="EO239" t="s">
        <v>320</v>
      </c>
      <c r="EP239" t="s">
        <v>321</v>
      </c>
      <c r="EQ239" t="s">
        <v>322</v>
      </c>
      <c r="ER239" t="s">
        <v>322</v>
      </c>
      <c r="ES239" t="s">
        <v>322</v>
      </c>
      <c r="ET239" t="s">
        <v>322</v>
      </c>
      <c r="EU239">
        <v>0</v>
      </c>
      <c r="EV239">
        <v>100</v>
      </c>
      <c r="EW239">
        <v>100</v>
      </c>
      <c r="EX239">
        <v>7.3109999999999999</v>
      </c>
      <c r="EY239">
        <v>-1.4359999999999999</v>
      </c>
      <c r="EZ239">
        <v>7.3219874999999988</v>
      </c>
      <c r="FA239">
        <v>0</v>
      </c>
      <c r="FB239">
        <v>0</v>
      </c>
      <c r="FC239">
        <v>0</v>
      </c>
      <c r="FD239">
        <v>-1.438741</v>
      </c>
      <c r="FE239">
        <v>0</v>
      </c>
      <c r="FF239">
        <v>0</v>
      </c>
      <c r="FG239">
        <v>0</v>
      </c>
      <c r="FH239">
        <v>-1</v>
      </c>
      <c r="FI239">
        <v>-1</v>
      </c>
      <c r="FJ239">
        <v>-1</v>
      </c>
      <c r="FK239">
        <v>-1</v>
      </c>
      <c r="FL239">
        <v>0.7</v>
      </c>
      <c r="FM239">
        <v>0.3</v>
      </c>
      <c r="FN239">
        <v>0.14038100000000001</v>
      </c>
      <c r="FO239">
        <v>4.99756</v>
      </c>
      <c r="FP239">
        <v>1.5979000000000001</v>
      </c>
      <c r="FQ239">
        <v>2.1191399999999998</v>
      </c>
      <c r="FR239">
        <v>1.5478499999999999</v>
      </c>
      <c r="FS239">
        <v>2.33765</v>
      </c>
      <c r="FT239">
        <v>40.095300000000002</v>
      </c>
      <c r="FU239">
        <v>14.4472</v>
      </c>
      <c r="FV239">
        <v>2</v>
      </c>
      <c r="FW239">
        <v>505.77</v>
      </c>
      <c r="FX239">
        <v>371.44099999999997</v>
      </c>
      <c r="FY239">
        <v>35.373399999999997</v>
      </c>
      <c r="FZ239">
        <v>33.139099999999999</v>
      </c>
      <c r="GA239">
        <v>29.999400000000001</v>
      </c>
      <c r="GB239">
        <v>33.502200000000002</v>
      </c>
      <c r="GC239">
        <v>33.523800000000001</v>
      </c>
      <c r="GD239">
        <v>-1</v>
      </c>
      <c r="GE239">
        <v>0</v>
      </c>
      <c r="GF239">
        <v>100</v>
      </c>
      <c r="GG239">
        <v>35.375500000000002</v>
      </c>
      <c r="GH239">
        <v>432.1</v>
      </c>
      <c r="GI239">
        <v>44.267099999999999</v>
      </c>
      <c r="GJ239">
        <v>101.50700000000001</v>
      </c>
      <c r="GK239">
        <v>95.990099999999998</v>
      </c>
    </row>
    <row r="240" spans="1:193" x14ac:dyDescent="0.35">
      <c r="A240">
        <v>224</v>
      </c>
      <c r="B240">
        <v>1775545408</v>
      </c>
      <c r="C240">
        <v>13381.900000095369</v>
      </c>
      <c r="D240" t="s">
        <v>989</v>
      </c>
      <c r="E240" t="s">
        <v>990</v>
      </c>
      <c r="F240">
        <v>60</v>
      </c>
      <c r="G240">
        <v>1775545400</v>
      </c>
      <c r="H240">
        <f t="shared" si="90"/>
        <v>6.5957259118120505E-3</v>
      </c>
      <c r="I240">
        <f t="shared" si="91"/>
        <v>6.5957259118120506</v>
      </c>
      <c r="J240">
        <f t="shared" si="92"/>
        <v>2.6943584427983041</v>
      </c>
      <c r="K240">
        <f t="shared" si="93"/>
        <v>4.111016129032258</v>
      </c>
      <c r="L240">
        <f t="shared" si="94"/>
        <v>-25.947849694216988</v>
      </c>
      <c r="M240">
        <f t="shared" si="95"/>
        <v>-2.595959823521039</v>
      </c>
      <c r="N240">
        <f t="shared" si="96"/>
        <v>0.41128774948905339</v>
      </c>
      <c r="O240">
        <f t="shared" si="97"/>
        <v>0.14356605811129752</v>
      </c>
      <c r="P240">
        <f t="shared" si="98"/>
        <v>2.3888239113931506</v>
      </c>
      <c r="Q240">
        <f t="shared" si="99"/>
        <v>0.13893917502615749</v>
      </c>
      <c r="R240">
        <f t="shared" si="100"/>
        <v>8.7240269600628972E-2</v>
      </c>
      <c r="S240">
        <f t="shared" si="101"/>
        <v>8.5531570170967741E-2</v>
      </c>
      <c r="T240">
        <f t="shared" si="102"/>
        <v>31.123340191802257</v>
      </c>
      <c r="U240">
        <f t="shared" si="103"/>
        <v>32.951406451612897</v>
      </c>
      <c r="V240">
        <f t="shared" si="104"/>
        <v>5.0383291839404079</v>
      </c>
      <c r="W240">
        <f t="shared" si="105"/>
        <v>8.1987995693240912</v>
      </c>
      <c r="X240">
        <f t="shared" si="106"/>
        <v>0.41849927127354464</v>
      </c>
      <c r="Y240">
        <f t="shared" si="107"/>
        <v>5.1043969026802989</v>
      </c>
      <c r="Z240">
        <f t="shared" si="108"/>
        <v>4.6198299126668632</v>
      </c>
      <c r="AA240">
        <f t="shared" si="109"/>
        <v>-290.87151271091142</v>
      </c>
      <c r="AB240">
        <f t="shared" si="110"/>
        <v>29.875092216192815</v>
      </c>
      <c r="AC240">
        <f t="shared" si="111"/>
        <v>2.8660752084014294</v>
      </c>
      <c r="AD240">
        <f t="shared" si="112"/>
        <v>-258.04481371614622</v>
      </c>
      <c r="AE240">
        <v>6</v>
      </c>
      <c r="AF240">
        <v>1</v>
      </c>
      <c r="AG240">
        <f t="shared" si="113"/>
        <v>1</v>
      </c>
      <c r="AH240">
        <f t="shared" si="114"/>
        <v>0</v>
      </c>
      <c r="AI240">
        <f t="shared" si="115"/>
        <v>25019.077606024861</v>
      </c>
      <c r="AJ240">
        <f t="shared" si="116"/>
        <v>0.44757493548387101</v>
      </c>
      <c r="AK240">
        <f t="shared" si="117"/>
        <v>0.35805994838709682</v>
      </c>
      <c r="AL240">
        <f t="shared" si="118"/>
        <v>0.8</v>
      </c>
      <c r="AM240">
        <f t="shared" si="119"/>
        <v>0.19109999999999999</v>
      </c>
      <c r="AN240">
        <v>3</v>
      </c>
      <c r="AO240">
        <v>0.5</v>
      </c>
      <c r="AP240" t="s">
        <v>317</v>
      </c>
      <c r="AQ240">
        <v>2</v>
      </c>
      <c r="AR240">
        <v>1775545400</v>
      </c>
      <c r="AS240">
        <v>4.111016129032258</v>
      </c>
      <c r="AT240">
        <v>5.7439032258064513</v>
      </c>
      <c r="AU240">
        <v>4.1830987096774184</v>
      </c>
      <c r="AV240">
        <v>0.2422103870967742</v>
      </c>
      <c r="AW240">
        <v>-3.2109838709677421</v>
      </c>
      <c r="AX240">
        <v>5.6230987096774188</v>
      </c>
      <c r="AY240">
        <v>499.99909677419362</v>
      </c>
      <c r="AZ240">
        <v>100.0056129032258</v>
      </c>
      <c r="BA240">
        <v>3.9664609677419353E-2</v>
      </c>
      <c r="BB240">
        <v>33.183380645161293</v>
      </c>
      <c r="BC240">
        <v>32.951406451612897</v>
      </c>
      <c r="BD240">
        <v>999.90000000000032</v>
      </c>
      <c r="BE240">
        <v>0</v>
      </c>
      <c r="BF240">
        <v>0</v>
      </c>
      <c r="BG240">
        <v>5001.7580645161288</v>
      </c>
      <c r="BH240">
        <v>0.44757493548387101</v>
      </c>
      <c r="BI240">
        <v>187.5842258064516</v>
      </c>
      <c r="BJ240">
        <v>-1.643862580645161</v>
      </c>
      <c r="BK240">
        <v>4.1172812903225804</v>
      </c>
      <c r="BL240">
        <v>5.7452948387096772</v>
      </c>
      <c r="BM240">
        <v>3.9446225806451611</v>
      </c>
      <c r="BN240">
        <v>5.7439032258064513</v>
      </c>
      <c r="BO240">
        <v>0.2422103870967742</v>
      </c>
      <c r="BP240">
        <v>0.4187065806451612</v>
      </c>
      <c r="BQ240">
        <v>2.4222406451612902E-2</v>
      </c>
      <c r="BR240">
        <v>-5.1504583870967746</v>
      </c>
      <c r="BS240">
        <v>-37.567300000000003</v>
      </c>
      <c r="BT240">
        <v>1775545440.5</v>
      </c>
      <c r="BU240" t="s">
        <v>991</v>
      </c>
      <c r="BV240">
        <v>1775545426</v>
      </c>
      <c r="BW240">
        <v>1775545440.5</v>
      </c>
      <c r="BX240">
        <v>225</v>
      </c>
      <c r="BY240">
        <v>1.0999999999999999E-2</v>
      </c>
      <c r="BZ240">
        <v>-3.0000000000000001E-3</v>
      </c>
      <c r="CA240">
        <v>7.3220000000000001</v>
      </c>
      <c r="CB240">
        <v>-1.44</v>
      </c>
      <c r="CC240">
        <v>7</v>
      </c>
      <c r="CD240">
        <v>0</v>
      </c>
      <c r="CE240">
        <v>0.23</v>
      </c>
      <c r="CF240">
        <v>0.02</v>
      </c>
      <c r="CG240">
        <v>5.7139516666666674</v>
      </c>
      <c r="CH240">
        <v>0.25647424284524889</v>
      </c>
      <c r="CI240">
        <v>4.0701822038113018E-2</v>
      </c>
      <c r="CJ240">
        <v>-1</v>
      </c>
      <c r="CK240">
        <v>500.88011666666659</v>
      </c>
      <c r="CL240">
        <v>-4.2752842456226956</v>
      </c>
      <c r="CM240">
        <v>1.7193444399117801</v>
      </c>
      <c r="CN240">
        <v>-1</v>
      </c>
      <c r="CO240">
        <v>0</v>
      </c>
      <c r="CP240">
        <v>0</v>
      </c>
      <c r="CQ240" t="s">
        <v>319</v>
      </c>
      <c r="CR240">
        <v>3.1678199999999999</v>
      </c>
      <c r="CS240">
        <v>2.66093</v>
      </c>
      <c r="CT240">
        <v>-9.3649300000000005E-4</v>
      </c>
      <c r="CU240">
        <v>1.7265399999999999E-3</v>
      </c>
      <c r="CV240">
        <v>3.6963200000000002E-2</v>
      </c>
      <c r="CW240">
        <v>2.0020799999999998E-3</v>
      </c>
      <c r="CX240">
        <v>21433.599999999999</v>
      </c>
      <c r="CY240">
        <v>21815.1</v>
      </c>
      <c r="CZ240">
        <v>22942.2</v>
      </c>
      <c r="DA240">
        <v>22212.7</v>
      </c>
      <c r="DB240">
        <v>28497.4</v>
      </c>
      <c r="DC240">
        <v>26414.1</v>
      </c>
      <c r="DD240">
        <v>40335.699999999997</v>
      </c>
      <c r="DE240">
        <v>36779.800000000003</v>
      </c>
      <c r="DF240">
        <v>2.0590600000000001</v>
      </c>
      <c r="DG240">
        <v>1.7061599999999999</v>
      </c>
      <c r="DH240">
        <v>8.9585799999999993E-2</v>
      </c>
      <c r="DI240">
        <v>0</v>
      </c>
      <c r="DJ240">
        <v>31.5016</v>
      </c>
      <c r="DK240">
        <v>999.9</v>
      </c>
      <c r="DL240">
        <v>61.5</v>
      </c>
      <c r="DM240">
        <v>37.700000000000003</v>
      </c>
      <c r="DN240">
        <v>40.277900000000002</v>
      </c>
      <c r="DO240">
        <v>30.839400000000001</v>
      </c>
      <c r="DP240">
        <v>11.0497</v>
      </c>
      <c r="DQ240">
        <v>1</v>
      </c>
      <c r="DR240">
        <v>0.46440900000000002</v>
      </c>
      <c r="DS240">
        <v>-2.23922</v>
      </c>
      <c r="DT240">
        <v>20.349599999999999</v>
      </c>
      <c r="DU240">
        <v>5.2107000000000001</v>
      </c>
      <c r="DV240">
        <v>11.854200000000001</v>
      </c>
      <c r="DW240">
        <v>4.9676400000000003</v>
      </c>
      <c r="DX240">
        <v>3.2930000000000001</v>
      </c>
      <c r="DY240">
        <v>894.7</v>
      </c>
      <c r="DZ240">
        <v>6</v>
      </c>
      <c r="EA240">
        <v>9999</v>
      </c>
      <c r="EB240">
        <v>119.5</v>
      </c>
      <c r="EC240">
        <v>4.9715699999999998</v>
      </c>
      <c r="ED240">
        <v>1.87195</v>
      </c>
      <c r="EE240">
        <v>1.8692</v>
      </c>
      <c r="EF240">
        <v>1.8715999999999999</v>
      </c>
      <c r="EG240">
        <v>1.8693299999999999</v>
      </c>
      <c r="EH240">
        <v>1.8682000000000001</v>
      </c>
      <c r="EI240">
        <v>1.8700699999999999</v>
      </c>
      <c r="EJ240">
        <v>1.8718300000000001</v>
      </c>
      <c r="EK240">
        <v>0</v>
      </c>
      <c r="EL240">
        <v>0</v>
      </c>
      <c r="EM240">
        <v>0</v>
      </c>
      <c r="EN240">
        <v>0</v>
      </c>
      <c r="EO240" t="s">
        <v>320</v>
      </c>
      <c r="EP240" t="s">
        <v>321</v>
      </c>
      <c r="EQ240" t="s">
        <v>322</v>
      </c>
      <c r="ER240" t="s">
        <v>322</v>
      </c>
      <c r="ES240" t="s">
        <v>322</v>
      </c>
      <c r="ET240" t="s">
        <v>322</v>
      </c>
      <c r="EU240">
        <v>0</v>
      </c>
      <c r="EV240">
        <v>100</v>
      </c>
      <c r="EW240">
        <v>100</v>
      </c>
      <c r="EX240">
        <v>7.3220000000000001</v>
      </c>
      <c r="EY240">
        <v>-1.44</v>
      </c>
      <c r="EZ240">
        <v>7.3110266666666668</v>
      </c>
      <c r="FA240">
        <v>0</v>
      </c>
      <c r="FB240">
        <v>0</v>
      </c>
      <c r="FC240">
        <v>0</v>
      </c>
      <c r="FD240">
        <v>-1.4362662500000001</v>
      </c>
      <c r="FE240">
        <v>0</v>
      </c>
      <c r="FF240">
        <v>0</v>
      </c>
      <c r="FG240">
        <v>0</v>
      </c>
      <c r="FH240">
        <v>-1</v>
      </c>
      <c r="FI240">
        <v>-1</v>
      </c>
      <c r="FJ240">
        <v>-1</v>
      </c>
      <c r="FK240">
        <v>-1</v>
      </c>
      <c r="FL240">
        <v>0.7</v>
      </c>
      <c r="FM240">
        <v>0.4</v>
      </c>
      <c r="FN240">
        <v>0.14038100000000001</v>
      </c>
      <c r="FO240">
        <v>4.99756</v>
      </c>
      <c r="FP240">
        <v>1.5979000000000001</v>
      </c>
      <c r="FQ240">
        <v>2.1191399999999998</v>
      </c>
      <c r="FR240">
        <v>1.5478499999999999</v>
      </c>
      <c r="FS240">
        <v>2.4670399999999999</v>
      </c>
      <c r="FT240">
        <v>39.968899999999998</v>
      </c>
      <c r="FU240">
        <v>14.4472</v>
      </c>
      <c r="FV240">
        <v>2</v>
      </c>
      <c r="FW240">
        <v>505.995</v>
      </c>
      <c r="FX240">
        <v>372.93200000000002</v>
      </c>
      <c r="FY240">
        <v>35.4405</v>
      </c>
      <c r="FZ240">
        <v>33.0565</v>
      </c>
      <c r="GA240">
        <v>29.999600000000001</v>
      </c>
      <c r="GB240">
        <v>33.406599999999997</v>
      </c>
      <c r="GC240">
        <v>33.444400000000002</v>
      </c>
      <c r="GD240">
        <v>-1</v>
      </c>
      <c r="GE240">
        <v>0</v>
      </c>
      <c r="GF240">
        <v>100</v>
      </c>
      <c r="GG240">
        <v>35.452300000000001</v>
      </c>
      <c r="GH240">
        <v>432.1</v>
      </c>
      <c r="GI240">
        <v>44.267099999999999</v>
      </c>
      <c r="GJ240">
        <v>101.517</v>
      </c>
      <c r="GK240">
        <v>96.004000000000005</v>
      </c>
    </row>
    <row r="241" spans="1:193" x14ac:dyDescent="0.35">
      <c r="A241">
        <v>225</v>
      </c>
      <c r="B241">
        <v>1775545468</v>
      </c>
      <c r="C241">
        <v>13441.900000095369</v>
      </c>
      <c r="D241" t="s">
        <v>992</v>
      </c>
      <c r="E241" t="s">
        <v>993</v>
      </c>
      <c r="F241">
        <v>60</v>
      </c>
      <c r="G241">
        <v>1775545460.25</v>
      </c>
      <c r="H241">
        <f t="shared" si="90"/>
        <v>6.3982265410941217E-3</v>
      </c>
      <c r="I241">
        <f t="shared" si="91"/>
        <v>6.3982265410941217</v>
      </c>
      <c r="J241">
        <f t="shared" si="92"/>
        <v>2.6542770463107801</v>
      </c>
      <c r="K241">
        <f t="shared" si="93"/>
        <v>4.9997016666666667</v>
      </c>
      <c r="L241">
        <f t="shared" si="94"/>
        <v>-25.628124684601655</v>
      </c>
      <c r="M241">
        <f t="shared" si="95"/>
        <v>-2.5640155599292771</v>
      </c>
      <c r="N241">
        <f t="shared" si="96"/>
        <v>0.50020487359498456</v>
      </c>
      <c r="O241">
        <f t="shared" si="97"/>
        <v>0.13894271282936593</v>
      </c>
      <c r="P241">
        <f t="shared" si="98"/>
        <v>2.3903819901343604</v>
      </c>
      <c r="Q241">
        <f t="shared" si="99"/>
        <v>0.13460692233884397</v>
      </c>
      <c r="R241">
        <f t="shared" si="100"/>
        <v>8.4507609348401014E-2</v>
      </c>
      <c r="S241">
        <f t="shared" si="101"/>
        <v>8.8450966239999984E-2</v>
      </c>
      <c r="T241">
        <f t="shared" si="102"/>
        <v>31.188922964071942</v>
      </c>
      <c r="U241">
        <f t="shared" si="103"/>
        <v>32.932406666666672</v>
      </c>
      <c r="V241">
        <f t="shared" si="104"/>
        <v>5.0329510431822424</v>
      </c>
      <c r="W241">
        <f t="shared" si="105"/>
        <v>7.967113735073907</v>
      </c>
      <c r="X241">
        <f t="shared" si="106"/>
        <v>0.40673394835174476</v>
      </c>
      <c r="Y241">
        <f t="shared" si="107"/>
        <v>5.1051605622393152</v>
      </c>
      <c r="Z241">
        <f t="shared" si="108"/>
        <v>4.6262170948304977</v>
      </c>
      <c r="AA241">
        <f t="shared" si="109"/>
        <v>-282.16179046225079</v>
      </c>
      <c r="AB241">
        <f t="shared" si="110"/>
        <v>32.686656259851368</v>
      </c>
      <c r="AC241">
        <f t="shared" si="111"/>
        <v>3.1335086647985615</v>
      </c>
      <c r="AD241">
        <f t="shared" si="112"/>
        <v>-246.25317457136089</v>
      </c>
      <c r="AE241">
        <v>6</v>
      </c>
      <c r="AF241">
        <v>1</v>
      </c>
      <c r="AG241">
        <f t="shared" si="113"/>
        <v>1</v>
      </c>
      <c r="AH241">
        <f t="shared" si="114"/>
        <v>0</v>
      </c>
      <c r="AI241">
        <f t="shared" si="115"/>
        <v>25042.075740715954</v>
      </c>
      <c r="AJ241">
        <f t="shared" si="116"/>
        <v>0.46285173333333329</v>
      </c>
      <c r="AK241">
        <f t="shared" si="117"/>
        <v>0.37028138666666666</v>
      </c>
      <c r="AL241">
        <f t="shared" si="118"/>
        <v>0.8</v>
      </c>
      <c r="AM241">
        <f t="shared" si="119"/>
        <v>0.19109999999999999</v>
      </c>
      <c r="AN241">
        <v>3</v>
      </c>
      <c r="AO241">
        <v>0.5</v>
      </c>
      <c r="AP241" t="s">
        <v>317</v>
      </c>
      <c r="AQ241">
        <v>2</v>
      </c>
      <c r="AR241">
        <v>1775545460.25</v>
      </c>
      <c r="AS241">
        <v>4.9997016666666667</v>
      </c>
      <c r="AT241">
        <v>6.6114446666666664</v>
      </c>
      <c r="AU241">
        <v>4.0654310000000011</v>
      </c>
      <c r="AV241">
        <v>0.24214176666666659</v>
      </c>
      <c r="AW241">
        <v>-2.328298333333334</v>
      </c>
      <c r="AX241">
        <v>5.5014310000000011</v>
      </c>
      <c r="AY241">
        <v>500.0052</v>
      </c>
      <c r="AZ241">
        <v>100.0057666666667</v>
      </c>
      <c r="BA241">
        <v>4.1177520000000002E-2</v>
      </c>
      <c r="BB241">
        <v>33.186046666666662</v>
      </c>
      <c r="BC241">
        <v>32.932406666666672</v>
      </c>
      <c r="BD241">
        <v>999.9000000000002</v>
      </c>
      <c r="BE241">
        <v>0</v>
      </c>
      <c r="BF241">
        <v>0</v>
      </c>
      <c r="BG241">
        <v>5005.7666666666664</v>
      </c>
      <c r="BH241">
        <v>0.46285173333333329</v>
      </c>
      <c r="BI241">
        <v>183.57499999999999</v>
      </c>
      <c r="BJ241">
        <v>-1.617247666666666</v>
      </c>
      <c r="BK241">
        <v>5.0145640000000009</v>
      </c>
      <c r="BL241">
        <v>6.6130459999999989</v>
      </c>
      <c r="BM241">
        <v>3.8195826666666668</v>
      </c>
      <c r="BN241">
        <v>6.6114446666666664</v>
      </c>
      <c r="BO241">
        <v>0.24214176666666659</v>
      </c>
      <c r="BP241">
        <v>0.40619593333333331</v>
      </c>
      <c r="BQ241">
        <v>2.4215556666666669E-2</v>
      </c>
      <c r="BR241">
        <v>-5.5497646666666656</v>
      </c>
      <c r="BS241">
        <v>-37.566889999999987</v>
      </c>
      <c r="BT241">
        <v>1775545507</v>
      </c>
      <c r="BU241" t="s">
        <v>994</v>
      </c>
      <c r="BV241">
        <v>1775545487</v>
      </c>
      <c r="BW241">
        <v>1775545507</v>
      </c>
      <c r="BX241">
        <v>226</v>
      </c>
      <c r="BY241">
        <v>5.0000000000000001E-3</v>
      </c>
      <c r="BZ241">
        <v>4.0000000000000001E-3</v>
      </c>
      <c r="CA241">
        <v>7.3280000000000003</v>
      </c>
      <c r="CB241">
        <v>-1.4359999999999999</v>
      </c>
      <c r="CC241">
        <v>7</v>
      </c>
      <c r="CD241">
        <v>0</v>
      </c>
      <c r="CE241">
        <v>0.16</v>
      </c>
      <c r="CF241">
        <v>0.02</v>
      </c>
      <c r="CG241">
        <v>6.5218730000000011</v>
      </c>
      <c r="CH241">
        <v>0.79481458182828801</v>
      </c>
      <c r="CI241">
        <v>0.1318490039439055</v>
      </c>
      <c r="CJ241">
        <v>-1</v>
      </c>
      <c r="CK241">
        <v>500.83738333333332</v>
      </c>
      <c r="CL241">
        <v>-4.3502050569603332</v>
      </c>
      <c r="CM241">
        <v>1.6420752834108701</v>
      </c>
      <c r="CN241">
        <v>-1</v>
      </c>
      <c r="CO241">
        <v>0</v>
      </c>
      <c r="CP241">
        <v>0</v>
      </c>
      <c r="CQ241" t="s">
        <v>319</v>
      </c>
      <c r="CR241">
        <v>3.1678700000000002</v>
      </c>
      <c r="CS241">
        <v>2.6617700000000002</v>
      </c>
      <c r="CT241">
        <v>-6.6476000000000003E-4</v>
      </c>
      <c r="CU241">
        <v>1.9924500000000002E-3</v>
      </c>
      <c r="CV241">
        <v>3.62911E-2</v>
      </c>
      <c r="CW241">
        <v>1.9014800000000001E-3</v>
      </c>
      <c r="CX241">
        <v>21431.3</v>
      </c>
      <c r="CY241">
        <v>21811.4</v>
      </c>
      <c r="CZ241">
        <v>22945.599999999999</v>
      </c>
      <c r="DA241">
        <v>22214.6</v>
      </c>
      <c r="DB241">
        <v>28521.4</v>
      </c>
      <c r="DC241">
        <v>26419.5</v>
      </c>
      <c r="DD241">
        <v>40341.199999999997</v>
      </c>
      <c r="DE241">
        <v>36783.5</v>
      </c>
      <c r="DF241">
        <v>2.0604399999999998</v>
      </c>
      <c r="DG241">
        <v>1.7074400000000001</v>
      </c>
      <c r="DH241">
        <v>8.8971900000000007E-2</v>
      </c>
      <c r="DI241">
        <v>0</v>
      </c>
      <c r="DJ241">
        <v>31.485399999999998</v>
      </c>
      <c r="DK241">
        <v>999.9</v>
      </c>
      <c r="DL241">
        <v>61.7</v>
      </c>
      <c r="DM241">
        <v>37.6</v>
      </c>
      <c r="DN241">
        <v>40.190199999999997</v>
      </c>
      <c r="DO241">
        <v>30.449400000000001</v>
      </c>
      <c r="DP241">
        <v>10.9375</v>
      </c>
      <c r="DQ241">
        <v>1</v>
      </c>
      <c r="DR241">
        <v>0.45764199999999999</v>
      </c>
      <c r="DS241">
        <v>-2.2377799999999999</v>
      </c>
      <c r="DT241">
        <v>20.349399999999999</v>
      </c>
      <c r="DU241">
        <v>5.20974</v>
      </c>
      <c r="DV241">
        <v>11.854200000000001</v>
      </c>
      <c r="DW241">
        <v>4.9675599999999998</v>
      </c>
      <c r="DX241">
        <v>3.2929200000000001</v>
      </c>
      <c r="DY241">
        <v>894.7</v>
      </c>
      <c r="DZ241">
        <v>6</v>
      </c>
      <c r="EA241">
        <v>9999</v>
      </c>
      <c r="EB241">
        <v>119.5</v>
      </c>
      <c r="EC241">
        <v>4.9715499999999997</v>
      </c>
      <c r="ED241">
        <v>1.87195</v>
      </c>
      <c r="EE241">
        <v>1.8692</v>
      </c>
      <c r="EF241">
        <v>1.87157</v>
      </c>
      <c r="EG241">
        <v>1.86934</v>
      </c>
      <c r="EH241">
        <v>1.8682399999999999</v>
      </c>
      <c r="EI241">
        <v>1.87008</v>
      </c>
      <c r="EJ241">
        <v>1.8717999999999999</v>
      </c>
      <c r="EK241">
        <v>0</v>
      </c>
      <c r="EL241">
        <v>0</v>
      </c>
      <c r="EM241">
        <v>0</v>
      </c>
      <c r="EN241">
        <v>0</v>
      </c>
      <c r="EO241" t="s">
        <v>320</v>
      </c>
      <c r="EP241" t="s">
        <v>321</v>
      </c>
      <c r="EQ241" t="s">
        <v>322</v>
      </c>
      <c r="ER241" t="s">
        <v>322</v>
      </c>
      <c r="ES241" t="s">
        <v>322</v>
      </c>
      <c r="ET241" t="s">
        <v>322</v>
      </c>
      <c r="EU241">
        <v>0</v>
      </c>
      <c r="EV241">
        <v>100</v>
      </c>
      <c r="EW241">
        <v>100</v>
      </c>
      <c r="EX241">
        <v>7.3280000000000003</v>
      </c>
      <c r="EY241">
        <v>-1.4359999999999999</v>
      </c>
      <c r="EZ241">
        <v>7.3224956499999996</v>
      </c>
      <c r="FA241">
        <v>0</v>
      </c>
      <c r="FB241">
        <v>0</v>
      </c>
      <c r="FC241">
        <v>0</v>
      </c>
      <c r="FD241">
        <v>-1.4397064285714281</v>
      </c>
      <c r="FE241">
        <v>0</v>
      </c>
      <c r="FF241">
        <v>0</v>
      </c>
      <c r="FG241">
        <v>0</v>
      </c>
      <c r="FH241">
        <v>-1</v>
      </c>
      <c r="FI241">
        <v>-1</v>
      </c>
      <c r="FJ241">
        <v>-1</v>
      </c>
      <c r="FK241">
        <v>-1</v>
      </c>
      <c r="FL241">
        <v>0.7</v>
      </c>
      <c r="FM241">
        <v>0.5</v>
      </c>
      <c r="FN241">
        <v>0.14038100000000001</v>
      </c>
      <c r="FO241">
        <v>4.99756</v>
      </c>
      <c r="FP241">
        <v>1.5979000000000001</v>
      </c>
      <c r="FQ241">
        <v>2.1191399999999998</v>
      </c>
      <c r="FR241">
        <v>1.5478499999999999</v>
      </c>
      <c r="FS241">
        <v>2.4023400000000001</v>
      </c>
      <c r="FT241">
        <v>39.868000000000002</v>
      </c>
      <c r="FU241">
        <v>14.438499999999999</v>
      </c>
      <c r="FV241">
        <v>2</v>
      </c>
      <c r="FW241">
        <v>506.20699999999999</v>
      </c>
      <c r="FX241">
        <v>373.18299999999999</v>
      </c>
      <c r="FY241">
        <v>35.463000000000001</v>
      </c>
      <c r="FZ241">
        <v>32.973500000000001</v>
      </c>
      <c r="GA241">
        <v>29.999600000000001</v>
      </c>
      <c r="GB241">
        <v>33.323799999999999</v>
      </c>
      <c r="GC241">
        <v>33.364400000000003</v>
      </c>
      <c r="GD241">
        <v>-1</v>
      </c>
      <c r="GE241">
        <v>0</v>
      </c>
      <c r="GF241">
        <v>100</v>
      </c>
      <c r="GG241">
        <v>35.468299999999999</v>
      </c>
      <c r="GH241">
        <v>432.1</v>
      </c>
      <c r="GI241">
        <v>44.267099999999999</v>
      </c>
      <c r="GJ241">
        <v>101.53100000000001</v>
      </c>
      <c r="GK241">
        <v>96.013199999999998</v>
      </c>
    </row>
    <row r="242" spans="1:193" x14ac:dyDescent="0.35">
      <c r="A242">
        <v>226</v>
      </c>
      <c r="B242">
        <v>1775545528</v>
      </c>
      <c r="C242">
        <v>13501.900000095369</v>
      </c>
      <c r="D242" t="s">
        <v>995</v>
      </c>
      <c r="E242" t="s">
        <v>996</v>
      </c>
      <c r="F242">
        <v>60</v>
      </c>
      <c r="G242">
        <v>1775545520</v>
      </c>
      <c r="H242">
        <f t="shared" si="90"/>
        <v>6.1549774425042692E-3</v>
      </c>
      <c r="I242">
        <f t="shared" si="91"/>
        <v>6.1549774425042694</v>
      </c>
      <c r="J242">
        <f t="shared" si="92"/>
        <v>2.4292764603511872</v>
      </c>
      <c r="K242">
        <f t="shared" si="93"/>
        <v>5.4686835483870979</v>
      </c>
      <c r="L242">
        <f t="shared" si="94"/>
        <v>-23.849216034073891</v>
      </c>
      <c r="M242">
        <f t="shared" si="95"/>
        <v>-2.3861416842169816</v>
      </c>
      <c r="N242">
        <f t="shared" si="96"/>
        <v>0.54714812235146948</v>
      </c>
      <c r="O242">
        <f t="shared" si="97"/>
        <v>0.13290878782606205</v>
      </c>
      <c r="P242">
        <f t="shared" si="98"/>
        <v>2.3887788773042558</v>
      </c>
      <c r="Q242">
        <f t="shared" si="99"/>
        <v>0.12893302805697879</v>
      </c>
      <c r="R242">
        <f t="shared" si="100"/>
        <v>8.0930442246119075E-2</v>
      </c>
      <c r="S242">
        <f t="shared" si="101"/>
        <v>9.1652034667741925E-2</v>
      </c>
      <c r="T242">
        <f t="shared" si="102"/>
        <v>31.298198087537383</v>
      </c>
      <c r="U242">
        <f t="shared" si="103"/>
        <v>32.96929999999999</v>
      </c>
      <c r="V242">
        <f t="shared" si="104"/>
        <v>5.0433987613191444</v>
      </c>
      <c r="W242">
        <f t="shared" si="105"/>
        <v>7.7621261258216112</v>
      </c>
      <c r="X242">
        <f t="shared" si="106"/>
        <v>0.39703501174979516</v>
      </c>
      <c r="Y242">
        <f t="shared" si="107"/>
        <v>5.1150291210679022</v>
      </c>
      <c r="Z242">
        <f t="shared" si="108"/>
        <v>4.6463637495693497</v>
      </c>
      <c r="AA242">
        <f t="shared" si="109"/>
        <v>-271.43450521443827</v>
      </c>
      <c r="AB242">
        <f t="shared" si="110"/>
        <v>32.34634800686851</v>
      </c>
      <c r="AC242">
        <f t="shared" si="111"/>
        <v>3.1040506399499028</v>
      </c>
      <c r="AD242">
        <f t="shared" si="112"/>
        <v>-235.89245453295214</v>
      </c>
      <c r="AE242">
        <v>7</v>
      </c>
      <c r="AF242">
        <v>1</v>
      </c>
      <c r="AG242">
        <f t="shared" si="113"/>
        <v>1</v>
      </c>
      <c r="AH242">
        <f t="shared" si="114"/>
        <v>0</v>
      </c>
      <c r="AI242">
        <f t="shared" si="115"/>
        <v>25015.17749781442</v>
      </c>
      <c r="AJ242">
        <f t="shared" si="116"/>
        <v>0.47960248387096771</v>
      </c>
      <c r="AK242">
        <f t="shared" si="117"/>
        <v>0.3836819870967742</v>
      </c>
      <c r="AL242">
        <f t="shared" si="118"/>
        <v>0.8</v>
      </c>
      <c r="AM242">
        <f t="shared" si="119"/>
        <v>0.19109999999999999</v>
      </c>
      <c r="AN242">
        <v>3</v>
      </c>
      <c r="AO242">
        <v>0.5</v>
      </c>
      <c r="AP242" t="s">
        <v>317</v>
      </c>
      <c r="AQ242">
        <v>2</v>
      </c>
      <c r="AR242">
        <v>1775545520</v>
      </c>
      <c r="AS242">
        <v>5.4686835483870979</v>
      </c>
      <c r="AT242">
        <v>6.9445351612903234</v>
      </c>
      <c r="AU242">
        <v>3.968319999999999</v>
      </c>
      <c r="AV242">
        <v>0.29474280645161283</v>
      </c>
      <c r="AW242">
        <v>-1.8703164516129029</v>
      </c>
      <c r="AX242">
        <v>5.4063199999999982</v>
      </c>
      <c r="AY242">
        <v>500.64709677419359</v>
      </c>
      <c r="AZ242">
        <v>100.0107096774194</v>
      </c>
      <c r="BA242">
        <v>4.0448432258064507E-2</v>
      </c>
      <c r="BB242">
        <v>33.220467741935487</v>
      </c>
      <c r="BC242">
        <v>32.96929999999999</v>
      </c>
      <c r="BD242">
        <v>999.90000000000032</v>
      </c>
      <c r="BE242">
        <v>0</v>
      </c>
      <c r="BF242">
        <v>0</v>
      </c>
      <c r="BG242">
        <v>5001.3870967741932</v>
      </c>
      <c r="BH242">
        <v>0.47960248387096771</v>
      </c>
      <c r="BI242">
        <v>179.92864516129029</v>
      </c>
      <c r="BJ242">
        <v>-1.487161290322581</v>
      </c>
      <c r="BK242">
        <v>5.4791183870967739</v>
      </c>
      <c r="BL242">
        <v>6.9465822580645167</v>
      </c>
      <c r="BM242">
        <v>3.6755483870967738</v>
      </c>
      <c r="BN242">
        <v>6.9445351612903234</v>
      </c>
      <c r="BO242">
        <v>0.29474280645161283</v>
      </c>
      <c r="BP242">
        <v>0.39707193548387099</v>
      </c>
      <c r="BQ242">
        <v>2.947745161290323E-2</v>
      </c>
      <c r="BR242">
        <v>-5.8567370967741921</v>
      </c>
      <c r="BS242">
        <v>-35.621151612903233</v>
      </c>
      <c r="BT242">
        <v>1775545558</v>
      </c>
      <c r="BU242" t="s">
        <v>997</v>
      </c>
      <c r="BV242">
        <v>1775545546</v>
      </c>
      <c r="BW242">
        <v>1775545558</v>
      </c>
      <c r="BX242">
        <v>227</v>
      </c>
      <c r="BY242">
        <v>1.0999999999999999E-2</v>
      </c>
      <c r="BZ242">
        <v>-2E-3</v>
      </c>
      <c r="CA242">
        <v>7.3390000000000004</v>
      </c>
      <c r="CB242">
        <v>-1.4379999999999999</v>
      </c>
      <c r="CC242">
        <v>7</v>
      </c>
      <c r="CD242">
        <v>0</v>
      </c>
      <c r="CE242">
        <v>0.13</v>
      </c>
      <c r="CF242">
        <v>0.02</v>
      </c>
      <c r="CG242">
        <v>6.9765152459016404</v>
      </c>
      <c r="CH242">
        <v>-0.2557729243786242</v>
      </c>
      <c r="CI242">
        <v>4.7174381822652087E-2</v>
      </c>
      <c r="CJ242">
        <v>-1</v>
      </c>
      <c r="CK242">
        <v>500.83844262295082</v>
      </c>
      <c r="CL242">
        <v>-0.14037017451129771</v>
      </c>
      <c r="CM242">
        <v>1.651303146842956</v>
      </c>
      <c r="CN242">
        <v>-1</v>
      </c>
      <c r="CO242">
        <v>0</v>
      </c>
      <c r="CP242">
        <v>0</v>
      </c>
      <c r="CQ242" t="s">
        <v>319</v>
      </c>
      <c r="CR242">
        <v>3.16784</v>
      </c>
      <c r="CS242">
        <v>2.6605099999999999</v>
      </c>
      <c r="CT242">
        <v>-5.6052499999999998E-4</v>
      </c>
      <c r="CU242">
        <v>2.0688999999999998E-3</v>
      </c>
      <c r="CV242">
        <v>3.6041900000000002E-2</v>
      </c>
      <c r="CW242">
        <v>2.4470799999999999E-3</v>
      </c>
      <c r="CX242">
        <v>21430.9</v>
      </c>
      <c r="CY242">
        <v>21811.9</v>
      </c>
      <c r="CZ242">
        <v>22947.3</v>
      </c>
      <c r="DA242">
        <v>22216.7</v>
      </c>
      <c r="DB242">
        <v>28530.7</v>
      </c>
      <c r="DC242">
        <v>26407.599999999999</v>
      </c>
      <c r="DD242">
        <v>40343.699999999997</v>
      </c>
      <c r="DE242">
        <v>36787</v>
      </c>
      <c r="DF242">
        <v>2.0593400000000002</v>
      </c>
      <c r="DG242">
        <v>1.7096</v>
      </c>
      <c r="DH242">
        <v>9.0891100000000002E-2</v>
      </c>
      <c r="DI242">
        <v>0</v>
      </c>
      <c r="DJ242">
        <v>31.4969</v>
      </c>
      <c r="DK242">
        <v>999.9</v>
      </c>
      <c r="DL242">
        <v>61.9</v>
      </c>
      <c r="DM242">
        <v>37.5</v>
      </c>
      <c r="DN242">
        <v>40.0976</v>
      </c>
      <c r="DO242">
        <v>30.539400000000001</v>
      </c>
      <c r="DP242">
        <v>11.1859</v>
      </c>
      <c r="DQ242">
        <v>1</v>
      </c>
      <c r="DR242">
        <v>0.45151799999999997</v>
      </c>
      <c r="DS242">
        <v>-1.99536</v>
      </c>
      <c r="DT242">
        <v>20.353200000000001</v>
      </c>
      <c r="DU242">
        <v>5.2107000000000001</v>
      </c>
      <c r="DV242">
        <v>11.854200000000001</v>
      </c>
      <c r="DW242">
        <v>4.9677600000000002</v>
      </c>
      <c r="DX242">
        <v>3.2929599999999999</v>
      </c>
      <c r="DY242">
        <v>894.7</v>
      </c>
      <c r="DZ242">
        <v>6</v>
      </c>
      <c r="EA242">
        <v>9999</v>
      </c>
      <c r="EB242">
        <v>119.5</v>
      </c>
      <c r="EC242">
        <v>4.9715600000000002</v>
      </c>
      <c r="ED242">
        <v>1.87195</v>
      </c>
      <c r="EE242">
        <v>1.8692</v>
      </c>
      <c r="EF242">
        <v>1.8715999999999999</v>
      </c>
      <c r="EG242">
        <v>1.8693500000000001</v>
      </c>
      <c r="EH242">
        <v>1.8682799999999999</v>
      </c>
      <c r="EI242">
        <v>1.8701000000000001</v>
      </c>
      <c r="EJ242">
        <v>1.8718300000000001</v>
      </c>
      <c r="EK242">
        <v>0</v>
      </c>
      <c r="EL242">
        <v>0</v>
      </c>
      <c r="EM242">
        <v>0</v>
      </c>
      <c r="EN242">
        <v>0</v>
      </c>
      <c r="EO242" t="s">
        <v>320</v>
      </c>
      <c r="EP242" t="s">
        <v>321</v>
      </c>
      <c r="EQ242" t="s">
        <v>322</v>
      </c>
      <c r="ER242" t="s">
        <v>322</v>
      </c>
      <c r="ES242" t="s">
        <v>322</v>
      </c>
      <c r="ET242" t="s">
        <v>322</v>
      </c>
      <c r="EU242">
        <v>0</v>
      </c>
      <c r="EV242">
        <v>100</v>
      </c>
      <c r="EW242">
        <v>100</v>
      </c>
      <c r="EX242">
        <v>7.3390000000000004</v>
      </c>
      <c r="EY242">
        <v>-1.4379999999999999</v>
      </c>
      <c r="EZ242">
        <v>7.3276896499999991</v>
      </c>
      <c r="FA242">
        <v>0</v>
      </c>
      <c r="FB242">
        <v>0</v>
      </c>
      <c r="FC242">
        <v>0</v>
      </c>
      <c r="FD242">
        <v>-1.4360286499999999</v>
      </c>
      <c r="FE242">
        <v>0</v>
      </c>
      <c r="FF242">
        <v>0</v>
      </c>
      <c r="FG242">
        <v>0</v>
      </c>
      <c r="FH242">
        <v>-1</v>
      </c>
      <c r="FI242">
        <v>-1</v>
      </c>
      <c r="FJ242">
        <v>-1</v>
      </c>
      <c r="FK242">
        <v>-1</v>
      </c>
      <c r="FL242">
        <v>0.7</v>
      </c>
      <c r="FM242">
        <v>0.3</v>
      </c>
      <c r="FN242">
        <v>0.14038100000000001</v>
      </c>
      <c r="FO242">
        <v>4.99756</v>
      </c>
      <c r="FP242">
        <v>1.5979000000000001</v>
      </c>
      <c r="FQ242">
        <v>2.1191399999999998</v>
      </c>
      <c r="FR242">
        <v>1.5478499999999999</v>
      </c>
      <c r="FS242">
        <v>2.4560499999999998</v>
      </c>
      <c r="FT242">
        <v>39.742199999999997</v>
      </c>
      <c r="FU242">
        <v>14.4297</v>
      </c>
      <c r="FV242">
        <v>2</v>
      </c>
      <c r="FW242">
        <v>505.11700000000002</v>
      </c>
      <c r="FX242">
        <v>373.97699999999998</v>
      </c>
      <c r="FY242">
        <v>35.341500000000003</v>
      </c>
      <c r="FZ242">
        <v>32.905200000000001</v>
      </c>
      <c r="GA242">
        <v>29.999600000000001</v>
      </c>
      <c r="GB242">
        <v>33.265599999999999</v>
      </c>
      <c r="GC242">
        <v>33.295099999999998</v>
      </c>
      <c r="GD242">
        <v>-1</v>
      </c>
      <c r="GE242">
        <v>0</v>
      </c>
      <c r="GF242">
        <v>100</v>
      </c>
      <c r="GG242">
        <v>35.319200000000002</v>
      </c>
      <c r="GH242">
        <v>432.1</v>
      </c>
      <c r="GI242">
        <v>44.267099999999999</v>
      </c>
      <c r="GJ242">
        <v>101.538</v>
      </c>
      <c r="GK242">
        <v>96.022099999999995</v>
      </c>
    </row>
    <row r="243" spans="1:193" x14ac:dyDescent="0.35">
      <c r="A243">
        <v>227</v>
      </c>
      <c r="B243">
        <v>1775545588</v>
      </c>
      <c r="C243">
        <v>13561.900000095369</v>
      </c>
      <c r="D243" t="s">
        <v>998</v>
      </c>
      <c r="E243" t="s">
        <v>999</v>
      </c>
      <c r="F243">
        <v>60</v>
      </c>
      <c r="G243">
        <v>1775545580</v>
      </c>
      <c r="H243">
        <f t="shared" si="90"/>
        <v>6.0667302215488515E-3</v>
      </c>
      <c r="I243">
        <f t="shared" si="91"/>
        <v>6.0667302215488519</v>
      </c>
      <c r="J243">
        <f t="shared" si="92"/>
        <v>2.973858942208965</v>
      </c>
      <c r="K243">
        <f t="shared" si="93"/>
        <v>6.3928210000000014</v>
      </c>
      <c r="L243">
        <f t="shared" si="94"/>
        <v>-29.980092412609228</v>
      </c>
      <c r="M243">
        <f t="shared" si="95"/>
        <v>-2.9995754723703896</v>
      </c>
      <c r="N243">
        <f t="shared" si="96"/>
        <v>0.63961607612621252</v>
      </c>
      <c r="O243">
        <f t="shared" si="97"/>
        <v>0.13099245962140987</v>
      </c>
      <c r="P243">
        <f t="shared" si="98"/>
        <v>2.3888608608066089</v>
      </c>
      <c r="Q243">
        <f t="shared" si="99"/>
        <v>0.12712885562774393</v>
      </c>
      <c r="R243">
        <f t="shared" si="100"/>
        <v>7.9793171999289411E-2</v>
      </c>
      <c r="S243">
        <f t="shared" si="101"/>
        <v>8.5737970499999996E-2</v>
      </c>
      <c r="T243">
        <f t="shared" si="102"/>
        <v>31.306738371203672</v>
      </c>
      <c r="U243">
        <f t="shared" si="103"/>
        <v>32.943125806451611</v>
      </c>
      <c r="V243">
        <f t="shared" si="104"/>
        <v>5.0359846232116503</v>
      </c>
      <c r="W243">
        <f t="shared" si="105"/>
        <v>7.6497199716975315</v>
      </c>
      <c r="X243">
        <f t="shared" si="106"/>
        <v>0.390868188960868</v>
      </c>
      <c r="Y243">
        <f t="shared" si="107"/>
        <v>5.1095751270243079</v>
      </c>
      <c r="Z243">
        <f t="shared" si="108"/>
        <v>4.6451164342507827</v>
      </c>
      <c r="AA243">
        <f t="shared" si="109"/>
        <v>-267.54280277030438</v>
      </c>
      <c r="AB243">
        <f t="shared" si="110"/>
        <v>33.269332863966262</v>
      </c>
      <c r="AC243">
        <f t="shared" si="111"/>
        <v>3.1918065053477989</v>
      </c>
      <c r="AD243">
        <f t="shared" si="112"/>
        <v>-230.99592543049033</v>
      </c>
      <c r="AE243">
        <v>6</v>
      </c>
      <c r="AF243">
        <v>1</v>
      </c>
      <c r="AG243">
        <f t="shared" si="113"/>
        <v>1</v>
      </c>
      <c r="AH243">
        <f t="shared" si="114"/>
        <v>0</v>
      </c>
      <c r="AI243">
        <f t="shared" si="115"/>
        <v>25017.926382272854</v>
      </c>
      <c r="AJ243">
        <f t="shared" si="116"/>
        <v>0.44865500000000003</v>
      </c>
      <c r="AK243">
        <f t="shared" si="117"/>
        <v>0.35892400000000002</v>
      </c>
      <c r="AL243">
        <f t="shared" si="118"/>
        <v>0.8</v>
      </c>
      <c r="AM243">
        <f t="shared" si="119"/>
        <v>0.19109999999999999</v>
      </c>
      <c r="AN243">
        <v>3</v>
      </c>
      <c r="AO243">
        <v>0.5</v>
      </c>
      <c r="AP243" t="s">
        <v>317</v>
      </c>
      <c r="AQ243">
        <v>2</v>
      </c>
      <c r="AR243">
        <v>1775545580</v>
      </c>
      <c r="AS243">
        <v>6.3928210000000014</v>
      </c>
      <c r="AT243">
        <v>8.2004309677419354</v>
      </c>
      <c r="AU243">
        <v>3.906640967741934</v>
      </c>
      <c r="AV243">
        <v>0.28077403225806452</v>
      </c>
      <c r="AW243">
        <v>-0.91917899999999997</v>
      </c>
      <c r="AX243">
        <v>5.3386409677419344</v>
      </c>
      <c r="AY243">
        <v>499.99322580645162</v>
      </c>
      <c r="AZ243">
        <v>100.0113870967742</v>
      </c>
      <c r="BA243">
        <v>4.085527419354839E-2</v>
      </c>
      <c r="BB243">
        <v>33.201451612903227</v>
      </c>
      <c r="BC243">
        <v>32.943125806451611</v>
      </c>
      <c r="BD243">
        <v>999.90000000000032</v>
      </c>
      <c r="BE243">
        <v>0</v>
      </c>
      <c r="BF243">
        <v>0</v>
      </c>
      <c r="BG243">
        <v>5001.5645161290322</v>
      </c>
      <c r="BH243">
        <v>0.44865500000000003</v>
      </c>
      <c r="BI243">
        <v>175.68151612903219</v>
      </c>
      <c r="BJ243">
        <v>-1.780656129032258</v>
      </c>
      <c r="BK243">
        <v>6.4449129032258066</v>
      </c>
      <c r="BL243">
        <v>8.202733548387096</v>
      </c>
      <c r="BM243">
        <v>3.6197529032258071</v>
      </c>
      <c r="BN243">
        <v>8.2004309677419354</v>
      </c>
      <c r="BO243">
        <v>0.28077403225806452</v>
      </c>
      <c r="BP243">
        <v>0.39009677419354832</v>
      </c>
      <c r="BQ243">
        <v>2.8080577419354841E-2</v>
      </c>
      <c r="BR243">
        <v>-6.0800216129032263</v>
      </c>
      <c r="BS243">
        <v>-36.103661290322592</v>
      </c>
      <c r="BT243">
        <v>1775545628.5</v>
      </c>
      <c r="BU243" t="s">
        <v>1000</v>
      </c>
      <c r="BV243">
        <v>1775545606</v>
      </c>
      <c r="BW243">
        <v>1775545628.5</v>
      </c>
      <c r="BX243">
        <v>228</v>
      </c>
      <c r="BY243">
        <v>-2.7E-2</v>
      </c>
      <c r="BZ243">
        <v>7.0000000000000001E-3</v>
      </c>
      <c r="CA243">
        <v>7.3120000000000003</v>
      </c>
      <c r="CB243">
        <v>-1.4319999999999999</v>
      </c>
      <c r="CC243">
        <v>8</v>
      </c>
      <c r="CD243">
        <v>0</v>
      </c>
      <c r="CE243">
        <v>0.26</v>
      </c>
      <c r="CF243">
        <v>0.06</v>
      </c>
      <c r="CG243">
        <v>7.8570773770491797</v>
      </c>
      <c r="CH243">
        <v>2.6250633950290911</v>
      </c>
      <c r="CI243">
        <v>0.38846415319525968</v>
      </c>
      <c r="CJ243">
        <v>-1</v>
      </c>
      <c r="CK243">
        <v>500.83191803278692</v>
      </c>
      <c r="CL243">
        <v>-6.0043532522471246</v>
      </c>
      <c r="CM243">
        <v>1.612969751579638</v>
      </c>
      <c r="CN243">
        <v>-1</v>
      </c>
      <c r="CO243">
        <v>0</v>
      </c>
      <c r="CP243">
        <v>0</v>
      </c>
      <c r="CQ243" t="s">
        <v>319</v>
      </c>
      <c r="CR243">
        <v>3.1678000000000002</v>
      </c>
      <c r="CS243">
        <v>2.6621199999999998</v>
      </c>
      <c r="CT243">
        <v>-1.7818399999999999E-4</v>
      </c>
      <c r="CU243">
        <v>2.4772599999999998E-3</v>
      </c>
      <c r="CV243">
        <v>3.5363100000000001E-2</v>
      </c>
      <c r="CW243">
        <v>2.1916599999999998E-3</v>
      </c>
      <c r="CX243">
        <v>21425.8</v>
      </c>
      <c r="CY243">
        <v>21804.3</v>
      </c>
      <c r="CZ243">
        <v>22950.400000000001</v>
      </c>
      <c r="DA243">
        <v>22217.9</v>
      </c>
      <c r="DB243">
        <v>28554.5</v>
      </c>
      <c r="DC243">
        <v>26415.9</v>
      </c>
      <c r="DD243">
        <v>40348.9</v>
      </c>
      <c r="DE243">
        <v>36789</v>
      </c>
      <c r="DF243">
        <v>2.0613199999999998</v>
      </c>
      <c r="DG243">
        <v>1.7116199999999999</v>
      </c>
      <c r="DH243">
        <v>8.9675199999999997E-2</v>
      </c>
      <c r="DI243">
        <v>0</v>
      </c>
      <c r="DJ243">
        <v>31.490500000000001</v>
      </c>
      <c r="DK243">
        <v>999.9</v>
      </c>
      <c r="DL243">
        <v>62.1</v>
      </c>
      <c r="DM243">
        <v>37.299999999999997</v>
      </c>
      <c r="DN243">
        <v>39.793700000000001</v>
      </c>
      <c r="DO243">
        <v>30.7194</v>
      </c>
      <c r="DP243">
        <v>11.213900000000001</v>
      </c>
      <c r="DQ243">
        <v>1</v>
      </c>
      <c r="DR243">
        <v>0.4471</v>
      </c>
      <c r="DS243">
        <v>-2.0633300000000001</v>
      </c>
      <c r="DT243">
        <v>20.3523</v>
      </c>
      <c r="DU243">
        <v>5.2107000000000001</v>
      </c>
      <c r="DV243">
        <v>11.854200000000001</v>
      </c>
      <c r="DW243">
        <v>4.9677199999999999</v>
      </c>
      <c r="DX243">
        <v>3.2930000000000001</v>
      </c>
      <c r="DY243">
        <v>894.7</v>
      </c>
      <c r="DZ243">
        <v>6</v>
      </c>
      <c r="EA243">
        <v>9999</v>
      </c>
      <c r="EB243">
        <v>119.5</v>
      </c>
      <c r="EC243">
        <v>4.9715600000000002</v>
      </c>
      <c r="ED243">
        <v>1.87195</v>
      </c>
      <c r="EE243">
        <v>1.8691899999999999</v>
      </c>
      <c r="EF243">
        <v>1.87158</v>
      </c>
      <c r="EG243">
        <v>1.86931</v>
      </c>
      <c r="EH243">
        <v>1.86825</v>
      </c>
      <c r="EI243">
        <v>1.87002</v>
      </c>
      <c r="EJ243">
        <v>1.87182</v>
      </c>
      <c r="EK243">
        <v>0</v>
      </c>
      <c r="EL243">
        <v>0</v>
      </c>
      <c r="EM243">
        <v>0</v>
      </c>
      <c r="EN243">
        <v>0</v>
      </c>
      <c r="EO243" t="s">
        <v>320</v>
      </c>
      <c r="EP243" t="s">
        <v>321</v>
      </c>
      <c r="EQ243" t="s">
        <v>322</v>
      </c>
      <c r="ER243" t="s">
        <v>322</v>
      </c>
      <c r="ES243" t="s">
        <v>322</v>
      </c>
      <c r="ET243" t="s">
        <v>322</v>
      </c>
      <c r="EU243">
        <v>0</v>
      </c>
      <c r="EV243">
        <v>100</v>
      </c>
      <c r="EW243">
        <v>100</v>
      </c>
      <c r="EX243">
        <v>7.3120000000000003</v>
      </c>
      <c r="EY243">
        <v>-1.4319999999999999</v>
      </c>
      <c r="EZ243">
        <v>7.3389549550000002</v>
      </c>
      <c r="FA243">
        <v>0</v>
      </c>
      <c r="FB243">
        <v>0</v>
      </c>
      <c r="FC243">
        <v>0</v>
      </c>
      <c r="FD243">
        <v>-1.4381149</v>
      </c>
      <c r="FE243">
        <v>0</v>
      </c>
      <c r="FF243">
        <v>0</v>
      </c>
      <c r="FG243">
        <v>0</v>
      </c>
      <c r="FH243">
        <v>-1</v>
      </c>
      <c r="FI243">
        <v>-1</v>
      </c>
      <c r="FJ243">
        <v>-1</v>
      </c>
      <c r="FK243">
        <v>-1</v>
      </c>
      <c r="FL243">
        <v>0.7</v>
      </c>
      <c r="FM243">
        <v>0.5</v>
      </c>
      <c r="FN243">
        <v>0.14038100000000001</v>
      </c>
      <c r="FO243">
        <v>4.99756</v>
      </c>
      <c r="FP243">
        <v>1.5979000000000001</v>
      </c>
      <c r="FQ243">
        <v>2.1203599999999998</v>
      </c>
      <c r="FR243">
        <v>1.5478499999999999</v>
      </c>
      <c r="FS243">
        <v>2.4865699999999999</v>
      </c>
      <c r="FT243">
        <v>39.641800000000003</v>
      </c>
      <c r="FU243">
        <v>14.4297</v>
      </c>
      <c r="FV243">
        <v>2</v>
      </c>
      <c r="FW243">
        <v>505.69299999999998</v>
      </c>
      <c r="FX243">
        <v>374.71</v>
      </c>
      <c r="FY243">
        <v>35.383499999999998</v>
      </c>
      <c r="FZ243">
        <v>32.847299999999997</v>
      </c>
      <c r="GA243">
        <v>29.999600000000001</v>
      </c>
      <c r="GB243">
        <v>33.183900000000001</v>
      </c>
      <c r="GC243">
        <v>33.228900000000003</v>
      </c>
      <c r="GD243">
        <v>-1</v>
      </c>
      <c r="GE243">
        <v>0</v>
      </c>
      <c r="GF243">
        <v>100</v>
      </c>
      <c r="GG243">
        <v>35.373800000000003</v>
      </c>
      <c r="GH243">
        <v>432.1</v>
      </c>
      <c r="GI243">
        <v>44.267099999999999</v>
      </c>
      <c r="GJ243">
        <v>101.551</v>
      </c>
      <c r="GK243">
        <v>96.027299999999997</v>
      </c>
    </row>
    <row r="244" spans="1:193" x14ac:dyDescent="0.35">
      <c r="A244">
        <v>228</v>
      </c>
      <c r="B244">
        <v>1775545648</v>
      </c>
      <c r="C244">
        <v>13621.900000095369</v>
      </c>
      <c r="D244" t="s">
        <v>1001</v>
      </c>
      <c r="E244" t="s">
        <v>1002</v>
      </c>
      <c r="F244">
        <v>60</v>
      </c>
      <c r="G244">
        <v>1775545640.25</v>
      </c>
      <c r="H244">
        <f t="shared" si="90"/>
        <v>5.719495505180628E-3</v>
      </c>
      <c r="I244">
        <f t="shared" si="91"/>
        <v>5.7194955051806282</v>
      </c>
      <c r="J244">
        <f t="shared" si="92"/>
        <v>1.9442278213719602</v>
      </c>
      <c r="K244">
        <f t="shared" si="93"/>
        <v>6.065845266666666</v>
      </c>
      <c r="L244">
        <f t="shared" si="94"/>
        <v>-19.352257024069885</v>
      </c>
      <c r="M244">
        <f t="shared" si="95"/>
        <v>-1.936324235470215</v>
      </c>
      <c r="N244">
        <f t="shared" si="96"/>
        <v>0.60692885506069116</v>
      </c>
      <c r="O244">
        <f t="shared" si="97"/>
        <v>0.12292262843980688</v>
      </c>
      <c r="P244">
        <f t="shared" si="98"/>
        <v>2.3896302087559764</v>
      </c>
      <c r="Q244">
        <f t="shared" si="99"/>
        <v>0.11951479381125127</v>
      </c>
      <c r="R244">
        <f t="shared" si="100"/>
        <v>7.4995057199980245E-2</v>
      </c>
      <c r="S244">
        <f t="shared" si="101"/>
        <v>9.7027808149999992E-2</v>
      </c>
      <c r="T244">
        <f t="shared" si="102"/>
        <v>31.379539584764121</v>
      </c>
      <c r="U244">
        <f t="shared" si="103"/>
        <v>32.90036666666667</v>
      </c>
      <c r="V244">
        <f t="shared" si="104"/>
        <v>5.023893010657039</v>
      </c>
      <c r="W244">
        <f t="shared" si="105"/>
        <v>7.1484547386692254</v>
      </c>
      <c r="X244">
        <f t="shared" si="106"/>
        <v>0.36451389933819628</v>
      </c>
      <c r="Y244">
        <f t="shared" si="107"/>
        <v>5.0991985354034028</v>
      </c>
      <c r="Z244">
        <f t="shared" si="108"/>
        <v>4.6593791113188425</v>
      </c>
      <c r="AA244">
        <f t="shared" si="109"/>
        <v>-252.2297517784657</v>
      </c>
      <c r="AB244">
        <f t="shared" si="110"/>
        <v>34.121416514216435</v>
      </c>
      <c r="AC244">
        <f t="shared" si="111"/>
        <v>3.271233519086699</v>
      </c>
      <c r="AD244">
        <f t="shared" si="112"/>
        <v>-214.74007393701257</v>
      </c>
      <c r="AE244">
        <v>7</v>
      </c>
      <c r="AF244">
        <v>1</v>
      </c>
      <c r="AG244">
        <f t="shared" si="113"/>
        <v>1</v>
      </c>
      <c r="AH244">
        <f t="shared" si="114"/>
        <v>0</v>
      </c>
      <c r="AI244">
        <f t="shared" si="115"/>
        <v>25032.121943907579</v>
      </c>
      <c r="AJ244">
        <f t="shared" si="116"/>
        <v>0.50773316666666668</v>
      </c>
      <c r="AK244">
        <f t="shared" si="117"/>
        <v>0.40618653333333338</v>
      </c>
      <c r="AL244">
        <f t="shared" si="118"/>
        <v>0.8</v>
      </c>
      <c r="AM244">
        <f t="shared" si="119"/>
        <v>0.19109999999999999</v>
      </c>
      <c r="AN244">
        <v>3</v>
      </c>
      <c r="AO244">
        <v>0.5</v>
      </c>
      <c r="AP244" t="s">
        <v>317</v>
      </c>
      <c r="AQ244">
        <v>2</v>
      </c>
      <c r="AR244">
        <v>1775545640.25</v>
      </c>
      <c r="AS244">
        <v>6.065845266666666</v>
      </c>
      <c r="AT244">
        <v>7.2508876666666673</v>
      </c>
      <c r="AU244">
        <v>3.6430709999999999</v>
      </c>
      <c r="AV244">
        <v>0.23052893333333341</v>
      </c>
      <c r="AW244">
        <v>-1.2661547333333341</v>
      </c>
      <c r="AX244">
        <v>5.0460710000000004</v>
      </c>
      <c r="AY244">
        <v>500.97483333333338</v>
      </c>
      <c r="AZ244">
        <v>100.0173333333333</v>
      </c>
      <c r="BA244">
        <v>3.943178E-2</v>
      </c>
      <c r="BB244">
        <v>33.165223333333337</v>
      </c>
      <c r="BC244">
        <v>32.90036666666667</v>
      </c>
      <c r="BD244">
        <v>999.9000000000002</v>
      </c>
      <c r="BE244">
        <v>0</v>
      </c>
      <c r="BF244">
        <v>0</v>
      </c>
      <c r="BG244">
        <v>5003.25</v>
      </c>
      <c r="BH244">
        <v>0.50773316666666668</v>
      </c>
      <c r="BI244">
        <v>172.03313333333341</v>
      </c>
      <c r="BJ244">
        <v>-1.205204533333333</v>
      </c>
      <c r="BK244">
        <v>6.0675593333333344</v>
      </c>
      <c r="BL244">
        <v>7.2525606666666684</v>
      </c>
      <c r="BM244">
        <v>3.3840029999999999</v>
      </c>
      <c r="BN244">
        <v>7.2508876666666673</v>
      </c>
      <c r="BO244">
        <v>0.23052893333333341</v>
      </c>
      <c r="BP244">
        <v>0.36151616666666669</v>
      </c>
      <c r="BQ244">
        <v>2.305689666666667E-2</v>
      </c>
      <c r="BR244">
        <v>-7.1299056666666667</v>
      </c>
      <c r="BS244">
        <v>-38.054813333333328</v>
      </c>
      <c r="BT244">
        <v>1775545688.5</v>
      </c>
      <c r="BU244" t="s">
        <v>1003</v>
      </c>
      <c r="BV244">
        <v>1775545670</v>
      </c>
      <c r="BW244">
        <v>1775545688.5</v>
      </c>
      <c r="BX244">
        <v>229</v>
      </c>
      <c r="BY244">
        <v>0.02</v>
      </c>
      <c r="BZ244">
        <v>2.8000000000000001E-2</v>
      </c>
      <c r="CA244">
        <v>7.3319999999999999</v>
      </c>
      <c r="CB244">
        <v>-1.403</v>
      </c>
      <c r="CC244">
        <v>7</v>
      </c>
      <c r="CD244">
        <v>0</v>
      </c>
      <c r="CE244">
        <v>0.3</v>
      </c>
      <c r="CF244">
        <v>0.1</v>
      </c>
      <c r="CG244">
        <v>7.4047516393442629</v>
      </c>
      <c r="CH244">
        <v>-1.173351052353262</v>
      </c>
      <c r="CI244">
        <v>0.1750389241412483</v>
      </c>
      <c r="CJ244">
        <v>-1</v>
      </c>
      <c r="CK244">
        <v>500.89296721311467</v>
      </c>
      <c r="CL244">
        <v>0.30624431517685569</v>
      </c>
      <c r="CM244">
        <v>1.6212498413586141</v>
      </c>
      <c r="CN244">
        <v>-1</v>
      </c>
      <c r="CO244">
        <v>0</v>
      </c>
      <c r="CP244">
        <v>0</v>
      </c>
      <c r="CQ244" t="s">
        <v>319</v>
      </c>
      <c r="CR244">
        <v>3.1677</v>
      </c>
      <c r="CS244">
        <v>2.6595599999999999</v>
      </c>
      <c r="CT244">
        <v>-4.3041200000000003E-4</v>
      </c>
      <c r="CU244">
        <v>2.0978500000000001E-3</v>
      </c>
      <c r="CV244">
        <v>3.4334200000000002E-2</v>
      </c>
      <c r="CW244">
        <v>1.6157999999999999E-3</v>
      </c>
      <c r="CX244">
        <v>21436.2</v>
      </c>
      <c r="CY244">
        <v>21814.3</v>
      </c>
      <c r="CZ244">
        <v>22955.599999999999</v>
      </c>
      <c r="DA244">
        <v>22219.4</v>
      </c>
      <c r="DB244">
        <v>28591.8</v>
      </c>
      <c r="DC244">
        <v>26433.200000000001</v>
      </c>
      <c r="DD244">
        <v>40358.300000000003</v>
      </c>
      <c r="DE244">
        <v>36791.9</v>
      </c>
      <c r="DF244">
        <v>2.0597599999999998</v>
      </c>
      <c r="DG244">
        <v>1.7124600000000001</v>
      </c>
      <c r="DH244">
        <v>9.0253399999999998E-2</v>
      </c>
      <c r="DI244">
        <v>0</v>
      </c>
      <c r="DJ244">
        <v>31.436299999999999</v>
      </c>
      <c r="DK244">
        <v>999.9</v>
      </c>
      <c r="DL244">
        <v>62.3</v>
      </c>
      <c r="DM244">
        <v>37.200000000000003</v>
      </c>
      <c r="DN244">
        <v>39.707299999999996</v>
      </c>
      <c r="DO244">
        <v>30.539400000000001</v>
      </c>
      <c r="DP244">
        <v>11.149800000000001</v>
      </c>
      <c r="DQ244">
        <v>1</v>
      </c>
      <c r="DR244">
        <v>0.44308700000000001</v>
      </c>
      <c r="DS244">
        <v>-2.3328199999999999</v>
      </c>
      <c r="DT244">
        <v>20.348299999999998</v>
      </c>
      <c r="DU244">
        <v>5.2105800000000002</v>
      </c>
      <c r="DV244">
        <v>11.854200000000001</v>
      </c>
      <c r="DW244">
        <v>4.9676799999999997</v>
      </c>
      <c r="DX244">
        <v>3.29298</v>
      </c>
      <c r="DY244">
        <v>894.7</v>
      </c>
      <c r="DZ244">
        <v>6</v>
      </c>
      <c r="EA244">
        <v>9999</v>
      </c>
      <c r="EB244">
        <v>119.5</v>
      </c>
      <c r="EC244">
        <v>4.9715499999999997</v>
      </c>
      <c r="ED244">
        <v>1.87195</v>
      </c>
      <c r="EE244">
        <v>1.8692</v>
      </c>
      <c r="EF244">
        <v>1.87154</v>
      </c>
      <c r="EG244">
        <v>1.86934</v>
      </c>
      <c r="EH244">
        <v>1.86816</v>
      </c>
      <c r="EI244">
        <v>1.8700300000000001</v>
      </c>
      <c r="EJ244">
        <v>1.8718300000000001</v>
      </c>
      <c r="EK244">
        <v>0</v>
      </c>
      <c r="EL244">
        <v>0</v>
      </c>
      <c r="EM244">
        <v>0</v>
      </c>
      <c r="EN244">
        <v>0</v>
      </c>
      <c r="EO244" t="s">
        <v>320</v>
      </c>
      <c r="EP244" t="s">
        <v>321</v>
      </c>
      <c r="EQ244" t="s">
        <v>322</v>
      </c>
      <c r="ER244" t="s">
        <v>322</v>
      </c>
      <c r="ES244" t="s">
        <v>322</v>
      </c>
      <c r="ET244" t="s">
        <v>322</v>
      </c>
      <c r="EU244">
        <v>0</v>
      </c>
      <c r="EV244">
        <v>100</v>
      </c>
      <c r="EW244">
        <v>100</v>
      </c>
      <c r="EX244">
        <v>7.3319999999999999</v>
      </c>
      <c r="EY244">
        <v>-1.403</v>
      </c>
      <c r="EZ244">
        <v>7.3118382000000022</v>
      </c>
      <c r="FA244">
        <v>0</v>
      </c>
      <c r="FB244">
        <v>0</v>
      </c>
      <c r="FC244">
        <v>0</v>
      </c>
      <c r="FD244">
        <v>-1.431538428571429</v>
      </c>
      <c r="FE244">
        <v>0</v>
      </c>
      <c r="FF244">
        <v>0</v>
      </c>
      <c r="FG244">
        <v>0</v>
      </c>
      <c r="FH244">
        <v>-1</v>
      </c>
      <c r="FI244">
        <v>-1</v>
      </c>
      <c r="FJ244">
        <v>-1</v>
      </c>
      <c r="FK244">
        <v>-1</v>
      </c>
      <c r="FL244">
        <v>0.7</v>
      </c>
      <c r="FM244">
        <v>0.3</v>
      </c>
      <c r="FN244">
        <v>0.14038100000000001</v>
      </c>
      <c r="FO244">
        <v>4.99756</v>
      </c>
      <c r="FP244">
        <v>1.5979000000000001</v>
      </c>
      <c r="FQ244">
        <v>2.1215799999999998</v>
      </c>
      <c r="FR244">
        <v>1.5478499999999999</v>
      </c>
      <c r="FS244">
        <v>2.4597199999999999</v>
      </c>
      <c r="FT244">
        <v>39.541600000000003</v>
      </c>
      <c r="FU244">
        <v>14.420999999999999</v>
      </c>
      <c r="FV244">
        <v>2</v>
      </c>
      <c r="FW244">
        <v>504.399</v>
      </c>
      <c r="FX244">
        <v>374.79700000000003</v>
      </c>
      <c r="FY244">
        <v>35.5319</v>
      </c>
      <c r="FZ244">
        <v>32.791200000000003</v>
      </c>
      <c r="GA244">
        <v>29.999700000000001</v>
      </c>
      <c r="GB244">
        <v>33.134999999999998</v>
      </c>
      <c r="GC244">
        <v>33.1629</v>
      </c>
      <c r="GD244">
        <v>-1</v>
      </c>
      <c r="GE244">
        <v>0</v>
      </c>
      <c r="GF244">
        <v>100</v>
      </c>
      <c r="GG244">
        <v>35.553899999999999</v>
      </c>
      <c r="GH244">
        <v>432.1</v>
      </c>
      <c r="GI244">
        <v>44.267099999999999</v>
      </c>
      <c r="GJ244">
        <v>101.575</v>
      </c>
      <c r="GK244">
        <v>96.034599999999998</v>
      </c>
    </row>
    <row r="245" spans="1:193" x14ac:dyDescent="0.35">
      <c r="A245">
        <v>229</v>
      </c>
      <c r="B245">
        <v>1775545708</v>
      </c>
      <c r="C245">
        <v>13681.900000095369</v>
      </c>
      <c r="D245" t="s">
        <v>1004</v>
      </c>
      <c r="E245" t="s">
        <v>1005</v>
      </c>
      <c r="F245">
        <v>60</v>
      </c>
      <c r="G245">
        <v>1775545700.25</v>
      </c>
      <c r="H245">
        <f t="shared" si="90"/>
        <v>5.7682699007612593E-3</v>
      </c>
      <c r="I245">
        <f t="shared" si="91"/>
        <v>5.7682699007612594</v>
      </c>
      <c r="J245">
        <f t="shared" si="92"/>
        <v>2.0228701800608375</v>
      </c>
      <c r="K245">
        <f t="shared" si="93"/>
        <v>6.1069316333333328</v>
      </c>
      <c r="L245">
        <f t="shared" si="94"/>
        <v>-20.183848447711647</v>
      </c>
      <c r="M245">
        <f t="shared" si="95"/>
        <v>-2.0195828624108594</v>
      </c>
      <c r="N245">
        <f t="shared" si="96"/>
        <v>0.61105564186858863</v>
      </c>
      <c r="O245">
        <f t="shared" si="97"/>
        <v>0.12359980691866707</v>
      </c>
      <c r="P245">
        <f t="shared" si="98"/>
        <v>2.3891167533025004</v>
      </c>
      <c r="Q245">
        <f t="shared" si="99"/>
        <v>0.12015416987341886</v>
      </c>
      <c r="R245">
        <f t="shared" si="100"/>
        <v>7.539793213332828E-2</v>
      </c>
      <c r="S245">
        <f t="shared" si="101"/>
        <v>9.1737809799999986E-2</v>
      </c>
      <c r="T245">
        <f t="shared" si="102"/>
        <v>31.338836545298381</v>
      </c>
      <c r="U245">
        <f t="shared" si="103"/>
        <v>32.838193333333336</v>
      </c>
      <c r="V245">
        <f t="shared" si="104"/>
        <v>5.0063564419054112</v>
      </c>
      <c r="W245">
        <f t="shared" si="105"/>
        <v>6.4983124151281508</v>
      </c>
      <c r="X245">
        <f t="shared" si="106"/>
        <v>0.33089648797455407</v>
      </c>
      <c r="Y245">
        <f t="shared" si="107"/>
        <v>5.0920372373021499</v>
      </c>
      <c r="Z245">
        <f t="shared" si="108"/>
        <v>4.675459953930857</v>
      </c>
      <c r="AA245">
        <f t="shared" si="109"/>
        <v>-254.38070262357152</v>
      </c>
      <c r="AB245">
        <f t="shared" si="110"/>
        <v>38.896934825397828</v>
      </c>
      <c r="AC245">
        <f t="shared" si="111"/>
        <v>3.7282717821438061</v>
      </c>
      <c r="AD245">
        <f t="shared" si="112"/>
        <v>-211.66375820622989</v>
      </c>
      <c r="AE245">
        <v>8</v>
      </c>
      <c r="AF245">
        <v>2</v>
      </c>
      <c r="AG245">
        <f t="shared" si="113"/>
        <v>1</v>
      </c>
      <c r="AH245">
        <f t="shared" si="114"/>
        <v>0</v>
      </c>
      <c r="AI245">
        <f t="shared" si="115"/>
        <v>25026.572780299386</v>
      </c>
      <c r="AJ245">
        <f t="shared" si="116"/>
        <v>0.48005133333333327</v>
      </c>
      <c r="AK245">
        <f t="shared" si="117"/>
        <v>0.38404106666666665</v>
      </c>
      <c r="AL245">
        <f t="shared" si="118"/>
        <v>0.8</v>
      </c>
      <c r="AM245">
        <f t="shared" si="119"/>
        <v>0.19109999999999999</v>
      </c>
      <c r="AN245">
        <v>3</v>
      </c>
      <c r="AO245">
        <v>0.5</v>
      </c>
      <c r="AP245" t="s">
        <v>317</v>
      </c>
      <c r="AQ245">
        <v>2</v>
      </c>
      <c r="AR245">
        <v>1775545700.25</v>
      </c>
      <c r="AS245">
        <v>6.1069316333333328</v>
      </c>
      <c r="AT245">
        <v>7.3395299999999999</v>
      </c>
      <c r="AU245">
        <v>3.3070020000000011</v>
      </c>
      <c r="AV245">
        <v>-0.13620245</v>
      </c>
      <c r="AW245">
        <v>-1.2670683666666669</v>
      </c>
      <c r="AX245">
        <v>4.6690020000000008</v>
      </c>
      <c r="AY245">
        <v>500.91660000000002</v>
      </c>
      <c r="AZ245">
        <v>100.0158666666667</v>
      </c>
      <c r="BA245">
        <v>4.3488596666666657E-2</v>
      </c>
      <c r="BB245">
        <v>33.14018333333334</v>
      </c>
      <c r="BC245">
        <v>32.838193333333336</v>
      </c>
      <c r="BD245">
        <v>999.9000000000002</v>
      </c>
      <c r="BE245">
        <v>0</v>
      </c>
      <c r="BF245">
        <v>0</v>
      </c>
      <c r="BG245">
        <v>5002</v>
      </c>
      <c r="BH245">
        <v>0.48005133333333327</v>
      </c>
      <c r="BI245">
        <v>168.29926666666671</v>
      </c>
      <c r="BJ245">
        <v>-1.2745789333333331</v>
      </c>
      <c r="BK245">
        <v>6.0847829999999998</v>
      </c>
      <c r="BL245">
        <v>7.3385353333333336</v>
      </c>
      <c r="BM245">
        <v>3.4021353333333328</v>
      </c>
      <c r="BN245">
        <v>7.3395299999999999</v>
      </c>
      <c r="BO245">
        <v>-0.13620245</v>
      </c>
      <c r="BP245">
        <v>0.32664500000000002</v>
      </c>
      <c r="BQ245">
        <v>-1.362239666666667E-2</v>
      </c>
      <c r="BR245">
        <v>-8.4409549999999989</v>
      </c>
      <c r="BS245">
        <v>-99.900000000000034</v>
      </c>
      <c r="BT245">
        <v>1775545740</v>
      </c>
      <c r="BU245" t="s">
        <v>1006</v>
      </c>
      <c r="BV245">
        <v>1775545729.5</v>
      </c>
      <c r="BW245">
        <v>1775545740</v>
      </c>
      <c r="BX245">
        <v>230</v>
      </c>
      <c r="BY245">
        <v>4.2000000000000003E-2</v>
      </c>
      <c r="BZ245">
        <v>4.1000000000000002E-2</v>
      </c>
      <c r="CA245">
        <v>7.3739999999999997</v>
      </c>
      <c r="CB245">
        <v>-1.3620000000000001</v>
      </c>
      <c r="CC245">
        <v>8</v>
      </c>
      <c r="CD245">
        <v>0</v>
      </c>
      <c r="CE245">
        <v>0.33</v>
      </c>
      <c r="CF245">
        <v>0.02</v>
      </c>
      <c r="CG245">
        <v>7.3602366666666663</v>
      </c>
      <c r="CH245">
        <v>-0.24139138649623809</v>
      </c>
      <c r="CI245">
        <v>0.1252288361981998</v>
      </c>
      <c r="CJ245">
        <v>-1</v>
      </c>
      <c r="CK245">
        <v>500.81914999999998</v>
      </c>
      <c r="CL245">
        <v>0.78484801333783016</v>
      </c>
      <c r="CM245">
        <v>1.592432989955936</v>
      </c>
      <c r="CN245">
        <v>-1</v>
      </c>
      <c r="CO245">
        <v>0</v>
      </c>
      <c r="CP245">
        <v>0</v>
      </c>
      <c r="CQ245" t="s">
        <v>319</v>
      </c>
      <c r="CR245">
        <v>3.1676199999999999</v>
      </c>
      <c r="CS245">
        <v>2.6656499999999999</v>
      </c>
      <c r="CT245">
        <v>-4.1684600000000001E-4</v>
      </c>
      <c r="CU245">
        <v>2.2006299999999999E-3</v>
      </c>
      <c r="CV245">
        <v>3.1937E-2</v>
      </c>
      <c r="CW245">
        <v>-1.6256599999999999E-3</v>
      </c>
      <c r="CX245">
        <v>21444.2</v>
      </c>
      <c r="CY245">
        <v>21815.3</v>
      </c>
      <c r="CZ245">
        <v>22964.1</v>
      </c>
      <c r="DA245">
        <v>22222.5</v>
      </c>
      <c r="DB245">
        <v>28674.3</v>
      </c>
      <c r="DC245">
        <v>26522.799999999999</v>
      </c>
      <c r="DD245">
        <v>40374.5</v>
      </c>
      <c r="DE245">
        <v>36797.1</v>
      </c>
      <c r="DF245">
        <v>2.0606200000000001</v>
      </c>
      <c r="DG245">
        <v>1.71078</v>
      </c>
      <c r="DH245">
        <v>9.4875699999999993E-2</v>
      </c>
      <c r="DI245">
        <v>0</v>
      </c>
      <c r="DJ245">
        <v>31.281300000000002</v>
      </c>
      <c r="DK245">
        <v>999.9</v>
      </c>
      <c r="DL245">
        <v>62.5</v>
      </c>
      <c r="DM245">
        <v>37</v>
      </c>
      <c r="DN245">
        <v>39.397199999999998</v>
      </c>
      <c r="DO245">
        <v>30.599399999999999</v>
      </c>
      <c r="DP245">
        <v>10.9335</v>
      </c>
      <c r="DQ245">
        <v>1</v>
      </c>
      <c r="DR245">
        <v>0.43776199999999998</v>
      </c>
      <c r="DS245">
        <v>-2.7536800000000001</v>
      </c>
      <c r="DT245">
        <v>20.340699999999998</v>
      </c>
      <c r="DU245">
        <v>5.2105800000000002</v>
      </c>
      <c r="DV245">
        <v>11.854200000000001</v>
      </c>
      <c r="DW245">
        <v>4.9676400000000003</v>
      </c>
      <c r="DX245">
        <v>3.29298</v>
      </c>
      <c r="DY245">
        <v>894.7</v>
      </c>
      <c r="DZ245">
        <v>6</v>
      </c>
      <c r="EA245">
        <v>9999</v>
      </c>
      <c r="EB245">
        <v>119.5</v>
      </c>
      <c r="EC245">
        <v>4.9715400000000001</v>
      </c>
      <c r="ED245">
        <v>1.87195</v>
      </c>
      <c r="EE245">
        <v>1.8691199999999999</v>
      </c>
      <c r="EF245">
        <v>1.87151</v>
      </c>
      <c r="EG245">
        <v>1.86931</v>
      </c>
      <c r="EH245">
        <v>1.86816</v>
      </c>
      <c r="EI245">
        <v>1.87005</v>
      </c>
      <c r="EJ245">
        <v>1.87181</v>
      </c>
      <c r="EK245">
        <v>0</v>
      </c>
      <c r="EL245">
        <v>0</v>
      </c>
      <c r="EM245">
        <v>0</v>
      </c>
      <c r="EN245">
        <v>0</v>
      </c>
      <c r="EO245" t="s">
        <v>320</v>
      </c>
      <c r="EP245" t="s">
        <v>321</v>
      </c>
      <c r="EQ245" t="s">
        <v>322</v>
      </c>
      <c r="ER245" t="s">
        <v>322</v>
      </c>
      <c r="ES245" t="s">
        <v>322</v>
      </c>
      <c r="ET245" t="s">
        <v>322</v>
      </c>
      <c r="EU245">
        <v>0</v>
      </c>
      <c r="EV245">
        <v>100</v>
      </c>
      <c r="EW245">
        <v>100</v>
      </c>
      <c r="EX245">
        <v>7.3739999999999997</v>
      </c>
      <c r="EY245">
        <v>-1.3620000000000001</v>
      </c>
      <c r="EZ245">
        <v>7.3320200500000006</v>
      </c>
      <c r="FA245">
        <v>0</v>
      </c>
      <c r="FB245">
        <v>0</v>
      </c>
      <c r="FC245">
        <v>0</v>
      </c>
      <c r="FD245">
        <v>-1.4030691322857141</v>
      </c>
      <c r="FE245">
        <v>0</v>
      </c>
      <c r="FF245">
        <v>0</v>
      </c>
      <c r="FG245">
        <v>0</v>
      </c>
      <c r="FH245">
        <v>-1</v>
      </c>
      <c r="FI245">
        <v>-1</v>
      </c>
      <c r="FJ245">
        <v>-1</v>
      </c>
      <c r="FK245">
        <v>-1</v>
      </c>
      <c r="FL245">
        <v>0.6</v>
      </c>
      <c r="FM245">
        <v>0.3</v>
      </c>
      <c r="FN245">
        <v>0.14038100000000001</v>
      </c>
      <c r="FO245">
        <v>4.99756</v>
      </c>
      <c r="FP245">
        <v>1.5979000000000001</v>
      </c>
      <c r="FQ245">
        <v>2.1215799999999998</v>
      </c>
      <c r="FR245">
        <v>1.5478499999999999</v>
      </c>
      <c r="FS245">
        <v>2.323</v>
      </c>
      <c r="FT245">
        <v>39.441600000000001</v>
      </c>
      <c r="FU245">
        <v>14.403499999999999</v>
      </c>
      <c r="FV245">
        <v>2</v>
      </c>
      <c r="FW245">
        <v>504.30099999999999</v>
      </c>
      <c r="FX245">
        <v>373.43799999999999</v>
      </c>
      <c r="FY245">
        <v>35.942300000000003</v>
      </c>
      <c r="FZ245">
        <v>32.715600000000002</v>
      </c>
      <c r="GA245">
        <v>29.999600000000001</v>
      </c>
      <c r="GB245">
        <v>33.052700000000002</v>
      </c>
      <c r="GC245">
        <v>33.0854</v>
      </c>
      <c r="GD245">
        <v>-1</v>
      </c>
      <c r="GE245">
        <v>0</v>
      </c>
      <c r="GF245">
        <v>100</v>
      </c>
      <c r="GG245">
        <v>35.992199999999997</v>
      </c>
      <c r="GH245">
        <v>432.1</v>
      </c>
      <c r="GI245">
        <v>44.267099999999999</v>
      </c>
      <c r="GJ245">
        <v>101.614</v>
      </c>
      <c r="GK245">
        <v>96.048100000000005</v>
      </c>
    </row>
    <row r="246" spans="1:193" x14ac:dyDescent="0.35">
      <c r="A246">
        <v>230</v>
      </c>
      <c r="B246">
        <v>1775545768</v>
      </c>
      <c r="C246">
        <v>13741.900000095369</v>
      </c>
      <c r="D246" t="s">
        <v>1007</v>
      </c>
      <c r="E246" t="s">
        <v>1008</v>
      </c>
      <c r="F246">
        <v>60</v>
      </c>
      <c r="G246">
        <v>1775545760</v>
      </c>
      <c r="H246">
        <f t="shared" si="90"/>
        <v>5.7714536660289743E-3</v>
      </c>
      <c r="I246">
        <f t="shared" si="91"/>
        <v>5.7714536660289744</v>
      </c>
      <c r="J246">
        <f t="shared" si="92"/>
        <v>2.4141042001705602</v>
      </c>
      <c r="K246">
        <f t="shared" si="93"/>
        <v>6.5539960967741937</v>
      </c>
      <c r="L246">
        <f t="shared" si="94"/>
        <v>-24.843172557433689</v>
      </c>
      <c r="M246">
        <f t="shared" si="95"/>
        <v>-2.4857668584683648</v>
      </c>
      <c r="N246">
        <f t="shared" si="96"/>
        <v>0.65578203630105325</v>
      </c>
      <c r="O246">
        <f t="shared" si="97"/>
        <v>0.12327614865536933</v>
      </c>
      <c r="P246">
        <f t="shared" si="98"/>
        <v>2.3931954840103886</v>
      </c>
      <c r="Q246">
        <f t="shared" si="99"/>
        <v>0.1198539315299437</v>
      </c>
      <c r="R246">
        <f t="shared" si="100"/>
        <v>7.5208266672409985E-2</v>
      </c>
      <c r="S246">
        <f t="shared" si="101"/>
        <v>8.7681673258064516E-2</v>
      </c>
      <c r="T246">
        <f t="shared" si="102"/>
        <v>31.421438154230795</v>
      </c>
      <c r="U246">
        <f t="shared" si="103"/>
        <v>32.858593548387098</v>
      </c>
      <c r="V246">
        <f t="shared" si="104"/>
        <v>5.0121046322279321</v>
      </c>
      <c r="W246">
        <f t="shared" si="105"/>
        <v>6.3013992218714208</v>
      </c>
      <c r="X246">
        <f t="shared" si="106"/>
        <v>0.32232587115995859</v>
      </c>
      <c r="Y246">
        <f t="shared" si="107"/>
        <v>5.1151476015232165</v>
      </c>
      <c r="Z246">
        <f t="shared" si="108"/>
        <v>4.6897787610679735</v>
      </c>
      <c r="AA246">
        <f t="shared" si="109"/>
        <v>-254.52110667187776</v>
      </c>
      <c r="AB246">
        <f t="shared" si="110"/>
        <v>46.742989473157536</v>
      </c>
      <c r="AC246">
        <f t="shared" si="111"/>
        <v>4.4748978958358263</v>
      </c>
      <c r="AD246">
        <f t="shared" si="112"/>
        <v>-203.21553762962634</v>
      </c>
      <c r="AE246">
        <v>7</v>
      </c>
      <c r="AF246">
        <v>1</v>
      </c>
      <c r="AG246">
        <f t="shared" si="113"/>
        <v>1</v>
      </c>
      <c r="AH246">
        <f t="shared" si="114"/>
        <v>0</v>
      </c>
      <c r="AI246">
        <f t="shared" si="115"/>
        <v>25080.668085669742</v>
      </c>
      <c r="AJ246">
        <f t="shared" si="116"/>
        <v>0.45882612903225811</v>
      </c>
      <c r="AK246">
        <f t="shared" si="117"/>
        <v>0.36706090322580653</v>
      </c>
      <c r="AL246">
        <f t="shared" si="118"/>
        <v>0.8</v>
      </c>
      <c r="AM246">
        <f t="shared" si="119"/>
        <v>0.19109999999999999</v>
      </c>
      <c r="AN246">
        <v>3</v>
      </c>
      <c r="AO246">
        <v>0.5</v>
      </c>
      <c r="AP246" t="s">
        <v>317</v>
      </c>
      <c r="AQ246">
        <v>2</v>
      </c>
      <c r="AR246">
        <v>1775545760</v>
      </c>
      <c r="AS246">
        <v>6.5539960967741937</v>
      </c>
      <c r="AT246">
        <v>8.0251054838709681</v>
      </c>
      <c r="AU246">
        <v>3.2213790322580649</v>
      </c>
      <c r="AV246">
        <v>-0.2302234838709678</v>
      </c>
      <c r="AW246">
        <v>-0.79600390322580628</v>
      </c>
      <c r="AX246">
        <v>4.603379032258065</v>
      </c>
      <c r="AY246">
        <v>500.0165806451613</v>
      </c>
      <c r="AZ246">
        <v>100.0184193548388</v>
      </c>
      <c r="BA246">
        <v>3.993079032258065E-2</v>
      </c>
      <c r="BB246">
        <v>33.220880645161287</v>
      </c>
      <c r="BC246">
        <v>32.858593548387098</v>
      </c>
      <c r="BD246">
        <v>999.90000000000032</v>
      </c>
      <c r="BE246">
        <v>0</v>
      </c>
      <c r="BF246">
        <v>0</v>
      </c>
      <c r="BG246">
        <v>5012.3870967741932</v>
      </c>
      <c r="BH246">
        <v>0.45882612903225811</v>
      </c>
      <c r="BI246">
        <v>165.75899999999999</v>
      </c>
      <c r="BJ246">
        <v>-1.4468461290322581</v>
      </c>
      <c r="BK246">
        <v>6.5996490322580659</v>
      </c>
      <c r="BL246">
        <v>8.0232590322580641</v>
      </c>
      <c r="BM246">
        <v>3.4715348387096769</v>
      </c>
      <c r="BN246">
        <v>8.0251054838709681</v>
      </c>
      <c r="BO246">
        <v>-0.2302234838709678</v>
      </c>
      <c r="BP246">
        <v>0.32419080645161291</v>
      </c>
      <c r="BQ246">
        <v>-2.3026570967741931E-2</v>
      </c>
      <c r="BR246">
        <v>-8.4763370967741949</v>
      </c>
      <c r="BS246">
        <v>-99.900000000000034</v>
      </c>
      <c r="BT246">
        <v>1775545796</v>
      </c>
      <c r="BU246" t="s">
        <v>1009</v>
      </c>
      <c r="BV246">
        <v>1775545786</v>
      </c>
      <c r="BW246">
        <v>1775545796</v>
      </c>
      <c r="BX246">
        <v>231</v>
      </c>
      <c r="BY246">
        <v>-2.4E-2</v>
      </c>
      <c r="BZ246">
        <v>-0.02</v>
      </c>
      <c r="CA246">
        <v>7.35</v>
      </c>
      <c r="CB246">
        <v>-1.3819999999999999</v>
      </c>
      <c r="CC246">
        <v>8</v>
      </c>
      <c r="CD246">
        <v>0</v>
      </c>
      <c r="CE246">
        <v>0.21</v>
      </c>
      <c r="CF246">
        <v>0.02</v>
      </c>
      <c r="CG246">
        <v>7.9279904918032784</v>
      </c>
      <c r="CH246">
        <v>0.72293819143310278</v>
      </c>
      <c r="CI246">
        <v>0.11207178963015479</v>
      </c>
      <c r="CJ246">
        <v>-1</v>
      </c>
      <c r="CK246">
        <v>500.85332786885238</v>
      </c>
      <c r="CL246">
        <v>-4.8723870967745713</v>
      </c>
      <c r="CM246">
        <v>1.57974933393744</v>
      </c>
      <c r="CN246">
        <v>-1</v>
      </c>
      <c r="CO246">
        <v>0</v>
      </c>
      <c r="CP246">
        <v>0</v>
      </c>
      <c r="CQ246" t="s">
        <v>319</v>
      </c>
      <c r="CR246">
        <v>3.1676700000000002</v>
      </c>
      <c r="CS246">
        <v>2.6611400000000001</v>
      </c>
      <c r="CT246">
        <v>-1.9943000000000001E-4</v>
      </c>
      <c r="CU246">
        <v>2.4044800000000001E-3</v>
      </c>
      <c r="CV246">
        <v>3.12377E-2</v>
      </c>
      <c r="CW246">
        <v>-1.6499500000000001E-3</v>
      </c>
      <c r="CX246">
        <v>21443.4</v>
      </c>
      <c r="CY246">
        <v>21815.200000000001</v>
      </c>
      <c r="CZ246">
        <v>22967.8</v>
      </c>
      <c r="DA246">
        <v>22226.7</v>
      </c>
      <c r="DB246">
        <v>28699.3</v>
      </c>
      <c r="DC246">
        <v>26528.5</v>
      </c>
      <c r="DD246">
        <v>40380.199999999997</v>
      </c>
      <c r="DE246">
        <v>36804.1</v>
      </c>
      <c r="DF246">
        <v>2.0633400000000002</v>
      </c>
      <c r="DG246">
        <v>1.71506</v>
      </c>
      <c r="DH246">
        <v>0.10685600000000001</v>
      </c>
      <c r="DI246">
        <v>0</v>
      </c>
      <c r="DJ246">
        <v>31.119499999999999</v>
      </c>
      <c r="DK246">
        <v>999.9</v>
      </c>
      <c r="DL246">
        <v>62.6</v>
      </c>
      <c r="DM246">
        <v>36.9</v>
      </c>
      <c r="DN246">
        <v>39.247500000000002</v>
      </c>
      <c r="DO246">
        <v>30.029399999999999</v>
      </c>
      <c r="DP246">
        <v>11.25</v>
      </c>
      <c r="DQ246">
        <v>1</v>
      </c>
      <c r="DR246">
        <v>0.42854100000000001</v>
      </c>
      <c r="DS246">
        <v>-2.4191199999999999</v>
      </c>
      <c r="DT246">
        <v>20.3475</v>
      </c>
      <c r="DU246">
        <v>5.2109399999999999</v>
      </c>
      <c r="DV246">
        <v>11.854200000000001</v>
      </c>
      <c r="DW246">
        <v>4.9677199999999999</v>
      </c>
      <c r="DX246">
        <v>3.2928999999999999</v>
      </c>
      <c r="DY246">
        <v>894.7</v>
      </c>
      <c r="DZ246">
        <v>6</v>
      </c>
      <c r="EA246">
        <v>9999</v>
      </c>
      <c r="EB246">
        <v>119.6</v>
      </c>
      <c r="EC246">
        <v>4.9715600000000002</v>
      </c>
      <c r="ED246">
        <v>1.87195</v>
      </c>
      <c r="EE246">
        <v>1.8691800000000001</v>
      </c>
      <c r="EF246">
        <v>1.87151</v>
      </c>
      <c r="EG246">
        <v>1.8693200000000001</v>
      </c>
      <c r="EH246">
        <v>1.8682099999999999</v>
      </c>
      <c r="EI246">
        <v>1.8700600000000001</v>
      </c>
      <c r="EJ246">
        <v>1.87182</v>
      </c>
      <c r="EK246">
        <v>0</v>
      </c>
      <c r="EL246">
        <v>0</v>
      </c>
      <c r="EM246">
        <v>0</v>
      </c>
      <c r="EN246">
        <v>0</v>
      </c>
      <c r="EO246" t="s">
        <v>320</v>
      </c>
      <c r="EP246" t="s">
        <v>321</v>
      </c>
      <c r="EQ246" t="s">
        <v>322</v>
      </c>
      <c r="ER246" t="s">
        <v>322</v>
      </c>
      <c r="ES246" t="s">
        <v>322</v>
      </c>
      <c r="ET246" t="s">
        <v>322</v>
      </c>
      <c r="EU246">
        <v>0</v>
      </c>
      <c r="EV246">
        <v>100</v>
      </c>
      <c r="EW246">
        <v>100</v>
      </c>
      <c r="EX246">
        <v>7.35</v>
      </c>
      <c r="EY246">
        <v>-1.3819999999999999</v>
      </c>
      <c r="EZ246">
        <v>7.3742612380952357</v>
      </c>
      <c r="FA246">
        <v>0</v>
      </c>
      <c r="FB246">
        <v>0</v>
      </c>
      <c r="FC246">
        <v>0</v>
      </c>
      <c r="FD246">
        <v>-1.3620683</v>
      </c>
      <c r="FE246">
        <v>0</v>
      </c>
      <c r="FF246">
        <v>0</v>
      </c>
      <c r="FG246">
        <v>0</v>
      </c>
      <c r="FH246">
        <v>-1</v>
      </c>
      <c r="FI246">
        <v>-1</v>
      </c>
      <c r="FJ246">
        <v>-1</v>
      </c>
      <c r="FK246">
        <v>-1</v>
      </c>
      <c r="FL246">
        <v>0.6</v>
      </c>
      <c r="FM246">
        <v>0.5</v>
      </c>
      <c r="FN246">
        <v>0.14038100000000001</v>
      </c>
      <c r="FO246">
        <v>4.99756</v>
      </c>
      <c r="FP246">
        <v>1.5979000000000001</v>
      </c>
      <c r="FQ246">
        <v>2.1215799999999998</v>
      </c>
      <c r="FR246">
        <v>1.5478499999999999</v>
      </c>
      <c r="FS246">
        <v>2.4865699999999999</v>
      </c>
      <c r="FT246">
        <v>39.292000000000002</v>
      </c>
      <c r="FU246">
        <v>14.403499999999999</v>
      </c>
      <c r="FV246">
        <v>2</v>
      </c>
      <c r="FW246">
        <v>505.19400000000002</v>
      </c>
      <c r="FX246">
        <v>375.29</v>
      </c>
      <c r="FY246">
        <v>35.761699999999998</v>
      </c>
      <c r="FZ246">
        <v>32.614699999999999</v>
      </c>
      <c r="GA246">
        <v>29.9998</v>
      </c>
      <c r="GB246">
        <v>32.954799999999999</v>
      </c>
      <c r="GC246">
        <v>32.998600000000003</v>
      </c>
      <c r="GD246">
        <v>-1</v>
      </c>
      <c r="GE246">
        <v>0</v>
      </c>
      <c r="GF246">
        <v>100</v>
      </c>
      <c r="GG246">
        <v>35.824199999999998</v>
      </c>
      <c r="GH246">
        <v>432.1</v>
      </c>
      <c r="GI246">
        <v>44.267099999999999</v>
      </c>
      <c r="GJ246">
        <v>101.629</v>
      </c>
      <c r="GK246">
        <v>96.066199999999995</v>
      </c>
    </row>
    <row r="247" spans="1:193" x14ac:dyDescent="0.35">
      <c r="A247">
        <v>231</v>
      </c>
      <c r="B247">
        <v>1775545828</v>
      </c>
      <c r="C247">
        <v>13801.900000095369</v>
      </c>
      <c r="D247" t="s">
        <v>1010</v>
      </c>
      <c r="E247" t="s">
        <v>1011</v>
      </c>
      <c r="F247">
        <v>60</v>
      </c>
      <c r="G247">
        <v>1775545820</v>
      </c>
      <c r="H247">
        <f t="shared" si="90"/>
        <v>5.6285503906150329E-3</v>
      </c>
      <c r="I247">
        <f t="shared" si="91"/>
        <v>5.6285503906150325</v>
      </c>
      <c r="J247">
        <f t="shared" si="92"/>
        <v>1.5893673911149269</v>
      </c>
      <c r="K247">
        <f t="shared" si="93"/>
        <v>5.8389082903225811</v>
      </c>
      <c r="L247">
        <f t="shared" si="94"/>
        <v>-15.417462182229567</v>
      </c>
      <c r="M247">
        <f t="shared" si="95"/>
        <v>-1.5425932373323112</v>
      </c>
      <c r="N247">
        <f t="shared" si="96"/>
        <v>0.5842116124946215</v>
      </c>
      <c r="O247">
        <f t="shared" si="97"/>
        <v>0.12042082015247685</v>
      </c>
      <c r="P247">
        <f t="shared" si="98"/>
        <v>2.3880560103309154</v>
      </c>
      <c r="Q247">
        <f t="shared" si="99"/>
        <v>0.11714620875934889</v>
      </c>
      <c r="R247">
        <f t="shared" si="100"/>
        <v>7.3503174331079765E-2</v>
      </c>
      <c r="S247">
        <f t="shared" si="101"/>
        <v>9.0562635212903198E-2</v>
      </c>
      <c r="T247">
        <f t="shared" si="102"/>
        <v>31.432605700797662</v>
      </c>
      <c r="U247">
        <f t="shared" si="103"/>
        <v>32.795867741935481</v>
      </c>
      <c r="V247">
        <f t="shared" si="104"/>
        <v>4.9944486095319283</v>
      </c>
      <c r="W247">
        <f t="shared" si="105"/>
        <v>6.16127618456383</v>
      </c>
      <c r="X247">
        <f t="shared" si="106"/>
        <v>0.31462956570406503</v>
      </c>
      <c r="Y247">
        <f t="shared" si="107"/>
        <v>5.1065648784309179</v>
      </c>
      <c r="Z247">
        <f t="shared" si="108"/>
        <v>4.6798190438278633</v>
      </c>
      <c r="AA247">
        <f t="shared" si="109"/>
        <v>-248.21907222612296</v>
      </c>
      <c r="AB247">
        <f t="shared" si="110"/>
        <v>50.8646085246992</v>
      </c>
      <c r="AC247">
        <f t="shared" si="111"/>
        <v>4.8777416993497944</v>
      </c>
      <c r="AD247">
        <f t="shared" si="112"/>
        <v>-192.38615936686105</v>
      </c>
      <c r="AE247">
        <v>7</v>
      </c>
      <c r="AF247">
        <v>1</v>
      </c>
      <c r="AG247">
        <f t="shared" si="113"/>
        <v>1</v>
      </c>
      <c r="AH247">
        <f t="shared" si="114"/>
        <v>0</v>
      </c>
      <c r="AI247">
        <f t="shared" si="115"/>
        <v>25006.658757078854</v>
      </c>
      <c r="AJ247">
        <f t="shared" si="116"/>
        <v>0.47390180645161278</v>
      </c>
      <c r="AK247">
        <f t="shared" si="117"/>
        <v>0.37912144516129026</v>
      </c>
      <c r="AL247">
        <f t="shared" si="118"/>
        <v>0.8</v>
      </c>
      <c r="AM247">
        <f t="shared" si="119"/>
        <v>0.19109999999999999</v>
      </c>
      <c r="AN247">
        <v>3</v>
      </c>
      <c r="AO247">
        <v>0.5</v>
      </c>
      <c r="AP247" t="s">
        <v>317</v>
      </c>
      <c r="AQ247">
        <v>2</v>
      </c>
      <c r="AR247">
        <v>1775545820</v>
      </c>
      <c r="AS247">
        <v>5.8389082903225811</v>
      </c>
      <c r="AT247">
        <v>6.8122425806451607</v>
      </c>
      <c r="AU247">
        <v>3.1445680645161289</v>
      </c>
      <c r="AV247">
        <v>-0.22192561290322579</v>
      </c>
      <c r="AW247">
        <v>-1.49209170967742</v>
      </c>
      <c r="AX247">
        <v>4.5115680645161289</v>
      </c>
      <c r="AY247">
        <v>500.00251612903219</v>
      </c>
      <c r="AZ247">
        <v>100.0147419354838</v>
      </c>
      <c r="BA247">
        <v>4.0197009677419349E-2</v>
      </c>
      <c r="BB247">
        <v>33.190948387096768</v>
      </c>
      <c r="BC247">
        <v>32.795867741935481</v>
      </c>
      <c r="BD247">
        <v>999.90000000000032</v>
      </c>
      <c r="BE247">
        <v>0</v>
      </c>
      <c r="BF247">
        <v>0</v>
      </c>
      <c r="BG247">
        <v>4999.322580645161</v>
      </c>
      <c r="BH247">
        <v>0.47390180645161278</v>
      </c>
      <c r="BI247">
        <v>164.60777419354841</v>
      </c>
      <c r="BJ247">
        <v>-0.95399074193548383</v>
      </c>
      <c r="BK247">
        <v>5.8766432258064514</v>
      </c>
      <c r="BL247">
        <v>6.8107316129032256</v>
      </c>
      <c r="BM247">
        <v>3.3513022580645169</v>
      </c>
      <c r="BN247">
        <v>6.8122425806451607</v>
      </c>
      <c r="BO247">
        <v>-0.22192561290322579</v>
      </c>
      <c r="BP247">
        <v>0.31298377419354828</v>
      </c>
      <c r="BQ247">
        <v>-2.2195848387096768E-2</v>
      </c>
      <c r="BR247">
        <v>-8.9263654838709705</v>
      </c>
      <c r="BS247">
        <v>-99.900000000000034</v>
      </c>
      <c r="BT247">
        <v>1775545868.5</v>
      </c>
      <c r="BU247" t="s">
        <v>1012</v>
      </c>
      <c r="BV247">
        <v>1775545848</v>
      </c>
      <c r="BW247">
        <v>1775545868.5</v>
      </c>
      <c r="BX247">
        <v>232</v>
      </c>
      <c r="BY247">
        <v>-0.02</v>
      </c>
      <c r="BZ247">
        <v>1.4999999999999999E-2</v>
      </c>
      <c r="CA247">
        <v>7.3310000000000004</v>
      </c>
      <c r="CB247">
        <v>-1.367</v>
      </c>
      <c r="CC247">
        <v>7</v>
      </c>
      <c r="CD247">
        <v>0</v>
      </c>
      <c r="CE247">
        <v>0.19</v>
      </c>
      <c r="CF247">
        <v>7.0000000000000007E-2</v>
      </c>
      <c r="CG247">
        <v>7.2741836666666666</v>
      </c>
      <c r="CH247">
        <v>-3.2041365712697849</v>
      </c>
      <c r="CI247">
        <v>0.6070664709265553</v>
      </c>
      <c r="CJ247">
        <v>-1</v>
      </c>
      <c r="CK247">
        <v>500.81338333333338</v>
      </c>
      <c r="CL247">
        <v>-7.7975826618497406</v>
      </c>
      <c r="CM247">
        <v>1.621671679591429</v>
      </c>
      <c r="CN247">
        <v>-1</v>
      </c>
      <c r="CO247">
        <v>0</v>
      </c>
      <c r="CP247">
        <v>0</v>
      </c>
      <c r="CQ247" t="s">
        <v>319</v>
      </c>
      <c r="CR247">
        <v>3.16784</v>
      </c>
      <c r="CS247">
        <v>2.6614800000000001</v>
      </c>
      <c r="CT247">
        <v>-4.8398100000000003E-4</v>
      </c>
      <c r="CU247">
        <v>2.14767E-3</v>
      </c>
      <c r="CV247">
        <v>3.0710399999999999E-2</v>
      </c>
      <c r="CW247">
        <v>-1.79171E-3</v>
      </c>
      <c r="CX247">
        <v>21452.3</v>
      </c>
      <c r="CY247">
        <v>21823</v>
      </c>
      <c r="CZ247">
        <v>22970.6</v>
      </c>
      <c r="DA247">
        <v>22228.7</v>
      </c>
      <c r="DB247">
        <v>28718.1</v>
      </c>
      <c r="DC247">
        <v>26535</v>
      </c>
      <c r="DD247">
        <v>40384.5</v>
      </c>
      <c r="DE247">
        <v>36807.800000000003</v>
      </c>
      <c r="DF247">
        <v>2.0647799999999998</v>
      </c>
      <c r="DG247">
        <v>1.7181</v>
      </c>
      <c r="DH247">
        <v>0.105411</v>
      </c>
      <c r="DI247">
        <v>0</v>
      </c>
      <c r="DJ247">
        <v>31.082899999999999</v>
      </c>
      <c r="DK247">
        <v>999.9</v>
      </c>
      <c r="DL247">
        <v>62.8</v>
      </c>
      <c r="DM247">
        <v>36.799999999999997</v>
      </c>
      <c r="DN247">
        <v>39.1569</v>
      </c>
      <c r="DO247">
        <v>30.209399999999999</v>
      </c>
      <c r="DP247">
        <v>10.9856</v>
      </c>
      <c r="DQ247">
        <v>1</v>
      </c>
      <c r="DR247">
        <v>0.422209</v>
      </c>
      <c r="DS247">
        <v>-2.4520400000000002</v>
      </c>
      <c r="DT247">
        <v>20.3447</v>
      </c>
      <c r="DU247">
        <v>5.2068700000000003</v>
      </c>
      <c r="DV247">
        <v>11.854200000000001</v>
      </c>
      <c r="DW247">
        <v>4.9673999999999996</v>
      </c>
      <c r="DX247">
        <v>3.29236</v>
      </c>
      <c r="DY247">
        <v>894.7</v>
      </c>
      <c r="DZ247">
        <v>6</v>
      </c>
      <c r="EA247">
        <v>9999</v>
      </c>
      <c r="EB247">
        <v>119.6</v>
      </c>
      <c r="EC247">
        <v>4.9715499999999997</v>
      </c>
      <c r="ED247">
        <v>1.87195</v>
      </c>
      <c r="EE247">
        <v>1.8691500000000001</v>
      </c>
      <c r="EF247">
        <v>1.87151</v>
      </c>
      <c r="EG247">
        <v>1.8693</v>
      </c>
      <c r="EH247">
        <v>1.86816</v>
      </c>
      <c r="EI247">
        <v>1.87</v>
      </c>
      <c r="EJ247">
        <v>1.8717999999999999</v>
      </c>
      <c r="EK247">
        <v>0</v>
      </c>
      <c r="EL247">
        <v>0</v>
      </c>
      <c r="EM247">
        <v>0</v>
      </c>
      <c r="EN247">
        <v>0</v>
      </c>
      <c r="EO247" t="s">
        <v>320</v>
      </c>
      <c r="EP247" t="s">
        <v>321</v>
      </c>
      <c r="EQ247" t="s">
        <v>322</v>
      </c>
      <c r="ER247" t="s">
        <v>322</v>
      </c>
      <c r="ES247" t="s">
        <v>322</v>
      </c>
      <c r="ET247" t="s">
        <v>322</v>
      </c>
      <c r="EU247">
        <v>0</v>
      </c>
      <c r="EV247">
        <v>100</v>
      </c>
      <c r="EW247">
        <v>100</v>
      </c>
      <c r="EX247">
        <v>7.3310000000000004</v>
      </c>
      <c r="EY247">
        <v>-1.367</v>
      </c>
      <c r="EZ247">
        <v>7.350343500000001</v>
      </c>
      <c r="FA247">
        <v>0</v>
      </c>
      <c r="FB247">
        <v>0</v>
      </c>
      <c r="FC247">
        <v>0</v>
      </c>
      <c r="FD247">
        <v>-1.3821916000000001</v>
      </c>
      <c r="FE247">
        <v>0</v>
      </c>
      <c r="FF247">
        <v>0</v>
      </c>
      <c r="FG247">
        <v>0</v>
      </c>
      <c r="FH247">
        <v>-1</v>
      </c>
      <c r="FI247">
        <v>-1</v>
      </c>
      <c r="FJ247">
        <v>-1</v>
      </c>
      <c r="FK247">
        <v>-1</v>
      </c>
      <c r="FL247">
        <v>0.7</v>
      </c>
      <c r="FM247">
        <v>0.5</v>
      </c>
      <c r="FN247">
        <v>0.14038100000000001</v>
      </c>
      <c r="FO247">
        <v>4.99756</v>
      </c>
      <c r="FP247">
        <v>1.5979000000000001</v>
      </c>
      <c r="FQ247">
        <v>2.1215799999999998</v>
      </c>
      <c r="FR247">
        <v>1.5478499999999999</v>
      </c>
      <c r="FS247">
        <v>2.4365199999999998</v>
      </c>
      <c r="FT247">
        <v>39.192399999999999</v>
      </c>
      <c r="FU247">
        <v>14.403499999999999</v>
      </c>
      <c r="FV247">
        <v>2</v>
      </c>
      <c r="FW247">
        <v>505.40499999999997</v>
      </c>
      <c r="FX247">
        <v>376.48500000000001</v>
      </c>
      <c r="FY247">
        <v>35.828499999999998</v>
      </c>
      <c r="FZ247">
        <v>32.533000000000001</v>
      </c>
      <c r="GA247">
        <v>29.999400000000001</v>
      </c>
      <c r="GB247">
        <v>32.868000000000002</v>
      </c>
      <c r="GC247">
        <v>32.915399999999998</v>
      </c>
      <c r="GD247">
        <v>-1</v>
      </c>
      <c r="GE247">
        <v>0</v>
      </c>
      <c r="GF247">
        <v>100</v>
      </c>
      <c r="GG247">
        <v>35.823300000000003</v>
      </c>
      <c r="GH247">
        <v>432.1</v>
      </c>
      <c r="GI247">
        <v>44.267099999999999</v>
      </c>
      <c r="GJ247">
        <v>101.64100000000001</v>
      </c>
      <c r="GK247">
        <v>96.075400000000002</v>
      </c>
    </row>
    <row r="248" spans="1:193" x14ac:dyDescent="0.35">
      <c r="A248">
        <v>232</v>
      </c>
      <c r="B248">
        <v>1775545888</v>
      </c>
      <c r="C248">
        <v>13861.900000095369</v>
      </c>
      <c r="D248" t="s">
        <v>1013</v>
      </c>
      <c r="E248" t="s">
        <v>1014</v>
      </c>
      <c r="F248">
        <v>60</v>
      </c>
      <c r="G248">
        <v>1775545880.25</v>
      </c>
      <c r="H248">
        <f t="shared" si="90"/>
        <v>5.2564866153399434E-3</v>
      </c>
      <c r="I248">
        <f t="shared" si="91"/>
        <v>5.2564866153399432</v>
      </c>
      <c r="J248">
        <f t="shared" si="92"/>
        <v>2.1045839747782753</v>
      </c>
      <c r="K248">
        <f t="shared" si="93"/>
        <v>6.3234568000000007</v>
      </c>
      <c r="L248">
        <f t="shared" si="94"/>
        <v>-23.760331344970311</v>
      </c>
      <c r="M248">
        <f t="shared" si="95"/>
        <v>-2.3772108688600921</v>
      </c>
      <c r="N248">
        <f t="shared" si="96"/>
        <v>0.63265911638514827</v>
      </c>
      <c r="O248">
        <f t="shared" si="97"/>
        <v>0.11193257557842692</v>
      </c>
      <c r="P248">
        <f t="shared" si="98"/>
        <v>2.3870724227517304</v>
      </c>
      <c r="Q248">
        <f t="shared" si="99"/>
        <v>0.1090963479177128</v>
      </c>
      <c r="R248">
        <f t="shared" si="100"/>
        <v>6.8434055446337738E-2</v>
      </c>
      <c r="S248">
        <f t="shared" si="101"/>
        <v>8.3252581229999997E-2</v>
      </c>
      <c r="T248">
        <f t="shared" si="102"/>
        <v>31.52418507948645</v>
      </c>
      <c r="U248">
        <f t="shared" si="103"/>
        <v>32.740526666666668</v>
      </c>
      <c r="V248">
        <f t="shared" si="104"/>
        <v>4.9789162008974239</v>
      </c>
      <c r="W248">
        <f t="shared" si="105"/>
        <v>5.591287753452117</v>
      </c>
      <c r="X248">
        <f t="shared" si="106"/>
        <v>0.28513859868354008</v>
      </c>
      <c r="Y248">
        <f t="shared" si="107"/>
        <v>5.0996945830143092</v>
      </c>
      <c r="Z248">
        <f t="shared" si="108"/>
        <v>4.693777602213884</v>
      </c>
      <c r="AA248">
        <f t="shared" si="109"/>
        <v>-231.8110597364915</v>
      </c>
      <c r="AB248">
        <f t="shared" si="110"/>
        <v>54.878064936831123</v>
      </c>
      <c r="AC248">
        <f t="shared" si="111"/>
        <v>5.2627400496326544</v>
      </c>
      <c r="AD248">
        <f t="shared" si="112"/>
        <v>-171.58700216879771</v>
      </c>
      <c r="AE248">
        <v>8</v>
      </c>
      <c r="AF248">
        <v>2</v>
      </c>
      <c r="AG248">
        <f t="shared" si="113"/>
        <v>1</v>
      </c>
      <c r="AH248">
        <f t="shared" si="114"/>
        <v>0</v>
      </c>
      <c r="AI248">
        <f t="shared" si="115"/>
        <v>24994.177113506918</v>
      </c>
      <c r="AJ248">
        <f t="shared" si="116"/>
        <v>0.43564930000000002</v>
      </c>
      <c r="AK248">
        <f t="shared" si="117"/>
        <v>0.34851944000000001</v>
      </c>
      <c r="AL248">
        <f t="shared" si="118"/>
        <v>0.8</v>
      </c>
      <c r="AM248">
        <f t="shared" si="119"/>
        <v>0.19109999999999999</v>
      </c>
      <c r="AN248">
        <v>3</v>
      </c>
      <c r="AO248">
        <v>0.5</v>
      </c>
      <c r="AP248" t="s">
        <v>317</v>
      </c>
      <c r="AQ248">
        <v>2</v>
      </c>
      <c r="AR248">
        <v>1775545880.25</v>
      </c>
      <c r="AS248">
        <v>6.3234568000000007</v>
      </c>
      <c r="AT248">
        <v>7.6036443333333343</v>
      </c>
      <c r="AU248">
        <v>2.8499733333333341</v>
      </c>
      <c r="AV248">
        <v>-0.2887850666666667</v>
      </c>
      <c r="AW248">
        <v>-1.0275432</v>
      </c>
      <c r="AX248">
        <v>4.2219733333333336</v>
      </c>
      <c r="AY248">
        <v>500.97890000000001</v>
      </c>
      <c r="AZ248">
        <v>100.0091666666667</v>
      </c>
      <c r="BA248">
        <v>4.0400586666666669E-2</v>
      </c>
      <c r="BB248">
        <v>33.166956666666657</v>
      </c>
      <c r="BC248">
        <v>32.740526666666668</v>
      </c>
      <c r="BD248">
        <v>999.9000000000002</v>
      </c>
      <c r="BE248">
        <v>0</v>
      </c>
      <c r="BF248">
        <v>0</v>
      </c>
      <c r="BG248">
        <v>4997.0666666666666</v>
      </c>
      <c r="BH248">
        <v>0.43564930000000002</v>
      </c>
      <c r="BI248">
        <v>162.15533333333329</v>
      </c>
      <c r="BJ248">
        <v>-1.3003818666666671</v>
      </c>
      <c r="BK248">
        <v>6.321259333333332</v>
      </c>
      <c r="BL248">
        <v>7.6014506666666666</v>
      </c>
      <c r="BM248">
        <v>3.1437526666666669</v>
      </c>
      <c r="BN248">
        <v>7.6036443333333343</v>
      </c>
      <c r="BO248">
        <v>-0.2887850666666667</v>
      </c>
      <c r="BP248">
        <v>0.28552349999999999</v>
      </c>
      <c r="BQ248">
        <v>-2.8881183333333331E-2</v>
      </c>
      <c r="BR248">
        <v>-10.174015000000001</v>
      </c>
      <c r="BS248">
        <v>-99.900000000000034</v>
      </c>
      <c r="BT248">
        <v>1775545916.5</v>
      </c>
      <c r="BU248" t="s">
        <v>1015</v>
      </c>
      <c r="BV248">
        <v>1775545906.5</v>
      </c>
      <c r="BW248">
        <v>1775545916.5</v>
      </c>
      <c r="BX248">
        <v>233</v>
      </c>
      <c r="BY248">
        <v>0.02</v>
      </c>
      <c r="BZ248">
        <v>-5.0000000000000001E-3</v>
      </c>
      <c r="CA248">
        <v>7.351</v>
      </c>
      <c r="CB248">
        <v>-1.3720000000000001</v>
      </c>
      <c r="CC248">
        <v>7</v>
      </c>
      <c r="CD248">
        <v>0</v>
      </c>
      <c r="CE248">
        <v>0.17</v>
      </c>
      <c r="CF248">
        <v>0.03</v>
      </c>
      <c r="CG248">
        <v>7.5607031147540988</v>
      </c>
      <c r="CH248">
        <v>0.43771056583817752</v>
      </c>
      <c r="CI248">
        <v>0.24477883570343889</v>
      </c>
      <c r="CJ248">
        <v>-1</v>
      </c>
      <c r="CK248">
        <v>500.83460655737713</v>
      </c>
      <c r="CL248">
        <v>0.77692226335261982</v>
      </c>
      <c r="CM248">
        <v>1.597738702027649</v>
      </c>
      <c r="CN248">
        <v>-1</v>
      </c>
      <c r="CO248">
        <v>0</v>
      </c>
      <c r="CP248">
        <v>0</v>
      </c>
      <c r="CQ248" t="s">
        <v>319</v>
      </c>
      <c r="CR248">
        <v>3.1678299999999999</v>
      </c>
      <c r="CS248">
        <v>2.6620499999999998</v>
      </c>
      <c r="CT248">
        <v>-2.7732700000000001E-4</v>
      </c>
      <c r="CU248">
        <v>2.3200199999999999E-3</v>
      </c>
      <c r="CV248">
        <v>2.9669299999999999E-2</v>
      </c>
      <c r="CW248">
        <v>-2.28407E-3</v>
      </c>
      <c r="CX248">
        <v>21452.1</v>
      </c>
      <c r="CY248">
        <v>21822.2</v>
      </c>
      <c r="CZ248">
        <v>22974.799999999999</v>
      </c>
      <c r="DA248">
        <v>22231.5</v>
      </c>
      <c r="DB248">
        <v>28754.2</v>
      </c>
      <c r="DC248">
        <v>26551.4</v>
      </c>
      <c r="DD248">
        <v>40391.599999999999</v>
      </c>
      <c r="DE248">
        <v>36812.300000000003</v>
      </c>
      <c r="DF248">
        <v>2.0631200000000001</v>
      </c>
      <c r="DG248">
        <v>1.71862</v>
      </c>
      <c r="DH248">
        <v>0.10766100000000001</v>
      </c>
      <c r="DI248">
        <v>0</v>
      </c>
      <c r="DJ248">
        <v>31.013100000000001</v>
      </c>
      <c r="DK248">
        <v>999.9</v>
      </c>
      <c r="DL248">
        <v>62.9</v>
      </c>
      <c r="DM248">
        <v>36.700000000000003</v>
      </c>
      <c r="DN248">
        <v>39.011200000000002</v>
      </c>
      <c r="DO248">
        <v>30.1494</v>
      </c>
      <c r="DP248">
        <v>10.9375</v>
      </c>
      <c r="DQ248">
        <v>1</v>
      </c>
      <c r="DR248">
        <v>0.416159</v>
      </c>
      <c r="DS248">
        <v>-2.7013799999999999</v>
      </c>
      <c r="DT248">
        <v>20.341899999999999</v>
      </c>
      <c r="DU248">
        <v>5.2099799999999998</v>
      </c>
      <c r="DV248">
        <v>11.854200000000001</v>
      </c>
      <c r="DW248">
        <v>4.9677600000000002</v>
      </c>
      <c r="DX248">
        <v>3.2928999999999999</v>
      </c>
      <c r="DY248">
        <v>894.7</v>
      </c>
      <c r="DZ248">
        <v>6</v>
      </c>
      <c r="EA248">
        <v>9999</v>
      </c>
      <c r="EB248">
        <v>119.6</v>
      </c>
      <c r="EC248">
        <v>4.9715499999999997</v>
      </c>
      <c r="ED248">
        <v>1.8719399999999999</v>
      </c>
      <c r="EE248">
        <v>1.86913</v>
      </c>
      <c r="EF248">
        <v>1.87151</v>
      </c>
      <c r="EG248">
        <v>1.8692500000000001</v>
      </c>
      <c r="EH248">
        <v>1.8681700000000001</v>
      </c>
      <c r="EI248">
        <v>1.8700600000000001</v>
      </c>
      <c r="EJ248">
        <v>1.8717999999999999</v>
      </c>
      <c r="EK248">
        <v>0</v>
      </c>
      <c r="EL248">
        <v>0</v>
      </c>
      <c r="EM248">
        <v>0</v>
      </c>
      <c r="EN248">
        <v>0</v>
      </c>
      <c r="EO248" t="s">
        <v>320</v>
      </c>
      <c r="EP248" t="s">
        <v>321</v>
      </c>
      <c r="EQ248" t="s">
        <v>322</v>
      </c>
      <c r="ER248" t="s">
        <v>322</v>
      </c>
      <c r="ES248" t="s">
        <v>322</v>
      </c>
      <c r="ET248" t="s">
        <v>322</v>
      </c>
      <c r="EU248">
        <v>0</v>
      </c>
      <c r="EV248">
        <v>100</v>
      </c>
      <c r="EW248">
        <v>100</v>
      </c>
      <c r="EX248">
        <v>7.351</v>
      </c>
      <c r="EY248">
        <v>-1.3720000000000001</v>
      </c>
      <c r="EZ248">
        <v>7.3308067750000001</v>
      </c>
      <c r="FA248">
        <v>0</v>
      </c>
      <c r="FB248">
        <v>0</v>
      </c>
      <c r="FC248">
        <v>0</v>
      </c>
      <c r="FD248">
        <v>-1.3670047619047621</v>
      </c>
      <c r="FE248">
        <v>0</v>
      </c>
      <c r="FF248">
        <v>0</v>
      </c>
      <c r="FG248">
        <v>0</v>
      </c>
      <c r="FH248">
        <v>-1</v>
      </c>
      <c r="FI248">
        <v>-1</v>
      </c>
      <c r="FJ248">
        <v>-1</v>
      </c>
      <c r="FK248">
        <v>-1</v>
      </c>
      <c r="FL248">
        <v>0.7</v>
      </c>
      <c r="FM248">
        <v>0.3</v>
      </c>
      <c r="FN248">
        <v>0.14038100000000001</v>
      </c>
      <c r="FO248">
        <v>4.99756</v>
      </c>
      <c r="FP248">
        <v>1.5979000000000001</v>
      </c>
      <c r="FQ248">
        <v>2.1215799999999998</v>
      </c>
      <c r="FR248">
        <v>1.5478499999999999</v>
      </c>
      <c r="FS248">
        <v>2.4255399999999998</v>
      </c>
      <c r="FT248">
        <v>39.0931</v>
      </c>
      <c r="FU248">
        <v>14.3947</v>
      </c>
      <c r="FV248">
        <v>2</v>
      </c>
      <c r="FW248">
        <v>503.91</v>
      </c>
      <c r="FX248">
        <v>376.31299999999999</v>
      </c>
      <c r="FY248">
        <v>36.084600000000002</v>
      </c>
      <c r="FZ248">
        <v>32.4527</v>
      </c>
      <c r="GA248">
        <v>29.999600000000001</v>
      </c>
      <c r="GB248">
        <v>32.800199999999997</v>
      </c>
      <c r="GC248">
        <v>32.835500000000003</v>
      </c>
      <c r="GD248">
        <v>-1</v>
      </c>
      <c r="GE248">
        <v>0</v>
      </c>
      <c r="GF248">
        <v>100</v>
      </c>
      <c r="GG248">
        <v>36.098399999999998</v>
      </c>
      <c r="GH248">
        <v>432.1</v>
      </c>
      <c r="GI248">
        <v>44.267099999999999</v>
      </c>
      <c r="GJ248">
        <v>101.65900000000001</v>
      </c>
      <c r="GK248">
        <v>96.087500000000006</v>
      </c>
    </row>
    <row r="249" spans="1:193" x14ac:dyDescent="0.35">
      <c r="A249">
        <v>233</v>
      </c>
      <c r="B249">
        <v>1775545948</v>
      </c>
      <c r="C249">
        <v>13921.900000095369</v>
      </c>
      <c r="D249" t="s">
        <v>1016</v>
      </c>
      <c r="E249" t="s">
        <v>1017</v>
      </c>
      <c r="F249">
        <v>60</v>
      </c>
      <c r="G249">
        <v>1775545940.25</v>
      </c>
      <c r="H249">
        <f t="shared" si="90"/>
        <v>5.3480923367329796E-3</v>
      </c>
      <c r="I249">
        <f t="shared" si="91"/>
        <v>5.3480923367329796</v>
      </c>
      <c r="J249">
        <f t="shared" si="92"/>
        <v>1.6213736299136501</v>
      </c>
      <c r="K249">
        <f t="shared" si="93"/>
        <v>6.7100487666666666</v>
      </c>
      <c r="L249">
        <f t="shared" si="94"/>
        <v>-16.207025996808113</v>
      </c>
      <c r="M249">
        <f t="shared" si="95"/>
        <v>-1.6214526091975541</v>
      </c>
      <c r="N249">
        <f t="shared" si="96"/>
        <v>0.67131539634089932</v>
      </c>
      <c r="O249">
        <f t="shared" si="97"/>
        <v>0.11395037389034558</v>
      </c>
      <c r="P249">
        <f t="shared" si="98"/>
        <v>2.3886769802787531</v>
      </c>
      <c r="Q249">
        <f t="shared" si="99"/>
        <v>0.11101433187879542</v>
      </c>
      <c r="R249">
        <f t="shared" si="100"/>
        <v>6.9641448169641434E-2</v>
      </c>
      <c r="S249">
        <f t="shared" si="101"/>
        <v>8.1876903290000025E-2</v>
      </c>
      <c r="T249">
        <f t="shared" si="102"/>
        <v>31.554380026064475</v>
      </c>
      <c r="U249">
        <f t="shared" si="103"/>
        <v>32.770940000000003</v>
      </c>
      <c r="V249">
        <f t="shared" si="104"/>
        <v>4.9874470062545413</v>
      </c>
      <c r="W249">
        <f t="shared" si="105"/>
        <v>5.765527212266579</v>
      </c>
      <c r="X249">
        <f t="shared" si="106"/>
        <v>0.29497831008693248</v>
      </c>
      <c r="Y249">
        <f t="shared" si="107"/>
        <v>5.1162417455830349</v>
      </c>
      <c r="Z249">
        <f t="shared" si="108"/>
        <v>4.6924686961676088</v>
      </c>
      <c r="AA249">
        <f t="shared" si="109"/>
        <v>-235.85087204992439</v>
      </c>
      <c r="AB249">
        <f t="shared" si="110"/>
        <v>58.433607098634333</v>
      </c>
      <c r="AC249">
        <f t="shared" si="111"/>
        <v>5.6023688885767822</v>
      </c>
      <c r="AD249">
        <f t="shared" si="112"/>
        <v>-171.73301915942329</v>
      </c>
      <c r="AE249">
        <v>7</v>
      </c>
      <c r="AF249">
        <v>1</v>
      </c>
      <c r="AG249">
        <f t="shared" si="113"/>
        <v>1</v>
      </c>
      <c r="AH249">
        <f t="shared" si="114"/>
        <v>0</v>
      </c>
      <c r="AI249">
        <f t="shared" si="115"/>
        <v>25013.489864699426</v>
      </c>
      <c r="AJ249">
        <f t="shared" si="116"/>
        <v>0.42845056666666681</v>
      </c>
      <c r="AK249">
        <f t="shared" si="117"/>
        <v>0.34276045333333349</v>
      </c>
      <c r="AL249">
        <f t="shared" si="118"/>
        <v>0.8</v>
      </c>
      <c r="AM249">
        <f t="shared" si="119"/>
        <v>0.19109999999999999</v>
      </c>
      <c r="AN249">
        <v>3</v>
      </c>
      <c r="AO249">
        <v>0.5</v>
      </c>
      <c r="AP249" t="s">
        <v>317</v>
      </c>
      <c r="AQ249">
        <v>2</v>
      </c>
      <c r="AR249">
        <v>1775545940.25</v>
      </c>
      <c r="AS249">
        <v>6.7100487666666666</v>
      </c>
      <c r="AT249">
        <v>7.704367333333332</v>
      </c>
      <c r="AU249">
        <v>2.9484186666666661</v>
      </c>
      <c r="AV249">
        <v>-0.25085603333333328</v>
      </c>
      <c r="AW249">
        <v>-0.64595123333333337</v>
      </c>
      <c r="AX249">
        <v>4.3004186666666664</v>
      </c>
      <c r="AY249">
        <v>500.01870000000002</v>
      </c>
      <c r="AZ249">
        <v>100.00620000000001</v>
      </c>
      <c r="BA249">
        <v>4.0076813333333343E-2</v>
      </c>
      <c r="BB249">
        <v>33.224693333333327</v>
      </c>
      <c r="BC249">
        <v>32.770940000000003</v>
      </c>
      <c r="BD249">
        <v>999.9000000000002</v>
      </c>
      <c r="BE249">
        <v>0</v>
      </c>
      <c r="BF249">
        <v>0</v>
      </c>
      <c r="BG249">
        <v>5001.3500000000004</v>
      </c>
      <c r="BH249">
        <v>0.42845056666666681</v>
      </c>
      <c r="BI249">
        <v>160.17423333333329</v>
      </c>
      <c r="BJ249">
        <v>-0.99909069999999989</v>
      </c>
      <c r="BK249">
        <v>6.7249666666666661</v>
      </c>
      <c r="BL249">
        <v>7.7024353333333329</v>
      </c>
      <c r="BM249">
        <v>3.178789333333333</v>
      </c>
      <c r="BN249">
        <v>7.704367333333332</v>
      </c>
      <c r="BO249">
        <v>-0.25085603333333328</v>
      </c>
      <c r="BP249">
        <v>0.29281153333333332</v>
      </c>
      <c r="BQ249">
        <v>-2.5087169999999999E-2</v>
      </c>
      <c r="BR249">
        <v>-9.7738050000000012</v>
      </c>
      <c r="BS249">
        <v>-99.900000000000034</v>
      </c>
      <c r="BT249">
        <v>1775545987</v>
      </c>
      <c r="BU249" t="s">
        <v>1018</v>
      </c>
      <c r="BV249">
        <v>1775545966</v>
      </c>
      <c r="BW249">
        <v>1775545987</v>
      </c>
      <c r="BX249">
        <v>234</v>
      </c>
      <c r="BY249">
        <v>5.0000000000000001E-3</v>
      </c>
      <c r="BZ249">
        <v>2.1000000000000001E-2</v>
      </c>
      <c r="CA249">
        <v>7.3559999999999999</v>
      </c>
      <c r="CB249">
        <v>-1.3520000000000001</v>
      </c>
      <c r="CC249">
        <v>6</v>
      </c>
      <c r="CD249">
        <v>0</v>
      </c>
      <c r="CE249">
        <v>0.17</v>
      </c>
      <c r="CF249">
        <v>0.03</v>
      </c>
      <c r="CG249">
        <v>7.8458400000000008</v>
      </c>
      <c r="CH249">
        <v>-0.76742919090428863</v>
      </c>
      <c r="CI249">
        <v>0.32524684971950008</v>
      </c>
      <c r="CJ249">
        <v>-1</v>
      </c>
      <c r="CK249">
        <v>500.82162295081957</v>
      </c>
      <c r="CL249">
        <v>-6.7139143310417468</v>
      </c>
      <c r="CM249">
        <v>1.5755033560887839</v>
      </c>
      <c r="CN249">
        <v>-1</v>
      </c>
      <c r="CO249">
        <v>0</v>
      </c>
      <c r="CP249">
        <v>0</v>
      </c>
      <c r="CQ249" t="s">
        <v>319</v>
      </c>
      <c r="CR249">
        <v>3.1677499999999998</v>
      </c>
      <c r="CS249">
        <v>2.6589</v>
      </c>
      <c r="CT249">
        <v>-2.8169300000000001E-4</v>
      </c>
      <c r="CU249">
        <v>1.9991399999999999E-3</v>
      </c>
      <c r="CV249">
        <v>2.9476200000000001E-2</v>
      </c>
      <c r="CW249">
        <v>-2.1432700000000001E-3</v>
      </c>
      <c r="CX249">
        <v>21454</v>
      </c>
      <c r="CY249">
        <v>21831.200000000001</v>
      </c>
      <c r="CZ249">
        <v>22976.400000000001</v>
      </c>
      <c r="DA249">
        <v>22233.4</v>
      </c>
      <c r="DB249">
        <v>28761.5</v>
      </c>
      <c r="DC249">
        <v>26550.400000000001</v>
      </c>
      <c r="DD249">
        <v>40393.699999999997</v>
      </c>
      <c r="DE249">
        <v>36816</v>
      </c>
      <c r="DF249">
        <v>2.0653600000000001</v>
      </c>
      <c r="DG249">
        <v>1.72194</v>
      </c>
      <c r="DH249">
        <v>0.106603</v>
      </c>
      <c r="DI249">
        <v>0</v>
      </c>
      <c r="DJ249">
        <v>31.017800000000001</v>
      </c>
      <c r="DK249">
        <v>999.9</v>
      </c>
      <c r="DL249">
        <v>63.1</v>
      </c>
      <c r="DM249">
        <v>36.5</v>
      </c>
      <c r="DN249">
        <v>38.708399999999997</v>
      </c>
      <c r="DO249">
        <v>30.209399999999999</v>
      </c>
      <c r="DP249">
        <v>11.0938</v>
      </c>
      <c r="DQ249">
        <v>1</v>
      </c>
      <c r="DR249">
        <v>0.40933700000000001</v>
      </c>
      <c r="DS249">
        <v>-2.2725</v>
      </c>
      <c r="DT249">
        <v>20.3492</v>
      </c>
      <c r="DU249">
        <v>5.2085400000000002</v>
      </c>
      <c r="DV249">
        <v>11.854200000000001</v>
      </c>
      <c r="DW249">
        <v>4.9676</v>
      </c>
      <c r="DX249">
        <v>3.2926199999999999</v>
      </c>
      <c r="DY249">
        <v>894.7</v>
      </c>
      <c r="DZ249">
        <v>6</v>
      </c>
      <c r="EA249">
        <v>9999</v>
      </c>
      <c r="EB249">
        <v>119.6</v>
      </c>
      <c r="EC249">
        <v>4.9715499999999997</v>
      </c>
      <c r="ED249">
        <v>1.87195</v>
      </c>
      <c r="EE249">
        <v>1.8691599999999999</v>
      </c>
      <c r="EF249">
        <v>1.8714999999999999</v>
      </c>
      <c r="EG249">
        <v>1.8692800000000001</v>
      </c>
      <c r="EH249">
        <v>1.8681399999999999</v>
      </c>
      <c r="EI249">
        <v>1.87002</v>
      </c>
      <c r="EJ249">
        <v>1.8717999999999999</v>
      </c>
      <c r="EK249">
        <v>0</v>
      </c>
      <c r="EL249">
        <v>0</v>
      </c>
      <c r="EM249">
        <v>0</v>
      </c>
      <c r="EN249">
        <v>0</v>
      </c>
      <c r="EO249" t="s">
        <v>320</v>
      </c>
      <c r="EP249" t="s">
        <v>321</v>
      </c>
      <c r="EQ249" t="s">
        <v>322</v>
      </c>
      <c r="ER249" t="s">
        <v>322</v>
      </c>
      <c r="ES249" t="s">
        <v>322</v>
      </c>
      <c r="ET249" t="s">
        <v>322</v>
      </c>
      <c r="EU249">
        <v>0</v>
      </c>
      <c r="EV249">
        <v>100</v>
      </c>
      <c r="EW249">
        <v>100</v>
      </c>
      <c r="EX249">
        <v>7.3559999999999999</v>
      </c>
      <c r="EY249">
        <v>-1.3520000000000001</v>
      </c>
      <c r="EZ249">
        <v>7.3512274952380956</v>
      </c>
      <c r="FA249">
        <v>0</v>
      </c>
      <c r="FB249">
        <v>0</v>
      </c>
      <c r="FC249">
        <v>0</v>
      </c>
      <c r="FD249">
        <v>-1.372486333333333</v>
      </c>
      <c r="FE249">
        <v>0</v>
      </c>
      <c r="FF249">
        <v>0</v>
      </c>
      <c r="FG249">
        <v>0</v>
      </c>
      <c r="FH249">
        <v>-1</v>
      </c>
      <c r="FI249">
        <v>-1</v>
      </c>
      <c r="FJ249">
        <v>-1</v>
      </c>
      <c r="FK249">
        <v>-1</v>
      </c>
      <c r="FL249">
        <v>0.7</v>
      </c>
      <c r="FM249">
        <v>0.5</v>
      </c>
      <c r="FN249">
        <v>0.14038100000000001</v>
      </c>
      <c r="FO249">
        <v>4.99756</v>
      </c>
      <c r="FP249">
        <v>1.5979000000000001</v>
      </c>
      <c r="FQ249">
        <v>2.1227999999999998</v>
      </c>
      <c r="FR249">
        <v>1.5478499999999999</v>
      </c>
      <c r="FS249">
        <v>2.4682599999999999</v>
      </c>
      <c r="FT249">
        <v>38.994</v>
      </c>
      <c r="FU249">
        <v>14.385999999999999</v>
      </c>
      <c r="FV249">
        <v>2</v>
      </c>
      <c r="FW249">
        <v>504.601</v>
      </c>
      <c r="FX249">
        <v>377.71699999999998</v>
      </c>
      <c r="FY249">
        <v>35.787599999999998</v>
      </c>
      <c r="FZ249">
        <v>32.381</v>
      </c>
      <c r="GA249">
        <v>29.999700000000001</v>
      </c>
      <c r="GB249">
        <v>32.714199999999998</v>
      </c>
      <c r="GC249">
        <v>32.7622</v>
      </c>
      <c r="GD249">
        <v>-1</v>
      </c>
      <c r="GE249">
        <v>0</v>
      </c>
      <c r="GF249">
        <v>100</v>
      </c>
      <c r="GG249">
        <v>35.768799999999999</v>
      </c>
      <c r="GH249">
        <v>432.1</v>
      </c>
      <c r="GI249">
        <v>44.267099999999999</v>
      </c>
      <c r="GJ249">
        <v>101.66500000000001</v>
      </c>
      <c r="GK249">
        <v>96.096500000000006</v>
      </c>
    </row>
    <row r="250" spans="1:193" x14ac:dyDescent="0.35">
      <c r="A250">
        <v>234</v>
      </c>
      <c r="B250">
        <v>1775546008</v>
      </c>
      <c r="C250">
        <v>13981.900000095369</v>
      </c>
      <c r="D250" t="s">
        <v>1019</v>
      </c>
      <c r="E250" t="s">
        <v>1020</v>
      </c>
      <c r="F250">
        <v>60</v>
      </c>
      <c r="G250">
        <v>1775546000</v>
      </c>
      <c r="H250">
        <f t="shared" si="90"/>
        <v>5.363937483712139E-3</v>
      </c>
      <c r="I250">
        <f t="shared" si="91"/>
        <v>5.3639374837121387</v>
      </c>
      <c r="J250">
        <f t="shared" si="92"/>
        <v>2.1218291559637961</v>
      </c>
      <c r="K250">
        <f t="shared" si="93"/>
        <v>5.692923548387097</v>
      </c>
      <c r="L250">
        <f t="shared" si="94"/>
        <v>-23.889425218223163</v>
      </c>
      <c r="M250">
        <f t="shared" si="95"/>
        <v>-2.3899764871249523</v>
      </c>
      <c r="N250">
        <f t="shared" si="96"/>
        <v>0.56953875195232051</v>
      </c>
      <c r="O250">
        <f t="shared" si="97"/>
        <v>0.11468084466114889</v>
      </c>
      <c r="P250">
        <f t="shared" si="98"/>
        <v>2.3864237022945134</v>
      </c>
      <c r="Q250">
        <f t="shared" si="99"/>
        <v>0.11170483941939677</v>
      </c>
      <c r="R250">
        <f t="shared" si="100"/>
        <v>7.0076474441880671E-2</v>
      </c>
      <c r="S250">
        <f t="shared" si="101"/>
        <v>8.5112697464516121E-2</v>
      </c>
      <c r="T250">
        <f t="shared" si="102"/>
        <v>31.485552096460726</v>
      </c>
      <c r="U250">
        <f t="shared" si="103"/>
        <v>32.672261290322581</v>
      </c>
      <c r="V250">
        <f t="shared" si="104"/>
        <v>4.9598142880837228</v>
      </c>
      <c r="W250">
        <f t="shared" si="105"/>
        <v>5.5252377369658623</v>
      </c>
      <c r="X250">
        <f t="shared" si="106"/>
        <v>0.28169703067152324</v>
      </c>
      <c r="Y250">
        <f t="shared" si="107"/>
        <v>5.0983694110909843</v>
      </c>
      <c r="Z250">
        <f t="shared" si="108"/>
        <v>4.6781172574121994</v>
      </c>
      <c r="AA250">
        <f t="shared" si="109"/>
        <v>-236.54964303170533</v>
      </c>
      <c r="AB250">
        <f t="shared" si="110"/>
        <v>63.050169016195724</v>
      </c>
      <c r="AC250">
        <f t="shared" si="111"/>
        <v>6.045918282830173</v>
      </c>
      <c r="AD250">
        <f t="shared" si="112"/>
        <v>-167.36844303521491</v>
      </c>
      <c r="AE250">
        <v>8</v>
      </c>
      <c r="AF250">
        <v>2</v>
      </c>
      <c r="AG250">
        <f t="shared" si="113"/>
        <v>1</v>
      </c>
      <c r="AH250">
        <f t="shared" si="114"/>
        <v>0</v>
      </c>
      <c r="AI250">
        <f t="shared" si="115"/>
        <v>24985.108104523646</v>
      </c>
      <c r="AJ250">
        <f t="shared" si="116"/>
        <v>0.44538303225806453</v>
      </c>
      <c r="AK250">
        <f t="shared" si="117"/>
        <v>0.35630642580645167</v>
      </c>
      <c r="AL250">
        <f t="shared" si="118"/>
        <v>0.8</v>
      </c>
      <c r="AM250">
        <f t="shared" si="119"/>
        <v>0.19109999999999999</v>
      </c>
      <c r="AN250">
        <v>3</v>
      </c>
      <c r="AO250">
        <v>0.5</v>
      </c>
      <c r="AP250" t="s">
        <v>317</v>
      </c>
      <c r="AQ250">
        <v>2</v>
      </c>
      <c r="AR250">
        <v>1775546000</v>
      </c>
      <c r="AS250">
        <v>5.692923548387097</v>
      </c>
      <c r="AT250">
        <v>6.9827812903225794</v>
      </c>
      <c r="AU250">
        <v>2.8157516129032261</v>
      </c>
      <c r="AV250">
        <v>-0.38966793548387102</v>
      </c>
      <c r="AW250">
        <v>-1.6550764516129031</v>
      </c>
      <c r="AX250">
        <v>4.1537516129032257</v>
      </c>
      <c r="AY250">
        <v>500.60535483870967</v>
      </c>
      <c r="AZ250">
        <v>100.00351612903231</v>
      </c>
      <c r="BA250">
        <v>3.9765167741935482E-2</v>
      </c>
      <c r="BB250">
        <v>33.162325806451619</v>
      </c>
      <c r="BC250">
        <v>32.672261290322581</v>
      </c>
      <c r="BD250">
        <v>999.90000000000032</v>
      </c>
      <c r="BE250">
        <v>0</v>
      </c>
      <c r="BF250">
        <v>0</v>
      </c>
      <c r="BG250">
        <v>4995.677419354839</v>
      </c>
      <c r="BH250">
        <v>0.44538303225806453</v>
      </c>
      <c r="BI250">
        <v>159.13880645161291</v>
      </c>
      <c r="BJ250">
        <v>-1.2819658064516131</v>
      </c>
      <c r="BK250">
        <v>5.7168299999999999</v>
      </c>
      <c r="BL250">
        <v>6.9800609677419354</v>
      </c>
      <c r="BM250">
        <v>3.1917732258064508</v>
      </c>
      <c r="BN250">
        <v>6.9827812903225794</v>
      </c>
      <c r="BO250">
        <v>-0.38966793548387102</v>
      </c>
      <c r="BP250">
        <v>0.28022041935483871</v>
      </c>
      <c r="BQ250">
        <v>-3.8968190322580643E-2</v>
      </c>
      <c r="BR250">
        <v>-10.34209677419355</v>
      </c>
      <c r="BS250">
        <v>-99.900000000000034</v>
      </c>
      <c r="BT250">
        <v>1775546048</v>
      </c>
      <c r="BU250" t="s">
        <v>1021</v>
      </c>
      <c r="BV250">
        <v>1775546027.5</v>
      </c>
      <c r="BW250">
        <v>1775546048</v>
      </c>
      <c r="BX250">
        <v>235</v>
      </c>
      <c r="BY250">
        <v>-8.0000000000000002E-3</v>
      </c>
      <c r="BZ250">
        <v>1.2999999999999999E-2</v>
      </c>
      <c r="CA250">
        <v>7.3479999999999999</v>
      </c>
      <c r="CB250">
        <v>-1.3380000000000001</v>
      </c>
      <c r="CC250">
        <v>7</v>
      </c>
      <c r="CD250">
        <v>-1</v>
      </c>
      <c r="CE250">
        <v>0.23</v>
      </c>
      <c r="CF250">
        <v>0.03</v>
      </c>
      <c r="CG250">
        <v>6.9120585245901633</v>
      </c>
      <c r="CH250">
        <v>0.49341880486516032</v>
      </c>
      <c r="CI250">
        <v>0.14607545195903479</v>
      </c>
      <c r="CJ250">
        <v>-1</v>
      </c>
      <c r="CK250">
        <v>500.82877049180331</v>
      </c>
      <c r="CL250">
        <v>-0.50578318350022655</v>
      </c>
      <c r="CM250">
        <v>1.6256067860143251</v>
      </c>
      <c r="CN250">
        <v>-1</v>
      </c>
      <c r="CO250">
        <v>0</v>
      </c>
      <c r="CP250">
        <v>0</v>
      </c>
      <c r="CQ250" t="s">
        <v>319</v>
      </c>
      <c r="CR250">
        <v>3.16757</v>
      </c>
      <c r="CS250">
        <v>2.66187</v>
      </c>
      <c r="CT250">
        <v>-5.0721299999999996E-4</v>
      </c>
      <c r="CU250">
        <v>2.0536399999999998E-3</v>
      </c>
      <c r="CV250">
        <v>2.8818E-2</v>
      </c>
      <c r="CW250">
        <v>-3.3468899999999999E-3</v>
      </c>
      <c r="CX250">
        <v>21461.599999999999</v>
      </c>
      <c r="CY250">
        <v>21832.3</v>
      </c>
      <c r="CZ250">
        <v>22979.1</v>
      </c>
      <c r="DA250">
        <v>22235.5</v>
      </c>
      <c r="DB250">
        <v>28784.6</v>
      </c>
      <c r="DC250">
        <v>26584.9</v>
      </c>
      <c r="DD250">
        <v>40398.5</v>
      </c>
      <c r="DE250">
        <v>36819.699999999997</v>
      </c>
      <c r="DF250">
        <v>2.0647600000000002</v>
      </c>
      <c r="DG250">
        <v>1.7219800000000001</v>
      </c>
      <c r="DH250">
        <v>0.109509</v>
      </c>
      <c r="DI250">
        <v>0</v>
      </c>
      <c r="DJ250">
        <v>30.8949</v>
      </c>
      <c r="DK250">
        <v>999.9</v>
      </c>
      <c r="DL250">
        <v>63.2</v>
      </c>
      <c r="DM250">
        <v>36.4</v>
      </c>
      <c r="DN250">
        <v>38.559399999999997</v>
      </c>
      <c r="DO250">
        <v>30.2394</v>
      </c>
      <c r="DP250">
        <v>11.0296</v>
      </c>
      <c r="DQ250">
        <v>1</v>
      </c>
      <c r="DR250">
        <v>0.40482499999999999</v>
      </c>
      <c r="DS250">
        <v>-2.7471299999999998</v>
      </c>
      <c r="DT250">
        <v>20.340900000000001</v>
      </c>
      <c r="DU250">
        <v>5.2102199999999996</v>
      </c>
      <c r="DV250">
        <v>11.854200000000001</v>
      </c>
      <c r="DW250">
        <v>4.9673999999999996</v>
      </c>
      <c r="DX250">
        <v>3.2929400000000002</v>
      </c>
      <c r="DY250">
        <v>894.7</v>
      </c>
      <c r="DZ250">
        <v>6</v>
      </c>
      <c r="EA250">
        <v>9999</v>
      </c>
      <c r="EB250">
        <v>119.6</v>
      </c>
      <c r="EC250">
        <v>4.9715499999999997</v>
      </c>
      <c r="ED250">
        <v>1.8719399999999999</v>
      </c>
      <c r="EE250">
        <v>1.86913</v>
      </c>
      <c r="EF250">
        <v>1.8714999999999999</v>
      </c>
      <c r="EG250">
        <v>1.8692800000000001</v>
      </c>
      <c r="EH250">
        <v>1.8681399999999999</v>
      </c>
      <c r="EI250">
        <v>1.87002</v>
      </c>
      <c r="EJ250">
        <v>1.8717999999999999</v>
      </c>
      <c r="EK250">
        <v>0</v>
      </c>
      <c r="EL250">
        <v>0</v>
      </c>
      <c r="EM250">
        <v>0</v>
      </c>
      <c r="EN250">
        <v>0</v>
      </c>
      <c r="EO250" t="s">
        <v>320</v>
      </c>
      <c r="EP250" t="s">
        <v>321</v>
      </c>
      <c r="EQ250" t="s">
        <v>322</v>
      </c>
      <c r="ER250" t="s">
        <v>322</v>
      </c>
      <c r="ES250" t="s">
        <v>322</v>
      </c>
      <c r="ET250" t="s">
        <v>322</v>
      </c>
      <c r="EU250">
        <v>0</v>
      </c>
      <c r="EV250">
        <v>100</v>
      </c>
      <c r="EW250">
        <v>100</v>
      </c>
      <c r="EX250">
        <v>7.3479999999999999</v>
      </c>
      <c r="EY250">
        <v>-1.3380000000000001</v>
      </c>
      <c r="EZ250">
        <v>7.3558914999999994</v>
      </c>
      <c r="FA250">
        <v>0</v>
      </c>
      <c r="FB250">
        <v>0</v>
      </c>
      <c r="FC250">
        <v>0</v>
      </c>
      <c r="FD250">
        <v>-1.3516465499999999</v>
      </c>
      <c r="FE250">
        <v>0</v>
      </c>
      <c r="FF250">
        <v>0</v>
      </c>
      <c r="FG250">
        <v>0</v>
      </c>
      <c r="FH250">
        <v>-1</v>
      </c>
      <c r="FI250">
        <v>-1</v>
      </c>
      <c r="FJ250">
        <v>-1</v>
      </c>
      <c r="FK250">
        <v>-1</v>
      </c>
      <c r="FL250">
        <v>0.7</v>
      </c>
      <c r="FM250">
        <v>0.3</v>
      </c>
      <c r="FN250">
        <v>0.14038100000000001</v>
      </c>
      <c r="FO250">
        <v>4.99756</v>
      </c>
      <c r="FP250">
        <v>1.5979000000000001</v>
      </c>
      <c r="FQ250">
        <v>2.1227999999999998</v>
      </c>
      <c r="FR250">
        <v>1.5478499999999999</v>
      </c>
      <c r="FS250">
        <v>2.4267599999999998</v>
      </c>
      <c r="FT250">
        <v>38.895099999999999</v>
      </c>
      <c r="FU250">
        <v>14.3772</v>
      </c>
      <c r="FV250">
        <v>2</v>
      </c>
      <c r="FW250">
        <v>503.74700000000001</v>
      </c>
      <c r="FX250">
        <v>377.28399999999999</v>
      </c>
      <c r="FY250">
        <v>36.151000000000003</v>
      </c>
      <c r="FZ250">
        <v>32.3108</v>
      </c>
      <c r="GA250">
        <v>29.999500000000001</v>
      </c>
      <c r="GB250">
        <v>32.647599999999997</v>
      </c>
      <c r="GC250">
        <v>32.683300000000003</v>
      </c>
      <c r="GD250">
        <v>-1</v>
      </c>
      <c r="GE250">
        <v>0</v>
      </c>
      <c r="GF250">
        <v>100</v>
      </c>
      <c r="GG250">
        <v>36.166400000000003</v>
      </c>
      <c r="GH250">
        <v>432.1</v>
      </c>
      <c r="GI250">
        <v>44.267099999999999</v>
      </c>
      <c r="GJ250">
        <v>101.67700000000001</v>
      </c>
      <c r="GK250">
        <v>96.105999999999995</v>
      </c>
    </row>
    <row r="251" spans="1:193" x14ac:dyDescent="0.35">
      <c r="A251">
        <v>235</v>
      </c>
      <c r="B251">
        <v>1775546068</v>
      </c>
      <c r="C251">
        <v>14041.900000095369</v>
      </c>
      <c r="D251" t="s">
        <v>1022</v>
      </c>
      <c r="E251" t="s">
        <v>1023</v>
      </c>
      <c r="F251">
        <v>60</v>
      </c>
      <c r="G251">
        <v>1775546060</v>
      </c>
      <c r="H251">
        <f t="shared" si="90"/>
        <v>5.3272800971338047E-3</v>
      </c>
      <c r="I251">
        <f t="shared" si="91"/>
        <v>5.327280097133805</v>
      </c>
      <c r="J251">
        <f t="shared" si="92"/>
        <v>1.9621354123161756</v>
      </c>
      <c r="K251">
        <f t="shared" si="93"/>
        <v>5.919027483870968</v>
      </c>
      <c r="L251">
        <f t="shared" si="94"/>
        <v>-21.821087741862243</v>
      </c>
      <c r="M251">
        <f t="shared" si="95"/>
        <v>-2.1830961185041375</v>
      </c>
      <c r="N251">
        <f t="shared" si="96"/>
        <v>0.5921705681320566</v>
      </c>
      <c r="O251">
        <f t="shared" si="97"/>
        <v>0.11322028745810879</v>
      </c>
      <c r="P251">
        <f t="shared" si="98"/>
        <v>2.3899132885778092</v>
      </c>
      <c r="Q251">
        <f t="shared" si="99"/>
        <v>0.11032269058423151</v>
      </c>
      <c r="R251">
        <f t="shared" si="100"/>
        <v>6.9205842590638472E-2</v>
      </c>
      <c r="S251">
        <f t="shared" si="101"/>
        <v>9.3602401267741941E-2</v>
      </c>
      <c r="T251">
        <f t="shared" si="102"/>
        <v>31.576675374047934</v>
      </c>
      <c r="U251">
        <f t="shared" si="103"/>
        <v>32.717154838709668</v>
      </c>
      <c r="V251">
        <f t="shared" si="104"/>
        <v>4.9723691375413379</v>
      </c>
      <c r="W251">
        <f t="shared" si="105"/>
        <v>5.2316775190275351</v>
      </c>
      <c r="X251">
        <f t="shared" si="106"/>
        <v>0.26788912539667603</v>
      </c>
      <c r="Y251">
        <f t="shared" si="107"/>
        <v>5.1205206059121036</v>
      </c>
      <c r="Z251">
        <f t="shared" si="108"/>
        <v>4.7044800121446615</v>
      </c>
      <c r="AA251">
        <f t="shared" si="109"/>
        <v>-234.93305228360077</v>
      </c>
      <c r="AB251">
        <f t="shared" si="110"/>
        <v>67.314033901333147</v>
      </c>
      <c r="AC251">
        <f t="shared" si="111"/>
        <v>6.4492201518817538</v>
      </c>
      <c r="AD251">
        <f t="shared" si="112"/>
        <v>-161.07619582911812</v>
      </c>
      <c r="AE251">
        <v>8</v>
      </c>
      <c r="AF251">
        <v>2</v>
      </c>
      <c r="AG251">
        <f t="shared" si="113"/>
        <v>1</v>
      </c>
      <c r="AH251">
        <f t="shared" si="114"/>
        <v>0</v>
      </c>
      <c r="AI251">
        <f t="shared" si="115"/>
        <v>25030.754634024819</v>
      </c>
      <c r="AJ251">
        <f t="shared" si="116"/>
        <v>0.48980848387096781</v>
      </c>
      <c r="AK251">
        <f t="shared" si="117"/>
        <v>0.39184678709677428</v>
      </c>
      <c r="AL251">
        <f t="shared" si="118"/>
        <v>0.8</v>
      </c>
      <c r="AM251">
        <f t="shared" si="119"/>
        <v>0.19109999999999999</v>
      </c>
      <c r="AN251">
        <v>3</v>
      </c>
      <c r="AO251">
        <v>0.5</v>
      </c>
      <c r="AP251" t="s">
        <v>317</v>
      </c>
      <c r="AQ251">
        <v>2</v>
      </c>
      <c r="AR251">
        <v>1775546060</v>
      </c>
      <c r="AS251">
        <v>5.919027483870968</v>
      </c>
      <c r="AT251">
        <v>7.1129558064516134</v>
      </c>
      <c r="AU251">
        <v>2.6776796774193552</v>
      </c>
      <c r="AV251">
        <v>-0.50407393548387092</v>
      </c>
      <c r="AW251">
        <v>-1.451972516129032</v>
      </c>
      <c r="AX251">
        <v>4.0226796774193554</v>
      </c>
      <c r="AY251">
        <v>500.95161290322568</v>
      </c>
      <c r="AZ251">
        <v>100.00467741935481</v>
      </c>
      <c r="BA251">
        <v>4.0569835483870963E-2</v>
      </c>
      <c r="BB251">
        <v>33.239596774193558</v>
      </c>
      <c r="BC251">
        <v>32.717154838709668</v>
      </c>
      <c r="BD251">
        <v>999.90000000000032</v>
      </c>
      <c r="BE251">
        <v>0</v>
      </c>
      <c r="BF251">
        <v>0</v>
      </c>
      <c r="BG251">
        <v>5004.6129032258068</v>
      </c>
      <c r="BH251">
        <v>0.48980848387096781</v>
      </c>
      <c r="BI251">
        <v>159.53729032258059</v>
      </c>
      <c r="BJ251">
        <v>-1.2171681935483869</v>
      </c>
      <c r="BK251">
        <v>5.9116051612903231</v>
      </c>
      <c r="BL251">
        <v>7.1093709677419374</v>
      </c>
      <c r="BM251">
        <v>3.1884600000000001</v>
      </c>
      <c r="BN251">
        <v>7.1129558064516134</v>
      </c>
      <c r="BO251">
        <v>-0.50407393548387092</v>
      </c>
      <c r="BP251">
        <v>0.26845119354838709</v>
      </c>
      <c r="BQ251">
        <v>-5.0409754838709672E-2</v>
      </c>
      <c r="BR251">
        <v>-10.96686129032258</v>
      </c>
      <c r="BS251">
        <v>-99.900000000000034</v>
      </c>
      <c r="BT251">
        <v>1775546094</v>
      </c>
      <c r="BU251" t="s">
        <v>1024</v>
      </c>
      <c r="BV251">
        <v>1775546088.5</v>
      </c>
      <c r="BW251">
        <v>1775546094</v>
      </c>
      <c r="BX251">
        <v>236</v>
      </c>
      <c r="BY251">
        <v>2.3E-2</v>
      </c>
      <c r="BZ251">
        <v>-7.0000000000000001E-3</v>
      </c>
      <c r="CA251">
        <v>7.3710000000000004</v>
      </c>
      <c r="CB251">
        <v>-1.345</v>
      </c>
      <c r="CC251">
        <v>8</v>
      </c>
      <c r="CD251">
        <v>0</v>
      </c>
      <c r="CE251">
        <v>0.22</v>
      </c>
      <c r="CF251">
        <v>0.02</v>
      </c>
      <c r="CG251">
        <v>7.0849611475409819</v>
      </c>
      <c r="CH251">
        <v>0.32463883659438941</v>
      </c>
      <c r="CI251">
        <v>0.18693954141535921</v>
      </c>
      <c r="CJ251">
        <v>-1</v>
      </c>
      <c r="CK251">
        <v>500.83814754098358</v>
      </c>
      <c r="CL251">
        <v>0.45718032786851842</v>
      </c>
      <c r="CM251">
        <v>1.615568080934159</v>
      </c>
      <c r="CN251">
        <v>-1</v>
      </c>
      <c r="CO251">
        <v>0</v>
      </c>
      <c r="CP251">
        <v>0</v>
      </c>
      <c r="CQ251" t="s">
        <v>319</v>
      </c>
      <c r="CR251">
        <v>3.1677399999999998</v>
      </c>
      <c r="CS251">
        <v>2.6613799999999999</v>
      </c>
      <c r="CT251">
        <v>-4.7118600000000001E-4</v>
      </c>
      <c r="CU251">
        <v>2.1514099999999999E-3</v>
      </c>
      <c r="CV251">
        <v>2.8580899999999999E-2</v>
      </c>
      <c r="CW251">
        <v>-4.19821E-3</v>
      </c>
      <c r="CX251">
        <v>21463.8</v>
      </c>
      <c r="CY251">
        <v>21833.3</v>
      </c>
      <c r="CZ251">
        <v>22982</v>
      </c>
      <c r="DA251">
        <v>22238.400000000001</v>
      </c>
      <c r="DB251">
        <v>28794.799999999999</v>
      </c>
      <c r="DC251">
        <v>26611.1</v>
      </c>
      <c r="DD251">
        <v>40402.9</v>
      </c>
      <c r="DE251">
        <v>36824.800000000003</v>
      </c>
      <c r="DF251">
        <v>2.0655600000000001</v>
      </c>
      <c r="DG251">
        <v>1.7236400000000001</v>
      </c>
      <c r="DH251">
        <v>0.114173</v>
      </c>
      <c r="DI251">
        <v>0</v>
      </c>
      <c r="DJ251">
        <v>30.8659</v>
      </c>
      <c r="DK251">
        <v>999.9</v>
      </c>
      <c r="DL251">
        <v>63.4</v>
      </c>
      <c r="DM251">
        <v>36.299999999999997</v>
      </c>
      <c r="DN251">
        <v>38.467599999999997</v>
      </c>
      <c r="DO251">
        <v>30.2394</v>
      </c>
      <c r="DP251">
        <v>11.041700000000001</v>
      </c>
      <c r="DQ251">
        <v>1</v>
      </c>
      <c r="DR251">
        <v>0.39744099999999999</v>
      </c>
      <c r="DS251">
        <v>-2.2764199999999999</v>
      </c>
      <c r="DT251">
        <v>20.349499999999999</v>
      </c>
      <c r="DU251">
        <v>5.2100999999999997</v>
      </c>
      <c r="DV251">
        <v>11.854200000000001</v>
      </c>
      <c r="DW251">
        <v>4.9678399999999998</v>
      </c>
      <c r="DX251">
        <v>3.29284</v>
      </c>
      <c r="DY251">
        <v>894.7</v>
      </c>
      <c r="DZ251">
        <v>6</v>
      </c>
      <c r="EA251">
        <v>9999</v>
      </c>
      <c r="EB251">
        <v>119.6</v>
      </c>
      <c r="EC251">
        <v>4.9715600000000002</v>
      </c>
      <c r="ED251">
        <v>1.87195</v>
      </c>
      <c r="EE251">
        <v>1.86914</v>
      </c>
      <c r="EF251">
        <v>1.8714900000000001</v>
      </c>
      <c r="EG251">
        <v>1.86921</v>
      </c>
      <c r="EH251">
        <v>1.8681399999999999</v>
      </c>
      <c r="EI251">
        <v>1.87001</v>
      </c>
      <c r="EJ251">
        <v>1.8717999999999999</v>
      </c>
      <c r="EK251">
        <v>0</v>
      </c>
      <c r="EL251">
        <v>0</v>
      </c>
      <c r="EM251">
        <v>0</v>
      </c>
      <c r="EN251">
        <v>0</v>
      </c>
      <c r="EO251" t="s">
        <v>320</v>
      </c>
      <c r="EP251" t="s">
        <v>321</v>
      </c>
      <c r="EQ251" t="s">
        <v>322</v>
      </c>
      <c r="ER251" t="s">
        <v>322</v>
      </c>
      <c r="ES251" t="s">
        <v>322</v>
      </c>
      <c r="ET251" t="s">
        <v>322</v>
      </c>
      <c r="EU251">
        <v>0</v>
      </c>
      <c r="EV251">
        <v>100</v>
      </c>
      <c r="EW251">
        <v>100</v>
      </c>
      <c r="EX251">
        <v>7.3710000000000004</v>
      </c>
      <c r="EY251">
        <v>-1.345</v>
      </c>
      <c r="EZ251">
        <v>7.3477587857142854</v>
      </c>
      <c r="FA251">
        <v>0</v>
      </c>
      <c r="FB251">
        <v>0</v>
      </c>
      <c r="FC251">
        <v>0</v>
      </c>
      <c r="FD251">
        <v>-1.3382938</v>
      </c>
      <c r="FE251">
        <v>0</v>
      </c>
      <c r="FF251">
        <v>0</v>
      </c>
      <c r="FG251">
        <v>0</v>
      </c>
      <c r="FH251">
        <v>-1</v>
      </c>
      <c r="FI251">
        <v>-1</v>
      </c>
      <c r="FJ251">
        <v>-1</v>
      </c>
      <c r="FK251">
        <v>-1</v>
      </c>
      <c r="FL251">
        <v>0.7</v>
      </c>
      <c r="FM251">
        <v>0.3</v>
      </c>
      <c r="FN251">
        <v>0.14038100000000001</v>
      </c>
      <c r="FO251">
        <v>4.99756</v>
      </c>
      <c r="FP251">
        <v>1.5979000000000001</v>
      </c>
      <c r="FQ251">
        <v>2.1227999999999998</v>
      </c>
      <c r="FR251">
        <v>1.5478499999999999</v>
      </c>
      <c r="FS251">
        <v>2.4426299999999999</v>
      </c>
      <c r="FT251">
        <v>38.771700000000003</v>
      </c>
      <c r="FU251">
        <v>14.3772</v>
      </c>
      <c r="FV251">
        <v>2</v>
      </c>
      <c r="FW251">
        <v>503.69400000000002</v>
      </c>
      <c r="FX251">
        <v>377.76299999999998</v>
      </c>
      <c r="FY251">
        <v>35.906799999999997</v>
      </c>
      <c r="FZ251">
        <v>32.241</v>
      </c>
      <c r="GA251">
        <v>29.999600000000001</v>
      </c>
      <c r="GB251">
        <v>32.576999999999998</v>
      </c>
      <c r="GC251">
        <v>32.607999999999997</v>
      </c>
      <c r="GD251">
        <v>-1</v>
      </c>
      <c r="GE251">
        <v>0</v>
      </c>
      <c r="GF251">
        <v>100</v>
      </c>
      <c r="GG251">
        <v>35.8643</v>
      </c>
      <c r="GH251">
        <v>432.1</v>
      </c>
      <c r="GI251">
        <v>44.267099999999999</v>
      </c>
      <c r="GJ251">
        <v>101.68899999999999</v>
      </c>
      <c r="GK251">
        <v>96.119</v>
      </c>
    </row>
    <row r="252" spans="1:193" x14ac:dyDescent="0.35">
      <c r="A252">
        <v>236</v>
      </c>
      <c r="B252">
        <v>1775546128.0999999</v>
      </c>
      <c r="C252">
        <v>14102</v>
      </c>
      <c r="D252" t="s">
        <v>1025</v>
      </c>
      <c r="E252" t="s">
        <v>1026</v>
      </c>
      <c r="F252">
        <v>60</v>
      </c>
      <c r="G252">
        <v>1775546120.099999</v>
      </c>
      <c r="H252">
        <f t="shared" si="90"/>
        <v>5.4616248923039486E-3</v>
      </c>
      <c r="I252">
        <f t="shared" si="91"/>
        <v>5.4616248923039485</v>
      </c>
      <c r="J252">
        <f t="shared" si="92"/>
        <v>2.2037294575857427</v>
      </c>
      <c r="K252">
        <f t="shared" si="93"/>
        <v>6.4189710645161293</v>
      </c>
      <c r="L252">
        <f t="shared" si="94"/>
        <v>-23.782776481749138</v>
      </c>
      <c r="M252">
        <f t="shared" si="95"/>
        <v>-2.3794207816728945</v>
      </c>
      <c r="N252">
        <f t="shared" si="96"/>
        <v>0.64220563816791809</v>
      </c>
      <c r="O252">
        <f t="shared" si="97"/>
        <v>0.11688784665757233</v>
      </c>
      <c r="P252">
        <f t="shared" si="98"/>
        <v>2.3900441044547294</v>
      </c>
      <c r="Q252">
        <f t="shared" si="99"/>
        <v>0.11380240395126852</v>
      </c>
      <c r="R252">
        <f t="shared" si="100"/>
        <v>7.1396933516400113E-2</v>
      </c>
      <c r="S252">
        <f t="shared" si="101"/>
        <v>8.9313574790322578E-2</v>
      </c>
      <c r="T252">
        <f t="shared" si="102"/>
        <v>31.500172018608243</v>
      </c>
      <c r="U252">
        <f t="shared" si="103"/>
        <v>32.669629032258072</v>
      </c>
      <c r="V252">
        <f t="shared" si="104"/>
        <v>4.9590790124392443</v>
      </c>
      <c r="W252">
        <f t="shared" si="105"/>
        <v>5.5444044370156762</v>
      </c>
      <c r="X252">
        <f t="shared" si="106"/>
        <v>0.28335258130880581</v>
      </c>
      <c r="Y252">
        <f t="shared" si="107"/>
        <v>5.1106044756959106</v>
      </c>
      <c r="Z252">
        <f t="shared" si="108"/>
        <v>4.675726431130439</v>
      </c>
      <c r="AA252">
        <f t="shared" si="109"/>
        <v>-240.85765775060415</v>
      </c>
      <c r="AB252">
        <f t="shared" si="110"/>
        <v>68.989054331559785</v>
      </c>
      <c r="AC252">
        <f t="shared" si="111"/>
        <v>6.6066797706758082</v>
      </c>
      <c r="AD252">
        <f t="shared" si="112"/>
        <v>-165.17261007357826</v>
      </c>
      <c r="AE252">
        <v>7</v>
      </c>
      <c r="AF252">
        <v>1</v>
      </c>
      <c r="AG252">
        <f t="shared" si="113"/>
        <v>1</v>
      </c>
      <c r="AH252">
        <f t="shared" si="114"/>
        <v>0</v>
      </c>
      <c r="AI252">
        <f t="shared" si="115"/>
        <v>25035.416997398541</v>
      </c>
      <c r="AJ252">
        <f t="shared" si="116"/>
        <v>0.46736564516129031</v>
      </c>
      <c r="AK252">
        <f t="shared" si="117"/>
        <v>0.37389251612903229</v>
      </c>
      <c r="AL252">
        <f t="shared" si="118"/>
        <v>0.8</v>
      </c>
      <c r="AM252">
        <f t="shared" si="119"/>
        <v>0.19109999999999999</v>
      </c>
      <c r="AN252">
        <v>3</v>
      </c>
      <c r="AO252">
        <v>0.5</v>
      </c>
      <c r="AP252" t="s">
        <v>317</v>
      </c>
      <c r="AQ252">
        <v>2</v>
      </c>
      <c r="AR252">
        <v>1775546120.099999</v>
      </c>
      <c r="AS252">
        <v>6.4189710645161293</v>
      </c>
      <c r="AT252">
        <v>7.762301612903225</v>
      </c>
      <c r="AU252">
        <v>2.8321645161290321</v>
      </c>
      <c r="AV252">
        <v>-0.43567074193548389</v>
      </c>
      <c r="AW252">
        <v>-0.930028935483871</v>
      </c>
      <c r="AX252">
        <v>4.1681645161290319</v>
      </c>
      <c r="AY252">
        <v>499.97838709677421</v>
      </c>
      <c r="AZ252">
        <v>100.0075483870968</v>
      </c>
      <c r="BA252">
        <v>4.0517216129032238E-2</v>
      </c>
      <c r="BB252">
        <v>33.205041935483877</v>
      </c>
      <c r="BC252">
        <v>32.669629032258072</v>
      </c>
      <c r="BD252">
        <v>999.90000000000032</v>
      </c>
      <c r="BE252">
        <v>0</v>
      </c>
      <c r="BF252">
        <v>0</v>
      </c>
      <c r="BG252">
        <v>5004.8064516129034</v>
      </c>
      <c r="BH252">
        <v>0.46736564516129031</v>
      </c>
      <c r="BI252">
        <v>161.3998387096774</v>
      </c>
      <c r="BJ252">
        <v>-1.3216049677419359</v>
      </c>
      <c r="BK252">
        <v>6.458929677419353</v>
      </c>
      <c r="BL252">
        <v>7.758919999999998</v>
      </c>
      <c r="BM252">
        <v>3.258653225806452</v>
      </c>
      <c r="BN252">
        <v>7.762301612903225</v>
      </c>
      <c r="BO252">
        <v>-0.43567074193548389</v>
      </c>
      <c r="BP252">
        <v>0.28231935483870968</v>
      </c>
      <c r="BQ252">
        <v>-4.3570370967741932E-2</v>
      </c>
      <c r="BR252">
        <v>-10.235380645161291</v>
      </c>
      <c r="BS252">
        <v>-99.900000000000034</v>
      </c>
      <c r="BT252">
        <v>1775546162.0999999</v>
      </c>
      <c r="BU252" t="s">
        <v>1027</v>
      </c>
      <c r="BV252">
        <v>1775546146.5999999</v>
      </c>
      <c r="BW252">
        <v>1775546162.0999999</v>
      </c>
      <c r="BX252">
        <v>237</v>
      </c>
      <c r="BY252">
        <v>-2.1999999999999999E-2</v>
      </c>
      <c r="BZ252">
        <v>0.01</v>
      </c>
      <c r="CA252">
        <v>7.3490000000000002</v>
      </c>
      <c r="CB252">
        <v>-1.3360000000000001</v>
      </c>
      <c r="CC252">
        <v>7</v>
      </c>
      <c r="CD252">
        <v>-1</v>
      </c>
      <c r="CE252">
        <v>0.28000000000000003</v>
      </c>
      <c r="CF252">
        <v>0.03</v>
      </c>
      <c r="CG252">
        <v>7.9713027868852464</v>
      </c>
      <c r="CH252">
        <v>-2.2519133368588151</v>
      </c>
      <c r="CI252">
        <v>0.71571351241005055</v>
      </c>
      <c r="CJ252">
        <v>-1</v>
      </c>
      <c r="CK252">
        <v>500.75313114754101</v>
      </c>
      <c r="CL252">
        <v>-7.4800676890540361</v>
      </c>
      <c r="CM252">
        <v>1.6248782095637451</v>
      </c>
      <c r="CN252">
        <v>-1</v>
      </c>
      <c r="CO252">
        <v>0</v>
      </c>
      <c r="CP252">
        <v>0</v>
      </c>
      <c r="CQ252" t="s">
        <v>319</v>
      </c>
      <c r="CR252">
        <v>3.1676799999999998</v>
      </c>
      <c r="CS252">
        <v>2.6616499999999998</v>
      </c>
      <c r="CT252">
        <v>-2.4378400000000001E-4</v>
      </c>
      <c r="CU252">
        <v>2.3327199999999999E-3</v>
      </c>
      <c r="CV252">
        <v>2.8692700000000002E-2</v>
      </c>
      <c r="CW252">
        <v>-3.6901199999999999E-3</v>
      </c>
      <c r="CX252">
        <v>21459.4</v>
      </c>
      <c r="CY252">
        <v>21830.400000000001</v>
      </c>
      <c r="CZ252">
        <v>22982.3</v>
      </c>
      <c r="DA252">
        <v>22239.4</v>
      </c>
      <c r="DB252">
        <v>28791.5</v>
      </c>
      <c r="DC252">
        <v>26598.799999999999</v>
      </c>
      <c r="DD252">
        <v>40402.699999999997</v>
      </c>
      <c r="DE252">
        <v>36826.300000000003</v>
      </c>
      <c r="DF252">
        <v>2.0678800000000002</v>
      </c>
      <c r="DG252">
        <v>1.7261</v>
      </c>
      <c r="DH252">
        <v>0.10768800000000001</v>
      </c>
      <c r="DI252">
        <v>0</v>
      </c>
      <c r="DJ252">
        <v>30.906500000000001</v>
      </c>
      <c r="DK252">
        <v>999.9</v>
      </c>
      <c r="DL252">
        <v>63.5</v>
      </c>
      <c r="DM252">
        <v>36.200000000000003</v>
      </c>
      <c r="DN252">
        <v>38.317599999999999</v>
      </c>
      <c r="DO252">
        <v>30.160299999999999</v>
      </c>
      <c r="DP252">
        <v>11.1218</v>
      </c>
      <c r="DQ252">
        <v>1</v>
      </c>
      <c r="DR252">
        <v>0.39300800000000002</v>
      </c>
      <c r="DS252">
        <v>-2.38754</v>
      </c>
      <c r="DT252">
        <v>20.345800000000001</v>
      </c>
      <c r="DU252">
        <v>5.2074699999999998</v>
      </c>
      <c r="DV252">
        <v>11.854200000000001</v>
      </c>
      <c r="DW252">
        <v>4.9672000000000001</v>
      </c>
      <c r="DX252">
        <v>3.2922199999999999</v>
      </c>
      <c r="DY252">
        <v>894.7</v>
      </c>
      <c r="DZ252">
        <v>6</v>
      </c>
      <c r="EA252">
        <v>9999</v>
      </c>
      <c r="EB252">
        <v>119.7</v>
      </c>
      <c r="EC252">
        <v>4.9715400000000001</v>
      </c>
      <c r="ED252">
        <v>1.8719399999999999</v>
      </c>
      <c r="EE252">
        <v>1.86907</v>
      </c>
      <c r="EF252">
        <v>1.8714900000000001</v>
      </c>
      <c r="EG252">
        <v>1.8692200000000001</v>
      </c>
      <c r="EH252">
        <v>1.8681300000000001</v>
      </c>
      <c r="EI252">
        <v>1.8699600000000001</v>
      </c>
      <c r="EJ252">
        <v>1.8717999999999999</v>
      </c>
      <c r="EK252">
        <v>0</v>
      </c>
      <c r="EL252">
        <v>0</v>
      </c>
      <c r="EM252">
        <v>0</v>
      </c>
      <c r="EN252">
        <v>0</v>
      </c>
      <c r="EO252" t="s">
        <v>320</v>
      </c>
      <c r="EP252" t="s">
        <v>321</v>
      </c>
      <c r="EQ252" t="s">
        <v>322</v>
      </c>
      <c r="ER252" t="s">
        <v>322</v>
      </c>
      <c r="ES252" t="s">
        <v>322</v>
      </c>
      <c r="ET252" t="s">
        <v>322</v>
      </c>
      <c r="EU252">
        <v>0</v>
      </c>
      <c r="EV252">
        <v>100</v>
      </c>
      <c r="EW252">
        <v>100</v>
      </c>
      <c r="EX252">
        <v>7.3490000000000002</v>
      </c>
      <c r="EY252">
        <v>-1.3360000000000001</v>
      </c>
      <c r="EZ252">
        <v>7.3707255714285704</v>
      </c>
      <c r="FA252">
        <v>0</v>
      </c>
      <c r="FB252">
        <v>0</v>
      </c>
      <c r="FC252">
        <v>0</v>
      </c>
      <c r="FD252">
        <v>-1.3451827999999999</v>
      </c>
      <c r="FE252">
        <v>0</v>
      </c>
      <c r="FF252">
        <v>0</v>
      </c>
      <c r="FG252">
        <v>0</v>
      </c>
      <c r="FH252">
        <v>-1</v>
      </c>
      <c r="FI252">
        <v>-1</v>
      </c>
      <c r="FJ252">
        <v>-1</v>
      </c>
      <c r="FK252">
        <v>-1</v>
      </c>
      <c r="FL252">
        <v>0.7</v>
      </c>
      <c r="FM252">
        <v>0.6</v>
      </c>
      <c r="FN252">
        <v>0.14038100000000001</v>
      </c>
      <c r="FO252">
        <v>4.99756</v>
      </c>
      <c r="FP252">
        <v>1.5979000000000001</v>
      </c>
      <c r="FQ252">
        <v>2.1240199999999998</v>
      </c>
      <c r="FR252">
        <v>1.5478499999999999</v>
      </c>
      <c r="FS252">
        <v>2.3754900000000001</v>
      </c>
      <c r="FT252">
        <v>38.697899999999997</v>
      </c>
      <c r="FU252">
        <v>14.350899999999999</v>
      </c>
      <c r="FV252">
        <v>2</v>
      </c>
      <c r="FW252">
        <v>504.51900000000001</v>
      </c>
      <c r="FX252">
        <v>378.77499999999998</v>
      </c>
      <c r="FY252">
        <v>35.448</v>
      </c>
      <c r="FZ252">
        <v>32.192500000000003</v>
      </c>
      <c r="GA252">
        <v>29.9999</v>
      </c>
      <c r="GB252">
        <v>32.503100000000003</v>
      </c>
      <c r="GC252">
        <v>32.548900000000003</v>
      </c>
      <c r="GD252">
        <v>-1</v>
      </c>
      <c r="GE252">
        <v>0</v>
      </c>
      <c r="GF252">
        <v>100</v>
      </c>
      <c r="GG252">
        <v>35.744900000000001</v>
      </c>
      <c r="GH252">
        <v>432.1</v>
      </c>
      <c r="GI252">
        <v>44.267099999999999</v>
      </c>
      <c r="GJ252">
        <v>101.68899999999999</v>
      </c>
      <c r="GK252">
        <v>96.123099999999994</v>
      </c>
    </row>
    <row r="253" spans="1:193" x14ac:dyDescent="0.35">
      <c r="A253">
        <v>237</v>
      </c>
      <c r="B253">
        <v>1775546188.0999999</v>
      </c>
      <c r="C253">
        <v>14162</v>
      </c>
      <c r="D253" t="s">
        <v>1028</v>
      </c>
      <c r="E253" t="s">
        <v>1029</v>
      </c>
      <c r="F253">
        <v>60</v>
      </c>
      <c r="G253">
        <v>1775546180.099999</v>
      </c>
      <c r="H253">
        <f t="shared" si="90"/>
        <v>5.5947305023093773E-3</v>
      </c>
      <c r="I253">
        <f t="shared" si="91"/>
        <v>5.5947305023093774</v>
      </c>
      <c r="J253">
        <f t="shared" si="92"/>
        <v>2.1115485948207766</v>
      </c>
      <c r="K253">
        <f t="shared" si="93"/>
        <v>5.6266454838709681</v>
      </c>
      <c r="L253">
        <f t="shared" si="94"/>
        <v>-22.530363733553546</v>
      </c>
      <c r="M253">
        <f t="shared" si="95"/>
        <v>-2.2541493973077289</v>
      </c>
      <c r="N253">
        <f t="shared" si="96"/>
        <v>0.5629425106636553</v>
      </c>
      <c r="O253">
        <f t="shared" si="97"/>
        <v>0.12009687934395082</v>
      </c>
      <c r="P253">
        <f t="shared" si="98"/>
        <v>2.3915906687155357</v>
      </c>
      <c r="Q253">
        <f t="shared" si="99"/>
        <v>0.11684427924461517</v>
      </c>
      <c r="R253">
        <f t="shared" si="100"/>
        <v>7.3312570409515276E-2</v>
      </c>
      <c r="S253">
        <f t="shared" si="101"/>
        <v>9.0438716109677436E-2</v>
      </c>
      <c r="T253">
        <f t="shared" si="102"/>
        <v>31.425051911895128</v>
      </c>
      <c r="U253">
        <f t="shared" si="103"/>
        <v>32.612619354838714</v>
      </c>
      <c r="V253">
        <f t="shared" si="104"/>
        <v>4.9431776054804999</v>
      </c>
      <c r="W253">
        <f t="shared" si="105"/>
        <v>5.442559456595319</v>
      </c>
      <c r="X253">
        <f t="shared" si="106"/>
        <v>0.27760910639573472</v>
      </c>
      <c r="Y253">
        <f t="shared" si="107"/>
        <v>5.1007087494345456</v>
      </c>
      <c r="Z253">
        <f t="shared" si="108"/>
        <v>4.665568499084765</v>
      </c>
      <c r="AA253">
        <f t="shared" si="109"/>
        <v>-246.72761515184354</v>
      </c>
      <c r="AB253">
        <f t="shared" si="110"/>
        <v>71.930584293355551</v>
      </c>
      <c r="AC253">
        <f t="shared" si="111"/>
        <v>6.8808293697204626</v>
      </c>
      <c r="AD253">
        <f t="shared" si="112"/>
        <v>-167.82576277265787</v>
      </c>
      <c r="AE253">
        <v>8</v>
      </c>
      <c r="AF253">
        <v>2</v>
      </c>
      <c r="AG253">
        <f t="shared" si="113"/>
        <v>1</v>
      </c>
      <c r="AH253">
        <f t="shared" si="114"/>
        <v>0</v>
      </c>
      <c r="AI253">
        <f t="shared" si="115"/>
        <v>25061.241885449461</v>
      </c>
      <c r="AJ253">
        <f t="shared" si="116"/>
        <v>0.47325335483870978</v>
      </c>
      <c r="AK253">
        <f t="shared" si="117"/>
        <v>0.37860268387096785</v>
      </c>
      <c r="AL253">
        <f t="shared" si="118"/>
        <v>0.8</v>
      </c>
      <c r="AM253">
        <f t="shared" si="119"/>
        <v>0.19109999999999999</v>
      </c>
      <c r="AN253">
        <v>3</v>
      </c>
      <c r="AO253">
        <v>0.5</v>
      </c>
      <c r="AP253" t="s">
        <v>317</v>
      </c>
      <c r="AQ253">
        <v>2</v>
      </c>
      <c r="AR253">
        <v>1775546180.099999</v>
      </c>
      <c r="AS253">
        <v>5.6266454838709681</v>
      </c>
      <c r="AT253">
        <v>6.9124000000000017</v>
      </c>
      <c r="AU253">
        <v>2.7747203225806452</v>
      </c>
      <c r="AV253">
        <v>-0.5726412903225806</v>
      </c>
      <c r="AW253">
        <v>-1.712354516129033</v>
      </c>
      <c r="AX253">
        <v>4.0927203225806448</v>
      </c>
      <c r="AY253">
        <v>500.02425806451612</v>
      </c>
      <c r="AZ253">
        <v>100.00890322580651</v>
      </c>
      <c r="BA253">
        <v>4.0497838709677422E-2</v>
      </c>
      <c r="BB253">
        <v>33.170499999999997</v>
      </c>
      <c r="BC253">
        <v>32.612619354838714</v>
      </c>
      <c r="BD253">
        <v>999.90000000000032</v>
      </c>
      <c r="BE253">
        <v>0</v>
      </c>
      <c r="BF253">
        <v>0</v>
      </c>
      <c r="BG253">
        <v>5008.7258064516127</v>
      </c>
      <c r="BH253">
        <v>0.47325335483870978</v>
      </c>
      <c r="BI253">
        <v>162.96996774193551</v>
      </c>
      <c r="BJ253">
        <v>-1.276055193548387</v>
      </c>
      <c r="BK253">
        <v>5.6519280645161309</v>
      </c>
      <c r="BL253">
        <v>6.9084425806451613</v>
      </c>
      <c r="BM253">
        <v>3.3297400000000001</v>
      </c>
      <c r="BN253">
        <v>6.9124000000000017</v>
      </c>
      <c r="BO253">
        <v>-0.5726412903225806</v>
      </c>
      <c r="BP253">
        <v>0.27573451612903233</v>
      </c>
      <c r="BQ253">
        <v>-5.726927741935485E-2</v>
      </c>
      <c r="BR253">
        <v>-10.53300322580645</v>
      </c>
      <c r="BS253">
        <v>-99.900000000000034</v>
      </c>
      <c r="BT253">
        <v>1775546225.5999999</v>
      </c>
      <c r="BU253" t="s">
        <v>1030</v>
      </c>
      <c r="BV253">
        <v>1775546206.0999999</v>
      </c>
      <c r="BW253">
        <v>1775546225.5999999</v>
      </c>
      <c r="BX253">
        <v>238</v>
      </c>
      <c r="BY253">
        <v>-0.01</v>
      </c>
      <c r="BZ253">
        <v>1.7999999999999999E-2</v>
      </c>
      <c r="CA253">
        <v>7.3390000000000004</v>
      </c>
      <c r="CB253">
        <v>-1.3180000000000001</v>
      </c>
      <c r="CC253">
        <v>6</v>
      </c>
      <c r="CD253">
        <v>-1</v>
      </c>
      <c r="CE253">
        <v>0.12</v>
      </c>
      <c r="CF253">
        <v>0.03</v>
      </c>
      <c r="CG253">
        <v>7.0459385245901629</v>
      </c>
      <c r="CH253">
        <v>-0.81724860920149744</v>
      </c>
      <c r="CI253">
        <v>0.23286471047170079</v>
      </c>
      <c r="CJ253">
        <v>-1</v>
      </c>
      <c r="CK253">
        <v>500.88909836065568</v>
      </c>
      <c r="CL253">
        <v>-3.5275621364356802</v>
      </c>
      <c r="CM253">
        <v>1.596460005043099</v>
      </c>
      <c r="CN253">
        <v>-1</v>
      </c>
      <c r="CO253">
        <v>0</v>
      </c>
      <c r="CP253">
        <v>0</v>
      </c>
      <c r="CQ253" t="s">
        <v>319</v>
      </c>
      <c r="CR253">
        <v>3.1678099999999998</v>
      </c>
      <c r="CS253">
        <v>2.6609600000000002</v>
      </c>
      <c r="CT253">
        <v>-5.3118999999999996E-4</v>
      </c>
      <c r="CU253">
        <v>1.89507E-3</v>
      </c>
      <c r="CV253">
        <v>2.81649E-2</v>
      </c>
      <c r="CW253">
        <v>-4.9881099999999996E-3</v>
      </c>
      <c r="CX253">
        <v>21467.200000000001</v>
      </c>
      <c r="CY253">
        <v>21840.799999999999</v>
      </c>
      <c r="CZ253">
        <v>22983.9</v>
      </c>
      <c r="DA253">
        <v>22240.2</v>
      </c>
      <c r="DB253">
        <v>28809.200000000001</v>
      </c>
      <c r="DC253">
        <v>26634.2</v>
      </c>
      <c r="DD253">
        <v>40405.599999999999</v>
      </c>
      <c r="DE253">
        <v>36827.599999999999</v>
      </c>
      <c r="DF253">
        <v>2.0683400000000001</v>
      </c>
      <c r="DG253">
        <v>1.72648</v>
      </c>
      <c r="DH253">
        <v>0.10885599999999999</v>
      </c>
      <c r="DI253">
        <v>0</v>
      </c>
      <c r="DJ253">
        <v>30.837700000000002</v>
      </c>
      <c r="DK253">
        <v>999.9</v>
      </c>
      <c r="DL253">
        <v>63.7</v>
      </c>
      <c r="DM253">
        <v>36.1</v>
      </c>
      <c r="DN253">
        <v>38.2273</v>
      </c>
      <c r="DO253">
        <v>30.4603</v>
      </c>
      <c r="DP253">
        <v>11.117800000000001</v>
      </c>
      <c r="DQ253">
        <v>1</v>
      </c>
      <c r="DR253">
        <v>0.391488</v>
      </c>
      <c r="DS253">
        <v>-2.57525</v>
      </c>
      <c r="DT253">
        <v>20.344999999999999</v>
      </c>
      <c r="DU253">
        <v>5.2102199999999996</v>
      </c>
      <c r="DV253">
        <v>11.854200000000001</v>
      </c>
      <c r="DW253">
        <v>4.9676799999999997</v>
      </c>
      <c r="DX253">
        <v>3.2928600000000001</v>
      </c>
      <c r="DY253">
        <v>894.7</v>
      </c>
      <c r="DZ253">
        <v>6</v>
      </c>
      <c r="EA253">
        <v>9999</v>
      </c>
      <c r="EB253">
        <v>119.7</v>
      </c>
      <c r="EC253">
        <v>4.9715400000000001</v>
      </c>
      <c r="ED253">
        <v>1.8719399999999999</v>
      </c>
      <c r="EE253">
        <v>1.86907</v>
      </c>
      <c r="EF253">
        <v>1.8714900000000001</v>
      </c>
      <c r="EG253">
        <v>1.8692</v>
      </c>
      <c r="EH253">
        <v>1.8681300000000001</v>
      </c>
      <c r="EI253">
        <v>1.8699699999999999</v>
      </c>
      <c r="EJ253">
        <v>1.8717999999999999</v>
      </c>
      <c r="EK253">
        <v>0</v>
      </c>
      <c r="EL253">
        <v>0</v>
      </c>
      <c r="EM253">
        <v>0</v>
      </c>
      <c r="EN253">
        <v>0</v>
      </c>
      <c r="EO253" t="s">
        <v>320</v>
      </c>
      <c r="EP253" t="s">
        <v>321</v>
      </c>
      <c r="EQ253" t="s">
        <v>322</v>
      </c>
      <c r="ER253" t="s">
        <v>322</v>
      </c>
      <c r="ES253" t="s">
        <v>322</v>
      </c>
      <c r="ET253" t="s">
        <v>322</v>
      </c>
      <c r="EU253">
        <v>0</v>
      </c>
      <c r="EV253">
        <v>100</v>
      </c>
      <c r="EW253">
        <v>100</v>
      </c>
      <c r="EX253">
        <v>7.3390000000000004</v>
      </c>
      <c r="EY253">
        <v>-1.3180000000000001</v>
      </c>
      <c r="EZ253">
        <v>7.3486985190476188</v>
      </c>
      <c r="FA253">
        <v>0</v>
      </c>
      <c r="FB253">
        <v>0</v>
      </c>
      <c r="FC253">
        <v>0</v>
      </c>
      <c r="FD253">
        <v>-1.3356228999999999</v>
      </c>
      <c r="FE253">
        <v>0</v>
      </c>
      <c r="FF253">
        <v>0</v>
      </c>
      <c r="FG253">
        <v>0</v>
      </c>
      <c r="FH253">
        <v>-1</v>
      </c>
      <c r="FI253">
        <v>-1</v>
      </c>
      <c r="FJ253">
        <v>-1</v>
      </c>
      <c r="FK253">
        <v>-1</v>
      </c>
      <c r="FL253">
        <v>0.7</v>
      </c>
      <c r="FM253">
        <v>0.4</v>
      </c>
      <c r="FN253">
        <v>0.14038100000000001</v>
      </c>
      <c r="FO253">
        <v>4.99756</v>
      </c>
      <c r="FP253">
        <v>1.5979000000000001</v>
      </c>
      <c r="FQ253">
        <v>2.1240199999999998</v>
      </c>
      <c r="FR253">
        <v>1.5478499999999999</v>
      </c>
      <c r="FS253">
        <v>2.34497</v>
      </c>
      <c r="FT253">
        <v>38.624099999999999</v>
      </c>
      <c r="FU253">
        <v>14.3597</v>
      </c>
      <c r="FV253">
        <v>2</v>
      </c>
      <c r="FW253">
        <v>504.43099999999998</v>
      </c>
      <c r="FX253">
        <v>378.65800000000002</v>
      </c>
      <c r="FY253">
        <v>35.954000000000001</v>
      </c>
      <c r="FZ253">
        <v>32.1541</v>
      </c>
      <c r="GA253">
        <v>29.9999</v>
      </c>
      <c r="GB253">
        <v>32.454799999999999</v>
      </c>
      <c r="GC253">
        <v>32.492600000000003</v>
      </c>
      <c r="GD253">
        <v>-1</v>
      </c>
      <c r="GE253">
        <v>0</v>
      </c>
      <c r="GF253">
        <v>100</v>
      </c>
      <c r="GG253">
        <v>35.977699999999999</v>
      </c>
      <c r="GH253">
        <v>432.1</v>
      </c>
      <c r="GI253">
        <v>44.267099999999999</v>
      </c>
      <c r="GJ253">
        <v>101.696</v>
      </c>
      <c r="GK253">
        <v>96.126499999999993</v>
      </c>
    </row>
    <row r="254" spans="1:193" x14ac:dyDescent="0.35">
      <c r="A254">
        <v>238</v>
      </c>
      <c r="B254">
        <v>1775546248.0999999</v>
      </c>
      <c r="C254">
        <v>14222</v>
      </c>
      <c r="D254" t="s">
        <v>1031</v>
      </c>
      <c r="E254" t="s">
        <v>1032</v>
      </c>
      <c r="F254">
        <v>60</v>
      </c>
      <c r="G254">
        <v>1775546240.349999</v>
      </c>
      <c r="H254">
        <f t="shared" si="90"/>
        <v>5.476349445310948E-3</v>
      </c>
      <c r="I254">
        <f t="shared" si="91"/>
        <v>5.476349445310948</v>
      </c>
      <c r="J254">
        <f t="shared" si="92"/>
        <v>2.1763228386254334</v>
      </c>
      <c r="K254">
        <f t="shared" si="93"/>
        <v>5.5820223333333336</v>
      </c>
      <c r="L254">
        <f t="shared" si="94"/>
        <v>-24.065091434483797</v>
      </c>
      <c r="M254">
        <f t="shared" si="95"/>
        <v>-2.4078099055190969</v>
      </c>
      <c r="N254">
        <f t="shared" si="96"/>
        <v>0.55850395181833734</v>
      </c>
      <c r="O254">
        <f t="shared" si="97"/>
        <v>0.11740008785567702</v>
      </c>
      <c r="P254">
        <f t="shared" si="98"/>
        <v>2.3868291658175234</v>
      </c>
      <c r="Q254">
        <f t="shared" si="99"/>
        <v>0.11428385865912549</v>
      </c>
      <c r="R254">
        <f t="shared" si="100"/>
        <v>7.1700502877386219E-2</v>
      </c>
      <c r="S254">
        <f t="shared" si="101"/>
        <v>9.2133552420000014E-2</v>
      </c>
      <c r="T254">
        <f t="shared" si="102"/>
        <v>31.467312985695152</v>
      </c>
      <c r="U254">
        <f t="shared" si="103"/>
        <v>32.582763333333332</v>
      </c>
      <c r="V254">
        <f t="shared" si="104"/>
        <v>4.9348677417897688</v>
      </c>
      <c r="W254">
        <f t="shared" si="105"/>
        <v>5.1925040004016996</v>
      </c>
      <c r="X254">
        <f t="shared" si="106"/>
        <v>0.26497938214629729</v>
      </c>
      <c r="Y254">
        <f t="shared" si="107"/>
        <v>5.1031136832210073</v>
      </c>
      <c r="Z254">
        <f t="shared" si="108"/>
        <v>4.6698883596434717</v>
      </c>
      <c r="AA254">
        <f t="shared" si="109"/>
        <v>-241.5070105382128</v>
      </c>
      <c r="AB254">
        <f t="shared" si="110"/>
        <v>76.710111550226387</v>
      </c>
      <c r="AC254">
        <f t="shared" si="111"/>
        <v>7.3519015955412925</v>
      </c>
      <c r="AD254">
        <f t="shared" si="112"/>
        <v>-157.35286384002512</v>
      </c>
      <c r="AE254">
        <v>8</v>
      </c>
      <c r="AF254">
        <v>2</v>
      </c>
      <c r="AG254">
        <f t="shared" si="113"/>
        <v>1</v>
      </c>
      <c r="AH254">
        <f t="shared" si="114"/>
        <v>0</v>
      </c>
      <c r="AI254">
        <f t="shared" si="115"/>
        <v>24989.454594762909</v>
      </c>
      <c r="AJ254">
        <f t="shared" si="116"/>
        <v>0.48212220000000011</v>
      </c>
      <c r="AK254">
        <f t="shared" si="117"/>
        <v>0.38569776000000011</v>
      </c>
      <c r="AL254">
        <f t="shared" si="118"/>
        <v>0.8</v>
      </c>
      <c r="AM254">
        <f t="shared" si="119"/>
        <v>0.19109999999999999</v>
      </c>
      <c r="AN254">
        <v>3</v>
      </c>
      <c r="AO254">
        <v>0.5</v>
      </c>
      <c r="AP254" t="s">
        <v>317</v>
      </c>
      <c r="AQ254">
        <v>2</v>
      </c>
      <c r="AR254">
        <v>1775546240.349999</v>
      </c>
      <c r="AS254">
        <v>5.5820223333333336</v>
      </c>
      <c r="AT254">
        <v>6.9058946666666676</v>
      </c>
      <c r="AU254">
        <v>2.648362333333333</v>
      </c>
      <c r="AV254">
        <v>-0.62809483333333327</v>
      </c>
      <c r="AW254">
        <v>-1.7529776666666661</v>
      </c>
      <c r="AX254">
        <v>3.9523623333333329</v>
      </c>
      <c r="AY254">
        <v>500.09926666666672</v>
      </c>
      <c r="AZ254">
        <v>100.0123</v>
      </c>
      <c r="BA254">
        <v>4.1751823333333327E-2</v>
      </c>
      <c r="BB254">
        <v>33.178899999999992</v>
      </c>
      <c r="BC254">
        <v>32.582763333333332</v>
      </c>
      <c r="BD254">
        <v>999.9000000000002</v>
      </c>
      <c r="BE254">
        <v>0</v>
      </c>
      <c r="BF254">
        <v>0</v>
      </c>
      <c r="BG254">
        <v>4996.2833333333338</v>
      </c>
      <c r="BH254">
        <v>0.48212220000000011</v>
      </c>
      <c r="BI254">
        <v>164.24340000000001</v>
      </c>
      <c r="BJ254">
        <v>-1.320344</v>
      </c>
      <c r="BK254">
        <v>5.6003056666666664</v>
      </c>
      <c r="BL254">
        <v>6.9015606666666676</v>
      </c>
      <c r="BM254">
        <v>3.2628636666666671</v>
      </c>
      <c r="BN254">
        <v>6.9058946666666676</v>
      </c>
      <c r="BO254">
        <v>-0.62809483333333327</v>
      </c>
      <c r="BP254">
        <v>0.26350916666666663</v>
      </c>
      <c r="BQ254">
        <v>-6.2817230000000002E-2</v>
      </c>
      <c r="BR254">
        <v>-11.102503333333329</v>
      </c>
      <c r="BS254">
        <v>-99.900000000000034</v>
      </c>
      <c r="BT254">
        <v>1775546288.0999999</v>
      </c>
      <c r="BU254" t="s">
        <v>1033</v>
      </c>
      <c r="BV254">
        <v>1775546265.0999999</v>
      </c>
      <c r="BW254">
        <v>1775546288.0999999</v>
      </c>
      <c r="BX254">
        <v>239</v>
      </c>
      <c r="BY254">
        <v>-4.0000000000000001E-3</v>
      </c>
      <c r="BZ254">
        <v>1.4E-2</v>
      </c>
      <c r="CA254">
        <v>7.335</v>
      </c>
      <c r="CB254">
        <v>-1.304</v>
      </c>
      <c r="CC254">
        <v>6</v>
      </c>
      <c r="CD254">
        <v>-1</v>
      </c>
      <c r="CE254">
        <v>0.23</v>
      </c>
      <c r="CF254">
        <v>0.02</v>
      </c>
      <c r="CG254">
        <v>6.9180969999999986</v>
      </c>
      <c r="CH254">
        <v>3.1421528202298217E-2</v>
      </c>
      <c r="CI254">
        <v>0.1129694631202019</v>
      </c>
      <c r="CJ254">
        <v>-1</v>
      </c>
      <c r="CK254">
        <v>500.83896666666658</v>
      </c>
      <c r="CL254">
        <v>-1.479344262294896</v>
      </c>
      <c r="CM254">
        <v>1.6312953438568081</v>
      </c>
      <c r="CN254">
        <v>-1</v>
      </c>
      <c r="CO254">
        <v>0</v>
      </c>
      <c r="CP254">
        <v>0</v>
      </c>
      <c r="CQ254" t="s">
        <v>319</v>
      </c>
      <c r="CR254">
        <v>3.1676899999999999</v>
      </c>
      <c r="CS254">
        <v>2.6644999999999999</v>
      </c>
      <c r="CT254">
        <v>-5.3669500000000001E-4</v>
      </c>
      <c r="CU254">
        <v>1.9431400000000001E-3</v>
      </c>
      <c r="CV254">
        <v>2.7357300000000001E-2</v>
      </c>
      <c r="CW254">
        <v>-5.2488400000000003E-3</v>
      </c>
      <c r="CX254">
        <v>21470.1</v>
      </c>
      <c r="CY254">
        <v>21841.7</v>
      </c>
      <c r="CZ254">
        <v>22986.7</v>
      </c>
      <c r="DA254">
        <v>22242</v>
      </c>
      <c r="DB254">
        <v>28836.799999999999</v>
      </c>
      <c r="DC254">
        <v>26643.5</v>
      </c>
      <c r="DD254">
        <v>40410.5</v>
      </c>
      <c r="DE254">
        <v>36831</v>
      </c>
      <c r="DF254">
        <v>2.0678999999999998</v>
      </c>
      <c r="DG254">
        <v>1.72756</v>
      </c>
      <c r="DH254">
        <v>0.112981</v>
      </c>
      <c r="DI254">
        <v>0</v>
      </c>
      <c r="DJ254">
        <v>30.7394</v>
      </c>
      <c r="DK254">
        <v>999.9</v>
      </c>
      <c r="DL254">
        <v>63.9</v>
      </c>
      <c r="DM254">
        <v>36</v>
      </c>
      <c r="DN254">
        <v>38.139600000000002</v>
      </c>
      <c r="DO254">
        <v>30.4603</v>
      </c>
      <c r="DP254">
        <v>11.181900000000001</v>
      </c>
      <c r="DQ254">
        <v>1</v>
      </c>
      <c r="DR254">
        <v>0.38836799999999999</v>
      </c>
      <c r="DS254">
        <v>-2.7225199999999998</v>
      </c>
      <c r="DT254">
        <v>20.3414</v>
      </c>
      <c r="DU254">
        <v>5.2102199999999996</v>
      </c>
      <c r="DV254">
        <v>11.854200000000001</v>
      </c>
      <c r="DW254">
        <v>4.9676400000000003</v>
      </c>
      <c r="DX254">
        <v>3.2928600000000001</v>
      </c>
      <c r="DY254">
        <v>894.7</v>
      </c>
      <c r="DZ254">
        <v>6</v>
      </c>
      <c r="EA254">
        <v>9999</v>
      </c>
      <c r="EB254">
        <v>119.7</v>
      </c>
      <c r="EC254">
        <v>4.9715499999999997</v>
      </c>
      <c r="ED254">
        <v>1.8719399999999999</v>
      </c>
      <c r="EE254">
        <v>1.8690599999999999</v>
      </c>
      <c r="EF254">
        <v>1.8714900000000001</v>
      </c>
      <c r="EG254">
        <v>1.86921</v>
      </c>
      <c r="EH254">
        <v>1.8681300000000001</v>
      </c>
      <c r="EI254">
        <v>1.8699600000000001</v>
      </c>
      <c r="EJ254">
        <v>1.8717999999999999</v>
      </c>
      <c r="EK254">
        <v>0</v>
      </c>
      <c r="EL254">
        <v>0</v>
      </c>
      <c r="EM254">
        <v>0</v>
      </c>
      <c r="EN254">
        <v>0</v>
      </c>
      <c r="EO254" t="s">
        <v>320</v>
      </c>
      <c r="EP254" t="s">
        <v>321</v>
      </c>
      <c r="EQ254" t="s">
        <v>322</v>
      </c>
      <c r="ER254" t="s">
        <v>322</v>
      </c>
      <c r="ES254" t="s">
        <v>322</v>
      </c>
      <c r="ET254" t="s">
        <v>322</v>
      </c>
      <c r="EU254">
        <v>0</v>
      </c>
      <c r="EV254">
        <v>100</v>
      </c>
      <c r="EW254">
        <v>100</v>
      </c>
      <c r="EX254">
        <v>7.335</v>
      </c>
      <c r="EY254">
        <v>-1.304</v>
      </c>
      <c r="EZ254">
        <v>7.3385284500000001</v>
      </c>
      <c r="FA254">
        <v>0</v>
      </c>
      <c r="FB254">
        <v>0</v>
      </c>
      <c r="FC254">
        <v>0</v>
      </c>
      <c r="FD254">
        <v>-1.3175938095238089</v>
      </c>
      <c r="FE254">
        <v>0</v>
      </c>
      <c r="FF254">
        <v>0</v>
      </c>
      <c r="FG254">
        <v>0</v>
      </c>
      <c r="FH254">
        <v>-1</v>
      </c>
      <c r="FI254">
        <v>-1</v>
      </c>
      <c r="FJ254">
        <v>-1</v>
      </c>
      <c r="FK254">
        <v>-1</v>
      </c>
      <c r="FL254">
        <v>0.7</v>
      </c>
      <c r="FM254">
        <v>0.4</v>
      </c>
      <c r="FN254">
        <v>0.14038100000000001</v>
      </c>
      <c r="FO254">
        <v>4.99756</v>
      </c>
      <c r="FP254">
        <v>1.5979000000000001</v>
      </c>
      <c r="FQ254">
        <v>2.1227999999999998</v>
      </c>
      <c r="FR254">
        <v>1.5478499999999999</v>
      </c>
      <c r="FS254">
        <v>2.34497</v>
      </c>
      <c r="FT254">
        <v>38.550400000000003</v>
      </c>
      <c r="FU254">
        <v>14.3422</v>
      </c>
      <c r="FV254">
        <v>2</v>
      </c>
      <c r="FW254">
        <v>503.798</v>
      </c>
      <c r="FX254">
        <v>378.91800000000001</v>
      </c>
      <c r="FY254">
        <v>36.247199999999999</v>
      </c>
      <c r="FZ254">
        <v>32.107399999999998</v>
      </c>
      <c r="GA254">
        <v>29.9998</v>
      </c>
      <c r="GB254">
        <v>32.405299999999997</v>
      </c>
      <c r="GC254">
        <v>32.435099999999998</v>
      </c>
      <c r="GD254">
        <v>-1</v>
      </c>
      <c r="GE254">
        <v>0</v>
      </c>
      <c r="GF254">
        <v>100</v>
      </c>
      <c r="GG254">
        <v>36.257899999999999</v>
      </c>
      <c r="GH254">
        <v>432.1</v>
      </c>
      <c r="GI254">
        <v>44.267099999999999</v>
      </c>
      <c r="GJ254">
        <v>101.708</v>
      </c>
      <c r="GK254">
        <v>96.135000000000005</v>
      </c>
    </row>
    <row r="255" spans="1:193" x14ac:dyDescent="0.35">
      <c r="A255">
        <v>239</v>
      </c>
      <c r="B255">
        <v>1775546308.0999999</v>
      </c>
      <c r="C255">
        <v>14282</v>
      </c>
      <c r="D255" t="s">
        <v>1034</v>
      </c>
      <c r="E255" t="s">
        <v>1035</v>
      </c>
      <c r="F255">
        <v>60</v>
      </c>
      <c r="G255">
        <v>1775546300.099999</v>
      </c>
      <c r="H255">
        <f t="shared" si="90"/>
        <v>5.1967513267170019E-3</v>
      </c>
      <c r="I255">
        <f t="shared" si="91"/>
        <v>5.1967513267170018</v>
      </c>
      <c r="J255">
        <f t="shared" si="92"/>
        <v>2.1619500743075557</v>
      </c>
      <c r="K255">
        <f t="shared" si="93"/>
        <v>5.2364761290322583</v>
      </c>
      <c r="L255">
        <f t="shared" si="94"/>
        <v>-25.776193526855749</v>
      </c>
      <c r="M255">
        <f t="shared" si="95"/>
        <v>-2.5790625775594544</v>
      </c>
      <c r="N255">
        <f t="shared" si="96"/>
        <v>0.52394080641114316</v>
      </c>
      <c r="O255">
        <f t="shared" si="97"/>
        <v>0.11118974621484994</v>
      </c>
      <c r="P255">
        <f t="shared" si="98"/>
        <v>2.3890511253183027</v>
      </c>
      <c r="Q255">
        <f t="shared" si="99"/>
        <v>0.10839278692750837</v>
      </c>
      <c r="R255">
        <f t="shared" si="100"/>
        <v>6.7990927446275454E-2</v>
      </c>
      <c r="S255">
        <f t="shared" si="101"/>
        <v>9.2365059590322554E-2</v>
      </c>
      <c r="T255">
        <f t="shared" si="102"/>
        <v>31.526920016802318</v>
      </c>
      <c r="U255">
        <f t="shared" si="103"/>
        <v>32.486722580645157</v>
      </c>
      <c r="V255">
        <f t="shared" si="104"/>
        <v>4.9082189970423924</v>
      </c>
      <c r="W255">
        <f t="shared" si="105"/>
        <v>4.601652206259228</v>
      </c>
      <c r="X255">
        <f t="shared" si="106"/>
        <v>0.23444367686679568</v>
      </c>
      <c r="Y255">
        <f t="shared" si="107"/>
        <v>5.0947717549775344</v>
      </c>
      <c r="Z255">
        <f t="shared" si="108"/>
        <v>4.6737753201755972</v>
      </c>
      <c r="AA255">
        <f t="shared" si="109"/>
        <v>-229.17673350821977</v>
      </c>
      <c r="AB255">
        <f t="shared" si="110"/>
        <v>85.396745422674798</v>
      </c>
      <c r="AC255">
        <f t="shared" si="111"/>
        <v>8.1717999907560177</v>
      </c>
      <c r="AD255">
        <f t="shared" si="112"/>
        <v>-135.51582303519862</v>
      </c>
      <c r="AE255">
        <v>8</v>
      </c>
      <c r="AF255">
        <v>2</v>
      </c>
      <c r="AG255">
        <f t="shared" si="113"/>
        <v>1</v>
      </c>
      <c r="AH255">
        <f t="shared" si="114"/>
        <v>0</v>
      </c>
      <c r="AI255">
        <f t="shared" si="115"/>
        <v>25024.818763076055</v>
      </c>
      <c r="AJ255">
        <f t="shared" si="116"/>
        <v>0.48333364516129018</v>
      </c>
      <c r="AK255">
        <f t="shared" si="117"/>
        <v>0.38666691612903215</v>
      </c>
      <c r="AL255">
        <f t="shared" si="118"/>
        <v>0.8</v>
      </c>
      <c r="AM255">
        <f t="shared" si="119"/>
        <v>0.19109999999999999</v>
      </c>
      <c r="AN255">
        <v>3</v>
      </c>
      <c r="AO255">
        <v>0.5</v>
      </c>
      <c r="AP255" t="s">
        <v>317</v>
      </c>
      <c r="AQ255">
        <v>2</v>
      </c>
      <c r="AR255">
        <v>1775546300.099999</v>
      </c>
      <c r="AS255">
        <v>5.2364761290322583</v>
      </c>
      <c r="AT255">
        <v>6.5472703225806459</v>
      </c>
      <c r="AU255">
        <v>2.3431248387096768</v>
      </c>
      <c r="AV255">
        <v>-0.76121741935483878</v>
      </c>
      <c r="AW255">
        <v>-2.0895238709677422</v>
      </c>
      <c r="AX255">
        <v>3.6411248387096768</v>
      </c>
      <c r="AY255">
        <v>501.03122580645157</v>
      </c>
      <c r="AZ255">
        <v>100.0157096774193</v>
      </c>
      <c r="BA255">
        <v>4.0280935483870968E-2</v>
      </c>
      <c r="BB255">
        <v>33.149748387096771</v>
      </c>
      <c r="BC255">
        <v>32.486722580645157</v>
      </c>
      <c r="BD255">
        <v>999.90000000000032</v>
      </c>
      <c r="BE255">
        <v>0</v>
      </c>
      <c r="BF255">
        <v>0</v>
      </c>
      <c r="BG255">
        <v>5001.8387096774204</v>
      </c>
      <c r="BH255">
        <v>0.48333364516129018</v>
      </c>
      <c r="BI255">
        <v>165.48312903225801</v>
      </c>
      <c r="BJ255">
        <v>-1.3017707096774189</v>
      </c>
      <c r="BK255">
        <v>5.2577525806451622</v>
      </c>
      <c r="BL255">
        <v>6.5422909677419359</v>
      </c>
      <c r="BM255">
        <v>3.098501935483871</v>
      </c>
      <c r="BN255">
        <v>6.5472703225806459</v>
      </c>
      <c r="BO255">
        <v>-0.76121741935483878</v>
      </c>
      <c r="BP255">
        <v>0.23376538709677419</v>
      </c>
      <c r="BQ255">
        <v>-7.61337483870968E-2</v>
      </c>
      <c r="BR255">
        <v>-12.71662258064516</v>
      </c>
      <c r="BS255">
        <v>-99.900000000000034</v>
      </c>
      <c r="BT255">
        <v>1775546348.5999999</v>
      </c>
      <c r="BU255" t="s">
        <v>1036</v>
      </c>
      <c r="BV255">
        <v>1775546326.0999999</v>
      </c>
      <c r="BW255">
        <v>1775546348.5999999</v>
      </c>
      <c r="BX255">
        <v>240</v>
      </c>
      <c r="BY255">
        <v>-8.9999999999999993E-3</v>
      </c>
      <c r="BZ255">
        <v>6.0000000000000001E-3</v>
      </c>
      <c r="CA255">
        <v>7.3259999999999996</v>
      </c>
      <c r="CB255">
        <v>-1.298</v>
      </c>
      <c r="CC255">
        <v>7</v>
      </c>
      <c r="CD255">
        <v>-1</v>
      </c>
      <c r="CE255">
        <v>0.16</v>
      </c>
      <c r="CF255">
        <v>0.04</v>
      </c>
      <c r="CG255">
        <v>6.5790829508196724</v>
      </c>
      <c r="CH255">
        <v>-4.7275050237962878E-2</v>
      </c>
      <c r="CI255">
        <v>0.14978120710265599</v>
      </c>
      <c r="CJ255">
        <v>-1</v>
      </c>
      <c r="CK255">
        <v>500.87278688524589</v>
      </c>
      <c r="CL255">
        <v>1.0087995769434741</v>
      </c>
      <c r="CM255">
        <v>1.7487566554063529</v>
      </c>
      <c r="CN255">
        <v>-1</v>
      </c>
      <c r="CO255">
        <v>0</v>
      </c>
      <c r="CP255">
        <v>0</v>
      </c>
      <c r="CQ255" t="s">
        <v>319</v>
      </c>
      <c r="CR255">
        <v>3.1676500000000001</v>
      </c>
      <c r="CS255">
        <v>2.6614900000000001</v>
      </c>
      <c r="CT255">
        <v>-6.0725700000000004E-4</v>
      </c>
      <c r="CU255">
        <v>2.0171799999999999E-3</v>
      </c>
      <c r="CV255">
        <v>2.6315700000000001E-2</v>
      </c>
      <c r="CW255">
        <v>-6.3346399999999999E-3</v>
      </c>
      <c r="CX255">
        <v>21474.799999999999</v>
      </c>
      <c r="CY255">
        <v>21841.9</v>
      </c>
      <c r="CZ255">
        <v>22989.9</v>
      </c>
      <c r="DA255">
        <v>22243.8</v>
      </c>
      <c r="DB255">
        <v>28871.8</v>
      </c>
      <c r="DC255">
        <v>26674.400000000001</v>
      </c>
      <c r="DD255">
        <v>40416.199999999997</v>
      </c>
      <c r="DE255">
        <v>36833.9</v>
      </c>
      <c r="DF255">
        <v>2.0678800000000002</v>
      </c>
      <c r="DG255">
        <v>1.72892</v>
      </c>
      <c r="DH255">
        <v>0.118017</v>
      </c>
      <c r="DI255">
        <v>0</v>
      </c>
      <c r="DJ255">
        <v>30.583600000000001</v>
      </c>
      <c r="DK255">
        <v>999.9</v>
      </c>
      <c r="DL255">
        <v>64</v>
      </c>
      <c r="DM255">
        <v>35.799999999999997</v>
      </c>
      <c r="DN255">
        <v>37.775599999999997</v>
      </c>
      <c r="DO255">
        <v>29.920300000000001</v>
      </c>
      <c r="DP255">
        <v>10.8454</v>
      </c>
      <c r="DQ255">
        <v>1</v>
      </c>
      <c r="DR255">
        <v>0.384488</v>
      </c>
      <c r="DS255">
        <v>-3.1089899999999999</v>
      </c>
      <c r="DT255">
        <v>20.333100000000002</v>
      </c>
      <c r="DU255">
        <v>5.2110599999999998</v>
      </c>
      <c r="DV255">
        <v>11.854200000000001</v>
      </c>
      <c r="DW255">
        <v>4.9677600000000002</v>
      </c>
      <c r="DX255">
        <v>3.2929400000000002</v>
      </c>
      <c r="DY255">
        <v>894.7</v>
      </c>
      <c r="DZ255">
        <v>6</v>
      </c>
      <c r="EA255">
        <v>9999</v>
      </c>
      <c r="EB255">
        <v>119.7</v>
      </c>
      <c r="EC255">
        <v>4.9715400000000001</v>
      </c>
      <c r="ED255">
        <v>1.87191</v>
      </c>
      <c r="EE255">
        <v>1.8690599999999999</v>
      </c>
      <c r="EF255">
        <v>1.8714900000000001</v>
      </c>
      <c r="EG255">
        <v>1.86921</v>
      </c>
      <c r="EH255">
        <v>1.8681300000000001</v>
      </c>
      <c r="EI255">
        <v>1.8699699999999999</v>
      </c>
      <c r="EJ255">
        <v>1.8717999999999999</v>
      </c>
      <c r="EK255">
        <v>0</v>
      </c>
      <c r="EL255">
        <v>0</v>
      </c>
      <c r="EM255">
        <v>0</v>
      </c>
      <c r="EN255">
        <v>0</v>
      </c>
      <c r="EO255" t="s">
        <v>320</v>
      </c>
      <c r="EP255" t="s">
        <v>321</v>
      </c>
      <c r="EQ255" t="s">
        <v>322</v>
      </c>
      <c r="ER255" t="s">
        <v>322</v>
      </c>
      <c r="ES255" t="s">
        <v>322</v>
      </c>
      <c r="ET255" t="s">
        <v>322</v>
      </c>
      <c r="EU255">
        <v>0</v>
      </c>
      <c r="EV255">
        <v>100</v>
      </c>
      <c r="EW255">
        <v>100</v>
      </c>
      <c r="EX255">
        <v>7.3259999999999996</v>
      </c>
      <c r="EY255">
        <v>-1.298</v>
      </c>
      <c r="EZ255">
        <v>7.3350235000000001</v>
      </c>
      <c r="FA255">
        <v>0</v>
      </c>
      <c r="FB255">
        <v>0</v>
      </c>
      <c r="FC255">
        <v>0</v>
      </c>
      <c r="FD255">
        <v>-1.303841</v>
      </c>
      <c r="FE255">
        <v>0</v>
      </c>
      <c r="FF255">
        <v>0</v>
      </c>
      <c r="FG255">
        <v>0</v>
      </c>
      <c r="FH255">
        <v>-1</v>
      </c>
      <c r="FI255">
        <v>-1</v>
      </c>
      <c r="FJ255">
        <v>-1</v>
      </c>
      <c r="FK255">
        <v>-1</v>
      </c>
      <c r="FL255">
        <v>0.7</v>
      </c>
      <c r="FM255">
        <v>0.3</v>
      </c>
      <c r="FN255">
        <v>0.14038100000000001</v>
      </c>
      <c r="FO255">
        <v>4.99756</v>
      </c>
      <c r="FP255">
        <v>1.5979000000000001</v>
      </c>
      <c r="FQ255">
        <v>2.1240199999999998</v>
      </c>
      <c r="FR255">
        <v>1.5478499999999999</v>
      </c>
      <c r="FS255">
        <v>2.4572799999999999</v>
      </c>
      <c r="FT255">
        <v>38.427900000000001</v>
      </c>
      <c r="FU255">
        <v>14.333399999999999</v>
      </c>
      <c r="FV255">
        <v>2</v>
      </c>
      <c r="FW255">
        <v>503.35199999999998</v>
      </c>
      <c r="FX255">
        <v>379.286</v>
      </c>
      <c r="FY255">
        <v>36.728200000000001</v>
      </c>
      <c r="FZ255">
        <v>32.0443</v>
      </c>
      <c r="GA255">
        <v>29.999600000000001</v>
      </c>
      <c r="GB255">
        <v>32.3474</v>
      </c>
      <c r="GC255">
        <v>32.369599999999998</v>
      </c>
      <c r="GD255">
        <v>-1</v>
      </c>
      <c r="GE255">
        <v>0</v>
      </c>
      <c r="GF255">
        <v>100</v>
      </c>
      <c r="GG255">
        <v>36.744399999999999</v>
      </c>
      <c r="GH255">
        <v>432.1</v>
      </c>
      <c r="GI255">
        <v>44.267099999999999</v>
      </c>
      <c r="GJ255">
        <v>101.723</v>
      </c>
      <c r="GK255">
        <v>96.142499999999998</v>
      </c>
    </row>
    <row r="257" spans="15:15" x14ac:dyDescent="0.35">
      <c r="O257" s="1">
        <f>AVERAGE(O17:O255)</f>
        <v>9.4767962111394335E-2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Ozkar Homzah</cp:lastModifiedBy>
  <dcterms:created xsi:type="dcterms:W3CDTF">2026-04-07T07:15:28Z</dcterms:created>
  <dcterms:modified xsi:type="dcterms:W3CDTF">2026-04-07T07:42:18Z</dcterms:modified>
</cp:coreProperties>
</file>