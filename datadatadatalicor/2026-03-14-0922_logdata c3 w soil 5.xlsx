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<sst xmlns="http://schemas.openxmlformats.org/spreadsheetml/2006/main" count="5188" uniqueCount="813">
  <si>
    <t>File opened</t>
  </si>
  <si>
    <t>2026-03-14 09:23:06</t>
  </si>
  <si>
    <t>Console s/n</t>
  </si>
  <si>
    <t>68C-373388</t>
  </si>
  <si>
    <t>Console ver</t>
  </si>
  <si>
    <t>Bluestem v.2.1.13</t>
  </si>
  <si>
    <t>Scripts ver</t>
  </si>
  <si>
    <t>2024.01  2.1.13, Apr 2024</t>
  </si>
  <si>
    <t>Head s/n</t>
  </si>
  <si>
    <t>68H-413376</t>
  </si>
  <si>
    <t>Head ver</t>
  </si>
  <si>
    <t>1.4.23</t>
  </si>
  <si>
    <t>Head cal</t>
  </si>
  <si>
    <t>{"oxygen": "20", "co2azero": "0.957319", "co2aspan1": "1.00014", "co2aspan2": "-0.028185", "co2aspan2a": "0.309472", "co2aspan2b": "0.306816", "co2aspanconc1": "2492", "co2aspanconc2": "285.6", "co2bzero": "0.910895", "co2bspan1": "0.999964", "co2bspan2": "-0.0275681", "co2bspan2a": "0.309881", "co2bspan2b": "0.307222", "co2bspanconc1": "2492", "co2bspanconc2": "285.6", "h2oazero": "1.16136", "h2oaspan1": "0.999718", "h2oaspan2": "0", "h2oaspan2a": "0.067854", "h2oaspan2b": "0.0678349", "h2oaspanconc1": "12.33", "h2oaspanconc2": "0", "h2obzero": "1.17232", "h2obspan1": "1.00595", "h2obspan2": "0", "h2obspan2a": "0.0676005", "h2obspan2b": "0.0680027", "h2obspanconc1": "12.33", "h2obspanconc2": "0", "tazero": "0.021019", "tbzero": "0.151497", "flowmeterzero": "2.48912", "flowazero": "0.306", "flowbzero": "0.29676", "chamberpressurezero": "2.60812", "ssa_ref": "31166.2", "ssb_ref": "30724"}</t>
  </si>
  <si>
    <t>Factory cal date</t>
  </si>
  <si>
    <t>22 Sep 2025</t>
  </si>
  <si>
    <t>CO2 rangematch</t>
  </si>
  <si>
    <t>Thu Dec 18 10:59</t>
  </si>
  <si>
    <t>H2O rangematch</t>
  </si>
  <si>
    <t>Tue Sep 23 19:56</t>
  </si>
  <si>
    <t>Chamber type</t>
  </si>
  <si>
    <t>6800-12A</t>
  </si>
  <si>
    <t>Chamber s/n</t>
  </si>
  <si>
    <t>CHM-11636</t>
  </si>
  <si>
    <t>Chamber rev</t>
  </si>
  <si>
    <t>0</t>
  </si>
  <si>
    <t>Chamber cal</t>
  </si>
  <si>
    <t>8</t>
  </si>
  <si>
    <t>HeadLS type</t>
  </si>
  <si>
    <t>6800-02</t>
  </si>
  <si>
    <t>HeadLS s/n</t>
  </si>
  <si>
    <t>751854</t>
  </si>
  <si>
    <t>HeadLS f</t>
  </si>
  <si>
    <t>0.0483 0.0757</t>
  </si>
  <si>
    <t>HeadLS u0</t>
  </si>
  <si>
    <t>530 1285</t>
  </si>
  <si>
    <t>09:23:06</t>
  </si>
  <si>
    <t>Stability Definition:	Flow (Meas): Per=15	CO2_r (Meas): Per=15</t>
  </si>
  <si>
    <t>SysConst</t>
  </si>
  <si>
    <t>AvgTime</t>
  </si>
  <si>
    <t>5</t>
  </si>
  <si>
    <t>Oxygen</t>
  </si>
  <si>
    <t>20</t>
  </si>
  <si>
    <t>ChambConst</t>
  </si>
  <si>
    <t>Chamber</t>
  </si>
  <si>
    <t>Aperture</t>
  </si>
  <si>
    <t>1x3 FB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</si>
  <si>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</si>
  <si>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</si>
  <si>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</si>
  <si>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</si>
  <si>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</si>
  <si>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</si>
  <si>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</si>
  <si>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</si>
  <si>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</si>
  <si>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</si>
  <si>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</si>
  <si>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</si>
  <si>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</si>
  <si>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</si>
  <si>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</si>
  <si>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</si>
  <si>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</si>
  <si>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</si>
  <si>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</si>
  <si>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</si>
  <si>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</si>
  <si>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</si>
  <si>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</si>
  <si>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</si>
  <si>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</si>
  <si>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</si>
  <si>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</si>
  <si>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</si>
  <si>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</si>
  <si>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</si>
  <si>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</si>
  <si>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</si>
  <si>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</si>
  <si>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</si>
  <si>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</si>
  <si>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</si>
  <si>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</si>
  <si>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</si>
  <si>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</si>
  <si>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</si>
  <si>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</si>
  <si>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</si>
  <si>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</si>
  <si>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</si>
  <si>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2.83595 187.946 375.523 615.401 853.636 1068.33 1225.85 1390.65</t>
  </si>
  <si>
    <t>Fs_true</t>
  </si>
  <si>
    <t>0.329467 201.302 389.075 597.656 802.815 1001.5 1200.79 1400.89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</si>
  <si>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</si>
  <si>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</si>
  <si>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</si>
  <si>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</si>
  <si>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</si>
  <si>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</si>
  <si>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</si>
  <si>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</si>
  <si>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</si>
  <si>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</si>
  <si>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</si>
  <si>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</si>
  <si>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</si>
  <si>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</si>
  <si>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</si>
  <si>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</si>
  <si>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</si>
  <si>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</si>
  <si>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</si>
  <si>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</si>
  <si>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</si>
  <si>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</si>
  <si>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</si>
  <si>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</si>
  <si>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</si>
  <si>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</si>
  <si>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</si>
  <si>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</si>
  <si>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</si>
  <si>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</si>
  <si>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</si>
  <si>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</si>
  <si>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</si>
  <si>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</si>
  <si>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</si>
  <si>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</si>
  <si>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</si>
  <si>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</si>
  <si>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</si>
  <si>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</si>
  <si>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</si>
  <si>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</si>
  <si>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</si>
  <si>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</si>
  <si>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</si>
  <si>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</si>
  <si>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</si>
  <si>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</si>
  <si>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</si>
  <si>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</si>
  <si>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</si>
  <si>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</si>
  <si>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</si>
  <si>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</si>
  <si>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</si>
  <si>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</si>
  <si>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</si>
  <si>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</si>
  <si>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</si>
  <si>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</si>
  <si>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</si>
  <si>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</si>
  <si>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</si>
  <si>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</si>
  <si>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</si>
  <si>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</si>
  <si>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</si>
  <si>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</si>
  <si>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</si>
  <si>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</si>
  <si>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</si>
  <si>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</si>
  <si>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</si>
  <si>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</si>
  <si>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</si>
  <si>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</si>
  <si>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</si>
  <si>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</si>
  <si>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</si>
  <si>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</si>
  <si>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</si>
  <si>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</si>
  <si>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</si>
  <si>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</si>
  <si>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</si>
  <si>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</si>
  <si>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</si>
  <si>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</si>
  <si>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</si>
  <si>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</si>
  <si>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</si>
  <si>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</si>
  <si>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</si>
  <si>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</si>
  <si>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</si>
  <si>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</si>
  <si>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</si>
  <si>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</si>
  <si>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</si>
  <si>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</si>
  <si>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</si>
  <si>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</si>
  <si>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CO2_r:MN</t>
  </si>
  <si>
    <t>CO2_r:SLP</t>
  </si>
  <si>
    <t>CO2_r:SD</t>
  </si>
  <si>
    <t>CO2_r:OK</t>
  </si>
  <si>
    <t>Flow:MN</t>
  </si>
  <si>
    <t>Flow:SLP</t>
  </si>
  <si>
    <t>Flow:SD</t>
  </si>
  <si>
    <t>Flow:OK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</si>
  <si>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</si>
  <si>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</si>
  <si>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</si>
  <si>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</si>
  <si>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</si>
  <si>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</si>
  <si>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</si>
  <si>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</si>
  <si>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</si>
  <si>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</si>
  <si>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</si>
  <si>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</si>
  <si>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</si>
  <si>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</si>
  <si>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</si>
  <si>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</si>
  <si>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</si>
  <si>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</si>
  <si>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</si>
  <si>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</si>
  <si>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</si>
  <si>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</si>
  <si>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</si>
  <si>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</si>
  <si>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</si>
  <si>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</si>
  <si>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</si>
  <si>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</si>
  <si>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</si>
  <si>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</si>
  <si>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</si>
  <si>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</si>
  <si>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</si>
  <si>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</si>
  <si>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</si>
  <si>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</si>
  <si>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</si>
  <si>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</si>
  <si>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</si>
  <si>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</si>
  <si>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</si>
  <si>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</si>
  <si>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</si>
  <si>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</si>
  <si>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</si>
  <si>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</si>
  <si>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</si>
  <si>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</si>
  <si>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</si>
  <si>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</si>
  <si>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</si>
  <si>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</si>
  <si>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</si>
  <si>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</si>
  <si>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</si>
  <si>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</si>
  <si>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</si>
  <si>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</si>
  <si>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</si>
  <si>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</si>
  <si>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</si>
  <si>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</si>
  <si>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</si>
  <si>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</si>
  <si>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</si>
  <si>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</si>
  <si>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</si>
  <si>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</si>
  <si>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</si>
  <si>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</si>
  <si>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</si>
  <si>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</si>
  <si>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</si>
  <si>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</si>
  <si>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</si>
  <si>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</si>
  <si>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</si>
  <si>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</si>
  <si>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</si>
  <si>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</si>
  <si>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</si>
  <si>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</si>
  <si>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</si>
  <si>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</si>
  <si>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</si>
  <si>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</si>
  <si>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</si>
  <si>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</si>
  <si>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</si>
  <si>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</si>
  <si>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</si>
  <si>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</si>
  <si>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</si>
  <si>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</si>
  <si>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</si>
  <si>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</si>
  <si>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</si>
  <si>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</si>
  <si>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</si>
  <si>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</si>
  <si>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</si>
  <si>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</si>
  <si>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</si>
  <si>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</si>
  <si>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</si>
  <si>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</si>
  <si>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</si>
  <si>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</si>
  <si>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</si>
  <si>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</si>
  <si>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</si>
  <si>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J/µmol</t>
  </si>
  <si>
    <t>cm²</t>
  </si>
  <si>
    <t>mmol mol⁻¹</t>
  </si>
  <si>
    <t>rpm</t>
  </si>
  <si>
    <t>secs</t>
  </si>
  <si>
    <t>µmol/mol</t>
  </si>
  <si>
    <t>mmol/mol</t>
  </si>
  <si>
    <t>µmol mol⁻¹ min⁻¹</t>
  </si>
  <si>
    <t>µmol s⁻¹ min⁻¹</t>
  </si>
  <si>
    <t>V</t>
  </si>
  <si>
    <t>mV</t>
  </si>
  <si>
    <t>mg</t>
  </si>
  <si>
    <t>hrs</t>
  </si>
  <si>
    <t>min</t>
  </si>
  <si>
    <t>20260311 09:28:20</t>
  </si>
  <si>
    <t>09:28:20</t>
  </si>
  <si>
    <t>0: Broadleaf</t>
  </si>
  <si>
    <t>09:26:50</t>
  </si>
  <si>
    <t>0/0</t>
  </si>
  <si>
    <t>11111111</t>
  </si>
  <si>
    <t>oooooooo</t>
  </si>
  <si>
    <t>on</t>
  </si>
  <si>
    <t>20260311 09:29:20</t>
  </si>
  <si>
    <t>09:29:20</t>
  </si>
  <si>
    <t>20260311 09:30:20</t>
  </si>
  <si>
    <t>09:30:20</t>
  </si>
  <si>
    <t>20260311 09:31:20</t>
  </si>
  <si>
    <t>09:31:20</t>
  </si>
  <si>
    <t>20260311 09:32:20</t>
  </si>
  <si>
    <t>09:32:20</t>
  </si>
  <si>
    <t>20260311 09:33:20</t>
  </si>
  <si>
    <t>09:33:20</t>
  </si>
  <si>
    <t>20260311 09:34:20</t>
  </si>
  <si>
    <t>09:34:20</t>
  </si>
  <si>
    <t>20260311 09:35:20</t>
  </si>
  <si>
    <t>09:35:20</t>
  </si>
  <si>
    <t>20260311 09:36:20</t>
  </si>
  <si>
    <t>09:36:20</t>
  </si>
  <si>
    <t>20260311 09:37:20</t>
  </si>
  <si>
    <t>09:37:20</t>
  </si>
  <si>
    <t>20260311 09:38:20</t>
  </si>
  <si>
    <t>09:38:20</t>
  </si>
  <si>
    <t>20260311 09:39:20</t>
  </si>
  <si>
    <t>09:39:20</t>
  </si>
  <si>
    <t>20260311 09:40:20</t>
  </si>
  <si>
    <t>09:40:20</t>
  </si>
  <si>
    <t>20260311 09:41:20</t>
  </si>
  <si>
    <t>09:41:20</t>
  </si>
  <si>
    <t>20260311 09:42:20</t>
  </si>
  <si>
    <t>09:42:20</t>
  </si>
  <si>
    <t>20260311 09:43:20</t>
  </si>
  <si>
    <t>09:43:20</t>
  </si>
  <si>
    <t>20260311 09:44:20</t>
  </si>
  <si>
    <t>09:44:20</t>
  </si>
  <si>
    <t>20260311 09:45:20</t>
  </si>
  <si>
    <t>09:45:20</t>
  </si>
  <si>
    <t>20260311 09:46:20</t>
  </si>
  <si>
    <t>09:46:20</t>
  </si>
  <si>
    <t>20260311 09:47:20</t>
  </si>
  <si>
    <t>09:47:20</t>
  </si>
  <si>
    <t>20260311 09:48:20</t>
  </si>
  <si>
    <t>09:48:20</t>
  </si>
  <si>
    <t>20260311 09:49:20</t>
  </si>
  <si>
    <t>09:49:20</t>
  </si>
  <si>
    <t>20260311 09:50:20</t>
  </si>
  <si>
    <t>09:50:20</t>
  </si>
  <si>
    <t>20260311 09:51:20</t>
  </si>
  <si>
    <t>09:51:20</t>
  </si>
  <si>
    <t>20260311 09:52:20</t>
  </si>
  <si>
    <t>09:52:20</t>
  </si>
  <si>
    <t>20260311 09:53:20</t>
  </si>
  <si>
    <t>09:53:20</t>
  </si>
  <si>
    <t>20260311 09:54:20</t>
  </si>
  <si>
    <t>09:54:20</t>
  </si>
  <si>
    <t>20260311 09:55:20</t>
  </si>
  <si>
    <t>09:55:20</t>
  </si>
  <si>
    <t>20260311 09:56:20</t>
  </si>
  <si>
    <t>09:56:20</t>
  </si>
  <si>
    <t>20260311 09:57:20</t>
  </si>
  <si>
    <t>09:57:20</t>
  </si>
  <si>
    <t>20260311 09:58:20</t>
  </si>
  <si>
    <t>09:58:20</t>
  </si>
  <si>
    <t>20260311 09:59:20</t>
  </si>
  <si>
    <t>09:59:20</t>
  </si>
  <si>
    <t>20260311 10:00:20</t>
  </si>
  <si>
    <t>10:00:20</t>
  </si>
  <si>
    <t>20260311 10:01:20</t>
  </si>
  <si>
    <t>10:01:20</t>
  </si>
  <si>
    <t>20260311 10:02:20</t>
  </si>
  <si>
    <t>10:02:20</t>
  </si>
  <si>
    <t>20260311 10:03:20</t>
  </si>
  <si>
    <t>10:03:20</t>
  </si>
  <si>
    <t>20260311 10:04:20</t>
  </si>
  <si>
    <t>10:04:20</t>
  </si>
  <si>
    <t>20260311 10:05:20</t>
  </si>
  <si>
    <t>10:05:20</t>
  </si>
  <si>
    <t>20260311 10:06:20</t>
  </si>
  <si>
    <t>10:06:20</t>
  </si>
  <si>
    <t>20260311 10:07:20</t>
  </si>
  <si>
    <t>10:07:20</t>
  </si>
  <si>
    <t>20260311 10:08:20</t>
  </si>
  <si>
    <t>10:08:20</t>
  </si>
  <si>
    <t>20260311 10:09:20</t>
  </si>
  <si>
    <t>10:09:20</t>
  </si>
  <si>
    <t>20260311 10:10:20</t>
  </si>
  <si>
    <t>10:10:20</t>
  </si>
  <si>
    <t>20260311 10:11:20</t>
  </si>
  <si>
    <t>10:11:20</t>
  </si>
  <si>
    <t>20260311 10:12:20</t>
  </si>
  <si>
    <t>10:12:20</t>
  </si>
  <si>
    <t>20260311 10:13:20</t>
  </si>
  <si>
    <t>10:13:20</t>
  </si>
  <si>
    <t>20260311 10:14:20</t>
  </si>
  <si>
    <t>10:14:20</t>
  </si>
  <si>
    <t>20260311 10:15:20</t>
  </si>
  <si>
    <t>10:15:20</t>
  </si>
  <si>
    <t>20260311 10:16:20</t>
  </si>
  <si>
    <t>10:16:20</t>
  </si>
  <si>
    <t>20260311 10:17:20</t>
  </si>
  <si>
    <t>10:17:20</t>
  </si>
  <si>
    <t>20260311 10:18:20</t>
  </si>
  <si>
    <t>10:18:20</t>
  </si>
  <si>
    <t>20260311 10:19:20</t>
  </si>
  <si>
    <t>10:19:20</t>
  </si>
  <si>
    <t>20260311 10:20:20</t>
  </si>
  <si>
    <t>10:20:20</t>
  </si>
  <si>
    <t>20260311 10:21:20</t>
  </si>
  <si>
    <t>10:21:20</t>
  </si>
  <si>
    <t>20260311 10:22:20</t>
  </si>
  <si>
    <t>10:22:20</t>
  </si>
  <si>
    <t>20260311 10:23:20</t>
  </si>
  <si>
    <t>10:23:20</t>
  </si>
  <si>
    <t>20260311 10:24:20</t>
  </si>
  <si>
    <t>10:24:20</t>
  </si>
  <si>
    <t>20260311 10:25:20</t>
  </si>
  <si>
    <t>10:25:20</t>
  </si>
  <si>
    <t>20260311 10:26:20</t>
  </si>
  <si>
    <t>10:26:20</t>
  </si>
  <si>
    <t>20260311 10:27:20</t>
  </si>
  <si>
    <t>10:27:20</t>
  </si>
  <si>
    <t>20260311 10:28:20</t>
  </si>
  <si>
    <t>10:28:20</t>
  </si>
  <si>
    <t>20260311 10:29:20</t>
  </si>
  <si>
    <t>10:29:20</t>
  </si>
  <si>
    <t>20260311 10:30:20</t>
  </si>
  <si>
    <t>10:30:20</t>
  </si>
  <si>
    <t>20260311 10:31:20</t>
  </si>
  <si>
    <t>10:31:20</t>
  </si>
  <si>
    <t>20260311 10:32:20</t>
  </si>
  <si>
    <t>10:32:20</t>
  </si>
  <si>
    <t>20260311 10:33:20</t>
  </si>
  <si>
    <t>10:33:20</t>
  </si>
  <si>
    <t>20260311 10:34:20</t>
  </si>
  <si>
    <t>10:34:20</t>
  </si>
  <si>
    <t>20260311 10:35:20</t>
  </si>
  <si>
    <t>10:35:20</t>
  </si>
  <si>
    <t>20260311 10:36:20</t>
  </si>
  <si>
    <t>10:36:20</t>
  </si>
  <si>
    <t>20260311 10:37:20</t>
  </si>
  <si>
    <t>10:37:20</t>
  </si>
  <si>
    <t>20260311 10:38:20</t>
  </si>
  <si>
    <t>10:38:20</t>
  </si>
  <si>
    <t>20260311 10:39:20</t>
  </si>
  <si>
    <t>10:39:20</t>
  </si>
  <si>
    <t>20260311 10:40:20</t>
  </si>
  <si>
    <t>10:40:20</t>
  </si>
  <si>
    <t>20260311 10:41:20</t>
  </si>
  <si>
    <t>10:41:20</t>
  </si>
  <si>
    <t>20260311 10:42:20</t>
  </si>
  <si>
    <t>10:42:20</t>
  </si>
  <si>
    <t>20260311 10:43:20</t>
  </si>
  <si>
    <t>10:43:20</t>
  </si>
  <si>
    <t>20260311 10:44:20</t>
  </si>
  <si>
    <t>10:44:20</t>
  </si>
  <si>
    <t>20260311 10:45:20</t>
  </si>
  <si>
    <t>10:45:20</t>
  </si>
  <si>
    <t>20260311 10:46:20</t>
  </si>
  <si>
    <t>10:46:20</t>
  </si>
  <si>
    <t>20260311 10:47:20</t>
  </si>
  <si>
    <t>10:47:20</t>
  </si>
  <si>
    <t>20260311 10:48:20</t>
  </si>
  <si>
    <t>10:48:20</t>
  </si>
  <si>
    <t>20260311 10:49:20</t>
  </si>
  <si>
    <t>10:49:20</t>
  </si>
  <si>
    <t>20260311 10:50:20</t>
  </si>
  <si>
    <t>10:50:20</t>
  </si>
  <si>
    <t>20260311 10:51:20</t>
  </si>
  <si>
    <t>10:51:20</t>
  </si>
  <si>
    <t>20260311 10:52:20</t>
  </si>
  <si>
    <t>10:52:20</t>
  </si>
  <si>
    <t>20260311 10:53:20</t>
  </si>
  <si>
    <t>10:53:20</t>
  </si>
  <si>
    <t>20260311 10:54:20</t>
  </si>
  <si>
    <t>10:54:20</t>
  </si>
  <si>
    <t>20260311 10:55:20</t>
  </si>
  <si>
    <t>10:55:20</t>
  </si>
  <si>
    <t>20260311 10:56:20</t>
  </si>
  <si>
    <t>10:56:20</t>
  </si>
  <si>
    <t>20260311 10:57:20</t>
  </si>
  <si>
    <t>10:57:20</t>
  </si>
  <si>
    <t>20260311 10:58:20</t>
  </si>
  <si>
    <t>10:58:20</t>
  </si>
  <si>
    <t>20260311 10:59:20</t>
  </si>
  <si>
    <t>10:59:20</t>
  </si>
  <si>
    <t>20260311 11:00:20</t>
  </si>
  <si>
    <t>11:00:20</t>
  </si>
  <si>
    <t>20260311 11:01:20</t>
  </si>
  <si>
    <t>11:01:20</t>
  </si>
  <si>
    <t>20260311 11:02:20</t>
  </si>
  <si>
    <t>11:02:20</t>
  </si>
  <si>
    <t>20260311 11:03:20</t>
  </si>
  <si>
    <t>11:03:20</t>
  </si>
  <si>
    <t>20260311 11:04:20</t>
  </si>
  <si>
    <t>11:04:20</t>
  </si>
  <si>
    <t>20260311 11:05:20</t>
  </si>
  <si>
    <t>11:05:20</t>
  </si>
  <si>
    <t>20260311 11:06:20</t>
  </si>
  <si>
    <t>11:06:20</t>
  </si>
  <si>
    <t>20260311 11:07:20</t>
  </si>
  <si>
    <t>11:07:20</t>
  </si>
  <si>
    <t>20260311 11:08:20</t>
  </si>
  <si>
    <t>11:08:20</t>
  </si>
  <si>
    <t>20260311 11:09:20</t>
  </si>
  <si>
    <t>11:09:20</t>
  </si>
  <si>
    <t>20260311 11:10:21</t>
  </si>
  <si>
    <t>11:10:21</t>
  </si>
  <si>
    <t>20260311 11:11:21</t>
  </si>
  <si>
    <t>11:11:21</t>
  </si>
  <si>
    <t>20260311 11:12:21</t>
  </si>
  <si>
    <t>11:12:21</t>
  </si>
  <si>
    <t>20260311 11:13:21</t>
  </si>
  <si>
    <t>11:13:21</t>
  </si>
  <si>
    <t>20260311 11:14:21</t>
  </si>
  <si>
    <t>11:14:21</t>
  </si>
  <si>
    <t>20260311 11:15:21</t>
  </si>
  <si>
    <t>11:15:21</t>
  </si>
  <si>
    <t>20260311 11:16:21</t>
  </si>
  <si>
    <t>11:16:21</t>
  </si>
  <si>
    <t>20260311 11:17:21</t>
  </si>
  <si>
    <t>11:17:21</t>
  </si>
  <si>
    <t>20260311 11:18:21</t>
  </si>
  <si>
    <t>11:18:21</t>
  </si>
  <si>
    <t>20260311 11:19:21</t>
  </si>
  <si>
    <t>11:19:21</t>
  </si>
  <si>
    <t>20260311 11:20:21</t>
  </si>
  <si>
    <t>11:20:21</t>
  </si>
  <si>
    <t>20260311 11:21:21</t>
  </si>
  <si>
    <t>11:21:21</t>
  </si>
  <si>
    <t>20260311 11:22:21</t>
  </si>
  <si>
    <t>11:22:21</t>
  </si>
  <si>
    <t>20260311 11:23:21</t>
  </si>
  <si>
    <t>11:23:21</t>
  </si>
  <si>
    <t>20260311 11:24:21</t>
  </si>
  <si>
    <t>11:24:21</t>
  </si>
  <si>
    <t>20260311 11:25:21</t>
  </si>
  <si>
    <t>11:25:21</t>
  </si>
  <si>
    <t>20260311 11:26:21</t>
  </si>
  <si>
    <t>11:26:21</t>
  </si>
  <si>
    <t>20260311 11:27:21</t>
  </si>
  <si>
    <t>11:27:21</t>
  </si>
  <si>
    <t>20260311 11:28:21</t>
  </si>
  <si>
    <t>11:28:21</t>
  </si>
  <si>
    <t>20260311 11:29:21</t>
  </si>
  <si>
    <t>11:29:21</t>
  </si>
  <si>
    <t>20260311 11:30:21</t>
  </si>
  <si>
    <t>11:30:21</t>
  </si>
  <si>
    <t>20260311 11:31:21</t>
  </si>
  <si>
    <t>11:31:21</t>
  </si>
  <si>
    <t>20260311 11:32:21</t>
  </si>
  <si>
    <t>11:32:21</t>
  </si>
  <si>
    <t>20260311 11:33:21</t>
  </si>
  <si>
    <t>11:33:21</t>
  </si>
  <si>
    <t>20260311 11:34:21</t>
  </si>
  <si>
    <t>11:34:21</t>
  </si>
  <si>
    <t>20260311 11:35:21</t>
  </si>
  <si>
    <t>11:35:21</t>
  </si>
  <si>
    <t>20260311 11:36:21</t>
  </si>
  <si>
    <t>11:36:21</t>
  </si>
  <si>
    <t>20260311 11:37:21</t>
  </si>
  <si>
    <t>11:37:21</t>
  </si>
  <si>
    <t>20260311 11:38:21</t>
  </si>
  <si>
    <t>11:38:21</t>
  </si>
  <si>
    <t>20260311 11:39:21</t>
  </si>
  <si>
    <t>11:39:21</t>
  </si>
  <si>
    <t>20260311 11:40:21</t>
  </si>
  <si>
    <t>11:40:21</t>
  </si>
  <si>
    <t>20260311 11:41:21</t>
  </si>
  <si>
    <t>11:41:21</t>
  </si>
  <si>
    <t>20260311 11:42:21</t>
  </si>
  <si>
    <t>11:42:21</t>
  </si>
  <si>
    <t>20260311 11:43:21</t>
  </si>
  <si>
    <t>11:43:21</t>
  </si>
  <si>
    <t>20260311 11:44:21</t>
  </si>
  <si>
    <t>11:44:21</t>
  </si>
  <si>
    <t>20260311 11:45:21</t>
  </si>
  <si>
    <t>11:45:21</t>
  </si>
  <si>
    <t>20260311 11:46:21</t>
  </si>
  <si>
    <t>11:46:21</t>
  </si>
  <si>
    <t>20260311 11:47:21</t>
  </si>
  <si>
    <t>11:47:21</t>
  </si>
  <si>
    <t>20260311 11:48:21</t>
  </si>
  <si>
    <t>11:48:21</t>
  </si>
  <si>
    <t>20260311 11:49:21</t>
  </si>
  <si>
    <t>11:49:21</t>
  </si>
  <si>
    <t>20260311 11:50:21</t>
  </si>
  <si>
    <t>11:50:21</t>
  </si>
  <si>
    <t>20260311 11:51:21</t>
  </si>
  <si>
    <t>11:51:21</t>
  </si>
  <si>
    <t>20260311 11:52:21</t>
  </si>
  <si>
    <t>11:52:21</t>
  </si>
  <si>
    <t>20260311 11:53:21</t>
  </si>
  <si>
    <t>11:53:21</t>
  </si>
  <si>
    <t>20260311 11:54:21</t>
  </si>
  <si>
    <t>11:54:21</t>
  </si>
  <si>
    <t>20260311 11:55:21</t>
  </si>
  <si>
    <t>11:55:21</t>
  </si>
  <si>
    <t>20260311 11:56:21</t>
  </si>
  <si>
    <t>11:56:21</t>
  </si>
  <si>
    <t>20260311 11:57:21</t>
  </si>
  <si>
    <t>11:57:21</t>
  </si>
  <si>
    <t>20260311 11:58:21</t>
  </si>
  <si>
    <t>11:58:21</t>
  </si>
  <si>
    <t>20260311 11:59:21</t>
  </si>
  <si>
    <t>11:59:21</t>
  </si>
  <si>
    <t>20260311 12:00:21</t>
  </si>
  <si>
    <t>12:00:21</t>
  </si>
  <si>
    <t>20260311 12:01:21</t>
  </si>
  <si>
    <t>12:01:21</t>
  </si>
  <si>
    <t>20260311 12:02:21</t>
  </si>
  <si>
    <t>12:02:21</t>
  </si>
  <si>
    <t>20260311 12:03:21</t>
  </si>
  <si>
    <t>12:03:21</t>
  </si>
  <si>
    <t>20260311 12:04:21</t>
  </si>
  <si>
    <t>12:04:21</t>
  </si>
  <si>
    <t>20260311 12:05:21</t>
  </si>
  <si>
    <t>12:05:21</t>
  </si>
  <si>
    <t>20260311 12:06:21</t>
  </si>
  <si>
    <t>12:06:21</t>
  </si>
  <si>
    <t>20260311 12:07:21</t>
  </si>
  <si>
    <t>12:07:21</t>
  </si>
  <si>
    <t>20260311 12:08:21</t>
  </si>
  <si>
    <t>12:08:21</t>
  </si>
  <si>
    <t>20260311 12:09:21</t>
  </si>
  <si>
    <t>12:09:21</t>
  </si>
  <si>
    <t>20260311 12:10:21</t>
  </si>
  <si>
    <t>12:10:21</t>
  </si>
  <si>
    <t>20260311 12:11:21</t>
  </si>
  <si>
    <t>12:11:21</t>
  </si>
  <si>
    <t>20260311 12:12:21</t>
  </si>
  <si>
    <t>12:12:21</t>
  </si>
  <si>
    <t>20260311 12:13:21</t>
  </si>
  <si>
    <t>12:13:21</t>
  </si>
  <si>
    <t>20260311 12:14:21</t>
  </si>
  <si>
    <t>12:14:21</t>
  </si>
  <si>
    <t>20260311 12:15:21</t>
  </si>
  <si>
    <t>12:15:21</t>
  </si>
  <si>
    <t>20260311 12:16:21</t>
  </si>
  <si>
    <t>12:16:21</t>
  </si>
  <si>
    <t>20260311 12:17:21</t>
  </si>
  <si>
    <t>12:17:21</t>
  </si>
  <si>
    <t>20260311 12:18:21</t>
  </si>
  <si>
    <t>12:18:21</t>
  </si>
  <si>
    <t>20260311 12:19:21</t>
  </si>
  <si>
    <t>12:19:21</t>
  </si>
  <si>
    <t>20260311 12:20:21</t>
  </si>
  <si>
    <t>12:20:21</t>
  </si>
  <si>
    <t>20260311 12:21:21</t>
  </si>
  <si>
    <t>12:21:21</t>
  </si>
  <si>
    <t>20260311 12:22:21</t>
  </si>
  <si>
    <t>12:22:21</t>
  </si>
  <si>
    <t>20260311 12:23:21</t>
  </si>
  <si>
    <t>12:23:21</t>
  </si>
  <si>
    <t>20260311 12:24:21</t>
  </si>
  <si>
    <t>12:24:21</t>
  </si>
  <si>
    <t>20260311 12:25:21</t>
  </si>
  <si>
    <t>12:25:21</t>
  </si>
  <si>
    <t>20260311 12:26:21</t>
  </si>
  <si>
    <t>12:26:21</t>
  </si>
  <si>
    <t>20260311 12:27:21</t>
  </si>
  <si>
    <t>12:27:21</t>
  </si>
  <si>
    <t>20260311 12:28:21</t>
  </si>
  <si>
    <t>12:28:21</t>
  </si>
  <si>
    <t>20260311 12:29:21</t>
  </si>
  <si>
    <t>12:29:21</t>
  </si>
  <si>
    <t>20260311 12:30:21</t>
  </si>
  <si>
    <t>12:30:21</t>
  </si>
  <si>
    <t>20260311 12:31:21</t>
  </si>
  <si>
    <t>12:31:21</t>
  </si>
  <si>
    <t>20260311 12:32:21</t>
  </si>
  <si>
    <t>12:32:21</t>
  </si>
  <si>
    <t>20260311 12:33:21</t>
  </si>
  <si>
    <t>12:33:21</t>
  </si>
  <si>
    <t>20260311 12:34:21</t>
  </si>
  <si>
    <t>12:34:21</t>
  </si>
  <si>
    <t>20260311 12:35:21</t>
  </si>
  <si>
    <t>12:35:21</t>
  </si>
  <si>
    <t>20260311 12:36:21</t>
  </si>
  <si>
    <t>12:36:21</t>
  </si>
  <si>
    <t>20260311 12:37:21</t>
  </si>
  <si>
    <t>12:37:21</t>
  </si>
  <si>
    <t>20260311 12:38:21</t>
  </si>
  <si>
    <t>12:38:21</t>
  </si>
  <si>
    <t>20260311 12:39:21</t>
  </si>
  <si>
    <t>12:39:21</t>
  </si>
  <si>
    <t>20260311 12:40:21</t>
  </si>
  <si>
    <t>12:40:21</t>
  </si>
  <si>
    <t>20260311 12:41:21</t>
  </si>
  <si>
    <t>12:41:21</t>
  </si>
  <si>
    <t>20260311 12:42:21</t>
  </si>
  <si>
    <t>12:42:21</t>
  </si>
  <si>
    <t>20260311 12:43:21</t>
  </si>
  <si>
    <t>12:43:21</t>
  </si>
  <si>
    <t>20260311 12:44:21</t>
  </si>
  <si>
    <t>12:44:21</t>
  </si>
  <si>
    <t>20260311 12:45:21</t>
  </si>
  <si>
    <t>12:45:21</t>
  </si>
  <si>
    <t>20260311 12:46:21</t>
  </si>
  <si>
    <t>12:46:21</t>
  </si>
  <si>
    <t>20260311 12:47:21</t>
  </si>
  <si>
    <t>12:47:21</t>
  </si>
  <si>
    <t>20260311 12:48:21</t>
  </si>
  <si>
    <t>12:48:21</t>
  </si>
  <si>
    <t>20260311 12:49:21</t>
  </si>
  <si>
    <t>12:49:21</t>
  </si>
  <si>
    <t>20260311 12:50:21</t>
  </si>
  <si>
    <t>12:50:21</t>
  </si>
  <si>
    <t>20260311 12:51:21</t>
  </si>
  <si>
    <t>12:51:21</t>
  </si>
  <si>
    <t>20260311 12:52:21</t>
  </si>
  <si>
    <t>12:52:21</t>
  </si>
  <si>
    <t>20260311 12:53:21</t>
  </si>
  <si>
    <t>12:53:21</t>
  </si>
  <si>
    <t>20260311 12:54:21</t>
  </si>
  <si>
    <t>12:54:21</t>
  </si>
  <si>
    <t>20260311 12:55:21</t>
  </si>
  <si>
    <t>12:55:21</t>
  </si>
  <si>
    <t>20260311 12:56:21</t>
  </si>
  <si>
    <t>12:56:21</t>
  </si>
  <si>
    <t>20260311 12:57:21</t>
  </si>
  <si>
    <t>12:57:21</t>
  </si>
  <si>
    <t>20260311 12:58:21</t>
  </si>
  <si>
    <t>12:58:21</t>
  </si>
  <si>
    <t>20260311 12:59:21</t>
  </si>
  <si>
    <t>12:59:21</t>
  </si>
  <si>
    <t>20260311 13:00:21</t>
  </si>
  <si>
    <t>13:00:21</t>
  </si>
  <si>
    <t>20260311 13:01:21</t>
  </si>
  <si>
    <t>13:01:21</t>
  </si>
  <si>
    <t>20260311 13:02:22</t>
  </si>
  <si>
    <t>13:02:22</t>
  </si>
  <si>
    <t>20260311 13:03:22</t>
  </si>
  <si>
    <t>13:03:22</t>
  </si>
  <si>
    <t>20260311 13:04:22</t>
  </si>
  <si>
    <t>13:04:22</t>
  </si>
  <si>
    <t>20260311 13:05:22</t>
  </si>
  <si>
    <t>13:05:22</t>
  </si>
  <si>
    <t>20260311 13:06:22</t>
  </si>
  <si>
    <t>13:06:22</t>
  </si>
  <si>
    <t>20260311 13:07:22</t>
  </si>
  <si>
    <t>13:07:22</t>
  </si>
  <si>
    <t>20260311 13:08:22</t>
  </si>
  <si>
    <t>13:08:22</t>
  </si>
  <si>
    <t>20260311 13:09:22</t>
  </si>
  <si>
    <t>13:09:22</t>
  </si>
  <si>
    <t>20260311 13:10:22</t>
  </si>
  <si>
    <t>13:10:22</t>
  </si>
  <si>
    <t>20260311 13:11:22</t>
  </si>
  <si>
    <t>13:11:22</t>
  </si>
  <si>
    <t>20260311 13:12:22</t>
  </si>
  <si>
    <t>13:12:22</t>
  </si>
  <si>
    <t>20260311 13:13:22</t>
  </si>
  <si>
    <t>13:13:22</t>
  </si>
  <si>
    <t>20260311 13:14:22</t>
  </si>
  <si>
    <t>13:14:22</t>
  </si>
  <si>
    <t>20260311 13:15:22</t>
  </si>
  <si>
    <t>13:15:22</t>
  </si>
  <si>
    <t>20260311 13:16:22</t>
  </si>
  <si>
    <t>13:16:22</t>
  </si>
  <si>
    <t>20260311 13:17:22</t>
  </si>
  <si>
    <t>13:17:22</t>
  </si>
  <si>
    <t>20260311 13:18:22</t>
  </si>
  <si>
    <t>13:18:22</t>
  </si>
  <si>
    <t>20260311 13:19:22</t>
  </si>
  <si>
    <t>13:19:22</t>
  </si>
  <si>
    <t>20260311 13:20:22</t>
  </si>
  <si>
    <t>13:20:22</t>
  </si>
  <si>
    <t>20260311 13:21:22</t>
  </si>
  <si>
    <t>13:21:22</t>
  </si>
  <si>
    <t>20260311 13:22:22</t>
  </si>
  <si>
    <t>13:22:22</t>
  </si>
  <si>
    <t>20260311 13:23:22</t>
  </si>
  <si>
    <t>13:23:22</t>
  </si>
  <si>
    <t>20260311 13:24:22</t>
  </si>
  <si>
    <t>13:24:22</t>
  </si>
  <si>
    <t>20260311 13:25:22</t>
  </si>
  <si>
    <t>13:25:22</t>
  </si>
  <si>
    <t>20260311 13:26:22</t>
  </si>
  <si>
    <t>13:26:22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</si>
</sst>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P255"/>
  <sheetViews>
    <sheetView tabSelected="1" workbookViewId="0"/>
  </sheetViews>
  <sheetFormatPr defaultRowHeight="15"/>
  <sheetData>
    <row r="2" spans="1:198">
      <c r="A2" t="s">
        <v>38</v>
      </c>
      <c r="B2" t="s">
        <v>39</v>
      </c>
      <c r="C2" t="s">
        <v>41</v>
      </c>
    </row>
    <row r="3" spans="1:198">
      <c r="B3" t="s">
        <v>40</v>
      </c>
      <c r="C3" t="s">
        <v>42</v>
      </c>
    </row>
    <row r="4" spans="1:198">
      <c r="A4" t="s">
        <v>43</v>
      </c>
      <c r="B4" t="s">
        <v>44</v>
      </c>
      <c r="C4" t="s">
        <v>45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</row>
    <row r="5" spans="1:198">
      <c r="B5" t="s">
        <v>21</v>
      </c>
      <c r="C5" t="s">
        <v>46</v>
      </c>
      <c r="D5">
        <v>0.188</v>
      </c>
      <c r="E5">
        <v>0.5795409</v>
      </c>
      <c r="F5">
        <v>-0.0115295</v>
      </c>
      <c r="G5">
        <v>0</v>
      </c>
      <c r="H5">
        <v>-0.009725900000000001</v>
      </c>
      <c r="I5">
        <v>1</v>
      </c>
      <c r="J5">
        <v>3</v>
      </c>
      <c r="K5">
        <v>96.7</v>
      </c>
    </row>
    <row r="6" spans="1:198">
      <c r="A6" t="s">
        <v>55</v>
      </c>
      <c r="B6" t="s">
        <v>56</v>
      </c>
      <c r="C6" t="s">
        <v>57</v>
      </c>
      <c r="D6" t="s">
        <v>58</v>
      </c>
      <c r="E6" t="s">
        <v>59</v>
      </c>
    </row>
    <row r="7" spans="1:198">
      <c r="B7">
        <v>0</v>
      </c>
      <c r="C7">
        <v>1</v>
      </c>
      <c r="D7">
        <v>0</v>
      </c>
      <c r="E7">
        <v>0</v>
      </c>
    </row>
    <row r="8" spans="1:198">
      <c r="A8" t="s">
        <v>60</v>
      </c>
      <c r="B8" t="s">
        <v>61</v>
      </c>
      <c r="C8" t="s">
        <v>63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t="s">
        <v>73</v>
      </c>
      <c r="M8" t="s">
        <v>74</v>
      </c>
      <c r="N8" t="s">
        <v>75</v>
      </c>
      <c r="O8" t="s">
        <v>76</v>
      </c>
      <c r="P8" t="s">
        <v>77</v>
      </c>
      <c r="Q8" t="s">
        <v>78</v>
      </c>
    </row>
    <row r="9" spans="1:198">
      <c r="B9" t="s">
        <v>62</v>
      </c>
      <c r="C9" t="s">
        <v>64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198">
      <c r="A10" t="s">
        <v>79</v>
      </c>
      <c r="B10" t="s">
        <v>80</v>
      </c>
      <c r="C10" t="s">
        <v>81</v>
      </c>
      <c r="D10" t="s">
        <v>82</v>
      </c>
      <c r="E10" t="s">
        <v>83</v>
      </c>
      <c r="F10" t="s">
        <v>84</v>
      </c>
    </row>
    <row r="11" spans="1:198">
      <c r="B11">
        <v>0</v>
      </c>
      <c r="C11">
        <v>0</v>
      </c>
      <c r="D11">
        <v>1</v>
      </c>
      <c r="E11">
        <v>0</v>
      </c>
      <c r="F11">
        <v>0</v>
      </c>
    </row>
    <row r="12" spans="1:198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t="s">
        <v>92</v>
      </c>
      <c r="H12" t="s">
        <v>94</v>
      </c>
    </row>
    <row r="13" spans="1:198">
      <c r="B13">
        <v>-6276</v>
      </c>
      <c r="C13">
        <v>6.6</v>
      </c>
      <c r="D13">
        <v>1.709E-05</v>
      </c>
      <c r="E13">
        <v>3.11</v>
      </c>
      <c r="F13" t="s">
        <v>91</v>
      </c>
      <c r="G13" t="s">
        <v>93</v>
      </c>
      <c r="H13">
        <v>0</v>
      </c>
    </row>
    <row r="14" spans="1:198">
      <c r="A14" t="s">
        <v>95</v>
      </c>
      <c r="B14" t="s">
        <v>95</v>
      </c>
      <c r="C14" t="s">
        <v>95</v>
      </c>
      <c r="D14" t="s">
        <v>95</v>
      </c>
      <c r="E14" t="s">
        <v>95</v>
      </c>
      <c r="F14" t="s">
        <v>95</v>
      </c>
      <c r="G14" t="s">
        <v>96</v>
      </c>
      <c r="H14" t="s">
        <v>96</v>
      </c>
      <c r="I14" t="s">
        <v>96</v>
      </c>
      <c r="J14" t="s">
        <v>96</v>
      </c>
      <c r="K14" t="s">
        <v>96</v>
      </c>
      <c r="L14" t="s">
        <v>96</v>
      </c>
      <c r="M14" t="s">
        <v>96</v>
      </c>
      <c r="N14" t="s">
        <v>96</v>
      </c>
      <c r="O14" t="s">
        <v>96</v>
      </c>
      <c r="P14" t="s">
        <v>96</v>
      </c>
      <c r="Q14" t="s">
        <v>96</v>
      </c>
      <c r="R14" t="s">
        <v>96</v>
      </c>
      <c r="S14" t="s">
        <v>96</v>
      </c>
      <c r="T14" t="s">
        <v>96</v>
      </c>
      <c r="U14" t="s">
        <v>96</v>
      </c>
      <c r="V14" t="s">
        <v>96</v>
      </c>
      <c r="W14" t="s">
        <v>96</v>
      </c>
      <c r="X14" t="s">
        <v>96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97</v>
      </c>
      <c r="AF14" t="s">
        <v>97</v>
      </c>
      <c r="AG14" t="s">
        <v>97</v>
      </c>
      <c r="AH14" t="s">
        <v>97</v>
      </c>
      <c r="AI14" t="s">
        <v>97</v>
      </c>
      <c r="AJ14" t="s">
        <v>98</v>
      </c>
      <c r="AK14" t="s">
        <v>98</v>
      </c>
      <c r="AL14" t="s">
        <v>98</v>
      </c>
      <c r="AM14" t="s">
        <v>98</v>
      </c>
      <c r="AN14" t="s">
        <v>99</v>
      </c>
      <c r="AO14" t="s">
        <v>99</v>
      </c>
      <c r="AP14" t="s">
        <v>99</v>
      </c>
      <c r="AQ14" t="s">
        <v>99</v>
      </c>
      <c r="AR14" t="s">
        <v>100</v>
      </c>
      <c r="AS14" t="s">
        <v>100</v>
      </c>
      <c r="AT14" t="s">
        <v>100</v>
      </c>
      <c r="AU14" t="s">
        <v>100</v>
      </c>
      <c r="AV14" t="s">
        <v>100</v>
      </c>
      <c r="AW14" t="s">
        <v>100</v>
      </c>
      <c r="AX14" t="s">
        <v>100</v>
      </c>
      <c r="AY14" t="s">
        <v>100</v>
      </c>
      <c r="AZ14" t="s">
        <v>100</v>
      </c>
      <c r="BA14" t="s">
        <v>100</v>
      </c>
      <c r="BB14" t="s">
        <v>100</v>
      </c>
      <c r="BC14" t="s">
        <v>100</v>
      </c>
      <c r="BD14" t="s">
        <v>100</v>
      </c>
      <c r="BE14" t="s">
        <v>100</v>
      </c>
      <c r="BF14" t="s">
        <v>100</v>
      </c>
      <c r="BG14" t="s">
        <v>100</v>
      </c>
      <c r="BH14" t="s">
        <v>100</v>
      </c>
      <c r="BI14" t="s">
        <v>100</v>
      </c>
      <c r="BJ14" t="s">
        <v>101</v>
      </c>
      <c r="BK14" t="s">
        <v>101</v>
      </c>
      <c r="BL14" t="s">
        <v>101</v>
      </c>
      <c r="BM14" t="s">
        <v>101</v>
      </c>
      <c r="BN14" t="s">
        <v>101</v>
      </c>
      <c r="BO14" t="s">
        <v>101</v>
      </c>
      <c r="BP14" t="s">
        <v>101</v>
      </c>
      <c r="BQ14" t="s">
        <v>101</v>
      </c>
      <c r="BR14" t="s">
        <v>101</v>
      </c>
      <c r="BS14" t="s">
        <v>101</v>
      </c>
      <c r="BT14" t="s">
        <v>102</v>
      </c>
      <c r="BU14" t="s">
        <v>102</v>
      </c>
      <c r="BV14" t="s">
        <v>102</v>
      </c>
      <c r="BW14" t="s">
        <v>102</v>
      </c>
      <c r="BX14" t="s">
        <v>102</v>
      </c>
      <c r="BY14" t="s">
        <v>103</v>
      </c>
      <c r="BZ14" t="s">
        <v>103</v>
      </c>
      <c r="CA14" t="s">
        <v>103</v>
      </c>
      <c r="CB14" t="s">
        <v>103</v>
      </c>
      <c r="CC14" t="s">
        <v>103</v>
      </c>
      <c r="CD14" t="s">
        <v>103</v>
      </c>
      <c r="CE14" t="s">
        <v>103</v>
      </c>
      <c r="CF14" t="s">
        <v>103</v>
      </c>
      <c r="CG14" t="s">
        <v>103</v>
      </c>
      <c r="CH14" t="s">
        <v>103</v>
      </c>
      <c r="CI14" t="s">
        <v>103</v>
      </c>
      <c r="CJ14" t="s">
        <v>103</v>
      </c>
      <c r="CK14" t="s">
        <v>103</v>
      </c>
      <c r="CL14" t="s">
        <v>104</v>
      </c>
      <c r="CM14" t="s">
        <v>104</v>
      </c>
      <c r="CN14" t="s">
        <v>104</v>
      </c>
      <c r="CO14" t="s">
        <v>104</v>
      </c>
      <c r="CP14" t="s">
        <v>104</v>
      </c>
      <c r="CQ14" t="s">
        <v>104</v>
      </c>
      <c r="CR14" t="s">
        <v>104</v>
      </c>
      <c r="CS14" t="s">
        <v>104</v>
      </c>
      <c r="CT14" t="s">
        <v>104</v>
      </c>
      <c r="CU14" t="s">
        <v>104</v>
      </c>
      <c r="CV14" t="s">
        <v>104</v>
      </c>
      <c r="CW14" t="s">
        <v>105</v>
      </c>
      <c r="CX14" t="s">
        <v>105</v>
      </c>
      <c r="CY14" t="s">
        <v>105</v>
      </c>
      <c r="CZ14" t="s">
        <v>105</v>
      </c>
      <c r="DA14" t="s">
        <v>105</v>
      </c>
      <c r="DB14" t="s">
        <v>105</v>
      </c>
      <c r="DC14" t="s">
        <v>105</v>
      </c>
      <c r="DD14" t="s">
        <v>105</v>
      </c>
      <c r="DE14" t="s">
        <v>105</v>
      </c>
      <c r="DF14" t="s">
        <v>105</v>
      </c>
      <c r="DG14" t="s">
        <v>105</v>
      </c>
      <c r="DH14" t="s">
        <v>105</v>
      </c>
      <c r="DI14" t="s">
        <v>105</v>
      </c>
      <c r="DJ14" t="s">
        <v>105</v>
      </c>
      <c r="DK14" t="s">
        <v>105</v>
      </c>
      <c r="DL14" t="s">
        <v>105</v>
      </c>
      <c r="DM14" t="s">
        <v>105</v>
      </c>
      <c r="DN14" t="s">
        <v>105</v>
      </c>
      <c r="DO14" t="s">
        <v>106</v>
      </c>
      <c r="DP14" t="s">
        <v>106</v>
      </c>
      <c r="DQ14" t="s">
        <v>106</v>
      </c>
      <c r="DR14" t="s">
        <v>106</v>
      </c>
      <c r="DS14" t="s">
        <v>106</v>
      </c>
      <c r="DT14" t="s">
        <v>106</v>
      </c>
      <c r="DU14" t="s">
        <v>106</v>
      </c>
      <c r="DV14" t="s">
        <v>106</v>
      </c>
      <c r="DW14" t="s">
        <v>106</v>
      </c>
      <c r="DX14" t="s">
        <v>106</v>
      </c>
      <c r="DY14" t="s">
        <v>106</v>
      </c>
      <c r="DZ14" t="s">
        <v>106</v>
      </c>
      <c r="EA14" t="s">
        <v>106</v>
      </c>
      <c r="EB14" t="s">
        <v>106</v>
      </c>
      <c r="EC14" t="s">
        <v>106</v>
      </c>
      <c r="ED14" t="s">
        <v>106</v>
      </c>
      <c r="EE14" t="s">
        <v>106</v>
      </c>
      <c r="EF14" t="s">
        <v>106</v>
      </c>
      <c r="EG14" t="s">
        <v>106</v>
      </c>
      <c r="EH14" t="s">
        <v>107</v>
      </c>
      <c r="EI14" t="s">
        <v>107</v>
      </c>
      <c r="EJ14" t="s">
        <v>107</v>
      </c>
      <c r="EK14" t="s">
        <v>107</v>
      </c>
      <c r="EL14" t="s">
        <v>107</v>
      </c>
      <c r="EM14" t="s">
        <v>107</v>
      </c>
      <c r="EN14" t="s">
        <v>107</v>
      </c>
      <c r="EO14" t="s">
        <v>107</v>
      </c>
      <c r="EP14" t="s">
        <v>107</v>
      </c>
      <c r="EQ14" t="s">
        <v>107</v>
      </c>
      <c r="ER14" t="s">
        <v>107</v>
      </c>
      <c r="ES14" t="s">
        <v>107</v>
      </c>
      <c r="ET14" t="s">
        <v>107</v>
      </c>
      <c r="EU14" t="s">
        <v>107</v>
      </c>
      <c r="EV14" t="s">
        <v>107</v>
      </c>
      <c r="EW14" t="s">
        <v>107</v>
      </c>
      <c r="EX14" t="s">
        <v>107</v>
      </c>
      <c r="EY14" t="s">
        <v>107</v>
      </c>
      <c r="EZ14" t="s">
        <v>107</v>
      </c>
      <c r="FA14" t="s">
        <v>108</v>
      </c>
      <c r="FB14" t="s">
        <v>108</v>
      </c>
      <c r="FC14" t="s">
        <v>108</v>
      </c>
      <c r="FD14" t="s">
        <v>108</v>
      </c>
      <c r="FE14" t="s">
        <v>108</v>
      </c>
      <c r="FF14" t="s">
        <v>108</v>
      </c>
      <c r="FG14" t="s">
        <v>108</v>
      </c>
      <c r="FH14" t="s">
        <v>108</v>
      </c>
      <c r="FI14" t="s">
        <v>108</v>
      </c>
      <c r="FJ14" t="s">
        <v>108</v>
      </c>
      <c r="FK14" t="s">
        <v>108</v>
      </c>
      <c r="FL14" t="s">
        <v>108</v>
      </c>
      <c r="FM14" t="s">
        <v>108</v>
      </c>
      <c r="FN14" t="s">
        <v>108</v>
      </c>
      <c r="FO14" t="s">
        <v>108</v>
      </c>
      <c r="FP14" t="s">
        <v>108</v>
      </c>
      <c r="FQ14" t="s">
        <v>108</v>
      </c>
      <c r="FR14" t="s">
        <v>108</v>
      </c>
      <c r="FS14" t="s">
        <v>109</v>
      </c>
      <c r="FT14" t="s">
        <v>109</v>
      </c>
      <c r="FU14" t="s">
        <v>109</v>
      </c>
      <c r="FV14" t="s">
        <v>109</v>
      </c>
      <c r="FW14" t="s">
        <v>109</v>
      </c>
      <c r="FX14" t="s">
        <v>109</v>
      </c>
      <c r="FY14" t="s">
        <v>109</v>
      </c>
      <c r="FZ14" t="s">
        <v>109</v>
      </c>
      <c r="GA14" t="s">
        <v>110</v>
      </c>
      <c r="GB14" t="s">
        <v>110</v>
      </c>
      <c r="GC14" t="s">
        <v>110</v>
      </c>
      <c r="GD14" t="s">
        <v>110</v>
      </c>
      <c r="GE14" t="s">
        <v>110</v>
      </c>
      <c r="GF14" t="s">
        <v>110</v>
      </c>
      <c r="GG14" t="s">
        <v>110</v>
      </c>
      <c r="GH14" t="s">
        <v>110</v>
      </c>
      <c r="GI14" t="s">
        <v>110</v>
      </c>
      <c r="GJ14" t="s">
        <v>110</v>
      </c>
      <c r="GK14" t="s">
        <v>110</v>
      </c>
      <c r="GL14" t="s">
        <v>110</v>
      </c>
      <c r="GM14" t="s">
        <v>110</v>
      </c>
      <c r="GN14" t="s">
        <v>110</v>
      </c>
      <c r="GO14" t="s">
        <v>110</v>
      </c>
      <c r="GP14" t="s">
        <v>110</v>
      </c>
    </row>
    <row r="15" spans="1:198">
      <c r="A15" t="s">
        <v>111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118</v>
      </c>
      <c r="I15" t="s">
        <v>119</v>
      </c>
      <c r="J15" t="s">
        <v>120</v>
      </c>
      <c r="K15" t="s">
        <v>121</v>
      </c>
      <c r="L15" t="s">
        <v>122</v>
      </c>
      <c r="M15" t="s">
        <v>123</v>
      </c>
      <c r="N15" t="s">
        <v>124</v>
      </c>
      <c r="O15" t="s">
        <v>125</v>
      </c>
      <c r="P15" t="s">
        <v>126</v>
      </c>
      <c r="Q15" t="s">
        <v>127</v>
      </c>
      <c r="R15" t="s">
        <v>128</v>
      </c>
      <c r="S15" t="s">
        <v>129</v>
      </c>
      <c r="T15" t="s">
        <v>130</v>
      </c>
      <c r="U15" t="s">
        <v>131</v>
      </c>
      <c r="V15" t="s">
        <v>132</v>
      </c>
      <c r="W15" t="s">
        <v>133</v>
      </c>
      <c r="X15" t="s">
        <v>134</v>
      </c>
      <c r="Y15" t="s">
        <v>135</v>
      </c>
      <c r="Z15" t="s">
        <v>136</v>
      </c>
      <c r="AA15" t="s">
        <v>137</v>
      </c>
      <c r="AB15" t="s">
        <v>138</v>
      </c>
      <c r="AC15" t="s">
        <v>139</v>
      </c>
      <c r="AD15" t="s">
        <v>140</v>
      </c>
      <c r="AE15" t="s">
        <v>97</v>
      </c>
      <c r="AF15" t="s">
        <v>141</v>
      </c>
      <c r="AG15" t="s">
        <v>142</v>
      </c>
      <c r="AH15" t="s">
        <v>143</v>
      </c>
      <c r="AI15" t="s">
        <v>144</v>
      </c>
      <c r="AJ15" t="s">
        <v>145</v>
      </c>
      <c r="AK15" t="s">
        <v>146</v>
      </c>
      <c r="AL15" t="s">
        <v>147</v>
      </c>
      <c r="AM15" t="s">
        <v>148</v>
      </c>
      <c r="AN15" t="s">
        <v>149</v>
      </c>
      <c r="AO15" t="s">
        <v>150</v>
      </c>
      <c r="AP15" t="s">
        <v>151</v>
      </c>
      <c r="AQ15" t="s">
        <v>152</v>
      </c>
      <c r="AR15" t="s">
        <v>117</v>
      </c>
      <c r="AS15" t="s">
        <v>153</v>
      </c>
      <c r="AT15" t="s">
        <v>154</v>
      </c>
      <c r="AU15" t="s">
        <v>155</v>
      </c>
      <c r="AV15" t="s">
        <v>156</v>
      </c>
      <c r="AW15" t="s">
        <v>157</v>
      </c>
      <c r="AX15" t="s">
        <v>158</v>
      </c>
      <c r="AY15" t="s">
        <v>159</v>
      </c>
      <c r="AZ15" t="s">
        <v>160</v>
      </c>
      <c r="BA15" t="s">
        <v>161</v>
      </c>
      <c r="BB15" t="s">
        <v>162</v>
      </c>
      <c r="BC15" t="s">
        <v>163</v>
      </c>
      <c r="BD15" t="s">
        <v>164</v>
      </c>
      <c r="BE15" t="s">
        <v>165</v>
      </c>
      <c r="BF15" t="s">
        <v>166</v>
      </c>
      <c r="BG15" t="s">
        <v>167</v>
      </c>
      <c r="BH15" t="s">
        <v>168</v>
      </c>
      <c r="BI15" t="s">
        <v>169</v>
      </c>
      <c r="BJ15" t="s">
        <v>170</v>
      </c>
      <c r="BK15" t="s">
        <v>171</v>
      </c>
      <c r="BL15" t="s">
        <v>172</v>
      </c>
      <c r="BM15" t="s">
        <v>173</v>
      </c>
      <c r="BN15" t="s">
        <v>174</v>
      </c>
      <c r="BO15" t="s">
        <v>175</v>
      </c>
      <c r="BP15" t="s">
        <v>176</v>
      </c>
      <c r="BQ15" t="s">
        <v>177</v>
      </c>
      <c r="BR15" t="s">
        <v>178</v>
      </c>
      <c r="BS15" t="s">
        <v>179</v>
      </c>
      <c r="BT15" t="s">
        <v>180</v>
      </c>
      <c r="BU15" t="s">
        <v>181</v>
      </c>
      <c r="BV15" t="s">
        <v>182</v>
      </c>
      <c r="BW15" t="s">
        <v>183</v>
      </c>
      <c r="BX15" t="s">
        <v>184</v>
      </c>
      <c r="BY15" t="s">
        <v>112</v>
      </c>
      <c r="BZ15" t="s">
        <v>115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205</v>
      </c>
      <c r="CV15" t="s">
        <v>206</v>
      </c>
      <c r="CW15" t="s">
        <v>207</v>
      </c>
      <c r="CX15" t="s">
        <v>208</v>
      </c>
      <c r="CY15" t="s">
        <v>209</v>
      </c>
      <c r="CZ15" t="s">
        <v>210</v>
      </c>
      <c r="DA15" t="s">
        <v>211</v>
      </c>
      <c r="DB15" t="s">
        <v>212</v>
      </c>
      <c r="DC15" t="s">
        <v>213</v>
      </c>
      <c r="DD15" t="s">
        <v>214</v>
      </c>
      <c r="DE15" t="s">
        <v>215</v>
      </c>
      <c r="DF15" t="s">
        <v>216</v>
      </c>
      <c r="DG15" t="s">
        <v>217</v>
      </c>
      <c r="DH15" t="s">
        <v>218</v>
      </c>
      <c r="DI15" t="s">
        <v>219</v>
      </c>
      <c r="DJ15" t="s">
        <v>220</v>
      </c>
      <c r="DK15" t="s">
        <v>221</v>
      </c>
      <c r="DL15" t="s">
        <v>222</v>
      </c>
      <c r="DM15" t="s">
        <v>223</v>
      </c>
      <c r="DN15" t="s">
        <v>224</v>
      </c>
      <c r="DO15" t="s">
        <v>225</v>
      </c>
      <c r="DP15" t="s">
        <v>226</v>
      </c>
      <c r="DQ15" t="s">
        <v>227</v>
      </c>
      <c r="DR15" t="s">
        <v>228</v>
      </c>
      <c r="DS15" t="s">
        <v>229</v>
      </c>
      <c r="DT15" t="s">
        <v>230</v>
      </c>
      <c r="DU15" t="s">
        <v>231</v>
      </c>
      <c r="DV15" t="s">
        <v>232</v>
      </c>
      <c r="DW15" t="s">
        <v>233</v>
      </c>
      <c r="DX15" t="s">
        <v>234</v>
      </c>
      <c r="DY15" t="s">
        <v>235</v>
      </c>
      <c r="DZ15" t="s">
        <v>236</v>
      </c>
      <c r="EA15" t="s">
        <v>237</v>
      </c>
      <c r="EB15" t="s">
        <v>238</v>
      </c>
      <c r="EC15" t="s">
        <v>239</v>
      </c>
      <c r="ED15" t="s">
        <v>240</v>
      </c>
      <c r="EE15" t="s">
        <v>241</v>
      </c>
      <c r="EF15" t="s">
        <v>242</v>
      </c>
      <c r="EG15" t="s">
        <v>243</v>
      </c>
      <c r="EH15" t="s">
        <v>244</v>
      </c>
      <c r="EI15" t="s">
        <v>245</v>
      </c>
      <c r="EJ15" t="s">
        <v>246</v>
      </c>
      <c r="EK15" t="s">
        <v>247</v>
      </c>
      <c r="EL15" t="s">
        <v>248</v>
      </c>
      <c r="EM15" t="s">
        <v>249</v>
      </c>
      <c r="EN15" t="s">
        <v>250</v>
      </c>
      <c r="EO15" t="s">
        <v>251</v>
      </c>
      <c r="EP15" t="s">
        <v>252</v>
      </c>
      <c r="EQ15" t="s">
        <v>253</v>
      </c>
      <c r="ER15" t="s">
        <v>254</v>
      </c>
      <c r="ES15" t="s">
        <v>255</v>
      </c>
      <c r="ET15" t="s">
        <v>256</v>
      </c>
      <c r="EU15" t="s">
        <v>257</v>
      </c>
      <c r="EV15" t="s">
        <v>258</v>
      </c>
      <c r="EW15" t="s">
        <v>259</v>
      </c>
      <c r="EX15" t="s">
        <v>260</v>
      </c>
      <c r="EY15" t="s">
        <v>261</v>
      </c>
      <c r="EZ15" t="s">
        <v>262</v>
      </c>
      <c r="FA15" t="s">
        <v>263</v>
      </c>
      <c r="FB15" t="s">
        <v>264</v>
      </c>
      <c r="FC15" t="s">
        <v>265</v>
      </c>
      <c r="FD15" t="s">
        <v>266</v>
      </c>
      <c r="FE15" t="s">
        <v>267</v>
      </c>
      <c r="FF15" t="s">
        <v>268</v>
      </c>
      <c r="FG15" t="s">
        <v>269</v>
      </c>
      <c r="FH15" t="s">
        <v>270</v>
      </c>
      <c r="FI15" t="s">
        <v>271</v>
      </c>
      <c r="FJ15" t="s">
        <v>272</v>
      </c>
      <c r="FK15" t="s">
        <v>273</v>
      </c>
      <c r="FL15" t="s">
        <v>274</v>
      </c>
      <c r="FM15" t="s">
        <v>275</v>
      </c>
      <c r="FN15" t="s">
        <v>276</v>
      </c>
      <c r="FO15" t="s">
        <v>277</v>
      </c>
      <c r="FP15" t="s">
        <v>278</v>
      </c>
      <c r="FQ15" t="s">
        <v>279</v>
      </c>
      <c r="FR15" t="s">
        <v>280</v>
      </c>
      <c r="FS15" t="s">
        <v>281</v>
      </c>
      <c r="FT15" t="s">
        <v>282</v>
      </c>
      <c r="FU15" t="s">
        <v>283</v>
      </c>
      <c r="FV15" t="s">
        <v>284</v>
      </c>
      <c r="FW15" t="s">
        <v>285</v>
      </c>
      <c r="FX15" t="s">
        <v>286</v>
      </c>
      <c r="FY15" t="s">
        <v>287</v>
      </c>
      <c r="FZ15" t="s">
        <v>288</v>
      </c>
      <c r="GA15" t="s">
        <v>289</v>
      </c>
      <c r="GB15" t="s">
        <v>290</v>
      </c>
      <c r="GC15" t="s">
        <v>291</v>
      </c>
      <c r="GD15" t="s">
        <v>292</v>
      </c>
      <c r="GE15" t="s">
        <v>293</v>
      </c>
      <c r="GF15" t="s">
        <v>294</v>
      </c>
      <c r="GG15" t="s">
        <v>295</v>
      </c>
      <c r="GH15" t="s">
        <v>296</v>
      </c>
      <c r="GI15" t="s">
        <v>297</v>
      </c>
      <c r="GJ15" t="s">
        <v>298</v>
      </c>
      <c r="GK15" t="s">
        <v>299</v>
      </c>
      <c r="GL15" t="s">
        <v>300</v>
      </c>
      <c r="GM15" t="s">
        <v>301</v>
      </c>
      <c r="GN15" t="s">
        <v>302</v>
      </c>
      <c r="GO15" t="s">
        <v>303</v>
      </c>
      <c r="GP15" t="s">
        <v>304</v>
      </c>
    </row>
    <row r="16" spans="1:198">
      <c r="B16" t="s">
        <v>305</v>
      </c>
      <c r="C16" t="s">
        <v>305</v>
      </c>
      <c r="F16" t="s">
        <v>305</v>
      </c>
      <c r="G16" t="s">
        <v>305</v>
      </c>
      <c r="H16" t="s">
        <v>306</v>
      </c>
      <c r="I16" t="s">
        <v>307</v>
      </c>
      <c r="J16" t="s">
        <v>308</v>
      </c>
      <c r="K16" t="s">
        <v>309</v>
      </c>
      <c r="L16" t="s">
        <v>309</v>
      </c>
      <c r="M16" t="s">
        <v>160</v>
      </c>
      <c r="N16" t="s">
        <v>160</v>
      </c>
      <c r="O16" t="s">
        <v>306</v>
      </c>
      <c r="P16" t="s">
        <v>306</v>
      </c>
      <c r="Q16" t="s">
        <v>306</v>
      </c>
      <c r="R16" t="s">
        <v>306</v>
      </c>
      <c r="S16" t="s">
        <v>310</v>
      </c>
      <c r="T16" t="s">
        <v>311</v>
      </c>
      <c r="U16" t="s">
        <v>311</v>
      </c>
      <c r="V16" t="s">
        <v>312</v>
      </c>
      <c r="W16" t="s">
        <v>313</v>
      </c>
      <c r="X16" t="s">
        <v>312</v>
      </c>
      <c r="Y16" t="s">
        <v>312</v>
      </c>
      <c r="Z16" t="s">
        <v>312</v>
      </c>
      <c r="AA16" t="s">
        <v>310</v>
      </c>
      <c r="AB16" t="s">
        <v>310</v>
      </c>
      <c r="AC16" t="s">
        <v>310</v>
      </c>
      <c r="AD16" t="s">
        <v>310</v>
      </c>
      <c r="AE16" t="s">
        <v>314</v>
      </c>
      <c r="AF16" t="s">
        <v>313</v>
      </c>
      <c r="AH16" t="s">
        <v>313</v>
      </c>
      <c r="AI16" t="s">
        <v>314</v>
      </c>
      <c r="AJ16" t="s">
        <v>308</v>
      </c>
      <c r="AK16" t="s">
        <v>308</v>
      </c>
      <c r="AM16" t="s">
        <v>315</v>
      </c>
      <c r="AN16" t="s">
        <v>316</v>
      </c>
      <c r="AQ16" t="s">
        <v>306</v>
      </c>
      <c r="AR16" t="s">
        <v>305</v>
      </c>
      <c r="AS16" t="s">
        <v>309</v>
      </c>
      <c r="AT16" t="s">
        <v>309</v>
      </c>
      <c r="AU16" t="s">
        <v>317</v>
      </c>
      <c r="AV16" t="s">
        <v>317</v>
      </c>
      <c r="AW16" t="s">
        <v>309</v>
      </c>
      <c r="AX16" t="s">
        <v>317</v>
      </c>
      <c r="AY16" t="s">
        <v>314</v>
      </c>
      <c r="AZ16" t="s">
        <v>312</v>
      </c>
      <c r="BA16" t="s">
        <v>312</v>
      </c>
      <c r="BB16" t="s">
        <v>311</v>
      </c>
      <c r="BC16" t="s">
        <v>311</v>
      </c>
      <c r="BD16" t="s">
        <v>311</v>
      </c>
      <c r="BE16" t="s">
        <v>311</v>
      </c>
      <c r="BF16" t="s">
        <v>311</v>
      </c>
      <c r="BG16" t="s">
        <v>318</v>
      </c>
      <c r="BH16" t="s">
        <v>308</v>
      </c>
      <c r="BI16" t="s">
        <v>308</v>
      </c>
      <c r="BJ16" t="s">
        <v>309</v>
      </c>
      <c r="BK16" t="s">
        <v>309</v>
      </c>
      <c r="BL16" t="s">
        <v>309</v>
      </c>
      <c r="BM16" t="s">
        <v>317</v>
      </c>
      <c r="BN16" t="s">
        <v>309</v>
      </c>
      <c r="BO16" t="s">
        <v>317</v>
      </c>
      <c r="BP16" t="s">
        <v>312</v>
      </c>
      <c r="BQ16" t="s">
        <v>312</v>
      </c>
      <c r="BR16" t="s">
        <v>311</v>
      </c>
      <c r="BS16" t="s">
        <v>311</v>
      </c>
      <c r="BT16" t="s">
        <v>308</v>
      </c>
      <c r="BW16" t="s">
        <v>311</v>
      </c>
      <c r="BY16" t="s">
        <v>319</v>
      </c>
      <c r="CA16" t="s">
        <v>305</v>
      </c>
      <c r="CB16" t="s">
        <v>305</v>
      </c>
      <c r="CD16" t="s">
        <v>320</v>
      </c>
      <c r="CE16" t="s">
        <v>321</v>
      </c>
      <c r="CF16" t="s">
        <v>320</v>
      </c>
      <c r="CG16" t="s">
        <v>321</v>
      </c>
      <c r="CH16" t="s">
        <v>320</v>
      </c>
      <c r="CI16" t="s">
        <v>321</v>
      </c>
      <c r="CJ16" t="s">
        <v>313</v>
      </c>
      <c r="CK16" t="s">
        <v>313</v>
      </c>
      <c r="CL16" t="s">
        <v>309</v>
      </c>
      <c r="CM16" t="s">
        <v>322</v>
      </c>
      <c r="CN16" t="s">
        <v>309</v>
      </c>
      <c r="CP16" t="s">
        <v>314</v>
      </c>
      <c r="CQ16" t="s">
        <v>323</v>
      </c>
      <c r="CR16" t="s">
        <v>314</v>
      </c>
      <c r="CW16" t="s">
        <v>324</v>
      </c>
      <c r="CX16" t="s">
        <v>324</v>
      </c>
      <c r="DK16" t="s">
        <v>324</v>
      </c>
      <c r="DL16" t="s">
        <v>324</v>
      </c>
      <c r="DM16" t="s">
        <v>325</v>
      </c>
      <c r="DN16" t="s">
        <v>325</v>
      </c>
      <c r="DO16" t="s">
        <v>311</v>
      </c>
      <c r="DP16" t="s">
        <v>311</v>
      </c>
      <c r="DQ16" t="s">
        <v>313</v>
      </c>
      <c r="DR16" t="s">
        <v>311</v>
      </c>
      <c r="DS16" t="s">
        <v>317</v>
      </c>
      <c r="DT16" t="s">
        <v>313</v>
      </c>
      <c r="DU16" t="s">
        <v>313</v>
      </c>
      <c r="DW16" t="s">
        <v>324</v>
      </c>
      <c r="DX16" t="s">
        <v>324</v>
      </c>
      <c r="DY16" t="s">
        <v>324</v>
      </c>
      <c r="DZ16" t="s">
        <v>324</v>
      </c>
      <c r="EA16" t="s">
        <v>324</v>
      </c>
      <c r="EB16" t="s">
        <v>324</v>
      </c>
      <c r="EC16" t="s">
        <v>324</v>
      </c>
      <c r="ED16" t="s">
        <v>326</v>
      </c>
      <c r="EE16" t="s">
        <v>326</v>
      </c>
      <c r="EF16" t="s">
        <v>326</v>
      </c>
      <c r="EG16" t="s">
        <v>327</v>
      </c>
      <c r="EH16" t="s">
        <v>324</v>
      </c>
      <c r="EI16" t="s">
        <v>324</v>
      </c>
      <c r="EJ16" t="s">
        <v>324</v>
      </c>
      <c r="EK16" t="s">
        <v>324</v>
      </c>
      <c r="EL16" t="s">
        <v>324</v>
      </c>
      <c r="EM16" t="s">
        <v>324</v>
      </c>
      <c r="EN16" t="s">
        <v>324</v>
      </c>
      <c r="EO16" t="s">
        <v>324</v>
      </c>
      <c r="EP16" t="s">
        <v>324</v>
      </c>
      <c r="EQ16" t="s">
        <v>324</v>
      </c>
      <c r="ER16" t="s">
        <v>324</v>
      </c>
      <c r="ES16" t="s">
        <v>324</v>
      </c>
      <c r="EZ16" t="s">
        <v>324</v>
      </c>
      <c r="FA16" t="s">
        <v>313</v>
      </c>
      <c r="FB16" t="s">
        <v>313</v>
      </c>
      <c r="FC16" t="s">
        <v>320</v>
      </c>
      <c r="FD16" t="s">
        <v>321</v>
      </c>
      <c r="FE16" t="s">
        <v>320</v>
      </c>
      <c r="FI16" t="s">
        <v>321</v>
      </c>
      <c r="FM16" t="s">
        <v>309</v>
      </c>
      <c r="FN16" t="s">
        <v>309</v>
      </c>
      <c r="FO16" t="s">
        <v>317</v>
      </c>
      <c r="FP16" t="s">
        <v>317</v>
      </c>
      <c r="FQ16" t="s">
        <v>328</v>
      </c>
      <c r="FR16" t="s">
        <v>328</v>
      </c>
      <c r="FS16" t="s">
        <v>324</v>
      </c>
      <c r="FT16" t="s">
        <v>324</v>
      </c>
      <c r="FU16" t="s">
        <v>324</v>
      </c>
      <c r="FV16" t="s">
        <v>324</v>
      </c>
      <c r="FW16" t="s">
        <v>324</v>
      </c>
      <c r="FX16" t="s">
        <v>324</v>
      </c>
      <c r="FY16" t="s">
        <v>311</v>
      </c>
      <c r="FZ16" t="s">
        <v>324</v>
      </c>
      <c r="GB16" t="s">
        <v>314</v>
      </c>
      <c r="GC16" t="s">
        <v>314</v>
      </c>
      <c r="GD16" t="s">
        <v>311</v>
      </c>
      <c r="GE16" t="s">
        <v>311</v>
      </c>
      <c r="GF16" t="s">
        <v>311</v>
      </c>
      <c r="GG16" t="s">
        <v>311</v>
      </c>
      <c r="GH16" t="s">
        <v>311</v>
      </c>
      <c r="GI16" t="s">
        <v>313</v>
      </c>
      <c r="GJ16" t="s">
        <v>313</v>
      </c>
      <c r="GK16" t="s">
        <v>313</v>
      </c>
      <c r="GL16" t="s">
        <v>311</v>
      </c>
      <c r="GM16" t="s">
        <v>309</v>
      </c>
      <c r="GN16" t="s">
        <v>317</v>
      </c>
      <c r="GO16" t="s">
        <v>313</v>
      </c>
      <c r="GP16" t="s">
        <v>313</v>
      </c>
    </row>
    <row r="17" spans="1:198">
      <c r="A17">
        <v>1</v>
      </c>
      <c r="B17">
        <v>1773196100</v>
      </c>
      <c r="C17">
        <v>0</v>
      </c>
      <c r="D17" t="s">
        <v>329</v>
      </c>
      <c r="E17" t="s">
        <v>330</v>
      </c>
      <c r="F17">
        <v>15</v>
      </c>
      <c r="G17">
        <v>1773196092.25</v>
      </c>
      <c r="H17">
        <f>(I17)/1000</f>
        <v>0</v>
      </c>
      <c r="I17">
        <f>1000*AY17*AG17*(AU17-AV17)/(100*AN17*(1000-AG17*AU17))</f>
        <v>0</v>
      </c>
      <c r="J17">
        <f>AY17*AG17*(AT17-AS17*(1000-AG17*AV17)/(1000-AG17*AU17))/(100*AN17)</f>
        <v>0</v>
      </c>
      <c r="K17">
        <f>AS17 - IF(AG17&gt;1, J17*AN17*100.0/(AI17), 0)</f>
        <v>0</v>
      </c>
      <c r="L17">
        <f>((R17-H17/2)*K17-J17)/(R17+H17/2)</f>
        <v>0</v>
      </c>
      <c r="M17">
        <f>L17*(AZ17+BA17)/1000.0</f>
        <v>0</v>
      </c>
      <c r="N17">
        <f>(AS17 - IF(AG17&gt;1, J17*AN17*100.0/(AI17), 0))*(AZ17+BA17)/1000.0</f>
        <v>0</v>
      </c>
      <c r="O17">
        <f>2.0/((1/Q17-1/P17)+SIGN(Q17)*SQRT((1/Q17-1/P17)*(1/Q17-1/P17) + 4*AO17/((AO17+1)*(AO17+1))*(2*1/Q17*1/P17-1/P17*1/P17)))</f>
        <v>0</v>
      </c>
      <c r="P17">
        <f>IF(LEFT(AP17,1)&lt;&gt;"0",IF(LEFT(AP17,1)="1",3.0,AQ17),$D$5+$E$5*(BG17*AZ17/($K$5*1000))+$F$5*(BG17*AZ17/($K$5*1000))*MAX(MIN(AN17,$J$5),$I$5)*MAX(MIN(AN17,$J$5),$I$5)+$G$5*MAX(MIN(AN17,$J$5),$I$5)*(BG17*AZ17/($K$5*1000))+$H$5*(BG17*AZ17/($K$5*1000))*(BG17*AZ17/($K$5*1000)))</f>
        <v>0</v>
      </c>
      <c r="Q17">
        <f>H17*(1000-(1000*0.61365*exp(17.502*U17/(240.97+U17))/(AZ17+BA17)+AU17)/2)/(1000*0.61365*exp(17.502*U17/(240.97+U17))/(AZ17+BA17)-AU17)</f>
        <v>0</v>
      </c>
      <c r="R17">
        <f>1/((AO17+1)/(O17/1.6)+1/(P17/1.37)) + AO17/((AO17+1)/(O17/1.6) + AO17/(P17/1.37))</f>
        <v>0</v>
      </c>
      <c r="S17">
        <f>(AJ17*AM17)</f>
        <v>0</v>
      </c>
      <c r="T17">
        <f>(BB17+(S17+2*0.95*5.67E-8*(((BB17+$B$7)+273)^4-(BB17+273)^4)-44100*H17)/(1.84*29.3*P17+8*0.95*5.67E-8*(BB17+273)^3))</f>
        <v>0</v>
      </c>
      <c r="U17">
        <f>($C$7*BC17+$D$7*BD17+$E$7*T17)</f>
        <v>0</v>
      </c>
      <c r="V17">
        <f>0.61365*exp(17.502*U17/(240.97+U17))</f>
        <v>0</v>
      </c>
      <c r="W17">
        <f>(X17/Y17*100)</f>
        <v>0</v>
      </c>
      <c r="X17">
        <f>AU17*(AZ17+BA17)/1000</f>
        <v>0</v>
      </c>
      <c r="Y17">
        <f>0.61365*exp(17.502*BB17/(240.97+BB17))</f>
        <v>0</v>
      </c>
      <c r="Z17">
        <f>(V17-AU17*(AZ17+BA17)/1000)</f>
        <v>0</v>
      </c>
      <c r="AA17">
        <f>(-H17*44100)</f>
        <v>0</v>
      </c>
      <c r="AB17">
        <f>2*29.3*P17*0.92*(BB17-U17)</f>
        <v>0</v>
      </c>
      <c r="AC17">
        <f>2*0.95*5.67E-8*(((BB17+$B$7)+273)^4-(U17+273)^4)</f>
        <v>0</v>
      </c>
      <c r="AD17">
        <f>S17+AC17+AA17+AB17</f>
        <v>0</v>
      </c>
      <c r="AE17">
        <v>3</v>
      </c>
      <c r="AF17">
        <v>1</v>
      </c>
      <c r="AG17">
        <f>IF(AE17*$H$13&gt;=AI17,1.0,(AI17/(AI17-AE17*$H$13)))</f>
        <v>0</v>
      </c>
      <c r="AH17">
        <f>(AG17-1)*100</f>
        <v>0</v>
      </c>
      <c r="AI17">
        <f>MAX(0,($B$13+$C$13*BG17)/(1+$D$13*BG17)*AZ17/(BB17+273)*$E$13)</f>
        <v>0</v>
      </c>
      <c r="AJ17">
        <f>$B$11*BH17+$C$11*BI17+$D$11*BT17</f>
        <v>0</v>
      </c>
      <c r="AK17">
        <f>AJ17*AL17</f>
        <v>0</v>
      </c>
      <c r="AL17">
        <f>($B$11*$D$9+$C$11*$D$9+$D$11*(BU17*$E$9+BV17*$G$9))/($B$11+$C$11+$D$11)</f>
        <v>0</v>
      </c>
      <c r="AM17">
        <f>($B$11*$K$9+$C$11*$K$9+$D$11*(BU17*$L$9+BV17*$N$9))/($B$11+$C$11+$D$11)</f>
        <v>0</v>
      </c>
      <c r="AN17">
        <v>3</v>
      </c>
      <c r="AO17">
        <v>0.5</v>
      </c>
      <c r="AP17" t="s">
        <v>331</v>
      </c>
      <c r="AQ17">
        <v>2</v>
      </c>
      <c r="AR17">
        <v>1773196092.25</v>
      </c>
      <c r="AS17">
        <v>444.5190666666667</v>
      </c>
      <c r="AT17">
        <v>445.4117</v>
      </c>
      <c r="AU17">
        <v>10.32440666666667</v>
      </c>
      <c r="AV17">
        <v>2.450846</v>
      </c>
      <c r="AW17">
        <v>438.2877</v>
      </c>
      <c r="AX17">
        <v>10.24381333333333</v>
      </c>
      <c r="AY17">
        <v>499.9753333333334</v>
      </c>
      <c r="AZ17">
        <v>100.2536333333333</v>
      </c>
      <c r="BA17">
        <v>0.03744552333333333</v>
      </c>
      <c r="BB17">
        <v>31.04602666666667</v>
      </c>
      <c r="BC17">
        <v>27.67404</v>
      </c>
      <c r="BD17">
        <v>999.9000000000002</v>
      </c>
      <c r="BE17">
        <v>0</v>
      </c>
      <c r="BF17">
        <v>0</v>
      </c>
      <c r="BG17">
        <v>4989.616666666667</v>
      </c>
      <c r="BH17">
        <v>1.659594333333334</v>
      </c>
      <c r="BI17">
        <v>1895.789666666667</v>
      </c>
      <c r="BJ17">
        <v>-0.8925801999999999</v>
      </c>
      <c r="BK17">
        <v>449.1564666666666</v>
      </c>
      <c r="BL17">
        <v>446.5059999999999</v>
      </c>
      <c r="BM17">
        <v>7.873554333333334</v>
      </c>
      <c r="BN17">
        <v>445.4117</v>
      </c>
      <c r="BO17">
        <v>2.450846</v>
      </c>
      <c r="BP17">
        <v>1.035058666666667</v>
      </c>
      <c r="BQ17">
        <v>0.2457061999999999</v>
      </c>
      <c r="BR17">
        <v>7.419344999999999</v>
      </c>
      <c r="BS17">
        <v>-11.97602666666667</v>
      </c>
      <c r="BT17">
        <v>0</v>
      </c>
      <c r="BU17">
        <v>0</v>
      </c>
      <c r="BV17">
        <v>0</v>
      </c>
      <c r="BW17">
        <v>31.97444666666667</v>
      </c>
      <c r="BX17">
        <v>50</v>
      </c>
      <c r="BY17">
        <v>1773196010</v>
      </c>
      <c r="BZ17" t="s">
        <v>332</v>
      </c>
      <c r="CA17">
        <v>1773196010</v>
      </c>
      <c r="CB17">
        <v>1773196005.5</v>
      </c>
      <c r="CC17">
        <v>2</v>
      </c>
      <c r="CD17">
        <v>-0.279</v>
      </c>
      <c r="CE17">
        <v>-0.021</v>
      </c>
      <c r="CF17">
        <v>6.231</v>
      </c>
      <c r="CG17">
        <v>0.081</v>
      </c>
      <c r="CH17">
        <v>432</v>
      </c>
      <c r="CI17">
        <v>21</v>
      </c>
      <c r="CJ17">
        <v>0.03</v>
      </c>
      <c r="CK17">
        <v>0.06</v>
      </c>
      <c r="CL17">
        <v>445.4155806451613</v>
      </c>
      <c r="CM17">
        <v>-0.3450000000012</v>
      </c>
      <c r="CN17">
        <v>0.03091797075671355</v>
      </c>
      <c r="CO17">
        <v>-1</v>
      </c>
      <c r="CP17">
        <v>499.9742580645162</v>
      </c>
      <c r="CQ17">
        <v>-0.1275967741934139</v>
      </c>
      <c r="CR17">
        <v>0.03869564261701776</v>
      </c>
      <c r="CS17">
        <v>-1</v>
      </c>
      <c r="CT17">
        <v>0</v>
      </c>
      <c r="CU17">
        <v>0</v>
      </c>
      <c r="CV17" t="s">
        <v>333</v>
      </c>
      <c r="CW17">
        <v>3.16801</v>
      </c>
      <c r="CX17">
        <v>2.65925</v>
      </c>
      <c r="CY17">
        <v>0.105679</v>
      </c>
      <c r="CZ17">
        <v>0.106993</v>
      </c>
      <c r="DA17">
        <v>0.0608508</v>
      </c>
      <c r="DB17">
        <v>0.0178763</v>
      </c>
      <c r="DC17">
        <v>21610.2</v>
      </c>
      <c r="DD17">
        <v>21997.5</v>
      </c>
      <c r="DE17">
        <v>23257.7</v>
      </c>
      <c r="DF17">
        <v>22525.6</v>
      </c>
      <c r="DG17">
        <v>32988.6</v>
      </c>
      <c r="DH17">
        <v>31214.9</v>
      </c>
      <c r="DI17">
        <v>40858.8</v>
      </c>
      <c r="DJ17">
        <v>37295.9</v>
      </c>
      <c r="DK17">
        <v>2.118</v>
      </c>
      <c r="DL17">
        <v>1.7526</v>
      </c>
      <c r="DM17">
        <v>-0.165179</v>
      </c>
      <c r="DN17">
        <v>0</v>
      </c>
      <c r="DO17">
        <v>30.3435</v>
      </c>
      <c r="DP17">
        <v>999.9</v>
      </c>
      <c r="DQ17">
        <v>61.1</v>
      </c>
      <c r="DR17">
        <v>26</v>
      </c>
      <c r="DS17">
        <v>20.5656</v>
      </c>
      <c r="DT17">
        <v>29.83</v>
      </c>
      <c r="DU17">
        <v>11.1298</v>
      </c>
      <c r="DV17">
        <v>1</v>
      </c>
      <c r="DW17">
        <v>0.120474</v>
      </c>
      <c r="DX17">
        <v>3.41657</v>
      </c>
      <c r="DY17">
        <v>20.3209</v>
      </c>
      <c r="DZ17">
        <v>5.21202</v>
      </c>
      <c r="EA17">
        <v>11.8535</v>
      </c>
      <c r="EB17">
        <v>4.96872</v>
      </c>
      <c r="EC17">
        <v>3.29262</v>
      </c>
      <c r="ED17">
        <v>879.4</v>
      </c>
      <c r="EE17">
        <v>9999</v>
      </c>
      <c r="EF17">
        <v>9999</v>
      </c>
      <c r="EG17">
        <v>76</v>
      </c>
      <c r="EH17">
        <v>4.97162</v>
      </c>
      <c r="EI17">
        <v>1.87172</v>
      </c>
      <c r="EJ17">
        <v>1.8689</v>
      </c>
      <c r="EK17">
        <v>1.87134</v>
      </c>
      <c r="EL17">
        <v>1.86905</v>
      </c>
      <c r="EM17">
        <v>1.86798</v>
      </c>
      <c r="EN17">
        <v>1.86981</v>
      </c>
      <c r="EO17">
        <v>1.87166</v>
      </c>
      <c r="EP17">
        <v>0</v>
      </c>
      <c r="EQ17">
        <v>0</v>
      </c>
      <c r="ER17">
        <v>0</v>
      </c>
      <c r="ES17">
        <v>0</v>
      </c>
      <c r="ET17" t="s">
        <v>334</v>
      </c>
      <c r="EU17" t="s">
        <v>335</v>
      </c>
      <c r="EV17" t="s">
        <v>336</v>
      </c>
      <c r="EW17" t="s">
        <v>336</v>
      </c>
      <c r="EX17" t="s">
        <v>336</v>
      </c>
      <c r="EY17" t="s">
        <v>336</v>
      </c>
      <c r="EZ17">
        <v>0</v>
      </c>
      <c r="FA17">
        <v>100</v>
      </c>
      <c r="FB17">
        <v>100</v>
      </c>
      <c r="FC17">
        <v>6.231</v>
      </c>
      <c r="FD17">
        <v>0.0806</v>
      </c>
      <c r="FE17">
        <v>6.23135000000002</v>
      </c>
      <c r="FF17">
        <v>0</v>
      </c>
      <c r="FG17">
        <v>0</v>
      </c>
      <c r="FH17">
        <v>0</v>
      </c>
      <c r="FI17">
        <v>0.08059047619047632</v>
      </c>
      <c r="FJ17">
        <v>0</v>
      </c>
      <c r="FK17">
        <v>0</v>
      </c>
      <c r="FL17">
        <v>0</v>
      </c>
      <c r="FM17">
        <v>-1</v>
      </c>
      <c r="FN17">
        <v>-1</v>
      </c>
      <c r="FO17">
        <v>-1</v>
      </c>
      <c r="FP17">
        <v>-1</v>
      </c>
      <c r="FQ17">
        <v>1.5</v>
      </c>
      <c r="FR17">
        <v>1.6</v>
      </c>
      <c r="FS17">
        <v>0.146484</v>
      </c>
      <c r="FT17">
        <v>4.99756</v>
      </c>
      <c r="FU17">
        <v>1.5979</v>
      </c>
      <c r="FV17">
        <v>2.17896</v>
      </c>
      <c r="FW17">
        <v>1.54785</v>
      </c>
      <c r="FX17">
        <v>2.33643</v>
      </c>
      <c r="FY17">
        <v>31.3462</v>
      </c>
      <c r="FZ17">
        <v>16.1634</v>
      </c>
      <c r="GA17">
        <v>3</v>
      </c>
      <c r="GB17">
        <v>499.558</v>
      </c>
      <c r="GC17">
        <v>366.103</v>
      </c>
      <c r="GD17">
        <v>29.3661</v>
      </c>
      <c r="GE17">
        <v>28.5875</v>
      </c>
      <c r="GF17">
        <v>30.0056</v>
      </c>
      <c r="GG17">
        <v>27.7339</v>
      </c>
      <c r="GH17">
        <v>27.6072</v>
      </c>
      <c r="GI17">
        <v>-1</v>
      </c>
      <c r="GJ17">
        <v>100</v>
      </c>
      <c r="GK17">
        <v>0</v>
      </c>
      <c r="GL17">
        <v>29.2816</v>
      </c>
      <c r="GM17">
        <v>1200</v>
      </c>
      <c r="GN17">
        <v>19.4378</v>
      </c>
      <c r="GO17">
        <v>102.862</v>
      </c>
      <c r="GP17">
        <v>97.35299999999999</v>
      </c>
    </row>
    <row r="18" spans="1:198">
      <c r="A18">
        <v>2</v>
      </c>
      <c r="B18">
        <v>1773196160</v>
      </c>
      <c r="C18">
        <v>60</v>
      </c>
      <c r="D18" t="s">
        <v>337</v>
      </c>
      <c r="E18" t="s">
        <v>338</v>
      </c>
      <c r="F18">
        <v>15</v>
      </c>
      <c r="G18">
        <v>1773196152</v>
      </c>
      <c r="H18">
        <f>(I18)/1000</f>
        <v>0</v>
      </c>
      <c r="I18">
        <f>1000*AY18*AG18*(AU18-AV18)/(100*AN18*(1000-AG18*AU18))</f>
        <v>0</v>
      </c>
      <c r="J18">
        <f>AY18*AG18*(AT18-AS18*(1000-AG18*AV18)/(1000-AG18*AU18))/(100*AN18)</f>
        <v>0</v>
      </c>
      <c r="K18">
        <f>AS18 - IF(AG18&gt;1, J18*AN18*100.0/(AI18), 0)</f>
        <v>0</v>
      </c>
      <c r="L18">
        <f>((R18-H18/2)*K18-J18)/(R18+H18/2)</f>
        <v>0</v>
      </c>
      <c r="M18">
        <f>L18*(AZ18+BA18)/1000.0</f>
        <v>0</v>
      </c>
      <c r="N18">
        <f>(AS18 - IF(AG18&gt;1, J18*AN18*100.0/(AI18), 0))*(AZ18+BA18)/1000.0</f>
        <v>0</v>
      </c>
      <c r="O18">
        <f>2.0/((1/Q18-1/P18)+SIGN(Q18)*SQRT((1/Q18-1/P18)*(1/Q18-1/P18) + 4*AO18/((AO18+1)*(AO18+1))*(2*1/Q18*1/P18-1/P18*1/P18)))</f>
        <v>0</v>
      </c>
      <c r="P18">
        <f>IF(LEFT(AP18,1)&lt;&gt;"0",IF(LEFT(AP18,1)="1",3.0,AQ18),$D$5+$E$5*(BG18*AZ18/($K$5*1000))+$F$5*(BG18*AZ18/($K$5*1000))*MAX(MIN(AN18,$J$5),$I$5)*MAX(MIN(AN18,$J$5),$I$5)+$G$5*MAX(MIN(AN18,$J$5),$I$5)*(BG18*AZ18/($K$5*1000))+$H$5*(BG18*AZ18/($K$5*1000))*(BG18*AZ18/($K$5*1000)))</f>
        <v>0</v>
      </c>
      <c r="Q18">
        <f>H18*(1000-(1000*0.61365*exp(17.502*U18/(240.97+U18))/(AZ18+BA18)+AU18)/2)/(1000*0.61365*exp(17.502*U18/(240.97+U18))/(AZ18+BA18)-AU18)</f>
        <v>0</v>
      </c>
      <c r="R18">
        <f>1/((AO18+1)/(O18/1.6)+1/(P18/1.37)) + AO18/((AO18+1)/(O18/1.6) + AO18/(P18/1.37))</f>
        <v>0</v>
      </c>
      <c r="S18">
        <f>(AJ18*AM18)</f>
        <v>0</v>
      </c>
      <c r="T18">
        <f>(BB18+(S18+2*0.95*5.67E-8*(((BB18+$B$7)+273)^4-(BB18+273)^4)-44100*H18)/(1.84*29.3*P18+8*0.95*5.67E-8*(BB18+273)^3))</f>
        <v>0</v>
      </c>
      <c r="U18">
        <f>($C$7*BC18+$D$7*BD18+$E$7*T18)</f>
        <v>0</v>
      </c>
      <c r="V18">
        <f>0.61365*exp(17.502*U18/(240.97+U18))</f>
        <v>0</v>
      </c>
      <c r="W18">
        <f>(X18/Y18*100)</f>
        <v>0</v>
      </c>
      <c r="X18">
        <f>AU18*(AZ18+BA18)/1000</f>
        <v>0</v>
      </c>
      <c r="Y18">
        <f>0.61365*exp(17.502*BB18/(240.97+BB18))</f>
        <v>0</v>
      </c>
      <c r="Z18">
        <f>(V18-AU18*(AZ18+BA18)/1000)</f>
        <v>0</v>
      </c>
      <c r="AA18">
        <f>(-H18*44100)</f>
        <v>0</v>
      </c>
      <c r="AB18">
        <f>2*29.3*P18*0.92*(BB18-U18)</f>
        <v>0</v>
      </c>
      <c r="AC18">
        <f>2*0.95*5.67E-8*(((BB18+$B$7)+273)^4-(U18+273)^4)</f>
        <v>0</v>
      </c>
      <c r="AD18">
        <f>S18+AC18+AA18+AB18</f>
        <v>0</v>
      </c>
      <c r="AE18">
        <v>2</v>
      </c>
      <c r="AF18">
        <v>0</v>
      </c>
      <c r="AG18">
        <f>IF(AE18*$H$13&gt;=AI18,1.0,(AI18/(AI18-AE18*$H$13)))</f>
        <v>0</v>
      </c>
      <c r="AH18">
        <f>(AG18-1)*100</f>
        <v>0</v>
      </c>
      <c r="AI18">
        <f>MAX(0,($B$13+$C$13*BG18)/(1+$D$13*BG18)*AZ18/(BB18+273)*$E$13)</f>
        <v>0</v>
      </c>
      <c r="AJ18">
        <f>$B$11*BH18+$C$11*BI18+$D$11*BT18</f>
        <v>0</v>
      </c>
      <c r="AK18">
        <f>AJ18*AL18</f>
        <v>0</v>
      </c>
      <c r="AL18">
        <f>($B$11*$D$9+$C$11*$D$9+$D$11*(BU18*$E$9+BV18*$G$9))/($B$11+$C$11+$D$11)</f>
        <v>0</v>
      </c>
      <c r="AM18">
        <f>($B$11*$K$9+$C$11*$K$9+$D$11*(BU18*$L$9+BV18*$N$9))/($B$11+$C$11+$D$11)</f>
        <v>0</v>
      </c>
      <c r="AN18">
        <v>3</v>
      </c>
      <c r="AO18">
        <v>0.5</v>
      </c>
      <c r="AP18" t="s">
        <v>331</v>
      </c>
      <c r="AQ18">
        <v>2</v>
      </c>
      <c r="AR18">
        <v>1773196152</v>
      </c>
      <c r="AS18">
        <v>444.5946774193549</v>
      </c>
      <c r="AT18">
        <v>445.424935483871</v>
      </c>
      <c r="AU18">
        <v>10.01793225806451</v>
      </c>
      <c r="AV18">
        <v>2.29633</v>
      </c>
      <c r="AW18">
        <v>438.3632258064515</v>
      </c>
      <c r="AX18">
        <v>9.937348709677417</v>
      </c>
      <c r="AY18">
        <v>500.0011935483871</v>
      </c>
      <c r="AZ18">
        <v>100.2448387096774</v>
      </c>
      <c r="BA18">
        <v>0.03859053548387097</v>
      </c>
      <c r="BB18">
        <v>31.15704838709677</v>
      </c>
      <c r="BC18">
        <v>27.94863548387097</v>
      </c>
      <c r="BD18">
        <v>999.9000000000003</v>
      </c>
      <c r="BE18">
        <v>0</v>
      </c>
      <c r="BF18">
        <v>0</v>
      </c>
      <c r="BG18">
        <v>5000.5</v>
      </c>
      <c r="BH18">
        <v>1.673623225806451</v>
      </c>
      <c r="BI18">
        <v>1911.949677419355</v>
      </c>
      <c r="BJ18">
        <v>-0.8302633548387098</v>
      </c>
      <c r="BK18">
        <v>449.0935483870967</v>
      </c>
      <c r="BL18">
        <v>446.4502258064516</v>
      </c>
      <c r="BM18">
        <v>7.721608709677419</v>
      </c>
      <c r="BN18">
        <v>445.424935483871</v>
      </c>
      <c r="BO18">
        <v>2.29633</v>
      </c>
      <c r="BP18">
        <v>1.004247096774194</v>
      </c>
      <c r="BQ18">
        <v>0.2301954193548387</v>
      </c>
      <c r="BR18">
        <v>6.978143225806451</v>
      </c>
      <c r="BS18">
        <v>-12.78346774193549</v>
      </c>
      <c r="BT18">
        <v>0</v>
      </c>
      <c r="BU18">
        <v>0</v>
      </c>
      <c r="BV18">
        <v>0</v>
      </c>
      <c r="BW18">
        <v>32</v>
      </c>
      <c r="BX18">
        <v>50.08171612903226</v>
      </c>
      <c r="BY18">
        <v>1773196010</v>
      </c>
      <c r="BZ18" t="s">
        <v>332</v>
      </c>
      <c r="CA18">
        <v>1773196010</v>
      </c>
      <c r="CB18">
        <v>1773196005.5</v>
      </c>
      <c r="CC18">
        <v>2</v>
      </c>
      <c r="CD18">
        <v>-0.279</v>
      </c>
      <c r="CE18">
        <v>-0.021</v>
      </c>
      <c r="CF18">
        <v>6.231</v>
      </c>
      <c r="CG18">
        <v>0.081</v>
      </c>
      <c r="CH18">
        <v>432</v>
      </c>
      <c r="CI18">
        <v>21</v>
      </c>
      <c r="CJ18">
        <v>0.03</v>
      </c>
      <c r="CK18">
        <v>0.06</v>
      </c>
      <c r="CL18">
        <v>445.4146666666667</v>
      </c>
      <c r="CM18">
        <v>-2.567332591767984</v>
      </c>
      <c r="CN18">
        <v>0.1875774210529893</v>
      </c>
      <c r="CO18">
        <v>-1</v>
      </c>
      <c r="CP18">
        <v>500.0008666666666</v>
      </c>
      <c r="CQ18">
        <v>-0.1941357063385206</v>
      </c>
      <c r="CR18">
        <v>0.02884756874022745</v>
      </c>
      <c r="CS18">
        <v>-1</v>
      </c>
      <c r="CT18">
        <v>0</v>
      </c>
      <c r="CU18">
        <v>0</v>
      </c>
      <c r="CV18" t="s">
        <v>333</v>
      </c>
      <c r="CW18">
        <v>3.16805</v>
      </c>
      <c r="CX18">
        <v>2.66016</v>
      </c>
      <c r="CY18">
        <v>0.105469</v>
      </c>
      <c r="CZ18">
        <v>0.106749</v>
      </c>
      <c r="DA18">
        <v>0.059579</v>
      </c>
      <c r="DB18">
        <v>0.01701</v>
      </c>
      <c r="DC18">
        <v>21576.4</v>
      </c>
      <c r="DD18">
        <v>21975.4</v>
      </c>
      <c r="DE18">
        <v>23219.7</v>
      </c>
      <c r="DF18">
        <v>22499.4</v>
      </c>
      <c r="DG18">
        <v>32982.6</v>
      </c>
      <c r="DH18">
        <v>31201.1</v>
      </c>
      <c r="DI18">
        <v>40798.4</v>
      </c>
      <c r="DJ18">
        <v>37248.8</v>
      </c>
      <c r="DK18">
        <v>2.1091</v>
      </c>
      <c r="DL18">
        <v>1.73718</v>
      </c>
      <c r="DM18">
        <v>-0.152096</v>
      </c>
      <c r="DN18">
        <v>0</v>
      </c>
      <c r="DO18">
        <v>30.5411</v>
      </c>
      <c r="DP18">
        <v>999.9</v>
      </c>
      <c r="DQ18">
        <v>60.9</v>
      </c>
      <c r="DR18">
        <v>26.4</v>
      </c>
      <c r="DS18">
        <v>20.9891</v>
      </c>
      <c r="DT18">
        <v>30.01</v>
      </c>
      <c r="DU18">
        <v>11.4623</v>
      </c>
      <c r="DV18">
        <v>1</v>
      </c>
      <c r="DW18">
        <v>0.191449</v>
      </c>
      <c r="DX18">
        <v>3.05236</v>
      </c>
      <c r="DY18">
        <v>20.3241</v>
      </c>
      <c r="DZ18">
        <v>5.21106</v>
      </c>
      <c r="EA18">
        <v>11.854</v>
      </c>
      <c r="EB18">
        <v>4.96788</v>
      </c>
      <c r="EC18">
        <v>3.2928</v>
      </c>
      <c r="ED18">
        <v>879.4</v>
      </c>
      <c r="EE18">
        <v>9999</v>
      </c>
      <c r="EF18">
        <v>9999</v>
      </c>
      <c r="EG18">
        <v>76</v>
      </c>
      <c r="EH18">
        <v>4.9716</v>
      </c>
      <c r="EI18">
        <v>1.8718</v>
      </c>
      <c r="EJ18">
        <v>1.86894</v>
      </c>
      <c r="EK18">
        <v>1.87134</v>
      </c>
      <c r="EL18">
        <v>1.86907</v>
      </c>
      <c r="EM18">
        <v>1.86799</v>
      </c>
      <c r="EN18">
        <v>1.86983</v>
      </c>
      <c r="EO18">
        <v>1.87174</v>
      </c>
      <c r="EP18">
        <v>0</v>
      </c>
      <c r="EQ18">
        <v>0</v>
      </c>
      <c r="ER18">
        <v>0</v>
      </c>
      <c r="ES18">
        <v>0</v>
      </c>
      <c r="ET18" t="s">
        <v>334</v>
      </c>
      <c r="EU18" t="s">
        <v>335</v>
      </c>
      <c r="EV18" t="s">
        <v>336</v>
      </c>
      <c r="EW18" t="s">
        <v>336</v>
      </c>
      <c r="EX18" t="s">
        <v>336</v>
      </c>
      <c r="EY18" t="s">
        <v>336</v>
      </c>
      <c r="EZ18">
        <v>0</v>
      </c>
      <c r="FA18">
        <v>100</v>
      </c>
      <c r="FB18">
        <v>100</v>
      </c>
      <c r="FC18">
        <v>6.231</v>
      </c>
      <c r="FD18">
        <v>0.0805</v>
      </c>
      <c r="FE18">
        <v>6.23135000000002</v>
      </c>
      <c r="FF18">
        <v>0</v>
      </c>
      <c r="FG18">
        <v>0</v>
      </c>
      <c r="FH18">
        <v>0</v>
      </c>
      <c r="FI18">
        <v>0.08059047619047632</v>
      </c>
      <c r="FJ18">
        <v>0</v>
      </c>
      <c r="FK18">
        <v>0</v>
      </c>
      <c r="FL18">
        <v>0</v>
      </c>
      <c r="FM18">
        <v>-1</v>
      </c>
      <c r="FN18">
        <v>-1</v>
      </c>
      <c r="FO18">
        <v>-1</v>
      </c>
      <c r="FP18">
        <v>-1</v>
      </c>
      <c r="FQ18">
        <v>2.5</v>
      </c>
      <c r="FR18">
        <v>2.6</v>
      </c>
      <c r="FS18">
        <v>0.146484</v>
      </c>
      <c r="FT18">
        <v>4.99756</v>
      </c>
      <c r="FU18">
        <v>1.5979</v>
      </c>
      <c r="FV18">
        <v>2.17773</v>
      </c>
      <c r="FW18">
        <v>1.54785</v>
      </c>
      <c r="FX18">
        <v>2.34131</v>
      </c>
      <c r="FY18">
        <v>32.1564</v>
      </c>
      <c r="FZ18">
        <v>16.1722</v>
      </c>
      <c r="GA18">
        <v>3</v>
      </c>
      <c r="GB18">
        <v>500.421</v>
      </c>
      <c r="GC18">
        <v>362.298</v>
      </c>
      <c r="GD18">
        <v>32.3951</v>
      </c>
      <c r="GE18">
        <v>29.4873</v>
      </c>
      <c r="GF18">
        <v>30.006</v>
      </c>
      <c r="GG18">
        <v>28.4855</v>
      </c>
      <c r="GH18">
        <v>28.313</v>
      </c>
      <c r="GI18">
        <v>-1</v>
      </c>
      <c r="GJ18">
        <v>100</v>
      </c>
      <c r="GK18">
        <v>0</v>
      </c>
      <c r="GL18">
        <v>32.0258</v>
      </c>
      <c r="GM18">
        <v>1200</v>
      </c>
      <c r="GN18">
        <v>19.4378</v>
      </c>
      <c r="GO18">
        <v>102.704</v>
      </c>
      <c r="GP18">
        <v>97.2338</v>
      </c>
    </row>
    <row r="19" spans="1:198">
      <c r="A19">
        <v>3</v>
      </c>
      <c r="B19">
        <v>1773196220</v>
      </c>
      <c r="C19">
        <v>120</v>
      </c>
      <c r="D19" t="s">
        <v>339</v>
      </c>
      <c r="E19" t="s">
        <v>340</v>
      </c>
      <c r="F19">
        <v>15</v>
      </c>
      <c r="G19">
        <v>1773196212</v>
      </c>
      <c r="H19">
        <f>(I19)/1000</f>
        <v>0</v>
      </c>
      <c r="I19">
        <f>1000*AY19*AG19*(AU19-AV19)/(100*AN19*(1000-AG19*AU19))</f>
        <v>0</v>
      </c>
      <c r="J19">
        <f>AY19*AG19*(AT19-AS19*(1000-AG19*AV19)/(1000-AG19*AU19))/(100*AN19)</f>
        <v>0</v>
      </c>
      <c r="K19">
        <f>AS19 - IF(AG19&gt;1, J19*AN19*100.0/(AI19), 0)</f>
        <v>0</v>
      </c>
      <c r="L19">
        <f>((R19-H19/2)*K19-J19)/(R19+H19/2)</f>
        <v>0</v>
      </c>
      <c r="M19">
        <f>L19*(AZ19+BA19)/1000.0</f>
        <v>0</v>
      </c>
      <c r="N19">
        <f>(AS19 - IF(AG19&gt;1, J19*AN19*100.0/(AI19), 0))*(AZ19+BA19)/1000.0</f>
        <v>0</v>
      </c>
      <c r="O19">
        <f>2.0/((1/Q19-1/P19)+SIGN(Q19)*SQRT((1/Q19-1/P19)*(1/Q19-1/P19) + 4*AO19/((AO19+1)*(AO19+1))*(2*1/Q19*1/P19-1/P19*1/P19)))</f>
        <v>0</v>
      </c>
      <c r="P19">
        <f>IF(LEFT(AP19,1)&lt;&gt;"0",IF(LEFT(AP19,1)="1",3.0,AQ19),$D$5+$E$5*(BG19*AZ19/($K$5*1000))+$F$5*(BG19*AZ19/($K$5*1000))*MAX(MIN(AN19,$J$5),$I$5)*MAX(MIN(AN19,$J$5),$I$5)+$G$5*MAX(MIN(AN19,$J$5),$I$5)*(BG19*AZ19/($K$5*1000))+$H$5*(BG19*AZ19/($K$5*1000))*(BG19*AZ19/($K$5*1000)))</f>
        <v>0</v>
      </c>
      <c r="Q19">
        <f>H19*(1000-(1000*0.61365*exp(17.502*U19/(240.97+U19))/(AZ19+BA19)+AU19)/2)/(1000*0.61365*exp(17.502*U19/(240.97+U19))/(AZ19+BA19)-AU19)</f>
        <v>0</v>
      </c>
      <c r="R19">
        <f>1/((AO19+1)/(O19/1.6)+1/(P19/1.37)) + AO19/((AO19+1)/(O19/1.6) + AO19/(P19/1.37))</f>
        <v>0</v>
      </c>
      <c r="S19">
        <f>(AJ19*AM19)</f>
        <v>0</v>
      </c>
      <c r="T19">
        <f>(BB19+(S19+2*0.95*5.67E-8*(((BB19+$B$7)+273)^4-(BB19+273)^4)-44100*H19)/(1.84*29.3*P19+8*0.95*5.67E-8*(BB19+273)^3))</f>
        <v>0</v>
      </c>
      <c r="U19">
        <f>($C$7*BC19+$D$7*BD19+$E$7*T19)</f>
        <v>0</v>
      </c>
      <c r="V19">
        <f>0.61365*exp(17.502*U19/(240.97+U19))</f>
        <v>0</v>
      </c>
      <c r="W19">
        <f>(X19/Y19*100)</f>
        <v>0</v>
      </c>
      <c r="X19">
        <f>AU19*(AZ19+BA19)/1000</f>
        <v>0</v>
      </c>
      <c r="Y19">
        <f>0.61365*exp(17.502*BB19/(240.97+BB19))</f>
        <v>0</v>
      </c>
      <c r="Z19">
        <f>(V19-AU19*(AZ19+BA19)/1000)</f>
        <v>0</v>
      </c>
      <c r="AA19">
        <f>(-H19*44100)</f>
        <v>0</v>
      </c>
      <c r="AB19">
        <f>2*29.3*P19*0.92*(BB19-U19)</f>
        <v>0</v>
      </c>
      <c r="AC19">
        <f>2*0.95*5.67E-8*(((BB19+$B$7)+273)^4-(U19+273)^4)</f>
        <v>0</v>
      </c>
      <c r="AD19">
        <f>S19+AC19+AA19+AB19</f>
        <v>0</v>
      </c>
      <c r="AE19">
        <v>1</v>
      </c>
      <c r="AF19">
        <v>0</v>
      </c>
      <c r="AG19">
        <f>IF(AE19*$H$13&gt;=AI19,1.0,(AI19/(AI19-AE19*$H$13)))</f>
        <v>0</v>
      </c>
      <c r="AH19">
        <f>(AG19-1)*100</f>
        <v>0</v>
      </c>
      <c r="AI19">
        <f>MAX(0,($B$13+$C$13*BG19)/(1+$D$13*BG19)*AZ19/(BB19+273)*$E$13)</f>
        <v>0</v>
      </c>
      <c r="AJ19">
        <f>$B$11*BH19+$C$11*BI19+$D$11*BT19</f>
        <v>0</v>
      </c>
      <c r="AK19">
        <f>AJ19*AL19</f>
        <v>0</v>
      </c>
      <c r="AL19">
        <f>($B$11*$D$9+$C$11*$D$9+$D$11*(BU19*$E$9+BV19*$G$9))/($B$11+$C$11+$D$11)</f>
        <v>0</v>
      </c>
      <c r="AM19">
        <f>($B$11*$K$9+$C$11*$K$9+$D$11*(BU19*$L$9+BV19*$N$9))/($B$11+$C$11+$D$11)</f>
        <v>0</v>
      </c>
      <c r="AN19">
        <v>3</v>
      </c>
      <c r="AO19">
        <v>0.5</v>
      </c>
      <c r="AP19" t="s">
        <v>331</v>
      </c>
      <c r="AQ19">
        <v>2</v>
      </c>
      <c r="AR19">
        <v>1773196212</v>
      </c>
      <c r="AS19">
        <v>444.625064516129</v>
      </c>
      <c r="AT19">
        <v>445.3714516129032</v>
      </c>
      <c r="AU19">
        <v>9.763448387096775</v>
      </c>
      <c r="AV19">
        <v>2.280572258064516</v>
      </c>
      <c r="AW19">
        <v>438.3937741935484</v>
      </c>
      <c r="AX19">
        <v>9.682857741935484</v>
      </c>
      <c r="AY19">
        <v>500.0067419354838</v>
      </c>
      <c r="AZ19">
        <v>100.269870967742</v>
      </c>
      <c r="BA19">
        <v>0.0388269064516129</v>
      </c>
      <c r="BB19">
        <v>30.92936129032259</v>
      </c>
      <c r="BC19">
        <v>27.9916</v>
      </c>
      <c r="BD19">
        <v>999.9000000000003</v>
      </c>
      <c r="BE19">
        <v>0</v>
      </c>
      <c r="BF19">
        <v>0</v>
      </c>
      <c r="BG19">
        <v>5014.209677419355</v>
      </c>
      <c r="BH19">
        <v>1.687926774193548</v>
      </c>
      <c r="BI19">
        <v>1925.864838709677</v>
      </c>
      <c r="BJ19">
        <v>-0.7463250322580646</v>
      </c>
      <c r="BK19">
        <v>449.0089677419354</v>
      </c>
      <c r="BL19">
        <v>446.3895483870967</v>
      </c>
      <c r="BM19">
        <v>7.482877096774193</v>
      </c>
      <c r="BN19">
        <v>445.3714516129032</v>
      </c>
      <c r="BO19">
        <v>2.280572258064516</v>
      </c>
      <c r="BP19">
        <v>0.9789801935483871</v>
      </c>
      <c r="BQ19">
        <v>0.2286728387096774</v>
      </c>
      <c r="BR19">
        <v>6.607205483870968</v>
      </c>
      <c r="BS19">
        <v>-12.86536129032258</v>
      </c>
      <c r="BT19">
        <v>0</v>
      </c>
      <c r="BU19">
        <v>0</v>
      </c>
      <c r="BV19">
        <v>0</v>
      </c>
      <c r="BW19">
        <v>33</v>
      </c>
      <c r="BX19">
        <v>51</v>
      </c>
      <c r="BY19">
        <v>1773196010</v>
      </c>
      <c r="BZ19" t="s">
        <v>332</v>
      </c>
      <c r="CA19">
        <v>1773196010</v>
      </c>
      <c r="CB19">
        <v>1773196005.5</v>
      </c>
      <c r="CC19">
        <v>2</v>
      </c>
      <c r="CD19">
        <v>-0.279</v>
      </c>
      <c r="CE19">
        <v>-0.021</v>
      </c>
      <c r="CF19">
        <v>6.231</v>
      </c>
      <c r="CG19">
        <v>0.081</v>
      </c>
      <c r="CH19">
        <v>432</v>
      </c>
      <c r="CI19">
        <v>21</v>
      </c>
      <c r="CJ19">
        <v>0.03</v>
      </c>
      <c r="CK19">
        <v>0.06</v>
      </c>
      <c r="CL19">
        <v>445.3656</v>
      </c>
      <c r="CM19">
        <v>-0.7801735261392808</v>
      </c>
      <c r="CN19">
        <v>0.07440860165329943</v>
      </c>
      <c r="CO19">
        <v>-1</v>
      </c>
      <c r="CP19">
        <v>500.0074333333333</v>
      </c>
      <c r="CQ19">
        <v>-0.1671457174646816</v>
      </c>
      <c r="CR19">
        <v>0.03287824339724415</v>
      </c>
      <c r="CS19">
        <v>-1</v>
      </c>
      <c r="CT19">
        <v>0</v>
      </c>
      <c r="CU19">
        <v>0</v>
      </c>
      <c r="CV19" t="s">
        <v>333</v>
      </c>
      <c r="CW19">
        <v>3.16798</v>
      </c>
      <c r="CX19">
        <v>2.66028</v>
      </c>
      <c r="CY19">
        <v>0.10533</v>
      </c>
      <c r="CZ19">
        <v>0.106626</v>
      </c>
      <c r="DA19">
        <v>0.0580853</v>
      </c>
      <c r="DB19">
        <v>0.0169383</v>
      </c>
      <c r="DC19">
        <v>21545</v>
      </c>
      <c r="DD19">
        <v>21953.4</v>
      </c>
      <c r="DE19">
        <v>23185.7</v>
      </c>
      <c r="DF19">
        <v>22476.3</v>
      </c>
      <c r="DG19">
        <v>32989.8</v>
      </c>
      <c r="DH19">
        <v>31166.6</v>
      </c>
      <c r="DI19">
        <v>40744.5</v>
      </c>
      <c r="DJ19">
        <v>37206.8</v>
      </c>
      <c r="DK19">
        <v>2.10098</v>
      </c>
      <c r="DL19">
        <v>1.72284</v>
      </c>
      <c r="DM19">
        <v>-0.17406</v>
      </c>
      <c r="DN19">
        <v>0</v>
      </c>
      <c r="DO19">
        <v>30.8206</v>
      </c>
      <c r="DP19">
        <v>999.9</v>
      </c>
      <c r="DQ19">
        <v>60.6</v>
      </c>
      <c r="DR19">
        <v>26.7</v>
      </c>
      <c r="DS19">
        <v>21.2525</v>
      </c>
      <c r="DT19">
        <v>30.25</v>
      </c>
      <c r="DU19">
        <v>11.3582</v>
      </c>
      <c r="DV19">
        <v>1</v>
      </c>
      <c r="DW19">
        <v>0.256339</v>
      </c>
      <c r="DX19">
        <v>3.2732</v>
      </c>
      <c r="DY19">
        <v>20.3257</v>
      </c>
      <c r="DZ19">
        <v>5.20962</v>
      </c>
      <c r="EA19">
        <v>11.854</v>
      </c>
      <c r="EB19">
        <v>4.96784</v>
      </c>
      <c r="EC19">
        <v>3.29262</v>
      </c>
      <c r="ED19">
        <v>879.4</v>
      </c>
      <c r="EE19">
        <v>9999</v>
      </c>
      <c r="EF19">
        <v>9999</v>
      </c>
      <c r="EG19">
        <v>76.09999999999999</v>
      </c>
      <c r="EH19">
        <v>4.97162</v>
      </c>
      <c r="EI19">
        <v>1.87181</v>
      </c>
      <c r="EJ19">
        <v>1.86904</v>
      </c>
      <c r="EK19">
        <v>1.87142</v>
      </c>
      <c r="EL19">
        <v>1.86919</v>
      </c>
      <c r="EM19">
        <v>1.86808</v>
      </c>
      <c r="EN19">
        <v>1.86995</v>
      </c>
      <c r="EO19">
        <v>1.87179</v>
      </c>
      <c r="EP19">
        <v>0</v>
      </c>
      <c r="EQ19">
        <v>0</v>
      </c>
      <c r="ER19">
        <v>0</v>
      </c>
      <c r="ES19">
        <v>0</v>
      </c>
      <c r="ET19" t="s">
        <v>334</v>
      </c>
      <c r="EU19" t="s">
        <v>335</v>
      </c>
      <c r="EV19" t="s">
        <v>336</v>
      </c>
      <c r="EW19" t="s">
        <v>336</v>
      </c>
      <c r="EX19" t="s">
        <v>336</v>
      </c>
      <c r="EY19" t="s">
        <v>336</v>
      </c>
      <c r="EZ19">
        <v>0</v>
      </c>
      <c r="FA19">
        <v>100</v>
      </c>
      <c r="FB19">
        <v>100</v>
      </c>
      <c r="FC19">
        <v>6.231</v>
      </c>
      <c r="FD19">
        <v>0.0806</v>
      </c>
      <c r="FE19">
        <v>6.23135000000002</v>
      </c>
      <c r="FF19">
        <v>0</v>
      </c>
      <c r="FG19">
        <v>0</v>
      </c>
      <c r="FH19">
        <v>0</v>
      </c>
      <c r="FI19">
        <v>0.08059047619047632</v>
      </c>
      <c r="FJ19">
        <v>0</v>
      </c>
      <c r="FK19">
        <v>0</v>
      </c>
      <c r="FL19">
        <v>0</v>
      </c>
      <c r="FM19">
        <v>-1</v>
      </c>
      <c r="FN19">
        <v>-1</v>
      </c>
      <c r="FO19">
        <v>-1</v>
      </c>
      <c r="FP19">
        <v>-1</v>
      </c>
      <c r="FQ19">
        <v>3.5</v>
      </c>
      <c r="FR19">
        <v>3.6</v>
      </c>
      <c r="FS19">
        <v>0.146484</v>
      </c>
      <c r="FT19">
        <v>4.99756</v>
      </c>
      <c r="FU19">
        <v>1.5979</v>
      </c>
      <c r="FV19">
        <v>2.17529</v>
      </c>
      <c r="FW19">
        <v>1.54785</v>
      </c>
      <c r="FX19">
        <v>2.30469</v>
      </c>
      <c r="FY19">
        <v>32.9092</v>
      </c>
      <c r="FZ19">
        <v>16.1459</v>
      </c>
      <c r="GA19">
        <v>3</v>
      </c>
      <c r="GB19">
        <v>501.49</v>
      </c>
      <c r="GC19">
        <v>358.989</v>
      </c>
      <c r="GD19">
        <v>28.6253</v>
      </c>
      <c r="GE19">
        <v>30.2889</v>
      </c>
      <c r="GF19">
        <v>30.0044</v>
      </c>
      <c r="GG19">
        <v>29.2181</v>
      </c>
      <c r="GH19">
        <v>29.0212</v>
      </c>
      <c r="GI19">
        <v>-1</v>
      </c>
      <c r="GJ19">
        <v>100</v>
      </c>
      <c r="GK19">
        <v>0</v>
      </c>
      <c r="GL19">
        <v>28.6078</v>
      </c>
      <c r="GM19">
        <v>1200</v>
      </c>
      <c r="GN19">
        <v>19.4378</v>
      </c>
      <c r="GO19">
        <v>102.563</v>
      </c>
      <c r="GP19">
        <v>97.1277</v>
      </c>
    </row>
    <row r="20" spans="1:198">
      <c r="A20">
        <v>4</v>
      </c>
      <c r="B20">
        <v>1773196280</v>
      </c>
      <c r="C20">
        <v>180</v>
      </c>
      <c r="D20" t="s">
        <v>341</v>
      </c>
      <c r="E20" t="s">
        <v>342</v>
      </c>
      <c r="F20">
        <v>15</v>
      </c>
      <c r="G20">
        <v>1773196272</v>
      </c>
      <c r="H20">
        <f>(I20)/1000</f>
        <v>0</v>
      </c>
      <c r="I20">
        <f>1000*AY20*AG20*(AU20-AV20)/(100*AN20*(1000-AG20*AU20))</f>
        <v>0</v>
      </c>
      <c r="J20">
        <f>AY20*AG20*(AT20-AS20*(1000-AG20*AV20)/(1000-AG20*AU20))/(100*AN20)</f>
        <v>0</v>
      </c>
      <c r="K20">
        <f>AS20 - IF(AG20&gt;1, J20*AN20*100.0/(AI20), 0)</f>
        <v>0</v>
      </c>
      <c r="L20">
        <f>((R20-H20/2)*K20-J20)/(R20+H20/2)</f>
        <v>0</v>
      </c>
      <c r="M20">
        <f>L20*(AZ20+BA20)/1000.0</f>
        <v>0</v>
      </c>
      <c r="N20">
        <f>(AS20 - IF(AG20&gt;1, J20*AN20*100.0/(AI20), 0))*(AZ20+BA20)/1000.0</f>
        <v>0</v>
      </c>
      <c r="O20">
        <f>2.0/((1/Q20-1/P20)+SIGN(Q20)*SQRT((1/Q20-1/P20)*(1/Q20-1/P20) + 4*AO20/((AO20+1)*(AO20+1))*(2*1/Q20*1/P20-1/P20*1/P20)))</f>
        <v>0</v>
      </c>
      <c r="P20">
        <f>IF(LEFT(AP20,1)&lt;&gt;"0",IF(LEFT(AP20,1)="1",3.0,AQ20),$D$5+$E$5*(BG20*AZ20/($K$5*1000))+$F$5*(BG20*AZ20/($K$5*1000))*MAX(MIN(AN20,$J$5),$I$5)*MAX(MIN(AN20,$J$5),$I$5)+$G$5*MAX(MIN(AN20,$J$5),$I$5)*(BG20*AZ20/($K$5*1000))+$H$5*(BG20*AZ20/($K$5*1000))*(BG20*AZ20/($K$5*1000)))</f>
        <v>0</v>
      </c>
      <c r="Q20">
        <f>H20*(1000-(1000*0.61365*exp(17.502*U20/(240.97+U20))/(AZ20+BA20)+AU20)/2)/(1000*0.61365*exp(17.502*U20/(240.97+U20))/(AZ20+BA20)-AU20)</f>
        <v>0</v>
      </c>
      <c r="R20">
        <f>1/((AO20+1)/(O20/1.6)+1/(P20/1.37)) + AO20/((AO20+1)/(O20/1.6) + AO20/(P20/1.37))</f>
        <v>0</v>
      </c>
      <c r="S20">
        <f>(AJ20*AM20)</f>
        <v>0</v>
      </c>
      <c r="T20">
        <f>(BB20+(S20+2*0.95*5.67E-8*(((BB20+$B$7)+273)^4-(BB20+273)^4)-44100*H20)/(1.84*29.3*P20+8*0.95*5.67E-8*(BB20+273)^3))</f>
        <v>0</v>
      </c>
      <c r="U20">
        <f>($C$7*BC20+$D$7*BD20+$E$7*T20)</f>
        <v>0</v>
      </c>
      <c r="V20">
        <f>0.61365*exp(17.502*U20/(240.97+U20))</f>
        <v>0</v>
      </c>
      <c r="W20">
        <f>(X20/Y20*100)</f>
        <v>0</v>
      </c>
      <c r="X20">
        <f>AU20*(AZ20+BA20)/1000</f>
        <v>0</v>
      </c>
      <c r="Y20">
        <f>0.61365*exp(17.502*BB20/(240.97+BB20))</f>
        <v>0</v>
      </c>
      <c r="Z20">
        <f>(V20-AU20*(AZ20+BA20)/1000)</f>
        <v>0</v>
      </c>
      <c r="AA20">
        <f>(-H20*44100)</f>
        <v>0</v>
      </c>
      <c r="AB20">
        <f>2*29.3*P20*0.92*(BB20-U20)</f>
        <v>0</v>
      </c>
      <c r="AC20">
        <f>2*0.95*5.67E-8*(((BB20+$B$7)+273)^4-(U20+273)^4)</f>
        <v>0</v>
      </c>
      <c r="AD20">
        <f>S20+AC20+AA20+AB20</f>
        <v>0</v>
      </c>
      <c r="AE20">
        <v>0</v>
      </c>
      <c r="AF20">
        <v>0</v>
      </c>
      <c r="AG20">
        <f>IF(AE20*$H$13&gt;=AI20,1.0,(AI20/(AI20-AE20*$H$13)))</f>
        <v>0</v>
      </c>
      <c r="AH20">
        <f>(AG20-1)*100</f>
        <v>0</v>
      </c>
      <c r="AI20">
        <f>MAX(0,($B$13+$C$13*BG20)/(1+$D$13*BG20)*AZ20/(BB20+273)*$E$13)</f>
        <v>0</v>
      </c>
      <c r="AJ20">
        <f>$B$11*BH20+$C$11*BI20+$D$11*BT20</f>
        <v>0</v>
      </c>
      <c r="AK20">
        <f>AJ20*AL20</f>
        <v>0</v>
      </c>
      <c r="AL20">
        <f>($B$11*$D$9+$C$11*$D$9+$D$11*(BU20*$E$9+BV20*$G$9))/($B$11+$C$11+$D$11)</f>
        <v>0</v>
      </c>
      <c r="AM20">
        <f>($B$11*$K$9+$C$11*$K$9+$D$11*(BU20*$L$9+BV20*$N$9))/($B$11+$C$11+$D$11)</f>
        <v>0</v>
      </c>
      <c r="AN20">
        <v>3</v>
      </c>
      <c r="AO20">
        <v>0.5</v>
      </c>
      <c r="AP20" t="s">
        <v>331</v>
      </c>
      <c r="AQ20">
        <v>2</v>
      </c>
      <c r="AR20">
        <v>1773196272</v>
      </c>
      <c r="AS20">
        <v>443.3077419354839</v>
      </c>
      <c r="AT20">
        <v>443.7109032258064</v>
      </c>
      <c r="AU20">
        <v>9.522757741935484</v>
      </c>
      <c r="AV20">
        <v>2.31623064516129</v>
      </c>
      <c r="AW20">
        <v>437.0762903225806</v>
      </c>
      <c r="AX20">
        <v>9.442167741935481</v>
      </c>
      <c r="AY20">
        <v>499.957806451613</v>
      </c>
      <c r="AZ20">
        <v>100.2708709677419</v>
      </c>
      <c r="BA20">
        <v>0.04123080645161291</v>
      </c>
      <c r="BB20">
        <v>30.95977741935484</v>
      </c>
      <c r="BC20">
        <v>28.32767096774194</v>
      </c>
      <c r="BD20">
        <v>999.9000000000003</v>
      </c>
      <c r="BE20">
        <v>0</v>
      </c>
      <c r="BF20">
        <v>0</v>
      </c>
      <c r="BG20">
        <v>4999.241935483871</v>
      </c>
      <c r="BH20">
        <v>1.69587935483871</v>
      </c>
      <c r="BI20">
        <v>1964.655161290323</v>
      </c>
      <c r="BJ20">
        <v>-0.4032985806451614</v>
      </c>
      <c r="BK20">
        <v>447.5697096774193</v>
      </c>
      <c r="BL20">
        <v>444.7410000000001</v>
      </c>
      <c r="BM20">
        <v>7.206527096774194</v>
      </c>
      <c r="BN20">
        <v>443.7109032258064</v>
      </c>
      <c r="BO20">
        <v>2.31623064516129</v>
      </c>
      <c r="BP20">
        <v>0.9548556774193547</v>
      </c>
      <c r="BQ20">
        <v>0.2322505483870968</v>
      </c>
      <c r="BR20">
        <v>6.245110645161289</v>
      </c>
      <c r="BS20">
        <v>-12.67368064516129</v>
      </c>
      <c r="BT20">
        <v>0</v>
      </c>
      <c r="BU20">
        <v>0</v>
      </c>
      <c r="BV20">
        <v>0</v>
      </c>
      <c r="BW20">
        <v>33</v>
      </c>
      <c r="BX20">
        <v>51</v>
      </c>
      <c r="BY20">
        <v>1773196010</v>
      </c>
      <c r="BZ20" t="s">
        <v>332</v>
      </c>
      <c r="CA20">
        <v>1773196010</v>
      </c>
      <c r="CB20">
        <v>1773196005.5</v>
      </c>
      <c r="CC20">
        <v>2</v>
      </c>
      <c r="CD20">
        <v>-0.279</v>
      </c>
      <c r="CE20">
        <v>-0.021</v>
      </c>
      <c r="CF20">
        <v>6.231</v>
      </c>
      <c r="CG20">
        <v>0.081</v>
      </c>
      <c r="CH20">
        <v>432</v>
      </c>
      <c r="CI20">
        <v>21</v>
      </c>
      <c r="CJ20">
        <v>0.03</v>
      </c>
      <c r="CK20">
        <v>0.06</v>
      </c>
      <c r="CL20">
        <v>443.7226451612902</v>
      </c>
      <c r="CM20">
        <v>-1.221967741936403</v>
      </c>
      <c r="CN20">
        <v>0.1368209445358564</v>
      </c>
      <c r="CO20">
        <v>-1</v>
      </c>
      <c r="CP20">
        <v>499.955741935484</v>
      </c>
      <c r="CQ20">
        <v>0.5163870967749941</v>
      </c>
      <c r="CR20">
        <v>0.05139158192766591</v>
      </c>
      <c r="CS20">
        <v>-1</v>
      </c>
      <c r="CT20">
        <v>0</v>
      </c>
      <c r="CU20">
        <v>0</v>
      </c>
      <c r="CV20" t="s">
        <v>333</v>
      </c>
      <c r="CW20">
        <v>3.16797</v>
      </c>
      <c r="CX20">
        <v>2.66316</v>
      </c>
      <c r="CY20">
        <v>0.104891</v>
      </c>
      <c r="CZ20">
        <v>0.106074</v>
      </c>
      <c r="DA20">
        <v>0.0568666</v>
      </c>
      <c r="DB20">
        <v>0.0171668</v>
      </c>
      <c r="DC20">
        <v>21524.9</v>
      </c>
      <c r="DD20">
        <v>21944.5</v>
      </c>
      <c r="DE20">
        <v>23155.9</v>
      </c>
      <c r="DF20">
        <v>22455.4</v>
      </c>
      <c r="DG20">
        <v>32993</v>
      </c>
      <c r="DH20">
        <v>31126.8</v>
      </c>
      <c r="DI20">
        <v>40697.6</v>
      </c>
      <c r="DJ20">
        <v>37169.5</v>
      </c>
      <c r="DK20">
        <v>2.09382</v>
      </c>
      <c r="DL20">
        <v>1.71062</v>
      </c>
      <c r="DM20">
        <v>-0.160888</v>
      </c>
      <c r="DN20">
        <v>0</v>
      </c>
      <c r="DO20">
        <v>30.9747</v>
      </c>
      <c r="DP20">
        <v>999.9</v>
      </c>
      <c r="DQ20">
        <v>59.1</v>
      </c>
      <c r="DR20">
        <v>27.1</v>
      </c>
      <c r="DS20">
        <v>21.2194</v>
      </c>
      <c r="DT20">
        <v>30.43</v>
      </c>
      <c r="DU20">
        <v>11.4824</v>
      </c>
      <c r="DV20">
        <v>1</v>
      </c>
      <c r="DW20">
        <v>0.311226</v>
      </c>
      <c r="DX20">
        <v>2.30271</v>
      </c>
      <c r="DY20">
        <v>20.3442</v>
      </c>
      <c r="DZ20">
        <v>5.21094</v>
      </c>
      <c r="EA20">
        <v>11.8542</v>
      </c>
      <c r="EB20">
        <v>4.9678</v>
      </c>
      <c r="EC20">
        <v>3.29262</v>
      </c>
      <c r="ED20">
        <v>879.4</v>
      </c>
      <c r="EE20">
        <v>9999</v>
      </c>
      <c r="EF20">
        <v>9999</v>
      </c>
      <c r="EG20">
        <v>76.09999999999999</v>
      </c>
      <c r="EH20">
        <v>4.97167</v>
      </c>
      <c r="EI20">
        <v>1.87181</v>
      </c>
      <c r="EJ20">
        <v>1.86905</v>
      </c>
      <c r="EK20">
        <v>1.87149</v>
      </c>
      <c r="EL20">
        <v>1.8692</v>
      </c>
      <c r="EM20">
        <v>1.86813</v>
      </c>
      <c r="EN20">
        <v>1.86996</v>
      </c>
      <c r="EO20">
        <v>1.8718</v>
      </c>
      <c r="EP20">
        <v>0</v>
      </c>
      <c r="EQ20">
        <v>0</v>
      </c>
      <c r="ER20">
        <v>0</v>
      </c>
      <c r="ES20">
        <v>0</v>
      </c>
      <c r="ET20" t="s">
        <v>334</v>
      </c>
      <c r="EU20" t="s">
        <v>335</v>
      </c>
      <c r="EV20" t="s">
        <v>336</v>
      </c>
      <c r="EW20" t="s">
        <v>336</v>
      </c>
      <c r="EX20" t="s">
        <v>336</v>
      </c>
      <c r="EY20" t="s">
        <v>336</v>
      </c>
      <c r="EZ20">
        <v>0</v>
      </c>
      <c r="FA20">
        <v>100</v>
      </c>
      <c r="FB20">
        <v>100</v>
      </c>
      <c r="FC20">
        <v>6.231</v>
      </c>
      <c r="FD20">
        <v>0.0806</v>
      </c>
      <c r="FE20">
        <v>6.23135000000002</v>
      </c>
      <c r="FF20">
        <v>0</v>
      </c>
      <c r="FG20">
        <v>0</v>
      </c>
      <c r="FH20">
        <v>0</v>
      </c>
      <c r="FI20">
        <v>0.08059047619047632</v>
      </c>
      <c r="FJ20">
        <v>0</v>
      </c>
      <c r="FK20">
        <v>0</v>
      </c>
      <c r="FL20">
        <v>0</v>
      </c>
      <c r="FM20">
        <v>-1</v>
      </c>
      <c r="FN20">
        <v>-1</v>
      </c>
      <c r="FO20">
        <v>-1</v>
      </c>
      <c r="FP20">
        <v>-1</v>
      </c>
      <c r="FQ20">
        <v>4.5</v>
      </c>
      <c r="FR20">
        <v>4.6</v>
      </c>
      <c r="FS20">
        <v>0.146484</v>
      </c>
      <c r="FT20">
        <v>4.99756</v>
      </c>
      <c r="FU20">
        <v>1.5979</v>
      </c>
      <c r="FV20">
        <v>2.17285</v>
      </c>
      <c r="FW20">
        <v>1.54785</v>
      </c>
      <c r="FX20">
        <v>2.29858</v>
      </c>
      <c r="FY20">
        <v>33.6254</v>
      </c>
      <c r="FZ20">
        <v>16.1722</v>
      </c>
      <c r="GA20">
        <v>3</v>
      </c>
      <c r="GB20">
        <v>502.801</v>
      </c>
      <c r="GC20">
        <v>356.596</v>
      </c>
      <c r="GD20">
        <v>30.1136</v>
      </c>
      <c r="GE20">
        <v>31.0156</v>
      </c>
      <c r="GF20">
        <v>30.0049</v>
      </c>
      <c r="GG20">
        <v>29.9211</v>
      </c>
      <c r="GH20">
        <v>29.711</v>
      </c>
      <c r="GI20">
        <v>-1</v>
      </c>
      <c r="GJ20">
        <v>100</v>
      </c>
      <c r="GK20">
        <v>0</v>
      </c>
      <c r="GL20">
        <v>30.0369</v>
      </c>
      <c r="GM20">
        <v>1200</v>
      </c>
      <c r="GN20">
        <v>19.4378</v>
      </c>
      <c r="GO20">
        <v>102.44</v>
      </c>
      <c r="GP20">
        <v>97.0331</v>
      </c>
    </row>
    <row r="21" spans="1:198">
      <c r="A21">
        <v>5</v>
      </c>
      <c r="B21">
        <v>1773196340</v>
      </c>
      <c r="C21">
        <v>240</v>
      </c>
      <c r="D21" t="s">
        <v>343</v>
      </c>
      <c r="E21" t="s">
        <v>344</v>
      </c>
      <c r="F21">
        <v>15</v>
      </c>
      <c r="G21">
        <v>1773196332</v>
      </c>
      <c r="H21">
        <f>(I21)/1000</f>
        <v>0</v>
      </c>
      <c r="I21">
        <f>1000*AY21*AG21*(AU21-AV21)/(100*AN21*(1000-AG21*AU21))</f>
        <v>0</v>
      </c>
      <c r="J21">
        <f>AY21*AG21*(AT21-AS21*(1000-AG21*AV21)/(1000-AG21*AU21))/(100*AN21)</f>
        <v>0</v>
      </c>
      <c r="K21">
        <f>AS21 - IF(AG21&gt;1, J21*AN21*100.0/(AI21), 0)</f>
        <v>0</v>
      </c>
      <c r="L21">
        <f>((R21-H21/2)*K21-J21)/(R21+H21/2)</f>
        <v>0</v>
      </c>
      <c r="M21">
        <f>L21*(AZ21+BA21)/1000.0</f>
        <v>0</v>
      </c>
      <c r="N21">
        <f>(AS21 - IF(AG21&gt;1, J21*AN21*100.0/(AI21), 0))*(AZ21+BA21)/1000.0</f>
        <v>0</v>
      </c>
      <c r="O21">
        <f>2.0/((1/Q21-1/P21)+SIGN(Q21)*SQRT((1/Q21-1/P21)*(1/Q21-1/P21) + 4*AO21/((AO21+1)*(AO21+1))*(2*1/Q21*1/P21-1/P21*1/P21)))</f>
        <v>0</v>
      </c>
      <c r="P21">
        <f>IF(LEFT(AP21,1)&lt;&gt;"0",IF(LEFT(AP21,1)="1",3.0,AQ21),$D$5+$E$5*(BG21*AZ21/($K$5*1000))+$F$5*(BG21*AZ21/($K$5*1000))*MAX(MIN(AN21,$J$5),$I$5)*MAX(MIN(AN21,$J$5),$I$5)+$G$5*MAX(MIN(AN21,$J$5),$I$5)*(BG21*AZ21/($K$5*1000))+$H$5*(BG21*AZ21/($K$5*1000))*(BG21*AZ21/($K$5*1000)))</f>
        <v>0</v>
      </c>
      <c r="Q21">
        <f>H21*(1000-(1000*0.61365*exp(17.502*U21/(240.97+U21))/(AZ21+BA21)+AU21)/2)/(1000*0.61365*exp(17.502*U21/(240.97+U21))/(AZ21+BA21)-AU21)</f>
        <v>0</v>
      </c>
      <c r="R21">
        <f>1/((AO21+1)/(O21/1.6)+1/(P21/1.37)) + AO21/((AO21+1)/(O21/1.6) + AO21/(P21/1.37))</f>
        <v>0</v>
      </c>
      <c r="S21">
        <f>(AJ21*AM21)</f>
        <v>0</v>
      </c>
      <c r="T21">
        <f>(BB21+(S21+2*0.95*5.67E-8*(((BB21+$B$7)+273)^4-(BB21+273)^4)-44100*H21)/(1.84*29.3*P21+8*0.95*5.67E-8*(BB21+273)^3))</f>
        <v>0</v>
      </c>
      <c r="U21">
        <f>($C$7*BC21+$D$7*BD21+$E$7*T21)</f>
        <v>0</v>
      </c>
      <c r="V21">
        <f>0.61365*exp(17.502*U21/(240.97+U21))</f>
        <v>0</v>
      </c>
      <c r="W21">
        <f>(X21/Y21*100)</f>
        <v>0</v>
      </c>
      <c r="X21">
        <f>AU21*(AZ21+BA21)/1000</f>
        <v>0</v>
      </c>
      <c r="Y21">
        <f>0.61365*exp(17.502*BB21/(240.97+BB21))</f>
        <v>0</v>
      </c>
      <c r="Z21">
        <f>(V21-AU21*(AZ21+BA21)/1000)</f>
        <v>0</v>
      </c>
      <c r="AA21">
        <f>(-H21*44100)</f>
        <v>0</v>
      </c>
      <c r="AB21">
        <f>2*29.3*P21*0.92*(BB21-U21)</f>
        <v>0</v>
      </c>
      <c r="AC21">
        <f>2*0.95*5.67E-8*(((BB21+$B$7)+273)^4-(U21+273)^4)</f>
        <v>0</v>
      </c>
      <c r="AD21">
        <f>S21+AC21+AA21+AB21</f>
        <v>0</v>
      </c>
      <c r="AE21">
        <v>0</v>
      </c>
      <c r="AF21">
        <v>0</v>
      </c>
      <c r="AG21">
        <f>IF(AE21*$H$13&gt;=AI21,1.0,(AI21/(AI21-AE21*$H$13)))</f>
        <v>0</v>
      </c>
      <c r="AH21">
        <f>(AG21-1)*100</f>
        <v>0</v>
      </c>
      <c r="AI21">
        <f>MAX(0,($B$13+$C$13*BG21)/(1+$D$13*BG21)*AZ21/(BB21+273)*$E$13)</f>
        <v>0</v>
      </c>
      <c r="AJ21">
        <f>$B$11*BH21+$C$11*BI21+$D$11*BT21</f>
        <v>0</v>
      </c>
      <c r="AK21">
        <f>AJ21*AL21</f>
        <v>0</v>
      </c>
      <c r="AL21">
        <f>($B$11*$D$9+$C$11*$D$9+$D$11*(BU21*$E$9+BV21*$G$9))/($B$11+$C$11+$D$11)</f>
        <v>0</v>
      </c>
      <c r="AM21">
        <f>($B$11*$K$9+$C$11*$K$9+$D$11*(BU21*$L$9+BV21*$N$9))/($B$11+$C$11+$D$11)</f>
        <v>0</v>
      </c>
      <c r="AN21">
        <v>3</v>
      </c>
      <c r="AO21">
        <v>0.5</v>
      </c>
      <c r="AP21" t="s">
        <v>331</v>
      </c>
      <c r="AQ21">
        <v>2</v>
      </c>
      <c r="AR21">
        <v>1773196332</v>
      </c>
      <c r="AS21">
        <v>442.1713225806452</v>
      </c>
      <c r="AT21">
        <v>442.3440967741935</v>
      </c>
      <c r="AU21">
        <v>9.14406935483871</v>
      </c>
      <c r="AV21">
        <v>2.368734516129032</v>
      </c>
      <c r="AW21">
        <v>435.9399677419355</v>
      </c>
      <c r="AX21">
        <v>9.06347935483871</v>
      </c>
      <c r="AY21">
        <v>500.0096451612903</v>
      </c>
      <c r="AZ21">
        <v>100.2620967741936</v>
      </c>
      <c r="BA21">
        <v>0.04119616129032259</v>
      </c>
      <c r="BB21">
        <v>30.79680967741935</v>
      </c>
      <c r="BC21">
        <v>28.48070967741935</v>
      </c>
      <c r="BD21">
        <v>999.9000000000003</v>
      </c>
      <c r="BE21">
        <v>0</v>
      </c>
      <c r="BF21">
        <v>0</v>
      </c>
      <c r="BG21">
        <v>4992.709677419355</v>
      </c>
      <c r="BH21">
        <v>1.697144516129032</v>
      </c>
      <c r="BI21">
        <v>1965.854516129032</v>
      </c>
      <c r="BJ21">
        <v>-0.1727629322580645</v>
      </c>
      <c r="BK21">
        <v>446.2518387096773</v>
      </c>
      <c r="BL21">
        <v>443.3944193548387</v>
      </c>
      <c r="BM21">
        <v>6.775335483870968</v>
      </c>
      <c r="BN21">
        <v>442.3440967741935</v>
      </c>
      <c r="BO21">
        <v>2.368734516129032</v>
      </c>
      <c r="BP21">
        <v>0.9168030967741935</v>
      </c>
      <c r="BQ21">
        <v>0.2374941935483871</v>
      </c>
      <c r="BR21">
        <v>5.657181612903226</v>
      </c>
      <c r="BS21">
        <v>-12.39743225806451</v>
      </c>
      <c r="BT21">
        <v>0</v>
      </c>
      <c r="BU21">
        <v>0</v>
      </c>
      <c r="BV21">
        <v>0</v>
      </c>
      <c r="BW21">
        <v>33</v>
      </c>
      <c r="BX21">
        <v>51</v>
      </c>
      <c r="BY21">
        <v>1773196010</v>
      </c>
      <c r="BZ21" t="s">
        <v>332</v>
      </c>
      <c r="CA21">
        <v>1773196010</v>
      </c>
      <c r="CB21">
        <v>1773196005.5</v>
      </c>
      <c r="CC21">
        <v>2</v>
      </c>
      <c r="CD21">
        <v>-0.279</v>
      </c>
      <c r="CE21">
        <v>-0.021</v>
      </c>
      <c r="CF21">
        <v>6.231</v>
      </c>
      <c r="CG21">
        <v>0.081</v>
      </c>
      <c r="CH21">
        <v>432</v>
      </c>
      <c r="CI21">
        <v>21</v>
      </c>
      <c r="CJ21">
        <v>0.03</v>
      </c>
      <c r="CK21">
        <v>0.06</v>
      </c>
      <c r="CL21">
        <v>442.3391</v>
      </c>
      <c r="CM21">
        <v>-1.657494994438761</v>
      </c>
      <c r="CN21">
        <v>0.1256230737829061</v>
      </c>
      <c r="CO21">
        <v>-1</v>
      </c>
      <c r="CP21">
        <v>500.0107333333333</v>
      </c>
      <c r="CQ21">
        <v>-0.05937263626273537</v>
      </c>
      <c r="CR21">
        <v>0.07874174383529046</v>
      </c>
      <c r="CS21">
        <v>-1</v>
      </c>
      <c r="CT21">
        <v>0</v>
      </c>
      <c r="CU21">
        <v>0</v>
      </c>
      <c r="CV21" t="s">
        <v>333</v>
      </c>
      <c r="CW21">
        <v>3.16818</v>
      </c>
      <c r="CX21">
        <v>2.66278</v>
      </c>
      <c r="CY21">
        <v>0.104511</v>
      </c>
      <c r="CZ21">
        <v>0.105661</v>
      </c>
      <c r="DA21">
        <v>0.0549581</v>
      </c>
      <c r="DB21">
        <v>0.0174922</v>
      </c>
      <c r="DC21">
        <v>21508</v>
      </c>
      <c r="DD21">
        <v>21936.2</v>
      </c>
      <c r="DE21">
        <v>23130.5</v>
      </c>
      <c r="DF21">
        <v>22438.4</v>
      </c>
      <c r="DG21">
        <v>33026</v>
      </c>
      <c r="DH21">
        <v>31089.6</v>
      </c>
      <c r="DI21">
        <v>40657.6</v>
      </c>
      <c r="DJ21">
        <v>37138.8</v>
      </c>
      <c r="DK21">
        <v>2.08788</v>
      </c>
      <c r="DL21">
        <v>1.70064</v>
      </c>
      <c r="DM21">
        <v>-0.151598</v>
      </c>
      <c r="DN21">
        <v>0</v>
      </c>
      <c r="DO21">
        <v>31.0155</v>
      </c>
      <c r="DP21">
        <v>999.9</v>
      </c>
      <c r="DQ21">
        <v>57.9</v>
      </c>
      <c r="DR21">
        <v>27.5</v>
      </c>
      <c r="DS21">
        <v>21.2836</v>
      </c>
      <c r="DT21">
        <v>30.34</v>
      </c>
      <c r="DU21">
        <v>11.23</v>
      </c>
      <c r="DV21">
        <v>1</v>
      </c>
      <c r="DW21">
        <v>0.355537</v>
      </c>
      <c r="DX21">
        <v>1.06362</v>
      </c>
      <c r="DY21">
        <v>20.3614</v>
      </c>
      <c r="DZ21">
        <v>5.20914</v>
      </c>
      <c r="EA21">
        <v>11.8541</v>
      </c>
      <c r="EB21">
        <v>4.9678</v>
      </c>
      <c r="EC21">
        <v>3.29282</v>
      </c>
      <c r="ED21">
        <v>879.4</v>
      </c>
      <c r="EE21">
        <v>9999</v>
      </c>
      <c r="EF21">
        <v>9999</v>
      </c>
      <c r="EG21">
        <v>76.09999999999999</v>
      </c>
      <c r="EH21">
        <v>4.97168</v>
      </c>
      <c r="EI21">
        <v>1.87187</v>
      </c>
      <c r="EJ21">
        <v>1.86905</v>
      </c>
      <c r="EK21">
        <v>1.87149</v>
      </c>
      <c r="EL21">
        <v>1.8692</v>
      </c>
      <c r="EM21">
        <v>1.86813</v>
      </c>
      <c r="EN21">
        <v>1.86996</v>
      </c>
      <c r="EO21">
        <v>1.8718</v>
      </c>
      <c r="EP21">
        <v>0</v>
      </c>
      <c r="EQ21">
        <v>0</v>
      </c>
      <c r="ER21">
        <v>0</v>
      </c>
      <c r="ES21">
        <v>0</v>
      </c>
      <c r="ET21" t="s">
        <v>334</v>
      </c>
      <c r="EU21" t="s">
        <v>335</v>
      </c>
      <c r="EV21" t="s">
        <v>336</v>
      </c>
      <c r="EW21" t="s">
        <v>336</v>
      </c>
      <c r="EX21" t="s">
        <v>336</v>
      </c>
      <c r="EY21" t="s">
        <v>336</v>
      </c>
      <c r="EZ21">
        <v>0</v>
      </c>
      <c r="FA21">
        <v>100</v>
      </c>
      <c r="FB21">
        <v>100</v>
      </c>
      <c r="FC21">
        <v>6.231</v>
      </c>
      <c r="FD21">
        <v>0.0806</v>
      </c>
      <c r="FE21">
        <v>6.23135000000002</v>
      </c>
      <c r="FF21">
        <v>0</v>
      </c>
      <c r="FG21">
        <v>0</v>
      </c>
      <c r="FH21">
        <v>0</v>
      </c>
      <c r="FI21">
        <v>0.08059047619047632</v>
      </c>
      <c r="FJ21">
        <v>0</v>
      </c>
      <c r="FK21">
        <v>0</v>
      </c>
      <c r="FL21">
        <v>0</v>
      </c>
      <c r="FM21">
        <v>-1</v>
      </c>
      <c r="FN21">
        <v>-1</v>
      </c>
      <c r="FO21">
        <v>-1</v>
      </c>
      <c r="FP21">
        <v>-1</v>
      </c>
      <c r="FQ21">
        <v>5.5</v>
      </c>
      <c r="FR21">
        <v>5.6</v>
      </c>
      <c r="FS21">
        <v>0.146484</v>
      </c>
      <c r="FT21">
        <v>4.99756</v>
      </c>
      <c r="FU21">
        <v>1.5979</v>
      </c>
      <c r="FV21">
        <v>2.17041</v>
      </c>
      <c r="FW21">
        <v>1.54785</v>
      </c>
      <c r="FX21">
        <v>2.33398</v>
      </c>
      <c r="FY21">
        <v>34.2587</v>
      </c>
      <c r="FZ21">
        <v>16.1722</v>
      </c>
      <c r="GA21">
        <v>3</v>
      </c>
      <c r="GB21">
        <v>504.248</v>
      </c>
      <c r="GC21">
        <v>354.989</v>
      </c>
      <c r="GD21">
        <v>30.3937</v>
      </c>
      <c r="GE21">
        <v>31.6276</v>
      </c>
      <c r="GF21">
        <v>30.0033</v>
      </c>
      <c r="GG21">
        <v>30.5586</v>
      </c>
      <c r="GH21">
        <v>30.347</v>
      </c>
      <c r="GI21">
        <v>-1</v>
      </c>
      <c r="GJ21">
        <v>100</v>
      </c>
      <c r="GK21">
        <v>0</v>
      </c>
      <c r="GL21">
        <v>30.2327</v>
      </c>
      <c r="GM21">
        <v>1200</v>
      </c>
      <c r="GN21">
        <v>19.4378</v>
      </c>
      <c r="GO21">
        <v>102.335</v>
      </c>
      <c r="GP21">
        <v>96.9554</v>
      </c>
    </row>
    <row r="22" spans="1:198">
      <c r="A22">
        <v>6</v>
      </c>
      <c r="B22">
        <v>1773196400</v>
      </c>
      <c r="C22">
        <v>300</v>
      </c>
      <c r="D22" t="s">
        <v>345</v>
      </c>
      <c r="E22" t="s">
        <v>346</v>
      </c>
      <c r="F22">
        <v>15</v>
      </c>
      <c r="G22">
        <v>1773196392</v>
      </c>
      <c r="H22">
        <f>(I22)/1000</f>
        <v>0</v>
      </c>
      <c r="I22">
        <f>1000*AY22*AG22*(AU22-AV22)/(100*AN22*(1000-AG22*AU22))</f>
        <v>0</v>
      </c>
      <c r="J22">
        <f>AY22*AG22*(AT22-AS22*(1000-AG22*AV22)/(1000-AG22*AU22))/(100*AN22)</f>
        <v>0</v>
      </c>
      <c r="K22">
        <f>AS22 - IF(AG22&gt;1, J22*AN22*100.0/(AI22), 0)</f>
        <v>0</v>
      </c>
      <c r="L22">
        <f>((R22-H22/2)*K22-J22)/(R22+H22/2)</f>
        <v>0</v>
      </c>
      <c r="M22">
        <f>L22*(AZ22+BA22)/1000.0</f>
        <v>0</v>
      </c>
      <c r="N22">
        <f>(AS22 - IF(AG22&gt;1, J22*AN22*100.0/(AI22), 0))*(AZ22+BA22)/1000.0</f>
        <v>0</v>
      </c>
      <c r="O22">
        <f>2.0/((1/Q22-1/P22)+SIGN(Q22)*SQRT((1/Q22-1/P22)*(1/Q22-1/P22) + 4*AO22/((AO22+1)*(AO22+1))*(2*1/Q22*1/P22-1/P22*1/P22)))</f>
        <v>0</v>
      </c>
      <c r="P22">
        <f>IF(LEFT(AP22,1)&lt;&gt;"0",IF(LEFT(AP22,1)="1",3.0,AQ22),$D$5+$E$5*(BG22*AZ22/($K$5*1000))+$F$5*(BG22*AZ22/($K$5*1000))*MAX(MIN(AN22,$J$5),$I$5)*MAX(MIN(AN22,$J$5),$I$5)+$G$5*MAX(MIN(AN22,$J$5),$I$5)*(BG22*AZ22/($K$5*1000))+$H$5*(BG22*AZ22/($K$5*1000))*(BG22*AZ22/($K$5*1000)))</f>
        <v>0</v>
      </c>
      <c r="Q22">
        <f>H22*(1000-(1000*0.61365*exp(17.502*U22/(240.97+U22))/(AZ22+BA22)+AU22)/2)/(1000*0.61365*exp(17.502*U22/(240.97+U22))/(AZ22+BA22)-AU22)</f>
        <v>0</v>
      </c>
      <c r="R22">
        <f>1/((AO22+1)/(O22/1.6)+1/(P22/1.37)) + AO22/((AO22+1)/(O22/1.6) + AO22/(P22/1.37))</f>
        <v>0</v>
      </c>
      <c r="S22">
        <f>(AJ22*AM22)</f>
        <v>0</v>
      </c>
      <c r="T22">
        <f>(BB22+(S22+2*0.95*5.67E-8*(((BB22+$B$7)+273)^4-(BB22+273)^4)-44100*H22)/(1.84*29.3*P22+8*0.95*5.67E-8*(BB22+273)^3))</f>
        <v>0</v>
      </c>
      <c r="U22">
        <f>($C$7*BC22+$D$7*BD22+$E$7*T22)</f>
        <v>0</v>
      </c>
      <c r="V22">
        <f>0.61365*exp(17.502*U22/(240.97+U22))</f>
        <v>0</v>
      </c>
      <c r="W22">
        <f>(X22/Y22*100)</f>
        <v>0</v>
      </c>
      <c r="X22">
        <f>AU22*(AZ22+BA22)/1000</f>
        <v>0</v>
      </c>
      <c r="Y22">
        <f>0.61365*exp(17.502*BB22/(240.97+BB22))</f>
        <v>0</v>
      </c>
      <c r="Z22">
        <f>(V22-AU22*(AZ22+BA22)/1000)</f>
        <v>0</v>
      </c>
      <c r="AA22">
        <f>(-H22*44100)</f>
        <v>0</v>
      </c>
      <c r="AB22">
        <f>2*29.3*P22*0.92*(BB22-U22)</f>
        <v>0</v>
      </c>
      <c r="AC22">
        <f>2*0.95*5.67E-8*(((BB22+$B$7)+273)^4-(U22+273)^4)</f>
        <v>0</v>
      </c>
      <c r="AD22">
        <f>S22+AC22+AA22+AB22</f>
        <v>0</v>
      </c>
      <c r="AE22">
        <v>0</v>
      </c>
      <c r="AF22">
        <v>0</v>
      </c>
      <c r="AG22">
        <f>IF(AE22*$H$13&gt;=AI22,1.0,(AI22/(AI22-AE22*$H$13)))</f>
        <v>0</v>
      </c>
      <c r="AH22">
        <f>(AG22-1)*100</f>
        <v>0</v>
      </c>
      <c r="AI22">
        <f>MAX(0,($B$13+$C$13*BG22)/(1+$D$13*BG22)*AZ22/(BB22+273)*$E$13)</f>
        <v>0</v>
      </c>
      <c r="AJ22">
        <f>$B$11*BH22+$C$11*BI22+$D$11*BT22</f>
        <v>0</v>
      </c>
      <c r="AK22">
        <f>AJ22*AL22</f>
        <v>0</v>
      </c>
      <c r="AL22">
        <f>($B$11*$D$9+$C$11*$D$9+$D$11*(BU22*$E$9+BV22*$G$9))/($B$11+$C$11+$D$11)</f>
        <v>0</v>
      </c>
      <c r="AM22">
        <f>($B$11*$K$9+$C$11*$K$9+$D$11*(BU22*$L$9+BV22*$N$9))/($B$11+$C$11+$D$11)</f>
        <v>0</v>
      </c>
      <c r="AN22">
        <v>3</v>
      </c>
      <c r="AO22">
        <v>0.5</v>
      </c>
      <c r="AP22" t="s">
        <v>331</v>
      </c>
      <c r="AQ22">
        <v>2</v>
      </c>
      <c r="AR22">
        <v>1773196392</v>
      </c>
      <c r="AS22">
        <v>441.7262258064517</v>
      </c>
      <c r="AT22">
        <v>441.8279032258064</v>
      </c>
      <c r="AU22">
        <v>8.741111935483874</v>
      </c>
      <c r="AV22">
        <v>2.432480967741935</v>
      </c>
      <c r="AW22">
        <v>435.4949354838711</v>
      </c>
      <c r="AX22">
        <v>8.660521612903224</v>
      </c>
      <c r="AY22">
        <v>500.0009032258064</v>
      </c>
      <c r="AZ22">
        <v>100.2629677419355</v>
      </c>
      <c r="BA22">
        <v>0.04159760000000001</v>
      </c>
      <c r="BB22">
        <v>30.81943225806452</v>
      </c>
      <c r="BC22">
        <v>28.79063225806452</v>
      </c>
      <c r="BD22">
        <v>999.9000000000003</v>
      </c>
      <c r="BE22">
        <v>0</v>
      </c>
      <c r="BF22">
        <v>0</v>
      </c>
      <c r="BG22">
        <v>4998.725806451613</v>
      </c>
      <c r="BH22">
        <v>1.670724838709677</v>
      </c>
      <c r="BI22">
        <v>1970.247741935484</v>
      </c>
      <c r="BJ22">
        <v>-0.1016728580645161</v>
      </c>
      <c r="BK22">
        <v>445.6214516129032</v>
      </c>
      <c r="BL22">
        <v>442.9052258064517</v>
      </c>
      <c r="BM22">
        <v>6.308630967741937</v>
      </c>
      <c r="BN22">
        <v>441.8279032258064</v>
      </c>
      <c r="BO22">
        <v>2.432480967741935</v>
      </c>
      <c r="BP22">
        <v>0.8764096451612902</v>
      </c>
      <c r="BQ22">
        <v>0.2438876451612904</v>
      </c>
      <c r="BR22">
        <v>5.008991612903227</v>
      </c>
      <c r="BS22">
        <v>-12.0679</v>
      </c>
      <c r="BT22">
        <v>0</v>
      </c>
      <c r="BU22">
        <v>0</v>
      </c>
      <c r="BV22">
        <v>0</v>
      </c>
      <c r="BW22">
        <v>33</v>
      </c>
      <c r="BX22">
        <v>51</v>
      </c>
      <c r="BY22">
        <v>1773196010</v>
      </c>
      <c r="BZ22" t="s">
        <v>332</v>
      </c>
      <c r="CA22">
        <v>1773196010</v>
      </c>
      <c r="CB22">
        <v>1773196005.5</v>
      </c>
      <c r="CC22">
        <v>2</v>
      </c>
      <c r="CD22">
        <v>-0.279</v>
      </c>
      <c r="CE22">
        <v>-0.021</v>
      </c>
      <c r="CF22">
        <v>6.231</v>
      </c>
      <c r="CG22">
        <v>0.081</v>
      </c>
      <c r="CH22">
        <v>432</v>
      </c>
      <c r="CI22">
        <v>21</v>
      </c>
      <c r="CJ22">
        <v>0.03</v>
      </c>
      <c r="CK22">
        <v>0.06</v>
      </c>
      <c r="CL22">
        <v>441.8169666666666</v>
      </c>
      <c r="CM22">
        <v>0.9321023359297034</v>
      </c>
      <c r="CN22">
        <v>0.06937938374537828</v>
      </c>
      <c r="CO22">
        <v>-1</v>
      </c>
      <c r="CP22">
        <v>500.0035333333333</v>
      </c>
      <c r="CQ22">
        <v>0.04581090100200001</v>
      </c>
      <c r="CR22">
        <v>0.04574329337606505</v>
      </c>
      <c r="CS22">
        <v>-1</v>
      </c>
      <c r="CT22">
        <v>0</v>
      </c>
      <c r="CU22">
        <v>0</v>
      </c>
      <c r="CV22" t="s">
        <v>333</v>
      </c>
      <c r="CW22">
        <v>3.16826</v>
      </c>
      <c r="CX22">
        <v>2.66326</v>
      </c>
      <c r="CY22">
        <v>0.104317</v>
      </c>
      <c r="CZ22">
        <v>0.105504</v>
      </c>
      <c r="DA22">
        <v>0.0528107</v>
      </c>
      <c r="DB22">
        <v>0.0178967</v>
      </c>
      <c r="DC22">
        <v>21490.3</v>
      </c>
      <c r="DD22">
        <v>21924.5</v>
      </c>
      <c r="DE22">
        <v>23108.7</v>
      </c>
      <c r="DF22">
        <v>22424</v>
      </c>
      <c r="DG22">
        <v>33072.1</v>
      </c>
      <c r="DH22">
        <v>31054</v>
      </c>
      <c r="DI22">
        <v>40623.4</v>
      </c>
      <c r="DJ22">
        <v>37112.7</v>
      </c>
      <c r="DK22">
        <v>2.08202</v>
      </c>
      <c r="DL22">
        <v>1.69152</v>
      </c>
      <c r="DM22">
        <v>-0.134289</v>
      </c>
      <c r="DN22">
        <v>0</v>
      </c>
      <c r="DO22">
        <v>31.0028</v>
      </c>
      <c r="DP22">
        <v>999.9</v>
      </c>
      <c r="DQ22">
        <v>56.8</v>
      </c>
      <c r="DR22">
        <v>27.9</v>
      </c>
      <c r="DS22">
        <v>21.3731</v>
      </c>
      <c r="DT22">
        <v>29.83</v>
      </c>
      <c r="DU22">
        <v>11.3021</v>
      </c>
      <c r="DV22">
        <v>1</v>
      </c>
      <c r="DW22">
        <v>0.398018</v>
      </c>
      <c r="DX22">
        <v>1.44973</v>
      </c>
      <c r="DY22">
        <v>20.3573</v>
      </c>
      <c r="DZ22">
        <v>5.20854</v>
      </c>
      <c r="EA22">
        <v>11.8542</v>
      </c>
      <c r="EB22">
        <v>4.96772</v>
      </c>
      <c r="EC22">
        <v>3.29282</v>
      </c>
      <c r="ED22">
        <v>879.4</v>
      </c>
      <c r="EE22">
        <v>9999</v>
      </c>
      <c r="EF22">
        <v>9999</v>
      </c>
      <c r="EG22">
        <v>76.09999999999999</v>
      </c>
      <c r="EH22">
        <v>4.97168</v>
      </c>
      <c r="EI22">
        <v>1.87193</v>
      </c>
      <c r="EJ22">
        <v>1.86905</v>
      </c>
      <c r="EK22">
        <v>1.87149</v>
      </c>
      <c r="EL22">
        <v>1.86926</v>
      </c>
      <c r="EM22">
        <v>1.86813</v>
      </c>
      <c r="EN22">
        <v>1.86996</v>
      </c>
      <c r="EO22">
        <v>1.8718</v>
      </c>
      <c r="EP22">
        <v>0</v>
      </c>
      <c r="EQ22">
        <v>0</v>
      </c>
      <c r="ER22">
        <v>0</v>
      </c>
      <c r="ES22">
        <v>0</v>
      </c>
      <c r="ET22" t="s">
        <v>334</v>
      </c>
      <c r="EU22" t="s">
        <v>335</v>
      </c>
      <c r="EV22" t="s">
        <v>336</v>
      </c>
      <c r="EW22" t="s">
        <v>336</v>
      </c>
      <c r="EX22" t="s">
        <v>336</v>
      </c>
      <c r="EY22" t="s">
        <v>336</v>
      </c>
      <c r="EZ22">
        <v>0</v>
      </c>
      <c r="FA22">
        <v>100</v>
      </c>
      <c r="FB22">
        <v>100</v>
      </c>
      <c r="FC22">
        <v>6.231</v>
      </c>
      <c r="FD22">
        <v>0.0806</v>
      </c>
      <c r="FE22">
        <v>6.23135000000002</v>
      </c>
      <c r="FF22">
        <v>0</v>
      </c>
      <c r="FG22">
        <v>0</v>
      </c>
      <c r="FH22">
        <v>0</v>
      </c>
      <c r="FI22">
        <v>0.08059047619047632</v>
      </c>
      <c r="FJ22">
        <v>0</v>
      </c>
      <c r="FK22">
        <v>0</v>
      </c>
      <c r="FL22">
        <v>0</v>
      </c>
      <c r="FM22">
        <v>-1</v>
      </c>
      <c r="FN22">
        <v>-1</v>
      </c>
      <c r="FO22">
        <v>-1</v>
      </c>
      <c r="FP22">
        <v>-1</v>
      </c>
      <c r="FQ22">
        <v>6.5</v>
      </c>
      <c r="FR22">
        <v>6.6</v>
      </c>
      <c r="FS22">
        <v>0.146484</v>
      </c>
      <c r="FT22">
        <v>4.99756</v>
      </c>
      <c r="FU22">
        <v>1.5979</v>
      </c>
      <c r="FV22">
        <v>2.16797</v>
      </c>
      <c r="FW22">
        <v>1.54785</v>
      </c>
      <c r="FX22">
        <v>2.40601</v>
      </c>
      <c r="FY22">
        <v>34.8296</v>
      </c>
      <c r="FZ22">
        <v>16.1722</v>
      </c>
      <c r="GA22">
        <v>3</v>
      </c>
      <c r="GB22">
        <v>505.165</v>
      </c>
      <c r="GC22">
        <v>353.443</v>
      </c>
      <c r="GD22">
        <v>29.9628</v>
      </c>
      <c r="GE22">
        <v>32.1385</v>
      </c>
      <c r="GF22">
        <v>30.0031</v>
      </c>
      <c r="GG22">
        <v>31.1284</v>
      </c>
      <c r="GH22">
        <v>30.924</v>
      </c>
      <c r="GI22">
        <v>-1</v>
      </c>
      <c r="GJ22">
        <v>100</v>
      </c>
      <c r="GK22">
        <v>0</v>
      </c>
      <c r="GL22">
        <v>29.9551</v>
      </c>
      <c r="GM22">
        <v>1200</v>
      </c>
      <c r="GN22">
        <v>19.4378</v>
      </c>
      <c r="GO22">
        <v>102.246</v>
      </c>
      <c r="GP22">
        <v>96.8896</v>
      </c>
    </row>
    <row r="23" spans="1:198">
      <c r="A23">
        <v>7</v>
      </c>
      <c r="B23">
        <v>1773196460</v>
      </c>
      <c r="C23">
        <v>360</v>
      </c>
      <c r="D23" t="s">
        <v>347</v>
      </c>
      <c r="E23" t="s">
        <v>348</v>
      </c>
      <c r="F23">
        <v>15</v>
      </c>
      <c r="G23">
        <v>1773196452</v>
      </c>
      <c r="H23">
        <f>(I23)/1000</f>
        <v>0</v>
      </c>
      <c r="I23">
        <f>1000*AY23*AG23*(AU23-AV23)/(100*AN23*(1000-AG23*AU23))</f>
        <v>0</v>
      </c>
      <c r="J23">
        <f>AY23*AG23*(AT23-AS23*(1000-AG23*AV23)/(1000-AG23*AU23))/(100*AN23)</f>
        <v>0</v>
      </c>
      <c r="K23">
        <f>AS23 - IF(AG23&gt;1, J23*AN23*100.0/(AI23), 0)</f>
        <v>0</v>
      </c>
      <c r="L23">
        <f>((R23-H23/2)*K23-J23)/(R23+H23/2)</f>
        <v>0</v>
      </c>
      <c r="M23">
        <f>L23*(AZ23+BA23)/1000.0</f>
        <v>0</v>
      </c>
      <c r="N23">
        <f>(AS23 - IF(AG23&gt;1, J23*AN23*100.0/(AI23), 0))*(AZ23+BA23)/1000.0</f>
        <v>0</v>
      </c>
      <c r="O23">
        <f>2.0/((1/Q23-1/P23)+SIGN(Q23)*SQRT((1/Q23-1/P23)*(1/Q23-1/P23) + 4*AO23/((AO23+1)*(AO23+1))*(2*1/Q23*1/P23-1/P23*1/P23)))</f>
        <v>0</v>
      </c>
      <c r="P23">
        <f>IF(LEFT(AP23,1)&lt;&gt;"0",IF(LEFT(AP23,1)="1",3.0,AQ23),$D$5+$E$5*(BG23*AZ23/($K$5*1000))+$F$5*(BG23*AZ23/($K$5*1000))*MAX(MIN(AN23,$J$5),$I$5)*MAX(MIN(AN23,$J$5),$I$5)+$G$5*MAX(MIN(AN23,$J$5),$I$5)*(BG23*AZ23/($K$5*1000))+$H$5*(BG23*AZ23/($K$5*1000))*(BG23*AZ23/($K$5*1000)))</f>
        <v>0</v>
      </c>
      <c r="Q23">
        <f>H23*(1000-(1000*0.61365*exp(17.502*U23/(240.97+U23))/(AZ23+BA23)+AU23)/2)/(1000*0.61365*exp(17.502*U23/(240.97+U23))/(AZ23+BA23)-AU23)</f>
        <v>0</v>
      </c>
      <c r="R23">
        <f>1/((AO23+1)/(O23/1.6)+1/(P23/1.37)) + AO23/((AO23+1)/(O23/1.6) + AO23/(P23/1.37))</f>
        <v>0</v>
      </c>
      <c r="S23">
        <f>(AJ23*AM23)</f>
        <v>0</v>
      </c>
      <c r="T23">
        <f>(BB23+(S23+2*0.95*5.67E-8*(((BB23+$B$7)+273)^4-(BB23+273)^4)-44100*H23)/(1.84*29.3*P23+8*0.95*5.67E-8*(BB23+273)^3))</f>
        <v>0</v>
      </c>
      <c r="U23">
        <f>($C$7*BC23+$D$7*BD23+$E$7*T23)</f>
        <v>0</v>
      </c>
      <c r="V23">
        <f>0.61365*exp(17.502*U23/(240.97+U23))</f>
        <v>0</v>
      </c>
      <c r="W23">
        <f>(X23/Y23*100)</f>
        <v>0</v>
      </c>
      <c r="X23">
        <f>AU23*(AZ23+BA23)/1000</f>
        <v>0</v>
      </c>
      <c r="Y23">
        <f>0.61365*exp(17.502*BB23/(240.97+BB23))</f>
        <v>0</v>
      </c>
      <c r="Z23">
        <f>(V23-AU23*(AZ23+BA23)/1000)</f>
        <v>0</v>
      </c>
      <c r="AA23">
        <f>(-H23*44100)</f>
        <v>0</v>
      </c>
      <c r="AB23">
        <f>2*29.3*P23*0.92*(BB23-U23)</f>
        <v>0</v>
      </c>
      <c r="AC23">
        <f>2*0.95*5.67E-8*(((BB23+$B$7)+273)^4-(U23+273)^4)</f>
        <v>0</v>
      </c>
      <c r="AD23">
        <f>S23+AC23+AA23+AB23</f>
        <v>0</v>
      </c>
      <c r="AE23">
        <v>0</v>
      </c>
      <c r="AF23">
        <v>0</v>
      </c>
      <c r="AG23">
        <f>IF(AE23*$H$13&gt;=AI23,1.0,(AI23/(AI23-AE23*$H$13)))</f>
        <v>0</v>
      </c>
      <c r="AH23">
        <f>(AG23-1)*100</f>
        <v>0</v>
      </c>
      <c r="AI23">
        <f>MAX(0,($B$13+$C$13*BG23)/(1+$D$13*BG23)*AZ23/(BB23+273)*$E$13)</f>
        <v>0</v>
      </c>
      <c r="AJ23">
        <f>$B$11*BH23+$C$11*BI23+$D$11*BT23</f>
        <v>0</v>
      </c>
      <c r="AK23">
        <f>AJ23*AL23</f>
        <v>0</v>
      </c>
      <c r="AL23">
        <f>($B$11*$D$9+$C$11*$D$9+$D$11*(BU23*$E$9+BV23*$G$9))/($B$11+$C$11+$D$11)</f>
        <v>0</v>
      </c>
      <c r="AM23">
        <f>($B$11*$K$9+$C$11*$K$9+$D$11*(BU23*$L$9+BV23*$N$9))/($B$11+$C$11+$D$11)</f>
        <v>0</v>
      </c>
      <c r="AN23">
        <v>3</v>
      </c>
      <c r="AO23">
        <v>0.5</v>
      </c>
      <c r="AP23" t="s">
        <v>331</v>
      </c>
      <c r="AQ23">
        <v>2</v>
      </c>
      <c r="AR23">
        <v>1773196452</v>
      </c>
      <c r="AS23">
        <v>442.6337419354838</v>
      </c>
      <c r="AT23">
        <v>442.5087096774192</v>
      </c>
      <c r="AU23">
        <v>8.297377741935485</v>
      </c>
      <c r="AV23">
        <v>2.514075161290322</v>
      </c>
      <c r="AW23">
        <v>436.4024516129032</v>
      </c>
      <c r="AX23">
        <v>8.216787419354839</v>
      </c>
      <c r="AY23">
        <v>499.9924516129032</v>
      </c>
      <c r="AZ23">
        <v>100.2719032258065</v>
      </c>
      <c r="BA23">
        <v>0.04272024838709678</v>
      </c>
      <c r="BB23">
        <v>30.84434193548387</v>
      </c>
      <c r="BC23">
        <v>29.09408387096775</v>
      </c>
      <c r="BD23">
        <v>999.9000000000003</v>
      </c>
      <c r="BE23">
        <v>0</v>
      </c>
      <c r="BF23">
        <v>0</v>
      </c>
      <c r="BG23">
        <v>5005.741935483871</v>
      </c>
      <c r="BH23">
        <v>1.694801935483871</v>
      </c>
      <c r="BI23">
        <v>2010.928064516129</v>
      </c>
      <c r="BJ23">
        <v>0.1250650064516129</v>
      </c>
      <c r="BK23">
        <v>446.3372258064517</v>
      </c>
      <c r="BL23">
        <v>443.624064516129</v>
      </c>
      <c r="BM23">
        <v>5.783303225806452</v>
      </c>
      <c r="BN23">
        <v>442.5087096774192</v>
      </c>
      <c r="BO23">
        <v>2.514075161290322</v>
      </c>
      <c r="BP23">
        <v>0.8319944838709677</v>
      </c>
      <c r="BQ23">
        <v>0.2520912258064516</v>
      </c>
      <c r="BR23">
        <v>4.265105483870967</v>
      </c>
      <c r="BS23">
        <v>-11.65615161290323</v>
      </c>
      <c r="BT23">
        <v>0</v>
      </c>
      <c r="BU23">
        <v>0</v>
      </c>
      <c r="BV23">
        <v>0</v>
      </c>
      <c r="BW23">
        <v>34</v>
      </c>
      <c r="BX23">
        <v>51.84624193548387</v>
      </c>
      <c r="BY23">
        <v>1773196010</v>
      </c>
      <c r="BZ23" t="s">
        <v>332</v>
      </c>
      <c r="CA23">
        <v>1773196010</v>
      </c>
      <c r="CB23">
        <v>1773196005.5</v>
      </c>
      <c r="CC23">
        <v>2</v>
      </c>
      <c r="CD23">
        <v>-0.279</v>
      </c>
      <c r="CE23">
        <v>-0.021</v>
      </c>
      <c r="CF23">
        <v>6.231</v>
      </c>
      <c r="CG23">
        <v>0.081</v>
      </c>
      <c r="CH23">
        <v>432</v>
      </c>
      <c r="CI23">
        <v>21</v>
      </c>
      <c r="CJ23">
        <v>0.03</v>
      </c>
      <c r="CK23">
        <v>0.06</v>
      </c>
      <c r="CL23">
        <v>442.5081333333333</v>
      </c>
      <c r="CM23">
        <v>0.01633815350404064</v>
      </c>
      <c r="CN23">
        <v>0.01966338955747381</v>
      </c>
      <c r="CO23">
        <v>-1</v>
      </c>
      <c r="CP23">
        <v>499.9932</v>
      </c>
      <c r="CQ23">
        <v>0.2668565072310904</v>
      </c>
      <c r="CR23">
        <v>0.05720396256670689</v>
      </c>
      <c r="CS23">
        <v>-1</v>
      </c>
      <c r="CT23">
        <v>0</v>
      </c>
      <c r="CU23">
        <v>0</v>
      </c>
      <c r="CV23" t="s">
        <v>333</v>
      </c>
      <c r="CW23">
        <v>3.16831</v>
      </c>
      <c r="CX23">
        <v>2.66407</v>
      </c>
      <c r="CY23">
        <v>0.104347</v>
      </c>
      <c r="CZ23">
        <v>0.105492</v>
      </c>
      <c r="DA23">
        <v>0.050551</v>
      </c>
      <c r="DB23">
        <v>0.0184335</v>
      </c>
      <c r="DC23">
        <v>21469.7</v>
      </c>
      <c r="DD23">
        <v>21909.9</v>
      </c>
      <c r="DE23">
        <v>23089.2</v>
      </c>
      <c r="DF23">
        <v>22410.1</v>
      </c>
      <c r="DG23">
        <v>33125.1</v>
      </c>
      <c r="DH23">
        <v>31015.5</v>
      </c>
      <c r="DI23">
        <v>40592.9</v>
      </c>
      <c r="DJ23">
        <v>37088</v>
      </c>
      <c r="DK23">
        <v>2.07746</v>
      </c>
      <c r="DL23">
        <v>1.68166</v>
      </c>
      <c r="DM23">
        <v>-0.121301</v>
      </c>
      <c r="DN23">
        <v>0</v>
      </c>
      <c r="DO23">
        <v>31.1044</v>
      </c>
      <c r="DP23">
        <v>999.9</v>
      </c>
      <c r="DQ23">
        <v>56.6</v>
      </c>
      <c r="DR23">
        <v>28.3</v>
      </c>
      <c r="DS23">
        <v>21.797</v>
      </c>
      <c r="DT23">
        <v>30.31</v>
      </c>
      <c r="DU23">
        <v>11.27</v>
      </c>
      <c r="DV23">
        <v>1</v>
      </c>
      <c r="DW23">
        <v>0.435791</v>
      </c>
      <c r="DX23">
        <v>1.87388</v>
      </c>
      <c r="DY23">
        <v>20.3522</v>
      </c>
      <c r="DZ23">
        <v>5.20938</v>
      </c>
      <c r="EA23">
        <v>11.8542</v>
      </c>
      <c r="EB23">
        <v>4.96768</v>
      </c>
      <c r="EC23">
        <v>3.29292</v>
      </c>
      <c r="ED23">
        <v>879.4</v>
      </c>
      <c r="EE23">
        <v>9999</v>
      </c>
      <c r="EF23">
        <v>9999</v>
      </c>
      <c r="EG23">
        <v>76.09999999999999</v>
      </c>
      <c r="EH23">
        <v>4.97164</v>
      </c>
      <c r="EI23">
        <v>1.87194</v>
      </c>
      <c r="EJ23">
        <v>1.86908</v>
      </c>
      <c r="EK23">
        <v>1.87149</v>
      </c>
      <c r="EL23">
        <v>1.86928</v>
      </c>
      <c r="EM23">
        <v>1.86813</v>
      </c>
      <c r="EN23">
        <v>1.86997</v>
      </c>
      <c r="EO23">
        <v>1.8718</v>
      </c>
      <c r="EP23">
        <v>0</v>
      </c>
      <c r="EQ23">
        <v>0</v>
      </c>
      <c r="ER23">
        <v>0</v>
      </c>
      <c r="ES23">
        <v>0</v>
      </c>
      <c r="ET23" t="s">
        <v>334</v>
      </c>
      <c r="EU23" t="s">
        <v>335</v>
      </c>
      <c r="EV23" t="s">
        <v>336</v>
      </c>
      <c r="EW23" t="s">
        <v>336</v>
      </c>
      <c r="EX23" t="s">
        <v>336</v>
      </c>
      <c r="EY23" t="s">
        <v>336</v>
      </c>
      <c r="EZ23">
        <v>0</v>
      </c>
      <c r="FA23">
        <v>100</v>
      </c>
      <c r="FB23">
        <v>100</v>
      </c>
      <c r="FC23">
        <v>6.231</v>
      </c>
      <c r="FD23">
        <v>0.0806</v>
      </c>
      <c r="FE23">
        <v>6.23135000000002</v>
      </c>
      <c r="FF23">
        <v>0</v>
      </c>
      <c r="FG23">
        <v>0</v>
      </c>
      <c r="FH23">
        <v>0</v>
      </c>
      <c r="FI23">
        <v>0.08059047619047632</v>
      </c>
      <c r="FJ23">
        <v>0</v>
      </c>
      <c r="FK23">
        <v>0</v>
      </c>
      <c r="FL23">
        <v>0</v>
      </c>
      <c r="FM23">
        <v>-1</v>
      </c>
      <c r="FN23">
        <v>-1</v>
      </c>
      <c r="FO23">
        <v>-1</v>
      </c>
      <c r="FP23">
        <v>-1</v>
      </c>
      <c r="FQ23">
        <v>7.5</v>
      </c>
      <c r="FR23">
        <v>7.6</v>
      </c>
      <c r="FS23">
        <v>0.145264</v>
      </c>
      <c r="FT23">
        <v>4.99756</v>
      </c>
      <c r="FU23">
        <v>1.5979</v>
      </c>
      <c r="FV23">
        <v>2.16675</v>
      </c>
      <c r="FW23">
        <v>1.54785</v>
      </c>
      <c r="FX23">
        <v>2.36572</v>
      </c>
      <c r="FY23">
        <v>35.3827</v>
      </c>
      <c r="FZ23">
        <v>16.1634</v>
      </c>
      <c r="GA23">
        <v>3</v>
      </c>
      <c r="GB23">
        <v>506.466</v>
      </c>
      <c r="GC23">
        <v>351.28</v>
      </c>
      <c r="GD23">
        <v>29.6154</v>
      </c>
      <c r="GE23">
        <v>32.5885</v>
      </c>
      <c r="GF23">
        <v>30.0032</v>
      </c>
      <c r="GG23">
        <v>31.6537</v>
      </c>
      <c r="GH23">
        <v>31.4672</v>
      </c>
      <c r="GI23">
        <v>-1</v>
      </c>
      <c r="GJ23">
        <v>100</v>
      </c>
      <c r="GK23">
        <v>0</v>
      </c>
      <c r="GL23">
        <v>29.5858</v>
      </c>
      <c r="GM23">
        <v>1200</v>
      </c>
      <c r="GN23">
        <v>19.4378</v>
      </c>
      <c r="GO23">
        <v>102.165</v>
      </c>
      <c r="GP23">
        <v>96.82680000000001</v>
      </c>
    </row>
    <row r="24" spans="1:198">
      <c r="A24">
        <v>8</v>
      </c>
      <c r="B24">
        <v>1773196520</v>
      </c>
      <c r="C24">
        <v>420</v>
      </c>
      <c r="D24" t="s">
        <v>349</v>
      </c>
      <c r="E24" t="s">
        <v>350</v>
      </c>
      <c r="F24">
        <v>15</v>
      </c>
      <c r="G24">
        <v>1773196512</v>
      </c>
      <c r="H24">
        <f>(I24)/1000</f>
        <v>0</v>
      </c>
      <c r="I24">
        <f>1000*AY24*AG24*(AU24-AV24)/(100*AN24*(1000-AG24*AU24))</f>
        <v>0</v>
      </c>
      <c r="J24">
        <f>AY24*AG24*(AT24-AS24*(1000-AG24*AV24)/(1000-AG24*AU24))/(100*AN24)</f>
        <v>0</v>
      </c>
      <c r="K24">
        <f>AS24 - IF(AG24&gt;1, J24*AN24*100.0/(AI24), 0)</f>
        <v>0</v>
      </c>
      <c r="L24">
        <f>((R24-H24/2)*K24-J24)/(R24+H24/2)</f>
        <v>0</v>
      </c>
      <c r="M24">
        <f>L24*(AZ24+BA24)/1000.0</f>
        <v>0</v>
      </c>
      <c r="N24">
        <f>(AS24 - IF(AG24&gt;1, J24*AN24*100.0/(AI24), 0))*(AZ24+BA24)/1000.0</f>
        <v>0</v>
      </c>
      <c r="O24">
        <f>2.0/((1/Q24-1/P24)+SIGN(Q24)*SQRT((1/Q24-1/P24)*(1/Q24-1/P24) + 4*AO24/((AO24+1)*(AO24+1))*(2*1/Q24*1/P24-1/P24*1/P24)))</f>
        <v>0</v>
      </c>
      <c r="P24">
        <f>IF(LEFT(AP24,1)&lt;&gt;"0",IF(LEFT(AP24,1)="1",3.0,AQ24),$D$5+$E$5*(BG24*AZ24/($K$5*1000))+$F$5*(BG24*AZ24/($K$5*1000))*MAX(MIN(AN24,$J$5),$I$5)*MAX(MIN(AN24,$J$5),$I$5)+$G$5*MAX(MIN(AN24,$J$5),$I$5)*(BG24*AZ24/($K$5*1000))+$H$5*(BG24*AZ24/($K$5*1000))*(BG24*AZ24/($K$5*1000)))</f>
        <v>0</v>
      </c>
      <c r="Q24">
        <f>H24*(1000-(1000*0.61365*exp(17.502*U24/(240.97+U24))/(AZ24+BA24)+AU24)/2)/(1000*0.61365*exp(17.502*U24/(240.97+U24))/(AZ24+BA24)-AU24)</f>
        <v>0</v>
      </c>
      <c r="R24">
        <f>1/((AO24+1)/(O24/1.6)+1/(P24/1.37)) + AO24/((AO24+1)/(O24/1.6) + AO24/(P24/1.37))</f>
        <v>0</v>
      </c>
      <c r="S24">
        <f>(AJ24*AM24)</f>
        <v>0</v>
      </c>
      <c r="T24">
        <f>(BB24+(S24+2*0.95*5.67E-8*(((BB24+$B$7)+273)^4-(BB24+273)^4)-44100*H24)/(1.84*29.3*P24+8*0.95*5.67E-8*(BB24+273)^3))</f>
        <v>0</v>
      </c>
      <c r="U24">
        <f>($C$7*BC24+$D$7*BD24+$E$7*T24)</f>
        <v>0</v>
      </c>
      <c r="V24">
        <f>0.61365*exp(17.502*U24/(240.97+U24))</f>
        <v>0</v>
      </c>
      <c r="W24">
        <f>(X24/Y24*100)</f>
        <v>0</v>
      </c>
      <c r="X24">
        <f>AU24*(AZ24+BA24)/1000</f>
        <v>0</v>
      </c>
      <c r="Y24">
        <f>0.61365*exp(17.502*BB24/(240.97+BB24))</f>
        <v>0</v>
      </c>
      <c r="Z24">
        <f>(V24-AU24*(AZ24+BA24)/1000)</f>
        <v>0</v>
      </c>
      <c r="AA24">
        <f>(-H24*44100)</f>
        <v>0</v>
      </c>
      <c r="AB24">
        <f>2*29.3*P24*0.92*(BB24-U24)</f>
        <v>0</v>
      </c>
      <c r="AC24">
        <f>2*0.95*5.67E-8*(((BB24+$B$7)+273)^4-(U24+273)^4)</f>
        <v>0</v>
      </c>
      <c r="AD24">
        <f>S24+AC24+AA24+AB24</f>
        <v>0</v>
      </c>
      <c r="AE24">
        <v>0</v>
      </c>
      <c r="AF24">
        <v>0</v>
      </c>
      <c r="AG24">
        <f>IF(AE24*$H$13&gt;=AI24,1.0,(AI24/(AI24-AE24*$H$13)))</f>
        <v>0</v>
      </c>
      <c r="AH24">
        <f>(AG24-1)*100</f>
        <v>0</v>
      </c>
      <c r="AI24">
        <f>MAX(0,($B$13+$C$13*BG24)/(1+$D$13*BG24)*AZ24/(BB24+273)*$E$13)</f>
        <v>0</v>
      </c>
      <c r="AJ24">
        <f>$B$11*BH24+$C$11*BI24+$D$11*BT24</f>
        <v>0</v>
      </c>
      <c r="AK24">
        <f>AJ24*AL24</f>
        <v>0</v>
      </c>
      <c r="AL24">
        <f>($B$11*$D$9+$C$11*$D$9+$D$11*(BU24*$E$9+BV24*$G$9))/($B$11+$C$11+$D$11)</f>
        <v>0</v>
      </c>
      <c r="AM24">
        <f>($B$11*$K$9+$C$11*$K$9+$D$11*(BU24*$L$9+BV24*$N$9))/($B$11+$C$11+$D$11)</f>
        <v>0</v>
      </c>
      <c r="AN24">
        <v>3</v>
      </c>
      <c r="AO24">
        <v>0.5</v>
      </c>
      <c r="AP24" t="s">
        <v>331</v>
      </c>
      <c r="AQ24">
        <v>2</v>
      </c>
      <c r="AR24">
        <v>1773196512</v>
      </c>
      <c r="AS24">
        <v>443.9085161290323</v>
      </c>
      <c r="AT24">
        <v>443.6530322580645</v>
      </c>
      <c r="AU24">
        <v>7.830472903225807</v>
      </c>
      <c r="AV24">
        <v>2.613845483870967</v>
      </c>
      <c r="AW24">
        <v>437.6770322580646</v>
      </c>
      <c r="AX24">
        <v>7.749882580645163</v>
      </c>
      <c r="AY24">
        <v>499.9964193548388</v>
      </c>
      <c r="AZ24">
        <v>100.2573225806452</v>
      </c>
      <c r="BA24">
        <v>0.04324353225806451</v>
      </c>
      <c r="BB24">
        <v>30.80283548387097</v>
      </c>
      <c r="BC24">
        <v>29.28435161290322</v>
      </c>
      <c r="BD24">
        <v>999.9000000000003</v>
      </c>
      <c r="BE24">
        <v>0</v>
      </c>
      <c r="BF24">
        <v>0</v>
      </c>
      <c r="BG24">
        <v>5004.016129032259</v>
      </c>
      <c r="BH24">
        <v>1.683826774193549</v>
      </c>
      <c r="BI24">
        <v>1987.245161290323</v>
      </c>
      <c r="BJ24">
        <v>0.2553908387096774</v>
      </c>
      <c r="BK24">
        <v>447.4119354838709</v>
      </c>
      <c r="BL24">
        <v>444.8158387096775</v>
      </c>
      <c r="BM24">
        <v>5.216628387096774</v>
      </c>
      <c r="BN24">
        <v>443.6530322580645</v>
      </c>
      <c r="BO24">
        <v>2.613845483870967</v>
      </c>
      <c r="BP24">
        <v>0.7850623225806451</v>
      </c>
      <c r="BQ24">
        <v>0.2620571935483871</v>
      </c>
      <c r="BR24">
        <v>3.439909999999999</v>
      </c>
      <c r="BS24">
        <v>-11.17172580645161</v>
      </c>
      <c r="BT24">
        <v>0</v>
      </c>
      <c r="BU24">
        <v>0</v>
      </c>
      <c r="BV24">
        <v>0</v>
      </c>
      <c r="BW24">
        <v>34</v>
      </c>
      <c r="BX24">
        <v>51</v>
      </c>
      <c r="BY24">
        <v>1773196010</v>
      </c>
      <c r="BZ24" t="s">
        <v>332</v>
      </c>
      <c r="CA24">
        <v>1773196010</v>
      </c>
      <c r="CB24">
        <v>1773196005.5</v>
      </c>
      <c r="CC24">
        <v>2</v>
      </c>
      <c r="CD24">
        <v>-0.279</v>
      </c>
      <c r="CE24">
        <v>-0.021</v>
      </c>
      <c r="CF24">
        <v>6.231</v>
      </c>
      <c r="CG24">
        <v>0.081</v>
      </c>
      <c r="CH24">
        <v>432</v>
      </c>
      <c r="CI24">
        <v>21</v>
      </c>
      <c r="CJ24">
        <v>0.03</v>
      </c>
      <c r="CK24">
        <v>0.06</v>
      </c>
      <c r="CL24">
        <v>443.6430666666666</v>
      </c>
      <c r="CM24">
        <v>0.8999332591773128</v>
      </c>
      <c r="CN24">
        <v>0.06571602206125232</v>
      </c>
      <c r="CO24">
        <v>-1</v>
      </c>
      <c r="CP24">
        <v>499.9907</v>
      </c>
      <c r="CQ24">
        <v>0.03991101223597188</v>
      </c>
      <c r="CR24">
        <v>0.0438863304458179</v>
      </c>
      <c r="CS24">
        <v>-1</v>
      </c>
      <c r="CT24">
        <v>0</v>
      </c>
      <c r="CU24">
        <v>0</v>
      </c>
      <c r="CV24" t="s">
        <v>333</v>
      </c>
      <c r="CW24">
        <v>3.16836</v>
      </c>
      <c r="CX24">
        <v>2.66491</v>
      </c>
      <c r="CY24">
        <v>0.10444</v>
      </c>
      <c r="CZ24">
        <v>0.105545</v>
      </c>
      <c r="DA24">
        <v>0.0481494</v>
      </c>
      <c r="DB24">
        <v>0.0190613</v>
      </c>
      <c r="DC24">
        <v>21448.6</v>
      </c>
      <c r="DD24">
        <v>21894.9</v>
      </c>
      <c r="DE24">
        <v>23070.9</v>
      </c>
      <c r="DF24">
        <v>22397.4</v>
      </c>
      <c r="DG24">
        <v>33184.2</v>
      </c>
      <c r="DH24">
        <v>30975.9</v>
      </c>
      <c r="DI24">
        <v>40563.9</v>
      </c>
      <c r="DJ24">
        <v>37065.4</v>
      </c>
      <c r="DK24">
        <v>2.07318</v>
      </c>
      <c r="DL24">
        <v>1.67252</v>
      </c>
      <c r="DM24">
        <v>-0.118279</v>
      </c>
      <c r="DN24">
        <v>0</v>
      </c>
      <c r="DO24">
        <v>31.2218</v>
      </c>
      <c r="DP24">
        <v>999.9</v>
      </c>
      <c r="DQ24">
        <v>56</v>
      </c>
      <c r="DR24">
        <v>28.6</v>
      </c>
      <c r="DS24">
        <v>21.9492</v>
      </c>
      <c r="DT24">
        <v>30.31</v>
      </c>
      <c r="DU24">
        <v>11.6226</v>
      </c>
      <c r="DV24">
        <v>1</v>
      </c>
      <c r="DW24">
        <v>0.471079</v>
      </c>
      <c r="DX24">
        <v>0.347963</v>
      </c>
      <c r="DY24">
        <v>20.3564</v>
      </c>
      <c r="DZ24">
        <v>5.20962</v>
      </c>
      <c r="EA24">
        <v>11.8542</v>
      </c>
      <c r="EB24">
        <v>4.9678</v>
      </c>
      <c r="EC24">
        <v>3.29276</v>
      </c>
      <c r="ED24">
        <v>879.4</v>
      </c>
      <c r="EE24">
        <v>9999</v>
      </c>
      <c r="EF24">
        <v>9999</v>
      </c>
      <c r="EG24">
        <v>76.09999999999999</v>
      </c>
      <c r="EH24">
        <v>4.97168</v>
      </c>
      <c r="EI24">
        <v>1.87195</v>
      </c>
      <c r="EJ24">
        <v>1.86915</v>
      </c>
      <c r="EK24">
        <v>1.87152</v>
      </c>
      <c r="EL24">
        <v>1.86932</v>
      </c>
      <c r="EM24">
        <v>1.86815</v>
      </c>
      <c r="EN24">
        <v>1.86998</v>
      </c>
      <c r="EO24">
        <v>1.87181</v>
      </c>
      <c r="EP24">
        <v>0</v>
      </c>
      <c r="EQ24">
        <v>0</v>
      </c>
      <c r="ER24">
        <v>0</v>
      </c>
      <c r="ES24">
        <v>0</v>
      </c>
      <c r="ET24" t="s">
        <v>334</v>
      </c>
      <c r="EU24" t="s">
        <v>335</v>
      </c>
      <c r="EV24" t="s">
        <v>336</v>
      </c>
      <c r="EW24" t="s">
        <v>336</v>
      </c>
      <c r="EX24" t="s">
        <v>336</v>
      </c>
      <c r="EY24" t="s">
        <v>336</v>
      </c>
      <c r="EZ24">
        <v>0</v>
      </c>
      <c r="FA24">
        <v>100</v>
      </c>
      <c r="FB24">
        <v>100</v>
      </c>
      <c r="FC24">
        <v>6.231</v>
      </c>
      <c r="FD24">
        <v>0.0806</v>
      </c>
      <c r="FE24">
        <v>6.23135000000002</v>
      </c>
      <c r="FF24">
        <v>0</v>
      </c>
      <c r="FG24">
        <v>0</v>
      </c>
      <c r="FH24">
        <v>0</v>
      </c>
      <c r="FI24">
        <v>0.08059047619047632</v>
      </c>
      <c r="FJ24">
        <v>0</v>
      </c>
      <c r="FK24">
        <v>0</v>
      </c>
      <c r="FL24">
        <v>0</v>
      </c>
      <c r="FM24">
        <v>-1</v>
      </c>
      <c r="FN24">
        <v>-1</v>
      </c>
      <c r="FO24">
        <v>-1</v>
      </c>
      <c r="FP24">
        <v>-1</v>
      </c>
      <c r="FQ24">
        <v>8.5</v>
      </c>
      <c r="FR24">
        <v>8.6</v>
      </c>
      <c r="FS24">
        <v>0.146484</v>
      </c>
      <c r="FT24">
        <v>4.99756</v>
      </c>
      <c r="FU24">
        <v>1.5979</v>
      </c>
      <c r="FV24">
        <v>2.16553</v>
      </c>
      <c r="FW24">
        <v>1.54785</v>
      </c>
      <c r="FX24">
        <v>2.33887</v>
      </c>
      <c r="FY24">
        <v>35.8944</v>
      </c>
      <c r="FZ24">
        <v>16.1634</v>
      </c>
      <c r="GA24">
        <v>3</v>
      </c>
      <c r="GB24">
        <v>507.699</v>
      </c>
      <c r="GC24">
        <v>349.294</v>
      </c>
      <c r="GD24">
        <v>29.3164</v>
      </c>
      <c r="GE24">
        <v>33.0241</v>
      </c>
      <c r="GF24">
        <v>30.002</v>
      </c>
      <c r="GG24">
        <v>32.1529</v>
      </c>
      <c r="GH24">
        <v>31.9815</v>
      </c>
      <c r="GI24">
        <v>-1</v>
      </c>
      <c r="GJ24">
        <v>100</v>
      </c>
      <c r="GK24">
        <v>0</v>
      </c>
      <c r="GL24">
        <v>29.7844</v>
      </c>
      <c r="GM24">
        <v>1200</v>
      </c>
      <c r="GN24">
        <v>19.4378</v>
      </c>
      <c r="GO24">
        <v>102.089</v>
      </c>
      <c r="GP24">
        <v>96.7693</v>
      </c>
    </row>
    <row r="25" spans="1:198">
      <c r="A25">
        <v>9</v>
      </c>
      <c r="B25">
        <v>1773196580</v>
      </c>
      <c r="C25">
        <v>480</v>
      </c>
      <c r="D25" t="s">
        <v>351</v>
      </c>
      <c r="E25" t="s">
        <v>352</v>
      </c>
      <c r="F25">
        <v>15</v>
      </c>
      <c r="G25">
        <v>1773196572</v>
      </c>
      <c r="H25">
        <f>(I25)/1000</f>
        <v>0</v>
      </c>
      <c r="I25">
        <f>1000*AY25*AG25*(AU25-AV25)/(100*AN25*(1000-AG25*AU25))</f>
        <v>0</v>
      </c>
      <c r="J25">
        <f>AY25*AG25*(AT25-AS25*(1000-AG25*AV25)/(1000-AG25*AU25))/(100*AN25)</f>
        <v>0</v>
      </c>
      <c r="K25">
        <f>AS25 - IF(AG25&gt;1, J25*AN25*100.0/(AI25), 0)</f>
        <v>0</v>
      </c>
      <c r="L25">
        <f>((R25-H25/2)*K25-J25)/(R25+H25/2)</f>
        <v>0</v>
      </c>
      <c r="M25">
        <f>L25*(AZ25+BA25)/1000.0</f>
        <v>0</v>
      </c>
      <c r="N25">
        <f>(AS25 - IF(AG25&gt;1, J25*AN25*100.0/(AI25), 0))*(AZ25+BA25)/1000.0</f>
        <v>0</v>
      </c>
      <c r="O25">
        <f>2.0/((1/Q25-1/P25)+SIGN(Q25)*SQRT((1/Q25-1/P25)*(1/Q25-1/P25) + 4*AO25/((AO25+1)*(AO25+1))*(2*1/Q25*1/P25-1/P25*1/P25)))</f>
        <v>0</v>
      </c>
      <c r="P25">
        <f>IF(LEFT(AP25,1)&lt;&gt;"0",IF(LEFT(AP25,1)="1",3.0,AQ25),$D$5+$E$5*(BG25*AZ25/($K$5*1000))+$F$5*(BG25*AZ25/($K$5*1000))*MAX(MIN(AN25,$J$5),$I$5)*MAX(MIN(AN25,$J$5),$I$5)+$G$5*MAX(MIN(AN25,$J$5),$I$5)*(BG25*AZ25/($K$5*1000))+$H$5*(BG25*AZ25/($K$5*1000))*(BG25*AZ25/($K$5*1000)))</f>
        <v>0</v>
      </c>
      <c r="Q25">
        <f>H25*(1000-(1000*0.61365*exp(17.502*U25/(240.97+U25))/(AZ25+BA25)+AU25)/2)/(1000*0.61365*exp(17.502*U25/(240.97+U25))/(AZ25+BA25)-AU25)</f>
        <v>0</v>
      </c>
      <c r="R25">
        <f>1/((AO25+1)/(O25/1.6)+1/(P25/1.37)) + AO25/((AO25+1)/(O25/1.6) + AO25/(P25/1.37))</f>
        <v>0</v>
      </c>
      <c r="S25">
        <f>(AJ25*AM25)</f>
        <v>0</v>
      </c>
      <c r="T25">
        <f>(BB25+(S25+2*0.95*5.67E-8*(((BB25+$B$7)+273)^4-(BB25+273)^4)-44100*H25)/(1.84*29.3*P25+8*0.95*5.67E-8*(BB25+273)^3))</f>
        <v>0</v>
      </c>
      <c r="U25">
        <f>($C$7*BC25+$D$7*BD25+$E$7*T25)</f>
        <v>0</v>
      </c>
      <c r="V25">
        <f>0.61365*exp(17.502*U25/(240.97+U25))</f>
        <v>0</v>
      </c>
      <c r="W25">
        <f>(X25/Y25*100)</f>
        <v>0</v>
      </c>
      <c r="X25">
        <f>AU25*(AZ25+BA25)/1000</f>
        <v>0</v>
      </c>
      <c r="Y25">
        <f>0.61365*exp(17.502*BB25/(240.97+BB25))</f>
        <v>0</v>
      </c>
      <c r="Z25">
        <f>(V25-AU25*(AZ25+BA25)/1000)</f>
        <v>0</v>
      </c>
      <c r="AA25">
        <f>(-H25*44100)</f>
        <v>0</v>
      </c>
      <c r="AB25">
        <f>2*29.3*P25*0.92*(BB25-U25)</f>
        <v>0</v>
      </c>
      <c r="AC25">
        <f>2*0.95*5.67E-8*(((BB25+$B$7)+273)^4-(U25+273)^4)</f>
        <v>0</v>
      </c>
      <c r="AD25">
        <f>S25+AC25+AA25+AB25</f>
        <v>0</v>
      </c>
      <c r="AE25">
        <v>0</v>
      </c>
      <c r="AF25">
        <v>0</v>
      </c>
      <c r="AG25">
        <f>IF(AE25*$H$13&gt;=AI25,1.0,(AI25/(AI25-AE25*$H$13)))</f>
        <v>0</v>
      </c>
      <c r="AH25">
        <f>(AG25-1)*100</f>
        <v>0</v>
      </c>
      <c r="AI25">
        <f>MAX(0,($B$13+$C$13*BG25)/(1+$D$13*BG25)*AZ25/(BB25+273)*$E$13)</f>
        <v>0</v>
      </c>
      <c r="AJ25">
        <f>$B$11*BH25+$C$11*BI25+$D$11*BT25</f>
        <v>0</v>
      </c>
      <c r="AK25">
        <f>AJ25*AL25</f>
        <v>0</v>
      </c>
      <c r="AL25">
        <f>($B$11*$D$9+$C$11*$D$9+$D$11*(BU25*$E$9+BV25*$G$9))/($B$11+$C$11+$D$11)</f>
        <v>0</v>
      </c>
      <c r="AM25">
        <f>($B$11*$K$9+$C$11*$K$9+$D$11*(BU25*$L$9+BV25*$N$9))/($B$11+$C$11+$D$11)</f>
        <v>0</v>
      </c>
      <c r="AN25">
        <v>3</v>
      </c>
      <c r="AO25">
        <v>0.5</v>
      </c>
      <c r="AP25" t="s">
        <v>331</v>
      </c>
      <c r="AQ25">
        <v>2</v>
      </c>
      <c r="AR25">
        <v>1773196572</v>
      </c>
      <c r="AS25">
        <v>444.2592580645162</v>
      </c>
      <c r="AT25">
        <v>443.5921612903226</v>
      </c>
      <c r="AU25">
        <v>7.382279032258065</v>
      </c>
      <c r="AV25">
        <v>2.715980967741936</v>
      </c>
      <c r="AW25">
        <v>438.0279677419355</v>
      </c>
      <c r="AX25">
        <v>7.301689032258065</v>
      </c>
      <c r="AY25">
        <v>500.002064516129</v>
      </c>
      <c r="AZ25">
        <v>100.2614193548387</v>
      </c>
      <c r="BA25">
        <v>0.04349037741935485</v>
      </c>
      <c r="BB25">
        <v>30.83882903225807</v>
      </c>
      <c r="BC25">
        <v>29.50494193548388</v>
      </c>
      <c r="BD25">
        <v>999.9000000000003</v>
      </c>
      <c r="BE25">
        <v>0</v>
      </c>
      <c r="BF25">
        <v>0</v>
      </c>
      <c r="BG25">
        <v>4997.516129032259</v>
      </c>
      <c r="BH25">
        <v>1.665668709677419</v>
      </c>
      <c r="BI25">
        <v>1955.39935483871</v>
      </c>
      <c r="BJ25">
        <v>0.6672442258064518</v>
      </c>
      <c r="BK25">
        <v>447.5633225806451</v>
      </c>
      <c r="BL25">
        <v>444.8001935483871</v>
      </c>
      <c r="BM25">
        <v>4.666297096774194</v>
      </c>
      <c r="BN25">
        <v>443.5921612903226</v>
      </c>
      <c r="BO25">
        <v>2.715980967741936</v>
      </c>
      <c r="BP25">
        <v>0.7401578709677419</v>
      </c>
      <c r="BQ25">
        <v>0.2723080967741936</v>
      </c>
      <c r="BR25">
        <v>2.608493548387097</v>
      </c>
      <c r="BS25">
        <v>-10.69027096774193</v>
      </c>
      <c r="BT25">
        <v>0</v>
      </c>
      <c r="BU25">
        <v>0</v>
      </c>
      <c r="BV25">
        <v>0</v>
      </c>
      <c r="BW25">
        <v>34</v>
      </c>
      <c r="BX25">
        <v>51</v>
      </c>
      <c r="BY25">
        <v>1773196010</v>
      </c>
      <c r="BZ25" t="s">
        <v>332</v>
      </c>
      <c r="CA25">
        <v>1773196010</v>
      </c>
      <c r="CB25">
        <v>1773196005.5</v>
      </c>
      <c r="CC25">
        <v>2</v>
      </c>
      <c r="CD25">
        <v>-0.279</v>
      </c>
      <c r="CE25">
        <v>-0.021</v>
      </c>
      <c r="CF25">
        <v>6.231</v>
      </c>
      <c r="CG25">
        <v>0.081</v>
      </c>
      <c r="CH25">
        <v>432</v>
      </c>
      <c r="CI25">
        <v>21</v>
      </c>
      <c r="CJ25">
        <v>0.03</v>
      </c>
      <c r="CK25">
        <v>0.06</v>
      </c>
      <c r="CL25">
        <v>443.5912666666667</v>
      </c>
      <c r="CM25">
        <v>-0.08468075639647431</v>
      </c>
      <c r="CN25">
        <v>0.01293814343541855</v>
      </c>
      <c r="CO25">
        <v>-1</v>
      </c>
      <c r="CP25">
        <v>500.0035999999999</v>
      </c>
      <c r="CQ25">
        <v>-0.1146874304769957</v>
      </c>
      <c r="CR25">
        <v>0.04866730593186983</v>
      </c>
      <c r="CS25">
        <v>-1</v>
      </c>
      <c r="CT25">
        <v>0</v>
      </c>
      <c r="CU25">
        <v>0</v>
      </c>
      <c r="CV25" t="s">
        <v>333</v>
      </c>
      <c r="CW25">
        <v>3.16836</v>
      </c>
      <c r="CX25">
        <v>2.66482</v>
      </c>
      <c r="CY25">
        <v>0.104369</v>
      </c>
      <c r="CZ25">
        <v>0.105397</v>
      </c>
      <c r="DA25">
        <v>0.0458189</v>
      </c>
      <c r="DB25">
        <v>0.0197062</v>
      </c>
      <c r="DC25">
        <v>21433.1</v>
      </c>
      <c r="DD25">
        <v>21886.3</v>
      </c>
      <c r="DE25">
        <v>23053.9</v>
      </c>
      <c r="DF25">
        <v>22386</v>
      </c>
      <c r="DG25">
        <v>33242.7</v>
      </c>
      <c r="DH25">
        <v>30937.8</v>
      </c>
      <c r="DI25">
        <v>40537.2</v>
      </c>
      <c r="DJ25">
        <v>37045.1</v>
      </c>
      <c r="DK25">
        <v>2.069</v>
      </c>
      <c r="DL25">
        <v>1.66448</v>
      </c>
      <c r="DM25">
        <v>-0.106776</v>
      </c>
      <c r="DN25">
        <v>0</v>
      </c>
      <c r="DO25">
        <v>31.2508</v>
      </c>
      <c r="DP25">
        <v>999.9</v>
      </c>
      <c r="DQ25">
        <v>55.4</v>
      </c>
      <c r="DR25">
        <v>29</v>
      </c>
      <c r="DS25">
        <v>22.2225</v>
      </c>
      <c r="DT25">
        <v>30.1</v>
      </c>
      <c r="DU25">
        <v>11.7188</v>
      </c>
      <c r="DV25">
        <v>1</v>
      </c>
      <c r="DW25">
        <v>0.506876</v>
      </c>
      <c r="DX25">
        <v>1.90725</v>
      </c>
      <c r="DY25">
        <v>20.3509</v>
      </c>
      <c r="DZ25">
        <v>5.2095</v>
      </c>
      <c r="EA25">
        <v>11.8542</v>
      </c>
      <c r="EB25">
        <v>4.96784</v>
      </c>
      <c r="EC25">
        <v>3.2926</v>
      </c>
      <c r="ED25">
        <v>879.4</v>
      </c>
      <c r="EE25">
        <v>9999</v>
      </c>
      <c r="EF25">
        <v>9999</v>
      </c>
      <c r="EG25">
        <v>76.2</v>
      </c>
      <c r="EH25">
        <v>4.97162</v>
      </c>
      <c r="EI25">
        <v>1.87195</v>
      </c>
      <c r="EJ25">
        <v>1.86914</v>
      </c>
      <c r="EK25">
        <v>1.87151</v>
      </c>
      <c r="EL25">
        <v>1.86934</v>
      </c>
      <c r="EM25">
        <v>1.86815</v>
      </c>
      <c r="EN25">
        <v>1.87</v>
      </c>
      <c r="EO25">
        <v>1.87183</v>
      </c>
      <c r="EP25">
        <v>0</v>
      </c>
      <c r="EQ25">
        <v>0</v>
      </c>
      <c r="ER25">
        <v>0</v>
      </c>
      <c r="ES25">
        <v>0</v>
      </c>
      <c r="ET25" t="s">
        <v>334</v>
      </c>
      <c r="EU25" t="s">
        <v>335</v>
      </c>
      <c r="EV25" t="s">
        <v>336</v>
      </c>
      <c r="EW25" t="s">
        <v>336</v>
      </c>
      <c r="EX25" t="s">
        <v>336</v>
      </c>
      <c r="EY25" t="s">
        <v>336</v>
      </c>
      <c r="EZ25">
        <v>0</v>
      </c>
      <c r="FA25">
        <v>100</v>
      </c>
      <c r="FB25">
        <v>100</v>
      </c>
      <c r="FC25">
        <v>6.232</v>
      </c>
      <c r="FD25">
        <v>0.0806</v>
      </c>
      <c r="FE25">
        <v>6.23135000000002</v>
      </c>
      <c r="FF25">
        <v>0</v>
      </c>
      <c r="FG25">
        <v>0</v>
      </c>
      <c r="FH25">
        <v>0</v>
      </c>
      <c r="FI25">
        <v>0.08059047619047632</v>
      </c>
      <c r="FJ25">
        <v>0</v>
      </c>
      <c r="FK25">
        <v>0</v>
      </c>
      <c r="FL25">
        <v>0</v>
      </c>
      <c r="FM25">
        <v>-1</v>
      </c>
      <c r="FN25">
        <v>-1</v>
      </c>
      <c r="FO25">
        <v>-1</v>
      </c>
      <c r="FP25">
        <v>-1</v>
      </c>
      <c r="FQ25">
        <v>9.5</v>
      </c>
      <c r="FR25">
        <v>9.6</v>
      </c>
      <c r="FS25">
        <v>0.145264</v>
      </c>
      <c r="FT25">
        <v>4.99756</v>
      </c>
      <c r="FU25">
        <v>1.5979</v>
      </c>
      <c r="FV25">
        <v>2.16187</v>
      </c>
      <c r="FW25">
        <v>1.54785</v>
      </c>
      <c r="FX25">
        <v>2.35474</v>
      </c>
      <c r="FY25">
        <v>36.3871</v>
      </c>
      <c r="FZ25">
        <v>16.1546</v>
      </c>
      <c r="GA25">
        <v>3</v>
      </c>
      <c r="GB25">
        <v>508.616</v>
      </c>
      <c r="GC25">
        <v>347.591</v>
      </c>
      <c r="GD25">
        <v>29.4742</v>
      </c>
      <c r="GE25">
        <v>33.4094</v>
      </c>
      <c r="GF25">
        <v>30.0029</v>
      </c>
      <c r="GG25">
        <v>32.6067</v>
      </c>
      <c r="GH25">
        <v>32.4485</v>
      </c>
      <c r="GI25">
        <v>-1</v>
      </c>
      <c r="GJ25">
        <v>100</v>
      </c>
      <c r="GK25">
        <v>0</v>
      </c>
      <c r="GL25">
        <v>29.4541</v>
      </c>
      <c r="GM25">
        <v>1200</v>
      </c>
      <c r="GN25">
        <v>19.4378</v>
      </c>
      <c r="GO25">
        <v>102.019</v>
      </c>
      <c r="GP25">
        <v>96.71769999999999</v>
      </c>
    </row>
    <row r="26" spans="1:198">
      <c r="A26">
        <v>10</v>
      </c>
      <c r="B26">
        <v>1773196640</v>
      </c>
      <c r="C26">
        <v>540</v>
      </c>
      <c r="D26" t="s">
        <v>353</v>
      </c>
      <c r="E26" t="s">
        <v>354</v>
      </c>
      <c r="F26">
        <v>15</v>
      </c>
      <c r="G26">
        <v>1773196632</v>
      </c>
      <c r="H26">
        <f>(I26)/1000</f>
        <v>0</v>
      </c>
      <c r="I26">
        <f>1000*AY26*AG26*(AU26-AV26)/(100*AN26*(1000-AG26*AU26))</f>
        <v>0</v>
      </c>
      <c r="J26">
        <f>AY26*AG26*(AT26-AS26*(1000-AG26*AV26)/(1000-AG26*AU26))/(100*AN26)</f>
        <v>0</v>
      </c>
      <c r="K26">
        <f>AS26 - IF(AG26&gt;1, J26*AN26*100.0/(AI26), 0)</f>
        <v>0</v>
      </c>
      <c r="L26">
        <f>((R26-H26/2)*K26-J26)/(R26+H26/2)</f>
        <v>0</v>
      </c>
      <c r="M26">
        <f>L26*(AZ26+BA26)/1000.0</f>
        <v>0</v>
      </c>
      <c r="N26">
        <f>(AS26 - IF(AG26&gt;1, J26*AN26*100.0/(AI26), 0))*(AZ26+BA26)/1000.0</f>
        <v>0</v>
      </c>
      <c r="O26">
        <f>2.0/((1/Q26-1/P26)+SIGN(Q26)*SQRT((1/Q26-1/P26)*(1/Q26-1/P26) + 4*AO26/((AO26+1)*(AO26+1))*(2*1/Q26*1/P26-1/P26*1/P26)))</f>
        <v>0</v>
      </c>
      <c r="P26">
        <f>IF(LEFT(AP26,1)&lt;&gt;"0",IF(LEFT(AP26,1)="1",3.0,AQ26),$D$5+$E$5*(BG26*AZ26/($K$5*1000))+$F$5*(BG26*AZ26/($K$5*1000))*MAX(MIN(AN26,$J$5),$I$5)*MAX(MIN(AN26,$J$5),$I$5)+$G$5*MAX(MIN(AN26,$J$5),$I$5)*(BG26*AZ26/($K$5*1000))+$H$5*(BG26*AZ26/($K$5*1000))*(BG26*AZ26/($K$5*1000)))</f>
        <v>0</v>
      </c>
      <c r="Q26">
        <f>H26*(1000-(1000*0.61365*exp(17.502*U26/(240.97+U26))/(AZ26+BA26)+AU26)/2)/(1000*0.61365*exp(17.502*U26/(240.97+U26))/(AZ26+BA26)-AU26)</f>
        <v>0</v>
      </c>
      <c r="R26">
        <f>1/((AO26+1)/(O26/1.6)+1/(P26/1.37)) + AO26/((AO26+1)/(O26/1.6) + AO26/(P26/1.37))</f>
        <v>0</v>
      </c>
      <c r="S26">
        <f>(AJ26*AM26)</f>
        <v>0</v>
      </c>
      <c r="T26">
        <f>(BB26+(S26+2*0.95*5.67E-8*(((BB26+$B$7)+273)^4-(BB26+273)^4)-44100*H26)/(1.84*29.3*P26+8*0.95*5.67E-8*(BB26+273)^3))</f>
        <v>0</v>
      </c>
      <c r="U26">
        <f>($C$7*BC26+$D$7*BD26+$E$7*T26)</f>
        <v>0</v>
      </c>
      <c r="V26">
        <f>0.61365*exp(17.502*U26/(240.97+U26))</f>
        <v>0</v>
      </c>
      <c r="W26">
        <f>(X26/Y26*100)</f>
        <v>0</v>
      </c>
      <c r="X26">
        <f>AU26*(AZ26+BA26)/1000</f>
        <v>0</v>
      </c>
      <c r="Y26">
        <f>0.61365*exp(17.502*BB26/(240.97+BB26))</f>
        <v>0</v>
      </c>
      <c r="Z26">
        <f>(V26-AU26*(AZ26+BA26)/1000)</f>
        <v>0</v>
      </c>
      <c r="AA26">
        <f>(-H26*44100)</f>
        <v>0</v>
      </c>
      <c r="AB26">
        <f>2*29.3*P26*0.92*(BB26-U26)</f>
        <v>0</v>
      </c>
      <c r="AC26">
        <f>2*0.95*5.67E-8*(((BB26+$B$7)+273)^4-(U26+273)^4)</f>
        <v>0</v>
      </c>
      <c r="AD26">
        <f>S26+AC26+AA26+AB26</f>
        <v>0</v>
      </c>
      <c r="AE26">
        <v>0</v>
      </c>
      <c r="AF26">
        <v>0</v>
      </c>
      <c r="AG26">
        <f>IF(AE26*$H$13&gt;=AI26,1.0,(AI26/(AI26-AE26*$H$13)))</f>
        <v>0</v>
      </c>
      <c r="AH26">
        <f>(AG26-1)*100</f>
        <v>0</v>
      </c>
      <c r="AI26">
        <f>MAX(0,($B$13+$C$13*BG26)/(1+$D$13*BG26)*AZ26/(BB26+273)*$E$13)</f>
        <v>0</v>
      </c>
      <c r="AJ26">
        <f>$B$11*BH26+$C$11*BI26+$D$11*BT26</f>
        <v>0</v>
      </c>
      <c r="AK26">
        <f>AJ26*AL26</f>
        <v>0</v>
      </c>
      <c r="AL26">
        <f>($B$11*$D$9+$C$11*$D$9+$D$11*(BU26*$E$9+BV26*$G$9))/($B$11+$C$11+$D$11)</f>
        <v>0</v>
      </c>
      <c r="AM26">
        <f>($B$11*$K$9+$C$11*$K$9+$D$11*(BU26*$L$9+BV26*$N$9))/($B$11+$C$11+$D$11)</f>
        <v>0</v>
      </c>
      <c r="AN26">
        <v>3</v>
      </c>
      <c r="AO26">
        <v>0.5</v>
      </c>
      <c r="AP26" t="s">
        <v>331</v>
      </c>
      <c r="AQ26">
        <v>2</v>
      </c>
      <c r="AR26">
        <v>1773196632</v>
      </c>
      <c r="AS26">
        <v>444.8938387096773</v>
      </c>
      <c r="AT26">
        <v>444.0865483870967</v>
      </c>
      <c r="AU26">
        <v>6.98103935483871</v>
      </c>
      <c r="AV26">
        <v>2.830194193548387</v>
      </c>
      <c r="AW26">
        <v>438.6624516129032</v>
      </c>
      <c r="AX26">
        <v>6.90044935483871</v>
      </c>
      <c r="AY26">
        <v>499.9785161290323</v>
      </c>
      <c r="AZ26">
        <v>100.2476451612903</v>
      </c>
      <c r="BA26">
        <v>0.04431164193548387</v>
      </c>
      <c r="BB26">
        <v>30.81354516129032</v>
      </c>
      <c r="BC26">
        <v>29.63081935483872</v>
      </c>
      <c r="BD26">
        <v>999.9000000000003</v>
      </c>
      <c r="BE26">
        <v>0</v>
      </c>
      <c r="BF26">
        <v>0</v>
      </c>
      <c r="BG26">
        <v>4993.66129032258</v>
      </c>
      <c r="BH26">
        <v>1.61733935483871</v>
      </c>
      <c r="BI26">
        <v>1950.742258064516</v>
      </c>
      <c r="BJ26">
        <v>0.8073710967741935</v>
      </c>
      <c r="BK26">
        <v>448.0214193548388</v>
      </c>
      <c r="BL26">
        <v>445.3469032258065</v>
      </c>
      <c r="BM26">
        <v>4.150846451612902</v>
      </c>
      <c r="BN26">
        <v>444.0865483870967</v>
      </c>
      <c r="BO26">
        <v>2.830194193548387</v>
      </c>
      <c r="BP26">
        <v>0.6998333548387098</v>
      </c>
      <c r="BQ26">
        <v>0.2837204193548387</v>
      </c>
      <c r="BR26">
        <v>1.822970967741936</v>
      </c>
      <c r="BS26">
        <v>-10.1729</v>
      </c>
      <c r="BT26">
        <v>0</v>
      </c>
      <c r="BU26">
        <v>0</v>
      </c>
      <c r="BV26">
        <v>0</v>
      </c>
      <c r="BW26">
        <v>34</v>
      </c>
      <c r="BX26">
        <v>51</v>
      </c>
      <c r="BY26">
        <v>1773196010</v>
      </c>
      <c r="BZ26" t="s">
        <v>332</v>
      </c>
      <c r="CA26">
        <v>1773196010</v>
      </c>
      <c r="CB26">
        <v>1773196005.5</v>
      </c>
      <c r="CC26">
        <v>2</v>
      </c>
      <c r="CD26">
        <v>-0.279</v>
      </c>
      <c r="CE26">
        <v>-0.021</v>
      </c>
      <c r="CF26">
        <v>6.231</v>
      </c>
      <c r="CG26">
        <v>0.081</v>
      </c>
      <c r="CH26">
        <v>432</v>
      </c>
      <c r="CI26">
        <v>21</v>
      </c>
      <c r="CJ26">
        <v>0.03</v>
      </c>
      <c r="CK26">
        <v>0.06</v>
      </c>
      <c r="CL26">
        <v>444.0884666666667</v>
      </c>
      <c r="CM26">
        <v>0.05563515016651151</v>
      </c>
      <c r="CN26">
        <v>0.03062758379123353</v>
      </c>
      <c r="CO26">
        <v>-1</v>
      </c>
      <c r="CP26">
        <v>499.9765</v>
      </c>
      <c r="CQ26">
        <v>0.08486763070138874</v>
      </c>
      <c r="CR26">
        <v>0.05576841997642554</v>
      </c>
      <c r="CS26">
        <v>-1</v>
      </c>
      <c r="CT26">
        <v>0</v>
      </c>
      <c r="CU26">
        <v>0</v>
      </c>
      <c r="CV26" t="s">
        <v>333</v>
      </c>
      <c r="CW26">
        <v>3.16844</v>
      </c>
      <c r="CX26">
        <v>2.66575</v>
      </c>
      <c r="CY26">
        <v>0.104367</v>
      </c>
      <c r="CZ26">
        <v>0.105357</v>
      </c>
      <c r="DA26">
        <v>0.0437441</v>
      </c>
      <c r="DB26">
        <v>0.0204274</v>
      </c>
      <c r="DC26">
        <v>21417.7</v>
      </c>
      <c r="DD26">
        <v>21876.3</v>
      </c>
      <c r="DE26">
        <v>23038.9</v>
      </c>
      <c r="DF26">
        <v>22375.9</v>
      </c>
      <c r="DG26">
        <v>33294.5</v>
      </c>
      <c r="DH26">
        <v>30899.3</v>
      </c>
      <c r="DI26">
        <v>40513.3</v>
      </c>
      <c r="DJ26">
        <v>37027.1</v>
      </c>
      <c r="DK26">
        <v>2.06532</v>
      </c>
      <c r="DL26">
        <v>1.65708</v>
      </c>
      <c r="DM26">
        <v>-0.103396</v>
      </c>
      <c r="DN26">
        <v>0</v>
      </c>
      <c r="DO26">
        <v>31.3255</v>
      </c>
      <c r="DP26">
        <v>999.9</v>
      </c>
      <c r="DQ26">
        <v>54.6</v>
      </c>
      <c r="DR26">
        <v>29.4</v>
      </c>
      <c r="DS26">
        <v>22.4179</v>
      </c>
      <c r="DT26">
        <v>30.37</v>
      </c>
      <c r="DU26">
        <v>11.7548</v>
      </c>
      <c r="DV26">
        <v>1</v>
      </c>
      <c r="DW26">
        <v>0.539169</v>
      </c>
      <c r="DX26">
        <v>2.03499</v>
      </c>
      <c r="DY26">
        <v>20.3491</v>
      </c>
      <c r="DZ26">
        <v>5.2101</v>
      </c>
      <c r="EA26">
        <v>11.8542</v>
      </c>
      <c r="EB26">
        <v>4.96772</v>
      </c>
      <c r="EC26">
        <v>3.29264</v>
      </c>
      <c r="ED26">
        <v>879.4</v>
      </c>
      <c r="EE26">
        <v>9999</v>
      </c>
      <c r="EF26">
        <v>9999</v>
      </c>
      <c r="EG26">
        <v>76.2</v>
      </c>
      <c r="EH26">
        <v>4.97165</v>
      </c>
      <c r="EI26">
        <v>1.87195</v>
      </c>
      <c r="EJ26">
        <v>1.8692</v>
      </c>
      <c r="EK26">
        <v>1.87156</v>
      </c>
      <c r="EL26">
        <v>1.86935</v>
      </c>
      <c r="EM26">
        <v>1.86824</v>
      </c>
      <c r="EN26">
        <v>1.87005</v>
      </c>
      <c r="EO26">
        <v>1.87183</v>
      </c>
      <c r="EP26">
        <v>0</v>
      </c>
      <c r="EQ26">
        <v>0</v>
      </c>
      <c r="ER26">
        <v>0</v>
      </c>
      <c r="ES26">
        <v>0</v>
      </c>
      <c r="ET26" t="s">
        <v>334</v>
      </c>
      <c r="EU26" t="s">
        <v>335</v>
      </c>
      <c r="EV26" t="s">
        <v>336</v>
      </c>
      <c r="EW26" t="s">
        <v>336</v>
      </c>
      <c r="EX26" t="s">
        <v>336</v>
      </c>
      <c r="EY26" t="s">
        <v>336</v>
      </c>
      <c r="EZ26">
        <v>0</v>
      </c>
      <c r="FA26">
        <v>100</v>
      </c>
      <c r="FB26">
        <v>100</v>
      </c>
      <c r="FC26">
        <v>6.231</v>
      </c>
      <c r="FD26">
        <v>0.0806</v>
      </c>
      <c r="FE26">
        <v>6.23135000000002</v>
      </c>
      <c r="FF26">
        <v>0</v>
      </c>
      <c r="FG26">
        <v>0</v>
      </c>
      <c r="FH26">
        <v>0</v>
      </c>
      <c r="FI26">
        <v>0.08059047619047632</v>
      </c>
      <c r="FJ26">
        <v>0</v>
      </c>
      <c r="FK26">
        <v>0</v>
      </c>
      <c r="FL26">
        <v>0</v>
      </c>
      <c r="FM26">
        <v>-1</v>
      </c>
      <c r="FN26">
        <v>-1</v>
      </c>
      <c r="FO26">
        <v>-1</v>
      </c>
      <c r="FP26">
        <v>-1</v>
      </c>
      <c r="FQ26">
        <v>10.5</v>
      </c>
      <c r="FR26">
        <v>10.6</v>
      </c>
      <c r="FS26">
        <v>0.145264</v>
      </c>
      <c r="FT26">
        <v>4.99756</v>
      </c>
      <c r="FU26">
        <v>1.5979</v>
      </c>
      <c r="FV26">
        <v>2.16187</v>
      </c>
      <c r="FW26">
        <v>1.54785</v>
      </c>
      <c r="FX26">
        <v>2.41943</v>
      </c>
      <c r="FY26">
        <v>36.8604</v>
      </c>
      <c r="FZ26">
        <v>16.1634</v>
      </c>
      <c r="GA26">
        <v>3</v>
      </c>
      <c r="GB26">
        <v>509.544</v>
      </c>
      <c r="GC26">
        <v>346.014</v>
      </c>
      <c r="GD26">
        <v>29.182</v>
      </c>
      <c r="GE26">
        <v>33.7681</v>
      </c>
      <c r="GF26">
        <v>30.0024</v>
      </c>
      <c r="GG26">
        <v>33.0254</v>
      </c>
      <c r="GH26">
        <v>32.8816</v>
      </c>
      <c r="GI26">
        <v>-1</v>
      </c>
      <c r="GJ26">
        <v>100</v>
      </c>
      <c r="GK26">
        <v>0</v>
      </c>
      <c r="GL26">
        <v>29.1784</v>
      </c>
      <c r="GM26">
        <v>1200</v>
      </c>
      <c r="GN26">
        <v>19.4378</v>
      </c>
      <c r="GO26">
        <v>101.957</v>
      </c>
      <c r="GP26">
        <v>96.67189999999999</v>
      </c>
    </row>
    <row r="27" spans="1:198">
      <c r="A27">
        <v>11</v>
      </c>
      <c r="B27">
        <v>1773196700</v>
      </c>
      <c r="C27">
        <v>600</v>
      </c>
      <c r="D27" t="s">
        <v>355</v>
      </c>
      <c r="E27" t="s">
        <v>356</v>
      </c>
      <c r="F27">
        <v>15</v>
      </c>
      <c r="G27">
        <v>1773196692</v>
      </c>
      <c r="H27">
        <f>(I27)/1000</f>
        <v>0</v>
      </c>
      <c r="I27">
        <f>1000*AY27*AG27*(AU27-AV27)/(100*AN27*(1000-AG27*AU27))</f>
        <v>0</v>
      </c>
      <c r="J27">
        <f>AY27*AG27*(AT27-AS27*(1000-AG27*AV27)/(1000-AG27*AU27))/(100*AN27)</f>
        <v>0</v>
      </c>
      <c r="K27">
        <f>AS27 - IF(AG27&gt;1, J27*AN27*100.0/(AI27), 0)</f>
        <v>0</v>
      </c>
      <c r="L27">
        <f>((R27-H27/2)*K27-J27)/(R27+H27/2)</f>
        <v>0</v>
      </c>
      <c r="M27">
        <f>L27*(AZ27+BA27)/1000.0</f>
        <v>0</v>
      </c>
      <c r="N27">
        <f>(AS27 - IF(AG27&gt;1, J27*AN27*100.0/(AI27), 0))*(AZ27+BA27)/1000.0</f>
        <v>0</v>
      </c>
      <c r="O27">
        <f>2.0/((1/Q27-1/P27)+SIGN(Q27)*SQRT((1/Q27-1/P27)*(1/Q27-1/P27) + 4*AO27/((AO27+1)*(AO27+1))*(2*1/Q27*1/P27-1/P27*1/P27)))</f>
        <v>0</v>
      </c>
      <c r="P27">
        <f>IF(LEFT(AP27,1)&lt;&gt;"0",IF(LEFT(AP27,1)="1",3.0,AQ27),$D$5+$E$5*(BG27*AZ27/($K$5*1000))+$F$5*(BG27*AZ27/($K$5*1000))*MAX(MIN(AN27,$J$5),$I$5)*MAX(MIN(AN27,$J$5),$I$5)+$G$5*MAX(MIN(AN27,$J$5),$I$5)*(BG27*AZ27/($K$5*1000))+$H$5*(BG27*AZ27/($K$5*1000))*(BG27*AZ27/($K$5*1000)))</f>
        <v>0</v>
      </c>
      <c r="Q27">
        <f>H27*(1000-(1000*0.61365*exp(17.502*U27/(240.97+U27))/(AZ27+BA27)+AU27)/2)/(1000*0.61365*exp(17.502*U27/(240.97+U27))/(AZ27+BA27)-AU27)</f>
        <v>0</v>
      </c>
      <c r="R27">
        <f>1/((AO27+1)/(O27/1.6)+1/(P27/1.37)) + AO27/((AO27+1)/(O27/1.6) + AO27/(P27/1.37))</f>
        <v>0</v>
      </c>
      <c r="S27">
        <f>(AJ27*AM27)</f>
        <v>0</v>
      </c>
      <c r="T27">
        <f>(BB27+(S27+2*0.95*5.67E-8*(((BB27+$B$7)+273)^4-(BB27+273)^4)-44100*H27)/(1.84*29.3*P27+8*0.95*5.67E-8*(BB27+273)^3))</f>
        <v>0</v>
      </c>
      <c r="U27">
        <f>($C$7*BC27+$D$7*BD27+$E$7*T27)</f>
        <v>0</v>
      </c>
      <c r="V27">
        <f>0.61365*exp(17.502*U27/(240.97+U27))</f>
        <v>0</v>
      </c>
      <c r="W27">
        <f>(X27/Y27*100)</f>
        <v>0</v>
      </c>
      <c r="X27">
        <f>AU27*(AZ27+BA27)/1000</f>
        <v>0</v>
      </c>
      <c r="Y27">
        <f>0.61365*exp(17.502*BB27/(240.97+BB27))</f>
        <v>0</v>
      </c>
      <c r="Z27">
        <f>(V27-AU27*(AZ27+BA27)/1000)</f>
        <v>0</v>
      </c>
      <c r="AA27">
        <f>(-H27*44100)</f>
        <v>0</v>
      </c>
      <c r="AB27">
        <f>2*29.3*P27*0.92*(BB27-U27)</f>
        <v>0</v>
      </c>
      <c r="AC27">
        <f>2*0.95*5.67E-8*(((BB27+$B$7)+273)^4-(U27+273)^4)</f>
        <v>0</v>
      </c>
      <c r="AD27">
        <f>S27+AC27+AA27+AB27</f>
        <v>0</v>
      </c>
      <c r="AE27">
        <v>0</v>
      </c>
      <c r="AF27">
        <v>0</v>
      </c>
      <c r="AG27">
        <f>IF(AE27*$H$13&gt;=AI27,1.0,(AI27/(AI27-AE27*$H$13)))</f>
        <v>0</v>
      </c>
      <c r="AH27">
        <f>(AG27-1)*100</f>
        <v>0</v>
      </c>
      <c r="AI27">
        <f>MAX(0,($B$13+$C$13*BG27)/(1+$D$13*BG27)*AZ27/(BB27+273)*$E$13)</f>
        <v>0</v>
      </c>
      <c r="AJ27">
        <f>$B$11*BH27+$C$11*BI27+$D$11*BT27</f>
        <v>0</v>
      </c>
      <c r="AK27">
        <f>AJ27*AL27</f>
        <v>0</v>
      </c>
      <c r="AL27">
        <f>($B$11*$D$9+$C$11*$D$9+$D$11*(BU27*$E$9+BV27*$G$9))/($B$11+$C$11+$D$11)</f>
        <v>0</v>
      </c>
      <c r="AM27">
        <f>($B$11*$K$9+$C$11*$K$9+$D$11*(BU27*$L$9+BV27*$N$9))/($B$11+$C$11+$D$11)</f>
        <v>0</v>
      </c>
      <c r="AN27">
        <v>3</v>
      </c>
      <c r="AO27">
        <v>0.5</v>
      </c>
      <c r="AP27" t="s">
        <v>331</v>
      </c>
      <c r="AQ27">
        <v>2</v>
      </c>
      <c r="AR27">
        <v>1773196692</v>
      </c>
      <c r="AS27">
        <v>444.661935483871</v>
      </c>
      <c r="AT27">
        <v>443.4945483870968</v>
      </c>
      <c r="AU27">
        <v>6.660692258064516</v>
      </c>
      <c r="AV27">
        <v>2.952865806451613</v>
      </c>
      <c r="AW27">
        <v>438.4306129032259</v>
      </c>
      <c r="AX27">
        <v>6.580101612903226</v>
      </c>
      <c r="AY27">
        <v>500.0040967741936</v>
      </c>
      <c r="AZ27">
        <v>100.2482903225806</v>
      </c>
      <c r="BA27">
        <v>0.04387365806451612</v>
      </c>
      <c r="BB27">
        <v>30.84392258064516</v>
      </c>
      <c r="BC27">
        <v>29.77690645161291</v>
      </c>
      <c r="BD27">
        <v>999.9000000000003</v>
      </c>
      <c r="BE27">
        <v>0</v>
      </c>
      <c r="BF27">
        <v>0</v>
      </c>
      <c r="BG27">
        <v>4997.419354838709</v>
      </c>
      <c r="BH27">
        <v>1.633736451612903</v>
      </c>
      <c r="BI27">
        <v>1905.722903225806</v>
      </c>
      <c r="BJ27">
        <v>1.167370645161291</v>
      </c>
      <c r="BK27">
        <v>447.6435806451613</v>
      </c>
      <c r="BL27">
        <v>444.8080645161291</v>
      </c>
      <c r="BM27">
        <v>3.707828387096774</v>
      </c>
      <c r="BN27">
        <v>443.4945483870968</v>
      </c>
      <c r="BO27">
        <v>2.952865806451613</v>
      </c>
      <c r="BP27">
        <v>0.6677237096774192</v>
      </c>
      <c r="BQ27">
        <v>0.2960200322580646</v>
      </c>
      <c r="BR27">
        <v>1.168283870967742</v>
      </c>
      <c r="BS27">
        <v>-9.635656774193547</v>
      </c>
      <c r="BT27">
        <v>0</v>
      </c>
      <c r="BU27">
        <v>0</v>
      </c>
      <c r="BV27">
        <v>0</v>
      </c>
      <c r="BW27">
        <v>34.99462580645162</v>
      </c>
      <c r="BX27">
        <v>50</v>
      </c>
      <c r="BY27">
        <v>1773196010</v>
      </c>
      <c r="BZ27" t="s">
        <v>332</v>
      </c>
      <c r="CA27">
        <v>1773196010</v>
      </c>
      <c r="CB27">
        <v>1773196005.5</v>
      </c>
      <c r="CC27">
        <v>2</v>
      </c>
      <c r="CD27">
        <v>-0.279</v>
      </c>
      <c r="CE27">
        <v>-0.021</v>
      </c>
      <c r="CF27">
        <v>6.231</v>
      </c>
      <c r="CG27">
        <v>0.081</v>
      </c>
      <c r="CH27">
        <v>432</v>
      </c>
      <c r="CI27">
        <v>21</v>
      </c>
      <c r="CJ27">
        <v>0.03</v>
      </c>
      <c r="CK27">
        <v>0.06</v>
      </c>
      <c r="CL27">
        <v>443.5055333333333</v>
      </c>
      <c r="CM27">
        <v>-0.903083426028382</v>
      </c>
      <c r="CN27">
        <v>0.06721990445958054</v>
      </c>
      <c r="CO27">
        <v>-1</v>
      </c>
      <c r="CP27">
        <v>500.0066</v>
      </c>
      <c r="CQ27">
        <v>-0.04677196885580357</v>
      </c>
      <c r="CR27">
        <v>0.01625340989864278</v>
      </c>
      <c r="CS27">
        <v>-1</v>
      </c>
      <c r="CT27">
        <v>0</v>
      </c>
      <c r="CU27">
        <v>0</v>
      </c>
      <c r="CV27" t="s">
        <v>333</v>
      </c>
      <c r="CW27">
        <v>3.16844</v>
      </c>
      <c r="CX27">
        <v>2.66492</v>
      </c>
      <c r="CY27">
        <v>0.104192</v>
      </c>
      <c r="CZ27">
        <v>0.105138</v>
      </c>
      <c r="DA27">
        <v>0.0420594</v>
      </c>
      <c r="DB27">
        <v>0.0212008</v>
      </c>
      <c r="DC27">
        <v>21408.1</v>
      </c>
      <c r="DD27">
        <v>21872.3</v>
      </c>
      <c r="DE27">
        <v>23025.3</v>
      </c>
      <c r="DF27">
        <v>22367.3</v>
      </c>
      <c r="DG27">
        <v>33335.1</v>
      </c>
      <c r="DH27">
        <v>30861.4</v>
      </c>
      <c r="DI27">
        <v>40492.3</v>
      </c>
      <c r="DJ27">
        <v>37011.7</v>
      </c>
      <c r="DK27">
        <v>2.06218</v>
      </c>
      <c r="DL27">
        <v>1.6508</v>
      </c>
      <c r="DM27">
        <v>-0.0973642</v>
      </c>
      <c r="DN27">
        <v>0</v>
      </c>
      <c r="DO27">
        <v>31.3729</v>
      </c>
      <c r="DP27">
        <v>999.9</v>
      </c>
      <c r="DQ27">
        <v>53.9</v>
      </c>
      <c r="DR27">
        <v>29.8</v>
      </c>
      <c r="DS27">
        <v>22.6432</v>
      </c>
      <c r="DT27">
        <v>30.37</v>
      </c>
      <c r="DU27">
        <v>11.5946</v>
      </c>
      <c r="DV27">
        <v>1</v>
      </c>
      <c r="DW27">
        <v>0.5673899999999999</v>
      </c>
      <c r="DX27">
        <v>2.11784</v>
      </c>
      <c r="DY27">
        <v>20.3473</v>
      </c>
      <c r="DZ27">
        <v>5.21058</v>
      </c>
      <c r="EA27">
        <v>11.8542</v>
      </c>
      <c r="EB27">
        <v>4.9678</v>
      </c>
      <c r="EC27">
        <v>3.29258</v>
      </c>
      <c r="ED27">
        <v>879.4</v>
      </c>
      <c r="EE27">
        <v>9999</v>
      </c>
      <c r="EF27">
        <v>9999</v>
      </c>
      <c r="EG27">
        <v>76.2</v>
      </c>
      <c r="EH27">
        <v>4.97163</v>
      </c>
      <c r="EI27">
        <v>1.87195</v>
      </c>
      <c r="EJ27">
        <v>1.8692</v>
      </c>
      <c r="EK27">
        <v>1.87159</v>
      </c>
      <c r="EL27">
        <v>1.86935</v>
      </c>
      <c r="EM27">
        <v>1.86826</v>
      </c>
      <c r="EN27">
        <v>1.87009</v>
      </c>
      <c r="EO27">
        <v>1.87188</v>
      </c>
      <c r="EP27">
        <v>0</v>
      </c>
      <c r="EQ27">
        <v>0</v>
      </c>
      <c r="ER27">
        <v>0</v>
      </c>
      <c r="ES27">
        <v>0</v>
      </c>
      <c r="ET27" t="s">
        <v>334</v>
      </c>
      <c r="EU27" t="s">
        <v>335</v>
      </c>
      <c r="EV27" t="s">
        <v>336</v>
      </c>
      <c r="EW27" t="s">
        <v>336</v>
      </c>
      <c r="EX27" t="s">
        <v>336</v>
      </c>
      <c r="EY27" t="s">
        <v>336</v>
      </c>
      <c r="EZ27">
        <v>0</v>
      </c>
      <c r="FA27">
        <v>100</v>
      </c>
      <c r="FB27">
        <v>100</v>
      </c>
      <c r="FC27">
        <v>6.231</v>
      </c>
      <c r="FD27">
        <v>0.0806</v>
      </c>
      <c r="FE27">
        <v>6.23135000000002</v>
      </c>
      <c r="FF27">
        <v>0</v>
      </c>
      <c r="FG27">
        <v>0</v>
      </c>
      <c r="FH27">
        <v>0</v>
      </c>
      <c r="FI27">
        <v>0.08059047619047632</v>
      </c>
      <c r="FJ27">
        <v>0</v>
      </c>
      <c r="FK27">
        <v>0</v>
      </c>
      <c r="FL27">
        <v>0</v>
      </c>
      <c r="FM27">
        <v>-1</v>
      </c>
      <c r="FN27">
        <v>-1</v>
      </c>
      <c r="FO27">
        <v>-1</v>
      </c>
      <c r="FP27">
        <v>-1</v>
      </c>
      <c r="FQ27">
        <v>11.5</v>
      </c>
      <c r="FR27">
        <v>11.6</v>
      </c>
      <c r="FS27">
        <v>0.145264</v>
      </c>
      <c r="FT27">
        <v>4.99756</v>
      </c>
      <c r="FU27">
        <v>1.5979</v>
      </c>
      <c r="FV27">
        <v>2.1582</v>
      </c>
      <c r="FW27">
        <v>1.54785</v>
      </c>
      <c r="FX27">
        <v>2.33521</v>
      </c>
      <c r="FY27">
        <v>37.2899</v>
      </c>
      <c r="FZ27">
        <v>16.1371</v>
      </c>
      <c r="GA27">
        <v>3</v>
      </c>
      <c r="GB27">
        <v>510.471</v>
      </c>
      <c r="GC27">
        <v>344.776</v>
      </c>
      <c r="GD27">
        <v>29.3497</v>
      </c>
      <c r="GE27">
        <v>34.0886</v>
      </c>
      <c r="GF27">
        <v>30.0024</v>
      </c>
      <c r="GG27">
        <v>33.4035</v>
      </c>
      <c r="GH27">
        <v>33.2731</v>
      </c>
      <c r="GI27">
        <v>-1</v>
      </c>
      <c r="GJ27">
        <v>100</v>
      </c>
      <c r="GK27">
        <v>0</v>
      </c>
      <c r="GL27">
        <v>29.3202</v>
      </c>
      <c r="GM27">
        <v>1200</v>
      </c>
      <c r="GN27">
        <v>19.4378</v>
      </c>
      <c r="GO27">
        <v>101.901</v>
      </c>
      <c r="GP27">
        <v>96.63290000000001</v>
      </c>
    </row>
    <row r="28" spans="1:198">
      <c r="A28">
        <v>12</v>
      </c>
      <c r="B28">
        <v>1773196760</v>
      </c>
      <c r="C28">
        <v>660</v>
      </c>
      <c r="D28" t="s">
        <v>357</v>
      </c>
      <c r="E28" t="s">
        <v>358</v>
      </c>
      <c r="F28">
        <v>15</v>
      </c>
      <c r="G28">
        <v>1773196752</v>
      </c>
      <c r="H28">
        <f>(I28)/1000</f>
        <v>0</v>
      </c>
      <c r="I28">
        <f>1000*AY28*AG28*(AU28-AV28)/(100*AN28*(1000-AG28*AU28))</f>
        <v>0</v>
      </c>
      <c r="J28">
        <f>AY28*AG28*(AT28-AS28*(1000-AG28*AV28)/(1000-AG28*AU28))/(100*AN28)</f>
        <v>0</v>
      </c>
      <c r="K28">
        <f>AS28 - IF(AG28&gt;1, J28*AN28*100.0/(AI28), 0)</f>
        <v>0</v>
      </c>
      <c r="L28">
        <f>((R28-H28/2)*K28-J28)/(R28+H28/2)</f>
        <v>0</v>
      </c>
      <c r="M28">
        <f>L28*(AZ28+BA28)/1000.0</f>
        <v>0</v>
      </c>
      <c r="N28">
        <f>(AS28 - IF(AG28&gt;1, J28*AN28*100.0/(AI28), 0))*(AZ28+BA28)/1000.0</f>
        <v>0</v>
      </c>
      <c r="O28">
        <f>2.0/((1/Q28-1/P28)+SIGN(Q28)*SQRT((1/Q28-1/P28)*(1/Q28-1/P28) + 4*AO28/((AO28+1)*(AO28+1))*(2*1/Q28*1/P28-1/P28*1/P28)))</f>
        <v>0</v>
      </c>
      <c r="P28">
        <f>IF(LEFT(AP28,1)&lt;&gt;"0",IF(LEFT(AP28,1)="1",3.0,AQ28),$D$5+$E$5*(BG28*AZ28/($K$5*1000))+$F$5*(BG28*AZ28/($K$5*1000))*MAX(MIN(AN28,$J$5),$I$5)*MAX(MIN(AN28,$J$5),$I$5)+$G$5*MAX(MIN(AN28,$J$5),$I$5)*(BG28*AZ28/($K$5*1000))+$H$5*(BG28*AZ28/($K$5*1000))*(BG28*AZ28/($K$5*1000)))</f>
        <v>0</v>
      </c>
      <c r="Q28">
        <f>H28*(1000-(1000*0.61365*exp(17.502*U28/(240.97+U28))/(AZ28+BA28)+AU28)/2)/(1000*0.61365*exp(17.502*U28/(240.97+U28))/(AZ28+BA28)-AU28)</f>
        <v>0</v>
      </c>
      <c r="R28">
        <f>1/((AO28+1)/(O28/1.6)+1/(P28/1.37)) + AO28/((AO28+1)/(O28/1.6) + AO28/(P28/1.37))</f>
        <v>0</v>
      </c>
      <c r="S28">
        <f>(AJ28*AM28)</f>
        <v>0</v>
      </c>
      <c r="T28">
        <f>(BB28+(S28+2*0.95*5.67E-8*(((BB28+$B$7)+273)^4-(BB28+273)^4)-44100*H28)/(1.84*29.3*P28+8*0.95*5.67E-8*(BB28+273)^3))</f>
        <v>0</v>
      </c>
      <c r="U28">
        <f>($C$7*BC28+$D$7*BD28+$E$7*T28)</f>
        <v>0</v>
      </c>
      <c r="V28">
        <f>0.61365*exp(17.502*U28/(240.97+U28))</f>
        <v>0</v>
      </c>
      <c r="W28">
        <f>(X28/Y28*100)</f>
        <v>0</v>
      </c>
      <c r="X28">
        <f>AU28*(AZ28+BA28)/1000</f>
        <v>0</v>
      </c>
      <c r="Y28">
        <f>0.61365*exp(17.502*BB28/(240.97+BB28))</f>
        <v>0</v>
      </c>
      <c r="Z28">
        <f>(V28-AU28*(AZ28+BA28)/1000)</f>
        <v>0</v>
      </c>
      <c r="AA28">
        <f>(-H28*44100)</f>
        <v>0</v>
      </c>
      <c r="AB28">
        <f>2*29.3*P28*0.92*(BB28-U28)</f>
        <v>0</v>
      </c>
      <c r="AC28">
        <f>2*0.95*5.67E-8*(((BB28+$B$7)+273)^4-(U28+273)^4)</f>
        <v>0</v>
      </c>
      <c r="AD28">
        <f>S28+AC28+AA28+AB28</f>
        <v>0</v>
      </c>
      <c r="AE28">
        <v>0</v>
      </c>
      <c r="AF28">
        <v>0</v>
      </c>
      <c r="AG28">
        <f>IF(AE28*$H$13&gt;=AI28,1.0,(AI28/(AI28-AE28*$H$13)))</f>
        <v>0</v>
      </c>
      <c r="AH28">
        <f>(AG28-1)*100</f>
        <v>0</v>
      </c>
      <c r="AI28">
        <f>MAX(0,($B$13+$C$13*BG28)/(1+$D$13*BG28)*AZ28/(BB28+273)*$E$13)</f>
        <v>0</v>
      </c>
      <c r="AJ28">
        <f>$B$11*BH28+$C$11*BI28+$D$11*BT28</f>
        <v>0</v>
      </c>
      <c r="AK28">
        <f>AJ28*AL28</f>
        <v>0</v>
      </c>
      <c r="AL28">
        <f>($B$11*$D$9+$C$11*$D$9+$D$11*(BU28*$E$9+BV28*$G$9))/($B$11+$C$11+$D$11)</f>
        <v>0</v>
      </c>
      <c r="AM28">
        <f>($B$11*$K$9+$C$11*$K$9+$D$11*(BU28*$L$9+BV28*$N$9))/($B$11+$C$11+$D$11)</f>
        <v>0</v>
      </c>
      <c r="AN28">
        <v>3</v>
      </c>
      <c r="AO28">
        <v>0.5</v>
      </c>
      <c r="AP28" t="s">
        <v>331</v>
      </c>
      <c r="AQ28">
        <v>2</v>
      </c>
      <c r="AR28">
        <v>1773196752</v>
      </c>
      <c r="AS28">
        <v>443.396935483871</v>
      </c>
      <c r="AT28">
        <v>442.038806451613</v>
      </c>
      <c r="AU28">
        <v>6.413139677419356</v>
      </c>
      <c r="AV28">
        <v>3.08885935483871</v>
      </c>
      <c r="AW28">
        <v>437.1656774193549</v>
      </c>
      <c r="AX28">
        <v>6.332549677419355</v>
      </c>
      <c r="AY28">
        <v>499.9983548387096</v>
      </c>
      <c r="AZ28">
        <v>100.2505806451613</v>
      </c>
      <c r="BA28">
        <v>0.04428975806451613</v>
      </c>
      <c r="BB28">
        <v>30.81581612903226</v>
      </c>
      <c r="BC28">
        <v>29.86194516129033</v>
      </c>
      <c r="BD28">
        <v>999.9000000000003</v>
      </c>
      <c r="BE28">
        <v>0</v>
      </c>
      <c r="BF28">
        <v>0</v>
      </c>
      <c r="BG28">
        <v>5002.274193548387</v>
      </c>
      <c r="BH28">
        <v>1.599863225806451</v>
      </c>
      <c r="BI28">
        <v>1909.947096774194</v>
      </c>
      <c r="BJ28">
        <v>1.358236451612903</v>
      </c>
      <c r="BK28">
        <v>446.259</v>
      </c>
      <c r="BL28">
        <v>443.4083548387098</v>
      </c>
      <c r="BM28">
        <v>3.32428064516129</v>
      </c>
      <c r="BN28">
        <v>442.038806451613</v>
      </c>
      <c r="BO28">
        <v>3.08885935483871</v>
      </c>
      <c r="BP28">
        <v>0.6429210322580644</v>
      </c>
      <c r="BQ28">
        <v>0.309660064516129</v>
      </c>
      <c r="BR28">
        <v>0.6432336774193549</v>
      </c>
      <c r="BS28">
        <v>-9.062633548387096</v>
      </c>
      <c r="BT28">
        <v>0</v>
      </c>
      <c r="BU28">
        <v>0</v>
      </c>
      <c r="BV28">
        <v>0</v>
      </c>
      <c r="BW28">
        <v>35</v>
      </c>
      <c r="BX28">
        <v>50</v>
      </c>
      <c r="BY28">
        <v>1773196010</v>
      </c>
      <c r="BZ28" t="s">
        <v>332</v>
      </c>
      <c r="CA28">
        <v>1773196010</v>
      </c>
      <c r="CB28">
        <v>1773196005.5</v>
      </c>
      <c r="CC28">
        <v>2</v>
      </c>
      <c r="CD28">
        <v>-0.279</v>
      </c>
      <c r="CE28">
        <v>-0.021</v>
      </c>
      <c r="CF28">
        <v>6.231</v>
      </c>
      <c r="CG28">
        <v>0.081</v>
      </c>
      <c r="CH28">
        <v>432</v>
      </c>
      <c r="CI28">
        <v>21</v>
      </c>
      <c r="CJ28">
        <v>0.03</v>
      </c>
      <c r="CK28">
        <v>0.06</v>
      </c>
      <c r="CL28">
        <v>442.0475806451613</v>
      </c>
      <c r="CM28">
        <v>-1.048403225807968</v>
      </c>
      <c r="CN28">
        <v>0.07949468401522861</v>
      </c>
      <c r="CO28">
        <v>-1</v>
      </c>
      <c r="CP28">
        <v>499.9978709677419</v>
      </c>
      <c r="CQ28">
        <v>0.04620967741837132</v>
      </c>
      <c r="CR28">
        <v>0.02891560794682623</v>
      </c>
      <c r="CS28">
        <v>-1</v>
      </c>
      <c r="CT28">
        <v>0</v>
      </c>
      <c r="CU28">
        <v>0</v>
      </c>
      <c r="CV28" t="s">
        <v>333</v>
      </c>
      <c r="CW28">
        <v>3.16853</v>
      </c>
      <c r="CX28">
        <v>2.66528</v>
      </c>
      <c r="CY28">
        <v>0.103871</v>
      </c>
      <c r="CZ28">
        <v>0.104782</v>
      </c>
      <c r="DA28">
        <v>0.0407618</v>
      </c>
      <c r="DB28">
        <v>0.0220524</v>
      </c>
      <c r="DC28">
        <v>21403.5</v>
      </c>
      <c r="DD28">
        <v>21872.4</v>
      </c>
      <c r="DE28">
        <v>23013.4</v>
      </c>
      <c r="DF28">
        <v>22359.3</v>
      </c>
      <c r="DG28">
        <v>33364.2</v>
      </c>
      <c r="DH28">
        <v>30822.2</v>
      </c>
      <c r="DI28">
        <v>40473.6</v>
      </c>
      <c r="DJ28">
        <v>36997.6</v>
      </c>
      <c r="DK28">
        <v>2.05934</v>
      </c>
      <c r="DL28">
        <v>1.644</v>
      </c>
      <c r="DM28">
        <v>-0.0966311</v>
      </c>
      <c r="DN28">
        <v>0</v>
      </c>
      <c r="DO28">
        <v>31.4433</v>
      </c>
      <c r="DP28">
        <v>999.9</v>
      </c>
      <c r="DQ28">
        <v>53.1</v>
      </c>
      <c r="DR28">
        <v>30.1</v>
      </c>
      <c r="DS28">
        <v>22.6963</v>
      </c>
      <c r="DT28">
        <v>30.43</v>
      </c>
      <c r="DU28">
        <v>11.7468</v>
      </c>
      <c r="DV28">
        <v>1</v>
      </c>
      <c r="DW28">
        <v>0.593852</v>
      </c>
      <c r="DX28">
        <v>2.34444</v>
      </c>
      <c r="DY28">
        <v>20.3427</v>
      </c>
      <c r="DZ28">
        <v>5.20651</v>
      </c>
      <c r="EA28">
        <v>11.8542</v>
      </c>
      <c r="EB28">
        <v>4.96724</v>
      </c>
      <c r="EC28">
        <v>3.29206</v>
      </c>
      <c r="ED28">
        <v>879.4</v>
      </c>
      <c r="EE28">
        <v>9999</v>
      </c>
      <c r="EF28">
        <v>9999</v>
      </c>
      <c r="EG28">
        <v>76.2</v>
      </c>
      <c r="EH28">
        <v>4.97164</v>
      </c>
      <c r="EI28">
        <v>1.87196</v>
      </c>
      <c r="EJ28">
        <v>1.8692</v>
      </c>
      <c r="EK28">
        <v>1.87158</v>
      </c>
      <c r="EL28">
        <v>1.86935</v>
      </c>
      <c r="EM28">
        <v>1.86827</v>
      </c>
      <c r="EN28">
        <v>1.8701</v>
      </c>
      <c r="EO28">
        <v>1.8719</v>
      </c>
      <c r="EP28">
        <v>0</v>
      </c>
      <c r="EQ28">
        <v>0</v>
      </c>
      <c r="ER28">
        <v>0</v>
      </c>
      <c r="ES28">
        <v>0</v>
      </c>
      <c r="ET28" t="s">
        <v>334</v>
      </c>
      <c r="EU28" t="s">
        <v>335</v>
      </c>
      <c r="EV28" t="s">
        <v>336</v>
      </c>
      <c r="EW28" t="s">
        <v>336</v>
      </c>
      <c r="EX28" t="s">
        <v>336</v>
      </c>
      <c r="EY28" t="s">
        <v>336</v>
      </c>
      <c r="EZ28">
        <v>0</v>
      </c>
      <c r="FA28">
        <v>100</v>
      </c>
      <c r="FB28">
        <v>100</v>
      </c>
      <c r="FC28">
        <v>6.232</v>
      </c>
      <c r="FD28">
        <v>0.0806</v>
      </c>
      <c r="FE28">
        <v>6.23135000000002</v>
      </c>
      <c r="FF28">
        <v>0</v>
      </c>
      <c r="FG28">
        <v>0</v>
      </c>
      <c r="FH28">
        <v>0</v>
      </c>
      <c r="FI28">
        <v>0.08059047619047632</v>
      </c>
      <c r="FJ28">
        <v>0</v>
      </c>
      <c r="FK28">
        <v>0</v>
      </c>
      <c r="FL28">
        <v>0</v>
      </c>
      <c r="FM28">
        <v>-1</v>
      </c>
      <c r="FN28">
        <v>-1</v>
      </c>
      <c r="FO28">
        <v>-1</v>
      </c>
      <c r="FP28">
        <v>-1</v>
      </c>
      <c r="FQ28">
        <v>12.5</v>
      </c>
      <c r="FR28">
        <v>12.6</v>
      </c>
      <c r="FS28">
        <v>0.145264</v>
      </c>
      <c r="FT28">
        <v>4.99756</v>
      </c>
      <c r="FU28">
        <v>1.5979</v>
      </c>
      <c r="FV28">
        <v>2.15576</v>
      </c>
      <c r="FW28">
        <v>1.54785</v>
      </c>
      <c r="FX28">
        <v>2.34497</v>
      </c>
      <c r="FY28">
        <v>37.7228</v>
      </c>
      <c r="FZ28">
        <v>16.1371</v>
      </c>
      <c r="GA28">
        <v>3</v>
      </c>
      <c r="GB28">
        <v>511.364</v>
      </c>
      <c r="GC28">
        <v>343.113</v>
      </c>
      <c r="GD28">
        <v>28.9245</v>
      </c>
      <c r="GE28">
        <v>34.3848</v>
      </c>
      <c r="GF28">
        <v>30.0021</v>
      </c>
      <c r="GG28">
        <v>33.7549</v>
      </c>
      <c r="GH28">
        <v>33.6376</v>
      </c>
      <c r="GI28">
        <v>-1</v>
      </c>
      <c r="GJ28">
        <v>100</v>
      </c>
      <c r="GK28">
        <v>0</v>
      </c>
      <c r="GL28">
        <v>28.918</v>
      </c>
      <c r="GM28">
        <v>1200</v>
      </c>
      <c r="GN28">
        <v>19.4378</v>
      </c>
      <c r="GO28">
        <v>101.852</v>
      </c>
      <c r="GP28">
        <v>96.59699999999999</v>
      </c>
    </row>
    <row r="29" spans="1:198">
      <c r="A29">
        <v>13</v>
      </c>
      <c r="B29">
        <v>1773196820</v>
      </c>
      <c r="C29">
        <v>720</v>
      </c>
      <c r="D29" t="s">
        <v>359</v>
      </c>
      <c r="E29" t="s">
        <v>360</v>
      </c>
      <c r="F29">
        <v>15</v>
      </c>
      <c r="G29">
        <v>1773196812</v>
      </c>
      <c r="H29">
        <f>(I29)/1000</f>
        <v>0</v>
      </c>
      <c r="I29">
        <f>1000*AY29*AG29*(AU29-AV29)/(100*AN29*(1000-AG29*AU29))</f>
        <v>0</v>
      </c>
      <c r="J29">
        <f>AY29*AG29*(AT29-AS29*(1000-AG29*AV29)/(1000-AG29*AU29))/(100*AN29)</f>
        <v>0</v>
      </c>
      <c r="K29">
        <f>AS29 - IF(AG29&gt;1, J29*AN29*100.0/(AI29), 0)</f>
        <v>0</v>
      </c>
      <c r="L29">
        <f>((R29-H29/2)*K29-J29)/(R29+H29/2)</f>
        <v>0</v>
      </c>
      <c r="M29">
        <f>L29*(AZ29+BA29)/1000.0</f>
        <v>0</v>
      </c>
      <c r="N29">
        <f>(AS29 - IF(AG29&gt;1, J29*AN29*100.0/(AI29), 0))*(AZ29+BA29)/1000.0</f>
        <v>0</v>
      </c>
      <c r="O29">
        <f>2.0/((1/Q29-1/P29)+SIGN(Q29)*SQRT((1/Q29-1/P29)*(1/Q29-1/P29) + 4*AO29/((AO29+1)*(AO29+1))*(2*1/Q29*1/P29-1/P29*1/P29)))</f>
        <v>0</v>
      </c>
      <c r="P29">
        <f>IF(LEFT(AP29,1)&lt;&gt;"0",IF(LEFT(AP29,1)="1",3.0,AQ29),$D$5+$E$5*(BG29*AZ29/($K$5*1000))+$F$5*(BG29*AZ29/($K$5*1000))*MAX(MIN(AN29,$J$5),$I$5)*MAX(MIN(AN29,$J$5),$I$5)+$G$5*MAX(MIN(AN29,$J$5),$I$5)*(BG29*AZ29/($K$5*1000))+$H$5*(BG29*AZ29/($K$5*1000))*(BG29*AZ29/($K$5*1000)))</f>
        <v>0</v>
      </c>
      <c r="Q29">
        <f>H29*(1000-(1000*0.61365*exp(17.502*U29/(240.97+U29))/(AZ29+BA29)+AU29)/2)/(1000*0.61365*exp(17.502*U29/(240.97+U29))/(AZ29+BA29)-AU29)</f>
        <v>0</v>
      </c>
      <c r="R29">
        <f>1/((AO29+1)/(O29/1.6)+1/(P29/1.37)) + AO29/((AO29+1)/(O29/1.6) + AO29/(P29/1.37))</f>
        <v>0</v>
      </c>
      <c r="S29">
        <f>(AJ29*AM29)</f>
        <v>0</v>
      </c>
      <c r="T29">
        <f>(BB29+(S29+2*0.95*5.67E-8*(((BB29+$B$7)+273)^4-(BB29+273)^4)-44100*H29)/(1.84*29.3*P29+8*0.95*5.67E-8*(BB29+273)^3))</f>
        <v>0</v>
      </c>
      <c r="U29">
        <f>($C$7*BC29+$D$7*BD29+$E$7*T29)</f>
        <v>0</v>
      </c>
      <c r="V29">
        <f>0.61365*exp(17.502*U29/(240.97+U29))</f>
        <v>0</v>
      </c>
      <c r="W29">
        <f>(X29/Y29*100)</f>
        <v>0</v>
      </c>
      <c r="X29">
        <f>AU29*(AZ29+BA29)/1000</f>
        <v>0</v>
      </c>
      <c r="Y29">
        <f>0.61365*exp(17.502*BB29/(240.97+BB29))</f>
        <v>0</v>
      </c>
      <c r="Z29">
        <f>(V29-AU29*(AZ29+BA29)/1000)</f>
        <v>0</v>
      </c>
      <c r="AA29">
        <f>(-H29*44100)</f>
        <v>0</v>
      </c>
      <c r="AB29">
        <f>2*29.3*P29*0.92*(BB29-U29)</f>
        <v>0</v>
      </c>
      <c r="AC29">
        <f>2*0.95*5.67E-8*(((BB29+$B$7)+273)^4-(U29+273)^4)</f>
        <v>0</v>
      </c>
      <c r="AD29">
        <f>S29+AC29+AA29+AB29</f>
        <v>0</v>
      </c>
      <c r="AE29">
        <v>0</v>
      </c>
      <c r="AF29">
        <v>0</v>
      </c>
      <c r="AG29">
        <f>IF(AE29*$H$13&gt;=AI29,1.0,(AI29/(AI29-AE29*$H$13)))</f>
        <v>0</v>
      </c>
      <c r="AH29">
        <f>(AG29-1)*100</f>
        <v>0</v>
      </c>
      <c r="AI29">
        <f>MAX(0,($B$13+$C$13*BG29)/(1+$D$13*BG29)*AZ29/(BB29+273)*$E$13)</f>
        <v>0</v>
      </c>
      <c r="AJ29">
        <f>$B$11*BH29+$C$11*BI29+$D$11*BT29</f>
        <v>0</v>
      </c>
      <c r="AK29">
        <f>AJ29*AL29</f>
        <v>0</v>
      </c>
      <c r="AL29">
        <f>($B$11*$D$9+$C$11*$D$9+$D$11*(BU29*$E$9+BV29*$G$9))/($B$11+$C$11+$D$11)</f>
        <v>0</v>
      </c>
      <c r="AM29">
        <f>($B$11*$K$9+$C$11*$K$9+$D$11*(BU29*$L$9+BV29*$N$9))/($B$11+$C$11+$D$11)</f>
        <v>0</v>
      </c>
      <c r="AN29">
        <v>3</v>
      </c>
      <c r="AO29">
        <v>0.5</v>
      </c>
      <c r="AP29" t="s">
        <v>331</v>
      </c>
      <c r="AQ29">
        <v>2</v>
      </c>
      <c r="AR29">
        <v>1773196812</v>
      </c>
      <c r="AS29">
        <v>442.428</v>
      </c>
      <c r="AT29">
        <v>440.9819677419356</v>
      </c>
      <c r="AU29">
        <v>6.250913548387096</v>
      </c>
      <c r="AV29">
        <v>3.238602580645161</v>
      </c>
      <c r="AW29">
        <v>436.1967096774193</v>
      </c>
      <c r="AX29">
        <v>6.170323548387096</v>
      </c>
      <c r="AY29">
        <v>500.0116129032259</v>
      </c>
      <c r="AZ29">
        <v>100.2540322580645</v>
      </c>
      <c r="BA29">
        <v>0.04482266129032258</v>
      </c>
      <c r="BB29">
        <v>30.81685483870968</v>
      </c>
      <c r="BC29">
        <v>29.92759677419355</v>
      </c>
      <c r="BD29">
        <v>999.9000000000003</v>
      </c>
      <c r="BE29">
        <v>0</v>
      </c>
      <c r="BF29">
        <v>0</v>
      </c>
      <c r="BG29">
        <v>5009.129032258064</v>
      </c>
      <c r="BH29">
        <v>1.623165483870968</v>
      </c>
      <c r="BI29">
        <v>1936.288387096774</v>
      </c>
      <c r="BJ29">
        <v>1.445997096774194</v>
      </c>
      <c r="BK29">
        <v>445.210935483871</v>
      </c>
      <c r="BL29">
        <v>442.4147741935485</v>
      </c>
      <c r="BM29">
        <v>3.012311612903226</v>
      </c>
      <c r="BN29">
        <v>440.9819677419356</v>
      </c>
      <c r="BO29">
        <v>3.238602580645161</v>
      </c>
      <c r="BP29">
        <v>0.6266789354838708</v>
      </c>
      <c r="BQ29">
        <v>0.3246827096774192</v>
      </c>
      <c r="BR29">
        <v>0.2895973225806451</v>
      </c>
      <c r="BS29">
        <v>-8.456952580645162</v>
      </c>
      <c r="BT29">
        <v>0</v>
      </c>
      <c r="BU29">
        <v>0</v>
      </c>
      <c r="BV29">
        <v>0</v>
      </c>
      <c r="BW29">
        <v>35</v>
      </c>
      <c r="BX29">
        <v>50.58602258064516</v>
      </c>
      <c r="BY29">
        <v>1773196010</v>
      </c>
      <c r="BZ29" t="s">
        <v>332</v>
      </c>
      <c r="CA29">
        <v>1773196010</v>
      </c>
      <c r="CB29">
        <v>1773196005.5</v>
      </c>
      <c r="CC29">
        <v>2</v>
      </c>
      <c r="CD29">
        <v>-0.279</v>
      </c>
      <c r="CE29">
        <v>-0.021</v>
      </c>
      <c r="CF29">
        <v>6.231</v>
      </c>
      <c r="CG29">
        <v>0.081</v>
      </c>
      <c r="CH29">
        <v>432</v>
      </c>
      <c r="CI29">
        <v>21</v>
      </c>
      <c r="CJ29">
        <v>0.03</v>
      </c>
      <c r="CK29">
        <v>0.06</v>
      </c>
      <c r="CL29">
        <v>440.9806666666667</v>
      </c>
      <c r="CM29">
        <v>-0.4372858731929981</v>
      </c>
      <c r="CN29">
        <v>0.03679251131533393</v>
      </c>
      <c r="CO29">
        <v>-1</v>
      </c>
      <c r="CP29">
        <v>500.0117</v>
      </c>
      <c r="CQ29">
        <v>0.06884983314959926</v>
      </c>
      <c r="CR29">
        <v>0.03257007829281491</v>
      </c>
      <c r="CS29">
        <v>-1</v>
      </c>
      <c r="CT29">
        <v>0</v>
      </c>
      <c r="CU29">
        <v>0</v>
      </c>
      <c r="CV29" t="s">
        <v>333</v>
      </c>
      <c r="CW29">
        <v>3.16863</v>
      </c>
      <c r="CX29">
        <v>2.66622</v>
      </c>
      <c r="CY29">
        <v>0.103625</v>
      </c>
      <c r="CZ29">
        <v>0.104525</v>
      </c>
      <c r="DA29">
        <v>0.0399229</v>
      </c>
      <c r="DB29">
        <v>0.022981</v>
      </c>
      <c r="DC29">
        <v>21396.8</v>
      </c>
      <c r="DD29">
        <v>21870.1</v>
      </c>
      <c r="DE29">
        <v>23001.2</v>
      </c>
      <c r="DF29">
        <v>22351.4</v>
      </c>
      <c r="DG29">
        <v>33376.8</v>
      </c>
      <c r="DH29">
        <v>30780.5</v>
      </c>
      <c r="DI29">
        <v>40454.4</v>
      </c>
      <c r="DJ29">
        <v>36983.5</v>
      </c>
      <c r="DK29">
        <v>2.05636</v>
      </c>
      <c r="DL29">
        <v>1.63754</v>
      </c>
      <c r="DM29">
        <v>-0.09414549999999999</v>
      </c>
      <c r="DN29">
        <v>0</v>
      </c>
      <c r="DO29">
        <v>31.4795</v>
      </c>
      <c r="DP29">
        <v>999.9</v>
      </c>
      <c r="DQ29">
        <v>52.1</v>
      </c>
      <c r="DR29">
        <v>30.5</v>
      </c>
      <c r="DS29">
        <v>22.7874</v>
      </c>
      <c r="DT29">
        <v>29.56</v>
      </c>
      <c r="DU29">
        <v>11.887</v>
      </c>
      <c r="DV29">
        <v>1</v>
      </c>
      <c r="DW29">
        <v>0.618169</v>
      </c>
      <c r="DX29">
        <v>2.15077</v>
      </c>
      <c r="DY29">
        <v>20.3463</v>
      </c>
      <c r="DZ29">
        <v>5.20914</v>
      </c>
      <c r="EA29">
        <v>11.8542</v>
      </c>
      <c r="EB29">
        <v>4.9678</v>
      </c>
      <c r="EC29">
        <v>3.29276</v>
      </c>
      <c r="ED29">
        <v>879.4</v>
      </c>
      <c r="EE29">
        <v>9999</v>
      </c>
      <c r="EF29">
        <v>9999</v>
      </c>
      <c r="EG29">
        <v>76.2</v>
      </c>
      <c r="EH29">
        <v>4.97162</v>
      </c>
      <c r="EI29">
        <v>1.87197</v>
      </c>
      <c r="EJ29">
        <v>1.8692</v>
      </c>
      <c r="EK29">
        <v>1.87162</v>
      </c>
      <c r="EL29">
        <v>1.86935</v>
      </c>
      <c r="EM29">
        <v>1.86828</v>
      </c>
      <c r="EN29">
        <v>1.87011</v>
      </c>
      <c r="EO29">
        <v>1.87193</v>
      </c>
      <c r="EP29">
        <v>0</v>
      </c>
      <c r="EQ29">
        <v>0</v>
      </c>
      <c r="ER29">
        <v>0</v>
      </c>
      <c r="ES29">
        <v>0</v>
      </c>
      <c r="ET29" t="s">
        <v>334</v>
      </c>
      <c r="EU29" t="s">
        <v>335</v>
      </c>
      <c r="EV29" t="s">
        <v>336</v>
      </c>
      <c r="EW29" t="s">
        <v>336</v>
      </c>
      <c r="EX29" t="s">
        <v>336</v>
      </c>
      <c r="EY29" t="s">
        <v>336</v>
      </c>
      <c r="EZ29">
        <v>0</v>
      </c>
      <c r="FA29">
        <v>100</v>
      </c>
      <c r="FB29">
        <v>100</v>
      </c>
      <c r="FC29">
        <v>6.231</v>
      </c>
      <c r="FD29">
        <v>0.0806</v>
      </c>
      <c r="FE29">
        <v>6.23135000000002</v>
      </c>
      <c r="FF29">
        <v>0</v>
      </c>
      <c r="FG29">
        <v>0</v>
      </c>
      <c r="FH29">
        <v>0</v>
      </c>
      <c r="FI29">
        <v>0.08059047619047632</v>
      </c>
      <c r="FJ29">
        <v>0</v>
      </c>
      <c r="FK29">
        <v>0</v>
      </c>
      <c r="FL29">
        <v>0</v>
      </c>
      <c r="FM29">
        <v>-1</v>
      </c>
      <c r="FN29">
        <v>-1</v>
      </c>
      <c r="FO29">
        <v>-1</v>
      </c>
      <c r="FP29">
        <v>-1</v>
      </c>
      <c r="FQ29">
        <v>13.5</v>
      </c>
      <c r="FR29">
        <v>13.6</v>
      </c>
      <c r="FS29">
        <v>0.145264</v>
      </c>
      <c r="FT29">
        <v>4.99756</v>
      </c>
      <c r="FU29">
        <v>1.5979</v>
      </c>
      <c r="FV29">
        <v>2.15698</v>
      </c>
      <c r="FW29">
        <v>1.54785</v>
      </c>
      <c r="FX29">
        <v>2.34375</v>
      </c>
      <c r="FY29">
        <v>38.135</v>
      </c>
      <c r="FZ29">
        <v>16.1459</v>
      </c>
      <c r="GA29">
        <v>3</v>
      </c>
      <c r="GB29">
        <v>511.991</v>
      </c>
      <c r="GC29">
        <v>341.472</v>
      </c>
      <c r="GD29">
        <v>29.2248</v>
      </c>
      <c r="GE29">
        <v>34.668</v>
      </c>
      <c r="GF29">
        <v>30.0023</v>
      </c>
      <c r="GG29">
        <v>34.0841</v>
      </c>
      <c r="GH29">
        <v>33.9748</v>
      </c>
      <c r="GI29">
        <v>-1</v>
      </c>
      <c r="GJ29">
        <v>100</v>
      </c>
      <c r="GK29">
        <v>0</v>
      </c>
      <c r="GL29">
        <v>29.204</v>
      </c>
      <c r="GM29">
        <v>1200</v>
      </c>
      <c r="GN29">
        <v>19.4378</v>
      </c>
      <c r="GO29">
        <v>101.802</v>
      </c>
      <c r="GP29">
        <v>96.5611</v>
      </c>
    </row>
    <row r="30" spans="1:198">
      <c r="A30">
        <v>14</v>
      </c>
      <c r="B30">
        <v>1773196880</v>
      </c>
      <c r="C30">
        <v>780</v>
      </c>
      <c r="D30" t="s">
        <v>361</v>
      </c>
      <c r="E30" t="s">
        <v>362</v>
      </c>
      <c r="F30">
        <v>15</v>
      </c>
      <c r="G30">
        <v>1773196872</v>
      </c>
      <c r="H30">
        <f>(I30)/1000</f>
        <v>0</v>
      </c>
      <c r="I30">
        <f>1000*AY30*AG30*(AU30-AV30)/(100*AN30*(1000-AG30*AU30))</f>
        <v>0</v>
      </c>
      <c r="J30">
        <f>AY30*AG30*(AT30-AS30*(1000-AG30*AV30)/(1000-AG30*AU30))/(100*AN30)</f>
        <v>0</v>
      </c>
      <c r="K30">
        <f>AS30 - IF(AG30&gt;1, J30*AN30*100.0/(AI30), 0)</f>
        <v>0</v>
      </c>
      <c r="L30">
        <f>((R30-H30/2)*K30-J30)/(R30+H30/2)</f>
        <v>0</v>
      </c>
      <c r="M30">
        <f>L30*(AZ30+BA30)/1000.0</f>
        <v>0</v>
      </c>
      <c r="N30">
        <f>(AS30 - IF(AG30&gt;1, J30*AN30*100.0/(AI30), 0))*(AZ30+BA30)/1000.0</f>
        <v>0</v>
      </c>
      <c r="O30">
        <f>2.0/((1/Q30-1/P30)+SIGN(Q30)*SQRT((1/Q30-1/P30)*(1/Q30-1/P30) + 4*AO30/((AO30+1)*(AO30+1))*(2*1/Q30*1/P30-1/P30*1/P30)))</f>
        <v>0</v>
      </c>
      <c r="P30">
        <f>IF(LEFT(AP30,1)&lt;&gt;"0",IF(LEFT(AP30,1)="1",3.0,AQ30),$D$5+$E$5*(BG30*AZ30/($K$5*1000))+$F$5*(BG30*AZ30/($K$5*1000))*MAX(MIN(AN30,$J$5),$I$5)*MAX(MIN(AN30,$J$5),$I$5)+$G$5*MAX(MIN(AN30,$J$5),$I$5)*(BG30*AZ30/($K$5*1000))+$H$5*(BG30*AZ30/($K$5*1000))*(BG30*AZ30/($K$5*1000)))</f>
        <v>0</v>
      </c>
      <c r="Q30">
        <f>H30*(1000-(1000*0.61365*exp(17.502*U30/(240.97+U30))/(AZ30+BA30)+AU30)/2)/(1000*0.61365*exp(17.502*U30/(240.97+U30))/(AZ30+BA30)-AU30)</f>
        <v>0</v>
      </c>
      <c r="R30">
        <f>1/((AO30+1)/(O30/1.6)+1/(P30/1.37)) + AO30/((AO30+1)/(O30/1.6) + AO30/(P30/1.37))</f>
        <v>0</v>
      </c>
      <c r="S30">
        <f>(AJ30*AM30)</f>
        <v>0</v>
      </c>
      <c r="T30">
        <f>(BB30+(S30+2*0.95*5.67E-8*(((BB30+$B$7)+273)^4-(BB30+273)^4)-44100*H30)/(1.84*29.3*P30+8*0.95*5.67E-8*(BB30+273)^3))</f>
        <v>0</v>
      </c>
      <c r="U30">
        <f>($C$7*BC30+$D$7*BD30+$E$7*T30)</f>
        <v>0</v>
      </c>
      <c r="V30">
        <f>0.61365*exp(17.502*U30/(240.97+U30))</f>
        <v>0</v>
      </c>
      <c r="W30">
        <f>(X30/Y30*100)</f>
        <v>0</v>
      </c>
      <c r="X30">
        <f>AU30*(AZ30+BA30)/1000</f>
        <v>0</v>
      </c>
      <c r="Y30">
        <f>0.61365*exp(17.502*BB30/(240.97+BB30))</f>
        <v>0</v>
      </c>
      <c r="Z30">
        <f>(V30-AU30*(AZ30+BA30)/1000)</f>
        <v>0</v>
      </c>
      <c r="AA30">
        <f>(-H30*44100)</f>
        <v>0</v>
      </c>
      <c r="AB30">
        <f>2*29.3*P30*0.92*(BB30-U30)</f>
        <v>0</v>
      </c>
      <c r="AC30">
        <f>2*0.95*5.67E-8*(((BB30+$B$7)+273)^4-(U30+273)^4)</f>
        <v>0</v>
      </c>
      <c r="AD30">
        <f>S30+AC30+AA30+AB30</f>
        <v>0</v>
      </c>
      <c r="AE30">
        <v>0</v>
      </c>
      <c r="AF30">
        <v>0</v>
      </c>
      <c r="AG30">
        <f>IF(AE30*$H$13&gt;=AI30,1.0,(AI30/(AI30-AE30*$H$13)))</f>
        <v>0</v>
      </c>
      <c r="AH30">
        <f>(AG30-1)*100</f>
        <v>0</v>
      </c>
      <c r="AI30">
        <f>MAX(0,($B$13+$C$13*BG30)/(1+$D$13*BG30)*AZ30/(BB30+273)*$E$13)</f>
        <v>0</v>
      </c>
      <c r="AJ30">
        <f>$B$11*BH30+$C$11*BI30+$D$11*BT30</f>
        <v>0</v>
      </c>
      <c r="AK30">
        <f>AJ30*AL30</f>
        <v>0</v>
      </c>
      <c r="AL30">
        <f>($B$11*$D$9+$C$11*$D$9+$D$11*(BU30*$E$9+BV30*$G$9))/($B$11+$C$11+$D$11)</f>
        <v>0</v>
      </c>
      <c r="AM30">
        <f>($B$11*$K$9+$C$11*$K$9+$D$11*(BU30*$L$9+BV30*$N$9))/($B$11+$C$11+$D$11)</f>
        <v>0</v>
      </c>
      <c r="AN30">
        <v>3</v>
      </c>
      <c r="AO30">
        <v>0.5</v>
      </c>
      <c r="AP30" t="s">
        <v>331</v>
      </c>
      <c r="AQ30">
        <v>2</v>
      </c>
      <c r="AR30">
        <v>1773196872</v>
      </c>
      <c r="AS30">
        <v>442.1121935483872</v>
      </c>
      <c r="AT30">
        <v>440.606870967742</v>
      </c>
      <c r="AU30">
        <v>6.169839354838708</v>
      </c>
      <c r="AV30">
        <v>3.401936129032258</v>
      </c>
      <c r="AW30">
        <v>435.8808064516129</v>
      </c>
      <c r="AX30">
        <v>6.089249354838708</v>
      </c>
      <c r="AY30">
        <v>500.0177741935483</v>
      </c>
      <c r="AZ30">
        <v>100.2549677419355</v>
      </c>
      <c r="BA30">
        <v>0.04475265483870968</v>
      </c>
      <c r="BB30">
        <v>30.8318064516129</v>
      </c>
      <c r="BC30">
        <v>29.9964935483871</v>
      </c>
      <c r="BD30">
        <v>999.9000000000003</v>
      </c>
      <c r="BE30">
        <v>0</v>
      </c>
      <c r="BF30">
        <v>0</v>
      </c>
      <c r="BG30">
        <v>5011.258064516129</v>
      </c>
      <c r="BH30">
        <v>1.642707741935484</v>
      </c>
      <c r="BI30">
        <v>1947.269032258065</v>
      </c>
      <c r="BJ30">
        <v>1.505299677419355</v>
      </c>
      <c r="BK30">
        <v>444.8568064516129</v>
      </c>
      <c r="BL30">
        <v>442.1109032258065</v>
      </c>
      <c r="BM30">
        <v>2.767903225806452</v>
      </c>
      <c r="BN30">
        <v>440.606870967742</v>
      </c>
      <c r="BO30">
        <v>3.401936129032258</v>
      </c>
      <c r="BP30">
        <v>0.6185570967741936</v>
      </c>
      <c r="BQ30">
        <v>0.3410610322580644</v>
      </c>
      <c r="BR30">
        <v>0.1097075806451613</v>
      </c>
      <c r="BS30">
        <v>-7.824402258064516</v>
      </c>
      <c r="BT30">
        <v>0</v>
      </c>
      <c r="BU30">
        <v>0</v>
      </c>
      <c r="BV30">
        <v>0</v>
      </c>
      <c r="BW30">
        <v>35</v>
      </c>
      <c r="BX30">
        <v>51</v>
      </c>
      <c r="BY30">
        <v>1773196010</v>
      </c>
      <c r="BZ30" t="s">
        <v>332</v>
      </c>
      <c r="CA30">
        <v>1773196010</v>
      </c>
      <c r="CB30">
        <v>1773196005.5</v>
      </c>
      <c r="CC30">
        <v>2</v>
      </c>
      <c r="CD30">
        <v>-0.279</v>
      </c>
      <c r="CE30">
        <v>-0.021</v>
      </c>
      <c r="CF30">
        <v>6.231</v>
      </c>
      <c r="CG30">
        <v>0.081</v>
      </c>
      <c r="CH30">
        <v>432</v>
      </c>
      <c r="CI30">
        <v>21</v>
      </c>
      <c r="CJ30">
        <v>0.03</v>
      </c>
      <c r="CK30">
        <v>0.06</v>
      </c>
      <c r="CL30">
        <v>440.6113666666667</v>
      </c>
      <c r="CM30">
        <v>-0.3941713014454293</v>
      </c>
      <c r="CN30">
        <v>0.03017115988637176</v>
      </c>
      <c r="CO30">
        <v>-1</v>
      </c>
      <c r="CP30">
        <v>500.0129666666666</v>
      </c>
      <c r="CQ30">
        <v>0.2130100111251443</v>
      </c>
      <c r="CR30">
        <v>0.03989443013197971</v>
      </c>
      <c r="CS30">
        <v>-1</v>
      </c>
      <c r="CT30">
        <v>0</v>
      </c>
      <c r="CU30">
        <v>0</v>
      </c>
      <c r="CV30" t="s">
        <v>333</v>
      </c>
      <c r="CW30">
        <v>3.16866</v>
      </c>
      <c r="CX30">
        <v>2.66631</v>
      </c>
      <c r="CY30">
        <v>0.103507</v>
      </c>
      <c r="CZ30">
        <v>0.104395</v>
      </c>
      <c r="DA30">
        <v>0.039508</v>
      </c>
      <c r="DB30">
        <v>0.0239945</v>
      </c>
      <c r="DC30">
        <v>21388.8</v>
      </c>
      <c r="DD30">
        <v>21865.6</v>
      </c>
      <c r="DE30">
        <v>22990.6</v>
      </c>
      <c r="DF30">
        <v>22344.3</v>
      </c>
      <c r="DG30">
        <v>33376.9</v>
      </c>
      <c r="DH30">
        <v>30737.8</v>
      </c>
      <c r="DI30">
        <v>40437.7</v>
      </c>
      <c r="DJ30">
        <v>36971.1</v>
      </c>
      <c r="DK30">
        <v>2.05392</v>
      </c>
      <c r="DL30">
        <v>1.63094</v>
      </c>
      <c r="DM30">
        <v>-0.09346599999999999</v>
      </c>
      <c r="DN30">
        <v>0</v>
      </c>
      <c r="DO30">
        <v>31.5128</v>
      </c>
      <c r="DP30">
        <v>999.9</v>
      </c>
      <c r="DQ30">
        <v>51.6</v>
      </c>
      <c r="DR30">
        <v>30.9</v>
      </c>
      <c r="DS30">
        <v>23.0863</v>
      </c>
      <c r="DT30">
        <v>30.22</v>
      </c>
      <c r="DU30">
        <v>11.9311</v>
      </c>
      <c r="DV30">
        <v>1</v>
      </c>
      <c r="DW30">
        <v>0.63952</v>
      </c>
      <c r="DX30">
        <v>2.52192</v>
      </c>
      <c r="DY30">
        <v>20.3395</v>
      </c>
      <c r="DZ30">
        <v>5.20986</v>
      </c>
      <c r="EA30">
        <v>11.8542</v>
      </c>
      <c r="EB30">
        <v>4.9678</v>
      </c>
      <c r="EC30">
        <v>3.29276</v>
      </c>
      <c r="ED30">
        <v>879.4</v>
      </c>
      <c r="EE30">
        <v>9999</v>
      </c>
      <c r="EF30">
        <v>9999</v>
      </c>
      <c r="EG30">
        <v>76.2</v>
      </c>
      <c r="EH30">
        <v>4.97163</v>
      </c>
      <c r="EI30">
        <v>1.87195</v>
      </c>
      <c r="EJ30">
        <v>1.86921</v>
      </c>
      <c r="EK30">
        <v>1.87162</v>
      </c>
      <c r="EL30">
        <v>1.86935</v>
      </c>
      <c r="EM30">
        <v>1.86829</v>
      </c>
      <c r="EN30">
        <v>1.87012</v>
      </c>
      <c r="EO30">
        <v>1.87194</v>
      </c>
      <c r="EP30">
        <v>0</v>
      </c>
      <c r="EQ30">
        <v>0</v>
      </c>
      <c r="ER30">
        <v>0</v>
      </c>
      <c r="ES30">
        <v>0</v>
      </c>
      <c r="ET30" t="s">
        <v>334</v>
      </c>
      <c r="EU30" t="s">
        <v>335</v>
      </c>
      <c r="EV30" t="s">
        <v>336</v>
      </c>
      <c r="EW30" t="s">
        <v>336</v>
      </c>
      <c r="EX30" t="s">
        <v>336</v>
      </c>
      <c r="EY30" t="s">
        <v>336</v>
      </c>
      <c r="EZ30">
        <v>0</v>
      </c>
      <c r="FA30">
        <v>100</v>
      </c>
      <c r="FB30">
        <v>100</v>
      </c>
      <c r="FC30">
        <v>6.232</v>
      </c>
      <c r="FD30">
        <v>0.0806</v>
      </c>
      <c r="FE30">
        <v>6.23135000000002</v>
      </c>
      <c r="FF30">
        <v>0</v>
      </c>
      <c r="FG30">
        <v>0</v>
      </c>
      <c r="FH30">
        <v>0</v>
      </c>
      <c r="FI30">
        <v>0.08059047619047632</v>
      </c>
      <c r="FJ30">
        <v>0</v>
      </c>
      <c r="FK30">
        <v>0</v>
      </c>
      <c r="FL30">
        <v>0</v>
      </c>
      <c r="FM30">
        <v>-1</v>
      </c>
      <c r="FN30">
        <v>-1</v>
      </c>
      <c r="FO30">
        <v>-1</v>
      </c>
      <c r="FP30">
        <v>-1</v>
      </c>
      <c r="FQ30">
        <v>14.5</v>
      </c>
      <c r="FR30">
        <v>14.6</v>
      </c>
      <c r="FS30">
        <v>0.145264</v>
      </c>
      <c r="FT30">
        <v>4.99756</v>
      </c>
      <c r="FU30">
        <v>1.5979</v>
      </c>
      <c r="FV30">
        <v>2.15576</v>
      </c>
      <c r="FW30">
        <v>1.54785</v>
      </c>
      <c r="FX30">
        <v>2.35474</v>
      </c>
      <c r="FY30">
        <v>38.5259</v>
      </c>
      <c r="FZ30">
        <v>16.1196</v>
      </c>
      <c r="GA30">
        <v>3</v>
      </c>
      <c r="GB30">
        <v>512.629</v>
      </c>
      <c r="GC30">
        <v>339.544</v>
      </c>
      <c r="GD30">
        <v>28.8585</v>
      </c>
      <c r="GE30">
        <v>34.9119</v>
      </c>
      <c r="GF30">
        <v>30.0016</v>
      </c>
      <c r="GG30">
        <v>34.3719</v>
      </c>
      <c r="GH30">
        <v>34.2712</v>
      </c>
      <c r="GI30">
        <v>-1</v>
      </c>
      <c r="GJ30">
        <v>100</v>
      </c>
      <c r="GK30">
        <v>0</v>
      </c>
      <c r="GL30">
        <v>28.8424</v>
      </c>
      <c r="GM30">
        <v>1200</v>
      </c>
      <c r="GN30">
        <v>19.4378</v>
      </c>
      <c r="GO30">
        <v>101.758</v>
      </c>
      <c r="GP30">
        <v>96.5295</v>
      </c>
    </row>
    <row r="31" spans="1:198">
      <c r="A31">
        <v>15</v>
      </c>
      <c r="B31">
        <v>1773196940</v>
      </c>
      <c r="C31">
        <v>840</v>
      </c>
      <c r="D31" t="s">
        <v>363</v>
      </c>
      <c r="E31" t="s">
        <v>364</v>
      </c>
      <c r="F31">
        <v>15</v>
      </c>
      <c r="G31">
        <v>1773196932</v>
      </c>
      <c r="H31">
        <f>(I31)/1000</f>
        <v>0</v>
      </c>
      <c r="I31">
        <f>1000*AY31*AG31*(AU31-AV31)/(100*AN31*(1000-AG31*AU31))</f>
        <v>0</v>
      </c>
      <c r="J31">
        <f>AY31*AG31*(AT31-AS31*(1000-AG31*AV31)/(1000-AG31*AU31))/(100*AN31)</f>
        <v>0</v>
      </c>
      <c r="K31">
        <f>AS31 - IF(AG31&gt;1, J31*AN31*100.0/(AI31), 0)</f>
        <v>0</v>
      </c>
      <c r="L31">
        <f>((R31-H31/2)*K31-J31)/(R31+H31/2)</f>
        <v>0</v>
      </c>
      <c r="M31">
        <f>L31*(AZ31+BA31)/1000.0</f>
        <v>0</v>
      </c>
      <c r="N31">
        <f>(AS31 - IF(AG31&gt;1, J31*AN31*100.0/(AI31), 0))*(AZ31+BA31)/1000.0</f>
        <v>0</v>
      </c>
      <c r="O31">
        <f>2.0/((1/Q31-1/P31)+SIGN(Q31)*SQRT((1/Q31-1/P31)*(1/Q31-1/P31) + 4*AO31/((AO31+1)*(AO31+1))*(2*1/Q31*1/P31-1/P31*1/P31)))</f>
        <v>0</v>
      </c>
      <c r="P31">
        <f>IF(LEFT(AP31,1)&lt;&gt;"0",IF(LEFT(AP31,1)="1",3.0,AQ31),$D$5+$E$5*(BG31*AZ31/($K$5*1000))+$F$5*(BG31*AZ31/($K$5*1000))*MAX(MIN(AN31,$J$5),$I$5)*MAX(MIN(AN31,$J$5),$I$5)+$G$5*MAX(MIN(AN31,$J$5),$I$5)*(BG31*AZ31/($K$5*1000))+$H$5*(BG31*AZ31/($K$5*1000))*(BG31*AZ31/($K$5*1000)))</f>
        <v>0</v>
      </c>
      <c r="Q31">
        <f>H31*(1000-(1000*0.61365*exp(17.502*U31/(240.97+U31))/(AZ31+BA31)+AU31)/2)/(1000*0.61365*exp(17.502*U31/(240.97+U31))/(AZ31+BA31)-AU31)</f>
        <v>0</v>
      </c>
      <c r="R31">
        <f>1/((AO31+1)/(O31/1.6)+1/(P31/1.37)) + AO31/((AO31+1)/(O31/1.6) + AO31/(P31/1.37))</f>
        <v>0</v>
      </c>
      <c r="S31">
        <f>(AJ31*AM31)</f>
        <v>0</v>
      </c>
      <c r="T31">
        <f>(BB31+(S31+2*0.95*5.67E-8*(((BB31+$B$7)+273)^4-(BB31+273)^4)-44100*H31)/(1.84*29.3*P31+8*0.95*5.67E-8*(BB31+273)^3))</f>
        <v>0</v>
      </c>
      <c r="U31">
        <f>($C$7*BC31+$D$7*BD31+$E$7*T31)</f>
        <v>0</v>
      </c>
      <c r="V31">
        <f>0.61365*exp(17.502*U31/(240.97+U31))</f>
        <v>0</v>
      </c>
      <c r="W31">
        <f>(X31/Y31*100)</f>
        <v>0</v>
      </c>
      <c r="X31">
        <f>AU31*(AZ31+BA31)/1000</f>
        <v>0</v>
      </c>
      <c r="Y31">
        <f>0.61365*exp(17.502*BB31/(240.97+BB31))</f>
        <v>0</v>
      </c>
      <c r="Z31">
        <f>(V31-AU31*(AZ31+BA31)/1000)</f>
        <v>0</v>
      </c>
      <c r="AA31">
        <f>(-H31*44100)</f>
        <v>0</v>
      </c>
      <c r="AB31">
        <f>2*29.3*P31*0.92*(BB31-U31)</f>
        <v>0</v>
      </c>
      <c r="AC31">
        <f>2*0.95*5.67E-8*(((BB31+$B$7)+273)^4-(U31+273)^4)</f>
        <v>0</v>
      </c>
      <c r="AD31">
        <f>S31+AC31+AA31+AB31</f>
        <v>0</v>
      </c>
      <c r="AE31">
        <v>0</v>
      </c>
      <c r="AF31">
        <v>0</v>
      </c>
      <c r="AG31">
        <f>IF(AE31*$H$13&gt;=AI31,1.0,(AI31/(AI31-AE31*$H$13)))</f>
        <v>0</v>
      </c>
      <c r="AH31">
        <f>(AG31-1)*100</f>
        <v>0</v>
      </c>
      <c r="AI31">
        <f>MAX(0,($B$13+$C$13*BG31)/(1+$D$13*BG31)*AZ31/(BB31+273)*$E$13)</f>
        <v>0</v>
      </c>
      <c r="AJ31">
        <f>$B$11*BH31+$C$11*BI31+$D$11*BT31</f>
        <v>0</v>
      </c>
      <c r="AK31">
        <f>AJ31*AL31</f>
        <v>0</v>
      </c>
      <c r="AL31">
        <f>($B$11*$D$9+$C$11*$D$9+$D$11*(BU31*$E$9+BV31*$G$9))/($B$11+$C$11+$D$11)</f>
        <v>0</v>
      </c>
      <c r="AM31">
        <f>($B$11*$K$9+$C$11*$K$9+$D$11*(BU31*$L$9+BV31*$N$9))/($B$11+$C$11+$D$11)</f>
        <v>0</v>
      </c>
      <c r="AN31">
        <v>3</v>
      </c>
      <c r="AO31">
        <v>0.5</v>
      </c>
      <c r="AP31" t="s">
        <v>331</v>
      </c>
      <c r="AQ31">
        <v>2</v>
      </c>
      <c r="AR31">
        <v>1773196932</v>
      </c>
      <c r="AS31">
        <v>440.9136451612904</v>
      </c>
      <c r="AT31">
        <v>439.077935483871</v>
      </c>
      <c r="AU31">
        <v>6.147170322580643</v>
      </c>
      <c r="AV31">
        <v>3.574721612903227</v>
      </c>
      <c r="AW31">
        <v>434.6821935483871</v>
      </c>
      <c r="AX31">
        <v>6.066579032258063</v>
      </c>
      <c r="AY31">
        <v>499.9840967741935</v>
      </c>
      <c r="AZ31">
        <v>100.2603548387097</v>
      </c>
      <c r="BA31">
        <v>0.04483282258064517</v>
      </c>
      <c r="BB31">
        <v>30.79544838709678</v>
      </c>
      <c r="BC31">
        <v>30.00322258064516</v>
      </c>
      <c r="BD31">
        <v>999.9000000000003</v>
      </c>
      <c r="BE31">
        <v>0</v>
      </c>
      <c r="BF31">
        <v>0</v>
      </c>
      <c r="BG31">
        <v>5003.83870967742</v>
      </c>
      <c r="BH31">
        <v>1.609537419354838</v>
      </c>
      <c r="BI31">
        <v>1942.960322580645</v>
      </c>
      <c r="BJ31">
        <v>1.83566935483871</v>
      </c>
      <c r="BK31">
        <v>443.6407419354838</v>
      </c>
      <c r="BL31">
        <v>440.6531290322581</v>
      </c>
      <c r="BM31">
        <v>2.572446774193548</v>
      </c>
      <c r="BN31">
        <v>439.077935483871</v>
      </c>
      <c r="BO31">
        <v>3.574721612903227</v>
      </c>
      <c r="BP31">
        <v>0.6163173870967742</v>
      </c>
      <c r="BQ31">
        <v>0.3584028387096774</v>
      </c>
      <c r="BR31">
        <v>0.05972967741935484</v>
      </c>
      <c r="BS31">
        <v>-7.183406774193549</v>
      </c>
      <c r="BT31">
        <v>0</v>
      </c>
      <c r="BU31">
        <v>0</v>
      </c>
      <c r="BV31">
        <v>0</v>
      </c>
      <c r="BW31">
        <v>35</v>
      </c>
      <c r="BX31">
        <v>50.19784838709678</v>
      </c>
      <c r="BY31">
        <v>1773196010</v>
      </c>
      <c r="BZ31" t="s">
        <v>332</v>
      </c>
      <c r="CA31">
        <v>1773196010</v>
      </c>
      <c r="CB31">
        <v>1773196005.5</v>
      </c>
      <c r="CC31">
        <v>2</v>
      </c>
      <c r="CD31">
        <v>-0.279</v>
      </c>
      <c r="CE31">
        <v>-0.021</v>
      </c>
      <c r="CF31">
        <v>6.231</v>
      </c>
      <c r="CG31">
        <v>0.081</v>
      </c>
      <c r="CH31">
        <v>432</v>
      </c>
      <c r="CI31">
        <v>21</v>
      </c>
      <c r="CJ31">
        <v>0.03</v>
      </c>
      <c r="CK31">
        <v>0.06</v>
      </c>
      <c r="CL31">
        <v>439.0682333333334</v>
      </c>
      <c r="CM31">
        <v>-2.045339265851935</v>
      </c>
      <c r="CN31">
        <v>0.148310413959668</v>
      </c>
      <c r="CO31">
        <v>-1</v>
      </c>
      <c r="CP31">
        <v>499.9822</v>
      </c>
      <c r="CQ31">
        <v>-0.4925472747493856</v>
      </c>
      <c r="CR31">
        <v>0.06493299110108525</v>
      </c>
      <c r="CS31">
        <v>-1</v>
      </c>
      <c r="CT31">
        <v>0</v>
      </c>
      <c r="CU31">
        <v>0</v>
      </c>
      <c r="CV31" t="s">
        <v>333</v>
      </c>
      <c r="CW31">
        <v>3.16853</v>
      </c>
      <c r="CX31">
        <v>2.66714</v>
      </c>
      <c r="CY31">
        <v>0.103181</v>
      </c>
      <c r="CZ31">
        <v>0.104027</v>
      </c>
      <c r="DA31">
        <v>0.0393953</v>
      </c>
      <c r="DB31">
        <v>0.0250384</v>
      </c>
      <c r="DC31">
        <v>21387.2</v>
      </c>
      <c r="DD31">
        <v>21868.9</v>
      </c>
      <c r="DE31">
        <v>22981.4</v>
      </c>
      <c r="DF31">
        <v>22339.1</v>
      </c>
      <c r="DG31">
        <v>33368.3</v>
      </c>
      <c r="DH31">
        <v>30696.2</v>
      </c>
      <c r="DI31">
        <v>40423.2</v>
      </c>
      <c r="DJ31">
        <v>36961.3</v>
      </c>
      <c r="DK31">
        <v>2.05196</v>
      </c>
      <c r="DL31">
        <v>1.62582</v>
      </c>
      <c r="DM31">
        <v>-0.0939786</v>
      </c>
      <c r="DN31">
        <v>0</v>
      </c>
      <c r="DO31">
        <v>31.5431</v>
      </c>
      <c r="DP31">
        <v>999.9</v>
      </c>
      <c r="DQ31">
        <v>50.7</v>
      </c>
      <c r="DR31">
        <v>31.2</v>
      </c>
      <c r="DS31">
        <v>23.0765</v>
      </c>
      <c r="DT31">
        <v>30.01</v>
      </c>
      <c r="DU31">
        <v>11.7348</v>
      </c>
      <c r="DV31">
        <v>1</v>
      </c>
      <c r="DW31">
        <v>0.65423</v>
      </c>
      <c r="DX31">
        <v>2.17159</v>
      </c>
      <c r="DY31">
        <v>20.3466</v>
      </c>
      <c r="DZ31">
        <v>5.20974</v>
      </c>
      <c r="EA31">
        <v>11.8542</v>
      </c>
      <c r="EB31">
        <v>4.96772</v>
      </c>
      <c r="EC31">
        <v>3.29288</v>
      </c>
      <c r="ED31">
        <v>879.4</v>
      </c>
      <c r="EE31">
        <v>9999</v>
      </c>
      <c r="EF31">
        <v>9999</v>
      </c>
      <c r="EG31">
        <v>76.3</v>
      </c>
      <c r="EH31">
        <v>4.97163</v>
      </c>
      <c r="EI31">
        <v>1.872</v>
      </c>
      <c r="EJ31">
        <v>1.8692</v>
      </c>
      <c r="EK31">
        <v>1.87163</v>
      </c>
      <c r="EL31">
        <v>1.86935</v>
      </c>
      <c r="EM31">
        <v>1.86829</v>
      </c>
      <c r="EN31">
        <v>1.87012</v>
      </c>
      <c r="EO31">
        <v>1.87195</v>
      </c>
      <c r="EP31">
        <v>0</v>
      </c>
      <c r="EQ31">
        <v>0</v>
      </c>
      <c r="ER31">
        <v>0</v>
      </c>
      <c r="ES31">
        <v>0</v>
      </c>
      <c r="ET31" t="s">
        <v>334</v>
      </c>
      <c r="EU31" t="s">
        <v>335</v>
      </c>
      <c r="EV31" t="s">
        <v>336</v>
      </c>
      <c r="EW31" t="s">
        <v>336</v>
      </c>
      <c r="EX31" t="s">
        <v>336</v>
      </c>
      <c r="EY31" t="s">
        <v>336</v>
      </c>
      <c r="EZ31">
        <v>0</v>
      </c>
      <c r="FA31">
        <v>100</v>
      </c>
      <c r="FB31">
        <v>100</v>
      </c>
      <c r="FC31">
        <v>6.231</v>
      </c>
      <c r="FD31">
        <v>0.0806</v>
      </c>
      <c r="FE31">
        <v>6.23135000000002</v>
      </c>
      <c r="FF31">
        <v>0</v>
      </c>
      <c r="FG31">
        <v>0</v>
      </c>
      <c r="FH31">
        <v>0</v>
      </c>
      <c r="FI31">
        <v>0.08059047619047632</v>
      </c>
      <c r="FJ31">
        <v>0</v>
      </c>
      <c r="FK31">
        <v>0</v>
      </c>
      <c r="FL31">
        <v>0</v>
      </c>
      <c r="FM31">
        <v>-1</v>
      </c>
      <c r="FN31">
        <v>-1</v>
      </c>
      <c r="FO31">
        <v>-1</v>
      </c>
      <c r="FP31">
        <v>-1</v>
      </c>
      <c r="FQ31">
        <v>15.5</v>
      </c>
      <c r="FR31">
        <v>15.6</v>
      </c>
      <c r="FS31">
        <v>0.145264</v>
      </c>
      <c r="FT31">
        <v>4.99756</v>
      </c>
      <c r="FU31">
        <v>1.5979</v>
      </c>
      <c r="FV31">
        <v>2.15332</v>
      </c>
      <c r="FW31">
        <v>1.54785</v>
      </c>
      <c r="FX31">
        <v>2.40479</v>
      </c>
      <c r="FY31">
        <v>38.8951</v>
      </c>
      <c r="FZ31">
        <v>16.1284</v>
      </c>
      <c r="GA31">
        <v>3</v>
      </c>
      <c r="GB31">
        <v>513.395</v>
      </c>
      <c r="GC31">
        <v>338.262</v>
      </c>
      <c r="GD31">
        <v>29.0254</v>
      </c>
      <c r="GE31">
        <v>35.139</v>
      </c>
      <c r="GF31">
        <v>30.0018</v>
      </c>
      <c r="GG31">
        <v>34.6386</v>
      </c>
      <c r="GH31">
        <v>34.5464</v>
      </c>
      <c r="GI31">
        <v>-1</v>
      </c>
      <c r="GJ31">
        <v>100</v>
      </c>
      <c r="GK31">
        <v>0</v>
      </c>
      <c r="GL31">
        <v>28.9654</v>
      </c>
      <c r="GM31">
        <v>1200</v>
      </c>
      <c r="GN31">
        <v>19.4378</v>
      </c>
      <c r="GO31">
        <v>101.72</v>
      </c>
      <c r="GP31">
        <v>96.505</v>
      </c>
    </row>
    <row r="32" spans="1:198">
      <c r="A32">
        <v>16</v>
      </c>
      <c r="B32">
        <v>1773197000</v>
      </c>
      <c r="C32">
        <v>900</v>
      </c>
      <c r="D32" t="s">
        <v>365</v>
      </c>
      <c r="E32" t="s">
        <v>366</v>
      </c>
      <c r="F32">
        <v>15</v>
      </c>
      <c r="G32">
        <v>1773196992</v>
      </c>
      <c r="H32">
        <f>(I32)/1000</f>
        <v>0</v>
      </c>
      <c r="I32">
        <f>1000*AY32*AG32*(AU32-AV32)/(100*AN32*(1000-AG32*AU32))</f>
        <v>0</v>
      </c>
      <c r="J32">
        <f>AY32*AG32*(AT32-AS32*(1000-AG32*AV32)/(1000-AG32*AU32))/(100*AN32)</f>
        <v>0</v>
      </c>
      <c r="K32">
        <f>AS32 - IF(AG32&gt;1, J32*AN32*100.0/(AI32), 0)</f>
        <v>0</v>
      </c>
      <c r="L32">
        <f>((R32-H32/2)*K32-J32)/(R32+H32/2)</f>
        <v>0</v>
      </c>
      <c r="M32">
        <f>L32*(AZ32+BA32)/1000.0</f>
        <v>0</v>
      </c>
      <c r="N32">
        <f>(AS32 - IF(AG32&gt;1, J32*AN32*100.0/(AI32), 0))*(AZ32+BA32)/1000.0</f>
        <v>0</v>
      </c>
      <c r="O32">
        <f>2.0/((1/Q32-1/P32)+SIGN(Q32)*SQRT((1/Q32-1/P32)*(1/Q32-1/P32) + 4*AO32/((AO32+1)*(AO32+1))*(2*1/Q32*1/P32-1/P32*1/P32)))</f>
        <v>0</v>
      </c>
      <c r="P32">
        <f>IF(LEFT(AP32,1)&lt;&gt;"0",IF(LEFT(AP32,1)="1",3.0,AQ32),$D$5+$E$5*(BG32*AZ32/($K$5*1000))+$F$5*(BG32*AZ32/($K$5*1000))*MAX(MIN(AN32,$J$5),$I$5)*MAX(MIN(AN32,$J$5),$I$5)+$G$5*MAX(MIN(AN32,$J$5),$I$5)*(BG32*AZ32/($K$5*1000))+$H$5*(BG32*AZ32/($K$5*1000))*(BG32*AZ32/($K$5*1000)))</f>
        <v>0</v>
      </c>
      <c r="Q32">
        <f>H32*(1000-(1000*0.61365*exp(17.502*U32/(240.97+U32))/(AZ32+BA32)+AU32)/2)/(1000*0.61365*exp(17.502*U32/(240.97+U32))/(AZ32+BA32)-AU32)</f>
        <v>0</v>
      </c>
      <c r="R32">
        <f>1/((AO32+1)/(O32/1.6)+1/(P32/1.37)) + AO32/((AO32+1)/(O32/1.6) + AO32/(P32/1.37))</f>
        <v>0</v>
      </c>
      <c r="S32">
        <f>(AJ32*AM32)</f>
        <v>0</v>
      </c>
      <c r="T32">
        <f>(BB32+(S32+2*0.95*5.67E-8*(((BB32+$B$7)+273)^4-(BB32+273)^4)-44100*H32)/(1.84*29.3*P32+8*0.95*5.67E-8*(BB32+273)^3))</f>
        <v>0</v>
      </c>
      <c r="U32">
        <f>($C$7*BC32+$D$7*BD32+$E$7*T32)</f>
        <v>0</v>
      </c>
      <c r="V32">
        <f>0.61365*exp(17.502*U32/(240.97+U32))</f>
        <v>0</v>
      </c>
      <c r="W32">
        <f>(X32/Y32*100)</f>
        <v>0</v>
      </c>
      <c r="X32">
        <f>AU32*(AZ32+BA32)/1000</f>
        <v>0</v>
      </c>
      <c r="Y32">
        <f>0.61365*exp(17.502*BB32/(240.97+BB32))</f>
        <v>0</v>
      </c>
      <c r="Z32">
        <f>(V32-AU32*(AZ32+BA32)/1000)</f>
        <v>0</v>
      </c>
      <c r="AA32">
        <f>(-H32*44100)</f>
        <v>0</v>
      </c>
      <c r="AB32">
        <f>2*29.3*P32*0.92*(BB32-U32)</f>
        <v>0</v>
      </c>
      <c r="AC32">
        <f>2*0.95*5.67E-8*(((BB32+$B$7)+273)^4-(U32+273)^4)</f>
        <v>0</v>
      </c>
      <c r="AD32">
        <f>S32+AC32+AA32+AB32</f>
        <v>0</v>
      </c>
      <c r="AE32">
        <v>0</v>
      </c>
      <c r="AF32">
        <v>0</v>
      </c>
      <c r="AG32">
        <f>IF(AE32*$H$13&gt;=AI32,1.0,(AI32/(AI32-AE32*$H$13)))</f>
        <v>0</v>
      </c>
      <c r="AH32">
        <f>(AG32-1)*100</f>
        <v>0</v>
      </c>
      <c r="AI32">
        <f>MAX(0,($B$13+$C$13*BG32)/(1+$D$13*BG32)*AZ32/(BB32+273)*$E$13)</f>
        <v>0</v>
      </c>
      <c r="AJ32">
        <f>$B$11*BH32+$C$11*BI32+$D$11*BT32</f>
        <v>0</v>
      </c>
      <c r="AK32">
        <f>AJ32*AL32</f>
        <v>0</v>
      </c>
      <c r="AL32">
        <f>($B$11*$D$9+$C$11*$D$9+$D$11*(BU32*$E$9+BV32*$G$9))/($B$11+$C$11+$D$11)</f>
        <v>0</v>
      </c>
      <c r="AM32">
        <f>($B$11*$K$9+$C$11*$K$9+$D$11*(BU32*$L$9+BV32*$N$9))/($B$11+$C$11+$D$11)</f>
        <v>0</v>
      </c>
      <c r="AN32">
        <v>3</v>
      </c>
      <c r="AO32">
        <v>0.5</v>
      </c>
      <c r="AP32" t="s">
        <v>331</v>
      </c>
      <c r="AQ32">
        <v>2</v>
      </c>
      <c r="AR32">
        <v>1773196992</v>
      </c>
      <c r="AS32">
        <v>439.2592580645162</v>
      </c>
      <c r="AT32">
        <v>437.392935483871</v>
      </c>
      <c r="AU32">
        <v>6.158594516129032</v>
      </c>
      <c r="AV32">
        <v>3.737242580645161</v>
      </c>
      <c r="AW32">
        <v>433.0279677419355</v>
      </c>
      <c r="AX32">
        <v>6.078004516129031</v>
      </c>
      <c r="AY32">
        <v>499.9628709677419</v>
      </c>
      <c r="AZ32">
        <v>100.264935483871</v>
      </c>
      <c r="BA32">
        <v>0.04527691935483872</v>
      </c>
      <c r="BB32">
        <v>30.78475483870968</v>
      </c>
      <c r="BC32">
        <v>30.0183935483871</v>
      </c>
      <c r="BD32">
        <v>999.9000000000003</v>
      </c>
      <c r="BE32">
        <v>0</v>
      </c>
      <c r="BF32">
        <v>0</v>
      </c>
      <c r="BG32">
        <v>5012.564516129032</v>
      </c>
      <c r="BH32">
        <v>1.630778387096774</v>
      </c>
      <c r="BI32">
        <v>1962.17935483871</v>
      </c>
      <c r="BJ32">
        <v>1.866370322580645</v>
      </c>
      <c r="BK32">
        <v>441.9812580645162</v>
      </c>
      <c r="BL32">
        <v>439.0337419354839</v>
      </c>
      <c r="BM32">
        <v>2.421352258064516</v>
      </c>
      <c r="BN32">
        <v>437.392935483871</v>
      </c>
      <c r="BO32">
        <v>3.737242580645161</v>
      </c>
      <c r="BP32">
        <v>0.617491</v>
      </c>
      <c r="BQ32">
        <v>0.3747144193548386</v>
      </c>
      <c r="BR32">
        <v>0.08593980645161288</v>
      </c>
      <c r="BS32">
        <v>-6.605182580645161</v>
      </c>
      <c r="BT32">
        <v>0</v>
      </c>
      <c r="BU32">
        <v>0</v>
      </c>
      <c r="BV32">
        <v>0</v>
      </c>
      <c r="BW32">
        <v>35</v>
      </c>
      <c r="BX32">
        <v>50.02151612903226</v>
      </c>
      <c r="BY32">
        <v>1773196010</v>
      </c>
      <c r="BZ32" t="s">
        <v>332</v>
      </c>
      <c r="CA32">
        <v>1773196010</v>
      </c>
      <c r="CB32">
        <v>1773196005.5</v>
      </c>
      <c r="CC32">
        <v>2</v>
      </c>
      <c r="CD32">
        <v>-0.279</v>
      </c>
      <c r="CE32">
        <v>-0.021</v>
      </c>
      <c r="CF32">
        <v>6.231</v>
      </c>
      <c r="CG32">
        <v>0.081</v>
      </c>
      <c r="CH32">
        <v>432</v>
      </c>
      <c r="CI32">
        <v>21</v>
      </c>
      <c r="CJ32">
        <v>0.03</v>
      </c>
      <c r="CK32">
        <v>0.06</v>
      </c>
      <c r="CL32">
        <v>437.4077333333333</v>
      </c>
      <c r="CM32">
        <v>-0.9597330367059798</v>
      </c>
      <c r="CN32">
        <v>0.07087074306243357</v>
      </c>
      <c r="CO32">
        <v>-1</v>
      </c>
      <c r="CP32">
        <v>499.9607999999999</v>
      </c>
      <c r="CQ32">
        <v>0.7043559510582343</v>
      </c>
      <c r="CR32">
        <v>0.1362388588717081</v>
      </c>
      <c r="CS32">
        <v>-1</v>
      </c>
      <c r="CT32">
        <v>0</v>
      </c>
      <c r="CU32">
        <v>0</v>
      </c>
      <c r="CV32" t="s">
        <v>333</v>
      </c>
      <c r="CW32">
        <v>3.16877</v>
      </c>
      <c r="CX32">
        <v>2.66704</v>
      </c>
      <c r="CY32">
        <v>0.102852</v>
      </c>
      <c r="CZ32">
        <v>0.103685</v>
      </c>
      <c r="DA32">
        <v>0.0394355</v>
      </c>
      <c r="DB32">
        <v>0.0259936</v>
      </c>
      <c r="DC32">
        <v>21386.7</v>
      </c>
      <c r="DD32">
        <v>21871.7</v>
      </c>
      <c r="DE32">
        <v>22973.3</v>
      </c>
      <c r="DF32">
        <v>22334</v>
      </c>
      <c r="DG32">
        <v>33355.9</v>
      </c>
      <c r="DH32">
        <v>30658.3</v>
      </c>
      <c r="DI32">
        <v>40410.4</v>
      </c>
      <c r="DJ32">
        <v>36952.3</v>
      </c>
      <c r="DK32">
        <v>2.05028</v>
      </c>
      <c r="DL32">
        <v>1.6203</v>
      </c>
      <c r="DM32">
        <v>-0.0894308</v>
      </c>
      <c r="DN32">
        <v>0</v>
      </c>
      <c r="DO32">
        <v>31.4681</v>
      </c>
      <c r="DP32">
        <v>999.9</v>
      </c>
      <c r="DQ32">
        <v>49.5</v>
      </c>
      <c r="DR32">
        <v>31.6</v>
      </c>
      <c r="DS32">
        <v>23.049</v>
      </c>
      <c r="DT32">
        <v>29.68</v>
      </c>
      <c r="DU32">
        <v>11.7788</v>
      </c>
      <c r="DV32">
        <v>1</v>
      </c>
      <c r="DW32">
        <v>0.668998</v>
      </c>
      <c r="DX32">
        <v>2.17041</v>
      </c>
      <c r="DY32">
        <v>20.346</v>
      </c>
      <c r="DZ32">
        <v>5.20974</v>
      </c>
      <c r="EA32">
        <v>11.8542</v>
      </c>
      <c r="EB32">
        <v>4.96768</v>
      </c>
      <c r="EC32">
        <v>3.29296</v>
      </c>
      <c r="ED32">
        <v>879.4</v>
      </c>
      <c r="EE32">
        <v>9999</v>
      </c>
      <c r="EF32">
        <v>9999</v>
      </c>
      <c r="EG32">
        <v>76.3</v>
      </c>
      <c r="EH32">
        <v>4.97163</v>
      </c>
      <c r="EI32">
        <v>1.87201</v>
      </c>
      <c r="EJ32">
        <v>1.86923</v>
      </c>
      <c r="EK32">
        <v>1.87164</v>
      </c>
      <c r="EL32">
        <v>1.86936</v>
      </c>
      <c r="EM32">
        <v>1.86829</v>
      </c>
      <c r="EN32">
        <v>1.87012</v>
      </c>
      <c r="EO32">
        <v>1.87192</v>
      </c>
      <c r="EP32">
        <v>0</v>
      </c>
      <c r="EQ32">
        <v>0</v>
      </c>
      <c r="ER32">
        <v>0</v>
      </c>
      <c r="ES32">
        <v>0</v>
      </c>
      <c r="ET32" t="s">
        <v>334</v>
      </c>
      <c r="EU32" t="s">
        <v>335</v>
      </c>
      <c r="EV32" t="s">
        <v>336</v>
      </c>
      <c r="EW32" t="s">
        <v>336</v>
      </c>
      <c r="EX32" t="s">
        <v>336</v>
      </c>
      <c r="EY32" t="s">
        <v>336</v>
      </c>
      <c r="EZ32">
        <v>0</v>
      </c>
      <c r="FA32">
        <v>100</v>
      </c>
      <c r="FB32">
        <v>100</v>
      </c>
      <c r="FC32">
        <v>6.231</v>
      </c>
      <c r="FD32">
        <v>0.0806</v>
      </c>
      <c r="FE32">
        <v>6.23135000000002</v>
      </c>
      <c r="FF32">
        <v>0</v>
      </c>
      <c r="FG32">
        <v>0</v>
      </c>
      <c r="FH32">
        <v>0</v>
      </c>
      <c r="FI32">
        <v>0.08059047619047632</v>
      </c>
      <c r="FJ32">
        <v>0</v>
      </c>
      <c r="FK32">
        <v>0</v>
      </c>
      <c r="FL32">
        <v>0</v>
      </c>
      <c r="FM32">
        <v>-1</v>
      </c>
      <c r="FN32">
        <v>-1</v>
      </c>
      <c r="FO32">
        <v>-1</v>
      </c>
      <c r="FP32">
        <v>-1</v>
      </c>
      <c r="FQ32">
        <v>16.5</v>
      </c>
      <c r="FR32">
        <v>16.6</v>
      </c>
      <c r="FS32">
        <v>0.145264</v>
      </c>
      <c r="FT32">
        <v>4.99756</v>
      </c>
      <c r="FU32">
        <v>1.5979</v>
      </c>
      <c r="FV32">
        <v>2.1521</v>
      </c>
      <c r="FW32">
        <v>1.54785</v>
      </c>
      <c r="FX32">
        <v>2.3938</v>
      </c>
      <c r="FY32">
        <v>39.1924</v>
      </c>
      <c r="FZ32">
        <v>16.1284</v>
      </c>
      <c r="GA32">
        <v>3</v>
      </c>
      <c r="GB32">
        <v>513.987</v>
      </c>
      <c r="GC32">
        <v>336.533</v>
      </c>
      <c r="GD32">
        <v>29.0005</v>
      </c>
      <c r="GE32">
        <v>35.3176</v>
      </c>
      <c r="GF32">
        <v>30.0009</v>
      </c>
      <c r="GG32">
        <v>34.8595</v>
      </c>
      <c r="GH32">
        <v>34.7731</v>
      </c>
      <c r="GI32">
        <v>-1</v>
      </c>
      <c r="GJ32">
        <v>100</v>
      </c>
      <c r="GK32">
        <v>0</v>
      </c>
      <c r="GL32">
        <v>29.0099</v>
      </c>
      <c r="GM32">
        <v>1200</v>
      </c>
      <c r="GN32">
        <v>19.4378</v>
      </c>
      <c r="GO32">
        <v>101.687</v>
      </c>
      <c r="GP32">
        <v>96.4821</v>
      </c>
    </row>
    <row r="33" spans="1:198">
      <c r="A33">
        <v>17</v>
      </c>
      <c r="B33">
        <v>1773197060.1</v>
      </c>
      <c r="C33">
        <v>960.0999999046326</v>
      </c>
      <c r="D33" t="s">
        <v>367</v>
      </c>
      <c r="E33" t="s">
        <v>368</v>
      </c>
      <c r="F33">
        <v>15</v>
      </c>
      <c r="G33">
        <v>1773197052.099999</v>
      </c>
      <c r="H33">
        <f>(I33)/1000</f>
        <v>0</v>
      </c>
      <c r="I33">
        <f>1000*AY33*AG33*(AU33-AV33)/(100*AN33*(1000-AG33*AU33))</f>
        <v>0</v>
      </c>
      <c r="J33">
        <f>AY33*AG33*(AT33-AS33*(1000-AG33*AV33)/(1000-AG33*AU33))/(100*AN33)</f>
        <v>0</v>
      </c>
      <c r="K33">
        <f>AS33 - IF(AG33&gt;1, J33*AN33*100.0/(AI33), 0)</f>
        <v>0</v>
      </c>
      <c r="L33">
        <f>((R33-H33/2)*K33-J33)/(R33+H33/2)</f>
        <v>0</v>
      </c>
      <c r="M33">
        <f>L33*(AZ33+BA33)/1000.0</f>
        <v>0</v>
      </c>
      <c r="N33">
        <f>(AS33 - IF(AG33&gt;1, J33*AN33*100.0/(AI33), 0))*(AZ33+BA33)/1000.0</f>
        <v>0</v>
      </c>
      <c r="O33">
        <f>2.0/((1/Q33-1/P33)+SIGN(Q33)*SQRT((1/Q33-1/P33)*(1/Q33-1/P33) + 4*AO33/((AO33+1)*(AO33+1))*(2*1/Q33*1/P33-1/P33*1/P33)))</f>
        <v>0</v>
      </c>
      <c r="P33">
        <f>IF(LEFT(AP33,1)&lt;&gt;"0",IF(LEFT(AP33,1)="1",3.0,AQ33),$D$5+$E$5*(BG33*AZ33/($K$5*1000))+$F$5*(BG33*AZ33/($K$5*1000))*MAX(MIN(AN33,$J$5),$I$5)*MAX(MIN(AN33,$J$5),$I$5)+$G$5*MAX(MIN(AN33,$J$5),$I$5)*(BG33*AZ33/($K$5*1000))+$H$5*(BG33*AZ33/($K$5*1000))*(BG33*AZ33/($K$5*1000)))</f>
        <v>0</v>
      </c>
      <c r="Q33">
        <f>H33*(1000-(1000*0.61365*exp(17.502*U33/(240.97+U33))/(AZ33+BA33)+AU33)/2)/(1000*0.61365*exp(17.502*U33/(240.97+U33))/(AZ33+BA33)-AU33)</f>
        <v>0</v>
      </c>
      <c r="R33">
        <f>1/((AO33+1)/(O33/1.6)+1/(P33/1.37)) + AO33/((AO33+1)/(O33/1.6) + AO33/(P33/1.37))</f>
        <v>0</v>
      </c>
      <c r="S33">
        <f>(AJ33*AM33)</f>
        <v>0</v>
      </c>
      <c r="T33">
        <f>(BB33+(S33+2*0.95*5.67E-8*(((BB33+$B$7)+273)^4-(BB33+273)^4)-44100*H33)/(1.84*29.3*P33+8*0.95*5.67E-8*(BB33+273)^3))</f>
        <v>0</v>
      </c>
      <c r="U33">
        <f>($C$7*BC33+$D$7*BD33+$E$7*T33)</f>
        <v>0</v>
      </c>
      <c r="V33">
        <f>0.61365*exp(17.502*U33/(240.97+U33))</f>
        <v>0</v>
      </c>
      <c r="W33">
        <f>(X33/Y33*100)</f>
        <v>0</v>
      </c>
      <c r="X33">
        <f>AU33*(AZ33+BA33)/1000</f>
        <v>0</v>
      </c>
      <c r="Y33">
        <f>0.61365*exp(17.502*BB33/(240.97+BB33))</f>
        <v>0</v>
      </c>
      <c r="Z33">
        <f>(V33-AU33*(AZ33+BA33)/1000)</f>
        <v>0</v>
      </c>
      <c r="AA33">
        <f>(-H33*44100)</f>
        <v>0</v>
      </c>
      <c r="AB33">
        <f>2*29.3*P33*0.92*(BB33-U33)</f>
        <v>0</v>
      </c>
      <c r="AC33">
        <f>2*0.95*5.67E-8*(((BB33+$B$7)+273)^4-(U33+273)^4)</f>
        <v>0</v>
      </c>
      <c r="AD33">
        <f>S33+AC33+AA33+AB33</f>
        <v>0</v>
      </c>
      <c r="AE33">
        <v>0</v>
      </c>
      <c r="AF33">
        <v>0</v>
      </c>
      <c r="AG33">
        <f>IF(AE33*$H$13&gt;=AI33,1.0,(AI33/(AI33-AE33*$H$13)))</f>
        <v>0</v>
      </c>
      <c r="AH33">
        <f>(AG33-1)*100</f>
        <v>0</v>
      </c>
      <c r="AI33">
        <f>MAX(0,($B$13+$C$13*BG33)/(1+$D$13*BG33)*AZ33/(BB33+273)*$E$13)</f>
        <v>0</v>
      </c>
      <c r="AJ33">
        <f>$B$11*BH33+$C$11*BI33+$D$11*BT33</f>
        <v>0</v>
      </c>
      <c r="AK33">
        <f>AJ33*AL33</f>
        <v>0</v>
      </c>
      <c r="AL33">
        <f>($B$11*$D$9+$C$11*$D$9+$D$11*(BU33*$E$9+BV33*$G$9))/($B$11+$C$11+$D$11)</f>
        <v>0</v>
      </c>
      <c r="AM33">
        <f>($B$11*$K$9+$C$11*$K$9+$D$11*(BU33*$L$9+BV33*$N$9))/($B$11+$C$11+$D$11)</f>
        <v>0</v>
      </c>
      <c r="AN33">
        <v>3</v>
      </c>
      <c r="AO33">
        <v>0.5</v>
      </c>
      <c r="AP33" t="s">
        <v>331</v>
      </c>
      <c r="AQ33">
        <v>2</v>
      </c>
      <c r="AR33">
        <v>1773197052.099999</v>
      </c>
      <c r="AS33">
        <v>438.3711935483872</v>
      </c>
      <c r="AT33">
        <v>436.5891935483872</v>
      </c>
      <c r="AU33">
        <v>6.184027741935485</v>
      </c>
      <c r="AV33">
        <v>3.883890967741936</v>
      </c>
      <c r="AW33">
        <v>432.139935483871</v>
      </c>
      <c r="AX33">
        <v>6.103437419354839</v>
      </c>
      <c r="AY33">
        <v>500.0175806451613</v>
      </c>
      <c r="AZ33">
        <v>100.2686774193549</v>
      </c>
      <c r="BA33">
        <v>0.04533919677419355</v>
      </c>
      <c r="BB33">
        <v>30.78105483870968</v>
      </c>
      <c r="BC33">
        <v>30.03297096774193</v>
      </c>
      <c r="BD33">
        <v>999.9000000000003</v>
      </c>
      <c r="BE33">
        <v>0</v>
      </c>
      <c r="BF33">
        <v>0</v>
      </c>
      <c r="BG33">
        <v>5002.064516129032</v>
      </c>
      <c r="BH33">
        <v>1.614036774193549</v>
      </c>
      <c r="BI33">
        <v>1937.838387096775</v>
      </c>
      <c r="BJ33">
        <v>1.782039677419355</v>
      </c>
      <c r="BK33">
        <v>441.0990322580644</v>
      </c>
      <c r="BL33">
        <v>438.2915483870967</v>
      </c>
      <c r="BM33">
        <v>2.300136451612903</v>
      </c>
      <c r="BN33">
        <v>436.5891935483872</v>
      </c>
      <c r="BO33">
        <v>3.883890967741936</v>
      </c>
      <c r="BP33">
        <v>0.6200640967741936</v>
      </c>
      <c r="BQ33">
        <v>0.3894324838709677</v>
      </c>
      <c r="BR33">
        <v>0.1432455483870967</v>
      </c>
      <c r="BS33">
        <v>-6.102342903225807</v>
      </c>
      <c r="BT33">
        <v>0</v>
      </c>
      <c r="BU33">
        <v>0</v>
      </c>
      <c r="BV33">
        <v>0</v>
      </c>
      <c r="BW33">
        <v>35</v>
      </c>
      <c r="BX33">
        <v>50</v>
      </c>
      <c r="BY33">
        <v>1773196010</v>
      </c>
      <c r="BZ33" t="s">
        <v>332</v>
      </c>
      <c r="CA33">
        <v>1773196010</v>
      </c>
      <c r="CB33">
        <v>1773196005.5</v>
      </c>
      <c r="CC33">
        <v>2</v>
      </c>
      <c r="CD33">
        <v>-0.279</v>
      </c>
      <c r="CE33">
        <v>-0.021</v>
      </c>
      <c r="CF33">
        <v>6.231</v>
      </c>
      <c r="CG33">
        <v>0.081</v>
      </c>
      <c r="CH33">
        <v>432</v>
      </c>
      <c r="CI33">
        <v>21</v>
      </c>
      <c r="CJ33">
        <v>0.03</v>
      </c>
      <c r="CK33">
        <v>0.06</v>
      </c>
      <c r="CL33">
        <v>436.5920333333334</v>
      </c>
      <c r="CM33">
        <v>-0.5820600667396841</v>
      </c>
      <c r="CN33">
        <v>0.04530156975449957</v>
      </c>
      <c r="CO33">
        <v>-1</v>
      </c>
      <c r="CP33">
        <v>500.0184333333333</v>
      </c>
      <c r="CQ33">
        <v>0.3292458286969683</v>
      </c>
      <c r="CR33">
        <v>0.04238213722260126</v>
      </c>
      <c r="CS33">
        <v>-1</v>
      </c>
      <c r="CT33">
        <v>0</v>
      </c>
      <c r="CU33">
        <v>0</v>
      </c>
      <c r="CV33" t="s">
        <v>333</v>
      </c>
      <c r="CW33">
        <v>3.16887</v>
      </c>
      <c r="CX33">
        <v>2.66645</v>
      </c>
      <c r="CY33">
        <v>0.102663</v>
      </c>
      <c r="CZ33">
        <v>0.103507</v>
      </c>
      <c r="DA33">
        <v>0.0395742</v>
      </c>
      <c r="DB33">
        <v>0.0268596</v>
      </c>
      <c r="DC33">
        <v>21385.4</v>
      </c>
      <c r="DD33">
        <v>21873.2</v>
      </c>
      <c r="DE33">
        <v>22967.5</v>
      </c>
      <c r="DF33">
        <v>22331.5</v>
      </c>
      <c r="DG33">
        <v>33343.6</v>
      </c>
      <c r="DH33">
        <v>30626.6</v>
      </c>
      <c r="DI33">
        <v>40401.7</v>
      </c>
      <c r="DJ33">
        <v>36947.4</v>
      </c>
      <c r="DK33">
        <v>2.0492</v>
      </c>
      <c r="DL33">
        <v>1.61738</v>
      </c>
      <c r="DM33">
        <v>-0.0829101</v>
      </c>
      <c r="DN33">
        <v>0</v>
      </c>
      <c r="DO33">
        <v>31.381</v>
      </c>
      <c r="DP33">
        <v>999.9</v>
      </c>
      <c r="DQ33">
        <v>48.7</v>
      </c>
      <c r="DR33">
        <v>31.9</v>
      </c>
      <c r="DS33">
        <v>23.0614</v>
      </c>
      <c r="DT33">
        <v>30.0755</v>
      </c>
      <c r="DU33">
        <v>12.0433</v>
      </c>
      <c r="DV33">
        <v>1</v>
      </c>
      <c r="DW33">
        <v>0.6776219999999999</v>
      </c>
      <c r="DX33">
        <v>1.99247</v>
      </c>
      <c r="DY33">
        <v>20.3488</v>
      </c>
      <c r="DZ33">
        <v>5.20962</v>
      </c>
      <c r="EA33">
        <v>11.8542</v>
      </c>
      <c r="EB33">
        <v>4.96768</v>
      </c>
      <c r="EC33">
        <v>3.29296</v>
      </c>
      <c r="ED33">
        <v>879.4</v>
      </c>
      <c r="EE33">
        <v>9999</v>
      </c>
      <c r="EF33">
        <v>9999</v>
      </c>
      <c r="EG33">
        <v>76.3</v>
      </c>
      <c r="EH33">
        <v>4.97164</v>
      </c>
      <c r="EI33">
        <v>1.87198</v>
      </c>
      <c r="EJ33">
        <v>1.86932</v>
      </c>
      <c r="EK33">
        <v>1.87164</v>
      </c>
      <c r="EL33">
        <v>1.86936</v>
      </c>
      <c r="EM33">
        <v>1.86829</v>
      </c>
      <c r="EN33">
        <v>1.87012</v>
      </c>
      <c r="EO33">
        <v>1.87192</v>
      </c>
      <c r="EP33">
        <v>0</v>
      </c>
      <c r="EQ33">
        <v>0</v>
      </c>
      <c r="ER33">
        <v>0</v>
      </c>
      <c r="ES33">
        <v>0</v>
      </c>
      <c r="ET33" t="s">
        <v>334</v>
      </c>
      <c r="EU33" t="s">
        <v>335</v>
      </c>
      <c r="EV33" t="s">
        <v>336</v>
      </c>
      <c r="EW33" t="s">
        <v>336</v>
      </c>
      <c r="EX33" t="s">
        <v>336</v>
      </c>
      <c r="EY33" t="s">
        <v>336</v>
      </c>
      <c r="EZ33">
        <v>0</v>
      </c>
      <c r="FA33">
        <v>100</v>
      </c>
      <c r="FB33">
        <v>100</v>
      </c>
      <c r="FC33">
        <v>6.231</v>
      </c>
      <c r="FD33">
        <v>0.0806</v>
      </c>
      <c r="FE33">
        <v>6.23135000000002</v>
      </c>
      <c r="FF33">
        <v>0</v>
      </c>
      <c r="FG33">
        <v>0</v>
      </c>
      <c r="FH33">
        <v>0</v>
      </c>
      <c r="FI33">
        <v>0.08059047619047632</v>
      </c>
      <c r="FJ33">
        <v>0</v>
      </c>
      <c r="FK33">
        <v>0</v>
      </c>
      <c r="FL33">
        <v>0</v>
      </c>
      <c r="FM33">
        <v>-1</v>
      </c>
      <c r="FN33">
        <v>-1</v>
      </c>
      <c r="FO33">
        <v>-1</v>
      </c>
      <c r="FP33">
        <v>-1</v>
      </c>
      <c r="FQ33">
        <v>17.5</v>
      </c>
      <c r="FR33">
        <v>17.6</v>
      </c>
      <c r="FS33">
        <v>0.145264</v>
      </c>
      <c r="FT33">
        <v>4.99756</v>
      </c>
      <c r="FU33">
        <v>1.5979</v>
      </c>
      <c r="FV33">
        <v>2.15088</v>
      </c>
      <c r="FW33">
        <v>1.54785</v>
      </c>
      <c r="FX33">
        <v>2.44385</v>
      </c>
      <c r="FY33">
        <v>39.4666</v>
      </c>
      <c r="FZ33">
        <v>16.1196</v>
      </c>
      <c r="GA33">
        <v>3</v>
      </c>
      <c r="GB33">
        <v>514.605</v>
      </c>
      <c r="GC33">
        <v>335.918</v>
      </c>
      <c r="GD33">
        <v>29.1768</v>
      </c>
      <c r="GE33">
        <v>35.4437</v>
      </c>
      <c r="GF33">
        <v>30.0006</v>
      </c>
      <c r="GG33">
        <v>35.0342</v>
      </c>
      <c r="GH33">
        <v>34.9558</v>
      </c>
      <c r="GI33">
        <v>-1</v>
      </c>
      <c r="GJ33">
        <v>100</v>
      </c>
      <c r="GK33">
        <v>0</v>
      </c>
      <c r="GL33">
        <v>29.1848</v>
      </c>
      <c r="GM33">
        <v>1200</v>
      </c>
      <c r="GN33">
        <v>19.4378</v>
      </c>
      <c r="GO33">
        <v>101.663</v>
      </c>
      <c r="GP33">
        <v>96.47</v>
      </c>
    </row>
    <row r="34" spans="1:198">
      <c r="A34">
        <v>18</v>
      </c>
      <c r="B34">
        <v>1773197120.1</v>
      </c>
      <c r="C34">
        <v>1020.099999904633</v>
      </c>
      <c r="D34" t="s">
        <v>369</v>
      </c>
      <c r="E34" t="s">
        <v>370</v>
      </c>
      <c r="F34">
        <v>15</v>
      </c>
      <c r="G34">
        <v>1773197112.099999</v>
      </c>
      <c r="H34">
        <f>(I34)/1000</f>
        <v>0</v>
      </c>
      <c r="I34">
        <f>1000*AY34*AG34*(AU34-AV34)/(100*AN34*(1000-AG34*AU34))</f>
        <v>0</v>
      </c>
      <c r="J34">
        <f>AY34*AG34*(AT34-AS34*(1000-AG34*AV34)/(1000-AG34*AU34))/(100*AN34)</f>
        <v>0</v>
      </c>
      <c r="K34">
        <f>AS34 - IF(AG34&gt;1, J34*AN34*100.0/(AI34), 0)</f>
        <v>0</v>
      </c>
      <c r="L34">
        <f>((R34-H34/2)*K34-J34)/(R34+H34/2)</f>
        <v>0</v>
      </c>
      <c r="M34">
        <f>L34*(AZ34+BA34)/1000.0</f>
        <v>0</v>
      </c>
      <c r="N34">
        <f>(AS34 - IF(AG34&gt;1, J34*AN34*100.0/(AI34), 0))*(AZ34+BA34)/1000.0</f>
        <v>0</v>
      </c>
      <c r="O34">
        <f>2.0/((1/Q34-1/P34)+SIGN(Q34)*SQRT((1/Q34-1/P34)*(1/Q34-1/P34) + 4*AO34/((AO34+1)*(AO34+1))*(2*1/Q34*1/P34-1/P34*1/P34)))</f>
        <v>0</v>
      </c>
      <c r="P34">
        <f>IF(LEFT(AP34,1)&lt;&gt;"0",IF(LEFT(AP34,1)="1",3.0,AQ34),$D$5+$E$5*(BG34*AZ34/($K$5*1000))+$F$5*(BG34*AZ34/($K$5*1000))*MAX(MIN(AN34,$J$5),$I$5)*MAX(MIN(AN34,$J$5),$I$5)+$G$5*MAX(MIN(AN34,$J$5),$I$5)*(BG34*AZ34/($K$5*1000))+$H$5*(BG34*AZ34/($K$5*1000))*(BG34*AZ34/($K$5*1000)))</f>
        <v>0</v>
      </c>
      <c r="Q34">
        <f>H34*(1000-(1000*0.61365*exp(17.502*U34/(240.97+U34))/(AZ34+BA34)+AU34)/2)/(1000*0.61365*exp(17.502*U34/(240.97+U34))/(AZ34+BA34)-AU34)</f>
        <v>0</v>
      </c>
      <c r="R34">
        <f>1/((AO34+1)/(O34/1.6)+1/(P34/1.37)) + AO34/((AO34+1)/(O34/1.6) + AO34/(P34/1.37))</f>
        <v>0</v>
      </c>
      <c r="S34">
        <f>(AJ34*AM34)</f>
        <v>0</v>
      </c>
      <c r="T34">
        <f>(BB34+(S34+2*0.95*5.67E-8*(((BB34+$B$7)+273)^4-(BB34+273)^4)-44100*H34)/(1.84*29.3*P34+8*0.95*5.67E-8*(BB34+273)^3))</f>
        <v>0</v>
      </c>
      <c r="U34">
        <f>($C$7*BC34+$D$7*BD34+$E$7*T34)</f>
        <v>0</v>
      </c>
      <c r="V34">
        <f>0.61365*exp(17.502*U34/(240.97+U34))</f>
        <v>0</v>
      </c>
      <c r="W34">
        <f>(X34/Y34*100)</f>
        <v>0</v>
      </c>
      <c r="X34">
        <f>AU34*(AZ34+BA34)/1000</f>
        <v>0</v>
      </c>
      <c r="Y34">
        <f>0.61365*exp(17.502*BB34/(240.97+BB34))</f>
        <v>0</v>
      </c>
      <c r="Z34">
        <f>(V34-AU34*(AZ34+BA34)/1000)</f>
        <v>0</v>
      </c>
      <c r="AA34">
        <f>(-H34*44100)</f>
        <v>0</v>
      </c>
      <c r="AB34">
        <f>2*29.3*P34*0.92*(BB34-U34)</f>
        <v>0</v>
      </c>
      <c r="AC34">
        <f>2*0.95*5.67E-8*(((BB34+$B$7)+273)^4-(U34+273)^4)</f>
        <v>0</v>
      </c>
      <c r="AD34">
        <f>S34+AC34+AA34+AB34</f>
        <v>0</v>
      </c>
      <c r="AE34">
        <v>0</v>
      </c>
      <c r="AF34">
        <v>0</v>
      </c>
      <c r="AG34">
        <f>IF(AE34*$H$13&gt;=AI34,1.0,(AI34/(AI34-AE34*$H$13)))</f>
        <v>0</v>
      </c>
      <c r="AH34">
        <f>(AG34-1)*100</f>
        <v>0</v>
      </c>
      <c r="AI34">
        <f>MAX(0,($B$13+$C$13*BG34)/(1+$D$13*BG34)*AZ34/(BB34+273)*$E$13)</f>
        <v>0</v>
      </c>
      <c r="AJ34">
        <f>$B$11*BH34+$C$11*BI34+$D$11*BT34</f>
        <v>0</v>
      </c>
      <c r="AK34">
        <f>AJ34*AL34</f>
        <v>0</v>
      </c>
      <c r="AL34">
        <f>($B$11*$D$9+$C$11*$D$9+$D$11*(BU34*$E$9+BV34*$G$9))/($B$11+$C$11+$D$11)</f>
        <v>0</v>
      </c>
      <c r="AM34">
        <f>($B$11*$K$9+$C$11*$K$9+$D$11*(BU34*$L$9+BV34*$N$9))/($B$11+$C$11+$D$11)</f>
        <v>0</v>
      </c>
      <c r="AN34">
        <v>3</v>
      </c>
      <c r="AO34">
        <v>0.5</v>
      </c>
      <c r="AP34" t="s">
        <v>331</v>
      </c>
      <c r="AQ34">
        <v>2</v>
      </c>
      <c r="AR34">
        <v>1773197112.099999</v>
      </c>
      <c r="AS34">
        <v>438.0520645161291</v>
      </c>
      <c r="AT34">
        <v>436.2928064516129</v>
      </c>
      <c r="AU34">
        <v>6.237489677419355</v>
      </c>
      <c r="AV34">
        <v>4.036494193548386</v>
      </c>
      <c r="AW34">
        <v>431.8208387096776</v>
      </c>
      <c r="AX34">
        <v>6.156899032258065</v>
      </c>
      <c r="AY34">
        <v>499.976935483871</v>
      </c>
      <c r="AZ34">
        <v>100.2638387096774</v>
      </c>
      <c r="BA34">
        <v>0.04540900967741935</v>
      </c>
      <c r="BB34">
        <v>30.81278387096774</v>
      </c>
      <c r="BC34">
        <v>30.09146774193548</v>
      </c>
      <c r="BD34">
        <v>999.9000000000003</v>
      </c>
      <c r="BE34">
        <v>0</v>
      </c>
      <c r="BF34">
        <v>0</v>
      </c>
      <c r="BG34">
        <v>4992.193548387097</v>
      </c>
      <c r="BH34">
        <v>1.578315483870968</v>
      </c>
      <c r="BI34">
        <v>1924.366451612903</v>
      </c>
      <c r="BJ34">
        <v>1.759323870967742</v>
      </c>
      <c r="BK34">
        <v>440.8015806451612</v>
      </c>
      <c r="BL34">
        <v>438.0609677419355</v>
      </c>
      <c r="BM34">
        <v>2.200997096774193</v>
      </c>
      <c r="BN34">
        <v>436.2928064516129</v>
      </c>
      <c r="BO34">
        <v>4.036494193548386</v>
      </c>
      <c r="BP34">
        <v>0.6253941612903225</v>
      </c>
      <c r="BQ34">
        <v>0.4047140322580645</v>
      </c>
      <c r="BR34">
        <v>0.2612875161290323</v>
      </c>
      <c r="BS34">
        <v>-5.597830322580645</v>
      </c>
      <c r="BT34">
        <v>0</v>
      </c>
      <c r="BU34">
        <v>0</v>
      </c>
      <c r="BV34">
        <v>0</v>
      </c>
      <c r="BW34">
        <v>35</v>
      </c>
      <c r="BX34">
        <v>50</v>
      </c>
      <c r="BY34">
        <v>1773196010</v>
      </c>
      <c r="BZ34" t="s">
        <v>332</v>
      </c>
      <c r="CA34">
        <v>1773196010</v>
      </c>
      <c r="CB34">
        <v>1773196005.5</v>
      </c>
      <c r="CC34">
        <v>2</v>
      </c>
      <c r="CD34">
        <v>-0.279</v>
      </c>
      <c r="CE34">
        <v>-0.021</v>
      </c>
      <c r="CF34">
        <v>6.231</v>
      </c>
      <c r="CG34">
        <v>0.081</v>
      </c>
      <c r="CH34">
        <v>432</v>
      </c>
      <c r="CI34">
        <v>21</v>
      </c>
      <c r="CJ34">
        <v>0.03</v>
      </c>
      <c r="CK34">
        <v>0.06</v>
      </c>
      <c r="CL34">
        <v>436.2928064516129</v>
      </c>
      <c r="CM34">
        <v>-0.4156935483876972</v>
      </c>
      <c r="CN34">
        <v>0.0409377334850442</v>
      </c>
      <c r="CO34">
        <v>-1</v>
      </c>
      <c r="CP34">
        <v>499.976935483871</v>
      </c>
      <c r="CQ34">
        <v>0.5556774193539494</v>
      </c>
      <c r="CR34">
        <v>0.05518235779542654</v>
      </c>
      <c r="CS34">
        <v>-1</v>
      </c>
      <c r="CT34">
        <v>0</v>
      </c>
      <c r="CU34">
        <v>0</v>
      </c>
      <c r="CV34" t="s">
        <v>333</v>
      </c>
      <c r="CW34">
        <v>3.16881</v>
      </c>
      <c r="CX34">
        <v>2.66663</v>
      </c>
      <c r="CY34">
        <v>0.102571</v>
      </c>
      <c r="CZ34">
        <v>0.103403</v>
      </c>
      <c r="DA34">
        <v>0.0398649</v>
      </c>
      <c r="DB34">
        <v>0.0277789</v>
      </c>
      <c r="DC34">
        <v>21382.5</v>
      </c>
      <c r="DD34">
        <v>21873.6</v>
      </c>
      <c r="DE34">
        <v>22962.5</v>
      </c>
      <c r="DF34">
        <v>22329.5</v>
      </c>
      <c r="DG34">
        <v>33326.6</v>
      </c>
      <c r="DH34">
        <v>30594.7</v>
      </c>
      <c r="DI34">
        <v>40393.5</v>
      </c>
      <c r="DJ34">
        <v>36944.1</v>
      </c>
      <c r="DK34">
        <v>2.04786</v>
      </c>
      <c r="DL34">
        <v>1.61328</v>
      </c>
      <c r="DM34">
        <v>-0.0761747</v>
      </c>
      <c r="DN34">
        <v>0</v>
      </c>
      <c r="DO34">
        <v>31.3393</v>
      </c>
      <c r="DP34">
        <v>999.9</v>
      </c>
      <c r="DQ34">
        <v>48</v>
      </c>
      <c r="DR34">
        <v>32.3</v>
      </c>
      <c r="DS34">
        <v>23.2535</v>
      </c>
      <c r="DT34">
        <v>29.7755</v>
      </c>
      <c r="DU34">
        <v>11.879</v>
      </c>
      <c r="DV34">
        <v>1</v>
      </c>
      <c r="DW34">
        <v>0.686833</v>
      </c>
      <c r="DX34">
        <v>2.2798</v>
      </c>
      <c r="DY34">
        <v>20.3442</v>
      </c>
      <c r="DZ34">
        <v>5.20938</v>
      </c>
      <c r="EA34">
        <v>11.8542</v>
      </c>
      <c r="EB34">
        <v>4.96768</v>
      </c>
      <c r="EC34">
        <v>3.29288</v>
      </c>
      <c r="ED34">
        <v>879.4</v>
      </c>
      <c r="EE34">
        <v>9999</v>
      </c>
      <c r="EF34">
        <v>9999</v>
      </c>
      <c r="EG34">
        <v>76.3</v>
      </c>
      <c r="EH34">
        <v>4.97165</v>
      </c>
      <c r="EI34">
        <v>1.87197</v>
      </c>
      <c r="EJ34">
        <v>1.86929</v>
      </c>
      <c r="EK34">
        <v>1.87163</v>
      </c>
      <c r="EL34">
        <v>1.86939</v>
      </c>
      <c r="EM34">
        <v>1.86829</v>
      </c>
      <c r="EN34">
        <v>1.87012</v>
      </c>
      <c r="EO34">
        <v>1.87191</v>
      </c>
      <c r="EP34">
        <v>0</v>
      </c>
      <c r="EQ34">
        <v>0</v>
      </c>
      <c r="ER34">
        <v>0</v>
      </c>
      <c r="ES34">
        <v>0</v>
      </c>
      <c r="ET34" t="s">
        <v>334</v>
      </c>
      <c r="EU34" t="s">
        <v>335</v>
      </c>
      <c r="EV34" t="s">
        <v>336</v>
      </c>
      <c r="EW34" t="s">
        <v>336</v>
      </c>
      <c r="EX34" t="s">
        <v>336</v>
      </c>
      <c r="EY34" t="s">
        <v>336</v>
      </c>
      <c r="EZ34">
        <v>0</v>
      </c>
      <c r="FA34">
        <v>100</v>
      </c>
      <c r="FB34">
        <v>100</v>
      </c>
      <c r="FC34">
        <v>6.231</v>
      </c>
      <c r="FD34">
        <v>0.0806</v>
      </c>
      <c r="FE34">
        <v>6.23135000000002</v>
      </c>
      <c r="FF34">
        <v>0</v>
      </c>
      <c r="FG34">
        <v>0</v>
      </c>
      <c r="FH34">
        <v>0</v>
      </c>
      <c r="FI34">
        <v>0.08059047619047632</v>
      </c>
      <c r="FJ34">
        <v>0</v>
      </c>
      <c r="FK34">
        <v>0</v>
      </c>
      <c r="FL34">
        <v>0</v>
      </c>
      <c r="FM34">
        <v>-1</v>
      </c>
      <c r="FN34">
        <v>-1</v>
      </c>
      <c r="FO34">
        <v>-1</v>
      </c>
      <c r="FP34">
        <v>-1</v>
      </c>
      <c r="FQ34">
        <v>18.5</v>
      </c>
      <c r="FR34">
        <v>18.6</v>
      </c>
      <c r="FS34">
        <v>0.145264</v>
      </c>
      <c r="FT34">
        <v>4.99756</v>
      </c>
      <c r="FU34">
        <v>1.5979</v>
      </c>
      <c r="FV34">
        <v>2.15088</v>
      </c>
      <c r="FW34">
        <v>1.54785</v>
      </c>
      <c r="FX34">
        <v>2.36206</v>
      </c>
      <c r="FY34">
        <v>39.692</v>
      </c>
      <c r="FZ34">
        <v>16.1109</v>
      </c>
      <c r="GA34">
        <v>3</v>
      </c>
      <c r="GB34">
        <v>514.838</v>
      </c>
      <c r="GC34">
        <v>334.57</v>
      </c>
      <c r="GD34">
        <v>29.0709</v>
      </c>
      <c r="GE34">
        <v>35.54</v>
      </c>
      <c r="GF34">
        <v>30.0006</v>
      </c>
      <c r="GG34">
        <v>35.1787</v>
      </c>
      <c r="GH34">
        <v>35.1124</v>
      </c>
      <c r="GI34">
        <v>-1</v>
      </c>
      <c r="GJ34">
        <v>100</v>
      </c>
      <c r="GK34">
        <v>0</v>
      </c>
      <c r="GL34">
        <v>29.0881</v>
      </c>
      <c r="GM34">
        <v>1200</v>
      </c>
      <c r="GN34">
        <v>19.4378</v>
      </c>
      <c r="GO34">
        <v>101.642</v>
      </c>
      <c r="GP34">
        <v>96.4615</v>
      </c>
    </row>
    <row r="35" spans="1:198">
      <c r="A35">
        <v>19</v>
      </c>
      <c r="B35">
        <v>1773197180.1</v>
      </c>
      <c r="C35">
        <v>1080.099999904633</v>
      </c>
      <c r="D35" t="s">
        <v>371</v>
      </c>
      <c r="E35" t="s">
        <v>372</v>
      </c>
      <c r="F35">
        <v>15</v>
      </c>
      <c r="G35">
        <v>1773197172.099999</v>
      </c>
      <c r="H35">
        <f>(I35)/1000</f>
        <v>0</v>
      </c>
      <c r="I35">
        <f>1000*AY35*AG35*(AU35-AV35)/(100*AN35*(1000-AG35*AU35))</f>
        <v>0</v>
      </c>
      <c r="J35">
        <f>AY35*AG35*(AT35-AS35*(1000-AG35*AV35)/(1000-AG35*AU35))/(100*AN35)</f>
        <v>0</v>
      </c>
      <c r="K35">
        <f>AS35 - IF(AG35&gt;1, J35*AN35*100.0/(AI35), 0)</f>
        <v>0</v>
      </c>
      <c r="L35">
        <f>((R35-H35/2)*K35-J35)/(R35+H35/2)</f>
        <v>0</v>
      </c>
      <c r="M35">
        <f>L35*(AZ35+BA35)/1000.0</f>
        <v>0</v>
      </c>
      <c r="N35">
        <f>(AS35 - IF(AG35&gt;1, J35*AN35*100.0/(AI35), 0))*(AZ35+BA35)/1000.0</f>
        <v>0</v>
      </c>
      <c r="O35">
        <f>2.0/((1/Q35-1/P35)+SIGN(Q35)*SQRT((1/Q35-1/P35)*(1/Q35-1/P35) + 4*AO35/((AO35+1)*(AO35+1))*(2*1/Q35*1/P35-1/P35*1/P35)))</f>
        <v>0</v>
      </c>
      <c r="P35">
        <f>IF(LEFT(AP35,1)&lt;&gt;"0",IF(LEFT(AP35,1)="1",3.0,AQ35),$D$5+$E$5*(BG35*AZ35/($K$5*1000))+$F$5*(BG35*AZ35/($K$5*1000))*MAX(MIN(AN35,$J$5),$I$5)*MAX(MIN(AN35,$J$5),$I$5)+$G$5*MAX(MIN(AN35,$J$5),$I$5)*(BG35*AZ35/($K$5*1000))+$H$5*(BG35*AZ35/($K$5*1000))*(BG35*AZ35/($K$5*1000)))</f>
        <v>0</v>
      </c>
      <c r="Q35">
        <f>H35*(1000-(1000*0.61365*exp(17.502*U35/(240.97+U35))/(AZ35+BA35)+AU35)/2)/(1000*0.61365*exp(17.502*U35/(240.97+U35))/(AZ35+BA35)-AU35)</f>
        <v>0</v>
      </c>
      <c r="R35">
        <f>1/((AO35+1)/(O35/1.6)+1/(P35/1.37)) + AO35/((AO35+1)/(O35/1.6) + AO35/(P35/1.37))</f>
        <v>0</v>
      </c>
      <c r="S35">
        <f>(AJ35*AM35)</f>
        <v>0</v>
      </c>
      <c r="T35">
        <f>(BB35+(S35+2*0.95*5.67E-8*(((BB35+$B$7)+273)^4-(BB35+273)^4)-44100*H35)/(1.84*29.3*P35+8*0.95*5.67E-8*(BB35+273)^3))</f>
        <v>0</v>
      </c>
      <c r="U35">
        <f>($C$7*BC35+$D$7*BD35+$E$7*T35)</f>
        <v>0</v>
      </c>
      <c r="V35">
        <f>0.61365*exp(17.502*U35/(240.97+U35))</f>
        <v>0</v>
      </c>
      <c r="W35">
        <f>(X35/Y35*100)</f>
        <v>0</v>
      </c>
      <c r="X35">
        <f>AU35*(AZ35+BA35)/1000</f>
        <v>0</v>
      </c>
      <c r="Y35">
        <f>0.61365*exp(17.502*BB35/(240.97+BB35))</f>
        <v>0</v>
      </c>
      <c r="Z35">
        <f>(V35-AU35*(AZ35+BA35)/1000)</f>
        <v>0</v>
      </c>
      <c r="AA35">
        <f>(-H35*44100)</f>
        <v>0</v>
      </c>
      <c r="AB35">
        <f>2*29.3*P35*0.92*(BB35-U35)</f>
        <v>0</v>
      </c>
      <c r="AC35">
        <f>2*0.95*5.67E-8*(((BB35+$B$7)+273)^4-(U35+273)^4)</f>
        <v>0</v>
      </c>
      <c r="AD35">
        <f>S35+AC35+AA35+AB35</f>
        <v>0</v>
      </c>
      <c r="AE35">
        <v>0</v>
      </c>
      <c r="AF35">
        <v>0</v>
      </c>
      <c r="AG35">
        <f>IF(AE35*$H$13&gt;=AI35,1.0,(AI35/(AI35-AE35*$H$13)))</f>
        <v>0</v>
      </c>
      <c r="AH35">
        <f>(AG35-1)*100</f>
        <v>0</v>
      </c>
      <c r="AI35">
        <f>MAX(0,($B$13+$C$13*BG35)/(1+$D$13*BG35)*AZ35/(BB35+273)*$E$13)</f>
        <v>0</v>
      </c>
      <c r="AJ35">
        <f>$B$11*BH35+$C$11*BI35+$D$11*BT35</f>
        <v>0</v>
      </c>
      <c r="AK35">
        <f>AJ35*AL35</f>
        <v>0</v>
      </c>
      <c r="AL35">
        <f>($B$11*$D$9+$C$11*$D$9+$D$11*(BU35*$E$9+BV35*$G$9))/($B$11+$C$11+$D$11)</f>
        <v>0</v>
      </c>
      <c r="AM35">
        <f>($B$11*$K$9+$C$11*$K$9+$D$11*(BU35*$L$9+BV35*$N$9))/($B$11+$C$11+$D$11)</f>
        <v>0</v>
      </c>
      <c r="AN35">
        <v>3</v>
      </c>
      <c r="AO35">
        <v>0.5</v>
      </c>
      <c r="AP35" t="s">
        <v>331</v>
      </c>
      <c r="AQ35">
        <v>2</v>
      </c>
      <c r="AR35">
        <v>1773197172.099999</v>
      </c>
      <c r="AS35">
        <v>438.1375806451612</v>
      </c>
      <c r="AT35">
        <v>436.4598709677418</v>
      </c>
      <c r="AU35">
        <v>6.331943548387096</v>
      </c>
      <c r="AV35">
        <v>4.219945483870967</v>
      </c>
      <c r="AW35">
        <v>431.9062580645161</v>
      </c>
      <c r="AX35">
        <v>6.251353225806452</v>
      </c>
      <c r="AY35">
        <v>499.9982903225807</v>
      </c>
      <c r="AZ35">
        <v>100.2575161290322</v>
      </c>
      <c r="BA35">
        <v>0.04573632903225807</v>
      </c>
      <c r="BB35">
        <v>30.80225161290323</v>
      </c>
      <c r="BC35">
        <v>30.09661935483872</v>
      </c>
      <c r="BD35">
        <v>999.9000000000003</v>
      </c>
      <c r="BE35">
        <v>0</v>
      </c>
      <c r="BF35">
        <v>0</v>
      </c>
      <c r="BG35">
        <v>4997.870967741936</v>
      </c>
      <c r="BH35">
        <v>1.603436451612903</v>
      </c>
      <c r="BI35">
        <v>1959.971935483871</v>
      </c>
      <c r="BJ35">
        <v>1.677744516129032</v>
      </c>
      <c r="BK35">
        <v>440.9296451612903</v>
      </c>
      <c r="BL35">
        <v>438.3095161290322</v>
      </c>
      <c r="BM35">
        <v>2.111997741935484</v>
      </c>
      <c r="BN35">
        <v>436.4598709677418</v>
      </c>
      <c r="BO35">
        <v>4.219945483870967</v>
      </c>
      <c r="BP35">
        <v>0.6348249354838709</v>
      </c>
      <c r="BQ35">
        <v>0.4230811935483871</v>
      </c>
      <c r="BR35">
        <v>0.4679717096774194</v>
      </c>
      <c r="BS35">
        <v>-5.013380322580645</v>
      </c>
      <c r="BT35">
        <v>0</v>
      </c>
      <c r="BU35">
        <v>0</v>
      </c>
      <c r="BV35">
        <v>0</v>
      </c>
      <c r="BW35">
        <v>35</v>
      </c>
      <c r="BX35">
        <v>50.58280322580644</v>
      </c>
      <c r="BY35">
        <v>1773196010</v>
      </c>
      <c r="BZ35" t="s">
        <v>332</v>
      </c>
      <c r="CA35">
        <v>1773196010</v>
      </c>
      <c r="CB35">
        <v>1773196005.5</v>
      </c>
      <c r="CC35">
        <v>2</v>
      </c>
      <c r="CD35">
        <v>-0.279</v>
      </c>
      <c r="CE35">
        <v>-0.021</v>
      </c>
      <c r="CF35">
        <v>6.231</v>
      </c>
      <c r="CG35">
        <v>0.081</v>
      </c>
      <c r="CH35">
        <v>432</v>
      </c>
      <c r="CI35">
        <v>21</v>
      </c>
      <c r="CJ35">
        <v>0.03</v>
      </c>
      <c r="CK35">
        <v>0.06</v>
      </c>
      <c r="CL35">
        <v>436.4598333333333</v>
      </c>
      <c r="CM35">
        <v>-0.08310567296946472</v>
      </c>
      <c r="CN35">
        <v>0.01225583761134014</v>
      </c>
      <c r="CO35">
        <v>-1</v>
      </c>
      <c r="CP35">
        <v>499.9946</v>
      </c>
      <c r="CQ35">
        <v>0.2930189099008225</v>
      </c>
      <c r="CR35">
        <v>0.037644477239922</v>
      </c>
      <c r="CS35">
        <v>-1</v>
      </c>
      <c r="CT35">
        <v>0</v>
      </c>
      <c r="CU35">
        <v>0</v>
      </c>
      <c r="CV35" t="s">
        <v>333</v>
      </c>
      <c r="CW35">
        <v>3.16896</v>
      </c>
      <c r="CX35">
        <v>2.66681</v>
      </c>
      <c r="CY35">
        <v>0.102563</v>
      </c>
      <c r="CZ35">
        <v>0.103421</v>
      </c>
      <c r="DA35">
        <v>0.0403815</v>
      </c>
      <c r="DB35">
        <v>0.0288714</v>
      </c>
      <c r="DC35">
        <v>21378.7</v>
      </c>
      <c r="DD35">
        <v>21871.4</v>
      </c>
      <c r="DE35">
        <v>22958.5</v>
      </c>
      <c r="DF35">
        <v>22328.1</v>
      </c>
      <c r="DG35">
        <v>33303.3</v>
      </c>
      <c r="DH35">
        <v>30557.6</v>
      </c>
      <c r="DI35">
        <v>40387.2</v>
      </c>
      <c r="DJ35">
        <v>36941.1</v>
      </c>
      <c r="DK35">
        <v>2.04724</v>
      </c>
      <c r="DL35">
        <v>1.60982</v>
      </c>
      <c r="DM35">
        <v>-0.0760555</v>
      </c>
      <c r="DN35">
        <v>0</v>
      </c>
      <c r="DO35">
        <v>31.3399</v>
      </c>
      <c r="DP35">
        <v>999.9</v>
      </c>
      <c r="DQ35">
        <v>47</v>
      </c>
      <c r="DR35">
        <v>32.6</v>
      </c>
      <c r="DS35">
        <v>23.1562</v>
      </c>
      <c r="DT35">
        <v>30.2255</v>
      </c>
      <c r="DU35">
        <v>12.1354</v>
      </c>
      <c r="DV35">
        <v>1</v>
      </c>
      <c r="DW35">
        <v>0.692343</v>
      </c>
      <c r="DX35">
        <v>2.22955</v>
      </c>
      <c r="DY35">
        <v>20.3452</v>
      </c>
      <c r="DZ35">
        <v>5.20962</v>
      </c>
      <c r="EA35">
        <v>11.8542</v>
      </c>
      <c r="EB35">
        <v>4.96736</v>
      </c>
      <c r="EC35">
        <v>3.2928</v>
      </c>
      <c r="ED35">
        <v>879.4</v>
      </c>
      <c r="EE35">
        <v>9999</v>
      </c>
      <c r="EF35">
        <v>9999</v>
      </c>
      <c r="EG35">
        <v>76.3</v>
      </c>
      <c r="EH35">
        <v>4.97164</v>
      </c>
      <c r="EI35">
        <v>1.87201</v>
      </c>
      <c r="EJ35">
        <v>1.86931</v>
      </c>
      <c r="EK35">
        <v>1.87164</v>
      </c>
      <c r="EL35">
        <v>1.86938</v>
      </c>
      <c r="EM35">
        <v>1.86829</v>
      </c>
      <c r="EN35">
        <v>1.87012</v>
      </c>
      <c r="EO35">
        <v>1.87194</v>
      </c>
      <c r="EP35">
        <v>0</v>
      </c>
      <c r="EQ35">
        <v>0</v>
      </c>
      <c r="ER35">
        <v>0</v>
      </c>
      <c r="ES35">
        <v>0</v>
      </c>
      <c r="ET35" t="s">
        <v>334</v>
      </c>
      <c r="EU35" t="s">
        <v>335</v>
      </c>
      <c r="EV35" t="s">
        <v>336</v>
      </c>
      <c r="EW35" t="s">
        <v>336</v>
      </c>
      <c r="EX35" t="s">
        <v>336</v>
      </c>
      <c r="EY35" t="s">
        <v>336</v>
      </c>
      <c r="EZ35">
        <v>0</v>
      </c>
      <c r="FA35">
        <v>100</v>
      </c>
      <c r="FB35">
        <v>100</v>
      </c>
      <c r="FC35">
        <v>6.231</v>
      </c>
      <c r="FD35">
        <v>0.0806</v>
      </c>
      <c r="FE35">
        <v>6.23135000000002</v>
      </c>
      <c r="FF35">
        <v>0</v>
      </c>
      <c r="FG35">
        <v>0</v>
      </c>
      <c r="FH35">
        <v>0</v>
      </c>
      <c r="FI35">
        <v>0.08059047619047632</v>
      </c>
      <c r="FJ35">
        <v>0</v>
      </c>
      <c r="FK35">
        <v>0</v>
      </c>
      <c r="FL35">
        <v>0</v>
      </c>
      <c r="FM35">
        <v>-1</v>
      </c>
      <c r="FN35">
        <v>-1</v>
      </c>
      <c r="FO35">
        <v>-1</v>
      </c>
      <c r="FP35">
        <v>-1</v>
      </c>
      <c r="FQ35">
        <v>19.5</v>
      </c>
      <c r="FR35">
        <v>19.6</v>
      </c>
      <c r="FS35">
        <v>0.145264</v>
      </c>
      <c r="FT35">
        <v>4.99756</v>
      </c>
      <c r="FU35">
        <v>1.5979</v>
      </c>
      <c r="FV35">
        <v>2.14844</v>
      </c>
      <c r="FW35">
        <v>1.54785</v>
      </c>
      <c r="FX35">
        <v>2.45972</v>
      </c>
      <c r="FY35">
        <v>39.9184</v>
      </c>
      <c r="FZ35">
        <v>16.1109</v>
      </c>
      <c r="GA35">
        <v>3</v>
      </c>
      <c r="GB35">
        <v>515.371</v>
      </c>
      <c r="GC35">
        <v>333.44</v>
      </c>
      <c r="GD35">
        <v>29.0048</v>
      </c>
      <c r="GE35">
        <v>35.6269</v>
      </c>
      <c r="GF35">
        <v>30.0005</v>
      </c>
      <c r="GG35">
        <v>35.3039</v>
      </c>
      <c r="GH35">
        <v>35.2461</v>
      </c>
      <c r="GI35">
        <v>-1</v>
      </c>
      <c r="GJ35">
        <v>100</v>
      </c>
      <c r="GK35">
        <v>0</v>
      </c>
      <c r="GL35">
        <v>29.006</v>
      </c>
      <c r="GM35">
        <v>1200</v>
      </c>
      <c r="GN35">
        <v>19.4378</v>
      </c>
      <c r="GO35">
        <v>101.626</v>
      </c>
      <c r="GP35">
        <v>96.4541</v>
      </c>
    </row>
    <row r="36" spans="1:198">
      <c r="A36">
        <v>20</v>
      </c>
      <c r="B36">
        <v>1773197240.1</v>
      </c>
      <c r="C36">
        <v>1140.099999904633</v>
      </c>
      <c r="D36" t="s">
        <v>373</v>
      </c>
      <c r="E36" t="s">
        <v>374</v>
      </c>
      <c r="F36">
        <v>15</v>
      </c>
      <c r="G36">
        <v>1773197232.099999</v>
      </c>
      <c r="H36">
        <f>(I36)/1000</f>
        <v>0</v>
      </c>
      <c r="I36">
        <f>1000*AY36*AG36*(AU36-AV36)/(100*AN36*(1000-AG36*AU36))</f>
        <v>0</v>
      </c>
      <c r="J36">
        <f>AY36*AG36*(AT36-AS36*(1000-AG36*AV36)/(1000-AG36*AU36))/(100*AN36)</f>
        <v>0</v>
      </c>
      <c r="K36">
        <f>AS36 - IF(AG36&gt;1, J36*AN36*100.0/(AI36), 0)</f>
        <v>0</v>
      </c>
      <c r="L36">
        <f>((R36-H36/2)*K36-J36)/(R36+H36/2)</f>
        <v>0</v>
      </c>
      <c r="M36">
        <f>L36*(AZ36+BA36)/1000.0</f>
        <v>0</v>
      </c>
      <c r="N36">
        <f>(AS36 - IF(AG36&gt;1, J36*AN36*100.0/(AI36), 0))*(AZ36+BA36)/1000.0</f>
        <v>0</v>
      </c>
      <c r="O36">
        <f>2.0/((1/Q36-1/P36)+SIGN(Q36)*SQRT((1/Q36-1/P36)*(1/Q36-1/P36) + 4*AO36/((AO36+1)*(AO36+1))*(2*1/Q36*1/P36-1/P36*1/P36)))</f>
        <v>0</v>
      </c>
      <c r="P36">
        <f>IF(LEFT(AP36,1)&lt;&gt;"0",IF(LEFT(AP36,1)="1",3.0,AQ36),$D$5+$E$5*(BG36*AZ36/($K$5*1000))+$F$5*(BG36*AZ36/($K$5*1000))*MAX(MIN(AN36,$J$5),$I$5)*MAX(MIN(AN36,$J$5),$I$5)+$G$5*MAX(MIN(AN36,$J$5),$I$5)*(BG36*AZ36/($K$5*1000))+$H$5*(BG36*AZ36/($K$5*1000))*(BG36*AZ36/($K$5*1000)))</f>
        <v>0</v>
      </c>
      <c r="Q36">
        <f>H36*(1000-(1000*0.61365*exp(17.502*U36/(240.97+U36))/(AZ36+BA36)+AU36)/2)/(1000*0.61365*exp(17.502*U36/(240.97+U36))/(AZ36+BA36)-AU36)</f>
        <v>0</v>
      </c>
      <c r="R36">
        <f>1/((AO36+1)/(O36/1.6)+1/(P36/1.37)) + AO36/((AO36+1)/(O36/1.6) + AO36/(P36/1.37))</f>
        <v>0</v>
      </c>
      <c r="S36">
        <f>(AJ36*AM36)</f>
        <v>0</v>
      </c>
      <c r="T36">
        <f>(BB36+(S36+2*0.95*5.67E-8*(((BB36+$B$7)+273)^4-(BB36+273)^4)-44100*H36)/(1.84*29.3*P36+8*0.95*5.67E-8*(BB36+273)^3))</f>
        <v>0</v>
      </c>
      <c r="U36">
        <f>($C$7*BC36+$D$7*BD36+$E$7*T36)</f>
        <v>0</v>
      </c>
      <c r="V36">
        <f>0.61365*exp(17.502*U36/(240.97+U36))</f>
        <v>0</v>
      </c>
      <c r="W36">
        <f>(X36/Y36*100)</f>
        <v>0</v>
      </c>
      <c r="X36">
        <f>AU36*(AZ36+BA36)/1000</f>
        <v>0</v>
      </c>
      <c r="Y36">
        <f>0.61365*exp(17.502*BB36/(240.97+BB36))</f>
        <v>0</v>
      </c>
      <c r="Z36">
        <f>(V36-AU36*(AZ36+BA36)/1000)</f>
        <v>0</v>
      </c>
      <c r="AA36">
        <f>(-H36*44100)</f>
        <v>0</v>
      </c>
      <c r="AB36">
        <f>2*29.3*P36*0.92*(BB36-U36)</f>
        <v>0</v>
      </c>
      <c r="AC36">
        <f>2*0.95*5.67E-8*(((BB36+$B$7)+273)^4-(U36+273)^4)</f>
        <v>0</v>
      </c>
      <c r="AD36">
        <f>S36+AC36+AA36+AB36</f>
        <v>0</v>
      </c>
      <c r="AE36">
        <v>0</v>
      </c>
      <c r="AF36">
        <v>0</v>
      </c>
      <c r="AG36">
        <f>IF(AE36*$H$13&gt;=AI36,1.0,(AI36/(AI36-AE36*$H$13)))</f>
        <v>0</v>
      </c>
      <c r="AH36">
        <f>(AG36-1)*100</f>
        <v>0</v>
      </c>
      <c r="AI36">
        <f>MAX(0,($B$13+$C$13*BG36)/(1+$D$13*BG36)*AZ36/(BB36+273)*$E$13)</f>
        <v>0</v>
      </c>
      <c r="AJ36">
        <f>$B$11*BH36+$C$11*BI36+$D$11*BT36</f>
        <v>0</v>
      </c>
      <c r="AK36">
        <f>AJ36*AL36</f>
        <v>0</v>
      </c>
      <c r="AL36">
        <f>($B$11*$D$9+$C$11*$D$9+$D$11*(BU36*$E$9+BV36*$G$9))/($B$11+$C$11+$D$11)</f>
        <v>0</v>
      </c>
      <c r="AM36">
        <f>($B$11*$K$9+$C$11*$K$9+$D$11*(BU36*$L$9+BV36*$N$9))/($B$11+$C$11+$D$11)</f>
        <v>0</v>
      </c>
      <c r="AN36">
        <v>3</v>
      </c>
      <c r="AO36">
        <v>0.5</v>
      </c>
      <c r="AP36" t="s">
        <v>331</v>
      </c>
      <c r="AQ36">
        <v>2</v>
      </c>
      <c r="AR36">
        <v>1773197232.099999</v>
      </c>
      <c r="AS36">
        <v>438.2259677419354</v>
      </c>
      <c r="AT36">
        <v>436.4620322580645</v>
      </c>
      <c r="AU36">
        <v>6.457454838709676</v>
      </c>
      <c r="AV36">
        <v>4.417402258064516</v>
      </c>
      <c r="AW36">
        <v>431.9945483870967</v>
      </c>
      <c r="AX36">
        <v>6.376864838709677</v>
      </c>
      <c r="AY36">
        <v>499.9995483870966</v>
      </c>
      <c r="AZ36">
        <v>100.2533870967742</v>
      </c>
      <c r="BA36">
        <v>0.04501711935483871</v>
      </c>
      <c r="BB36">
        <v>30.81766451612904</v>
      </c>
      <c r="BC36">
        <v>30.13754838709677</v>
      </c>
      <c r="BD36">
        <v>999.9000000000003</v>
      </c>
      <c r="BE36">
        <v>0</v>
      </c>
      <c r="BF36">
        <v>0</v>
      </c>
      <c r="BG36">
        <v>5001.903225806452</v>
      </c>
      <c r="BH36">
        <v>1.641780967741935</v>
      </c>
      <c r="BI36">
        <v>1997.036129032258</v>
      </c>
      <c r="BJ36">
        <v>1.763913225806452</v>
      </c>
      <c r="BK36">
        <v>441.0740322580645</v>
      </c>
      <c r="BL36">
        <v>438.3986129032257</v>
      </c>
      <c r="BM36">
        <v>2.040053225806451</v>
      </c>
      <c r="BN36">
        <v>436.4620322580645</v>
      </c>
      <c r="BO36">
        <v>4.417402258064516</v>
      </c>
      <c r="BP36">
        <v>0.6473822258064518</v>
      </c>
      <c r="BQ36">
        <v>0.4428599032258065</v>
      </c>
      <c r="BR36">
        <v>0.739007387096774</v>
      </c>
      <c r="BS36">
        <v>-4.408683225806451</v>
      </c>
      <c r="BT36">
        <v>0</v>
      </c>
      <c r="BU36">
        <v>0</v>
      </c>
      <c r="BV36">
        <v>0</v>
      </c>
      <c r="BW36">
        <v>35</v>
      </c>
      <c r="BX36">
        <v>51</v>
      </c>
      <c r="BY36">
        <v>1773196010</v>
      </c>
      <c r="BZ36" t="s">
        <v>332</v>
      </c>
      <c r="CA36">
        <v>1773196010</v>
      </c>
      <c r="CB36">
        <v>1773196005.5</v>
      </c>
      <c r="CC36">
        <v>2</v>
      </c>
      <c r="CD36">
        <v>-0.279</v>
      </c>
      <c r="CE36">
        <v>-0.021</v>
      </c>
      <c r="CF36">
        <v>6.231</v>
      </c>
      <c r="CG36">
        <v>0.081</v>
      </c>
      <c r="CH36">
        <v>432</v>
      </c>
      <c r="CI36">
        <v>21</v>
      </c>
      <c r="CJ36">
        <v>0.03</v>
      </c>
      <c r="CK36">
        <v>0.06</v>
      </c>
      <c r="CL36">
        <v>436.4620322580645</v>
      </c>
      <c r="CM36">
        <v>-1.002145161290345</v>
      </c>
      <c r="CN36">
        <v>0.08478377959254736</v>
      </c>
      <c r="CO36">
        <v>-1</v>
      </c>
      <c r="CP36">
        <v>499.9995483870966</v>
      </c>
      <c r="CQ36">
        <v>0.4867258064512774</v>
      </c>
      <c r="CR36">
        <v>0.04810528688647887</v>
      </c>
      <c r="CS36">
        <v>-1</v>
      </c>
      <c r="CT36">
        <v>0</v>
      </c>
      <c r="CU36">
        <v>0</v>
      </c>
      <c r="CV36" t="s">
        <v>333</v>
      </c>
      <c r="CW36">
        <v>3.16897</v>
      </c>
      <c r="CX36">
        <v>2.66612</v>
      </c>
      <c r="CY36">
        <v>0.102534</v>
      </c>
      <c r="CZ36">
        <v>0.103351</v>
      </c>
      <c r="DA36">
        <v>0.0410526</v>
      </c>
      <c r="DB36">
        <v>0.0300218</v>
      </c>
      <c r="DC36">
        <v>21375.9</v>
      </c>
      <c r="DD36">
        <v>21871.8</v>
      </c>
      <c r="DE36">
        <v>22955.1</v>
      </c>
      <c r="DF36">
        <v>22326.9</v>
      </c>
      <c r="DG36">
        <v>33275.4</v>
      </c>
      <c r="DH36">
        <v>30519.4</v>
      </c>
      <c r="DI36">
        <v>40381.9</v>
      </c>
      <c r="DJ36">
        <v>36938.9</v>
      </c>
      <c r="DK36">
        <v>2.04658</v>
      </c>
      <c r="DL36">
        <v>1.60702</v>
      </c>
      <c r="DM36">
        <v>-0.0756085</v>
      </c>
      <c r="DN36">
        <v>0</v>
      </c>
      <c r="DO36">
        <v>31.374</v>
      </c>
      <c r="DP36">
        <v>999.9</v>
      </c>
      <c r="DQ36">
        <v>46.5</v>
      </c>
      <c r="DR36">
        <v>32.9</v>
      </c>
      <c r="DS36">
        <v>23.3031</v>
      </c>
      <c r="DT36">
        <v>30.1655</v>
      </c>
      <c r="DU36">
        <v>11.9431</v>
      </c>
      <c r="DV36">
        <v>1</v>
      </c>
      <c r="DW36">
        <v>0.698447</v>
      </c>
      <c r="DX36">
        <v>2.35306</v>
      </c>
      <c r="DY36">
        <v>20.3431</v>
      </c>
      <c r="DZ36">
        <v>5.20926</v>
      </c>
      <c r="EA36">
        <v>11.8542</v>
      </c>
      <c r="EB36">
        <v>4.96752</v>
      </c>
      <c r="EC36">
        <v>3.2928</v>
      </c>
      <c r="ED36">
        <v>879.4</v>
      </c>
      <c r="EE36">
        <v>9999</v>
      </c>
      <c r="EF36">
        <v>9999</v>
      </c>
      <c r="EG36">
        <v>76.3</v>
      </c>
      <c r="EH36">
        <v>4.97162</v>
      </c>
      <c r="EI36">
        <v>1.87199</v>
      </c>
      <c r="EJ36">
        <v>1.86934</v>
      </c>
      <c r="EK36">
        <v>1.87164</v>
      </c>
      <c r="EL36">
        <v>1.86943</v>
      </c>
      <c r="EM36">
        <v>1.86829</v>
      </c>
      <c r="EN36">
        <v>1.87012</v>
      </c>
      <c r="EO36">
        <v>1.87194</v>
      </c>
      <c r="EP36">
        <v>0</v>
      </c>
      <c r="EQ36">
        <v>0</v>
      </c>
      <c r="ER36">
        <v>0</v>
      </c>
      <c r="ES36">
        <v>0</v>
      </c>
      <c r="ET36" t="s">
        <v>334</v>
      </c>
      <c r="EU36" t="s">
        <v>335</v>
      </c>
      <c r="EV36" t="s">
        <v>336</v>
      </c>
      <c r="EW36" t="s">
        <v>336</v>
      </c>
      <c r="EX36" t="s">
        <v>336</v>
      </c>
      <c r="EY36" t="s">
        <v>336</v>
      </c>
      <c r="EZ36">
        <v>0</v>
      </c>
      <c r="FA36">
        <v>100</v>
      </c>
      <c r="FB36">
        <v>100</v>
      </c>
      <c r="FC36">
        <v>6.232</v>
      </c>
      <c r="FD36">
        <v>0.0806</v>
      </c>
      <c r="FE36">
        <v>6.23135000000002</v>
      </c>
      <c r="FF36">
        <v>0</v>
      </c>
      <c r="FG36">
        <v>0</v>
      </c>
      <c r="FH36">
        <v>0</v>
      </c>
      <c r="FI36">
        <v>0.08059047619047632</v>
      </c>
      <c r="FJ36">
        <v>0</v>
      </c>
      <c r="FK36">
        <v>0</v>
      </c>
      <c r="FL36">
        <v>0</v>
      </c>
      <c r="FM36">
        <v>-1</v>
      </c>
      <c r="FN36">
        <v>-1</v>
      </c>
      <c r="FO36">
        <v>-1</v>
      </c>
      <c r="FP36">
        <v>-1</v>
      </c>
      <c r="FQ36">
        <v>20.5</v>
      </c>
      <c r="FR36">
        <v>20.6</v>
      </c>
      <c r="FS36">
        <v>0.145264</v>
      </c>
      <c r="FT36">
        <v>4.99756</v>
      </c>
      <c r="FU36">
        <v>1.5979</v>
      </c>
      <c r="FV36">
        <v>2.14722</v>
      </c>
      <c r="FW36">
        <v>1.54785</v>
      </c>
      <c r="FX36">
        <v>2.4707</v>
      </c>
      <c r="FY36">
        <v>40.1206</v>
      </c>
      <c r="FZ36">
        <v>16.1109</v>
      </c>
      <c r="GA36">
        <v>3</v>
      </c>
      <c r="GB36">
        <v>515.7569999999999</v>
      </c>
      <c r="GC36">
        <v>332.569</v>
      </c>
      <c r="GD36">
        <v>28.9842</v>
      </c>
      <c r="GE36">
        <v>35.7022</v>
      </c>
      <c r="GF36">
        <v>30.0007</v>
      </c>
      <c r="GG36">
        <v>35.4126</v>
      </c>
      <c r="GH36">
        <v>35.3639</v>
      </c>
      <c r="GI36">
        <v>-1</v>
      </c>
      <c r="GJ36">
        <v>100</v>
      </c>
      <c r="GK36">
        <v>0</v>
      </c>
      <c r="GL36">
        <v>28.9721</v>
      </c>
      <c r="GM36">
        <v>1200</v>
      </c>
      <c r="GN36">
        <v>19.4378</v>
      </c>
      <c r="GO36">
        <v>101.612</v>
      </c>
      <c r="GP36">
        <v>96.44880000000001</v>
      </c>
    </row>
    <row r="37" spans="1:198">
      <c r="A37">
        <v>21</v>
      </c>
      <c r="B37">
        <v>1773197300.1</v>
      </c>
      <c r="C37">
        <v>1200.099999904633</v>
      </c>
      <c r="D37" t="s">
        <v>375</v>
      </c>
      <c r="E37" t="s">
        <v>376</v>
      </c>
      <c r="F37">
        <v>15</v>
      </c>
      <c r="G37">
        <v>1773197292.099999</v>
      </c>
      <c r="H37">
        <f>(I37)/1000</f>
        <v>0</v>
      </c>
      <c r="I37">
        <f>1000*AY37*AG37*(AU37-AV37)/(100*AN37*(1000-AG37*AU37))</f>
        <v>0</v>
      </c>
      <c r="J37">
        <f>AY37*AG37*(AT37-AS37*(1000-AG37*AV37)/(1000-AG37*AU37))/(100*AN37)</f>
        <v>0</v>
      </c>
      <c r="K37">
        <f>AS37 - IF(AG37&gt;1, J37*AN37*100.0/(AI37), 0)</f>
        <v>0</v>
      </c>
      <c r="L37">
        <f>((R37-H37/2)*K37-J37)/(R37+H37/2)</f>
        <v>0</v>
      </c>
      <c r="M37">
        <f>L37*(AZ37+BA37)/1000.0</f>
        <v>0</v>
      </c>
      <c r="N37">
        <f>(AS37 - IF(AG37&gt;1, J37*AN37*100.0/(AI37), 0))*(AZ37+BA37)/1000.0</f>
        <v>0</v>
      </c>
      <c r="O37">
        <f>2.0/((1/Q37-1/P37)+SIGN(Q37)*SQRT((1/Q37-1/P37)*(1/Q37-1/P37) + 4*AO37/((AO37+1)*(AO37+1))*(2*1/Q37*1/P37-1/P37*1/P37)))</f>
        <v>0</v>
      </c>
      <c r="P37">
        <f>IF(LEFT(AP37,1)&lt;&gt;"0",IF(LEFT(AP37,1)="1",3.0,AQ37),$D$5+$E$5*(BG37*AZ37/($K$5*1000))+$F$5*(BG37*AZ37/($K$5*1000))*MAX(MIN(AN37,$J$5),$I$5)*MAX(MIN(AN37,$J$5),$I$5)+$G$5*MAX(MIN(AN37,$J$5),$I$5)*(BG37*AZ37/($K$5*1000))+$H$5*(BG37*AZ37/($K$5*1000))*(BG37*AZ37/($K$5*1000)))</f>
        <v>0</v>
      </c>
      <c r="Q37">
        <f>H37*(1000-(1000*0.61365*exp(17.502*U37/(240.97+U37))/(AZ37+BA37)+AU37)/2)/(1000*0.61365*exp(17.502*U37/(240.97+U37))/(AZ37+BA37)-AU37)</f>
        <v>0</v>
      </c>
      <c r="R37">
        <f>1/((AO37+1)/(O37/1.6)+1/(P37/1.37)) + AO37/((AO37+1)/(O37/1.6) + AO37/(P37/1.37))</f>
        <v>0</v>
      </c>
      <c r="S37">
        <f>(AJ37*AM37)</f>
        <v>0</v>
      </c>
      <c r="T37">
        <f>(BB37+(S37+2*0.95*5.67E-8*(((BB37+$B$7)+273)^4-(BB37+273)^4)-44100*H37)/(1.84*29.3*P37+8*0.95*5.67E-8*(BB37+273)^3))</f>
        <v>0</v>
      </c>
      <c r="U37">
        <f>($C$7*BC37+$D$7*BD37+$E$7*T37)</f>
        <v>0</v>
      </c>
      <c r="V37">
        <f>0.61365*exp(17.502*U37/(240.97+U37))</f>
        <v>0</v>
      </c>
      <c r="W37">
        <f>(X37/Y37*100)</f>
        <v>0</v>
      </c>
      <c r="X37">
        <f>AU37*(AZ37+BA37)/1000</f>
        <v>0</v>
      </c>
      <c r="Y37">
        <f>0.61365*exp(17.502*BB37/(240.97+BB37))</f>
        <v>0</v>
      </c>
      <c r="Z37">
        <f>(V37-AU37*(AZ37+BA37)/1000)</f>
        <v>0</v>
      </c>
      <c r="AA37">
        <f>(-H37*44100)</f>
        <v>0</v>
      </c>
      <c r="AB37">
        <f>2*29.3*P37*0.92*(BB37-U37)</f>
        <v>0</v>
      </c>
      <c r="AC37">
        <f>2*0.95*5.67E-8*(((BB37+$B$7)+273)^4-(U37+273)^4)</f>
        <v>0</v>
      </c>
      <c r="AD37">
        <f>S37+AC37+AA37+AB37</f>
        <v>0</v>
      </c>
      <c r="AE37">
        <v>0</v>
      </c>
      <c r="AF37">
        <v>0</v>
      </c>
      <c r="AG37">
        <f>IF(AE37*$H$13&gt;=AI37,1.0,(AI37/(AI37-AE37*$H$13)))</f>
        <v>0</v>
      </c>
      <c r="AH37">
        <f>(AG37-1)*100</f>
        <v>0</v>
      </c>
      <c r="AI37">
        <f>MAX(0,($B$13+$C$13*BG37)/(1+$D$13*BG37)*AZ37/(BB37+273)*$E$13)</f>
        <v>0</v>
      </c>
      <c r="AJ37">
        <f>$B$11*BH37+$C$11*BI37+$D$11*BT37</f>
        <v>0</v>
      </c>
      <c r="AK37">
        <f>AJ37*AL37</f>
        <v>0</v>
      </c>
      <c r="AL37">
        <f>($B$11*$D$9+$C$11*$D$9+$D$11*(BU37*$E$9+BV37*$G$9))/($B$11+$C$11+$D$11)</f>
        <v>0</v>
      </c>
      <c r="AM37">
        <f>($B$11*$K$9+$C$11*$K$9+$D$11*(BU37*$L$9+BV37*$N$9))/($B$11+$C$11+$D$11)</f>
        <v>0</v>
      </c>
      <c r="AN37">
        <v>3</v>
      </c>
      <c r="AO37">
        <v>0.5</v>
      </c>
      <c r="AP37" t="s">
        <v>331</v>
      </c>
      <c r="AQ37">
        <v>2</v>
      </c>
      <c r="AR37">
        <v>1773197292.099999</v>
      </c>
      <c r="AS37">
        <v>437.9212903225807</v>
      </c>
      <c r="AT37">
        <v>436.0807096774193</v>
      </c>
      <c r="AU37">
        <v>6.600858064516131</v>
      </c>
      <c r="AV37">
        <v>4.624612580645161</v>
      </c>
      <c r="AW37">
        <v>431.6899677419355</v>
      </c>
      <c r="AX37">
        <v>6.520267419354839</v>
      </c>
      <c r="AY37">
        <v>499.9746129032258</v>
      </c>
      <c r="AZ37">
        <v>100.2537419354839</v>
      </c>
      <c r="BA37">
        <v>0.0460887935483871</v>
      </c>
      <c r="BB37">
        <v>30.81701612903226</v>
      </c>
      <c r="BC37">
        <v>30.17553225806451</v>
      </c>
      <c r="BD37">
        <v>999.9000000000003</v>
      </c>
      <c r="BE37">
        <v>0</v>
      </c>
      <c r="BF37">
        <v>0</v>
      </c>
      <c r="BG37">
        <v>4995.370967741936</v>
      </c>
      <c r="BH37">
        <v>1.617676451612903</v>
      </c>
      <c r="BI37">
        <v>1985.662258064516</v>
      </c>
      <c r="BJ37">
        <v>1.840630967741935</v>
      </c>
      <c r="BK37">
        <v>440.8310967741934</v>
      </c>
      <c r="BL37">
        <v>438.1067096774193</v>
      </c>
      <c r="BM37">
        <v>1.976245483870968</v>
      </c>
      <c r="BN37">
        <v>436.0807096774193</v>
      </c>
      <c r="BO37">
        <v>4.624612580645161</v>
      </c>
      <c r="BP37">
        <v>0.6617602903225805</v>
      </c>
      <c r="BQ37">
        <v>0.4636344516129032</v>
      </c>
      <c r="BR37">
        <v>1.043685483870967</v>
      </c>
      <c r="BS37">
        <v>-3.798818064516128</v>
      </c>
      <c r="BT37">
        <v>0</v>
      </c>
      <c r="BU37">
        <v>0</v>
      </c>
      <c r="BV37">
        <v>0</v>
      </c>
      <c r="BW37">
        <v>35</v>
      </c>
      <c r="BX37">
        <v>51</v>
      </c>
      <c r="BY37">
        <v>1773196010</v>
      </c>
      <c r="BZ37" t="s">
        <v>332</v>
      </c>
      <c r="CA37">
        <v>1773196010</v>
      </c>
      <c r="CB37">
        <v>1773196005.5</v>
      </c>
      <c r="CC37">
        <v>2</v>
      </c>
      <c r="CD37">
        <v>-0.279</v>
      </c>
      <c r="CE37">
        <v>-0.021</v>
      </c>
      <c r="CF37">
        <v>6.231</v>
      </c>
      <c r="CG37">
        <v>0.081</v>
      </c>
      <c r="CH37">
        <v>432</v>
      </c>
      <c r="CI37">
        <v>21</v>
      </c>
      <c r="CJ37">
        <v>0.03</v>
      </c>
      <c r="CK37">
        <v>0.06</v>
      </c>
      <c r="CL37">
        <v>436.0865666666667</v>
      </c>
      <c r="CM37">
        <v>-1.392293659622079</v>
      </c>
      <c r="CN37">
        <v>0.1013688589042811</v>
      </c>
      <c r="CO37">
        <v>-1</v>
      </c>
      <c r="CP37">
        <v>499.9734333333333</v>
      </c>
      <c r="CQ37">
        <v>0.2488898776424625</v>
      </c>
      <c r="CR37">
        <v>0.06701874530474534</v>
      </c>
      <c r="CS37">
        <v>-1</v>
      </c>
      <c r="CT37">
        <v>0</v>
      </c>
      <c r="CU37">
        <v>0</v>
      </c>
      <c r="CV37" t="s">
        <v>333</v>
      </c>
      <c r="CW37">
        <v>3.16907</v>
      </c>
      <c r="CX37">
        <v>2.66751</v>
      </c>
      <c r="CY37">
        <v>0.10244</v>
      </c>
      <c r="CZ37">
        <v>0.103252</v>
      </c>
      <c r="DA37">
        <v>0.0418035</v>
      </c>
      <c r="DB37">
        <v>0.0312108</v>
      </c>
      <c r="DC37">
        <v>21373.4</v>
      </c>
      <c r="DD37">
        <v>21871.1</v>
      </c>
      <c r="DE37">
        <v>22950.4</v>
      </c>
      <c r="DF37">
        <v>22324</v>
      </c>
      <c r="DG37">
        <v>33243.1</v>
      </c>
      <c r="DH37">
        <v>30477.5</v>
      </c>
      <c r="DI37">
        <v>40374.6</v>
      </c>
      <c r="DJ37">
        <v>36933.8</v>
      </c>
      <c r="DK37">
        <v>2.0456</v>
      </c>
      <c r="DL37">
        <v>1.60246</v>
      </c>
      <c r="DM37">
        <v>-0.0794083</v>
      </c>
      <c r="DN37">
        <v>0</v>
      </c>
      <c r="DO37">
        <v>31.4546</v>
      </c>
      <c r="DP37">
        <v>999.9</v>
      </c>
      <c r="DQ37">
        <v>45.6</v>
      </c>
      <c r="DR37">
        <v>33.2</v>
      </c>
      <c r="DS37">
        <v>23.2411</v>
      </c>
      <c r="DT37">
        <v>30.1355</v>
      </c>
      <c r="DU37">
        <v>12.0593</v>
      </c>
      <c r="DV37">
        <v>1</v>
      </c>
      <c r="DW37">
        <v>0.7078680000000001</v>
      </c>
      <c r="DX37">
        <v>2.64875</v>
      </c>
      <c r="DY37">
        <v>20.3377</v>
      </c>
      <c r="DZ37">
        <v>5.20974</v>
      </c>
      <c r="EA37">
        <v>11.8542</v>
      </c>
      <c r="EB37">
        <v>4.96776</v>
      </c>
      <c r="EC37">
        <v>3.29286</v>
      </c>
      <c r="ED37">
        <v>879.4</v>
      </c>
      <c r="EE37">
        <v>9999</v>
      </c>
      <c r="EF37">
        <v>9999</v>
      </c>
      <c r="EG37">
        <v>76.40000000000001</v>
      </c>
      <c r="EH37">
        <v>4.97162</v>
      </c>
      <c r="EI37">
        <v>1.87198</v>
      </c>
      <c r="EJ37">
        <v>1.86935</v>
      </c>
      <c r="EK37">
        <v>1.87164</v>
      </c>
      <c r="EL37">
        <v>1.86946</v>
      </c>
      <c r="EM37">
        <v>1.86829</v>
      </c>
      <c r="EN37">
        <v>1.87012</v>
      </c>
      <c r="EO37">
        <v>1.87194</v>
      </c>
      <c r="EP37">
        <v>0</v>
      </c>
      <c r="EQ37">
        <v>0</v>
      </c>
      <c r="ER37">
        <v>0</v>
      </c>
      <c r="ES37">
        <v>0</v>
      </c>
      <c r="ET37" t="s">
        <v>334</v>
      </c>
      <c r="EU37" t="s">
        <v>335</v>
      </c>
      <c r="EV37" t="s">
        <v>336</v>
      </c>
      <c r="EW37" t="s">
        <v>336</v>
      </c>
      <c r="EX37" t="s">
        <v>336</v>
      </c>
      <c r="EY37" t="s">
        <v>336</v>
      </c>
      <c r="EZ37">
        <v>0</v>
      </c>
      <c r="FA37">
        <v>100</v>
      </c>
      <c r="FB37">
        <v>100</v>
      </c>
      <c r="FC37">
        <v>6.232</v>
      </c>
      <c r="FD37">
        <v>0.0806</v>
      </c>
      <c r="FE37">
        <v>6.23135000000002</v>
      </c>
      <c r="FF37">
        <v>0</v>
      </c>
      <c r="FG37">
        <v>0</v>
      </c>
      <c r="FH37">
        <v>0</v>
      </c>
      <c r="FI37">
        <v>0.08059047619047632</v>
      </c>
      <c r="FJ37">
        <v>0</v>
      </c>
      <c r="FK37">
        <v>0</v>
      </c>
      <c r="FL37">
        <v>0</v>
      </c>
      <c r="FM37">
        <v>-1</v>
      </c>
      <c r="FN37">
        <v>-1</v>
      </c>
      <c r="FO37">
        <v>-1</v>
      </c>
      <c r="FP37">
        <v>-1</v>
      </c>
      <c r="FQ37">
        <v>21.5</v>
      </c>
      <c r="FR37">
        <v>21.6</v>
      </c>
      <c r="FS37">
        <v>0.145264</v>
      </c>
      <c r="FT37">
        <v>4.99756</v>
      </c>
      <c r="FU37">
        <v>1.5979</v>
      </c>
      <c r="FV37">
        <v>2.14722</v>
      </c>
      <c r="FW37">
        <v>1.54785</v>
      </c>
      <c r="FX37">
        <v>2.4231</v>
      </c>
      <c r="FY37">
        <v>40.3745</v>
      </c>
      <c r="FZ37">
        <v>16.0934</v>
      </c>
      <c r="GA37">
        <v>3</v>
      </c>
      <c r="GB37">
        <v>516.023</v>
      </c>
      <c r="GC37">
        <v>330.843</v>
      </c>
      <c r="GD37">
        <v>28.6499</v>
      </c>
      <c r="GE37">
        <v>35.7983</v>
      </c>
      <c r="GF37">
        <v>30.0006</v>
      </c>
      <c r="GG37">
        <v>35.5319</v>
      </c>
      <c r="GH37">
        <v>35.4901</v>
      </c>
      <c r="GI37">
        <v>-1</v>
      </c>
      <c r="GJ37">
        <v>100</v>
      </c>
      <c r="GK37">
        <v>0</v>
      </c>
      <c r="GL37">
        <v>28.6484</v>
      </c>
      <c r="GM37">
        <v>1200</v>
      </c>
      <c r="GN37">
        <v>19.4378</v>
      </c>
      <c r="GO37">
        <v>101.592</v>
      </c>
      <c r="GP37">
        <v>96.4357</v>
      </c>
    </row>
    <row r="38" spans="1:198">
      <c r="A38">
        <v>22</v>
      </c>
      <c r="B38">
        <v>1773197360.1</v>
      </c>
      <c r="C38">
        <v>1260.099999904633</v>
      </c>
      <c r="D38" t="s">
        <v>377</v>
      </c>
      <c r="E38" t="s">
        <v>378</v>
      </c>
      <c r="F38">
        <v>15</v>
      </c>
      <c r="G38">
        <v>1773197352.099999</v>
      </c>
      <c r="H38">
        <f>(I38)/1000</f>
        <v>0</v>
      </c>
      <c r="I38">
        <f>1000*AY38*AG38*(AU38-AV38)/(100*AN38*(1000-AG38*AU38))</f>
        <v>0</v>
      </c>
      <c r="J38">
        <f>AY38*AG38*(AT38-AS38*(1000-AG38*AV38)/(1000-AG38*AU38))/(100*AN38)</f>
        <v>0</v>
      </c>
      <c r="K38">
        <f>AS38 - IF(AG38&gt;1, J38*AN38*100.0/(AI38), 0)</f>
        <v>0</v>
      </c>
      <c r="L38">
        <f>((R38-H38/2)*K38-J38)/(R38+H38/2)</f>
        <v>0</v>
      </c>
      <c r="M38">
        <f>L38*(AZ38+BA38)/1000.0</f>
        <v>0</v>
      </c>
      <c r="N38">
        <f>(AS38 - IF(AG38&gt;1, J38*AN38*100.0/(AI38), 0))*(AZ38+BA38)/1000.0</f>
        <v>0</v>
      </c>
      <c r="O38">
        <f>2.0/((1/Q38-1/P38)+SIGN(Q38)*SQRT((1/Q38-1/P38)*(1/Q38-1/P38) + 4*AO38/((AO38+1)*(AO38+1))*(2*1/Q38*1/P38-1/P38*1/P38)))</f>
        <v>0</v>
      </c>
      <c r="P38">
        <f>IF(LEFT(AP38,1)&lt;&gt;"0",IF(LEFT(AP38,1)="1",3.0,AQ38),$D$5+$E$5*(BG38*AZ38/($K$5*1000))+$F$5*(BG38*AZ38/($K$5*1000))*MAX(MIN(AN38,$J$5),$I$5)*MAX(MIN(AN38,$J$5),$I$5)+$G$5*MAX(MIN(AN38,$J$5),$I$5)*(BG38*AZ38/($K$5*1000))+$H$5*(BG38*AZ38/($K$5*1000))*(BG38*AZ38/($K$5*1000)))</f>
        <v>0</v>
      </c>
      <c r="Q38">
        <f>H38*(1000-(1000*0.61365*exp(17.502*U38/(240.97+U38))/(AZ38+BA38)+AU38)/2)/(1000*0.61365*exp(17.502*U38/(240.97+U38))/(AZ38+BA38)-AU38)</f>
        <v>0</v>
      </c>
      <c r="R38">
        <f>1/((AO38+1)/(O38/1.6)+1/(P38/1.37)) + AO38/((AO38+1)/(O38/1.6) + AO38/(P38/1.37))</f>
        <v>0</v>
      </c>
      <c r="S38">
        <f>(AJ38*AM38)</f>
        <v>0</v>
      </c>
      <c r="T38">
        <f>(BB38+(S38+2*0.95*5.67E-8*(((BB38+$B$7)+273)^4-(BB38+273)^4)-44100*H38)/(1.84*29.3*P38+8*0.95*5.67E-8*(BB38+273)^3))</f>
        <v>0</v>
      </c>
      <c r="U38">
        <f>($C$7*BC38+$D$7*BD38+$E$7*T38)</f>
        <v>0</v>
      </c>
      <c r="V38">
        <f>0.61365*exp(17.502*U38/(240.97+U38))</f>
        <v>0</v>
      </c>
      <c r="W38">
        <f>(X38/Y38*100)</f>
        <v>0</v>
      </c>
      <c r="X38">
        <f>AU38*(AZ38+BA38)/1000</f>
        <v>0</v>
      </c>
      <c r="Y38">
        <f>0.61365*exp(17.502*BB38/(240.97+BB38))</f>
        <v>0</v>
      </c>
      <c r="Z38">
        <f>(V38-AU38*(AZ38+BA38)/1000)</f>
        <v>0</v>
      </c>
      <c r="AA38">
        <f>(-H38*44100)</f>
        <v>0</v>
      </c>
      <c r="AB38">
        <f>2*29.3*P38*0.92*(BB38-U38)</f>
        <v>0</v>
      </c>
      <c r="AC38">
        <f>2*0.95*5.67E-8*(((BB38+$B$7)+273)^4-(U38+273)^4)</f>
        <v>0</v>
      </c>
      <c r="AD38">
        <f>S38+AC38+AA38+AB38</f>
        <v>0</v>
      </c>
      <c r="AE38">
        <v>0</v>
      </c>
      <c r="AF38">
        <v>0</v>
      </c>
      <c r="AG38">
        <f>IF(AE38*$H$13&gt;=AI38,1.0,(AI38/(AI38-AE38*$H$13)))</f>
        <v>0</v>
      </c>
      <c r="AH38">
        <f>(AG38-1)*100</f>
        <v>0</v>
      </c>
      <c r="AI38">
        <f>MAX(0,($B$13+$C$13*BG38)/(1+$D$13*BG38)*AZ38/(BB38+273)*$E$13)</f>
        <v>0</v>
      </c>
      <c r="AJ38">
        <f>$B$11*BH38+$C$11*BI38+$D$11*BT38</f>
        <v>0</v>
      </c>
      <c r="AK38">
        <f>AJ38*AL38</f>
        <v>0</v>
      </c>
      <c r="AL38">
        <f>($B$11*$D$9+$C$11*$D$9+$D$11*(BU38*$E$9+BV38*$G$9))/($B$11+$C$11+$D$11)</f>
        <v>0</v>
      </c>
      <c r="AM38">
        <f>($B$11*$K$9+$C$11*$K$9+$D$11*(BU38*$L$9+BV38*$N$9))/($B$11+$C$11+$D$11)</f>
        <v>0</v>
      </c>
      <c r="AN38">
        <v>3</v>
      </c>
      <c r="AO38">
        <v>0.5</v>
      </c>
      <c r="AP38" t="s">
        <v>331</v>
      </c>
      <c r="AQ38">
        <v>2</v>
      </c>
      <c r="AR38">
        <v>1773197352.099999</v>
      </c>
      <c r="AS38">
        <v>437.2471935483871</v>
      </c>
      <c r="AT38">
        <v>435.3973548387096</v>
      </c>
      <c r="AU38">
        <v>6.734292258064516</v>
      </c>
      <c r="AV38">
        <v>4.81577258064516</v>
      </c>
      <c r="AW38">
        <v>431.0158064516129</v>
      </c>
      <c r="AX38">
        <v>6.653701612903226</v>
      </c>
      <c r="AY38">
        <v>499.9874838709678</v>
      </c>
      <c r="AZ38">
        <v>100.251870967742</v>
      </c>
      <c r="BA38">
        <v>0.04574725161290323</v>
      </c>
      <c r="BB38">
        <v>30.8016935483871</v>
      </c>
      <c r="BC38">
        <v>30.17781612903226</v>
      </c>
      <c r="BD38">
        <v>999.9000000000003</v>
      </c>
      <c r="BE38">
        <v>0</v>
      </c>
      <c r="BF38">
        <v>0</v>
      </c>
      <c r="BG38">
        <v>5000.758064516129</v>
      </c>
      <c r="BH38">
        <v>1.636633225806452</v>
      </c>
      <c r="BI38">
        <v>2019.902903225806</v>
      </c>
      <c r="BJ38">
        <v>1.849817096774193</v>
      </c>
      <c r="BK38">
        <v>440.2117096774194</v>
      </c>
      <c r="BL38">
        <v>437.5043225806452</v>
      </c>
      <c r="BM38">
        <v>1.918519032258065</v>
      </c>
      <c r="BN38">
        <v>435.3973548387096</v>
      </c>
      <c r="BO38">
        <v>4.81577258064516</v>
      </c>
      <c r="BP38">
        <v>0.6751256774193549</v>
      </c>
      <c r="BQ38">
        <v>0.4827905161290323</v>
      </c>
      <c r="BR38">
        <v>1.321694838709677</v>
      </c>
      <c r="BS38">
        <v>-3.257594516129032</v>
      </c>
      <c r="BT38">
        <v>0</v>
      </c>
      <c r="BU38">
        <v>0</v>
      </c>
      <c r="BV38">
        <v>0</v>
      </c>
      <c r="BW38">
        <v>35</v>
      </c>
      <c r="BX38">
        <v>51.77955483870968</v>
      </c>
      <c r="BY38">
        <v>1773196010</v>
      </c>
      <c r="BZ38" t="s">
        <v>332</v>
      </c>
      <c r="CA38">
        <v>1773196010</v>
      </c>
      <c r="CB38">
        <v>1773196005.5</v>
      </c>
      <c r="CC38">
        <v>2</v>
      </c>
      <c r="CD38">
        <v>-0.279</v>
      </c>
      <c r="CE38">
        <v>-0.021</v>
      </c>
      <c r="CF38">
        <v>6.231</v>
      </c>
      <c r="CG38">
        <v>0.081</v>
      </c>
      <c r="CH38">
        <v>432</v>
      </c>
      <c r="CI38">
        <v>21</v>
      </c>
      <c r="CJ38">
        <v>0.03</v>
      </c>
      <c r="CK38">
        <v>0.06</v>
      </c>
      <c r="CL38">
        <v>435.3973548387096</v>
      </c>
      <c r="CM38">
        <v>-0.1154516129033645</v>
      </c>
      <c r="CN38">
        <v>0.02316079611297301</v>
      </c>
      <c r="CO38">
        <v>-1</v>
      </c>
      <c r="CP38">
        <v>499.9874838709678</v>
      </c>
      <c r="CQ38">
        <v>-0.04625806451678108</v>
      </c>
      <c r="CR38">
        <v>0.06157024363395177</v>
      </c>
      <c r="CS38">
        <v>-1</v>
      </c>
      <c r="CT38">
        <v>0</v>
      </c>
      <c r="CU38">
        <v>0</v>
      </c>
      <c r="CV38" t="s">
        <v>333</v>
      </c>
      <c r="CW38">
        <v>3.16901</v>
      </c>
      <c r="CX38">
        <v>2.66705</v>
      </c>
      <c r="CY38">
        <v>0.102309</v>
      </c>
      <c r="CZ38">
        <v>0.103129</v>
      </c>
      <c r="DA38">
        <v>0.0425001</v>
      </c>
      <c r="DB38">
        <v>0.0322969</v>
      </c>
      <c r="DC38">
        <v>21372.3</v>
      </c>
      <c r="DD38">
        <v>21871.8</v>
      </c>
      <c r="DE38">
        <v>22946.2</v>
      </c>
      <c r="DF38">
        <v>22321.9</v>
      </c>
      <c r="DG38">
        <v>33213.3</v>
      </c>
      <c r="DH38">
        <v>30439.5</v>
      </c>
      <c r="DI38">
        <v>40368</v>
      </c>
      <c r="DJ38">
        <v>36929.5</v>
      </c>
      <c r="DK38">
        <v>2.04498</v>
      </c>
      <c r="DL38">
        <v>1.6006</v>
      </c>
      <c r="DM38">
        <v>-0.077337</v>
      </c>
      <c r="DN38">
        <v>0</v>
      </c>
      <c r="DO38">
        <v>31.4381</v>
      </c>
      <c r="DP38">
        <v>999.9</v>
      </c>
      <c r="DQ38">
        <v>44.6</v>
      </c>
      <c r="DR38">
        <v>33.5</v>
      </c>
      <c r="DS38">
        <v>23.1155</v>
      </c>
      <c r="DT38">
        <v>30.2855</v>
      </c>
      <c r="DU38">
        <v>12.4359</v>
      </c>
      <c r="DV38">
        <v>1</v>
      </c>
      <c r="DW38">
        <v>0.712728</v>
      </c>
      <c r="DX38">
        <v>2.41406</v>
      </c>
      <c r="DY38">
        <v>20.3423</v>
      </c>
      <c r="DZ38">
        <v>5.20986</v>
      </c>
      <c r="EA38">
        <v>11.8542</v>
      </c>
      <c r="EB38">
        <v>4.96776</v>
      </c>
      <c r="EC38">
        <v>3.29288</v>
      </c>
      <c r="ED38">
        <v>879.4</v>
      </c>
      <c r="EE38">
        <v>9999</v>
      </c>
      <c r="EF38">
        <v>9999</v>
      </c>
      <c r="EG38">
        <v>76.40000000000001</v>
      </c>
      <c r="EH38">
        <v>4.97161</v>
      </c>
      <c r="EI38">
        <v>1.872</v>
      </c>
      <c r="EJ38">
        <v>1.86935</v>
      </c>
      <c r="EK38">
        <v>1.87164</v>
      </c>
      <c r="EL38">
        <v>1.86944</v>
      </c>
      <c r="EM38">
        <v>1.86829</v>
      </c>
      <c r="EN38">
        <v>1.87012</v>
      </c>
      <c r="EO38">
        <v>1.87194</v>
      </c>
      <c r="EP38">
        <v>0</v>
      </c>
      <c r="EQ38">
        <v>0</v>
      </c>
      <c r="ER38">
        <v>0</v>
      </c>
      <c r="ES38">
        <v>0</v>
      </c>
      <c r="ET38" t="s">
        <v>334</v>
      </c>
      <c r="EU38" t="s">
        <v>335</v>
      </c>
      <c r="EV38" t="s">
        <v>336</v>
      </c>
      <c r="EW38" t="s">
        <v>336</v>
      </c>
      <c r="EX38" t="s">
        <v>336</v>
      </c>
      <c r="EY38" t="s">
        <v>336</v>
      </c>
      <c r="EZ38">
        <v>0</v>
      </c>
      <c r="FA38">
        <v>100</v>
      </c>
      <c r="FB38">
        <v>100</v>
      </c>
      <c r="FC38">
        <v>6.231</v>
      </c>
      <c r="FD38">
        <v>0.0806</v>
      </c>
      <c r="FE38">
        <v>6.23135000000002</v>
      </c>
      <c r="FF38">
        <v>0</v>
      </c>
      <c r="FG38">
        <v>0</v>
      </c>
      <c r="FH38">
        <v>0</v>
      </c>
      <c r="FI38">
        <v>0.08059047619047632</v>
      </c>
      <c r="FJ38">
        <v>0</v>
      </c>
      <c r="FK38">
        <v>0</v>
      </c>
      <c r="FL38">
        <v>0</v>
      </c>
      <c r="FM38">
        <v>-1</v>
      </c>
      <c r="FN38">
        <v>-1</v>
      </c>
      <c r="FO38">
        <v>-1</v>
      </c>
      <c r="FP38">
        <v>-1</v>
      </c>
      <c r="FQ38">
        <v>22.5</v>
      </c>
      <c r="FR38">
        <v>22.6</v>
      </c>
      <c r="FS38">
        <v>0.145264</v>
      </c>
      <c r="FT38">
        <v>4.99756</v>
      </c>
      <c r="FU38">
        <v>1.5979</v>
      </c>
      <c r="FV38">
        <v>2.146</v>
      </c>
      <c r="FW38">
        <v>1.54785</v>
      </c>
      <c r="FX38">
        <v>2.33521</v>
      </c>
      <c r="FY38">
        <v>40.5531</v>
      </c>
      <c r="FZ38">
        <v>16.1021</v>
      </c>
      <c r="GA38">
        <v>3</v>
      </c>
      <c r="GB38">
        <v>516.348</v>
      </c>
      <c r="GC38">
        <v>330.359</v>
      </c>
      <c r="GD38">
        <v>28.867</v>
      </c>
      <c r="GE38">
        <v>35.8788</v>
      </c>
      <c r="GF38">
        <v>30.0004</v>
      </c>
      <c r="GG38">
        <v>35.6292</v>
      </c>
      <c r="GH38">
        <v>35.5887</v>
      </c>
      <c r="GI38">
        <v>-1</v>
      </c>
      <c r="GJ38">
        <v>100</v>
      </c>
      <c r="GK38">
        <v>0</v>
      </c>
      <c r="GL38">
        <v>28.8693</v>
      </c>
      <c r="GM38">
        <v>1200</v>
      </c>
      <c r="GN38">
        <v>19.4378</v>
      </c>
      <c r="GO38">
        <v>101.575</v>
      </c>
      <c r="GP38">
        <v>96.42529999999999</v>
      </c>
    </row>
    <row r="39" spans="1:198">
      <c r="A39">
        <v>23</v>
      </c>
      <c r="B39">
        <v>1773197420.1</v>
      </c>
      <c r="C39">
        <v>1320.099999904633</v>
      </c>
      <c r="D39" t="s">
        <v>379</v>
      </c>
      <c r="E39" t="s">
        <v>380</v>
      </c>
      <c r="F39">
        <v>15</v>
      </c>
      <c r="G39">
        <v>1773197412.099999</v>
      </c>
      <c r="H39">
        <f>(I39)/1000</f>
        <v>0</v>
      </c>
      <c r="I39">
        <f>1000*AY39*AG39*(AU39-AV39)/(100*AN39*(1000-AG39*AU39))</f>
        <v>0</v>
      </c>
      <c r="J39">
        <f>AY39*AG39*(AT39-AS39*(1000-AG39*AV39)/(1000-AG39*AU39))/(100*AN39)</f>
        <v>0</v>
      </c>
      <c r="K39">
        <f>AS39 - IF(AG39&gt;1, J39*AN39*100.0/(AI39), 0)</f>
        <v>0</v>
      </c>
      <c r="L39">
        <f>((R39-H39/2)*K39-J39)/(R39+H39/2)</f>
        <v>0</v>
      </c>
      <c r="M39">
        <f>L39*(AZ39+BA39)/1000.0</f>
        <v>0</v>
      </c>
      <c r="N39">
        <f>(AS39 - IF(AG39&gt;1, J39*AN39*100.0/(AI39), 0))*(AZ39+BA39)/1000.0</f>
        <v>0</v>
      </c>
      <c r="O39">
        <f>2.0/((1/Q39-1/P39)+SIGN(Q39)*SQRT((1/Q39-1/P39)*(1/Q39-1/P39) + 4*AO39/((AO39+1)*(AO39+1))*(2*1/Q39*1/P39-1/P39*1/P39)))</f>
        <v>0</v>
      </c>
      <c r="P39">
        <f>IF(LEFT(AP39,1)&lt;&gt;"0",IF(LEFT(AP39,1)="1",3.0,AQ39),$D$5+$E$5*(BG39*AZ39/($K$5*1000))+$F$5*(BG39*AZ39/($K$5*1000))*MAX(MIN(AN39,$J$5),$I$5)*MAX(MIN(AN39,$J$5),$I$5)+$G$5*MAX(MIN(AN39,$J$5),$I$5)*(BG39*AZ39/($K$5*1000))+$H$5*(BG39*AZ39/($K$5*1000))*(BG39*AZ39/($K$5*1000)))</f>
        <v>0</v>
      </c>
      <c r="Q39">
        <f>H39*(1000-(1000*0.61365*exp(17.502*U39/(240.97+U39))/(AZ39+BA39)+AU39)/2)/(1000*0.61365*exp(17.502*U39/(240.97+U39))/(AZ39+BA39)-AU39)</f>
        <v>0</v>
      </c>
      <c r="R39">
        <f>1/((AO39+1)/(O39/1.6)+1/(P39/1.37)) + AO39/((AO39+1)/(O39/1.6) + AO39/(P39/1.37))</f>
        <v>0</v>
      </c>
      <c r="S39">
        <f>(AJ39*AM39)</f>
        <v>0</v>
      </c>
      <c r="T39">
        <f>(BB39+(S39+2*0.95*5.67E-8*(((BB39+$B$7)+273)^4-(BB39+273)^4)-44100*H39)/(1.84*29.3*P39+8*0.95*5.67E-8*(BB39+273)^3))</f>
        <v>0</v>
      </c>
      <c r="U39">
        <f>($C$7*BC39+$D$7*BD39+$E$7*T39)</f>
        <v>0</v>
      </c>
      <c r="V39">
        <f>0.61365*exp(17.502*U39/(240.97+U39))</f>
        <v>0</v>
      </c>
      <c r="W39">
        <f>(X39/Y39*100)</f>
        <v>0</v>
      </c>
      <c r="X39">
        <f>AU39*(AZ39+BA39)/1000</f>
        <v>0</v>
      </c>
      <c r="Y39">
        <f>0.61365*exp(17.502*BB39/(240.97+BB39))</f>
        <v>0</v>
      </c>
      <c r="Z39">
        <f>(V39-AU39*(AZ39+BA39)/1000)</f>
        <v>0</v>
      </c>
      <c r="AA39">
        <f>(-H39*44100)</f>
        <v>0</v>
      </c>
      <c r="AB39">
        <f>2*29.3*P39*0.92*(BB39-U39)</f>
        <v>0</v>
      </c>
      <c r="AC39">
        <f>2*0.95*5.67E-8*(((BB39+$B$7)+273)^4-(U39+273)^4)</f>
        <v>0</v>
      </c>
      <c r="AD39">
        <f>S39+AC39+AA39+AB39</f>
        <v>0</v>
      </c>
      <c r="AE39">
        <v>0</v>
      </c>
      <c r="AF39">
        <v>0</v>
      </c>
      <c r="AG39">
        <f>IF(AE39*$H$13&gt;=AI39,1.0,(AI39/(AI39-AE39*$H$13)))</f>
        <v>0</v>
      </c>
      <c r="AH39">
        <f>(AG39-1)*100</f>
        <v>0</v>
      </c>
      <c r="AI39">
        <f>MAX(0,($B$13+$C$13*BG39)/(1+$D$13*BG39)*AZ39/(BB39+273)*$E$13)</f>
        <v>0</v>
      </c>
      <c r="AJ39">
        <f>$B$11*BH39+$C$11*BI39+$D$11*BT39</f>
        <v>0</v>
      </c>
      <c r="AK39">
        <f>AJ39*AL39</f>
        <v>0</v>
      </c>
      <c r="AL39">
        <f>($B$11*$D$9+$C$11*$D$9+$D$11*(BU39*$E$9+BV39*$G$9))/($B$11+$C$11+$D$11)</f>
        <v>0</v>
      </c>
      <c r="AM39">
        <f>($B$11*$K$9+$C$11*$K$9+$D$11*(BU39*$L$9+BV39*$N$9))/($B$11+$C$11+$D$11)</f>
        <v>0</v>
      </c>
      <c r="AN39">
        <v>3</v>
      </c>
      <c r="AO39">
        <v>0.5</v>
      </c>
      <c r="AP39" t="s">
        <v>331</v>
      </c>
      <c r="AQ39">
        <v>2</v>
      </c>
      <c r="AR39">
        <v>1773197412.099999</v>
      </c>
      <c r="AS39">
        <v>437.1956774193548</v>
      </c>
      <c r="AT39">
        <v>435.429064516129</v>
      </c>
      <c r="AU39">
        <v>6.881741612903225</v>
      </c>
      <c r="AV39">
        <v>5.017812903225807</v>
      </c>
      <c r="AW39">
        <v>430.9644516129032</v>
      </c>
      <c r="AX39">
        <v>6.801151612903225</v>
      </c>
      <c r="AY39">
        <v>500.0216774193548</v>
      </c>
      <c r="AZ39">
        <v>100.2496774193548</v>
      </c>
      <c r="BA39">
        <v>0.04566785161290323</v>
      </c>
      <c r="BB39">
        <v>30.78368709677419</v>
      </c>
      <c r="BC39">
        <v>30.17308387096774</v>
      </c>
      <c r="BD39">
        <v>999.9000000000003</v>
      </c>
      <c r="BE39">
        <v>0</v>
      </c>
      <c r="BF39">
        <v>0</v>
      </c>
      <c r="BG39">
        <v>5000</v>
      </c>
      <c r="BH39">
        <v>1.608091290322581</v>
      </c>
      <c r="BI39">
        <v>2019.727096774193</v>
      </c>
      <c r="BJ39">
        <v>1.766673225806451</v>
      </c>
      <c r="BK39">
        <v>440.2251290322581</v>
      </c>
      <c r="BL39">
        <v>437.6249032258065</v>
      </c>
      <c r="BM39">
        <v>1.863930322580645</v>
      </c>
      <c r="BN39">
        <v>435.429064516129</v>
      </c>
      <c r="BO39">
        <v>5.017812903225807</v>
      </c>
      <c r="BP39">
        <v>0.6898919999999999</v>
      </c>
      <c r="BQ39">
        <v>0.5030337096774193</v>
      </c>
      <c r="BR39">
        <v>1.623236774193548</v>
      </c>
      <c r="BS39">
        <v>-2.705977741935484</v>
      </c>
      <c r="BT39">
        <v>0</v>
      </c>
      <c r="BU39">
        <v>0</v>
      </c>
      <c r="BV39">
        <v>0</v>
      </c>
      <c r="BW39">
        <v>35</v>
      </c>
      <c r="BX39">
        <v>52</v>
      </c>
      <c r="BY39">
        <v>1773196010</v>
      </c>
      <c r="BZ39" t="s">
        <v>332</v>
      </c>
      <c r="CA39">
        <v>1773196010</v>
      </c>
      <c r="CB39">
        <v>1773196005.5</v>
      </c>
      <c r="CC39">
        <v>2</v>
      </c>
      <c r="CD39">
        <v>-0.279</v>
      </c>
      <c r="CE39">
        <v>-0.021</v>
      </c>
      <c r="CF39">
        <v>6.231</v>
      </c>
      <c r="CG39">
        <v>0.081</v>
      </c>
      <c r="CH39">
        <v>432</v>
      </c>
      <c r="CI39">
        <v>21</v>
      </c>
      <c r="CJ39">
        <v>0.03</v>
      </c>
      <c r="CK39">
        <v>0.06</v>
      </c>
      <c r="CL39">
        <v>435.4299</v>
      </c>
      <c r="CM39">
        <v>-0.2127964404889336</v>
      </c>
      <c r="CN39">
        <v>0.0179040963655475</v>
      </c>
      <c r="CO39">
        <v>-1</v>
      </c>
      <c r="CP39">
        <v>500.0239333333333</v>
      </c>
      <c r="CQ39">
        <v>0.1607652947718992</v>
      </c>
      <c r="CR39">
        <v>0.06205477866817058</v>
      </c>
      <c r="CS39">
        <v>-1</v>
      </c>
      <c r="CT39">
        <v>0</v>
      </c>
      <c r="CU39">
        <v>0</v>
      </c>
      <c r="CV39" t="s">
        <v>333</v>
      </c>
      <c r="CW39">
        <v>3.16927</v>
      </c>
      <c r="CX39">
        <v>2.6664</v>
      </c>
      <c r="CY39">
        <v>0.1023</v>
      </c>
      <c r="CZ39">
        <v>0.103124</v>
      </c>
      <c r="DA39">
        <v>0.0432615</v>
      </c>
      <c r="DB39">
        <v>0.0334346</v>
      </c>
      <c r="DC39">
        <v>21369.4</v>
      </c>
      <c r="DD39">
        <v>21870.8</v>
      </c>
      <c r="DE39">
        <v>22943.2</v>
      </c>
      <c r="DF39">
        <v>22320.9</v>
      </c>
      <c r="DG39">
        <v>33182.8</v>
      </c>
      <c r="DH39">
        <v>30402</v>
      </c>
      <c r="DI39">
        <v>40363.1</v>
      </c>
      <c r="DJ39">
        <v>36927.6</v>
      </c>
      <c r="DK39">
        <v>2.04458</v>
      </c>
      <c r="DL39">
        <v>1.59756</v>
      </c>
      <c r="DM39">
        <v>-0.07599590000000001</v>
      </c>
      <c r="DN39">
        <v>0</v>
      </c>
      <c r="DO39">
        <v>31.407</v>
      </c>
      <c r="DP39">
        <v>999.9</v>
      </c>
      <c r="DQ39">
        <v>43.9</v>
      </c>
      <c r="DR39">
        <v>33.8</v>
      </c>
      <c r="DS39">
        <v>23.1388</v>
      </c>
      <c r="DT39">
        <v>29.8655</v>
      </c>
      <c r="DU39">
        <v>12.0553</v>
      </c>
      <c r="DV39">
        <v>1</v>
      </c>
      <c r="DW39">
        <v>0.716382</v>
      </c>
      <c r="DX39">
        <v>2.22467</v>
      </c>
      <c r="DY39">
        <v>20.3455</v>
      </c>
      <c r="DZ39">
        <v>5.20998</v>
      </c>
      <c r="EA39">
        <v>11.8542</v>
      </c>
      <c r="EB39">
        <v>4.96768</v>
      </c>
      <c r="EC39">
        <v>3.29288</v>
      </c>
      <c r="ED39">
        <v>879.4</v>
      </c>
      <c r="EE39">
        <v>9999</v>
      </c>
      <c r="EF39">
        <v>9999</v>
      </c>
      <c r="EG39">
        <v>76.40000000000001</v>
      </c>
      <c r="EH39">
        <v>4.97161</v>
      </c>
      <c r="EI39">
        <v>1.87204</v>
      </c>
      <c r="EJ39">
        <v>1.86934</v>
      </c>
      <c r="EK39">
        <v>1.87164</v>
      </c>
      <c r="EL39">
        <v>1.86947</v>
      </c>
      <c r="EM39">
        <v>1.86829</v>
      </c>
      <c r="EN39">
        <v>1.87012</v>
      </c>
      <c r="EO39">
        <v>1.87194</v>
      </c>
      <c r="EP39">
        <v>0</v>
      </c>
      <c r="EQ39">
        <v>0</v>
      </c>
      <c r="ER39">
        <v>0</v>
      </c>
      <c r="ES39">
        <v>0</v>
      </c>
      <c r="ET39" t="s">
        <v>334</v>
      </c>
      <c r="EU39" t="s">
        <v>335</v>
      </c>
      <c r="EV39" t="s">
        <v>336</v>
      </c>
      <c r="EW39" t="s">
        <v>336</v>
      </c>
      <c r="EX39" t="s">
        <v>336</v>
      </c>
      <c r="EY39" t="s">
        <v>336</v>
      </c>
      <c r="EZ39">
        <v>0</v>
      </c>
      <c r="FA39">
        <v>100</v>
      </c>
      <c r="FB39">
        <v>100</v>
      </c>
      <c r="FC39">
        <v>6.231</v>
      </c>
      <c r="FD39">
        <v>0.0806</v>
      </c>
      <c r="FE39">
        <v>6.23135000000002</v>
      </c>
      <c r="FF39">
        <v>0</v>
      </c>
      <c r="FG39">
        <v>0</v>
      </c>
      <c r="FH39">
        <v>0</v>
      </c>
      <c r="FI39">
        <v>0.08059047619047632</v>
      </c>
      <c r="FJ39">
        <v>0</v>
      </c>
      <c r="FK39">
        <v>0</v>
      </c>
      <c r="FL39">
        <v>0</v>
      </c>
      <c r="FM39">
        <v>-1</v>
      </c>
      <c r="FN39">
        <v>-1</v>
      </c>
      <c r="FO39">
        <v>-1</v>
      </c>
      <c r="FP39">
        <v>-1</v>
      </c>
      <c r="FQ39">
        <v>23.5</v>
      </c>
      <c r="FR39">
        <v>23.6</v>
      </c>
      <c r="FS39">
        <v>0.144043</v>
      </c>
      <c r="FT39">
        <v>4.99756</v>
      </c>
      <c r="FU39">
        <v>1.5979</v>
      </c>
      <c r="FV39">
        <v>2.14355</v>
      </c>
      <c r="FW39">
        <v>1.54785</v>
      </c>
      <c r="FX39">
        <v>2.44019</v>
      </c>
      <c r="FY39">
        <v>40.758</v>
      </c>
      <c r="FZ39">
        <v>16.0934</v>
      </c>
      <c r="GA39">
        <v>3</v>
      </c>
      <c r="GB39">
        <v>516.675</v>
      </c>
      <c r="GC39">
        <v>329.196</v>
      </c>
      <c r="GD39">
        <v>28.9344</v>
      </c>
      <c r="GE39">
        <v>35.9349</v>
      </c>
      <c r="GF39">
        <v>30.0003</v>
      </c>
      <c r="GG39">
        <v>35.7081</v>
      </c>
      <c r="GH39">
        <v>35.6701</v>
      </c>
      <c r="GI39">
        <v>-1</v>
      </c>
      <c r="GJ39">
        <v>100</v>
      </c>
      <c r="GK39">
        <v>0</v>
      </c>
      <c r="GL39">
        <v>28.9401</v>
      </c>
      <c r="GM39">
        <v>1200</v>
      </c>
      <c r="GN39">
        <v>19.4378</v>
      </c>
      <c r="GO39">
        <v>101.562</v>
      </c>
      <c r="GP39">
        <v>96.4205</v>
      </c>
    </row>
    <row r="40" spans="1:198">
      <c r="A40">
        <v>24</v>
      </c>
      <c r="B40">
        <v>1773197480.1</v>
      </c>
      <c r="C40">
        <v>1380.099999904633</v>
      </c>
      <c r="D40" t="s">
        <v>381</v>
      </c>
      <c r="E40" t="s">
        <v>382</v>
      </c>
      <c r="F40">
        <v>15</v>
      </c>
      <c r="G40">
        <v>1773197472.099999</v>
      </c>
      <c r="H40">
        <f>(I40)/1000</f>
        <v>0</v>
      </c>
      <c r="I40">
        <f>1000*AY40*AG40*(AU40-AV40)/(100*AN40*(1000-AG40*AU40))</f>
        <v>0</v>
      </c>
      <c r="J40">
        <f>AY40*AG40*(AT40-AS40*(1000-AG40*AV40)/(1000-AG40*AU40))/(100*AN40)</f>
        <v>0</v>
      </c>
      <c r="K40">
        <f>AS40 - IF(AG40&gt;1, J40*AN40*100.0/(AI40), 0)</f>
        <v>0</v>
      </c>
      <c r="L40">
        <f>((R40-H40/2)*K40-J40)/(R40+H40/2)</f>
        <v>0</v>
      </c>
      <c r="M40">
        <f>L40*(AZ40+BA40)/1000.0</f>
        <v>0</v>
      </c>
      <c r="N40">
        <f>(AS40 - IF(AG40&gt;1, J40*AN40*100.0/(AI40), 0))*(AZ40+BA40)/1000.0</f>
        <v>0</v>
      </c>
      <c r="O40">
        <f>2.0/((1/Q40-1/P40)+SIGN(Q40)*SQRT((1/Q40-1/P40)*(1/Q40-1/P40) + 4*AO40/((AO40+1)*(AO40+1))*(2*1/Q40*1/P40-1/P40*1/P40)))</f>
        <v>0</v>
      </c>
      <c r="P40">
        <f>IF(LEFT(AP40,1)&lt;&gt;"0",IF(LEFT(AP40,1)="1",3.0,AQ40),$D$5+$E$5*(BG40*AZ40/($K$5*1000))+$F$5*(BG40*AZ40/($K$5*1000))*MAX(MIN(AN40,$J$5),$I$5)*MAX(MIN(AN40,$J$5),$I$5)+$G$5*MAX(MIN(AN40,$J$5),$I$5)*(BG40*AZ40/($K$5*1000))+$H$5*(BG40*AZ40/($K$5*1000))*(BG40*AZ40/($K$5*1000)))</f>
        <v>0</v>
      </c>
      <c r="Q40">
        <f>H40*(1000-(1000*0.61365*exp(17.502*U40/(240.97+U40))/(AZ40+BA40)+AU40)/2)/(1000*0.61365*exp(17.502*U40/(240.97+U40))/(AZ40+BA40)-AU40)</f>
        <v>0</v>
      </c>
      <c r="R40">
        <f>1/((AO40+1)/(O40/1.6)+1/(P40/1.37)) + AO40/((AO40+1)/(O40/1.6) + AO40/(P40/1.37))</f>
        <v>0</v>
      </c>
      <c r="S40">
        <f>(AJ40*AM40)</f>
        <v>0</v>
      </c>
      <c r="T40">
        <f>(BB40+(S40+2*0.95*5.67E-8*(((BB40+$B$7)+273)^4-(BB40+273)^4)-44100*H40)/(1.84*29.3*P40+8*0.95*5.67E-8*(BB40+273)^3))</f>
        <v>0</v>
      </c>
      <c r="U40">
        <f>($C$7*BC40+$D$7*BD40+$E$7*T40)</f>
        <v>0</v>
      </c>
      <c r="V40">
        <f>0.61365*exp(17.502*U40/(240.97+U40))</f>
        <v>0</v>
      </c>
      <c r="W40">
        <f>(X40/Y40*100)</f>
        <v>0</v>
      </c>
      <c r="X40">
        <f>AU40*(AZ40+BA40)/1000</f>
        <v>0</v>
      </c>
      <c r="Y40">
        <f>0.61365*exp(17.502*BB40/(240.97+BB40))</f>
        <v>0</v>
      </c>
      <c r="Z40">
        <f>(V40-AU40*(AZ40+BA40)/1000)</f>
        <v>0</v>
      </c>
      <c r="AA40">
        <f>(-H40*44100)</f>
        <v>0</v>
      </c>
      <c r="AB40">
        <f>2*29.3*P40*0.92*(BB40-U40)</f>
        <v>0</v>
      </c>
      <c r="AC40">
        <f>2*0.95*5.67E-8*(((BB40+$B$7)+273)^4-(U40+273)^4)</f>
        <v>0</v>
      </c>
      <c r="AD40">
        <f>S40+AC40+AA40+AB40</f>
        <v>0</v>
      </c>
      <c r="AE40">
        <v>0</v>
      </c>
      <c r="AF40">
        <v>0</v>
      </c>
      <c r="AG40">
        <f>IF(AE40*$H$13&gt;=AI40,1.0,(AI40/(AI40-AE40*$H$13)))</f>
        <v>0</v>
      </c>
      <c r="AH40">
        <f>(AG40-1)*100</f>
        <v>0</v>
      </c>
      <c r="AI40">
        <f>MAX(0,($B$13+$C$13*BG40)/(1+$D$13*BG40)*AZ40/(BB40+273)*$E$13)</f>
        <v>0</v>
      </c>
      <c r="AJ40">
        <f>$B$11*BH40+$C$11*BI40+$D$11*BT40</f>
        <v>0</v>
      </c>
      <c r="AK40">
        <f>AJ40*AL40</f>
        <v>0</v>
      </c>
      <c r="AL40">
        <f>($B$11*$D$9+$C$11*$D$9+$D$11*(BU40*$E$9+BV40*$G$9))/($B$11+$C$11+$D$11)</f>
        <v>0</v>
      </c>
      <c r="AM40">
        <f>($B$11*$K$9+$C$11*$K$9+$D$11*(BU40*$L$9+BV40*$N$9))/($B$11+$C$11+$D$11)</f>
        <v>0</v>
      </c>
      <c r="AN40">
        <v>3</v>
      </c>
      <c r="AO40">
        <v>0.5</v>
      </c>
      <c r="AP40" t="s">
        <v>331</v>
      </c>
      <c r="AQ40">
        <v>2</v>
      </c>
      <c r="AR40">
        <v>1773197472.099999</v>
      </c>
      <c r="AS40">
        <v>437.3323225806452</v>
      </c>
      <c r="AT40">
        <v>435.5703225806452</v>
      </c>
      <c r="AU40">
        <v>7.048305161290322</v>
      </c>
      <c r="AV40">
        <v>5.237777741935483</v>
      </c>
      <c r="AW40">
        <v>431.1009354838711</v>
      </c>
      <c r="AX40">
        <v>6.967715161290323</v>
      </c>
      <c r="AY40">
        <v>499.9936451612904</v>
      </c>
      <c r="AZ40">
        <v>100.2476774193548</v>
      </c>
      <c r="BA40">
        <v>0.04583557741935484</v>
      </c>
      <c r="BB40">
        <v>30.8001129032258</v>
      </c>
      <c r="BC40">
        <v>30.21692258064516</v>
      </c>
      <c r="BD40">
        <v>999.9000000000003</v>
      </c>
      <c r="BE40">
        <v>0</v>
      </c>
      <c r="BF40">
        <v>0</v>
      </c>
      <c r="BG40">
        <v>5010.306451612903</v>
      </c>
      <c r="BH40">
        <v>1.611635161290323</v>
      </c>
      <c r="BI40">
        <v>1993.922903225807</v>
      </c>
      <c r="BJ40">
        <v>1.761987741935484</v>
      </c>
      <c r="BK40">
        <v>440.4366451612902</v>
      </c>
      <c r="BL40">
        <v>437.8637741935484</v>
      </c>
      <c r="BM40">
        <v>1.810527419354839</v>
      </c>
      <c r="BN40">
        <v>435.5703225806452</v>
      </c>
      <c r="BO40">
        <v>5.237777741935483</v>
      </c>
      <c r="BP40">
        <v>0.7065757741935486</v>
      </c>
      <c r="BQ40">
        <v>0.5250747419354839</v>
      </c>
      <c r="BR40">
        <v>1.957129677419355</v>
      </c>
      <c r="BS40">
        <v>-2.127359677419355</v>
      </c>
      <c r="BT40">
        <v>0</v>
      </c>
      <c r="BU40">
        <v>0</v>
      </c>
      <c r="BV40">
        <v>0</v>
      </c>
      <c r="BW40">
        <v>35</v>
      </c>
      <c r="BX40">
        <v>51.03440967741935</v>
      </c>
      <c r="BY40">
        <v>1773196010</v>
      </c>
      <c r="BZ40" t="s">
        <v>332</v>
      </c>
      <c r="CA40">
        <v>1773196010</v>
      </c>
      <c r="CB40">
        <v>1773196005.5</v>
      </c>
      <c r="CC40">
        <v>2</v>
      </c>
      <c r="CD40">
        <v>-0.279</v>
      </c>
      <c r="CE40">
        <v>-0.021</v>
      </c>
      <c r="CF40">
        <v>6.231</v>
      </c>
      <c r="CG40">
        <v>0.081</v>
      </c>
      <c r="CH40">
        <v>432</v>
      </c>
      <c r="CI40">
        <v>21</v>
      </c>
      <c r="CJ40">
        <v>0.03</v>
      </c>
      <c r="CK40">
        <v>0.06</v>
      </c>
      <c r="CL40">
        <v>435.5703225806452</v>
      </c>
      <c r="CM40">
        <v>0.5249999999987028</v>
      </c>
      <c r="CN40">
        <v>0.0415803823911211</v>
      </c>
      <c r="CO40">
        <v>-1</v>
      </c>
      <c r="CP40">
        <v>499.9936451612904</v>
      </c>
      <c r="CQ40">
        <v>-0.2561612903227538</v>
      </c>
      <c r="CR40">
        <v>0.05536130498362796</v>
      </c>
      <c r="CS40">
        <v>-1</v>
      </c>
      <c r="CT40">
        <v>0</v>
      </c>
      <c r="CU40">
        <v>0</v>
      </c>
      <c r="CV40" t="s">
        <v>333</v>
      </c>
      <c r="CW40">
        <v>3.16932</v>
      </c>
      <c r="CX40">
        <v>2.66689</v>
      </c>
      <c r="CY40">
        <v>0.102311</v>
      </c>
      <c r="CZ40">
        <v>0.103144</v>
      </c>
      <c r="DA40">
        <v>0.0441444</v>
      </c>
      <c r="DB40">
        <v>0.0346906</v>
      </c>
      <c r="DC40">
        <v>21366.1</v>
      </c>
      <c r="DD40">
        <v>21868.7</v>
      </c>
      <c r="DE40">
        <v>22940.2</v>
      </c>
      <c r="DF40">
        <v>22319.4</v>
      </c>
      <c r="DG40">
        <v>33148.4</v>
      </c>
      <c r="DH40">
        <v>30360.2</v>
      </c>
      <c r="DI40">
        <v>40358.6</v>
      </c>
      <c r="DJ40">
        <v>36925</v>
      </c>
      <c r="DK40">
        <v>2.04414</v>
      </c>
      <c r="DL40">
        <v>1.5959</v>
      </c>
      <c r="DM40">
        <v>-0.0735372</v>
      </c>
      <c r="DN40">
        <v>0</v>
      </c>
      <c r="DO40">
        <v>31.4222</v>
      </c>
      <c r="DP40">
        <v>999.9</v>
      </c>
      <c r="DQ40">
        <v>43.3</v>
      </c>
      <c r="DR40">
        <v>34.1</v>
      </c>
      <c r="DS40">
        <v>23.2062</v>
      </c>
      <c r="DT40">
        <v>29.8655</v>
      </c>
      <c r="DU40">
        <v>12.1354</v>
      </c>
      <c r="DV40">
        <v>1</v>
      </c>
      <c r="DW40">
        <v>0.721669</v>
      </c>
      <c r="DX40">
        <v>2.41989</v>
      </c>
      <c r="DY40">
        <v>20.3416</v>
      </c>
      <c r="DZ40">
        <v>5.21106</v>
      </c>
      <c r="EA40">
        <v>11.8542</v>
      </c>
      <c r="EB40">
        <v>4.96764</v>
      </c>
      <c r="EC40">
        <v>3.29298</v>
      </c>
      <c r="ED40">
        <v>879.4</v>
      </c>
      <c r="EE40">
        <v>9999</v>
      </c>
      <c r="EF40">
        <v>9999</v>
      </c>
      <c r="EG40">
        <v>76.40000000000001</v>
      </c>
      <c r="EH40">
        <v>4.9716</v>
      </c>
      <c r="EI40">
        <v>1.872</v>
      </c>
      <c r="EJ40">
        <v>1.86935</v>
      </c>
      <c r="EK40">
        <v>1.87164</v>
      </c>
      <c r="EL40">
        <v>1.86947</v>
      </c>
      <c r="EM40">
        <v>1.86829</v>
      </c>
      <c r="EN40">
        <v>1.87012</v>
      </c>
      <c r="EO40">
        <v>1.87195</v>
      </c>
      <c r="EP40">
        <v>0</v>
      </c>
      <c r="EQ40">
        <v>0</v>
      </c>
      <c r="ER40">
        <v>0</v>
      </c>
      <c r="ES40">
        <v>0</v>
      </c>
      <c r="ET40" t="s">
        <v>334</v>
      </c>
      <c r="EU40" t="s">
        <v>335</v>
      </c>
      <c r="EV40" t="s">
        <v>336</v>
      </c>
      <c r="EW40" t="s">
        <v>336</v>
      </c>
      <c r="EX40" t="s">
        <v>336</v>
      </c>
      <c r="EY40" t="s">
        <v>336</v>
      </c>
      <c r="EZ40">
        <v>0</v>
      </c>
      <c r="FA40">
        <v>100</v>
      </c>
      <c r="FB40">
        <v>100</v>
      </c>
      <c r="FC40">
        <v>6.231</v>
      </c>
      <c r="FD40">
        <v>0.0806</v>
      </c>
      <c r="FE40">
        <v>6.23135000000002</v>
      </c>
      <c r="FF40">
        <v>0</v>
      </c>
      <c r="FG40">
        <v>0</v>
      </c>
      <c r="FH40">
        <v>0</v>
      </c>
      <c r="FI40">
        <v>0.08059047619047632</v>
      </c>
      <c r="FJ40">
        <v>0</v>
      </c>
      <c r="FK40">
        <v>0</v>
      </c>
      <c r="FL40">
        <v>0</v>
      </c>
      <c r="FM40">
        <v>-1</v>
      </c>
      <c r="FN40">
        <v>-1</v>
      </c>
      <c r="FO40">
        <v>-1</v>
      </c>
      <c r="FP40">
        <v>-1</v>
      </c>
      <c r="FQ40">
        <v>24.5</v>
      </c>
      <c r="FR40">
        <v>24.6</v>
      </c>
      <c r="FS40">
        <v>0.144043</v>
      </c>
      <c r="FT40">
        <v>4.99756</v>
      </c>
      <c r="FU40">
        <v>1.5979</v>
      </c>
      <c r="FV40">
        <v>2.14233</v>
      </c>
      <c r="FW40">
        <v>1.54785</v>
      </c>
      <c r="FX40">
        <v>2.4585</v>
      </c>
      <c r="FY40">
        <v>40.938</v>
      </c>
      <c r="FZ40">
        <v>16.1021</v>
      </c>
      <c r="GA40">
        <v>3</v>
      </c>
      <c r="GB40">
        <v>516.944</v>
      </c>
      <c r="GC40">
        <v>328.729</v>
      </c>
      <c r="GD40">
        <v>28.9684</v>
      </c>
      <c r="GE40">
        <v>35.9903</v>
      </c>
      <c r="GF40">
        <v>30.0008</v>
      </c>
      <c r="GG40">
        <v>35.7826</v>
      </c>
      <c r="GH40">
        <v>35.7509</v>
      </c>
      <c r="GI40">
        <v>-1</v>
      </c>
      <c r="GJ40">
        <v>100</v>
      </c>
      <c r="GK40">
        <v>0</v>
      </c>
      <c r="GL40">
        <v>28.9212</v>
      </c>
      <c r="GM40">
        <v>1200</v>
      </c>
      <c r="GN40">
        <v>19.4378</v>
      </c>
      <c r="GO40">
        <v>101.55</v>
      </c>
      <c r="GP40">
        <v>96.4139</v>
      </c>
    </row>
    <row r="41" spans="1:198">
      <c r="A41">
        <v>25</v>
      </c>
      <c r="B41">
        <v>1773197540.1</v>
      </c>
      <c r="C41">
        <v>1440.099999904633</v>
      </c>
      <c r="D41" t="s">
        <v>383</v>
      </c>
      <c r="E41" t="s">
        <v>384</v>
      </c>
      <c r="F41">
        <v>15</v>
      </c>
      <c r="G41">
        <v>1773197532.099999</v>
      </c>
      <c r="H41">
        <f>(I41)/1000</f>
        <v>0</v>
      </c>
      <c r="I41">
        <f>1000*AY41*AG41*(AU41-AV41)/(100*AN41*(1000-AG41*AU41))</f>
        <v>0</v>
      </c>
      <c r="J41">
        <f>AY41*AG41*(AT41-AS41*(1000-AG41*AV41)/(1000-AG41*AU41))/(100*AN41)</f>
        <v>0</v>
      </c>
      <c r="K41">
        <f>AS41 - IF(AG41&gt;1, J41*AN41*100.0/(AI41), 0)</f>
        <v>0</v>
      </c>
      <c r="L41">
        <f>((R41-H41/2)*K41-J41)/(R41+H41/2)</f>
        <v>0</v>
      </c>
      <c r="M41">
        <f>L41*(AZ41+BA41)/1000.0</f>
        <v>0</v>
      </c>
      <c r="N41">
        <f>(AS41 - IF(AG41&gt;1, J41*AN41*100.0/(AI41), 0))*(AZ41+BA41)/1000.0</f>
        <v>0</v>
      </c>
      <c r="O41">
        <f>2.0/((1/Q41-1/P41)+SIGN(Q41)*SQRT((1/Q41-1/P41)*(1/Q41-1/P41) + 4*AO41/((AO41+1)*(AO41+1))*(2*1/Q41*1/P41-1/P41*1/P41)))</f>
        <v>0</v>
      </c>
      <c r="P41">
        <f>IF(LEFT(AP41,1)&lt;&gt;"0",IF(LEFT(AP41,1)="1",3.0,AQ41),$D$5+$E$5*(BG41*AZ41/($K$5*1000))+$F$5*(BG41*AZ41/($K$5*1000))*MAX(MIN(AN41,$J$5),$I$5)*MAX(MIN(AN41,$J$5),$I$5)+$G$5*MAX(MIN(AN41,$J$5),$I$5)*(BG41*AZ41/($K$5*1000))+$H$5*(BG41*AZ41/($K$5*1000))*(BG41*AZ41/($K$5*1000)))</f>
        <v>0</v>
      </c>
      <c r="Q41">
        <f>H41*(1000-(1000*0.61365*exp(17.502*U41/(240.97+U41))/(AZ41+BA41)+AU41)/2)/(1000*0.61365*exp(17.502*U41/(240.97+U41))/(AZ41+BA41)-AU41)</f>
        <v>0</v>
      </c>
      <c r="R41">
        <f>1/((AO41+1)/(O41/1.6)+1/(P41/1.37)) + AO41/((AO41+1)/(O41/1.6) + AO41/(P41/1.37))</f>
        <v>0</v>
      </c>
      <c r="S41">
        <f>(AJ41*AM41)</f>
        <v>0</v>
      </c>
      <c r="T41">
        <f>(BB41+(S41+2*0.95*5.67E-8*(((BB41+$B$7)+273)^4-(BB41+273)^4)-44100*H41)/(1.84*29.3*P41+8*0.95*5.67E-8*(BB41+273)^3))</f>
        <v>0</v>
      </c>
      <c r="U41">
        <f>($C$7*BC41+$D$7*BD41+$E$7*T41)</f>
        <v>0</v>
      </c>
      <c r="V41">
        <f>0.61365*exp(17.502*U41/(240.97+U41))</f>
        <v>0</v>
      </c>
      <c r="W41">
        <f>(X41/Y41*100)</f>
        <v>0</v>
      </c>
      <c r="X41">
        <f>AU41*(AZ41+BA41)/1000</f>
        <v>0</v>
      </c>
      <c r="Y41">
        <f>0.61365*exp(17.502*BB41/(240.97+BB41))</f>
        <v>0</v>
      </c>
      <c r="Z41">
        <f>(V41-AU41*(AZ41+BA41)/1000)</f>
        <v>0</v>
      </c>
      <c r="AA41">
        <f>(-H41*44100)</f>
        <v>0</v>
      </c>
      <c r="AB41">
        <f>2*29.3*P41*0.92*(BB41-U41)</f>
        <v>0</v>
      </c>
      <c r="AC41">
        <f>2*0.95*5.67E-8*(((BB41+$B$7)+273)^4-(U41+273)^4)</f>
        <v>0</v>
      </c>
      <c r="AD41">
        <f>S41+AC41+AA41+AB41</f>
        <v>0</v>
      </c>
      <c r="AE41">
        <v>0</v>
      </c>
      <c r="AF41">
        <v>0</v>
      </c>
      <c r="AG41">
        <f>IF(AE41*$H$13&gt;=AI41,1.0,(AI41/(AI41-AE41*$H$13)))</f>
        <v>0</v>
      </c>
      <c r="AH41">
        <f>(AG41-1)*100</f>
        <v>0</v>
      </c>
      <c r="AI41">
        <f>MAX(0,($B$13+$C$13*BG41)/(1+$D$13*BG41)*AZ41/(BB41+273)*$E$13)</f>
        <v>0</v>
      </c>
      <c r="AJ41">
        <f>$B$11*BH41+$C$11*BI41+$D$11*BT41</f>
        <v>0</v>
      </c>
      <c r="AK41">
        <f>AJ41*AL41</f>
        <v>0</v>
      </c>
      <c r="AL41">
        <f>($B$11*$D$9+$C$11*$D$9+$D$11*(BU41*$E$9+BV41*$G$9))/($B$11+$C$11+$D$11)</f>
        <v>0</v>
      </c>
      <c r="AM41">
        <f>($B$11*$K$9+$C$11*$K$9+$D$11*(BU41*$L$9+BV41*$N$9))/($B$11+$C$11+$D$11)</f>
        <v>0</v>
      </c>
      <c r="AN41">
        <v>3</v>
      </c>
      <c r="AO41">
        <v>0.5</v>
      </c>
      <c r="AP41" t="s">
        <v>331</v>
      </c>
      <c r="AQ41">
        <v>2</v>
      </c>
      <c r="AR41">
        <v>1773197532.099999</v>
      </c>
      <c r="AS41">
        <v>437.4739032258065</v>
      </c>
      <c r="AT41">
        <v>435.5966451612904</v>
      </c>
      <c r="AU41">
        <v>7.239872258064517</v>
      </c>
      <c r="AV41">
        <v>5.478130967741936</v>
      </c>
      <c r="AW41">
        <v>431.2423870967742</v>
      </c>
      <c r="AX41">
        <v>7.159281935483872</v>
      </c>
      <c r="AY41">
        <v>499.9944838709678</v>
      </c>
      <c r="AZ41">
        <v>100.2502903225806</v>
      </c>
      <c r="BA41">
        <v>0.04573904193548387</v>
      </c>
      <c r="BB41">
        <v>30.80129032258064</v>
      </c>
      <c r="BC41">
        <v>30.22832258064516</v>
      </c>
      <c r="BD41">
        <v>999.9000000000003</v>
      </c>
      <c r="BE41">
        <v>0</v>
      </c>
      <c r="BF41">
        <v>0</v>
      </c>
      <c r="BG41">
        <v>4996.596774193548</v>
      </c>
      <c r="BH41">
        <v>1.625536774193548</v>
      </c>
      <c r="BI41">
        <v>2012.272258064516</v>
      </c>
      <c r="BJ41">
        <v>1.877150967741935</v>
      </c>
      <c r="BK41">
        <v>440.6641290322581</v>
      </c>
      <c r="BL41">
        <v>437.996064516129</v>
      </c>
      <c r="BM41">
        <v>1.761742258064516</v>
      </c>
      <c r="BN41">
        <v>435.5966451612904</v>
      </c>
      <c r="BO41">
        <v>5.478130967741936</v>
      </c>
      <c r="BP41">
        <v>0.7257990967741935</v>
      </c>
      <c r="BQ41">
        <v>0.5491839999999999</v>
      </c>
      <c r="BR41">
        <v>2.333311935483871</v>
      </c>
      <c r="BS41">
        <v>-1.518580322580645</v>
      </c>
      <c r="BT41">
        <v>0</v>
      </c>
      <c r="BU41">
        <v>0</v>
      </c>
      <c r="BV41">
        <v>0</v>
      </c>
      <c r="BW41">
        <v>35</v>
      </c>
      <c r="BX41">
        <v>51.9849387096774</v>
      </c>
      <c r="BY41">
        <v>1773196010</v>
      </c>
      <c r="BZ41" t="s">
        <v>332</v>
      </c>
      <c r="CA41">
        <v>1773196010</v>
      </c>
      <c r="CB41">
        <v>1773196005.5</v>
      </c>
      <c r="CC41">
        <v>2</v>
      </c>
      <c r="CD41">
        <v>-0.279</v>
      </c>
      <c r="CE41">
        <v>-0.021</v>
      </c>
      <c r="CF41">
        <v>6.231</v>
      </c>
      <c r="CG41">
        <v>0.081</v>
      </c>
      <c r="CH41">
        <v>432</v>
      </c>
      <c r="CI41">
        <v>21</v>
      </c>
      <c r="CJ41">
        <v>0.03</v>
      </c>
      <c r="CK41">
        <v>0.06</v>
      </c>
      <c r="CL41">
        <v>435.6011290322581</v>
      </c>
      <c r="CM41">
        <v>-0.3172258064528898</v>
      </c>
      <c r="CN41">
        <v>0.02717297273855923</v>
      </c>
      <c r="CO41">
        <v>-1</v>
      </c>
      <c r="CP41">
        <v>499.9949032258065</v>
      </c>
      <c r="CQ41">
        <v>0.003919354836221309</v>
      </c>
      <c r="CR41">
        <v>0.04863514913649754</v>
      </c>
      <c r="CS41">
        <v>-1</v>
      </c>
      <c r="CT41">
        <v>0</v>
      </c>
      <c r="CU41">
        <v>0</v>
      </c>
      <c r="CV41" t="s">
        <v>333</v>
      </c>
      <c r="CW41">
        <v>3.16935</v>
      </c>
      <c r="CX41">
        <v>2.66706</v>
      </c>
      <c r="CY41">
        <v>0.102296</v>
      </c>
      <c r="CZ41">
        <v>0.103112</v>
      </c>
      <c r="DA41">
        <v>0.0451315</v>
      </c>
      <c r="DB41">
        <v>0.0360158</v>
      </c>
      <c r="DC41">
        <v>21361.4</v>
      </c>
      <c r="DD41">
        <v>21866.1</v>
      </c>
      <c r="DE41">
        <v>22935.1</v>
      </c>
      <c r="DF41">
        <v>22316.2</v>
      </c>
      <c r="DG41">
        <v>33107.1</v>
      </c>
      <c r="DH41">
        <v>30313.7</v>
      </c>
      <c r="DI41">
        <v>40350.3</v>
      </c>
      <c r="DJ41">
        <v>36919.4</v>
      </c>
      <c r="DK41">
        <v>2.04314</v>
      </c>
      <c r="DL41">
        <v>1.59258</v>
      </c>
      <c r="DM41">
        <v>-0.07334350000000001</v>
      </c>
      <c r="DN41">
        <v>0</v>
      </c>
      <c r="DO41">
        <v>31.4323</v>
      </c>
      <c r="DP41">
        <v>999.9</v>
      </c>
      <c r="DQ41">
        <v>43</v>
      </c>
      <c r="DR41">
        <v>34.4</v>
      </c>
      <c r="DS41">
        <v>23.4353</v>
      </c>
      <c r="DT41">
        <v>30.0755</v>
      </c>
      <c r="DU41">
        <v>12.1434</v>
      </c>
      <c r="DV41">
        <v>1</v>
      </c>
      <c r="DW41">
        <v>0.729801</v>
      </c>
      <c r="DX41">
        <v>2.3237</v>
      </c>
      <c r="DY41">
        <v>20.3432</v>
      </c>
      <c r="DZ41">
        <v>5.21058</v>
      </c>
      <c r="EA41">
        <v>11.8542</v>
      </c>
      <c r="EB41">
        <v>4.9676</v>
      </c>
      <c r="EC41">
        <v>3.29298</v>
      </c>
      <c r="ED41">
        <v>879.4</v>
      </c>
      <c r="EE41">
        <v>9999</v>
      </c>
      <c r="EF41">
        <v>9999</v>
      </c>
      <c r="EG41">
        <v>76.40000000000001</v>
      </c>
      <c r="EH41">
        <v>4.97161</v>
      </c>
      <c r="EI41">
        <v>1.87204</v>
      </c>
      <c r="EJ41">
        <v>1.86935</v>
      </c>
      <c r="EK41">
        <v>1.87164</v>
      </c>
      <c r="EL41">
        <v>1.86949</v>
      </c>
      <c r="EM41">
        <v>1.86829</v>
      </c>
      <c r="EN41">
        <v>1.87013</v>
      </c>
      <c r="EO41">
        <v>1.87195</v>
      </c>
      <c r="EP41">
        <v>0</v>
      </c>
      <c r="EQ41">
        <v>0</v>
      </c>
      <c r="ER41">
        <v>0</v>
      </c>
      <c r="ES41">
        <v>0</v>
      </c>
      <c r="ET41" t="s">
        <v>334</v>
      </c>
      <c r="EU41" t="s">
        <v>335</v>
      </c>
      <c r="EV41" t="s">
        <v>336</v>
      </c>
      <c r="EW41" t="s">
        <v>336</v>
      </c>
      <c r="EX41" t="s">
        <v>336</v>
      </c>
      <c r="EY41" t="s">
        <v>336</v>
      </c>
      <c r="EZ41">
        <v>0</v>
      </c>
      <c r="FA41">
        <v>100</v>
      </c>
      <c r="FB41">
        <v>100</v>
      </c>
      <c r="FC41">
        <v>6.231</v>
      </c>
      <c r="FD41">
        <v>0.0806</v>
      </c>
      <c r="FE41">
        <v>6.23135000000002</v>
      </c>
      <c r="FF41">
        <v>0</v>
      </c>
      <c r="FG41">
        <v>0</v>
      </c>
      <c r="FH41">
        <v>0</v>
      </c>
      <c r="FI41">
        <v>0.08059047619047632</v>
      </c>
      <c r="FJ41">
        <v>0</v>
      </c>
      <c r="FK41">
        <v>0</v>
      </c>
      <c r="FL41">
        <v>0</v>
      </c>
      <c r="FM41">
        <v>-1</v>
      </c>
      <c r="FN41">
        <v>-1</v>
      </c>
      <c r="FO41">
        <v>-1</v>
      </c>
      <c r="FP41">
        <v>-1</v>
      </c>
      <c r="FQ41">
        <v>25.5</v>
      </c>
      <c r="FR41">
        <v>25.6</v>
      </c>
      <c r="FS41">
        <v>0.144043</v>
      </c>
      <c r="FT41">
        <v>4.99756</v>
      </c>
      <c r="FU41">
        <v>1.5979</v>
      </c>
      <c r="FV41">
        <v>2.14233</v>
      </c>
      <c r="FW41">
        <v>1.54785</v>
      </c>
      <c r="FX41">
        <v>2.44873</v>
      </c>
      <c r="FY41">
        <v>41.1705</v>
      </c>
      <c r="FZ41">
        <v>16.0934</v>
      </c>
      <c r="GA41">
        <v>3</v>
      </c>
      <c r="GB41">
        <v>517.037</v>
      </c>
      <c r="GC41">
        <v>327.531</v>
      </c>
      <c r="GD41">
        <v>28.9269</v>
      </c>
      <c r="GE41">
        <v>36.0761</v>
      </c>
      <c r="GF41">
        <v>30.0009</v>
      </c>
      <c r="GG41">
        <v>35.8806</v>
      </c>
      <c r="GH41">
        <v>35.8554</v>
      </c>
      <c r="GI41">
        <v>-1</v>
      </c>
      <c r="GJ41">
        <v>100</v>
      </c>
      <c r="GK41">
        <v>0</v>
      </c>
      <c r="GL41">
        <v>28.9201</v>
      </c>
      <c r="GM41">
        <v>1200</v>
      </c>
      <c r="GN41">
        <v>19.4378</v>
      </c>
      <c r="GO41">
        <v>101.529</v>
      </c>
      <c r="GP41">
        <v>96.3997</v>
      </c>
    </row>
    <row r="42" spans="1:198">
      <c r="A42">
        <v>26</v>
      </c>
      <c r="B42">
        <v>1773197600.1</v>
      </c>
      <c r="C42">
        <v>1500.099999904633</v>
      </c>
      <c r="D42" t="s">
        <v>385</v>
      </c>
      <c r="E42" t="s">
        <v>386</v>
      </c>
      <c r="F42">
        <v>15</v>
      </c>
      <c r="G42">
        <v>1773197592.099999</v>
      </c>
      <c r="H42">
        <f>(I42)/1000</f>
        <v>0</v>
      </c>
      <c r="I42">
        <f>1000*AY42*AG42*(AU42-AV42)/(100*AN42*(1000-AG42*AU42))</f>
        <v>0</v>
      </c>
      <c r="J42">
        <f>AY42*AG42*(AT42-AS42*(1000-AG42*AV42)/(1000-AG42*AU42))/(100*AN42)</f>
        <v>0</v>
      </c>
      <c r="K42">
        <f>AS42 - IF(AG42&gt;1, J42*AN42*100.0/(AI42), 0)</f>
        <v>0</v>
      </c>
      <c r="L42">
        <f>((R42-H42/2)*K42-J42)/(R42+H42/2)</f>
        <v>0</v>
      </c>
      <c r="M42">
        <f>L42*(AZ42+BA42)/1000.0</f>
        <v>0</v>
      </c>
      <c r="N42">
        <f>(AS42 - IF(AG42&gt;1, J42*AN42*100.0/(AI42), 0))*(AZ42+BA42)/1000.0</f>
        <v>0</v>
      </c>
      <c r="O42">
        <f>2.0/((1/Q42-1/P42)+SIGN(Q42)*SQRT((1/Q42-1/P42)*(1/Q42-1/P42) + 4*AO42/((AO42+1)*(AO42+1))*(2*1/Q42*1/P42-1/P42*1/P42)))</f>
        <v>0</v>
      </c>
      <c r="P42">
        <f>IF(LEFT(AP42,1)&lt;&gt;"0",IF(LEFT(AP42,1)="1",3.0,AQ42),$D$5+$E$5*(BG42*AZ42/($K$5*1000))+$F$5*(BG42*AZ42/($K$5*1000))*MAX(MIN(AN42,$J$5),$I$5)*MAX(MIN(AN42,$J$5),$I$5)+$G$5*MAX(MIN(AN42,$J$5),$I$5)*(BG42*AZ42/($K$5*1000))+$H$5*(BG42*AZ42/($K$5*1000))*(BG42*AZ42/($K$5*1000)))</f>
        <v>0</v>
      </c>
      <c r="Q42">
        <f>H42*(1000-(1000*0.61365*exp(17.502*U42/(240.97+U42))/(AZ42+BA42)+AU42)/2)/(1000*0.61365*exp(17.502*U42/(240.97+U42))/(AZ42+BA42)-AU42)</f>
        <v>0</v>
      </c>
      <c r="R42">
        <f>1/((AO42+1)/(O42/1.6)+1/(P42/1.37)) + AO42/((AO42+1)/(O42/1.6) + AO42/(P42/1.37))</f>
        <v>0</v>
      </c>
      <c r="S42">
        <f>(AJ42*AM42)</f>
        <v>0</v>
      </c>
      <c r="T42">
        <f>(BB42+(S42+2*0.95*5.67E-8*(((BB42+$B$7)+273)^4-(BB42+273)^4)-44100*H42)/(1.84*29.3*P42+8*0.95*5.67E-8*(BB42+273)^3))</f>
        <v>0</v>
      </c>
      <c r="U42">
        <f>($C$7*BC42+$D$7*BD42+$E$7*T42)</f>
        <v>0</v>
      </c>
      <c r="V42">
        <f>0.61365*exp(17.502*U42/(240.97+U42))</f>
        <v>0</v>
      </c>
      <c r="W42">
        <f>(X42/Y42*100)</f>
        <v>0</v>
      </c>
      <c r="X42">
        <f>AU42*(AZ42+BA42)/1000</f>
        <v>0</v>
      </c>
      <c r="Y42">
        <f>0.61365*exp(17.502*BB42/(240.97+BB42))</f>
        <v>0</v>
      </c>
      <c r="Z42">
        <f>(V42-AU42*(AZ42+BA42)/1000)</f>
        <v>0</v>
      </c>
      <c r="AA42">
        <f>(-H42*44100)</f>
        <v>0</v>
      </c>
      <c r="AB42">
        <f>2*29.3*P42*0.92*(BB42-U42)</f>
        <v>0</v>
      </c>
      <c r="AC42">
        <f>2*0.95*5.67E-8*(((BB42+$B$7)+273)^4-(U42+273)^4)</f>
        <v>0</v>
      </c>
      <c r="AD42">
        <f>S42+AC42+AA42+AB42</f>
        <v>0</v>
      </c>
      <c r="AE42">
        <v>0</v>
      </c>
      <c r="AF42">
        <v>0</v>
      </c>
      <c r="AG42">
        <f>IF(AE42*$H$13&gt;=AI42,1.0,(AI42/(AI42-AE42*$H$13)))</f>
        <v>0</v>
      </c>
      <c r="AH42">
        <f>(AG42-1)*100</f>
        <v>0</v>
      </c>
      <c r="AI42">
        <f>MAX(0,($B$13+$C$13*BG42)/(1+$D$13*BG42)*AZ42/(BB42+273)*$E$13)</f>
        <v>0</v>
      </c>
      <c r="AJ42">
        <f>$B$11*BH42+$C$11*BI42+$D$11*BT42</f>
        <v>0</v>
      </c>
      <c r="AK42">
        <f>AJ42*AL42</f>
        <v>0</v>
      </c>
      <c r="AL42">
        <f>($B$11*$D$9+$C$11*$D$9+$D$11*(BU42*$E$9+BV42*$G$9))/($B$11+$C$11+$D$11)</f>
        <v>0</v>
      </c>
      <c r="AM42">
        <f>($B$11*$K$9+$C$11*$K$9+$D$11*(BU42*$L$9+BV42*$N$9))/($B$11+$C$11+$D$11)</f>
        <v>0</v>
      </c>
      <c r="AN42">
        <v>3</v>
      </c>
      <c r="AO42">
        <v>0.5</v>
      </c>
      <c r="AP42" t="s">
        <v>331</v>
      </c>
      <c r="AQ42">
        <v>2</v>
      </c>
      <c r="AR42">
        <v>1773197592.099999</v>
      </c>
      <c r="AS42">
        <v>436.9182903225807</v>
      </c>
      <c r="AT42">
        <v>435.0593225806452</v>
      </c>
      <c r="AU42">
        <v>7.446235806451615</v>
      </c>
      <c r="AV42">
        <v>5.723292580645162</v>
      </c>
      <c r="AW42">
        <v>430.686935483871</v>
      </c>
      <c r="AX42">
        <v>7.365645806451614</v>
      </c>
      <c r="AY42">
        <v>500.0158709677419</v>
      </c>
      <c r="AZ42">
        <v>100.2493548387097</v>
      </c>
      <c r="BA42">
        <v>0.04587193548387097</v>
      </c>
      <c r="BB42">
        <v>30.8405193548387</v>
      </c>
      <c r="BC42">
        <v>30.29509032258065</v>
      </c>
      <c r="BD42">
        <v>999.9000000000003</v>
      </c>
      <c r="BE42">
        <v>0</v>
      </c>
      <c r="BF42">
        <v>0</v>
      </c>
      <c r="BG42">
        <v>5007</v>
      </c>
      <c r="BH42">
        <v>1.607873225806451</v>
      </c>
      <c r="BI42">
        <v>2008.031935483871</v>
      </c>
      <c r="BJ42">
        <v>1.858962580645161</v>
      </c>
      <c r="BK42">
        <v>440.1961612903227</v>
      </c>
      <c r="BL42">
        <v>437.5636451612903</v>
      </c>
      <c r="BM42">
        <v>1.722945806451613</v>
      </c>
      <c r="BN42">
        <v>435.0593225806452</v>
      </c>
      <c r="BO42">
        <v>5.723292580645162</v>
      </c>
      <c r="BP42">
        <v>0.7464803225806451</v>
      </c>
      <c r="BQ42">
        <v>0.5737561935483871</v>
      </c>
      <c r="BR42">
        <v>2.728311935483871</v>
      </c>
      <c r="BS42">
        <v>-0.9220133225806453</v>
      </c>
      <c r="BT42">
        <v>0</v>
      </c>
      <c r="BU42">
        <v>0</v>
      </c>
      <c r="BV42">
        <v>0</v>
      </c>
      <c r="BW42">
        <v>35</v>
      </c>
      <c r="BX42">
        <v>52</v>
      </c>
      <c r="BY42">
        <v>1773196010</v>
      </c>
      <c r="BZ42" t="s">
        <v>332</v>
      </c>
      <c r="CA42">
        <v>1773196010</v>
      </c>
      <c r="CB42">
        <v>1773196005.5</v>
      </c>
      <c r="CC42">
        <v>2</v>
      </c>
      <c r="CD42">
        <v>-0.279</v>
      </c>
      <c r="CE42">
        <v>-0.021</v>
      </c>
      <c r="CF42">
        <v>6.231</v>
      </c>
      <c r="CG42">
        <v>0.081</v>
      </c>
      <c r="CH42">
        <v>432</v>
      </c>
      <c r="CI42">
        <v>21</v>
      </c>
      <c r="CJ42">
        <v>0.03</v>
      </c>
      <c r="CK42">
        <v>0.06</v>
      </c>
      <c r="CL42">
        <v>435.0574</v>
      </c>
      <c r="CM42">
        <v>0.4613125695209773</v>
      </c>
      <c r="CN42">
        <v>0.03573942734105861</v>
      </c>
      <c r="CO42">
        <v>-1</v>
      </c>
      <c r="CP42">
        <v>500.0154666666667</v>
      </c>
      <c r="CQ42">
        <v>-0.1744872080080227</v>
      </c>
      <c r="CR42">
        <v>0.04873242133209749</v>
      </c>
      <c r="CS42">
        <v>-1</v>
      </c>
      <c r="CT42">
        <v>0</v>
      </c>
      <c r="CU42">
        <v>0</v>
      </c>
      <c r="CV42" t="s">
        <v>333</v>
      </c>
      <c r="CW42">
        <v>3.16934</v>
      </c>
      <c r="CX42">
        <v>2.66754</v>
      </c>
      <c r="CY42">
        <v>0.102176</v>
      </c>
      <c r="CZ42">
        <v>0.103005</v>
      </c>
      <c r="DA42">
        <v>0.0461618</v>
      </c>
      <c r="DB42">
        <v>0.037336</v>
      </c>
      <c r="DC42">
        <v>21358.7</v>
      </c>
      <c r="DD42">
        <v>21864.6</v>
      </c>
      <c r="DE42">
        <v>22929.6</v>
      </c>
      <c r="DF42">
        <v>22312.4</v>
      </c>
      <c r="DG42">
        <v>33064</v>
      </c>
      <c r="DH42">
        <v>30266.4</v>
      </c>
      <c r="DI42">
        <v>40341.5</v>
      </c>
      <c r="DJ42">
        <v>36912.7</v>
      </c>
      <c r="DK42">
        <v>2.04214</v>
      </c>
      <c r="DL42">
        <v>1.58766</v>
      </c>
      <c r="DM42">
        <v>-0.0760555</v>
      </c>
      <c r="DN42">
        <v>0</v>
      </c>
      <c r="DO42">
        <v>31.5309</v>
      </c>
      <c r="DP42">
        <v>999.9</v>
      </c>
      <c r="DQ42">
        <v>42.6</v>
      </c>
      <c r="DR42">
        <v>34.6</v>
      </c>
      <c r="DS42">
        <v>23.4761</v>
      </c>
      <c r="DT42">
        <v>30.1655</v>
      </c>
      <c r="DU42">
        <v>12.6442</v>
      </c>
      <c r="DV42">
        <v>1</v>
      </c>
      <c r="DW42">
        <v>0.741638</v>
      </c>
      <c r="DX42">
        <v>2.86801</v>
      </c>
      <c r="DY42">
        <v>20.3323</v>
      </c>
      <c r="DZ42">
        <v>5.21022</v>
      </c>
      <c r="EA42">
        <v>11.8542</v>
      </c>
      <c r="EB42">
        <v>4.96756</v>
      </c>
      <c r="EC42">
        <v>3.29294</v>
      </c>
      <c r="ED42">
        <v>879.4</v>
      </c>
      <c r="EE42">
        <v>9999</v>
      </c>
      <c r="EF42">
        <v>9999</v>
      </c>
      <c r="EG42">
        <v>76.40000000000001</v>
      </c>
      <c r="EH42">
        <v>4.97157</v>
      </c>
      <c r="EI42">
        <v>1.87202</v>
      </c>
      <c r="EJ42">
        <v>1.86935</v>
      </c>
      <c r="EK42">
        <v>1.87165</v>
      </c>
      <c r="EL42">
        <v>1.86951</v>
      </c>
      <c r="EM42">
        <v>1.86829</v>
      </c>
      <c r="EN42">
        <v>1.87012</v>
      </c>
      <c r="EO42">
        <v>1.87195</v>
      </c>
      <c r="EP42">
        <v>0</v>
      </c>
      <c r="EQ42">
        <v>0</v>
      </c>
      <c r="ER42">
        <v>0</v>
      </c>
      <c r="ES42">
        <v>0</v>
      </c>
      <c r="ET42" t="s">
        <v>334</v>
      </c>
      <c r="EU42" t="s">
        <v>335</v>
      </c>
      <c r="EV42" t="s">
        <v>336</v>
      </c>
      <c r="EW42" t="s">
        <v>336</v>
      </c>
      <c r="EX42" t="s">
        <v>336</v>
      </c>
      <c r="EY42" t="s">
        <v>336</v>
      </c>
      <c r="EZ42">
        <v>0</v>
      </c>
      <c r="FA42">
        <v>100</v>
      </c>
      <c r="FB42">
        <v>100</v>
      </c>
      <c r="FC42">
        <v>6.231</v>
      </c>
      <c r="FD42">
        <v>0.0806</v>
      </c>
      <c r="FE42">
        <v>6.23135000000002</v>
      </c>
      <c r="FF42">
        <v>0</v>
      </c>
      <c r="FG42">
        <v>0</v>
      </c>
      <c r="FH42">
        <v>0</v>
      </c>
      <c r="FI42">
        <v>0.08059047619047632</v>
      </c>
      <c r="FJ42">
        <v>0</v>
      </c>
      <c r="FK42">
        <v>0</v>
      </c>
      <c r="FL42">
        <v>0</v>
      </c>
      <c r="FM42">
        <v>-1</v>
      </c>
      <c r="FN42">
        <v>-1</v>
      </c>
      <c r="FO42">
        <v>-1</v>
      </c>
      <c r="FP42">
        <v>-1</v>
      </c>
      <c r="FQ42">
        <v>26.5</v>
      </c>
      <c r="FR42">
        <v>26.6</v>
      </c>
      <c r="FS42">
        <v>0.144043</v>
      </c>
      <c r="FT42">
        <v>4.99756</v>
      </c>
      <c r="FU42">
        <v>1.5979</v>
      </c>
      <c r="FV42">
        <v>2.14111</v>
      </c>
      <c r="FW42">
        <v>1.54785</v>
      </c>
      <c r="FX42">
        <v>2.3877</v>
      </c>
      <c r="FY42">
        <v>41.4301</v>
      </c>
      <c r="FZ42">
        <v>16.0758</v>
      </c>
      <c r="GA42">
        <v>3</v>
      </c>
      <c r="GB42">
        <v>517.2</v>
      </c>
      <c r="GC42">
        <v>325.549</v>
      </c>
      <c r="GD42">
        <v>28.5877</v>
      </c>
      <c r="GE42">
        <v>36.1868</v>
      </c>
      <c r="GF42">
        <v>30.0009</v>
      </c>
      <c r="GG42">
        <v>35.9886</v>
      </c>
      <c r="GH42">
        <v>35.9644</v>
      </c>
      <c r="GI42">
        <v>-1</v>
      </c>
      <c r="GJ42">
        <v>100</v>
      </c>
      <c r="GK42">
        <v>0</v>
      </c>
      <c r="GL42">
        <v>28.5655</v>
      </c>
      <c r="GM42">
        <v>1200</v>
      </c>
      <c r="GN42">
        <v>19.4378</v>
      </c>
      <c r="GO42">
        <v>101.506</v>
      </c>
      <c r="GP42">
        <v>96.38249999999999</v>
      </c>
    </row>
    <row r="43" spans="1:198">
      <c r="A43">
        <v>27</v>
      </c>
      <c r="B43">
        <v>1773197660.1</v>
      </c>
      <c r="C43">
        <v>1560.099999904633</v>
      </c>
      <c r="D43" t="s">
        <v>387</v>
      </c>
      <c r="E43" t="s">
        <v>388</v>
      </c>
      <c r="F43">
        <v>15</v>
      </c>
      <c r="G43">
        <v>1773197652.099999</v>
      </c>
      <c r="H43">
        <f>(I43)/1000</f>
        <v>0</v>
      </c>
      <c r="I43">
        <f>1000*AY43*AG43*(AU43-AV43)/(100*AN43*(1000-AG43*AU43))</f>
        <v>0</v>
      </c>
      <c r="J43">
        <f>AY43*AG43*(AT43-AS43*(1000-AG43*AV43)/(1000-AG43*AU43))/(100*AN43)</f>
        <v>0</v>
      </c>
      <c r="K43">
        <f>AS43 - IF(AG43&gt;1, J43*AN43*100.0/(AI43), 0)</f>
        <v>0</v>
      </c>
      <c r="L43">
        <f>((R43-H43/2)*K43-J43)/(R43+H43/2)</f>
        <v>0</v>
      </c>
      <c r="M43">
        <f>L43*(AZ43+BA43)/1000.0</f>
        <v>0</v>
      </c>
      <c r="N43">
        <f>(AS43 - IF(AG43&gt;1, J43*AN43*100.0/(AI43), 0))*(AZ43+BA43)/1000.0</f>
        <v>0</v>
      </c>
      <c r="O43">
        <f>2.0/((1/Q43-1/P43)+SIGN(Q43)*SQRT((1/Q43-1/P43)*(1/Q43-1/P43) + 4*AO43/((AO43+1)*(AO43+1))*(2*1/Q43*1/P43-1/P43*1/P43)))</f>
        <v>0</v>
      </c>
      <c r="P43">
        <f>IF(LEFT(AP43,1)&lt;&gt;"0",IF(LEFT(AP43,1)="1",3.0,AQ43),$D$5+$E$5*(BG43*AZ43/($K$5*1000))+$F$5*(BG43*AZ43/($K$5*1000))*MAX(MIN(AN43,$J$5),$I$5)*MAX(MIN(AN43,$J$5),$I$5)+$G$5*MAX(MIN(AN43,$J$5),$I$5)*(BG43*AZ43/($K$5*1000))+$H$5*(BG43*AZ43/($K$5*1000))*(BG43*AZ43/($K$5*1000)))</f>
        <v>0</v>
      </c>
      <c r="Q43">
        <f>H43*(1000-(1000*0.61365*exp(17.502*U43/(240.97+U43))/(AZ43+BA43)+AU43)/2)/(1000*0.61365*exp(17.502*U43/(240.97+U43))/(AZ43+BA43)-AU43)</f>
        <v>0</v>
      </c>
      <c r="R43">
        <f>1/((AO43+1)/(O43/1.6)+1/(P43/1.37)) + AO43/((AO43+1)/(O43/1.6) + AO43/(P43/1.37))</f>
        <v>0</v>
      </c>
      <c r="S43">
        <f>(AJ43*AM43)</f>
        <v>0</v>
      </c>
      <c r="T43">
        <f>(BB43+(S43+2*0.95*5.67E-8*(((BB43+$B$7)+273)^4-(BB43+273)^4)-44100*H43)/(1.84*29.3*P43+8*0.95*5.67E-8*(BB43+273)^3))</f>
        <v>0</v>
      </c>
      <c r="U43">
        <f>($C$7*BC43+$D$7*BD43+$E$7*T43)</f>
        <v>0</v>
      </c>
      <c r="V43">
        <f>0.61365*exp(17.502*U43/(240.97+U43))</f>
        <v>0</v>
      </c>
      <c r="W43">
        <f>(X43/Y43*100)</f>
        <v>0</v>
      </c>
      <c r="X43">
        <f>AU43*(AZ43+BA43)/1000</f>
        <v>0</v>
      </c>
      <c r="Y43">
        <f>0.61365*exp(17.502*BB43/(240.97+BB43))</f>
        <v>0</v>
      </c>
      <c r="Z43">
        <f>(V43-AU43*(AZ43+BA43)/1000)</f>
        <v>0</v>
      </c>
      <c r="AA43">
        <f>(-H43*44100)</f>
        <v>0</v>
      </c>
      <c r="AB43">
        <f>2*29.3*P43*0.92*(BB43-U43)</f>
        <v>0</v>
      </c>
      <c r="AC43">
        <f>2*0.95*5.67E-8*(((BB43+$B$7)+273)^4-(U43+273)^4)</f>
        <v>0</v>
      </c>
      <c r="AD43">
        <f>S43+AC43+AA43+AB43</f>
        <v>0</v>
      </c>
      <c r="AE43">
        <v>0</v>
      </c>
      <c r="AF43">
        <v>0</v>
      </c>
      <c r="AG43">
        <f>IF(AE43*$H$13&gt;=AI43,1.0,(AI43/(AI43-AE43*$H$13)))</f>
        <v>0</v>
      </c>
      <c r="AH43">
        <f>(AG43-1)*100</f>
        <v>0</v>
      </c>
      <c r="AI43">
        <f>MAX(0,($B$13+$C$13*BG43)/(1+$D$13*BG43)*AZ43/(BB43+273)*$E$13)</f>
        <v>0</v>
      </c>
      <c r="AJ43">
        <f>$B$11*BH43+$C$11*BI43+$D$11*BT43</f>
        <v>0</v>
      </c>
      <c r="AK43">
        <f>AJ43*AL43</f>
        <v>0</v>
      </c>
      <c r="AL43">
        <f>($B$11*$D$9+$C$11*$D$9+$D$11*(BU43*$E$9+BV43*$G$9))/($B$11+$C$11+$D$11)</f>
        <v>0</v>
      </c>
      <c r="AM43">
        <f>($B$11*$K$9+$C$11*$K$9+$D$11*(BU43*$L$9+BV43*$N$9))/($B$11+$C$11+$D$11)</f>
        <v>0</v>
      </c>
      <c r="AN43">
        <v>3</v>
      </c>
      <c r="AO43">
        <v>0.5</v>
      </c>
      <c r="AP43" t="s">
        <v>331</v>
      </c>
      <c r="AQ43">
        <v>2</v>
      </c>
      <c r="AR43">
        <v>1773197652.099999</v>
      </c>
      <c r="AS43">
        <v>436.9393870967742</v>
      </c>
      <c r="AT43">
        <v>434.9757096774193</v>
      </c>
      <c r="AU43">
        <v>7.626160967741935</v>
      </c>
      <c r="AV43">
        <v>5.939699032258065</v>
      </c>
      <c r="AW43">
        <v>430.708</v>
      </c>
      <c r="AX43">
        <v>7.545570967741937</v>
      </c>
      <c r="AY43">
        <v>500.005935483871</v>
      </c>
      <c r="AZ43">
        <v>100.2508387096775</v>
      </c>
      <c r="BA43">
        <v>0.04573769677419354</v>
      </c>
      <c r="BB43">
        <v>30.80107419354839</v>
      </c>
      <c r="BC43">
        <v>30.28155161290322</v>
      </c>
      <c r="BD43">
        <v>999.9000000000003</v>
      </c>
      <c r="BE43">
        <v>0</v>
      </c>
      <c r="BF43">
        <v>0</v>
      </c>
      <c r="BG43">
        <v>5008.548387096775</v>
      </c>
      <c r="BH43">
        <v>1.600198709677419</v>
      </c>
      <c r="BI43">
        <v>2007.712903225806</v>
      </c>
      <c r="BJ43">
        <v>1.963623870967742</v>
      </c>
      <c r="BK43">
        <v>440.2970967741936</v>
      </c>
      <c r="BL43">
        <v>437.574806451613</v>
      </c>
      <c r="BM43">
        <v>1.686461290322581</v>
      </c>
      <c r="BN43">
        <v>434.9757096774193</v>
      </c>
      <c r="BO43">
        <v>5.939699032258065</v>
      </c>
      <c r="BP43">
        <v>0.7645293870967742</v>
      </c>
      <c r="BQ43">
        <v>0.5954601935483871</v>
      </c>
      <c r="BR43">
        <v>3.06521193548387</v>
      </c>
      <c r="BS43">
        <v>-0.4136197419354839</v>
      </c>
      <c r="BT43">
        <v>0</v>
      </c>
      <c r="BU43">
        <v>0</v>
      </c>
      <c r="BV43">
        <v>0</v>
      </c>
      <c r="BW43">
        <v>35</v>
      </c>
      <c r="BX43">
        <v>51.91075161290323</v>
      </c>
      <c r="BY43">
        <v>1773196010</v>
      </c>
      <c r="BZ43" t="s">
        <v>332</v>
      </c>
      <c r="CA43">
        <v>1773196010</v>
      </c>
      <c r="CB43">
        <v>1773196005.5</v>
      </c>
      <c r="CC43">
        <v>2</v>
      </c>
      <c r="CD43">
        <v>-0.279</v>
      </c>
      <c r="CE43">
        <v>-0.021</v>
      </c>
      <c r="CF43">
        <v>6.231</v>
      </c>
      <c r="CG43">
        <v>0.081</v>
      </c>
      <c r="CH43">
        <v>432</v>
      </c>
      <c r="CI43">
        <v>21</v>
      </c>
      <c r="CJ43">
        <v>0.03</v>
      </c>
      <c r="CK43">
        <v>0.06</v>
      </c>
      <c r="CL43">
        <v>434.9757096774193</v>
      </c>
      <c r="CM43">
        <v>-0.3189677419358731</v>
      </c>
      <c r="CN43">
        <v>0.07337890773169349</v>
      </c>
      <c r="CO43">
        <v>-1</v>
      </c>
      <c r="CP43">
        <v>500.005935483871</v>
      </c>
      <c r="CQ43">
        <v>0.1271129032236269</v>
      </c>
      <c r="CR43">
        <v>0.0440805241786303</v>
      </c>
      <c r="CS43">
        <v>-1</v>
      </c>
      <c r="CT43">
        <v>0</v>
      </c>
      <c r="CU43">
        <v>0</v>
      </c>
      <c r="CV43" t="s">
        <v>333</v>
      </c>
      <c r="CW43">
        <v>3.16937</v>
      </c>
      <c r="CX43">
        <v>2.66664</v>
      </c>
      <c r="CY43">
        <v>0.10215</v>
      </c>
      <c r="CZ43">
        <v>0.102971</v>
      </c>
      <c r="DA43">
        <v>0.0470427</v>
      </c>
      <c r="DB43">
        <v>0.0384867</v>
      </c>
      <c r="DC43">
        <v>21354.4</v>
      </c>
      <c r="DD43">
        <v>21862.7</v>
      </c>
      <c r="DE43">
        <v>22924.7</v>
      </c>
      <c r="DF43">
        <v>22309.9</v>
      </c>
      <c r="DG43">
        <v>33027.1</v>
      </c>
      <c r="DH43">
        <v>30226.4</v>
      </c>
      <c r="DI43">
        <v>40334</v>
      </c>
      <c r="DJ43">
        <v>36908.3</v>
      </c>
      <c r="DK43">
        <v>2.04138</v>
      </c>
      <c r="DL43">
        <v>1.58454</v>
      </c>
      <c r="DM43">
        <v>-0.08213520000000001</v>
      </c>
      <c r="DN43">
        <v>0</v>
      </c>
      <c r="DO43">
        <v>31.6071</v>
      </c>
      <c r="DP43">
        <v>999.9</v>
      </c>
      <c r="DQ43">
        <v>42.3</v>
      </c>
      <c r="DR43">
        <v>34.9</v>
      </c>
      <c r="DS43">
        <v>23.704</v>
      </c>
      <c r="DT43">
        <v>29.8355</v>
      </c>
      <c r="DU43">
        <v>12.6122</v>
      </c>
      <c r="DV43">
        <v>1</v>
      </c>
      <c r="DW43">
        <v>0.748417</v>
      </c>
      <c r="DX43">
        <v>1.98898</v>
      </c>
      <c r="DY43">
        <v>20.3454</v>
      </c>
      <c r="DZ43">
        <v>5.20723</v>
      </c>
      <c r="EA43">
        <v>11.8542</v>
      </c>
      <c r="EB43">
        <v>4.96724</v>
      </c>
      <c r="EC43">
        <v>3.29216</v>
      </c>
      <c r="ED43">
        <v>879.4</v>
      </c>
      <c r="EE43">
        <v>9999</v>
      </c>
      <c r="EF43">
        <v>9999</v>
      </c>
      <c r="EG43">
        <v>76.5</v>
      </c>
      <c r="EH43">
        <v>4.97161</v>
      </c>
      <c r="EI43">
        <v>1.87205</v>
      </c>
      <c r="EJ43">
        <v>1.86935</v>
      </c>
      <c r="EK43">
        <v>1.87165</v>
      </c>
      <c r="EL43">
        <v>1.86951</v>
      </c>
      <c r="EM43">
        <v>1.86829</v>
      </c>
      <c r="EN43">
        <v>1.87013</v>
      </c>
      <c r="EO43">
        <v>1.87194</v>
      </c>
      <c r="EP43">
        <v>0</v>
      </c>
      <c r="EQ43">
        <v>0</v>
      </c>
      <c r="ER43">
        <v>0</v>
      </c>
      <c r="ES43">
        <v>0</v>
      </c>
      <c r="ET43" t="s">
        <v>334</v>
      </c>
      <c r="EU43" t="s">
        <v>335</v>
      </c>
      <c r="EV43" t="s">
        <v>336</v>
      </c>
      <c r="EW43" t="s">
        <v>336</v>
      </c>
      <c r="EX43" t="s">
        <v>336</v>
      </c>
      <c r="EY43" t="s">
        <v>336</v>
      </c>
      <c r="EZ43">
        <v>0</v>
      </c>
      <c r="FA43">
        <v>100</v>
      </c>
      <c r="FB43">
        <v>100</v>
      </c>
      <c r="FC43">
        <v>6.232</v>
      </c>
      <c r="FD43">
        <v>0.0806</v>
      </c>
      <c r="FE43">
        <v>6.23135000000002</v>
      </c>
      <c r="FF43">
        <v>0</v>
      </c>
      <c r="FG43">
        <v>0</v>
      </c>
      <c r="FH43">
        <v>0</v>
      </c>
      <c r="FI43">
        <v>0.08059047619047632</v>
      </c>
      <c r="FJ43">
        <v>0</v>
      </c>
      <c r="FK43">
        <v>0</v>
      </c>
      <c r="FL43">
        <v>0</v>
      </c>
      <c r="FM43">
        <v>-1</v>
      </c>
      <c r="FN43">
        <v>-1</v>
      </c>
      <c r="FO43">
        <v>-1</v>
      </c>
      <c r="FP43">
        <v>-1</v>
      </c>
      <c r="FQ43">
        <v>27.5</v>
      </c>
      <c r="FR43">
        <v>27.6</v>
      </c>
      <c r="FS43">
        <v>0.144043</v>
      </c>
      <c r="FT43">
        <v>4.99756</v>
      </c>
      <c r="FU43">
        <v>1.5979</v>
      </c>
      <c r="FV43">
        <v>2.13989</v>
      </c>
      <c r="FW43">
        <v>1.54785</v>
      </c>
      <c r="FX43">
        <v>2.34253</v>
      </c>
      <c r="FY43">
        <v>41.665</v>
      </c>
      <c r="FZ43">
        <v>16.0846</v>
      </c>
      <c r="GA43">
        <v>3</v>
      </c>
      <c r="GB43">
        <v>517.484</v>
      </c>
      <c r="GC43">
        <v>324.447</v>
      </c>
      <c r="GD43">
        <v>28.3493</v>
      </c>
      <c r="GE43">
        <v>36.2929</v>
      </c>
      <c r="GF43">
        <v>29.9994</v>
      </c>
      <c r="GG43">
        <v>36.0927</v>
      </c>
      <c r="GH43">
        <v>36.0672</v>
      </c>
      <c r="GI43">
        <v>-1</v>
      </c>
      <c r="GJ43">
        <v>100</v>
      </c>
      <c r="GK43">
        <v>0</v>
      </c>
      <c r="GL43">
        <v>28.6214</v>
      </c>
      <c r="GM43">
        <v>1200</v>
      </c>
      <c r="GN43">
        <v>19.4378</v>
      </c>
      <c r="GO43">
        <v>101.486</v>
      </c>
      <c r="GP43">
        <v>96.37130000000001</v>
      </c>
    </row>
    <row r="44" spans="1:198">
      <c r="A44">
        <v>28</v>
      </c>
      <c r="B44">
        <v>1773197720.1</v>
      </c>
      <c r="C44">
        <v>1620.099999904633</v>
      </c>
      <c r="D44" t="s">
        <v>389</v>
      </c>
      <c r="E44" t="s">
        <v>390</v>
      </c>
      <c r="F44">
        <v>15</v>
      </c>
      <c r="G44">
        <v>1773197712.099999</v>
      </c>
      <c r="H44">
        <f>(I44)/1000</f>
        <v>0</v>
      </c>
      <c r="I44">
        <f>1000*AY44*AG44*(AU44-AV44)/(100*AN44*(1000-AG44*AU44))</f>
        <v>0</v>
      </c>
      <c r="J44">
        <f>AY44*AG44*(AT44-AS44*(1000-AG44*AV44)/(1000-AG44*AU44))/(100*AN44)</f>
        <v>0</v>
      </c>
      <c r="K44">
        <f>AS44 - IF(AG44&gt;1, J44*AN44*100.0/(AI44), 0)</f>
        <v>0</v>
      </c>
      <c r="L44">
        <f>((R44-H44/2)*K44-J44)/(R44+H44/2)</f>
        <v>0</v>
      </c>
      <c r="M44">
        <f>L44*(AZ44+BA44)/1000.0</f>
        <v>0</v>
      </c>
      <c r="N44">
        <f>(AS44 - IF(AG44&gt;1, J44*AN44*100.0/(AI44), 0))*(AZ44+BA44)/1000.0</f>
        <v>0</v>
      </c>
      <c r="O44">
        <f>2.0/((1/Q44-1/P44)+SIGN(Q44)*SQRT((1/Q44-1/P44)*(1/Q44-1/P44) + 4*AO44/((AO44+1)*(AO44+1))*(2*1/Q44*1/P44-1/P44*1/P44)))</f>
        <v>0</v>
      </c>
      <c r="P44">
        <f>IF(LEFT(AP44,1)&lt;&gt;"0",IF(LEFT(AP44,1)="1",3.0,AQ44),$D$5+$E$5*(BG44*AZ44/($K$5*1000))+$F$5*(BG44*AZ44/($K$5*1000))*MAX(MIN(AN44,$J$5),$I$5)*MAX(MIN(AN44,$J$5),$I$5)+$G$5*MAX(MIN(AN44,$J$5),$I$5)*(BG44*AZ44/($K$5*1000))+$H$5*(BG44*AZ44/($K$5*1000))*(BG44*AZ44/($K$5*1000)))</f>
        <v>0</v>
      </c>
      <c r="Q44">
        <f>H44*(1000-(1000*0.61365*exp(17.502*U44/(240.97+U44))/(AZ44+BA44)+AU44)/2)/(1000*0.61365*exp(17.502*U44/(240.97+U44))/(AZ44+BA44)-AU44)</f>
        <v>0</v>
      </c>
      <c r="R44">
        <f>1/((AO44+1)/(O44/1.6)+1/(P44/1.37)) + AO44/((AO44+1)/(O44/1.6) + AO44/(P44/1.37))</f>
        <v>0</v>
      </c>
      <c r="S44">
        <f>(AJ44*AM44)</f>
        <v>0</v>
      </c>
      <c r="T44">
        <f>(BB44+(S44+2*0.95*5.67E-8*(((BB44+$B$7)+273)^4-(BB44+273)^4)-44100*H44)/(1.84*29.3*P44+8*0.95*5.67E-8*(BB44+273)^3))</f>
        <v>0</v>
      </c>
      <c r="U44">
        <f>($C$7*BC44+$D$7*BD44+$E$7*T44)</f>
        <v>0</v>
      </c>
      <c r="V44">
        <f>0.61365*exp(17.502*U44/(240.97+U44))</f>
        <v>0</v>
      </c>
      <c r="W44">
        <f>(X44/Y44*100)</f>
        <v>0</v>
      </c>
      <c r="X44">
        <f>AU44*(AZ44+BA44)/1000</f>
        <v>0</v>
      </c>
      <c r="Y44">
        <f>0.61365*exp(17.502*BB44/(240.97+BB44))</f>
        <v>0</v>
      </c>
      <c r="Z44">
        <f>(V44-AU44*(AZ44+BA44)/1000)</f>
        <v>0</v>
      </c>
      <c r="AA44">
        <f>(-H44*44100)</f>
        <v>0</v>
      </c>
      <c r="AB44">
        <f>2*29.3*P44*0.92*(BB44-U44)</f>
        <v>0</v>
      </c>
      <c r="AC44">
        <f>2*0.95*5.67E-8*(((BB44+$B$7)+273)^4-(U44+273)^4)</f>
        <v>0</v>
      </c>
      <c r="AD44">
        <f>S44+AC44+AA44+AB44</f>
        <v>0</v>
      </c>
      <c r="AE44">
        <v>0</v>
      </c>
      <c r="AF44">
        <v>0</v>
      </c>
      <c r="AG44">
        <f>IF(AE44*$H$13&gt;=AI44,1.0,(AI44/(AI44-AE44*$H$13)))</f>
        <v>0</v>
      </c>
      <c r="AH44">
        <f>(AG44-1)*100</f>
        <v>0</v>
      </c>
      <c r="AI44">
        <f>MAX(0,($B$13+$C$13*BG44)/(1+$D$13*BG44)*AZ44/(BB44+273)*$E$13)</f>
        <v>0</v>
      </c>
      <c r="AJ44">
        <f>$B$11*BH44+$C$11*BI44+$D$11*BT44</f>
        <v>0</v>
      </c>
      <c r="AK44">
        <f>AJ44*AL44</f>
        <v>0</v>
      </c>
      <c r="AL44">
        <f>($B$11*$D$9+$C$11*$D$9+$D$11*(BU44*$E$9+BV44*$G$9))/($B$11+$C$11+$D$11)</f>
        <v>0</v>
      </c>
      <c r="AM44">
        <f>($B$11*$K$9+$C$11*$K$9+$D$11*(BU44*$L$9+BV44*$N$9))/($B$11+$C$11+$D$11)</f>
        <v>0</v>
      </c>
      <c r="AN44">
        <v>3</v>
      </c>
      <c r="AO44">
        <v>0.5</v>
      </c>
      <c r="AP44" t="s">
        <v>331</v>
      </c>
      <c r="AQ44">
        <v>2</v>
      </c>
      <c r="AR44">
        <v>1773197712.099999</v>
      </c>
      <c r="AS44">
        <v>436.7973548387097</v>
      </c>
      <c r="AT44">
        <v>434.9264838709677</v>
      </c>
      <c r="AU44">
        <v>7.81668129032258</v>
      </c>
      <c r="AV44">
        <v>6.165766451612903</v>
      </c>
      <c r="AW44">
        <v>430.5660322580645</v>
      </c>
      <c r="AX44">
        <v>7.736090645161291</v>
      </c>
      <c r="AY44">
        <v>499.9571935483871</v>
      </c>
      <c r="AZ44">
        <v>100.2499677419355</v>
      </c>
      <c r="BA44">
        <v>0.04594269677419355</v>
      </c>
      <c r="BB44">
        <v>30.83477741935484</v>
      </c>
      <c r="BC44">
        <v>30.34646129032258</v>
      </c>
      <c r="BD44">
        <v>999.9000000000003</v>
      </c>
      <c r="BE44">
        <v>0</v>
      </c>
      <c r="BF44">
        <v>0</v>
      </c>
      <c r="BG44">
        <v>5006.225806451613</v>
      </c>
      <c r="BH44">
        <v>1.604820967741935</v>
      </c>
      <c r="BI44">
        <v>2017.620322580645</v>
      </c>
      <c r="BJ44">
        <v>1.870823548387097</v>
      </c>
      <c r="BK44">
        <v>440.2385483870968</v>
      </c>
      <c r="BL44">
        <v>437.6248387096774</v>
      </c>
      <c r="BM44">
        <v>1.650913548387097</v>
      </c>
      <c r="BN44">
        <v>434.9264838709677</v>
      </c>
      <c r="BO44">
        <v>6.165766451612903</v>
      </c>
      <c r="BP44">
        <v>0.7836220322580645</v>
      </c>
      <c r="BQ44">
        <v>0.618117935483871</v>
      </c>
      <c r="BR44">
        <v>3.414011290322581</v>
      </c>
      <c r="BS44">
        <v>0.09987772903225806</v>
      </c>
      <c r="BT44">
        <v>0</v>
      </c>
      <c r="BU44">
        <v>0</v>
      </c>
      <c r="BV44">
        <v>0</v>
      </c>
      <c r="BW44">
        <v>35.62365806451612</v>
      </c>
      <c r="BX44">
        <v>52</v>
      </c>
      <c r="BY44">
        <v>1773196010</v>
      </c>
      <c r="BZ44" t="s">
        <v>332</v>
      </c>
      <c r="CA44">
        <v>1773196010</v>
      </c>
      <c r="CB44">
        <v>1773196005.5</v>
      </c>
      <c r="CC44">
        <v>2</v>
      </c>
      <c r="CD44">
        <v>-0.279</v>
      </c>
      <c r="CE44">
        <v>-0.021</v>
      </c>
      <c r="CF44">
        <v>6.231</v>
      </c>
      <c r="CG44">
        <v>0.081</v>
      </c>
      <c r="CH44">
        <v>432</v>
      </c>
      <c r="CI44">
        <v>21</v>
      </c>
      <c r="CJ44">
        <v>0.03</v>
      </c>
      <c r="CK44">
        <v>0.06</v>
      </c>
      <c r="CL44">
        <v>434.9261666666666</v>
      </c>
      <c r="CM44">
        <v>0.6564360400443028</v>
      </c>
      <c r="CN44">
        <v>0.07222607254693739</v>
      </c>
      <c r="CO44">
        <v>-1</v>
      </c>
      <c r="CP44">
        <v>499.9591</v>
      </c>
      <c r="CQ44">
        <v>-0.5968498331488965</v>
      </c>
      <c r="CR44">
        <v>0.05773984759245611</v>
      </c>
      <c r="CS44">
        <v>-1</v>
      </c>
      <c r="CT44">
        <v>0</v>
      </c>
      <c r="CU44">
        <v>0</v>
      </c>
      <c r="CV44" t="s">
        <v>333</v>
      </c>
      <c r="CW44">
        <v>3.16923</v>
      </c>
      <c r="CX44">
        <v>2.66724</v>
      </c>
      <c r="CY44">
        <v>0.102118</v>
      </c>
      <c r="CZ44">
        <v>0.102924</v>
      </c>
      <c r="DA44">
        <v>0.0480015</v>
      </c>
      <c r="DB44">
        <v>0.0396914</v>
      </c>
      <c r="DC44">
        <v>21350</v>
      </c>
      <c r="DD44">
        <v>21859.9</v>
      </c>
      <c r="DE44">
        <v>22919.6</v>
      </c>
      <c r="DF44">
        <v>22306.2</v>
      </c>
      <c r="DG44">
        <v>32986.9</v>
      </c>
      <c r="DH44">
        <v>30183.2</v>
      </c>
      <c r="DI44">
        <v>40325.8</v>
      </c>
      <c r="DJ44">
        <v>36902.2</v>
      </c>
      <c r="DK44">
        <v>2.0402</v>
      </c>
      <c r="DL44">
        <v>1.58074</v>
      </c>
      <c r="DM44">
        <v>-0.08355079999999999</v>
      </c>
      <c r="DN44">
        <v>0</v>
      </c>
      <c r="DO44">
        <v>31.7129</v>
      </c>
      <c r="DP44">
        <v>999.9</v>
      </c>
      <c r="DQ44">
        <v>41.6</v>
      </c>
      <c r="DR44">
        <v>35.2</v>
      </c>
      <c r="DS44">
        <v>23.6984</v>
      </c>
      <c r="DT44">
        <v>29.8355</v>
      </c>
      <c r="DU44">
        <v>12.7845</v>
      </c>
      <c r="DV44">
        <v>1</v>
      </c>
      <c r="DW44">
        <v>0.759943</v>
      </c>
      <c r="DX44">
        <v>3.10842</v>
      </c>
      <c r="DY44">
        <v>20.3274</v>
      </c>
      <c r="DZ44">
        <v>5.20854</v>
      </c>
      <c r="EA44">
        <v>11.8542</v>
      </c>
      <c r="EB44">
        <v>4.96772</v>
      </c>
      <c r="EC44">
        <v>3.293</v>
      </c>
      <c r="ED44">
        <v>879.4</v>
      </c>
      <c r="EE44">
        <v>9999</v>
      </c>
      <c r="EF44">
        <v>9999</v>
      </c>
      <c r="EG44">
        <v>76.5</v>
      </c>
      <c r="EH44">
        <v>4.97159</v>
      </c>
      <c r="EI44">
        <v>1.87209</v>
      </c>
      <c r="EJ44">
        <v>1.86935</v>
      </c>
      <c r="EK44">
        <v>1.87166</v>
      </c>
      <c r="EL44">
        <v>1.8695</v>
      </c>
      <c r="EM44">
        <v>1.86829</v>
      </c>
      <c r="EN44">
        <v>1.87013</v>
      </c>
      <c r="EO44">
        <v>1.87194</v>
      </c>
      <c r="EP44">
        <v>0</v>
      </c>
      <c r="EQ44">
        <v>0</v>
      </c>
      <c r="ER44">
        <v>0</v>
      </c>
      <c r="ES44">
        <v>0</v>
      </c>
      <c r="ET44" t="s">
        <v>334</v>
      </c>
      <c r="EU44" t="s">
        <v>335</v>
      </c>
      <c r="EV44" t="s">
        <v>336</v>
      </c>
      <c r="EW44" t="s">
        <v>336</v>
      </c>
      <c r="EX44" t="s">
        <v>336</v>
      </c>
      <c r="EY44" t="s">
        <v>336</v>
      </c>
      <c r="EZ44">
        <v>0</v>
      </c>
      <c r="FA44">
        <v>100</v>
      </c>
      <c r="FB44">
        <v>100</v>
      </c>
      <c r="FC44">
        <v>6.231</v>
      </c>
      <c r="FD44">
        <v>0.0806</v>
      </c>
      <c r="FE44">
        <v>6.23135000000002</v>
      </c>
      <c r="FF44">
        <v>0</v>
      </c>
      <c r="FG44">
        <v>0</v>
      </c>
      <c r="FH44">
        <v>0</v>
      </c>
      <c r="FI44">
        <v>0.08059047619047632</v>
      </c>
      <c r="FJ44">
        <v>0</v>
      </c>
      <c r="FK44">
        <v>0</v>
      </c>
      <c r="FL44">
        <v>0</v>
      </c>
      <c r="FM44">
        <v>-1</v>
      </c>
      <c r="FN44">
        <v>-1</v>
      </c>
      <c r="FO44">
        <v>-1</v>
      </c>
      <c r="FP44">
        <v>-1</v>
      </c>
      <c r="FQ44">
        <v>28.5</v>
      </c>
      <c r="FR44">
        <v>28.6</v>
      </c>
      <c r="FS44">
        <v>0.144043</v>
      </c>
      <c r="FT44">
        <v>4.99756</v>
      </c>
      <c r="FU44">
        <v>1.5979</v>
      </c>
      <c r="FV44">
        <v>2.13745</v>
      </c>
      <c r="FW44">
        <v>1.54785</v>
      </c>
      <c r="FX44">
        <v>2.32544</v>
      </c>
      <c r="FY44">
        <v>41.9012</v>
      </c>
      <c r="FZ44">
        <v>16.0583</v>
      </c>
      <c r="GA44">
        <v>3</v>
      </c>
      <c r="GB44">
        <v>517.5359999999999</v>
      </c>
      <c r="GC44">
        <v>323.028</v>
      </c>
      <c r="GD44">
        <v>28.4058</v>
      </c>
      <c r="GE44">
        <v>36.406</v>
      </c>
      <c r="GF44">
        <v>30.0011</v>
      </c>
      <c r="GG44">
        <v>36.2011</v>
      </c>
      <c r="GH44">
        <v>36.1754</v>
      </c>
      <c r="GI44">
        <v>-1</v>
      </c>
      <c r="GJ44">
        <v>100</v>
      </c>
      <c r="GK44">
        <v>0</v>
      </c>
      <c r="GL44">
        <v>28.3788</v>
      </c>
      <c r="GM44">
        <v>1200</v>
      </c>
      <c r="GN44">
        <v>19.4378</v>
      </c>
      <c r="GO44">
        <v>101.465</v>
      </c>
      <c r="GP44">
        <v>96.3553</v>
      </c>
    </row>
    <row r="45" spans="1:198">
      <c r="A45">
        <v>29</v>
      </c>
      <c r="B45">
        <v>1773197780.1</v>
      </c>
      <c r="C45">
        <v>1680.099999904633</v>
      </c>
      <c r="D45" t="s">
        <v>391</v>
      </c>
      <c r="E45" t="s">
        <v>392</v>
      </c>
      <c r="F45">
        <v>15</v>
      </c>
      <c r="G45">
        <v>1773197772.099999</v>
      </c>
      <c r="H45">
        <f>(I45)/1000</f>
        <v>0</v>
      </c>
      <c r="I45">
        <f>1000*AY45*AG45*(AU45-AV45)/(100*AN45*(1000-AG45*AU45))</f>
        <v>0</v>
      </c>
      <c r="J45">
        <f>AY45*AG45*(AT45-AS45*(1000-AG45*AV45)/(1000-AG45*AU45))/(100*AN45)</f>
        <v>0</v>
      </c>
      <c r="K45">
        <f>AS45 - IF(AG45&gt;1, J45*AN45*100.0/(AI45), 0)</f>
        <v>0</v>
      </c>
      <c r="L45">
        <f>((R45-H45/2)*K45-J45)/(R45+H45/2)</f>
        <v>0</v>
      </c>
      <c r="M45">
        <f>L45*(AZ45+BA45)/1000.0</f>
        <v>0</v>
      </c>
      <c r="N45">
        <f>(AS45 - IF(AG45&gt;1, J45*AN45*100.0/(AI45), 0))*(AZ45+BA45)/1000.0</f>
        <v>0</v>
      </c>
      <c r="O45">
        <f>2.0/((1/Q45-1/P45)+SIGN(Q45)*SQRT((1/Q45-1/P45)*(1/Q45-1/P45) + 4*AO45/((AO45+1)*(AO45+1))*(2*1/Q45*1/P45-1/P45*1/P45)))</f>
        <v>0</v>
      </c>
      <c r="P45">
        <f>IF(LEFT(AP45,1)&lt;&gt;"0",IF(LEFT(AP45,1)="1",3.0,AQ45),$D$5+$E$5*(BG45*AZ45/($K$5*1000))+$F$5*(BG45*AZ45/($K$5*1000))*MAX(MIN(AN45,$J$5),$I$5)*MAX(MIN(AN45,$J$5),$I$5)+$G$5*MAX(MIN(AN45,$J$5),$I$5)*(BG45*AZ45/($K$5*1000))+$H$5*(BG45*AZ45/($K$5*1000))*(BG45*AZ45/($K$5*1000)))</f>
        <v>0</v>
      </c>
      <c r="Q45">
        <f>H45*(1000-(1000*0.61365*exp(17.502*U45/(240.97+U45))/(AZ45+BA45)+AU45)/2)/(1000*0.61365*exp(17.502*U45/(240.97+U45))/(AZ45+BA45)-AU45)</f>
        <v>0</v>
      </c>
      <c r="R45">
        <f>1/((AO45+1)/(O45/1.6)+1/(P45/1.37)) + AO45/((AO45+1)/(O45/1.6) + AO45/(P45/1.37))</f>
        <v>0</v>
      </c>
      <c r="S45">
        <f>(AJ45*AM45)</f>
        <v>0</v>
      </c>
      <c r="T45">
        <f>(BB45+(S45+2*0.95*5.67E-8*(((BB45+$B$7)+273)^4-(BB45+273)^4)-44100*H45)/(1.84*29.3*P45+8*0.95*5.67E-8*(BB45+273)^3))</f>
        <v>0</v>
      </c>
      <c r="U45">
        <f>($C$7*BC45+$D$7*BD45+$E$7*T45)</f>
        <v>0</v>
      </c>
      <c r="V45">
        <f>0.61365*exp(17.502*U45/(240.97+U45))</f>
        <v>0</v>
      </c>
      <c r="W45">
        <f>(X45/Y45*100)</f>
        <v>0</v>
      </c>
      <c r="X45">
        <f>AU45*(AZ45+BA45)/1000</f>
        <v>0</v>
      </c>
      <c r="Y45">
        <f>0.61365*exp(17.502*BB45/(240.97+BB45))</f>
        <v>0</v>
      </c>
      <c r="Z45">
        <f>(V45-AU45*(AZ45+BA45)/1000)</f>
        <v>0</v>
      </c>
      <c r="AA45">
        <f>(-H45*44100)</f>
        <v>0</v>
      </c>
      <c r="AB45">
        <f>2*29.3*P45*0.92*(BB45-U45)</f>
        <v>0</v>
      </c>
      <c r="AC45">
        <f>2*0.95*5.67E-8*(((BB45+$B$7)+273)^4-(U45+273)^4)</f>
        <v>0</v>
      </c>
      <c r="AD45">
        <f>S45+AC45+AA45+AB45</f>
        <v>0</v>
      </c>
      <c r="AE45">
        <v>0</v>
      </c>
      <c r="AF45">
        <v>0</v>
      </c>
      <c r="AG45">
        <f>IF(AE45*$H$13&gt;=AI45,1.0,(AI45/(AI45-AE45*$H$13)))</f>
        <v>0</v>
      </c>
      <c r="AH45">
        <f>(AG45-1)*100</f>
        <v>0</v>
      </c>
      <c r="AI45">
        <f>MAX(0,($B$13+$C$13*BG45)/(1+$D$13*BG45)*AZ45/(BB45+273)*$E$13)</f>
        <v>0</v>
      </c>
      <c r="AJ45">
        <f>$B$11*BH45+$C$11*BI45+$D$11*BT45</f>
        <v>0</v>
      </c>
      <c r="AK45">
        <f>AJ45*AL45</f>
        <v>0</v>
      </c>
      <c r="AL45">
        <f>($B$11*$D$9+$C$11*$D$9+$D$11*(BU45*$E$9+BV45*$G$9))/($B$11+$C$11+$D$11)</f>
        <v>0</v>
      </c>
      <c r="AM45">
        <f>($B$11*$K$9+$C$11*$K$9+$D$11*(BU45*$L$9+BV45*$N$9))/($B$11+$C$11+$D$11)</f>
        <v>0</v>
      </c>
      <c r="AN45">
        <v>3</v>
      </c>
      <c r="AO45">
        <v>0.5</v>
      </c>
      <c r="AP45" t="s">
        <v>331</v>
      </c>
      <c r="AQ45">
        <v>2</v>
      </c>
      <c r="AR45">
        <v>1773197772.099999</v>
      </c>
      <c r="AS45">
        <v>436.3038064516129</v>
      </c>
      <c r="AT45">
        <v>434.2865806451612</v>
      </c>
      <c r="AU45">
        <v>7.978539677419355</v>
      </c>
      <c r="AV45">
        <v>6.355196774193548</v>
      </c>
      <c r="AW45">
        <v>430.0724193548387</v>
      </c>
      <c r="AX45">
        <v>7.89794935483871</v>
      </c>
      <c r="AY45">
        <v>500.0078064516129</v>
      </c>
      <c r="AZ45">
        <v>100.2504193548387</v>
      </c>
      <c r="BA45">
        <v>0.04612696129032257</v>
      </c>
      <c r="BB45">
        <v>30.79977419354839</v>
      </c>
      <c r="BC45">
        <v>30.31724193548387</v>
      </c>
      <c r="BD45">
        <v>999.9000000000003</v>
      </c>
      <c r="BE45">
        <v>0</v>
      </c>
      <c r="BF45">
        <v>0</v>
      </c>
      <c r="BG45">
        <v>4997.080645161291</v>
      </c>
      <c r="BH45">
        <v>1.582043870967742</v>
      </c>
      <c r="BI45">
        <v>2017.003870967742</v>
      </c>
      <c r="BJ45">
        <v>2.017086451612903</v>
      </c>
      <c r="BK45">
        <v>439.8127741935483</v>
      </c>
      <c r="BL45">
        <v>437.0643225806452</v>
      </c>
      <c r="BM45">
        <v>1.623340967741936</v>
      </c>
      <c r="BN45">
        <v>434.2865806451612</v>
      </c>
      <c r="BO45">
        <v>6.355196774193548</v>
      </c>
      <c r="BP45">
        <v>0.7998518709677421</v>
      </c>
      <c r="BQ45">
        <v>0.6371112580645159</v>
      </c>
      <c r="BR45">
        <v>3.704666451612903</v>
      </c>
      <c r="BS45">
        <v>0.5176625161290322</v>
      </c>
      <c r="BT45">
        <v>0</v>
      </c>
      <c r="BU45">
        <v>0</v>
      </c>
      <c r="BV45">
        <v>0</v>
      </c>
      <c r="BW45">
        <v>35</v>
      </c>
      <c r="BX45">
        <v>51.80643870967742</v>
      </c>
      <c r="BY45">
        <v>1773196010</v>
      </c>
      <c r="BZ45" t="s">
        <v>332</v>
      </c>
      <c r="CA45">
        <v>1773196010</v>
      </c>
      <c r="CB45">
        <v>1773196005.5</v>
      </c>
      <c r="CC45">
        <v>2</v>
      </c>
      <c r="CD45">
        <v>-0.279</v>
      </c>
      <c r="CE45">
        <v>-0.021</v>
      </c>
      <c r="CF45">
        <v>6.231</v>
      </c>
      <c r="CG45">
        <v>0.081</v>
      </c>
      <c r="CH45">
        <v>432</v>
      </c>
      <c r="CI45">
        <v>21</v>
      </c>
      <c r="CJ45">
        <v>0.03</v>
      </c>
      <c r="CK45">
        <v>0.06</v>
      </c>
      <c r="CL45">
        <v>434.2854666666666</v>
      </c>
      <c r="CM45">
        <v>0.2569254727469986</v>
      </c>
      <c r="CN45">
        <v>0.02198747117994584</v>
      </c>
      <c r="CO45">
        <v>-1</v>
      </c>
      <c r="CP45">
        <v>500.0097</v>
      </c>
      <c r="CQ45">
        <v>-0.5135572858730424</v>
      </c>
      <c r="CR45">
        <v>0.05824439887233138</v>
      </c>
      <c r="CS45">
        <v>-1</v>
      </c>
      <c r="CT45">
        <v>0</v>
      </c>
      <c r="CU45">
        <v>0</v>
      </c>
      <c r="CV45" t="s">
        <v>333</v>
      </c>
      <c r="CW45">
        <v>3.16949</v>
      </c>
      <c r="CX45">
        <v>2.66741</v>
      </c>
      <c r="CY45">
        <v>0.101995</v>
      </c>
      <c r="CZ45">
        <v>0.102795</v>
      </c>
      <c r="DA45">
        <v>0.0487577</v>
      </c>
      <c r="DB45">
        <v>0.040645</v>
      </c>
      <c r="DC45">
        <v>21349.3</v>
      </c>
      <c r="DD45">
        <v>21861.3</v>
      </c>
      <c r="DE45">
        <v>22916.2</v>
      </c>
      <c r="DF45">
        <v>22304.7</v>
      </c>
      <c r="DG45">
        <v>32956.1</v>
      </c>
      <c r="DH45">
        <v>30150.5</v>
      </c>
      <c r="DI45">
        <v>40320.4</v>
      </c>
      <c r="DJ45">
        <v>36899.1</v>
      </c>
      <c r="DK45">
        <v>2.03954</v>
      </c>
      <c r="DL45">
        <v>1.57788</v>
      </c>
      <c r="DM45">
        <v>-0.0852197</v>
      </c>
      <c r="DN45">
        <v>0</v>
      </c>
      <c r="DO45">
        <v>31.7008</v>
      </c>
      <c r="DP45">
        <v>999.9</v>
      </c>
      <c r="DQ45">
        <v>40.7</v>
      </c>
      <c r="DR45">
        <v>35.5</v>
      </c>
      <c r="DS45">
        <v>23.5749</v>
      </c>
      <c r="DT45">
        <v>30.0754</v>
      </c>
      <c r="DU45">
        <v>12.7684</v>
      </c>
      <c r="DV45">
        <v>1</v>
      </c>
      <c r="DW45">
        <v>0.764776</v>
      </c>
      <c r="DX45">
        <v>2.84316</v>
      </c>
      <c r="DY45">
        <v>20.3333</v>
      </c>
      <c r="DZ45">
        <v>5.21106</v>
      </c>
      <c r="EA45">
        <v>11.8542</v>
      </c>
      <c r="EB45">
        <v>4.96772</v>
      </c>
      <c r="EC45">
        <v>3.293</v>
      </c>
      <c r="ED45">
        <v>879.4</v>
      </c>
      <c r="EE45">
        <v>9999</v>
      </c>
      <c r="EF45">
        <v>9999</v>
      </c>
      <c r="EG45">
        <v>76.5</v>
      </c>
      <c r="EH45">
        <v>4.97162</v>
      </c>
      <c r="EI45">
        <v>1.87209</v>
      </c>
      <c r="EJ45">
        <v>1.86935</v>
      </c>
      <c r="EK45">
        <v>1.87166</v>
      </c>
      <c r="EL45">
        <v>1.86951</v>
      </c>
      <c r="EM45">
        <v>1.86829</v>
      </c>
      <c r="EN45">
        <v>1.87015</v>
      </c>
      <c r="EO45">
        <v>1.87195</v>
      </c>
      <c r="EP45">
        <v>0</v>
      </c>
      <c r="EQ45">
        <v>0</v>
      </c>
      <c r="ER45">
        <v>0</v>
      </c>
      <c r="ES45">
        <v>0</v>
      </c>
      <c r="ET45" t="s">
        <v>334</v>
      </c>
      <c r="EU45" t="s">
        <v>335</v>
      </c>
      <c r="EV45" t="s">
        <v>336</v>
      </c>
      <c r="EW45" t="s">
        <v>336</v>
      </c>
      <c r="EX45" t="s">
        <v>336</v>
      </c>
      <c r="EY45" t="s">
        <v>336</v>
      </c>
      <c r="EZ45">
        <v>0</v>
      </c>
      <c r="FA45">
        <v>100</v>
      </c>
      <c r="FB45">
        <v>100</v>
      </c>
      <c r="FC45">
        <v>6.231</v>
      </c>
      <c r="FD45">
        <v>0.0806</v>
      </c>
      <c r="FE45">
        <v>6.23135000000002</v>
      </c>
      <c r="FF45">
        <v>0</v>
      </c>
      <c r="FG45">
        <v>0</v>
      </c>
      <c r="FH45">
        <v>0</v>
      </c>
      <c r="FI45">
        <v>0.08059047619047632</v>
      </c>
      <c r="FJ45">
        <v>0</v>
      </c>
      <c r="FK45">
        <v>0</v>
      </c>
      <c r="FL45">
        <v>0</v>
      </c>
      <c r="FM45">
        <v>-1</v>
      </c>
      <c r="FN45">
        <v>-1</v>
      </c>
      <c r="FO45">
        <v>-1</v>
      </c>
      <c r="FP45">
        <v>-1</v>
      </c>
      <c r="FQ45">
        <v>29.5</v>
      </c>
      <c r="FR45">
        <v>29.6</v>
      </c>
      <c r="FS45">
        <v>0.144043</v>
      </c>
      <c r="FT45">
        <v>4.99756</v>
      </c>
      <c r="FU45">
        <v>1.5979</v>
      </c>
      <c r="FV45">
        <v>2.13867</v>
      </c>
      <c r="FW45">
        <v>1.54785</v>
      </c>
      <c r="FX45">
        <v>2.40723</v>
      </c>
      <c r="FY45">
        <v>42.1121</v>
      </c>
      <c r="FZ45">
        <v>16.0671</v>
      </c>
      <c r="GA45">
        <v>3</v>
      </c>
      <c r="GB45">
        <v>517.744</v>
      </c>
      <c r="GC45">
        <v>321.961</v>
      </c>
      <c r="GD45">
        <v>28.4577</v>
      </c>
      <c r="GE45">
        <v>36.4886</v>
      </c>
      <c r="GF45">
        <v>30.0007</v>
      </c>
      <c r="GG45">
        <v>36.2866</v>
      </c>
      <c r="GH45">
        <v>36.2568</v>
      </c>
      <c r="GI45">
        <v>-1</v>
      </c>
      <c r="GJ45">
        <v>100</v>
      </c>
      <c r="GK45">
        <v>0</v>
      </c>
      <c r="GL45">
        <v>28.4575</v>
      </c>
      <c r="GM45">
        <v>1200</v>
      </c>
      <c r="GN45">
        <v>19.4378</v>
      </c>
      <c r="GO45">
        <v>101.451</v>
      </c>
      <c r="GP45">
        <v>96.34780000000001</v>
      </c>
    </row>
    <row r="46" spans="1:198">
      <c r="A46">
        <v>30</v>
      </c>
      <c r="B46">
        <v>1773197840.1</v>
      </c>
      <c r="C46">
        <v>1740.099999904633</v>
      </c>
      <c r="D46" t="s">
        <v>393</v>
      </c>
      <c r="E46" t="s">
        <v>394</v>
      </c>
      <c r="F46">
        <v>15</v>
      </c>
      <c r="G46">
        <v>1773197832.099999</v>
      </c>
      <c r="H46">
        <f>(I46)/1000</f>
        <v>0</v>
      </c>
      <c r="I46">
        <f>1000*AY46*AG46*(AU46-AV46)/(100*AN46*(1000-AG46*AU46))</f>
        <v>0</v>
      </c>
      <c r="J46">
        <f>AY46*AG46*(AT46-AS46*(1000-AG46*AV46)/(1000-AG46*AU46))/(100*AN46)</f>
        <v>0</v>
      </c>
      <c r="K46">
        <f>AS46 - IF(AG46&gt;1, J46*AN46*100.0/(AI46), 0)</f>
        <v>0</v>
      </c>
      <c r="L46">
        <f>((R46-H46/2)*K46-J46)/(R46+H46/2)</f>
        <v>0</v>
      </c>
      <c r="M46">
        <f>L46*(AZ46+BA46)/1000.0</f>
        <v>0</v>
      </c>
      <c r="N46">
        <f>(AS46 - IF(AG46&gt;1, J46*AN46*100.0/(AI46), 0))*(AZ46+BA46)/1000.0</f>
        <v>0</v>
      </c>
      <c r="O46">
        <f>2.0/((1/Q46-1/P46)+SIGN(Q46)*SQRT((1/Q46-1/P46)*(1/Q46-1/P46) + 4*AO46/((AO46+1)*(AO46+1))*(2*1/Q46*1/P46-1/P46*1/P46)))</f>
        <v>0</v>
      </c>
      <c r="P46">
        <f>IF(LEFT(AP46,1)&lt;&gt;"0",IF(LEFT(AP46,1)="1",3.0,AQ46),$D$5+$E$5*(BG46*AZ46/($K$5*1000))+$F$5*(BG46*AZ46/($K$5*1000))*MAX(MIN(AN46,$J$5),$I$5)*MAX(MIN(AN46,$J$5),$I$5)+$G$5*MAX(MIN(AN46,$J$5),$I$5)*(BG46*AZ46/($K$5*1000))+$H$5*(BG46*AZ46/($K$5*1000))*(BG46*AZ46/($K$5*1000)))</f>
        <v>0</v>
      </c>
      <c r="Q46">
        <f>H46*(1000-(1000*0.61365*exp(17.502*U46/(240.97+U46))/(AZ46+BA46)+AU46)/2)/(1000*0.61365*exp(17.502*U46/(240.97+U46))/(AZ46+BA46)-AU46)</f>
        <v>0</v>
      </c>
      <c r="R46">
        <f>1/((AO46+1)/(O46/1.6)+1/(P46/1.37)) + AO46/((AO46+1)/(O46/1.6) + AO46/(P46/1.37))</f>
        <v>0</v>
      </c>
      <c r="S46">
        <f>(AJ46*AM46)</f>
        <v>0</v>
      </c>
      <c r="T46">
        <f>(BB46+(S46+2*0.95*5.67E-8*(((BB46+$B$7)+273)^4-(BB46+273)^4)-44100*H46)/(1.84*29.3*P46+8*0.95*5.67E-8*(BB46+273)^3))</f>
        <v>0</v>
      </c>
      <c r="U46">
        <f>($C$7*BC46+$D$7*BD46+$E$7*T46)</f>
        <v>0</v>
      </c>
      <c r="V46">
        <f>0.61365*exp(17.502*U46/(240.97+U46))</f>
        <v>0</v>
      </c>
      <c r="W46">
        <f>(X46/Y46*100)</f>
        <v>0</v>
      </c>
      <c r="X46">
        <f>AU46*(AZ46+BA46)/1000</f>
        <v>0</v>
      </c>
      <c r="Y46">
        <f>0.61365*exp(17.502*BB46/(240.97+BB46))</f>
        <v>0</v>
      </c>
      <c r="Z46">
        <f>(V46-AU46*(AZ46+BA46)/1000)</f>
        <v>0</v>
      </c>
      <c r="AA46">
        <f>(-H46*44100)</f>
        <v>0</v>
      </c>
      <c r="AB46">
        <f>2*29.3*P46*0.92*(BB46-U46)</f>
        <v>0</v>
      </c>
      <c r="AC46">
        <f>2*0.95*5.67E-8*(((BB46+$B$7)+273)^4-(U46+273)^4)</f>
        <v>0</v>
      </c>
      <c r="AD46">
        <f>S46+AC46+AA46+AB46</f>
        <v>0</v>
      </c>
      <c r="AE46">
        <v>0</v>
      </c>
      <c r="AF46">
        <v>0</v>
      </c>
      <c r="AG46">
        <f>IF(AE46*$H$13&gt;=AI46,1.0,(AI46/(AI46-AE46*$H$13)))</f>
        <v>0</v>
      </c>
      <c r="AH46">
        <f>(AG46-1)*100</f>
        <v>0</v>
      </c>
      <c r="AI46">
        <f>MAX(0,($B$13+$C$13*BG46)/(1+$D$13*BG46)*AZ46/(BB46+273)*$E$13)</f>
        <v>0</v>
      </c>
      <c r="AJ46">
        <f>$B$11*BH46+$C$11*BI46+$D$11*BT46</f>
        <v>0</v>
      </c>
      <c r="AK46">
        <f>AJ46*AL46</f>
        <v>0</v>
      </c>
      <c r="AL46">
        <f>($B$11*$D$9+$C$11*$D$9+$D$11*(BU46*$E$9+BV46*$G$9))/($B$11+$C$11+$D$11)</f>
        <v>0</v>
      </c>
      <c r="AM46">
        <f>($B$11*$K$9+$C$11*$K$9+$D$11*(BU46*$L$9+BV46*$N$9))/($B$11+$C$11+$D$11)</f>
        <v>0</v>
      </c>
      <c r="AN46">
        <v>3</v>
      </c>
      <c r="AO46">
        <v>0.5</v>
      </c>
      <c r="AP46" t="s">
        <v>331</v>
      </c>
      <c r="AQ46">
        <v>2</v>
      </c>
      <c r="AR46">
        <v>1773197832.099999</v>
      </c>
      <c r="AS46">
        <v>435.4528709677419</v>
      </c>
      <c r="AT46">
        <v>433.4442903225807</v>
      </c>
      <c r="AU46">
        <v>8.113526451612904</v>
      </c>
      <c r="AV46">
        <v>6.524671290322581</v>
      </c>
      <c r="AW46">
        <v>429.2214838709678</v>
      </c>
      <c r="AX46">
        <v>8.032936451612905</v>
      </c>
      <c r="AY46">
        <v>499.9972258064516</v>
      </c>
      <c r="AZ46">
        <v>100.2505161290322</v>
      </c>
      <c r="BA46">
        <v>0.04590218064516129</v>
      </c>
      <c r="BB46">
        <v>30.7943935483871</v>
      </c>
      <c r="BC46">
        <v>30.3383129032258</v>
      </c>
      <c r="BD46">
        <v>999.9000000000003</v>
      </c>
      <c r="BE46">
        <v>0</v>
      </c>
      <c r="BF46">
        <v>0</v>
      </c>
      <c r="BG46">
        <v>4991.467741935484</v>
      </c>
      <c r="BH46">
        <v>1.568295161290323</v>
      </c>
      <c r="BI46">
        <v>1991.483870967742</v>
      </c>
      <c r="BJ46">
        <v>2.008625483870968</v>
      </c>
      <c r="BK46">
        <v>439.0149032258066</v>
      </c>
      <c r="BL46">
        <v>436.2908709677419</v>
      </c>
      <c r="BM46">
        <v>1.588856774193549</v>
      </c>
      <c r="BN46">
        <v>433.4442903225807</v>
      </c>
      <c r="BO46">
        <v>6.524671290322581</v>
      </c>
      <c r="BP46">
        <v>0.8133864516129031</v>
      </c>
      <c r="BQ46">
        <v>0.6541025483870968</v>
      </c>
      <c r="BR46">
        <v>3.943076774193548</v>
      </c>
      <c r="BS46">
        <v>0.8821330967741935</v>
      </c>
      <c r="BT46">
        <v>0</v>
      </c>
      <c r="BU46">
        <v>0</v>
      </c>
      <c r="BV46">
        <v>0</v>
      </c>
      <c r="BW46">
        <v>35.1827870967742</v>
      </c>
      <c r="BX46">
        <v>51.4129064516129</v>
      </c>
      <c r="BY46">
        <v>1773196010</v>
      </c>
      <c r="BZ46" t="s">
        <v>332</v>
      </c>
      <c r="CA46">
        <v>1773196010</v>
      </c>
      <c r="CB46">
        <v>1773196005.5</v>
      </c>
      <c r="CC46">
        <v>2</v>
      </c>
      <c r="CD46">
        <v>-0.279</v>
      </c>
      <c r="CE46">
        <v>-0.021</v>
      </c>
      <c r="CF46">
        <v>6.231</v>
      </c>
      <c r="CG46">
        <v>0.081</v>
      </c>
      <c r="CH46">
        <v>432</v>
      </c>
      <c r="CI46">
        <v>21</v>
      </c>
      <c r="CJ46">
        <v>0.03</v>
      </c>
      <c r="CK46">
        <v>0.06</v>
      </c>
      <c r="CL46">
        <v>433.4372666666667</v>
      </c>
      <c r="CM46">
        <v>0.9576507230259346</v>
      </c>
      <c r="CN46">
        <v>0.08173001624590422</v>
      </c>
      <c r="CO46">
        <v>-1</v>
      </c>
      <c r="CP46">
        <v>499.9972333333333</v>
      </c>
      <c r="CQ46">
        <v>-0.1820956618451522</v>
      </c>
      <c r="CR46">
        <v>0.02888330929023464</v>
      </c>
      <c r="CS46">
        <v>-1</v>
      </c>
      <c r="CT46">
        <v>0</v>
      </c>
      <c r="CU46">
        <v>0</v>
      </c>
      <c r="CV46" t="s">
        <v>333</v>
      </c>
      <c r="CW46">
        <v>3.16954</v>
      </c>
      <c r="CX46">
        <v>2.66741</v>
      </c>
      <c r="CY46">
        <v>0.101827</v>
      </c>
      <c r="CZ46">
        <v>0.102658</v>
      </c>
      <c r="DA46">
        <v>0.0494414</v>
      </c>
      <c r="DB46">
        <v>0.0415603</v>
      </c>
      <c r="DC46">
        <v>21350.2</v>
      </c>
      <c r="DD46">
        <v>21862.9</v>
      </c>
      <c r="DE46">
        <v>22913</v>
      </c>
      <c r="DF46">
        <v>22303.1</v>
      </c>
      <c r="DG46">
        <v>32928.2</v>
      </c>
      <c r="DH46">
        <v>30119.3</v>
      </c>
      <c r="DI46">
        <v>40315.4</v>
      </c>
      <c r="DJ46">
        <v>36896.3</v>
      </c>
      <c r="DK46">
        <v>2.0388</v>
      </c>
      <c r="DL46">
        <v>1.57738</v>
      </c>
      <c r="DM46">
        <v>-0.0844598</v>
      </c>
      <c r="DN46">
        <v>0</v>
      </c>
      <c r="DO46">
        <v>31.7153</v>
      </c>
      <c r="DP46">
        <v>999.9</v>
      </c>
      <c r="DQ46">
        <v>40</v>
      </c>
      <c r="DR46">
        <v>35.8</v>
      </c>
      <c r="DS46">
        <v>23.5574</v>
      </c>
      <c r="DT46">
        <v>30.3155</v>
      </c>
      <c r="DU46">
        <v>12.4439</v>
      </c>
      <c r="DV46">
        <v>1</v>
      </c>
      <c r="DW46">
        <v>0.769321</v>
      </c>
      <c r="DX46">
        <v>2.82057</v>
      </c>
      <c r="DY46">
        <v>20.3336</v>
      </c>
      <c r="DZ46">
        <v>5.21118</v>
      </c>
      <c r="EA46">
        <v>11.8542</v>
      </c>
      <c r="EB46">
        <v>4.96772</v>
      </c>
      <c r="EC46">
        <v>3.29298</v>
      </c>
      <c r="ED46">
        <v>879.4</v>
      </c>
      <c r="EE46">
        <v>9999</v>
      </c>
      <c r="EF46">
        <v>9999</v>
      </c>
      <c r="EG46">
        <v>76.5</v>
      </c>
      <c r="EH46">
        <v>4.97159</v>
      </c>
      <c r="EI46">
        <v>1.87208</v>
      </c>
      <c r="EJ46">
        <v>1.86935</v>
      </c>
      <c r="EK46">
        <v>1.87168</v>
      </c>
      <c r="EL46">
        <v>1.86951</v>
      </c>
      <c r="EM46">
        <v>1.86829</v>
      </c>
      <c r="EN46">
        <v>1.87013</v>
      </c>
      <c r="EO46">
        <v>1.87195</v>
      </c>
      <c r="EP46">
        <v>0</v>
      </c>
      <c r="EQ46">
        <v>0</v>
      </c>
      <c r="ER46">
        <v>0</v>
      </c>
      <c r="ES46">
        <v>0</v>
      </c>
      <c r="ET46" t="s">
        <v>334</v>
      </c>
      <c r="EU46" t="s">
        <v>335</v>
      </c>
      <c r="EV46" t="s">
        <v>336</v>
      </c>
      <c r="EW46" t="s">
        <v>336</v>
      </c>
      <c r="EX46" t="s">
        <v>336</v>
      </c>
      <c r="EY46" t="s">
        <v>336</v>
      </c>
      <c r="EZ46">
        <v>0</v>
      </c>
      <c r="FA46">
        <v>100</v>
      </c>
      <c r="FB46">
        <v>100</v>
      </c>
      <c r="FC46">
        <v>6.231</v>
      </c>
      <c r="FD46">
        <v>0.0806</v>
      </c>
      <c r="FE46">
        <v>6.23135000000002</v>
      </c>
      <c r="FF46">
        <v>0</v>
      </c>
      <c r="FG46">
        <v>0</v>
      </c>
      <c r="FH46">
        <v>0</v>
      </c>
      <c r="FI46">
        <v>0.08059047619047632</v>
      </c>
      <c r="FJ46">
        <v>0</v>
      </c>
      <c r="FK46">
        <v>0</v>
      </c>
      <c r="FL46">
        <v>0</v>
      </c>
      <c r="FM46">
        <v>-1</v>
      </c>
      <c r="FN46">
        <v>-1</v>
      </c>
      <c r="FO46">
        <v>-1</v>
      </c>
      <c r="FP46">
        <v>-1</v>
      </c>
      <c r="FQ46">
        <v>30.5</v>
      </c>
      <c r="FR46">
        <v>30.6</v>
      </c>
      <c r="FS46">
        <v>0.144043</v>
      </c>
      <c r="FT46">
        <v>4.99756</v>
      </c>
      <c r="FU46">
        <v>1.5979</v>
      </c>
      <c r="FV46">
        <v>2.13623</v>
      </c>
      <c r="FW46">
        <v>1.54785</v>
      </c>
      <c r="FX46">
        <v>2.44629</v>
      </c>
      <c r="FY46">
        <v>42.2975</v>
      </c>
      <c r="FZ46">
        <v>16.0671</v>
      </c>
      <c r="GA46">
        <v>3</v>
      </c>
      <c r="GB46">
        <v>517.811</v>
      </c>
      <c r="GC46">
        <v>322.05</v>
      </c>
      <c r="GD46">
        <v>28.4997</v>
      </c>
      <c r="GE46">
        <v>36.5514</v>
      </c>
      <c r="GF46">
        <v>30.0006</v>
      </c>
      <c r="GG46">
        <v>36.3596</v>
      </c>
      <c r="GH46">
        <v>36.3328</v>
      </c>
      <c r="GI46">
        <v>-1</v>
      </c>
      <c r="GJ46">
        <v>100</v>
      </c>
      <c r="GK46">
        <v>0</v>
      </c>
      <c r="GL46">
        <v>28.4977</v>
      </c>
      <c r="GM46">
        <v>1200</v>
      </c>
      <c r="GN46">
        <v>19.4378</v>
      </c>
      <c r="GO46">
        <v>101.437</v>
      </c>
      <c r="GP46">
        <v>96.34059999999999</v>
      </c>
    </row>
    <row r="47" spans="1:198">
      <c r="A47">
        <v>31</v>
      </c>
      <c r="B47">
        <v>1773197900.1</v>
      </c>
      <c r="C47">
        <v>1800.099999904633</v>
      </c>
      <c r="D47" t="s">
        <v>395</v>
      </c>
      <c r="E47" t="s">
        <v>396</v>
      </c>
      <c r="F47">
        <v>15</v>
      </c>
      <c r="G47">
        <v>1773197892.099999</v>
      </c>
      <c r="H47">
        <f>(I47)/1000</f>
        <v>0</v>
      </c>
      <c r="I47">
        <f>1000*AY47*AG47*(AU47-AV47)/(100*AN47*(1000-AG47*AU47))</f>
        <v>0</v>
      </c>
      <c r="J47">
        <f>AY47*AG47*(AT47-AS47*(1000-AG47*AV47)/(1000-AG47*AU47))/(100*AN47)</f>
        <v>0</v>
      </c>
      <c r="K47">
        <f>AS47 - IF(AG47&gt;1, J47*AN47*100.0/(AI47), 0)</f>
        <v>0</v>
      </c>
      <c r="L47">
        <f>((R47-H47/2)*K47-J47)/(R47+H47/2)</f>
        <v>0</v>
      </c>
      <c r="M47">
        <f>L47*(AZ47+BA47)/1000.0</f>
        <v>0</v>
      </c>
      <c r="N47">
        <f>(AS47 - IF(AG47&gt;1, J47*AN47*100.0/(AI47), 0))*(AZ47+BA47)/1000.0</f>
        <v>0</v>
      </c>
      <c r="O47">
        <f>2.0/((1/Q47-1/P47)+SIGN(Q47)*SQRT((1/Q47-1/P47)*(1/Q47-1/P47) + 4*AO47/((AO47+1)*(AO47+1))*(2*1/Q47*1/P47-1/P47*1/P47)))</f>
        <v>0</v>
      </c>
      <c r="P47">
        <f>IF(LEFT(AP47,1)&lt;&gt;"0",IF(LEFT(AP47,1)="1",3.0,AQ47),$D$5+$E$5*(BG47*AZ47/($K$5*1000))+$F$5*(BG47*AZ47/($K$5*1000))*MAX(MIN(AN47,$J$5),$I$5)*MAX(MIN(AN47,$J$5),$I$5)+$G$5*MAX(MIN(AN47,$J$5),$I$5)*(BG47*AZ47/($K$5*1000))+$H$5*(BG47*AZ47/($K$5*1000))*(BG47*AZ47/($K$5*1000)))</f>
        <v>0</v>
      </c>
      <c r="Q47">
        <f>H47*(1000-(1000*0.61365*exp(17.502*U47/(240.97+U47))/(AZ47+BA47)+AU47)/2)/(1000*0.61365*exp(17.502*U47/(240.97+U47))/(AZ47+BA47)-AU47)</f>
        <v>0</v>
      </c>
      <c r="R47">
        <f>1/((AO47+1)/(O47/1.6)+1/(P47/1.37)) + AO47/((AO47+1)/(O47/1.6) + AO47/(P47/1.37))</f>
        <v>0</v>
      </c>
      <c r="S47">
        <f>(AJ47*AM47)</f>
        <v>0</v>
      </c>
      <c r="T47">
        <f>(BB47+(S47+2*0.95*5.67E-8*(((BB47+$B$7)+273)^4-(BB47+273)^4)-44100*H47)/(1.84*29.3*P47+8*0.95*5.67E-8*(BB47+273)^3))</f>
        <v>0</v>
      </c>
      <c r="U47">
        <f>($C$7*BC47+$D$7*BD47+$E$7*T47)</f>
        <v>0</v>
      </c>
      <c r="V47">
        <f>0.61365*exp(17.502*U47/(240.97+U47))</f>
        <v>0</v>
      </c>
      <c r="W47">
        <f>(X47/Y47*100)</f>
        <v>0</v>
      </c>
      <c r="X47">
        <f>AU47*(AZ47+BA47)/1000</f>
        <v>0</v>
      </c>
      <c r="Y47">
        <f>0.61365*exp(17.502*BB47/(240.97+BB47))</f>
        <v>0</v>
      </c>
      <c r="Z47">
        <f>(V47-AU47*(AZ47+BA47)/1000)</f>
        <v>0</v>
      </c>
      <c r="AA47">
        <f>(-H47*44100)</f>
        <v>0</v>
      </c>
      <c r="AB47">
        <f>2*29.3*P47*0.92*(BB47-U47)</f>
        <v>0</v>
      </c>
      <c r="AC47">
        <f>2*0.95*5.67E-8*(((BB47+$B$7)+273)^4-(U47+273)^4)</f>
        <v>0</v>
      </c>
      <c r="AD47">
        <f>S47+AC47+AA47+AB47</f>
        <v>0</v>
      </c>
      <c r="AE47">
        <v>0</v>
      </c>
      <c r="AF47">
        <v>0</v>
      </c>
      <c r="AG47">
        <f>IF(AE47*$H$13&gt;=AI47,1.0,(AI47/(AI47-AE47*$H$13)))</f>
        <v>0</v>
      </c>
      <c r="AH47">
        <f>(AG47-1)*100</f>
        <v>0</v>
      </c>
      <c r="AI47">
        <f>MAX(0,($B$13+$C$13*BG47)/(1+$D$13*BG47)*AZ47/(BB47+273)*$E$13)</f>
        <v>0</v>
      </c>
      <c r="AJ47">
        <f>$B$11*BH47+$C$11*BI47+$D$11*BT47</f>
        <v>0</v>
      </c>
      <c r="AK47">
        <f>AJ47*AL47</f>
        <v>0</v>
      </c>
      <c r="AL47">
        <f>($B$11*$D$9+$C$11*$D$9+$D$11*(BU47*$E$9+BV47*$G$9))/($B$11+$C$11+$D$11)</f>
        <v>0</v>
      </c>
      <c r="AM47">
        <f>($B$11*$K$9+$C$11*$K$9+$D$11*(BU47*$L$9+BV47*$N$9))/($B$11+$C$11+$D$11)</f>
        <v>0</v>
      </c>
      <c r="AN47">
        <v>3</v>
      </c>
      <c r="AO47">
        <v>0.5</v>
      </c>
      <c r="AP47" t="s">
        <v>331</v>
      </c>
      <c r="AQ47">
        <v>2</v>
      </c>
      <c r="AR47">
        <v>1773197892.099999</v>
      </c>
      <c r="AS47">
        <v>435.2045483870968</v>
      </c>
      <c r="AT47">
        <v>433.1115483870968</v>
      </c>
      <c r="AU47">
        <v>8.305869354838711</v>
      </c>
      <c r="AV47">
        <v>6.756633548387097</v>
      </c>
      <c r="AW47">
        <v>428.9732258064516</v>
      </c>
      <c r="AX47">
        <v>8.225279032258067</v>
      </c>
      <c r="AY47">
        <v>500.0166129032258</v>
      </c>
      <c r="AZ47">
        <v>100.2512580645162</v>
      </c>
      <c r="BA47">
        <v>0.0461721935483871</v>
      </c>
      <c r="BB47">
        <v>30.81009032258065</v>
      </c>
      <c r="BC47">
        <v>30.38065806451612</v>
      </c>
      <c r="BD47">
        <v>999.9000000000003</v>
      </c>
      <c r="BE47">
        <v>0</v>
      </c>
      <c r="BF47">
        <v>0</v>
      </c>
      <c r="BG47">
        <v>5010.983870967741</v>
      </c>
      <c r="BH47">
        <v>1.576555806451613</v>
      </c>
      <c r="BI47">
        <v>1977.06129032258</v>
      </c>
      <c r="BJ47">
        <v>2.093064193548387</v>
      </c>
      <c r="BK47">
        <v>438.8495806451613</v>
      </c>
      <c r="BL47">
        <v>436.0578064516129</v>
      </c>
      <c r="BM47">
        <v>1.549235483870968</v>
      </c>
      <c r="BN47">
        <v>433.1115483870968</v>
      </c>
      <c r="BO47">
        <v>6.756633548387097</v>
      </c>
      <c r="BP47">
        <v>0.8326737096774194</v>
      </c>
      <c r="BQ47">
        <v>0.677361</v>
      </c>
      <c r="BR47">
        <v>4.27683193548387</v>
      </c>
      <c r="BS47">
        <v>1.367684193548387</v>
      </c>
      <c r="BT47">
        <v>0</v>
      </c>
      <c r="BU47">
        <v>0</v>
      </c>
      <c r="BV47">
        <v>0</v>
      </c>
      <c r="BW47">
        <v>36</v>
      </c>
      <c r="BX47">
        <v>51</v>
      </c>
      <c r="BY47">
        <v>1773196010</v>
      </c>
      <c r="BZ47" t="s">
        <v>332</v>
      </c>
      <c r="CA47">
        <v>1773196010</v>
      </c>
      <c r="CB47">
        <v>1773196005.5</v>
      </c>
      <c r="CC47">
        <v>2</v>
      </c>
      <c r="CD47">
        <v>-0.279</v>
      </c>
      <c r="CE47">
        <v>-0.021</v>
      </c>
      <c r="CF47">
        <v>6.231</v>
      </c>
      <c r="CG47">
        <v>0.081</v>
      </c>
      <c r="CH47">
        <v>432</v>
      </c>
      <c r="CI47">
        <v>21</v>
      </c>
      <c r="CJ47">
        <v>0.03</v>
      </c>
      <c r="CK47">
        <v>0.06</v>
      </c>
      <c r="CL47">
        <v>433.1200666666667</v>
      </c>
      <c r="CM47">
        <v>-1.605250278086696</v>
      </c>
      <c r="CN47">
        <v>0.1202901861703136</v>
      </c>
      <c r="CO47">
        <v>-1</v>
      </c>
      <c r="CP47">
        <v>500.0167333333333</v>
      </c>
      <c r="CQ47">
        <v>0.1594304783094468</v>
      </c>
      <c r="CR47">
        <v>0.04431097180408147</v>
      </c>
      <c r="CS47">
        <v>-1</v>
      </c>
      <c r="CT47">
        <v>0</v>
      </c>
      <c r="CU47">
        <v>0</v>
      </c>
      <c r="CV47" t="s">
        <v>333</v>
      </c>
      <c r="CW47">
        <v>3.16966</v>
      </c>
      <c r="CX47">
        <v>2.66712</v>
      </c>
      <c r="CY47">
        <v>0.101736</v>
      </c>
      <c r="CZ47">
        <v>0.102484</v>
      </c>
      <c r="DA47">
        <v>0.0503978</v>
      </c>
      <c r="DB47">
        <v>0.0427809</v>
      </c>
      <c r="DC47">
        <v>21346.6</v>
      </c>
      <c r="DD47">
        <v>21863.2</v>
      </c>
      <c r="DE47">
        <v>22907.3</v>
      </c>
      <c r="DF47">
        <v>22299.4</v>
      </c>
      <c r="DG47">
        <v>32887.7</v>
      </c>
      <c r="DH47">
        <v>30075.4</v>
      </c>
      <c r="DI47">
        <v>40306.6</v>
      </c>
      <c r="DJ47">
        <v>36889.8</v>
      </c>
      <c r="DK47">
        <v>2.03786</v>
      </c>
      <c r="DL47">
        <v>1.5746</v>
      </c>
      <c r="DM47">
        <v>-0.0860691</v>
      </c>
      <c r="DN47">
        <v>0</v>
      </c>
      <c r="DO47">
        <v>31.7867</v>
      </c>
      <c r="DP47">
        <v>999.9</v>
      </c>
      <c r="DQ47">
        <v>39</v>
      </c>
      <c r="DR47">
        <v>36.1</v>
      </c>
      <c r="DS47">
        <v>23.3467</v>
      </c>
      <c r="DT47">
        <v>29.8355</v>
      </c>
      <c r="DU47">
        <v>12.488</v>
      </c>
      <c r="DV47">
        <v>1</v>
      </c>
      <c r="DW47">
        <v>0.779854</v>
      </c>
      <c r="DX47">
        <v>2.96511</v>
      </c>
      <c r="DY47">
        <v>20.3305</v>
      </c>
      <c r="DZ47">
        <v>5.21034</v>
      </c>
      <c r="EA47">
        <v>11.8542</v>
      </c>
      <c r="EB47">
        <v>4.96768</v>
      </c>
      <c r="EC47">
        <v>3.293</v>
      </c>
      <c r="ED47">
        <v>879.4</v>
      </c>
      <c r="EE47">
        <v>9999</v>
      </c>
      <c r="EF47">
        <v>9999</v>
      </c>
      <c r="EG47">
        <v>76.5</v>
      </c>
      <c r="EH47">
        <v>4.97161</v>
      </c>
      <c r="EI47">
        <v>1.87206</v>
      </c>
      <c r="EJ47">
        <v>1.86935</v>
      </c>
      <c r="EK47">
        <v>1.87166</v>
      </c>
      <c r="EL47">
        <v>1.86951</v>
      </c>
      <c r="EM47">
        <v>1.86829</v>
      </c>
      <c r="EN47">
        <v>1.87012</v>
      </c>
      <c r="EO47">
        <v>1.87195</v>
      </c>
      <c r="EP47">
        <v>0</v>
      </c>
      <c r="EQ47">
        <v>0</v>
      </c>
      <c r="ER47">
        <v>0</v>
      </c>
      <c r="ES47">
        <v>0</v>
      </c>
      <c r="ET47" t="s">
        <v>334</v>
      </c>
      <c r="EU47" t="s">
        <v>335</v>
      </c>
      <c r="EV47" t="s">
        <v>336</v>
      </c>
      <c r="EW47" t="s">
        <v>336</v>
      </c>
      <c r="EX47" t="s">
        <v>336</v>
      </c>
      <c r="EY47" t="s">
        <v>336</v>
      </c>
      <c r="EZ47">
        <v>0</v>
      </c>
      <c r="FA47">
        <v>100</v>
      </c>
      <c r="FB47">
        <v>100</v>
      </c>
      <c r="FC47">
        <v>6.231</v>
      </c>
      <c r="FD47">
        <v>0.0806</v>
      </c>
      <c r="FE47">
        <v>6.23135000000002</v>
      </c>
      <c r="FF47">
        <v>0</v>
      </c>
      <c r="FG47">
        <v>0</v>
      </c>
      <c r="FH47">
        <v>0</v>
      </c>
      <c r="FI47">
        <v>0.08059047619047632</v>
      </c>
      <c r="FJ47">
        <v>0</v>
      </c>
      <c r="FK47">
        <v>0</v>
      </c>
      <c r="FL47">
        <v>0</v>
      </c>
      <c r="FM47">
        <v>-1</v>
      </c>
      <c r="FN47">
        <v>-1</v>
      </c>
      <c r="FO47">
        <v>-1</v>
      </c>
      <c r="FP47">
        <v>-1</v>
      </c>
      <c r="FQ47">
        <v>31.5</v>
      </c>
      <c r="FR47">
        <v>31.6</v>
      </c>
      <c r="FS47">
        <v>0.144043</v>
      </c>
      <c r="FT47">
        <v>4.99756</v>
      </c>
      <c r="FU47">
        <v>1.5979</v>
      </c>
      <c r="FV47">
        <v>2.13501</v>
      </c>
      <c r="FW47">
        <v>1.54785</v>
      </c>
      <c r="FX47">
        <v>2.45605</v>
      </c>
      <c r="FY47">
        <v>42.537</v>
      </c>
      <c r="FZ47">
        <v>16.0671</v>
      </c>
      <c r="GA47">
        <v>3</v>
      </c>
      <c r="GB47">
        <v>517.984</v>
      </c>
      <c r="GC47">
        <v>321.149</v>
      </c>
      <c r="GD47">
        <v>28.4756</v>
      </c>
      <c r="GE47">
        <v>36.6588</v>
      </c>
      <c r="GF47">
        <v>30.001</v>
      </c>
      <c r="GG47">
        <v>36.4647</v>
      </c>
      <c r="GH47">
        <v>36.4425</v>
      </c>
      <c r="GI47">
        <v>-1</v>
      </c>
      <c r="GJ47">
        <v>100</v>
      </c>
      <c r="GK47">
        <v>0</v>
      </c>
      <c r="GL47">
        <v>28.4642</v>
      </c>
      <c r="GM47">
        <v>1200</v>
      </c>
      <c r="GN47">
        <v>19.4378</v>
      </c>
      <c r="GO47">
        <v>101.414</v>
      </c>
      <c r="GP47">
        <v>96.324</v>
      </c>
    </row>
    <row r="48" spans="1:198">
      <c r="A48">
        <v>32</v>
      </c>
      <c r="B48">
        <v>1773197960.1</v>
      </c>
      <c r="C48">
        <v>1860.099999904633</v>
      </c>
      <c r="D48" t="s">
        <v>397</v>
      </c>
      <c r="E48" t="s">
        <v>398</v>
      </c>
      <c r="F48">
        <v>15</v>
      </c>
      <c r="G48">
        <v>1773197952.099999</v>
      </c>
      <c r="H48">
        <f>(I48)/1000</f>
        <v>0</v>
      </c>
      <c r="I48">
        <f>1000*AY48*AG48*(AU48-AV48)/(100*AN48*(1000-AG48*AU48))</f>
        <v>0</v>
      </c>
      <c r="J48">
        <f>AY48*AG48*(AT48-AS48*(1000-AG48*AV48)/(1000-AG48*AU48))/(100*AN48)</f>
        <v>0</v>
      </c>
      <c r="K48">
        <f>AS48 - IF(AG48&gt;1, J48*AN48*100.0/(AI48), 0)</f>
        <v>0</v>
      </c>
      <c r="L48">
        <f>((R48-H48/2)*K48-J48)/(R48+H48/2)</f>
        <v>0</v>
      </c>
      <c r="M48">
        <f>L48*(AZ48+BA48)/1000.0</f>
        <v>0</v>
      </c>
      <c r="N48">
        <f>(AS48 - IF(AG48&gt;1, J48*AN48*100.0/(AI48), 0))*(AZ48+BA48)/1000.0</f>
        <v>0</v>
      </c>
      <c r="O48">
        <f>2.0/((1/Q48-1/P48)+SIGN(Q48)*SQRT((1/Q48-1/P48)*(1/Q48-1/P48) + 4*AO48/((AO48+1)*(AO48+1))*(2*1/Q48*1/P48-1/P48*1/P48)))</f>
        <v>0</v>
      </c>
      <c r="P48">
        <f>IF(LEFT(AP48,1)&lt;&gt;"0",IF(LEFT(AP48,1)="1",3.0,AQ48),$D$5+$E$5*(BG48*AZ48/($K$5*1000))+$F$5*(BG48*AZ48/($K$5*1000))*MAX(MIN(AN48,$J$5),$I$5)*MAX(MIN(AN48,$J$5),$I$5)+$G$5*MAX(MIN(AN48,$J$5),$I$5)*(BG48*AZ48/($K$5*1000))+$H$5*(BG48*AZ48/($K$5*1000))*(BG48*AZ48/($K$5*1000)))</f>
        <v>0</v>
      </c>
      <c r="Q48">
        <f>H48*(1000-(1000*0.61365*exp(17.502*U48/(240.97+U48))/(AZ48+BA48)+AU48)/2)/(1000*0.61365*exp(17.502*U48/(240.97+U48))/(AZ48+BA48)-AU48)</f>
        <v>0</v>
      </c>
      <c r="R48">
        <f>1/((AO48+1)/(O48/1.6)+1/(P48/1.37)) + AO48/((AO48+1)/(O48/1.6) + AO48/(P48/1.37))</f>
        <v>0</v>
      </c>
      <c r="S48">
        <f>(AJ48*AM48)</f>
        <v>0</v>
      </c>
      <c r="T48">
        <f>(BB48+(S48+2*0.95*5.67E-8*(((BB48+$B$7)+273)^4-(BB48+273)^4)-44100*H48)/(1.84*29.3*P48+8*0.95*5.67E-8*(BB48+273)^3))</f>
        <v>0</v>
      </c>
      <c r="U48">
        <f>($C$7*BC48+$D$7*BD48+$E$7*T48)</f>
        <v>0</v>
      </c>
      <c r="V48">
        <f>0.61365*exp(17.502*U48/(240.97+U48))</f>
        <v>0</v>
      </c>
      <c r="W48">
        <f>(X48/Y48*100)</f>
        <v>0</v>
      </c>
      <c r="X48">
        <f>AU48*(AZ48+BA48)/1000</f>
        <v>0</v>
      </c>
      <c r="Y48">
        <f>0.61365*exp(17.502*BB48/(240.97+BB48))</f>
        <v>0</v>
      </c>
      <c r="Z48">
        <f>(V48-AU48*(AZ48+BA48)/1000)</f>
        <v>0</v>
      </c>
      <c r="AA48">
        <f>(-H48*44100)</f>
        <v>0</v>
      </c>
      <c r="AB48">
        <f>2*29.3*P48*0.92*(BB48-U48)</f>
        <v>0</v>
      </c>
      <c r="AC48">
        <f>2*0.95*5.67E-8*(((BB48+$B$7)+273)^4-(U48+273)^4)</f>
        <v>0</v>
      </c>
      <c r="AD48">
        <f>S48+AC48+AA48+AB48</f>
        <v>0</v>
      </c>
      <c r="AE48">
        <v>0</v>
      </c>
      <c r="AF48">
        <v>0</v>
      </c>
      <c r="AG48">
        <f>IF(AE48*$H$13&gt;=AI48,1.0,(AI48/(AI48-AE48*$H$13)))</f>
        <v>0</v>
      </c>
      <c r="AH48">
        <f>(AG48-1)*100</f>
        <v>0</v>
      </c>
      <c r="AI48">
        <f>MAX(0,($B$13+$C$13*BG48)/(1+$D$13*BG48)*AZ48/(BB48+273)*$E$13)</f>
        <v>0</v>
      </c>
      <c r="AJ48">
        <f>$B$11*BH48+$C$11*BI48+$D$11*BT48</f>
        <v>0</v>
      </c>
      <c r="AK48">
        <f>AJ48*AL48</f>
        <v>0</v>
      </c>
      <c r="AL48">
        <f>($B$11*$D$9+$C$11*$D$9+$D$11*(BU48*$E$9+BV48*$G$9))/($B$11+$C$11+$D$11)</f>
        <v>0</v>
      </c>
      <c r="AM48">
        <f>($B$11*$K$9+$C$11*$K$9+$D$11*(BU48*$L$9+BV48*$N$9))/($B$11+$C$11+$D$11)</f>
        <v>0</v>
      </c>
      <c r="AN48">
        <v>3</v>
      </c>
      <c r="AO48">
        <v>0.5</v>
      </c>
      <c r="AP48" t="s">
        <v>331</v>
      </c>
      <c r="AQ48">
        <v>2</v>
      </c>
      <c r="AR48">
        <v>1773197952.099999</v>
      </c>
      <c r="AS48">
        <v>434.3219677419354</v>
      </c>
      <c r="AT48">
        <v>432.1944838709678</v>
      </c>
      <c r="AU48">
        <v>8.495889999999999</v>
      </c>
      <c r="AV48">
        <v>6.97487064516129</v>
      </c>
      <c r="AW48">
        <v>428.0906129032258</v>
      </c>
      <c r="AX48">
        <v>8.415299999999998</v>
      </c>
      <c r="AY48">
        <v>500.0065483870969</v>
      </c>
      <c r="AZ48">
        <v>100.2506451612903</v>
      </c>
      <c r="BA48">
        <v>0.04621058709677419</v>
      </c>
      <c r="BB48">
        <v>30.81287419354839</v>
      </c>
      <c r="BC48">
        <v>30.40586129032259</v>
      </c>
      <c r="BD48">
        <v>999.9000000000003</v>
      </c>
      <c r="BE48">
        <v>0</v>
      </c>
      <c r="BF48">
        <v>0</v>
      </c>
      <c r="BG48">
        <v>4999.5</v>
      </c>
      <c r="BH48">
        <v>1.572981935483871</v>
      </c>
      <c r="BI48">
        <v>2021.958064516129</v>
      </c>
      <c r="BJ48">
        <v>2.127497096774193</v>
      </c>
      <c r="BK48">
        <v>438.0435806451614</v>
      </c>
      <c r="BL48">
        <v>435.230129032258</v>
      </c>
      <c r="BM48">
        <v>1.521019677419355</v>
      </c>
      <c r="BN48">
        <v>432.1944838709678</v>
      </c>
      <c r="BO48">
        <v>6.97487064516129</v>
      </c>
      <c r="BP48">
        <v>0.8517188064516129</v>
      </c>
      <c r="BQ48">
        <v>0.6992355806451612</v>
      </c>
      <c r="BR48">
        <v>4.599772903225808</v>
      </c>
      <c r="BS48">
        <v>1.811082258064516</v>
      </c>
      <c r="BT48">
        <v>0</v>
      </c>
      <c r="BU48">
        <v>0</v>
      </c>
      <c r="BV48">
        <v>0</v>
      </c>
      <c r="BW48">
        <v>36</v>
      </c>
      <c r="BX48">
        <v>52</v>
      </c>
      <c r="BY48">
        <v>1773196010</v>
      </c>
      <c r="BZ48" t="s">
        <v>332</v>
      </c>
      <c r="CA48">
        <v>1773196010</v>
      </c>
      <c r="CB48">
        <v>1773196005.5</v>
      </c>
      <c r="CC48">
        <v>2</v>
      </c>
      <c r="CD48">
        <v>-0.279</v>
      </c>
      <c r="CE48">
        <v>-0.021</v>
      </c>
      <c r="CF48">
        <v>6.231</v>
      </c>
      <c r="CG48">
        <v>0.081</v>
      </c>
      <c r="CH48">
        <v>432</v>
      </c>
      <c r="CI48">
        <v>21</v>
      </c>
      <c r="CJ48">
        <v>0.03</v>
      </c>
      <c r="CK48">
        <v>0.06</v>
      </c>
      <c r="CL48">
        <v>432.2035483870968</v>
      </c>
      <c r="CM48">
        <v>-0.5560161290324355</v>
      </c>
      <c r="CN48">
        <v>0.04443541069017676</v>
      </c>
      <c r="CO48">
        <v>-1</v>
      </c>
      <c r="CP48">
        <v>500.0063225806452</v>
      </c>
      <c r="CQ48">
        <v>0.1761290322560435</v>
      </c>
      <c r="CR48">
        <v>0.0262720102461244</v>
      </c>
      <c r="CS48">
        <v>-1</v>
      </c>
      <c r="CT48">
        <v>0</v>
      </c>
      <c r="CU48">
        <v>0</v>
      </c>
      <c r="CV48" t="s">
        <v>333</v>
      </c>
      <c r="CW48">
        <v>3.16969</v>
      </c>
      <c r="CX48">
        <v>2.66768</v>
      </c>
      <c r="CY48">
        <v>0.101557</v>
      </c>
      <c r="CZ48">
        <v>0.102346</v>
      </c>
      <c r="DA48">
        <v>0.0513041</v>
      </c>
      <c r="DB48">
        <v>0.0438918</v>
      </c>
      <c r="DC48">
        <v>21346.5</v>
      </c>
      <c r="DD48">
        <v>21863.5</v>
      </c>
      <c r="DE48">
        <v>22903.1</v>
      </c>
      <c r="DF48">
        <v>22296.5</v>
      </c>
      <c r="DG48">
        <v>32850.5</v>
      </c>
      <c r="DH48">
        <v>30036.2</v>
      </c>
      <c r="DI48">
        <v>40299.7</v>
      </c>
      <c r="DJ48">
        <v>36884.8</v>
      </c>
      <c r="DK48">
        <v>2.03692</v>
      </c>
      <c r="DL48">
        <v>1.57262</v>
      </c>
      <c r="DM48">
        <v>-0.08849799999999999</v>
      </c>
      <c r="DN48">
        <v>0</v>
      </c>
      <c r="DO48">
        <v>31.844</v>
      </c>
      <c r="DP48">
        <v>999.9</v>
      </c>
      <c r="DQ48">
        <v>38.2</v>
      </c>
      <c r="DR48">
        <v>36.3</v>
      </c>
      <c r="DS48">
        <v>23.1202</v>
      </c>
      <c r="DT48">
        <v>30.3755</v>
      </c>
      <c r="DU48">
        <v>12.488</v>
      </c>
      <c r="DV48">
        <v>1</v>
      </c>
      <c r="DW48">
        <v>0.788734</v>
      </c>
      <c r="DX48">
        <v>3.16059</v>
      </c>
      <c r="DY48">
        <v>20.3261</v>
      </c>
      <c r="DZ48">
        <v>5.21082</v>
      </c>
      <c r="EA48">
        <v>11.8542</v>
      </c>
      <c r="EB48">
        <v>4.9676</v>
      </c>
      <c r="EC48">
        <v>3.293</v>
      </c>
      <c r="ED48">
        <v>879.4</v>
      </c>
      <c r="EE48">
        <v>9999</v>
      </c>
      <c r="EF48">
        <v>9999</v>
      </c>
      <c r="EG48">
        <v>76.5</v>
      </c>
      <c r="EH48">
        <v>4.9716</v>
      </c>
      <c r="EI48">
        <v>1.87209</v>
      </c>
      <c r="EJ48">
        <v>1.86938</v>
      </c>
      <c r="EK48">
        <v>1.87167</v>
      </c>
      <c r="EL48">
        <v>1.86951</v>
      </c>
      <c r="EM48">
        <v>1.86831</v>
      </c>
      <c r="EN48">
        <v>1.87013</v>
      </c>
      <c r="EO48">
        <v>1.87194</v>
      </c>
      <c r="EP48">
        <v>0</v>
      </c>
      <c r="EQ48">
        <v>0</v>
      </c>
      <c r="ER48">
        <v>0</v>
      </c>
      <c r="ES48">
        <v>0</v>
      </c>
      <c r="ET48" t="s">
        <v>334</v>
      </c>
      <c r="EU48" t="s">
        <v>335</v>
      </c>
      <c r="EV48" t="s">
        <v>336</v>
      </c>
      <c r="EW48" t="s">
        <v>336</v>
      </c>
      <c r="EX48" t="s">
        <v>336</v>
      </c>
      <c r="EY48" t="s">
        <v>336</v>
      </c>
      <c r="EZ48">
        <v>0</v>
      </c>
      <c r="FA48">
        <v>100</v>
      </c>
      <c r="FB48">
        <v>100</v>
      </c>
      <c r="FC48">
        <v>6.232</v>
      </c>
      <c r="FD48">
        <v>0.0806</v>
      </c>
      <c r="FE48">
        <v>6.23135000000002</v>
      </c>
      <c r="FF48">
        <v>0</v>
      </c>
      <c r="FG48">
        <v>0</v>
      </c>
      <c r="FH48">
        <v>0</v>
      </c>
      <c r="FI48">
        <v>0.08059047619047632</v>
      </c>
      <c r="FJ48">
        <v>0</v>
      </c>
      <c r="FK48">
        <v>0</v>
      </c>
      <c r="FL48">
        <v>0</v>
      </c>
      <c r="FM48">
        <v>-1</v>
      </c>
      <c r="FN48">
        <v>-1</v>
      </c>
      <c r="FO48">
        <v>-1</v>
      </c>
      <c r="FP48">
        <v>-1</v>
      </c>
      <c r="FQ48">
        <v>32.5</v>
      </c>
      <c r="FR48">
        <v>32.6</v>
      </c>
      <c r="FS48">
        <v>0.144043</v>
      </c>
      <c r="FT48">
        <v>4.99756</v>
      </c>
      <c r="FU48">
        <v>1.5979</v>
      </c>
      <c r="FV48">
        <v>2.13501</v>
      </c>
      <c r="FW48">
        <v>1.54785</v>
      </c>
      <c r="FX48">
        <v>2.46216</v>
      </c>
      <c r="FY48">
        <v>42.751</v>
      </c>
      <c r="FZ48">
        <v>16.0671</v>
      </c>
      <c r="GA48">
        <v>3</v>
      </c>
      <c r="GB48">
        <v>518.086</v>
      </c>
      <c r="GC48">
        <v>320.571</v>
      </c>
      <c r="GD48">
        <v>28.2826</v>
      </c>
      <c r="GE48">
        <v>36.7567</v>
      </c>
      <c r="GF48">
        <v>30.0007</v>
      </c>
      <c r="GG48">
        <v>36.5601</v>
      </c>
      <c r="GH48">
        <v>36.5354</v>
      </c>
      <c r="GI48">
        <v>-1</v>
      </c>
      <c r="GJ48">
        <v>100</v>
      </c>
      <c r="GK48">
        <v>0</v>
      </c>
      <c r="GL48">
        <v>28.2794</v>
      </c>
      <c r="GM48">
        <v>1200</v>
      </c>
      <c r="GN48">
        <v>19.4378</v>
      </c>
      <c r="GO48">
        <v>101.396</v>
      </c>
      <c r="GP48">
        <v>96.3112</v>
      </c>
    </row>
    <row r="49" spans="1:198">
      <c r="A49">
        <v>33</v>
      </c>
      <c r="B49">
        <v>1773198020.1</v>
      </c>
      <c r="C49">
        <v>1920.099999904633</v>
      </c>
      <c r="D49" t="s">
        <v>399</v>
      </c>
      <c r="E49" t="s">
        <v>400</v>
      </c>
      <c r="F49">
        <v>15</v>
      </c>
      <c r="G49">
        <v>1773198012.099999</v>
      </c>
      <c r="H49">
        <f>(I49)/1000</f>
        <v>0</v>
      </c>
      <c r="I49">
        <f>1000*AY49*AG49*(AU49-AV49)/(100*AN49*(1000-AG49*AU49))</f>
        <v>0</v>
      </c>
      <c r="J49">
        <f>AY49*AG49*(AT49-AS49*(1000-AG49*AV49)/(1000-AG49*AU49))/(100*AN49)</f>
        <v>0</v>
      </c>
      <c r="K49">
        <f>AS49 - IF(AG49&gt;1, J49*AN49*100.0/(AI49), 0)</f>
        <v>0</v>
      </c>
      <c r="L49">
        <f>((R49-H49/2)*K49-J49)/(R49+H49/2)</f>
        <v>0</v>
      </c>
      <c r="M49">
        <f>L49*(AZ49+BA49)/1000.0</f>
        <v>0</v>
      </c>
      <c r="N49">
        <f>(AS49 - IF(AG49&gt;1, J49*AN49*100.0/(AI49), 0))*(AZ49+BA49)/1000.0</f>
        <v>0</v>
      </c>
      <c r="O49">
        <f>2.0/((1/Q49-1/P49)+SIGN(Q49)*SQRT((1/Q49-1/P49)*(1/Q49-1/P49) + 4*AO49/((AO49+1)*(AO49+1))*(2*1/Q49*1/P49-1/P49*1/P49)))</f>
        <v>0</v>
      </c>
      <c r="P49">
        <f>IF(LEFT(AP49,1)&lt;&gt;"0",IF(LEFT(AP49,1)="1",3.0,AQ49),$D$5+$E$5*(BG49*AZ49/($K$5*1000))+$F$5*(BG49*AZ49/($K$5*1000))*MAX(MIN(AN49,$J$5),$I$5)*MAX(MIN(AN49,$J$5),$I$5)+$G$5*MAX(MIN(AN49,$J$5),$I$5)*(BG49*AZ49/($K$5*1000))+$H$5*(BG49*AZ49/($K$5*1000))*(BG49*AZ49/($K$5*1000)))</f>
        <v>0</v>
      </c>
      <c r="Q49">
        <f>H49*(1000-(1000*0.61365*exp(17.502*U49/(240.97+U49))/(AZ49+BA49)+AU49)/2)/(1000*0.61365*exp(17.502*U49/(240.97+U49))/(AZ49+BA49)-AU49)</f>
        <v>0</v>
      </c>
      <c r="R49">
        <f>1/((AO49+1)/(O49/1.6)+1/(P49/1.37)) + AO49/((AO49+1)/(O49/1.6) + AO49/(P49/1.37))</f>
        <v>0</v>
      </c>
      <c r="S49">
        <f>(AJ49*AM49)</f>
        <v>0</v>
      </c>
      <c r="T49">
        <f>(BB49+(S49+2*0.95*5.67E-8*(((BB49+$B$7)+273)^4-(BB49+273)^4)-44100*H49)/(1.84*29.3*P49+8*0.95*5.67E-8*(BB49+273)^3))</f>
        <v>0</v>
      </c>
      <c r="U49">
        <f>($C$7*BC49+$D$7*BD49+$E$7*T49)</f>
        <v>0</v>
      </c>
      <c r="V49">
        <f>0.61365*exp(17.502*U49/(240.97+U49))</f>
        <v>0</v>
      </c>
      <c r="W49">
        <f>(X49/Y49*100)</f>
        <v>0</v>
      </c>
      <c r="X49">
        <f>AU49*(AZ49+BA49)/1000</f>
        <v>0</v>
      </c>
      <c r="Y49">
        <f>0.61365*exp(17.502*BB49/(240.97+BB49))</f>
        <v>0</v>
      </c>
      <c r="Z49">
        <f>(V49-AU49*(AZ49+BA49)/1000)</f>
        <v>0</v>
      </c>
      <c r="AA49">
        <f>(-H49*44100)</f>
        <v>0</v>
      </c>
      <c r="AB49">
        <f>2*29.3*P49*0.92*(BB49-U49)</f>
        <v>0</v>
      </c>
      <c r="AC49">
        <f>2*0.95*5.67E-8*(((BB49+$B$7)+273)^4-(U49+273)^4)</f>
        <v>0</v>
      </c>
      <c r="AD49">
        <f>S49+AC49+AA49+AB49</f>
        <v>0</v>
      </c>
      <c r="AE49">
        <v>0</v>
      </c>
      <c r="AF49">
        <v>0</v>
      </c>
      <c r="AG49">
        <f>IF(AE49*$H$13&gt;=AI49,1.0,(AI49/(AI49-AE49*$H$13)))</f>
        <v>0</v>
      </c>
      <c r="AH49">
        <f>(AG49-1)*100</f>
        <v>0</v>
      </c>
      <c r="AI49">
        <f>MAX(0,($B$13+$C$13*BG49)/(1+$D$13*BG49)*AZ49/(BB49+273)*$E$13)</f>
        <v>0</v>
      </c>
      <c r="AJ49">
        <f>$B$11*BH49+$C$11*BI49+$D$11*BT49</f>
        <v>0</v>
      </c>
      <c r="AK49">
        <f>AJ49*AL49</f>
        <v>0</v>
      </c>
      <c r="AL49">
        <f>($B$11*$D$9+$C$11*$D$9+$D$11*(BU49*$E$9+BV49*$G$9))/($B$11+$C$11+$D$11)</f>
        <v>0</v>
      </c>
      <c r="AM49">
        <f>($B$11*$K$9+$C$11*$K$9+$D$11*(BU49*$L$9+BV49*$N$9))/($B$11+$C$11+$D$11)</f>
        <v>0</v>
      </c>
      <c r="AN49">
        <v>3</v>
      </c>
      <c r="AO49">
        <v>0.5</v>
      </c>
      <c r="AP49" t="s">
        <v>331</v>
      </c>
      <c r="AQ49">
        <v>2</v>
      </c>
      <c r="AR49">
        <v>1773198012.099999</v>
      </c>
      <c r="AS49">
        <v>434.3389354838709</v>
      </c>
      <c r="AT49">
        <v>432.2312580645161</v>
      </c>
      <c r="AU49">
        <v>8.704792258064517</v>
      </c>
      <c r="AV49">
        <v>7.219957096774192</v>
      </c>
      <c r="AW49">
        <v>428.1076451612903</v>
      </c>
      <c r="AX49">
        <v>8.624202258064516</v>
      </c>
      <c r="AY49">
        <v>499.9973225806451</v>
      </c>
      <c r="AZ49">
        <v>100.2475161290323</v>
      </c>
      <c r="BA49">
        <v>0.04603574838709677</v>
      </c>
      <c r="BB49">
        <v>30.80518709677419</v>
      </c>
      <c r="BC49">
        <v>30.41677096774194</v>
      </c>
      <c r="BD49">
        <v>999.9000000000003</v>
      </c>
      <c r="BE49">
        <v>0</v>
      </c>
      <c r="BF49">
        <v>0</v>
      </c>
      <c r="BG49">
        <v>5000.225806451613</v>
      </c>
      <c r="BH49">
        <v>1.580994838709677</v>
      </c>
      <c r="BI49">
        <v>2052.621935483871</v>
      </c>
      <c r="BJ49">
        <v>2.107739032258065</v>
      </c>
      <c r="BK49">
        <v>438.152935483871</v>
      </c>
      <c r="BL49">
        <v>435.3745483870968</v>
      </c>
      <c r="BM49">
        <v>1.484834193548387</v>
      </c>
      <c r="BN49">
        <v>432.2312580645161</v>
      </c>
      <c r="BO49">
        <v>7.219957096774192</v>
      </c>
      <c r="BP49">
        <v>0.8726342258064514</v>
      </c>
      <c r="BQ49">
        <v>0.7237833225806453</v>
      </c>
      <c r="BR49">
        <v>4.947152580645162</v>
      </c>
      <c r="BS49">
        <v>2.294267741935484</v>
      </c>
      <c r="BT49">
        <v>0</v>
      </c>
      <c r="BU49">
        <v>0</v>
      </c>
      <c r="BV49">
        <v>0</v>
      </c>
      <c r="BW49">
        <v>36</v>
      </c>
      <c r="BX49">
        <v>52.71612903225807</v>
      </c>
      <c r="BY49">
        <v>1773196010</v>
      </c>
      <c r="BZ49" t="s">
        <v>332</v>
      </c>
      <c r="CA49">
        <v>1773196010</v>
      </c>
      <c r="CB49">
        <v>1773196005.5</v>
      </c>
      <c r="CC49">
        <v>2</v>
      </c>
      <c r="CD49">
        <v>-0.279</v>
      </c>
      <c r="CE49">
        <v>-0.021</v>
      </c>
      <c r="CF49">
        <v>6.231</v>
      </c>
      <c r="CG49">
        <v>0.081</v>
      </c>
      <c r="CH49">
        <v>432</v>
      </c>
      <c r="CI49">
        <v>21</v>
      </c>
      <c r="CJ49">
        <v>0.03</v>
      </c>
      <c r="CK49">
        <v>0.06</v>
      </c>
      <c r="CL49">
        <v>432.2312580645161</v>
      </c>
      <c r="CM49">
        <v>-0.7434193548402637</v>
      </c>
      <c r="CN49">
        <v>0.05665285787964772</v>
      </c>
      <c r="CO49">
        <v>-1</v>
      </c>
      <c r="CP49">
        <v>499.9973225806451</v>
      </c>
      <c r="CQ49">
        <v>0.01891935483984811</v>
      </c>
      <c r="CR49">
        <v>0.02588608680574254</v>
      </c>
      <c r="CS49">
        <v>-1</v>
      </c>
      <c r="CT49">
        <v>0</v>
      </c>
      <c r="CU49">
        <v>0</v>
      </c>
      <c r="CV49" t="s">
        <v>333</v>
      </c>
      <c r="CW49">
        <v>3.16979</v>
      </c>
      <c r="CX49">
        <v>2.66778</v>
      </c>
      <c r="CY49">
        <v>0.101539</v>
      </c>
      <c r="CZ49">
        <v>0.102314</v>
      </c>
      <c r="DA49">
        <v>0.052316</v>
      </c>
      <c r="DB49">
        <v>0.0451434</v>
      </c>
      <c r="DC49">
        <v>21343.2</v>
      </c>
      <c r="DD49">
        <v>21861.7</v>
      </c>
      <c r="DE49">
        <v>22899.5</v>
      </c>
      <c r="DF49">
        <v>22294.2</v>
      </c>
      <c r="DG49">
        <v>32810.9</v>
      </c>
      <c r="DH49">
        <v>29993.2</v>
      </c>
      <c r="DI49">
        <v>40294.2</v>
      </c>
      <c r="DJ49">
        <v>36880.5</v>
      </c>
      <c r="DK49">
        <v>2.03588</v>
      </c>
      <c r="DL49">
        <v>1.56918</v>
      </c>
      <c r="DM49">
        <v>-0.0902265</v>
      </c>
      <c r="DN49">
        <v>0</v>
      </c>
      <c r="DO49">
        <v>31.886</v>
      </c>
      <c r="DP49">
        <v>999.9</v>
      </c>
      <c r="DQ49">
        <v>37.7</v>
      </c>
      <c r="DR49">
        <v>36.6</v>
      </c>
      <c r="DS49">
        <v>23.1972</v>
      </c>
      <c r="DT49">
        <v>30.2855</v>
      </c>
      <c r="DU49">
        <v>12.7764</v>
      </c>
      <c r="DV49">
        <v>1</v>
      </c>
      <c r="DW49">
        <v>0.795333</v>
      </c>
      <c r="DX49">
        <v>3.05607</v>
      </c>
      <c r="DY49">
        <v>20.3284</v>
      </c>
      <c r="DZ49">
        <v>5.21094</v>
      </c>
      <c r="EA49">
        <v>11.8542</v>
      </c>
      <c r="EB49">
        <v>4.96772</v>
      </c>
      <c r="EC49">
        <v>3.293</v>
      </c>
      <c r="ED49">
        <v>879.4</v>
      </c>
      <c r="EE49">
        <v>9999</v>
      </c>
      <c r="EF49">
        <v>9999</v>
      </c>
      <c r="EG49">
        <v>76.59999999999999</v>
      </c>
      <c r="EH49">
        <v>4.97161</v>
      </c>
      <c r="EI49">
        <v>1.8721</v>
      </c>
      <c r="EJ49">
        <v>1.86935</v>
      </c>
      <c r="EK49">
        <v>1.87171</v>
      </c>
      <c r="EL49">
        <v>1.86951</v>
      </c>
      <c r="EM49">
        <v>1.86832</v>
      </c>
      <c r="EN49">
        <v>1.87013</v>
      </c>
      <c r="EO49">
        <v>1.87195</v>
      </c>
      <c r="EP49">
        <v>0</v>
      </c>
      <c r="EQ49">
        <v>0</v>
      </c>
      <c r="ER49">
        <v>0</v>
      </c>
      <c r="ES49">
        <v>0</v>
      </c>
      <c r="ET49" t="s">
        <v>334</v>
      </c>
      <c r="EU49" t="s">
        <v>335</v>
      </c>
      <c r="EV49" t="s">
        <v>336</v>
      </c>
      <c r="EW49" t="s">
        <v>336</v>
      </c>
      <c r="EX49" t="s">
        <v>336</v>
      </c>
      <c r="EY49" t="s">
        <v>336</v>
      </c>
      <c r="EZ49">
        <v>0</v>
      </c>
      <c r="FA49">
        <v>100</v>
      </c>
      <c r="FB49">
        <v>100</v>
      </c>
      <c r="FC49">
        <v>6.231</v>
      </c>
      <c r="FD49">
        <v>0.0806</v>
      </c>
      <c r="FE49">
        <v>6.23135000000002</v>
      </c>
      <c r="FF49">
        <v>0</v>
      </c>
      <c r="FG49">
        <v>0</v>
      </c>
      <c r="FH49">
        <v>0</v>
      </c>
      <c r="FI49">
        <v>0.08059047619047632</v>
      </c>
      <c r="FJ49">
        <v>0</v>
      </c>
      <c r="FK49">
        <v>0</v>
      </c>
      <c r="FL49">
        <v>0</v>
      </c>
      <c r="FM49">
        <v>-1</v>
      </c>
      <c r="FN49">
        <v>-1</v>
      </c>
      <c r="FO49">
        <v>-1</v>
      </c>
      <c r="FP49">
        <v>-1</v>
      </c>
      <c r="FQ49">
        <v>33.5</v>
      </c>
      <c r="FR49">
        <v>33.6</v>
      </c>
      <c r="FS49">
        <v>0.144043</v>
      </c>
      <c r="FT49">
        <v>4.99756</v>
      </c>
      <c r="FU49">
        <v>1.5979</v>
      </c>
      <c r="FV49">
        <v>2.13379</v>
      </c>
      <c r="FW49">
        <v>1.54785</v>
      </c>
      <c r="FX49">
        <v>2.3938</v>
      </c>
      <c r="FY49">
        <v>42.9929</v>
      </c>
      <c r="FZ49">
        <v>16.0496</v>
      </c>
      <c r="GA49">
        <v>3</v>
      </c>
      <c r="GB49">
        <v>518.114</v>
      </c>
      <c r="GC49">
        <v>319.275</v>
      </c>
      <c r="GD49">
        <v>28.3812</v>
      </c>
      <c r="GE49">
        <v>36.8537</v>
      </c>
      <c r="GF49">
        <v>30.0008</v>
      </c>
      <c r="GG49">
        <v>36.6541</v>
      </c>
      <c r="GH49">
        <v>36.6305</v>
      </c>
      <c r="GI49">
        <v>-1</v>
      </c>
      <c r="GJ49">
        <v>100</v>
      </c>
      <c r="GK49">
        <v>0</v>
      </c>
      <c r="GL49">
        <v>28.3758</v>
      </c>
      <c r="GM49">
        <v>1200</v>
      </c>
      <c r="GN49">
        <v>19.4378</v>
      </c>
      <c r="GO49">
        <v>101.382</v>
      </c>
      <c r="GP49">
        <v>96.3004</v>
      </c>
    </row>
    <row r="50" spans="1:198">
      <c r="A50">
        <v>34</v>
      </c>
      <c r="B50">
        <v>1773198080.1</v>
      </c>
      <c r="C50">
        <v>1980.099999904633</v>
      </c>
      <c r="D50" t="s">
        <v>401</v>
      </c>
      <c r="E50" t="s">
        <v>402</v>
      </c>
      <c r="F50">
        <v>15</v>
      </c>
      <c r="G50">
        <v>1773198072.099999</v>
      </c>
      <c r="H50">
        <f>(I50)/1000</f>
        <v>0</v>
      </c>
      <c r="I50">
        <f>1000*AY50*AG50*(AU50-AV50)/(100*AN50*(1000-AG50*AU50))</f>
        <v>0</v>
      </c>
      <c r="J50">
        <f>AY50*AG50*(AT50-AS50*(1000-AG50*AV50)/(1000-AG50*AU50))/(100*AN50)</f>
        <v>0</v>
      </c>
      <c r="K50">
        <f>AS50 - IF(AG50&gt;1, J50*AN50*100.0/(AI50), 0)</f>
        <v>0</v>
      </c>
      <c r="L50">
        <f>((R50-H50/2)*K50-J50)/(R50+H50/2)</f>
        <v>0</v>
      </c>
      <c r="M50">
        <f>L50*(AZ50+BA50)/1000.0</f>
        <v>0</v>
      </c>
      <c r="N50">
        <f>(AS50 - IF(AG50&gt;1, J50*AN50*100.0/(AI50), 0))*(AZ50+BA50)/1000.0</f>
        <v>0</v>
      </c>
      <c r="O50">
        <f>2.0/((1/Q50-1/P50)+SIGN(Q50)*SQRT((1/Q50-1/P50)*(1/Q50-1/P50) + 4*AO50/((AO50+1)*(AO50+1))*(2*1/Q50*1/P50-1/P50*1/P50)))</f>
        <v>0</v>
      </c>
      <c r="P50">
        <f>IF(LEFT(AP50,1)&lt;&gt;"0",IF(LEFT(AP50,1)="1",3.0,AQ50),$D$5+$E$5*(BG50*AZ50/($K$5*1000))+$F$5*(BG50*AZ50/($K$5*1000))*MAX(MIN(AN50,$J$5),$I$5)*MAX(MIN(AN50,$J$5),$I$5)+$G$5*MAX(MIN(AN50,$J$5),$I$5)*(BG50*AZ50/($K$5*1000))+$H$5*(BG50*AZ50/($K$5*1000))*(BG50*AZ50/($K$5*1000)))</f>
        <v>0</v>
      </c>
      <c r="Q50">
        <f>H50*(1000-(1000*0.61365*exp(17.502*U50/(240.97+U50))/(AZ50+BA50)+AU50)/2)/(1000*0.61365*exp(17.502*U50/(240.97+U50))/(AZ50+BA50)-AU50)</f>
        <v>0</v>
      </c>
      <c r="R50">
        <f>1/((AO50+1)/(O50/1.6)+1/(P50/1.37)) + AO50/((AO50+1)/(O50/1.6) + AO50/(P50/1.37))</f>
        <v>0</v>
      </c>
      <c r="S50">
        <f>(AJ50*AM50)</f>
        <v>0</v>
      </c>
      <c r="T50">
        <f>(BB50+(S50+2*0.95*5.67E-8*(((BB50+$B$7)+273)^4-(BB50+273)^4)-44100*H50)/(1.84*29.3*P50+8*0.95*5.67E-8*(BB50+273)^3))</f>
        <v>0</v>
      </c>
      <c r="U50">
        <f>($C$7*BC50+$D$7*BD50+$E$7*T50)</f>
        <v>0</v>
      </c>
      <c r="V50">
        <f>0.61365*exp(17.502*U50/(240.97+U50))</f>
        <v>0</v>
      </c>
      <c r="W50">
        <f>(X50/Y50*100)</f>
        <v>0</v>
      </c>
      <c r="X50">
        <f>AU50*(AZ50+BA50)/1000</f>
        <v>0</v>
      </c>
      <c r="Y50">
        <f>0.61365*exp(17.502*BB50/(240.97+BB50))</f>
        <v>0</v>
      </c>
      <c r="Z50">
        <f>(V50-AU50*(AZ50+BA50)/1000)</f>
        <v>0</v>
      </c>
      <c r="AA50">
        <f>(-H50*44100)</f>
        <v>0</v>
      </c>
      <c r="AB50">
        <f>2*29.3*P50*0.92*(BB50-U50)</f>
        <v>0</v>
      </c>
      <c r="AC50">
        <f>2*0.95*5.67E-8*(((BB50+$B$7)+273)^4-(U50+273)^4)</f>
        <v>0</v>
      </c>
      <c r="AD50">
        <f>S50+AC50+AA50+AB50</f>
        <v>0</v>
      </c>
      <c r="AE50">
        <v>0</v>
      </c>
      <c r="AF50">
        <v>0</v>
      </c>
      <c r="AG50">
        <f>IF(AE50*$H$13&gt;=AI50,1.0,(AI50/(AI50-AE50*$H$13)))</f>
        <v>0</v>
      </c>
      <c r="AH50">
        <f>(AG50-1)*100</f>
        <v>0</v>
      </c>
      <c r="AI50">
        <f>MAX(0,($B$13+$C$13*BG50)/(1+$D$13*BG50)*AZ50/(BB50+273)*$E$13)</f>
        <v>0</v>
      </c>
      <c r="AJ50">
        <f>$B$11*BH50+$C$11*BI50+$D$11*BT50</f>
        <v>0</v>
      </c>
      <c r="AK50">
        <f>AJ50*AL50</f>
        <v>0</v>
      </c>
      <c r="AL50">
        <f>($B$11*$D$9+$C$11*$D$9+$D$11*(BU50*$E$9+BV50*$G$9))/($B$11+$C$11+$D$11)</f>
        <v>0</v>
      </c>
      <c r="AM50">
        <f>($B$11*$K$9+$C$11*$K$9+$D$11*(BU50*$L$9+BV50*$N$9))/($B$11+$C$11+$D$11)</f>
        <v>0</v>
      </c>
      <c r="AN50">
        <v>3</v>
      </c>
      <c r="AO50">
        <v>0.5</v>
      </c>
      <c r="AP50" t="s">
        <v>331</v>
      </c>
      <c r="AQ50">
        <v>2</v>
      </c>
      <c r="AR50">
        <v>1773198072.099999</v>
      </c>
      <c r="AS50">
        <v>433.5032903225806</v>
      </c>
      <c r="AT50">
        <v>431.3336774193548</v>
      </c>
      <c r="AU50">
        <v>8.848455161290321</v>
      </c>
      <c r="AV50">
        <v>7.364079032258065</v>
      </c>
      <c r="AW50">
        <v>427.2720322580645</v>
      </c>
      <c r="AX50">
        <v>8.767865161290324</v>
      </c>
      <c r="AY50">
        <v>499.9950967741935</v>
      </c>
      <c r="AZ50">
        <v>100.2439677419355</v>
      </c>
      <c r="BA50">
        <v>0.04635282258064515</v>
      </c>
      <c r="BB50">
        <v>30.79441290322581</v>
      </c>
      <c r="BC50">
        <v>30.40714193548387</v>
      </c>
      <c r="BD50">
        <v>999.9000000000003</v>
      </c>
      <c r="BE50">
        <v>0</v>
      </c>
      <c r="BF50">
        <v>0</v>
      </c>
      <c r="BG50">
        <v>5002.241935483871</v>
      </c>
      <c r="BH50">
        <v>1.556828387096774</v>
      </c>
      <c r="BI50">
        <v>2018.784838709678</v>
      </c>
      <c r="BJ50">
        <v>2.16967</v>
      </c>
      <c r="BK50">
        <v>437.3734516129032</v>
      </c>
      <c r="BL50">
        <v>434.5335161290323</v>
      </c>
      <c r="BM50">
        <v>1.484377096774194</v>
      </c>
      <c r="BN50">
        <v>431.3336774193548</v>
      </c>
      <c r="BO50">
        <v>7.364079032258065</v>
      </c>
      <c r="BP50">
        <v>0.8870050322580646</v>
      </c>
      <c r="BQ50">
        <v>0.7382050967741938</v>
      </c>
      <c r="BR50">
        <v>5.181614193548389</v>
      </c>
      <c r="BS50">
        <v>2.571457096774194</v>
      </c>
      <c r="BT50">
        <v>0</v>
      </c>
      <c r="BU50">
        <v>0</v>
      </c>
      <c r="BV50">
        <v>0</v>
      </c>
      <c r="BW50">
        <v>36</v>
      </c>
      <c r="BX50">
        <v>52</v>
      </c>
      <c r="BY50">
        <v>1773196010</v>
      </c>
      <c r="BZ50" t="s">
        <v>332</v>
      </c>
      <c r="CA50">
        <v>1773196010</v>
      </c>
      <c r="CB50">
        <v>1773196005.5</v>
      </c>
      <c r="CC50">
        <v>2</v>
      </c>
      <c r="CD50">
        <v>-0.279</v>
      </c>
      <c r="CE50">
        <v>-0.021</v>
      </c>
      <c r="CF50">
        <v>6.231</v>
      </c>
      <c r="CG50">
        <v>0.081</v>
      </c>
      <c r="CH50">
        <v>432</v>
      </c>
      <c r="CI50">
        <v>21</v>
      </c>
      <c r="CJ50">
        <v>0.03</v>
      </c>
      <c r="CK50">
        <v>0.06</v>
      </c>
      <c r="CL50">
        <v>431.3336774193548</v>
      </c>
      <c r="CM50">
        <v>-0.2008548387106061</v>
      </c>
      <c r="CN50">
        <v>0.01673201894143202</v>
      </c>
      <c r="CO50">
        <v>-1</v>
      </c>
      <c r="CP50">
        <v>499.9950967741935</v>
      </c>
      <c r="CQ50">
        <v>-0.1533387096786645</v>
      </c>
      <c r="CR50">
        <v>0.04098729530831587</v>
      </c>
      <c r="CS50">
        <v>-1</v>
      </c>
      <c r="CT50">
        <v>0</v>
      </c>
      <c r="CU50">
        <v>0</v>
      </c>
      <c r="CV50" t="s">
        <v>333</v>
      </c>
      <c r="CW50">
        <v>3.16971</v>
      </c>
      <c r="CX50">
        <v>2.66756</v>
      </c>
      <c r="CY50">
        <v>0.101364</v>
      </c>
      <c r="CZ50">
        <v>0.102143</v>
      </c>
      <c r="DA50">
        <v>0.0528966</v>
      </c>
      <c r="DB50">
        <v>0.045761</v>
      </c>
      <c r="DC50">
        <v>21342.9</v>
      </c>
      <c r="DD50">
        <v>21863.3</v>
      </c>
      <c r="DE50">
        <v>22895.1</v>
      </c>
      <c r="DF50">
        <v>22291.8</v>
      </c>
      <c r="DG50">
        <v>32785.1</v>
      </c>
      <c r="DH50">
        <v>29970.3</v>
      </c>
      <c r="DI50">
        <v>40287.4</v>
      </c>
      <c r="DJ50">
        <v>36876.5</v>
      </c>
      <c r="DK50">
        <v>2.0352</v>
      </c>
      <c r="DL50">
        <v>1.56504</v>
      </c>
      <c r="DM50">
        <v>-0.0881702</v>
      </c>
      <c r="DN50">
        <v>0</v>
      </c>
      <c r="DO50">
        <v>31.8508</v>
      </c>
      <c r="DP50">
        <v>999.9</v>
      </c>
      <c r="DQ50">
        <v>37.1</v>
      </c>
      <c r="DR50">
        <v>36.9</v>
      </c>
      <c r="DS50">
        <v>23.2057</v>
      </c>
      <c r="DT50">
        <v>30.0155</v>
      </c>
      <c r="DU50">
        <v>12.6883</v>
      </c>
      <c r="DV50">
        <v>1</v>
      </c>
      <c r="DW50">
        <v>0.802254</v>
      </c>
      <c r="DX50">
        <v>2.97692</v>
      </c>
      <c r="DY50">
        <v>20.3303</v>
      </c>
      <c r="DZ50">
        <v>5.2107</v>
      </c>
      <c r="EA50">
        <v>11.8542</v>
      </c>
      <c r="EB50">
        <v>4.96748</v>
      </c>
      <c r="EC50">
        <v>3.293</v>
      </c>
      <c r="ED50">
        <v>879.4</v>
      </c>
      <c r="EE50">
        <v>9999</v>
      </c>
      <c r="EF50">
        <v>9999</v>
      </c>
      <c r="EG50">
        <v>76.59999999999999</v>
      </c>
      <c r="EH50">
        <v>4.9716</v>
      </c>
      <c r="EI50">
        <v>1.8721</v>
      </c>
      <c r="EJ50">
        <v>1.86937</v>
      </c>
      <c r="EK50">
        <v>1.8717</v>
      </c>
      <c r="EL50">
        <v>1.86951</v>
      </c>
      <c r="EM50">
        <v>1.86833</v>
      </c>
      <c r="EN50">
        <v>1.87015</v>
      </c>
      <c r="EO50">
        <v>1.87195</v>
      </c>
      <c r="EP50">
        <v>0</v>
      </c>
      <c r="EQ50">
        <v>0</v>
      </c>
      <c r="ER50">
        <v>0</v>
      </c>
      <c r="ES50">
        <v>0</v>
      </c>
      <c r="ET50" t="s">
        <v>334</v>
      </c>
      <c r="EU50" t="s">
        <v>335</v>
      </c>
      <c r="EV50" t="s">
        <v>336</v>
      </c>
      <c r="EW50" t="s">
        <v>336</v>
      </c>
      <c r="EX50" t="s">
        <v>336</v>
      </c>
      <c r="EY50" t="s">
        <v>336</v>
      </c>
      <c r="EZ50">
        <v>0</v>
      </c>
      <c r="FA50">
        <v>100</v>
      </c>
      <c r="FB50">
        <v>100</v>
      </c>
      <c r="FC50">
        <v>6.232</v>
      </c>
      <c r="FD50">
        <v>0.0806</v>
      </c>
      <c r="FE50">
        <v>6.23135000000002</v>
      </c>
      <c r="FF50">
        <v>0</v>
      </c>
      <c r="FG50">
        <v>0</v>
      </c>
      <c r="FH50">
        <v>0</v>
      </c>
      <c r="FI50">
        <v>0.08059047619047632</v>
      </c>
      <c r="FJ50">
        <v>0</v>
      </c>
      <c r="FK50">
        <v>0</v>
      </c>
      <c r="FL50">
        <v>0</v>
      </c>
      <c r="FM50">
        <v>-1</v>
      </c>
      <c r="FN50">
        <v>-1</v>
      </c>
      <c r="FO50">
        <v>-1</v>
      </c>
      <c r="FP50">
        <v>-1</v>
      </c>
      <c r="FQ50">
        <v>34.5</v>
      </c>
      <c r="FR50">
        <v>34.6</v>
      </c>
      <c r="FS50">
        <v>0.144043</v>
      </c>
      <c r="FT50">
        <v>4.99756</v>
      </c>
      <c r="FU50">
        <v>1.5979</v>
      </c>
      <c r="FV50">
        <v>2.13257</v>
      </c>
      <c r="FW50">
        <v>1.54785</v>
      </c>
      <c r="FX50">
        <v>2.40356</v>
      </c>
      <c r="FY50">
        <v>43.2091</v>
      </c>
      <c r="FZ50">
        <v>16.0671</v>
      </c>
      <c r="GA50">
        <v>3</v>
      </c>
      <c r="GB50">
        <v>518.3440000000001</v>
      </c>
      <c r="GC50">
        <v>317.61</v>
      </c>
      <c r="GD50">
        <v>28.3645</v>
      </c>
      <c r="GE50">
        <v>36.9347</v>
      </c>
      <c r="GF50">
        <v>30.0007</v>
      </c>
      <c r="GG50">
        <v>36.745</v>
      </c>
      <c r="GH50">
        <v>36.7203</v>
      </c>
      <c r="GI50">
        <v>-1</v>
      </c>
      <c r="GJ50">
        <v>100</v>
      </c>
      <c r="GK50">
        <v>0</v>
      </c>
      <c r="GL50">
        <v>28.3623</v>
      </c>
      <c r="GM50">
        <v>1200</v>
      </c>
      <c r="GN50">
        <v>19.4378</v>
      </c>
      <c r="GO50">
        <v>101.364</v>
      </c>
      <c r="GP50">
        <v>96.29000000000001</v>
      </c>
    </row>
    <row r="51" spans="1:198">
      <c r="A51">
        <v>35</v>
      </c>
      <c r="B51">
        <v>1773198140.1</v>
      </c>
      <c r="C51">
        <v>2040.099999904633</v>
      </c>
      <c r="D51" t="s">
        <v>403</v>
      </c>
      <c r="E51" t="s">
        <v>404</v>
      </c>
      <c r="F51">
        <v>15</v>
      </c>
      <c r="G51">
        <v>1773198132.099999</v>
      </c>
      <c r="H51">
        <f>(I51)/1000</f>
        <v>0</v>
      </c>
      <c r="I51">
        <f>1000*AY51*AG51*(AU51-AV51)/(100*AN51*(1000-AG51*AU51))</f>
        <v>0</v>
      </c>
      <c r="J51">
        <f>AY51*AG51*(AT51-AS51*(1000-AG51*AV51)/(1000-AG51*AU51))/(100*AN51)</f>
        <v>0</v>
      </c>
      <c r="K51">
        <f>AS51 - IF(AG51&gt;1, J51*AN51*100.0/(AI51), 0)</f>
        <v>0</v>
      </c>
      <c r="L51">
        <f>((R51-H51/2)*K51-J51)/(R51+H51/2)</f>
        <v>0</v>
      </c>
      <c r="M51">
        <f>L51*(AZ51+BA51)/1000.0</f>
        <v>0</v>
      </c>
      <c r="N51">
        <f>(AS51 - IF(AG51&gt;1, J51*AN51*100.0/(AI51), 0))*(AZ51+BA51)/1000.0</f>
        <v>0</v>
      </c>
      <c r="O51">
        <f>2.0/((1/Q51-1/P51)+SIGN(Q51)*SQRT((1/Q51-1/P51)*(1/Q51-1/P51) + 4*AO51/((AO51+1)*(AO51+1))*(2*1/Q51*1/P51-1/P51*1/P51)))</f>
        <v>0</v>
      </c>
      <c r="P51">
        <f>IF(LEFT(AP51,1)&lt;&gt;"0",IF(LEFT(AP51,1)="1",3.0,AQ51),$D$5+$E$5*(BG51*AZ51/($K$5*1000))+$F$5*(BG51*AZ51/($K$5*1000))*MAX(MIN(AN51,$J$5),$I$5)*MAX(MIN(AN51,$J$5),$I$5)+$G$5*MAX(MIN(AN51,$J$5),$I$5)*(BG51*AZ51/($K$5*1000))+$H$5*(BG51*AZ51/($K$5*1000))*(BG51*AZ51/($K$5*1000)))</f>
        <v>0</v>
      </c>
      <c r="Q51">
        <f>H51*(1000-(1000*0.61365*exp(17.502*U51/(240.97+U51))/(AZ51+BA51)+AU51)/2)/(1000*0.61365*exp(17.502*U51/(240.97+U51))/(AZ51+BA51)-AU51)</f>
        <v>0</v>
      </c>
      <c r="R51">
        <f>1/((AO51+1)/(O51/1.6)+1/(P51/1.37)) + AO51/((AO51+1)/(O51/1.6) + AO51/(P51/1.37))</f>
        <v>0</v>
      </c>
      <c r="S51">
        <f>(AJ51*AM51)</f>
        <v>0</v>
      </c>
      <c r="T51">
        <f>(BB51+(S51+2*0.95*5.67E-8*(((BB51+$B$7)+273)^4-(BB51+273)^4)-44100*H51)/(1.84*29.3*P51+8*0.95*5.67E-8*(BB51+273)^3))</f>
        <v>0</v>
      </c>
      <c r="U51">
        <f>($C$7*BC51+$D$7*BD51+$E$7*T51)</f>
        <v>0</v>
      </c>
      <c r="V51">
        <f>0.61365*exp(17.502*U51/(240.97+U51))</f>
        <v>0</v>
      </c>
      <c r="W51">
        <f>(X51/Y51*100)</f>
        <v>0</v>
      </c>
      <c r="X51">
        <f>AU51*(AZ51+BA51)/1000</f>
        <v>0</v>
      </c>
      <c r="Y51">
        <f>0.61365*exp(17.502*BB51/(240.97+BB51))</f>
        <v>0</v>
      </c>
      <c r="Z51">
        <f>(V51-AU51*(AZ51+BA51)/1000)</f>
        <v>0</v>
      </c>
      <c r="AA51">
        <f>(-H51*44100)</f>
        <v>0</v>
      </c>
      <c r="AB51">
        <f>2*29.3*P51*0.92*(BB51-U51)</f>
        <v>0</v>
      </c>
      <c r="AC51">
        <f>2*0.95*5.67E-8*(((BB51+$B$7)+273)^4-(U51+273)^4)</f>
        <v>0</v>
      </c>
      <c r="AD51">
        <f>S51+AC51+AA51+AB51</f>
        <v>0</v>
      </c>
      <c r="AE51">
        <v>0</v>
      </c>
      <c r="AF51">
        <v>0</v>
      </c>
      <c r="AG51">
        <f>IF(AE51*$H$13&gt;=AI51,1.0,(AI51/(AI51-AE51*$H$13)))</f>
        <v>0</v>
      </c>
      <c r="AH51">
        <f>(AG51-1)*100</f>
        <v>0</v>
      </c>
      <c r="AI51">
        <f>MAX(0,($B$13+$C$13*BG51)/(1+$D$13*BG51)*AZ51/(BB51+273)*$E$13)</f>
        <v>0</v>
      </c>
      <c r="AJ51">
        <f>$B$11*BH51+$C$11*BI51+$D$11*BT51</f>
        <v>0</v>
      </c>
      <c r="AK51">
        <f>AJ51*AL51</f>
        <v>0</v>
      </c>
      <c r="AL51">
        <f>($B$11*$D$9+$C$11*$D$9+$D$11*(BU51*$E$9+BV51*$G$9))/($B$11+$C$11+$D$11)</f>
        <v>0</v>
      </c>
      <c r="AM51">
        <f>($B$11*$K$9+$C$11*$K$9+$D$11*(BU51*$L$9+BV51*$N$9))/($B$11+$C$11+$D$11)</f>
        <v>0</v>
      </c>
      <c r="AN51">
        <v>3</v>
      </c>
      <c r="AO51">
        <v>0.5</v>
      </c>
      <c r="AP51" t="s">
        <v>331</v>
      </c>
      <c r="AQ51">
        <v>2</v>
      </c>
      <c r="AR51">
        <v>1773198132.099999</v>
      </c>
      <c r="AS51">
        <v>434.5908064516129</v>
      </c>
      <c r="AT51">
        <v>432.3601290322581</v>
      </c>
      <c r="AU51">
        <v>8.940924516129032</v>
      </c>
      <c r="AV51">
        <v>7.490147741935483</v>
      </c>
      <c r="AW51">
        <v>428.3595806451613</v>
      </c>
      <c r="AX51">
        <v>8.860334516129033</v>
      </c>
      <c r="AY51">
        <v>499.9977419354839</v>
      </c>
      <c r="AZ51">
        <v>100.2397741935484</v>
      </c>
      <c r="BA51">
        <v>0.04648685806451613</v>
      </c>
      <c r="BB51">
        <v>30.79495161290323</v>
      </c>
      <c r="BC51">
        <v>30.41173548387097</v>
      </c>
      <c r="BD51">
        <v>999.9000000000003</v>
      </c>
      <c r="BE51">
        <v>0</v>
      </c>
      <c r="BF51">
        <v>0</v>
      </c>
      <c r="BG51">
        <v>4998.564516129032</v>
      </c>
      <c r="BH51">
        <v>1.557752258064516</v>
      </c>
      <c r="BI51">
        <v>2024.660645161291</v>
      </c>
      <c r="BJ51">
        <v>2.230744838709678</v>
      </c>
      <c r="BK51">
        <v>438.5116129032259</v>
      </c>
      <c r="BL51">
        <v>435.623</v>
      </c>
      <c r="BM51">
        <v>1.450775806451613</v>
      </c>
      <c r="BN51">
        <v>432.3601290322581</v>
      </c>
      <c r="BO51">
        <v>7.490147741935483</v>
      </c>
      <c r="BP51">
        <v>0.8962367419354841</v>
      </c>
      <c r="BQ51">
        <v>0.750811258064516</v>
      </c>
      <c r="BR51">
        <v>5.330451612903226</v>
      </c>
      <c r="BS51">
        <v>2.809815161290322</v>
      </c>
      <c r="BT51">
        <v>0</v>
      </c>
      <c r="BU51">
        <v>0</v>
      </c>
      <c r="BV51">
        <v>0</v>
      </c>
      <c r="BW51">
        <v>36</v>
      </c>
      <c r="BX51">
        <v>52.94732258064516</v>
      </c>
      <c r="BY51">
        <v>1773196010</v>
      </c>
      <c r="BZ51" t="s">
        <v>332</v>
      </c>
      <c r="CA51">
        <v>1773196010</v>
      </c>
      <c r="CB51">
        <v>1773196005.5</v>
      </c>
      <c r="CC51">
        <v>2</v>
      </c>
      <c r="CD51">
        <v>-0.279</v>
      </c>
      <c r="CE51">
        <v>-0.021</v>
      </c>
      <c r="CF51">
        <v>6.231</v>
      </c>
      <c r="CG51">
        <v>0.081</v>
      </c>
      <c r="CH51">
        <v>432</v>
      </c>
      <c r="CI51">
        <v>21</v>
      </c>
      <c r="CJ51">
        <v>0.03</v>
      </c>
      <c r="CK51">
        <v>0.06</v>
      </c>
      <c r="CL51">
        <v>432.3601290322581</v>
      </c>
      <c r="CM51">
        <v>-1.390838709679315</v>
      </c>
      <c r="CN51">
        <v>0.109535306411571</v>
      </c>
      <c r="CO51">
        <v>-1</v>
      </c>
      <c r="CP51">
        <v>499.9977419354839</v>
      </c>
      <c r="CQ51">
        <v>-0.295403225804983</v>
      </c>
      <c r="CR51">
        <v>0.050586220068018</v>
      </c>
      <c r="CS51">
        <v>-1</v>
      </c>
      <c r="CT51">
        <v>0</v>
      </c>
      <c r="CU51">
        <v>0</v>
      </c>
      <c r="CV51" t="s">
        <v>333</v>
      </c>
      <c r="CW51">
        <v>3.16985</v>
      </c>
      <c r="CX51">
        <v>2.66748</v>
      </c>
      <c r="CY51">
        <v>0.101526</v>
      </c>
      <c r="CZ51">
        <v>0.102296</v>
      </c>
      <c r="DA51">
        <v>0.0533613</v>
      </c>
      <c r="DB51">
        <v>0.0464183</v>
      </c>
      <c r="DC51">
        <v>21335.9</v>
      </c>
      <c r="DD51">
        <v>21858</v>
      </c>
      <c r="DE51">
        <v>22891.9</v>
      </c>
      <c r="DF51">
        <v>22290.4</v>
      </c>
      <c r="DG51">
        <v>32764.7</v>
      </c>
      <c r="DH51">
        <v>29947.6</v>
      </c>
      <c r="DI51">
        <v>40282.2</v>
      </c>
      <c r="DJ51">
        <v>36874</v>
      </c>
      <c r="DK51">
        <v>2.0348</v>
      </c>
      <c r="DL51">
        <v>1.55994</v>
      </c>
      <c r="DM51">
        <v>-0.08465350000000001</v>
      </c>
      <c r="DN51">
        <v>0</v>
      </c>
      <c r="DO51">
        <v>31.7838</v>
      </c>
      <c r="DP51">
        <v>999.9</v>
      </c>
      <c r="DQ51">
        <v>36.7</v>
      </c>
      <c r="DR51">
        <v>37.2</v>
      </c>
      <c r="DS51">
        <v>23.3379</v>
      </c>
      <c r="DT51">
        <v>30.1055</v>
      </c>
      <c r="DU51">
        <v>13.0649</v>
      </c>
      <c r="DV51">
        <v>1</v>
      </c>
      <c r="DW51">
        <v>0.806455</v>
      </c>
      <c r="DX51">
        <v>2.93398</v>
      </c>
      <c r="DY51">
        <v>20.3309</v>
      </c>
      <c r="DZ51">
        <v>5.21094</v>
      </c>
      <c r="EA51">
        <v>11.8542</v>
      </c>
      <c r="EB51">
        <v>4.96752</v>
      </c>
      <c r="EC51">
        <v>3.29298</v>
      </c>
      <c r="ED51">
        <v>879.4</v>
      </c>
      <c r="EE51">
        <v>9999</v>
      </c>
      <c r="EF51">
        <v>9999</v>
      </c>
      <c r="EG51">
        <v>76.59999999999999</v>
      </c>
      <c r="EH51">
        <v>4.97161</v>
      </c>
      <c r="EI51">
        <v>1.8721</v>
      </c>
      <c r="EJ51">
        <v>1.86937</v>
      </c>
      <c r="EK51">
        <v>1.87176</v>
      </c>
      <c r="EL51">
        <v>1.86951</v>
      </c>
      <c r="EM51">
        <v>1.86835</v>
      </c>
      <c r="EN51">
        <v>1.87015</v>
      </c>
      <c r="EO51">
        <v>1.87195</v>
      </c>
      <c r="EP51">
        <v>0</v>
      </c>
      <c r="EQ51">
        <v>0</v>
      </c>
      <c r="ER51">
        <v>0</v>
      </c>
      <c r="ES51">
        <v>0</v>
      </c>
      <c r="ET51" t="s">
        <v>334</v>
      </c>
      <c r="EU51" t="s">
        <v>335</v>
      </c>
      <c r="EV51" t="s">
        <v>336</v>
      </c>
      <c r="EW51" t="s">
        <v>336</v>
      </c>
      <c r="EX51" t="s">
        <v>336</v>
      </c>
      <c r="EY51" t="s">
        <v>336</v>
      </c>
      <c r="EZ51">
        <v>0</v>
      </c>
      <c r="FA51">
        <v>100</v>
      </c>
      <c r="FB51">
        <v>100</v>
      </c>
      <c r="FC51">
        <v>6.232</v>
      </c>
      <c r="FD51">
        <v>0.0806</v>
      </c>
      <c r="FE51">
        <v>6.23135000000002</v>
      </c>
      <c r="FF51">
        <v>0</v>
      </c>
      <c r="FG51">
        <v>0</v>
      </c>
      <c r="FH51">
        <v>0</v>
      </c>
      <c r="FI51">
        <v>0.08059047619047632</v>
      </c>
      <c r="FJ51">
        <v>0</v>
      </c>
      <c r="FK51">
        <v>0</v>
      </c>
      <c r="FL51">
        <v>0</v>
      </c>
      <c r="FM51">
        <v>-1</v>
      </c>
      <c r="FN51">
        <v>-1</v>
      </c>
      <c r="FO51">
        <v>-1</v>
      </c>
      <c r="FP51">
        <v>-1</v>
      </c>
      <c r="FQ51">
        <v>35.5</v>
      </c>
      <c r="FR51">
        <v>35.6</v>
      </c>
      <c r="FS51">
        <v>0.144043</v>
      </c>
      <c r="FT51">
        <v>4.99756</v>
      </c>
      <c r="FU51">
        <v>1.5979</v>
      </c>
      <c r="FV51">
        <v>2.13257</v>
      </c>
      <c r="FW51">
        <v>1.54785</v>
      </c>
      <c r="FX51">
        <v>2.38281</v>
      </c>
      <c r="FY51">
        <v>43.3991</v>
      </c>
      <c r="FZ51">
        <v>16.0408</v>
      </c>
      <c r="GA51">
        <v>3</v>
      </c>
      <c r="GB51">
        <v>518.516</v>
      </c>
      <c r="GC51">
        <v>315.328</v>
      </c>
      <c r="GD51">
        <v>28.3522</v>
      </c>
      <c r="GE51">
        <v>36.9844</v>
      </c>
      <c r="GF51">
        <v>30.0002</v>
      </c>
      <c r="GG51">
        <v>36.8036</v>
      </c>
      <c r="GH51">
        <v>36.776</v>
      </c>
      <c r="GI51">
        <v>-1</v>
      </c>
      <c r="GJ51">
        <v>100</v>
      </c>
      <c r="GK51">
        <v>0</v>
      </c>
      <c r="GL51">
        <v>28.3562</v>
      </c>
      <c r="GM51">
        <v>1200</v>
      </c>
      <c r="GN51">
        <v>19.4378</v>
      </c>
      <c r="GO51">
        <v>101.35</v>
      </c>
      <c r="GP51">
        <v>96.2837</v>
      </c>
    </row>
    <row r="52" spans="1:198">
      <c r="A52">
        <v>36</v>
      </c>
      <c r="B52">
        <v>1773198200.1</v>
      </c>
      <c r="C52">
        <v>2100.099999904633</v>
      </c>
      <c r="D52" t="s">
        <v>405</v>
      </c>
      <c r="E52" t="s">
        <v>406</v>
      </c>
      <c r="F52">
        <v>15</v>
      </c>
      <c r="G52">
        <v>1773198192.099999</v>
      </c>
      <c r="H52">
        <f>(I52)/1000</f>
        <v>0</v>
      </c>
      <c r="I52">
        <f>1000*AY52*AG52*(AU52-AV52)/(100*AN52*(1000-AG52*AU52))</f>
        <v>0</v>
      </c>
      <c r="J52">
        <f>AY52*AG52*(AT52-AS52*(1000-AG52*AV52)/(1000-AG52*AU52))/(100*AN52)</f>
        <v>0</v>
      </c>
      <c r="K52">
        <f>AS52 - IF(AG52&gt;1, J52*AN52*100.0/(AI52), 0)</f>
        <v>0</v>
      </c>
      <c r="L52">
        <f>((R52-H52/2)*K52-J52)/(R52+H52/2)</f>
        <v>0</v>
      </c>
      <c r="M52">
        <f>L52*(AZ52+BA52)/1000.0</f>
        <v>0</v>
      </c>
      <c r="N52">
        <f>(AS52 - IF(AG52&gt;1, J52*AN52*100.0/(AI52), 0))*(AZ52+BA52)/1000.0</f>
        <v>0</v>
      </c>
      <c r="O52">
        <f>2.0/((1/Q52-1/P52)+SIGN(Q52)*SQRT((1/Q52-1/P52)*(1/Q52-1/P52) + 4*AO52/((AO52+1)*(AO52+1))*(2*1/Q52*1/P52-1/P52*1/P52)))</f>
        <v>0</v>
      </c>
      <c r="P52">
        <f>IF(LEFT(AP52,1)&lt;&gt;"0",IF(LEFT(AP52,1)="1",3.0,AQ52),$D$5+$E$5*(BG52*AZ52/($K$5*1000))+$F$5*(BG52*AZ52/($K$5*1000))*MAX(MIN(AN52,$J$5),$I$5)*MAX(MIN(AN52,$J$5),$I$5)+$G$5*MAX(MIN(AN52,$J$5),$I$5)*(BG52*AZ52/($K$5*1000))+$H$5*(BG52*AZ52/($K$5*1000))*(BG52*AZ52/($K$5*1000)))</f>
        <v>0</v>
      </c>
      <c r="Q52">
        <f>H52*(1000-(1000*0.61365*exp(17.502*U52/(240.97+U52))/(AZ52+BA52)+AU52)/2)/(1000*0.61365*exp(17.502*U52/(240.97+U52))/(AZ52+BA52)-AU52)</f>
        <v>0</v>
      </c>
      <c r="R52">
        <f>1/((AO52+1)/(O52/1.6)+1/(P52/1.37)) + AO52/((AO52+1)/(O52/1.6) + AO52/(P52/1.37))</f>
        <v>0</v>
      </c>
      <c r="S52">
        <f>(AJ52*AM52)</f>
        <v>0</v>
      </c>
      <c r="T52">
        <f>(BB52+(S52+2*0.95*5.67E-8*(((BB52+$B$7)+273)^4-(BB52+273)^4)-44100*H52)/(1.84*29.3*P52+8*0.95*5.67E-8*(BB52+273)^3))</f>
        <v>0</v>
      </c>
      <c r="U52">
        <f>($C$7*BC52+$D$7*BD52+$E$7*T52)</f>
        <v>0</v>
      </c>
      <c r="V52">
        <f>0.61365*exp(17.502*U52/(240.97+U52))</f>
        <v>0</v>
      </c>
      <c r="W52">
        <f>(X52/Y52*100)</f>
        <v>0</v>
      </c>
      <c r="X52">
        <f>AU52*(AZ52+BA52)/1000</f>
        <v>0</v>
      </c>
      <c r="Y52">
        <f>0.61365*exp(17.502*BB52/(240.97+BB52))</f>
        <v>0</v>
      </c>
      <c r="Z52">
        <f>(V52-AU52*(AZ52+BA52)/1000)</f>
        <v>0</v>
      </c>
      <c r="AA52">
        <f>(-H52*44100)</f>
        <v>0</v>
      </c>
      <c r="AB52">
        <f>2*29.3*P52*0.92*(BB52-U52)</f>
        <v>0</v>
      </c>
      <c r="AC52">
        <f>2*0.95*5.67E-8*(((BB52+$B$7)+273)^4-(U52+273)^4)</f>
        <v>0</v>
      </c>
      <c r="AD52">
        <f>S52+AC52+AA52+AB52</f>
        <v>0</v>
      </c>
      <c r="AE52">
        <v>0</v>
      </c>
      <c r="AF52">
        <v>0</v>
      </c>
      <c r="AG52">
        <f>IF(AE52*$H$13&gt;=AI52,1.0,(AI52/(AI52-AE52*$H$13)))</f>
        <v>0</v>
      </c>
      <c r="AH52">
        <f>(AG52-1)*100</f>
        <v>0</v>
      </c>
      <c r="AI52">
        <f>MAX(0,($B$13+$C$13*BG52)/(1+$D$13*BG52)*AZ52/(BB52+273)*$E$13)</f>
        <v>0</v>
      </c>
      <c r="AJ52">
        <f>$B$11*BH52+$C$11*BI52+$D$11*BT52</f>
        <v>0</v>
      </c>
      <c r="AK52">
        <f>AJ52*AL52</f>
        <v>0</v>
      </c>
      <c r="AL52">
        <f>($B$11*$D$9+$C$11*$D$9+$D$11*(BU52*$E$9+BV52*$G$9))/($B$11+$C$11+$D$11)</f>
        <v>0</v>
      </c>
      <c r="AM52">
        <f>($B$11*$K$9+$C$11*$K$9+$D$11*(BU52*$L$9+BV52*$N$9))/($B$11+$C$11+$D$11)</f>
        <v>0</v>
      </c>
      <c r="AN52">
        <v>3</v>
      </c>
      <c r="AO52">
        <v>0.5</v>
      </c>
      <c r="AP52" t="s">
        <v>331</v>
      </c>
      <c r="AQ52">
        <v>2</v>
      </c>
      <c r="AR52">
        <v>1773198192.099999</v>
      </c>
      <c r="AS52">
        <v>435.3147741935484</v>
      </c>
      <c r="AT52">
        <v>433.3555806451613</v>
      </c>
      <c r="AU52">
        <v>9.07495322580645</v>
      </c>
      <c r="AV52">
        <v>7.659108709677418</v>
      </c>
      <c r="AW52">
        <v>429.0834516129032</v>
      </c>
      <c r="AX52">
        <v>8.994362903225806</v>
      </c>
      <c r="AY52">
        <v>499.9876774193548</v>
      </c>
      <c r="AZ52">
        <v>100.2419032258064</v>
      </c>
      <c r="BA52">
        <v>0.04611639677419355</v>
      </c>
      <c r="BB52">
        <v>30.79239032258065</v>
      </c>
      <c r="BC52">
        <v>30.41911290322581</v>
      </c>
      <c r="BD52">
        <v>999.9000000000003</v>
      </c>
      <c r="BE52">
        <v>0</v>
      </c>
      <c r="BF52">
        <v>0</v>
      </c>
      <c r="BG52">
        <v>5000.725806451613</v>
      </c>
      <c r="BH52">
        <v>1.533554193548387</v>
      </c>
      <c r="BI52">
        <v>1987.83064516129</v>
      </c>
      <c r="BJ52">
        <v>1.959193548387097</v>
      </c>
      <c r="BK52">
        <v>439.3014193548387</v>
      </c>
      <c r="BL52">
        <v>436.7003548387097</v>
      </c>
      <c r="BM52">
        <v>1.415843548387097</v>
      </c>
      <c r="BN52">
        <v>433.3555806451613</v>
      </c>
      <c r="BO52">
        <v>7.659108709677418</v>
      </c>
      <c r="BP52">
        <v>0.9096903548387096</v>
      </c>
      <c r="BQ52">
        <v>0.7677634516129033</v>
      </c>
      <c r="BR52">
        <v>5.544945483870968</v>
      </c>
      <c r="BS52">
        <v>3.124828064516129</v>
      </c>
      <c r="BT52">
        <v>0</v>
      </c>
      <c r="BU52">
        <v>0</v>
      </c>
      <c r="BV52">
        <v>0</v>
      </c>
      <c r="BW52">
        <v>36</v>
      </c>
      <c r="BX52">
        <v>52.00214838709677</v>
      </c>
      <c r="BY52">
        <v>1773196010</v>
      </c>
      <c r="BZ52" t="s">
        <v>332</v>
      </c>
      <c r="CA52">
        <v>1773196010</v>
      </c>
      <c r="CB52">
        <v>1773196005.5</v>
      </c>
      <c r="CC52">
        <v>2</v>
      </c>
      <c r="CD52">
        <v>-0.279</v>
      </c>
      <c r="CE52">
        <v>-0.021</v>
      </c>
      <c r="CF52">
        <v>6.231</v>
      </c>
      <c r="CG52">
        <v>0.081</v>
      </c>
      <c r="CH52">
        <v>432</v>
      </c>
      <c r="CI52">
        <v>21</v>
      </c>
      <c r="CJ52">
        <v>0.03</v>
      </c>
      <c r="CK52">
        <v>0.06</v>
      </c>
      <c r="CL52">
        <v>433.3555806451613</v>
      </c>
      <c r="CM52">
        <v>-0.3056129032265475</v>
      </c>
      <c r="CN52">
        <v>0.05004821816528131</v>
      </c>
      <c r="CO52">
        <v>-1</v>
      </c>
      <c r="CP52">
        <v>499.9876774193548</v>
      </c>
      <c r="CQ52">
        <v>0.02061290322442162</v>
      </c>
      <c r="CR52">
        <v>0.03904124130163358</v>
      </c>
      <c r="CS52">
        <v>-1</v>
      </c>
      <c r="CT52">
        <v>0</v>
      </c>
      <c r="CU52">
        <v>0</v>
      </c>
      <c r="CV52" t="s">
        <v>333</v>
      </c>
      <c r="CW52">
        <v>3.16996</v>
      </c>
      <c r="CX52">
        <v>2.66749</v>
      </c>
      <c r="CY52">
        <v>0.101692</v>
      </c>
      <c r="CZ52">
        <v>0.102495</v>
      </c>
      <c r="DA52">
        <v>0.0540415</v>
      </c>
      <c r="DB52">
        <v>0.0473059</v>
      </c>
      <c r="DC52">
        <v>21331.7</v>
      </c>
      <c r="DD52">
        <v>21853.8</v>
      </c>
      <c r="DE52">
        <v>22891.7</v>
      </c>
      <c r="DF52">
        <v>22291</v>
      </c>
      <c r="DG52">
        <v>32741</v>
      </c>
      <c r="DH52">
        <v>29920.5</v>
      </c>
      <c r="DI52">
        <v>40282</v>
      </c>
      <c r="DJ52">
        <v>36875</v>
      </c>
      <c r="DK52">
        <v>2.03482</v>
      </c>
      <c r="DL52">
        <v>1.55974</v>
      </c>
      <c r="DM52">
        <v>-0.0821054</v>
      </c>
      <c r="DN52">
        <v>0</v>
      </c>
      <c r="DO52">
        <v>31.7626</v>
      </c>
      <c r="DP52">
        <v>999.9</v>
      </c>
      <c r="DQ52">
        <v>36.7</v>
      </c>
      <c r="DR52">
        <v>37.4</v>
      </c>
      <c r="DS52">
        <v>23.5922</v>
      </c>
      <c r="DT52">
        <v>30.0755</v>
      </c>
      <c r="DU52">
        <v>12.7003</v>
      </c>
      <c r="DV52">
        <v>1</v>
      </c>
      <c r="DW52">
        <v>0.806311</v>
      </c>
      <c r="DX52">
        <v>2.8586</v>
      </c>
      <c r="DY52">
        <v>20.3321</v>
      </c>
      <c r="DZ52">
        <v>5.20938</v>
      </c>
      <c r="EA52">
        <v>11.8542</v>
      </c>
      <c r="EB52">
        <v>4.96744</v>
      </c>
      <c r="EC52">
        <v>3.293</v>
      </c>
      <c r="ED52">
        <v>879.4</v>
      </c>
      <c r="EE52">
        <v>9999</v>
      </c>
      <c r="EF52">
        <v>9999</v>
      </c>
      <c r="EG52">
        <v>76.59999999999999</v>
      </c>
      <c r="EH52">
        <v>4.97162</v>
      </c>
      <c r="EI52">
        <v>1.8721</v>
      </c>
      <c r="EJ52">
        <v>1.86939</v>
      </c>
      <c r="EK52">
        <v>1.87176</v>
      </c>
      <c r="EL52">
        <v>1.86951</v>
      </c>
      <c r="EM52">
        <v>1.86834</v>
      </c>
      <c r="EN52">
        <v>1.87016</v>
      </c>
      <c r="EO52">
        <v>1.87195</v>
      </c>
      <c r="EP52">
        <v>0</v>
      </c>
      <c r="EQ52">
        <v>0</v>
      </c>
      <c r="ER52">
        <v>0</v>
      </c>
      <c r="ES52">
        <v>0</v>
      </c>
      <c r="ET52" t="s">
        <v>334</v>
      </c>
      <c r="EU52" t="s">
        <v>335</v>
      </c>
      <c r="EV52" t="s">
        <v>336</v>
      </c>
      <c r="EW52" t="s">
        <v>336</v>
      </c>
      <c r="EX52" t="s">
        <v>336</v>
      </c>
      <c r="EY52" t="s">
        <v>336</v>
      </c>
      <c r="EZ52">
        <v>0</v>
      </c>
      <c r="FA52">
        <v>100</v>
      </c>
      <c r="FB52">
        <v>100</v>
      </c>
      <c r="FC52">
        <v>6.232</v>
      </c>
      <c r="FD52">
        <v>0.0806</v>
      </c>
      <c r="FE52">
        <v>6.23135000000002</v>
      </c>
      <c r="FF52">
        <v>0</v>
      </c>
      <c r="FG52">
        <v>0</v>
      </c>
      <c r="FH52">
        <v>0</v>
      </c>
      <c r="FI52">
        <v>0.08059047619047632</v>
      </c>
      <c r="FJ52">
        <v>0</v>
      </c>
      <c r="FK52">
        <v>0</v>
      </c>
      <c r="FL52">
        <v>0</v>
      </c>
      <c r="FM52">
        <v>-1</v>
      </c>
      <c r="FN52">
        <v>-1</v>
      </c>
      <c r="FO52">
        <v>-1</v>
      </c>
      <c r="FP52">
        <v>-1</v>
      </c>
      <c r="FQ52">
        <v>36.5</v>
      </c>
      <c r="FR52">
        <v>36.6</v>
      </c>
      <c r="FS52">
        <v>0.144043</v>
      </c>
      <c r="FT52">
        <v>4.99756</v>
      </c>
      <c r="FU52">
        <v>1.5979</v>
      </c>
      <c r="FV52">
        <v>2.13135</v>
      </c>
      <c r="FW52">
        <v>1.54785</v>
      </c>
      <c r="FX52">
        <v>2.46094</v>
      </c>
      <c r="FY52">
        <v>43.5354</v>
      </c>
      <c r="FZ52">
        <v>16.0583</v>
      </c>
      <c r="GA52">
        <v>3</v>
      </c>
      <c r="GB52">
        <v>518.7430000000001</v>
      </c>
      <c r="GC52">
        <v>315.381</v>
      </c>
      <c r="GD52">
        <v>28.455</v>
      </c>
      <c r="GE52">
        <v>36.9976</v>
      </c>
      <c r="GF52">
        <v>30.0002</v>
      </c>
      <c r="GG52">
        <v>36.8336</v>
      </c>
      <c r="GH52">
        <v>36.8112</v>
      </c>
      <c r="GI52">
        <v>-1</v>
      </c>
      <c r="GJ52">
        <v>100</v>
      </c>
      <c r="GK52">
        <v>0</v>
      </c>
      <c r="GL52">
        <v>28.4529</v>
      </c>
      <c r="GM52">
        <v>1200</v>
      </c>
      <c r="GN52">
        <v>19.4378</v>
      </c>
      <c r="GO52">
        <v>101.35</v>
      </c>
      <c r="GP52">
        <v>96.2863</v>
      </c>
    </row>
    <row r="53" spans="1:198">
      <c r="A53">
        <v>37</v>
      </c>
      <c r="B53">
        <v>1773198260.1</v>
      </c>
      <c r="C53">
        <v>2160.099999904633</v>
      </c>
      <c r="D53" t="s">
        <v>407</v>
      </c>
      <c r="E53" t="s">
        <v>408</v>
      </c>
      <c r="F53">
        <v>15</v>
      </c>
      <c r="G53">
        <v>1773198252.099999</v>
      </c>
      <c r="H53">
        <f>(I53)/1000</f>
        <v>0</v>
      </c>
      <c r="I53">
        <f>1000*AY53*AG53*(AU53-AV53)/(100*AN53*(1000-AG53*AU53))</f>
        <v>0</v>
      </c>
      <c r="J53">
        <f>AY53*AG53*(AT53-AS53*(1000-AG53*AV53)/(1000-AG53*AU53))/(100*AN53)</f>
        <v>0</v>
      </c>
      <c r="K53">
        <f>AS53 - IF(AG53&gt;1, J53*AN53*100.0/(AI53), 0)</f>
        <v>0</v>
      </c>
      <c r="L53">
        <f>((R53-H53/2)*K53-J53)/(R53+H53/2)</f>
        <v>0</v>
      </c>
      <c r="M53">
        <f>L53*(AZ53+BA53)/1000.0</f>
        <v>0</v>
      </c>
      <c r="N53">
        <f>(AS53 - IF(AG53&gt;1, J53*AN53*100.0/(AI53), 0))*(AZ53+BA53)/1000.0</f>
        <v>0</v>
      </c>
      <c r="O53">
        <f>2.0/((1/Q53-1/P53)+SIGN(Q53)*SQRT((1/Q53-1/P53)*(1/Q53-1/P53) + 4*AO53/((AO53+1)*(AO53+1))*(2*1/Q53*1/P53-1/P53*1/P53)))</f>
        <v>0</v>
      </c>
      <c r="P53">
        <f>IF(LEFT(AP53,1)&lt;&gt;"0",IF(LEFT(AP53,1)="1",3.0,AQ53),$D$5+$E$5*(BG53*AZ53/($K$5*1000))+$F$5*(BG53*AZ53/($K$5*1000))*MAX(MIN(AN53,$J$5),$I$5)*MAX(MIN(AN53,$J$5),$I$5)+$G$5*MAX(MIN(AN53,$J$5),$I$5)*(BG53*AZ53/($K$5*1000))+$H$5*(BG53*AZ53/($K$5*1000))*(BG53*AZ53/($K$5*1000)))</f>
        <v>0</v>
      </c>
      <c r="Q53">
        <f>H53*(1000-(1000*0.61365*exp(17.502*U53/(240.97+U53))/(AZ53+BA53)+AU53)/2)/(1000*0.61365*exp(17.502*U53/(240.97+U53))/(AZ53+BA53)-AU53)</f>
        <v>0</v>
      </c>
      <c r="R53">
        <f>1/((AO53+1)/(O53/1.6)+1/(P53/1.37)) + AO53/((AO53+1)/(O53/1.6) + AO53/(P53/1.37))</f>
        <v>0</v>
      </c>
      <c r="S53">
        <f>(AJ53*AM53)</f>
        <v>0</v>
      </c>
      <c r="T53">
        <f>(BB53+(S53+2*0.95*5.67E-8*(((BB53+$B$7)+273)^4-(BB53+273)^4)-44100*H53)/(1.84*29.3*P53+8*0.95*5.67E-8*(BB53+273)^3))</f>
        <v>0</v>
      </c>
      <c r="U53">
        <f>($C$7*BC53+$D$7*BD53+$E$7*T53)</f>
        <v>0</v>
      </c>
      <c r="V53">
        <f>0.61365*exp(17.502*U53/(240.97+U53))</f>
        <v>0</v>
      </c>
      <c r="W53">
        <f>(X53/Y53*100)</f>
        <v>0</v>
      </c>
      <c r="X53">
        <f>AU53*(AZ53+BA53)/1000</f>
        <v>0</v>
      </c>
      <c r="Y53">
        <f>0.61365*exp(17.502*BB53/(240.97+BB53))</f>
        <v>0</v>
      </c>
      <c r="Z53">
        <f>(V53-AU53*(AZ53+BA53)/1000)</f>
        <v>0</v>
      </c>
      <c r="AA53">
        <f>(-H53*44100)</f>
        <v>0</v>
      </c>
      <c r="AB53">
        <f>2*29.3*P53*0.92*(BB53-U53)</f>
        <v>0</v>
      </c>
      <c r="AC53">
        <f>2*0.95*5.67E-8*(((BB53+$B$7)+273)^4-(U53+273)^4)</f>
        <v>0</v>
      </c>
      <c r="AD53">
        <f>S53+AC53+AA53+AB53</f>
        <v>0</v>
      </c>
      <c r="AE53">
        <v>0</v>
      </c>
      <c r="AF53">
        <v>0</v>
      </c>
      <c r="AG53">
        <f>IF(AE53*$H$13&gt;=AI53,1.0,(AI53/(AI53-AE53*$H$13)))</f>
        <v>0</v>
      </c>
      <c r="AH53">
        <f>(AG53-1)*100</f>
        <v>0</v>
      </c>
      <c r="AI53">
        <f>MAX(0,($B$13+$C$13*BG53)/(1+$D$13*BG53)*AZ53/(BB53+273)*$E$13)</f>
        <v>0</v>
      </c>
      <c r="AJ53">
        <f>$B$11*BH53+$C$11*BI53+$D$11*BT53</f>
        <v>0</v>
      </c>
      <c r="AK53">
        <f>AJ53*AL53</f>
        <v>0</v>
      </c>
      <c r="AL53">
        <f>($B$11*$D$9+$C$11*$D$9+$D$11*(BU53*$E$9+BV53*$G$9))/($B$11+$C$11+$D$11)</f>
        <v>0</v>
      </c>
      <c r="AM53">
        <f>($B$11*$K$9+$C$11*$K$9+$D$11*(BU53*$L$9+BV53*$N$9))/($B$11+$C$11+$D$11)</f>
        <v>0</v>
      </c>
      <c r="AN53">
        <v>3</v>
      </c>
      <c r="AO53">
        <v>0.5</v>
      </c>
      <c r="AP53" t="s">
        <v>331</v>
      </c>
      <c r="AQ53">
        <v>2</v>
      </c>
      <c r="AR53">
        <v>1773198252.099999</v>
      </c>
      <c r="AS53">
        <v>435.4305161290322</v>
      </c>
      <c r="AT53">
        <v>433.3898387096774</v>
      </c>
      <c r="AU53">
        <v>9.257006129032259</v>
      </c>
      <c r="AV53">
        <v>7.872181935483871</v>
      </c>
      <c r="AW53">
        <v>429.1992903225806</v>
      </c>
      <c r="AX53">
        <v>9.176416129032255</v>
      </c>
      <c r="AY53">
        <v>499.9949354838711</v>
      </c>
      <c r="AZ53">
        <v>100.2410967741936</v>
      </c>
      <c r="BA53">
        <v>0.04625990000000001</v>
      </c>
      <c r="BB53">
        <v>30.80488709677419</v>
      </c>
      <c r="BC53">
        <v>30.4533064516129</v>
      </c>
      <c r="BD53">
        <v>999.9000000000003</v>
      </c>
      <c r="BE53">
        <v>0</v>
      </c>
      <c r="BF53">
        <v>0</v>
      </c>
      <c r="BG53">
        <v>4995.403225806452</v>
      </c>
      <c r="BH53">
        <v>1.56629</v>
      </c>
      <c r="BI53">
        <v>2011.466129032258</v>
      </c>
      <c r="BJ53">
        <v>2.040786774193548</v>
      </c>
      <c r="BK53">
        <v>439.4990322580646</v>
      </c>
      <c r="BL53">
        <v>436.8285161290323</v>
      </c>
      <c r="BM53">
        <v>1.384824838709677</v>
      </c>
      <c r="BN53">
        <v>433.3898387096774</v>
      </c>
      <c r="BO53">
        <v>7.872181935483871</v>
      </c>
      <c r="BP53">
        <v>0.9279333225806453</v>
      </c>
      <c r="BQ53">
        <v>0.7891168709677419</v>
      </c>
      <c r="BR53">
        <v>5.83137741935484</v>
      </c>
      <c r="BS53">
        <v>3.512995483870968</v>
      </c>
      <c r="BT53">
        <v>0</v>
      </c>
      <c r="BU53">
        <v>0</v>
      </c>
      <c r="BV53">
        <v>0</v>
      </c>
      <c r="BW53">
        <v>36</v>
      </c>
      <c r="BX53">
        <v>52.5215064516129</v>
      </c>
      <c r="BY53">
        <v>1773196010</v>
      </c>
      <c r="BZ53" t="s">
        <v>332</v>
      </c>
      <c r="CA53">
        <v>1773196010</v>
      </c>
      <c r="CB53">
        <v>1773196005.5</v>
      </c>
      <c r="CC53">
        <v>2</v>
      </c>
      <c r="CD53">
        <v>-0.279</v>
      </c>
      <c r="CE53">
        <v>-0.021</v>
      </c>
      <c r="CF53">
        <v>6.231</v>
      </c>
      <c r="CG53">
        <v>0.081</v>
      </c>
      <c r="CH53">
        <v>432</v>
      </c>
      <c r="CI53">
        <v>21</v>
      </c>
      <c r="CJ53">
        <v>0.03</v>
      </c>
      <c r="CK53">
        <v>0.06</v>
      </c>
      <c r="CL53">
        <v>433.3898387096774</v>
      </c>
      <c r="CM53">
        <v>0.1229999999993786</v>
      </c>
      <c r="CN53">
        <v>0.01702767533656408</v>
      </c>
      <c r="CO53">
        <v>-1</v>
      </c>
      <c r="CP53">
        <v>499.9949354838711</v>
      </c>
      <c r="CQ53">
        <v>-0.0819677419371594</v>
      </c>
      <c r="CR53">
        <v>0.04606932747982795</v>
      </c>
      <c r="CS53">
        <v>-1</v>
      </c>
      <c r="CT53">
        <v>0</v>
      </c>
      <c r="CU53">
        <v>0</v>
      </c>
      <c r="CV53" t="s">
        <v>333</v>
      </c>
      <c r="CW53">
        <v>3.16986</v>
      </c>
      <c r="CX53">
        <v>2.66778</v>
      </c>
      <c r="CY53">
        <v>0.101692</v>
      </c>
      <c r="CZ53">
        <v>0.102481</v>
      </c>
      <c r="DA53">
        <v>0.0549027</v>
      </c>
      <c r="DB53">
        <v>0.0483671</v>
      </c>
      <c r="DC53">
        <v>21329.1</v>
      </c>
      <c r="DD53">
        <v>21852.6</v>
      </c>
      <c r="DE53">
        <v>22889</v>
      </c>
      <c r="DF53">
        <v>22289.6</v>
      </c>
      <c r="DG53">
        <v>32707.4</v>
      </c>
      <c r="DH53">
        <v>29885</v>
      </c>
      <c r="DI53">
        <v>40277.4</v>
      </c>
      <c r="DJ53">
        <v>36872.4</v>
      </c>
      <c r="DK53">
        <v>2.0343</v>
      </c>
      <c r="DL53">
        <v>1.55822</v>
      </c>
      <c r="DM53">
        <v>-0.0826865</v>
      </c>
      <c r="DN53">
        <v>0</v>
      </c>
      <c r="DO53">
        <v>31.8007</v>
      </c>
      <c r="DP53">
        <v>999.9</v>
      </c>
      <c r="DQ53">
        <v>36.3</v>
      </c>
      <c r="DR53">
        <v>37.7</v>
      </c>
      <c r="DS53">
        <v>23.7177</v>
      </c>
      <c r="DT53">
        <v>29.9555</v>
      </c>
      <c r="DU53">
        <v>12.8566</v>
      </c>
      <c r="DV53">
        <v>1</v>
      </c>
      <c r="DW53">
        <v>0.8114</v>
      </c>
      <c r="DX53">
        <v>3.02951</v>
      </c>
      <c r="DY53">
        <v>20.3287</v>
      </c>
      <c r="DZ53">
        <v>5.21022</v>
      </c>
      <c r="EA53">
        <v>11.8542</v>
      </c>
      <c r="EB53">
        <v>4.96744</v>
      </c>
      <c r="EC53">
        <v>3.293</v>
      </c>
      <c r="ED53">
        <v>879.4</v>
      </c>
      <c r="EE53">
        <v>9999</v>
      </c>
      <c r="EF53">
        <v>9999</v>
      </c>
      <c r="EG53">
        <v>76.59999999999999</v>
      </c>
      <c r="EH53">
        <v>4.97158</v>
      </c>
      <c r="EI53">
        <v>1.8721</v>
      </c>
      <c r="EJ53">
        <v>1.86939</v>
      </c>
      <c r="EK53">
        <v>1.87176</v>
      </c>
      <c r="EL53">
        <v>1.86951</v>
      </c>
      <c r="EM53">
        <v>1.86834</v>
      </c>
      <c r="EN53">
        <v>1.87018</v>
      </c>
      <c r="EO53">
        <v>1.87195</v>
      </c>
      <c r="EP53">
        <v>0</v>
      </c>
      <c r="EQ53">
        <v>0</v>
      </c>
      <c r="ER53">
        <v>0</v>
      </c>
      <c r="ES53">
        <v>0</v>
      </c>
      <c r="ET53" t="s">
        <v>334</v>
      </c>
      <c r="EU53" t="s">
        <v>335</v>
      </c>
      <c r="EV53" t="s">
        <v>336</v>
      </c>
      <c r="EW53" t="s">
        <v>336</v>
      </c>
      <c r="EX53" t="s">
        <v>336</v>
      </c>
      <c r="EY53" t="s">
        <v>336</v>
      </c>
      <c r="EZ53">
        <v>0</v>
      </c>
      <c r="FA53">
        <v>100</v>
      </c>
      <c r="FB53">
        <v>100</v>
      </c>
      <c r="FC53">
        <v>6.231</v>
      </c>
      <c r="FD53">
        <v>0.0806</v>
      </c>
      <c r="FE53">
        <v>6.23135000000002</v>
      </c>
      <c r="FF53">
        <v>0</v>
      </c>
      <c r="FG53">
        <v>0</v>
      </c>
      <c r="FH53">
        <v>0</v>
      </c>
      <c r="FI53">
        <v>0.08059047619047632</v>
      </c>
      <c r="FJ53">
        <v>0</v>
      </c>
      <c r="FK53">
        <v>0</v>
      </c>
      <c r="FL53">
        <v>0</v>
      </c>
      <c r="FM53">
        <v>-1</v>
      </c>
      <c r="FN53">
        <v>-1</v>
      </c>
      <c r="FO53">
        <v>-1</v>
      </c>
      <c r="FP53">
        <v>-1</v>
      </c>
      <c r="FQ53">
        <v>37.5</v>
      </c>
      <c r="FR53">
        <v>37.6</v>
      </c>
      <c r="FS53">
        <v>0.144043</v>
      </c>
      <c r="FT53">
        <v>4.99756</v>
      </c>
      <c r="FU53">
        <v>1.5979</v>
      </c>
      <c r="FV53">
        <v>2.13013</v>
      </c>
      <c r="FW53">
        <v>1.54785</v>
      </c>
      <c r="FX53">
        <v>2.44995</v>
      </c>
      <c r="FY53">
        <v>43.7269</v>
      </c>
      <c r="FZ53">
        <v>16.0496</v>
      </c>
      <c r="GA53">
        <v>3</v>
      </c>
      <c r="GB53">
        <v>518.797</v>
      </c>
      <c r="GC53">
        <v>314.881</v>
      </c>
      <c r="GD53">
        <v>28.356</v>
      </c>
      <c r="GE53">
        <v>37.0401</v>
      </c>
      <c r="GF53">
        <v>30.0005</v>
      </c>
      <c r="GG53">
        <v>36.8865</v>
      </c>
      <c r="GH53">
        <v>36.8696</v>
      </c>
      <c r="GI53">
        <v>-1</v>
      </c>
      <c r="GJ53">
        <v>100</v>
      </c>
      <c r="GK53">
        <v>0</v>
      </c>
      <c r="GL53">
        <v>28.3525</v>
      </c>
      <c r="GM53">
        <v>1200</v>
      </c>
      <c r="GN53">
        <v>19.4378</v>
      </c>
      <c r="GO53">
        <v>101.338</v>
      </c>
      <c r="GP53">
        <v>96.2799</v>
      </c>
    </row>
    <row r="54" spans="1:198">
      <c r="A54">
        <v>38</v>
      </c>
      <c r="B54">
        <v>1773198320.1</v>
      </c>
      <c r="C54">
        <v>2220.099999904633</v>
      </c>
      <c r="D54" t="s">
        <v>409</v>
      </c>
      <c r="E54" t="s">
        <v>410</v>
      </c>
      <c r="F54">
        <v>15</v>
      </c>
      <c r="G54">
        <v>1773198312.099999</v>
      </c>
      <c r="H54">
        <f>(I54)/1000</f>
        <v>0</v>
      </c>
      <c r="I54">
        <f>1000*AY54*AG54*(AU54-AV54)/(100*AN54*(1000-AG54*AU54))</f>
        <v>0</v>
      </c>
      <c r="J54">
        <f>AY54*AG54*(AT54-AS54*(1000-AG54*AV54)/(1000-AG54*AU54))/(100*AN54)</f>
        <v>0</v>
      </c>
      <c r="K54">
        <f>AS54 - IF(AG54&gt;1, J54*AN54*100.0/(AI54), 0)</f>
        <v>0</v>
      </c>
      <c r="L54">
        <f>((R54-H54/2)*K54-J54)/(R54+H54/2)</f>
        <v>0</v>
      </c>
      <c r="M54">
        <f>L54*(AZ54+BA54)/1000.0</f>
        <v>0</v>
      </c>
      <c r="N54">
        <f>(AS54 - IF(AG54&gt;1, J54*AN54*100.0/(AI54), 0))*(AZ54+BA54)/1000.0</f>
        <v>0</v>
      </c>
      <c r="O54">
        <f>2.0/((1/Q54-1/P54)+SIGN(Q54)*SQRT((1/Q54-1/P54)*(1/Q54-1/P54) + 4*AO54/((AO54+1)*(AO54+1))*(2*1/Q54*1/P54-1/P54*1/P54)))</f>
        <v>0</v>
      </c>
      <c r="P54">
        <f>IF(LEFT(AP54,1)&lt;&gt;"0",IF(LEFT(AP54,1)="1",3.0,AQ54),$D$5+$E$5*(BG54*AZ54/($K$5*1000))+$F$5*(BG54*AZ54/($K$5*1000))*MAX(MIN(AN54,$J$5),$I$5)*MAX(MIN(AN54,$J$5),$I$5)+$G$5*MAX(MIN(AN54,$J$5),$I$5)*(BG54*AZ54/($K$5*1000))+$H$5*(BG54*AZ54/($K$5*1000))*(BG54*AZ54/($K$5*1000)))</f>
        <v>0</v>
      </c>
      <c r="Q54">
        <f>H54*(1000-(1000*0.61365*exp(17.502*U54/(240.97+U54))/(AZ54+BA54)+AU54)/2)/(1000*0.61365*exp(17.502*U54/(240.97+U54))/(AZ54+BA54)-AU54)</f>
        <v>0</v>
      </c>
      <c r="R54">
        <f>1/((AO54+1)/(O54/1.6)+1/(P54/1.37)) + AO54/((AO54+1)/(O54/1.6) + AO54/(P54/1.37))</f>
        <v>0</v>
      </c>
      <c r="S54">
        <f>(AJ54*AM54)</f>
        <v>0</v>
      </c>
      <c r="T54">
        <f>(BB54+(S54+2*0.95*5.67E-8*(((BB54+$B$7)+273)^4-(BB54+273)^4)-44100*H54)/(1.84*29.3*P54+8*0.95*5.67E-8*(BB54+273)^3))</f>
        <v>0</v>
      </c>
      <c r="U54">
        <f>($C$7*BC54+$D$7*BD54+$E$7*T54)</f>
        <v>0</v>
      </c>
      <c r="V54">
        <f>0.61365*exp(17.502*U54/(240.97+U54))</f>
        <v>0</v>
      </c>
      <c r="W54">
        <f>(X54/Y54*100)</f>
        <v>0</v>
      </c>
      <c r="X54">
        <f>AU54*(AZ54+BA54)/1000</f>
        <v>0</v>
      </c>
      <c r="Y54">
        <f>0.61365*exp(17.502*BB54/(240.97+BB54))</f>
        <v>0</v>
      </c>
      <c r="Z54">
        <f>(V54-AU54*(AZ54+BA54)/1000)</f>
        <v>0</v>
      </c>
      <c r="AA54">
        <f>(-H54*44100)</f>
        <v>0</v>
      </c>
      <c r="AB54">
        <f>2*29.3*P54*0.92*(BB54-U54)</f>
        <v>0</v>
      </c>
      <c r="AC54">
        <f>2*0.95*5.67E-8*(((BB54+$B$7)+273)^4-(U54+273)^4)</f>
        <v>0</v>
      </c>
      <c r="AD54">
        <f>S54+AC54+AA54+AB54</f>
        <v>0</v>
      </c>
      <c r="AE54">
        <v>0</v>
      </c>
      <c r="AF54">
        <v>0</v>
      </c>
      <c r="AG54">
        <f>IF(AE54*$H$13&gt;=AI54,1.0,(AI54/(AI54-AE54*$H$13)))</f>
        <v>0</v>
      </c>
      <c r="AH54">
        <f>(AG54-1)*100</f>
        <v>0</v>
      </c>
      <c r="AI54">
        <f>MAX(0,($B$13+$C$13*BG54)/(1+$D$13*BG54)*AZ54/(BB54+273)*$E$13)</f>
        <v>0</v>
      </c>
      <c r="AJ54">
        <f>$B$11*BH54+$C$11*BI54+$D$11*BT54</f>
        <v>0</v>
      </c>
      <c r="AK54">
        <f>AJ54*AL54</f>
        <v>0</v>
      </c>
      <c r="AL54">
        <f>($B$11*$D$9+$C$11*$D$9+$D$11*(BU54*$E$9+BV54*$G$9))/($B$11+$C$11+$D$11)</f>
        <v>0</v>
      </c>
      <c r="AM54">
        <f>($B$11*$K$9+$C$11*$K$9+$D$11*(BU54*$L$9+BV54*$N$9))/($B$11+$C$11+$D$11)</f>
        <v>0</v>
      </c>
      <c r="AN54">
        <v>3</v>
      </c>
      <c r="AO54">
        <v>0.5</v>
      </c>
      <c r="AP54" t="s">
        <v>331</v>
      </c>
      <c r="AQ54">
        <v>2</v>
      </c>
      <c r="AR54">
        <v>1773198312.099999</v>
      </c>
      <c r="AS54">
        <v>435.2865161290323</v>
      </c>
      <c r="AT54">
        <v>433.2290967741936</v>
      </c>
      <c r="AU54">
        <v>9.459682258064515</v>
      </c>
      <c r="AV54">
        <v>8.105489032258063</v>
      </c>
      <c r="AW54">
        <v>429.0550967741935</v>
      </c>
      <c r="AX54">
        <v>9.379091612903226</v>
      </c>
      <c r="AY54">
        <v>499.9847096774193</v>
      </c>
      <c r="AZ54">
        <v>100.2435806451613</v>
      </c>
      <c r="BA54">
        <v>0.04634412258064517</v>
      </c>
      <c r="BB54">
        <v>30.81682258064517</v>
      </c>
      <c r="BC54">
        <v>30.48368709677419</v>
      </c>
      <c r="BD54">
        <v>999.9000000000003</v>
      </c>
      <c r="BE54">
        <v>0</v>
      </c>
      <c r="BF54">
        <v>0</v>
      </c>
      <c r="BG54">
        <v>4993.258064516129</v>
      </c>
      <c r="BH54">
        <v>1.524922903225806</v>
      </c>
      <c r="BI54">
        <v>2015.401612903226</v>
      </c>
      <c r="BJ54">
        <v>2.057375483870968</v>
      </c>
      <c r="BK54">
        <v>439.4434516129033</v>
      </c>
      <c r="BL54">
        <v>436.7693225806451</v>
      </c>
      <c r="BM54">
        <v>1.354193870967742</v>
      </c>
      <c r="BN54">
        <v>433.2290967741936</v>
      </c>
      <c r="BO54">
        <v>8.105489032258063</v>
      </c>
      <c r="BP54">
        <v>0.9482721935483871</v>
      </c>
      <c r="BQ54">
        <v>0.812523</v>
      </c>
      <c r="BR54">
        <v>6.144913548387097</v>
      </c>
      <c r="BS54">
        <v>3.927953225806452</v>
      </c>
      <c r="BT54">
        <v>0</v>
      </c>
      <c r="BU54">
        <v>0</v>
      </c>
      <c r="BV54">
        <v>0</v>
      </c>
      <c r="BW54">
        <v>36</v>
      </c>
      <c r="BX54">
        <v>52.49032258064516</v>
      </c>
      <c r="BY54">
        <v>1773196010</v>
      </c>
      <c r="BZ54" t="s">
        <v>332</v>
      </c>
      <c r="CA54">
        <v>1773196010</v>
      </c>
      <c r="CB54">
        <v>1773196005.5</v>
      </c>
      <c r="CC54">
        <v>2</v>
      </c>
      <c r="CD54">
        <v>-0.279</v>
      </c>
      <c r="CE54">
        <v>-0.021</v>
      </c>
      <c r="CF54">
        <v>6.231</v>
      </c>
      <c r="CG54">
        <v>0.081</v>
      </c>
      <c r="CH54">
        <v>432</v>
      </c>
      <c r="CI54">
        <v>21</v>
      </c>
      <c r="CJ54">
        <v>0.03</v>
      </c>
      <c r="CK54">
        <v>0.06</v>
      </c>
      <c r="CL54">
        <v>433.2279666666666</v>
      </c>
      <c r="CM54">
        <v>0.5756529477194403</v>
      </c>
      <c r="CN54">
        <v>0.0444600819712322</v>
      </c>
      <c r="CO54">
        <v>-1</v>
      </c>
      <c r="CP54">
        <v>499.9863666666667</v>
      </c>
      <c r="CQ54">
        <v>-0.22192658509402</v>
      </c>
      <c r="CR54">
        <v>0.05006827560663861</v>
      </c>
      <c r="CS54">
        <v>-1</v>
      </c>
      <c r="CT54">
        <v>0</v>
      </c>
      <c r="CU54">
        <v>0</v>
      </c>
      <c r="CV54" t="s">
        <v>333</v>
      </c>
      <c r="CW54">
        <v>3.17005</v>
      </c>
      <c r="CX54">
        <v>2.66788</v>
      </c>
      <c r="CY54">
        <v>0.101655</v>
      </c>
      <c r="CZ54">
        <v>0.102443</v>
      </c>
      <c r="DA54">
        <v>0.0558661</v>
      </c>
      <c r="DB54">
        <v>0.049525</v>
      </c>
      <c r="DC54">
        <v>21325.9</v>
      </c>
      <c r="DD54">
        <v>21850.1</v>
      </c>
      <c r="DE54">
        <v>22885</v>
      </c>
      <c r="DF54">
        <v>22286.3</v>
      </c>
      <c r="DG54">
        <v>32668.8</v>
      </c>
      <c r="DH54">
        <v>29843.9</v>
      </c>
      <c r="DI54">
        <v>40271</v>
      </c>
      <c r="DJ54">
        <v>36866.7</v>
      </c>
      <c r="DK54">
        <v>2.03344</v>
      </c>
      <c r="DL54">
        <v>1.55542</v>
      </c>
      <c r="DM54">
        <v>-0.0850707</v>
      </c>
      <c r="DN54">
        <v>0</v>
      </c>
      <c r="DO54">
        <v>31.8642</v>
      </c>
      <c r="DP54">
        <v>999.9</v>
      </c>
      <c r="DQ54">
        <v>35.9</v>
      </c>
      <c r="DR54">
        <v>37.9</v>
      </c>
      <c r="DS54">
        <v>23.7116</v>
      </c>
      <c r="DT54">
        <v>30.2555</v>
      </c>
      <c r="DU54">
        <v>12.8726</v>
      </c>
      <c r="DV54">
        <v>1</v>
      </c>
      <c r="DW54">
        <v>0.8202700000000001</v>
      </c>
      <c r="DX54">
        <v>3.26762</v>
      </c>
      <c r="DY54">
        <v>20.3231</v>
      </c>
      <c r="DZ54">
        <v>5.21034</v>
      </c>
      <c r="EA54">
        <v>11.8542</v>
      </c>
      <c r="EB54">
        <v>4.96756</v>
      </c>
      <c r="EC54">
        <v>3.293</v>
      </c>
      <c r="ED54">
        <v>879.4</v>
      </c>
      <c r="EE54">
        <v>9999</v>
      </c>
      <c r="EF54">
        <v>9999</v>
      </c>
      <c r="EG54">
        <v>76.59999999999999</v>
      </c>
      <c r="EH54">
        <v>4.97157</v>
      </c>
      <c r="EI54">
        <v>1.8721</v>
      </c>
      <c r="EJ54">
        <v>1.86941</v>
      </c>
      <c r="EK54">
        <v>1.87177</v>
      </c>
      <c r="EL54">
        <v>1.86951</v>
      </c>
      <c r="EM54">
        <v>1.86838</v>
      </c>
      <c r="EN54">
        <v>1.87017</v>
      </c>
      <c r="EO54">
        <v>1.87195</v>
      </c>
      <c r="EP54">
        <v>0</v>
      </c>
      <c r="EQ54">
        <v>0</v>
      </c>
      <c r="ER54">
        <v>0</v>
      </c>
      <c r="ES54">
        <v>0</v>
      </c>
      <c r="ET54" t="s">
        <v>334</v>
      </c>
      <c r="EU54" t="s">
        <v>335</v>
      </c>
      <c r="EV54" t="s">
        <v>336</v>
      </c>
      <c r="EW54" t="s">
        <v>336</v>
      </c>
      <c r="EX54" t="s">
        <v>336</v>
      </c>
      <c r="EY54" t="s">
        <v>336</v>
      </c>
      <c r="EZ54">
        <v>0</v>
      </c>
      <c r="FA54">
        <v>100</v>
      </c>
      <c r="FB54">
        <v>100</v>
      </c>
      <c r="FC54">
        <v>6.231</v>
      </c>
      <c r="FD54">
        <v>0.0806</v>
      </c>
      <c r="FE54">
        <v>6.23135000000002</v>
      </c>
      <c r="FF54">
        <v>0</v>
      </c>
      <c r="FG54">
        <v>0</v>
      </c>
      <c r="FH54">
        <v>0</v>
      </c>
      <c r="FI54">
        <v>0.08059047619047632</v>
      </c>
      <c r="FJ54">
        <v>0</v>
      </c>
      <c r="FK54">
        <v>0</v>
      </c>
      <c r="FL54">
        <v>0</v>
      </c>
      <c r="FM54">
        <v>-1</v>
      </c>
      <c r="FN54">
        <v>-1</v>
      </c>
      <c r="FO54">
        <v>-1</v>
      </c>
      <c r="FP54">
        <v>-1</v>
      </c>
      <c r="FQ54">
        <v>38.5</v>
      </c>
      <c r="FR54">
        <v>38.6</v>
      </c>
      <c r="FS54">
        <v>0.144043</v>
      </c>
      <c r="FT54">
        <v>4.99756</v>
      </c>
      <c r="FU54">
        <v>1.5979</v>
      </c>
      <c r="FV54">
        <v>2.13013</v>
      </c>
      <c r="FW54">
        <v>1.54785</v>
      </c>
      <c r="FX54">
        <v>2.45728</v>
      </c>
      <c r="FY54">
        <v>43.9192</v>
      </c>
      <c r="FZ54">
        <v>16.0321</v>
      </c>
      <c r="GA54">
        <v>3</v>
      </c>
      <c r="GB54">
        <v>518.794</v>
      </c>
      <c r="GC54">
        <v>313.829</v>
      </c>
      <c r="GD54">
        <v>28.1844</v>
      </c>
      <c r="GE54">
        <v>37.1124</v>
      </c>
      <c r="GF54">
        <v>30.0009</v>
      </c>
      <c r="GG54">
        <v>36.961</v>
      </c>
      <c r="GH54">
        <v>36.946</v>
      </c>
      <c r="GI54">
        <v>-1</v>
      </c>
      <c r="GJ54">
        <v>100</v>
      </c>
      <c r="GK54">
        <v>0</v>
      </c>
      <c r="GL54">
        <v>28.1738</v>
      </c>
      <c r="GM54">
        <v>1200</v>
      </c>
      <c r="GN54">
        <v>19.4378</v>
      </c>
      <c r="GO54">
        <v>101.321</v>
      </c>
      <c r="GP54">
        <v>96.2651</v>
      </c>
    </row>
    <row r="55" spans="1:198">
      <c r="A55">
        <v>39</v>
      </c>
      <c r="B55">
        <v>1773198380.1</v>
      </c>
      <c r="C55">
        <v>2280.099999904633</v>
      </c>
      <c r="D55" t="s">
        <v>411</v>
      </c>
      <c r="E55" t="s">
        <v>412</v>
      </c>
      <c r="F55">
        <v>15</v>
      </c>
      <c r="G55">
        <v>1773198372.099999</v>
      </c>
      <c r="H55">
        <f>(I55)/1000</f>
        <v>0</v>
      </c>
      <c r="I55">
        <f>1000*AY55*AG55*(AU55-AV55)/(100*AN55*(1000-AG55*AU55))</f>
        <v>0</v>
      </c>
      <c r="J55">
        <f>AY55*AG55*(AT55-AS55*(1000-AG55*AV55)/(1000-AG55*AU55))/(100*AN55)</f>
        <v>0</v>
      </c>
      <c r="K55">
        <f>AS55 - IF(AG55&gt;1, J55*AN55*100.0/(AI55), 0)</f>
        <v>0</v>
      </c>
      <c r="L55">
        <f>((R55-H55/2)*K55-J55)/(R55+H55/2)</f>
        <v>0</v>
      </c>
      <c r="M55">
        <f>L55*(AZ55+BA55)/1000.0</f>
        <v>0</v>
      </c>
      <c r="N55">
        <f>(AS55 - IF(AG55&gt;1, J55*AN55*100.0/(AI55), 0))*(AZ55+BA55)/1000.0</f>
        <v>0</v>
      </c>
      <c r="O55">
        <f>2.0/((1/Q55-1/P55)+SIGN(Q55)*SQRT((1/Q55-1/P55)*(1/Q55-1/P55) + 4*AO55/((AO55+1)*(AO55+1))*(2*1/Q55*1/P55-1/P55*1/P55)))</f>
        <v>0</v>
      </c>
      <c r="P55">
        <f>IF(LEFT(AP55,1)&lt;&gt;"0",IF(LEFT(AP55,1)="1",3.0,AQ55),$D$5+$E$5*(BG55*AZ55/($K$5*1000))+$F$5*(BG55*AZ55/($K$5*1000))*MAX(MIN(AN55,$J$5),$I$5)*MAX(MIN(AN55,$J$5),$I$5)+$G$5*MAX(MIN(AN55,$J$5),$I$5)*(BG55*AZ55/($K$5*1000))+$H$5*(BG55*AZ55/($K$5*1000))*(BG55*AZ55/($K$5*1000)))</f>
        <v>0</v>
      </c>
      <c r="Q55">
        <f>H55*(1000-(1000*0.61365*exp(17.502*U55/(240.97+U55))/(AZ55+BA55)+AU55)/2)/(1000*0.61365*exp(17.502*U55/(240.97+U55))/(AZ55+BA55)-AU55)</f>
        <v>0</v>
      </c>
      <c r="R55">
        <f>1/((AO55+1)/(O55/1.6)+1/(P55/1.37)) + AO55/((AO55+1)/(O55/1.6) + AO55/(P55/1.37))</f>
        <v>0</v>
      </c>
      <c r="S55">
        <f>(AJ55*AM55)</f>
        <v>0</v>
      </c>
      <c r="T55">
        <f>(BB55+(S55+2*0.95*5.67E-8*(((BB55+$B$7)+273)^4-(BB55+273)^4)-44100*H55)/(1.84*29.3*P55+8*0.95*5.67E-8*(BB55+273)^3))</f>
        <v>0</v>
      </c>
      <c r="U55">
        <f>($C$7*BC55+$D$7*BD55+$E$7*T55)</f>
        <v>0</v>
      </c>
      <c r="V55">
        <f>0.61365*exp(17.502*U55/(240.97+U55))</f>
        <v>0</v>
      </c>
      <c r="W55">
        <f>(X55/Y55*100)</f>
        <v>0</v>
      </c>
      <c r="X55">
        <f>AU55*(AZ55+BA55)/1000</f>
        <v>0</v>
      </c>
      <c r="Y55">
        <f>0.61365*exp(17.502*BB55/(240.97+BB55))</f>
        <v>0</v>
      </c>
      <c r="Z55">
        <f>(V55-AU55*(AZ55+BA55)/1000)</f>
        <v>0</v>
      </c>
      <c r="AA55">
        <f>(-H55*44100)</f>
        <v>0</v>
      </c>
      <c r="AB55">
        <f>2*29.3*P55*0.92*(BB55-U55)</f>
        <v>0</v>
      </c>
      <c r="AC55">
        <f>2*0.95*5.67E-8*(((BB55+$B$7)+273)^4-(U55+273)^4)</f>
        <v>0</v>
      </c>
      <c r="AD55">
        <f>S55+AC55+AA55+AB55</f>
        <v>0</v>
      </c>
      <c r="AE55">
        <v>0</v>
      </c>
      <c r="AF55">
        <v>0</v>
      </c>
      <c r="AG55">
        <f>IF(AE55*$H$13&gt;=AI55,1.0,(AI55/(AI55-AE55*$H$13)))</f>
        <v>0</v>
      </c>
      <c r="AH55">
        <f>(AG55-1)*100</f>
        <v>0</v>
      </c>
      <c r="AI55">
        <f>MAX(0,($B$13+$C$13*BG55)/(1+$D$13*BG55)*AZ55/(BB55+273)*$E$13)</f>
        <v>0</v>
      </c>
      <c r="AJ55">
        <f>$B$11*BH55+$C$11*BI55+$D$11*BT55</f>
        <v>0</v>
      </c>
      <c r="AK55">
        <f>AJ55*AL55</f>
        <v>0</v>
      </c>
      <c r="AL55">
        <f>($B$11*$D$9+$C$11*$D$9+$D$11*(BU55*$E$9+BV55*$G$9))/($B$11+$C$11+$D$11)</f>
        <v>0</v>
      </c>
      <c r="AM55">
        <f>($B$11*$K$9+$C$11*$K$9+$D$11*(BU55*$L$9+BV55*$N$9))/($B$11+$C$11+$D$11)</f>
        <v>0</v>
      </c>
      <c r="AN55">
        <v>3</v>
      </c>
      <c r="AO55">
        <v>0.5</v>
      </c>
      <c r="AP55" t="s">
        <v>331</v>
      </c>
      <c r="AQ55">
        <v>2</v>
      </c>
      <c r="AR55">
        <v>1773198372.099999</v>
      </c>
      <c r="AS55">
        <v>434.7416451612903</v>
      </c>
      <c r="AT55">
        <v>432.4960322580646</v>
      </c>
      <c r="AU55">
        <v>9.646242258064516</v>
      </c>
      <c r="AV55">
        <v>8.303720967741935</v>
      </c>
      <c r="AW55">
        <v>428.5101935483871</v>
      </c>
      <c r="AX55">
        <v>9.565651935483869</v>
      </c>
      <c r="AY55">
        <v>499.9863870967742</v>
      </c>
      <c r="AZ55">
        <v>100.2461935483871</v>
      </c>
      <c r="BA55">
        <v>0.04645081290322581</v>
      </c>
      <c r="BB55">
        <v>30.81947096774193</v>
      </c>
      <c r="BC55">
        <v>30.51048387096775</v>
      </c>
      <c r="BD55">
        <v>999.9000000000003</v>
      </c>
      <c r="BE55">
        <v>0</v>
      </c>
      <c r="BF55">
        <v>0</v>
      </c>
      <c r="BG55">
        <v>5003.564516129032</v>
      </c>
      <c r="BH55">
        <v>1.527882580645161</v>
      </c>
      <c r="BI55">
        <v>1990.568387096774</v>
      </c>
      <c r="BJ55">
        <v>2.245663548387097</v>
      </c>
      <c r="BK55">
        <v>438.976064516129</v>
      </c>
      <c r="BL55">
        <v>436.1172903225806</v>
      </c>
      <c r="BM55">
        <v>1.34252129032258</v>
      </c>
      <c r="BN55">
        <v>432.4960322580646</v>
      </c>
      <c r="BO55">
        <v>8.303720967741935</v>
      </c>
      <c r="BP55">
        <v>0.9669982258064518</v>
      </c>
      <c r="BQ55">
        <v>0.8324157096774194</v>
      </c>
      <c r="BR55">
        <v>6.428392258064516</v>
      </c>
      <c r="BS55">
        <v>4.272425161290323</v>
      </c>
      <c r="BT55">
        <v>0</v>
      </c>
      <c r="BU55">
        <v>0</v>
      </c>
      <c r="BV55">
        <v>0</v>
      </c>
      <c r="BW55">
        <v>36.01826451612904</v>
      </c>
      <c r="BX55">
        <v>52</v>
      </c>
      <c r="BY55">
        <v>1773196010</v>
      </c>
      <c r="BZ55" t="s">
        <v>332</v>
      </c>
      <c r="CA55">
        <v>1773196010</v>
      </c>
      <c r="CB55">
        <v>1773196005.5</v>
      </c>
      <c r="CC55">
        <v>2</v>
      </c>
      <c r="CD55">
        <v>-0.279</v>
      </c>
      <c r="CE55">
        <v>-0.021</v>
      </c>
      <c r="CF55">
        <v>6.231</v>
      </c>
      <c r="CG55">
        <v>0.081</v>
      </c>
      <c r="CH55">
        <v>432</v>
      </c>
      <c r="CI55">
        <v>21</v>
      </c>
      <c r="CJ55">
        <v>0.03</v>
      </c>
      <c r="CK55">
        <v>0.06</v>
      </c>
      <c r="CL55">
        <v>432.5170967741935</v>
      </c>
      <c r="CM55">
        <v>-1.342499999999381</v>
      </c>
      <c r="CN55">
        <v>0.1003282852853747</v>
      </c>
      <c r="CO55">
        <v>-1</v>
      </c>
      <c r="CP55">
        <v>499.994870967742</v>
      </c>
      <c r="CQ55">
        <v>-0.4243548387109382</v>
      </c>
      <c r="CR55">
        <v>0.06035953672168847</v>
      </c>
      <c r="CS55">
        <v>-1</v>
      </c>
      <c r="CT55">
        <v>0</v>
      </c>
      <c r="CU55">
        <v>0</v>
      </c>
      <c r="CV55" t="s">
        <v>333</v>
      </c>
      <c r="CW55">
        <v>3.16998</v>
      </c>
      <c r="CX55">
        <v>2.66742</v>
      </c>
      <c r="CY55">
        <v>0.101509</v>
      </c>
      <c r="CZ55">
        <v>0.102263</v>
      </c>
      <c r="DA55">
        <v>0.0566784</v>
      </c>
      <c r="DB55">
        <v>0.0504322</v>
      </c>
      <c r="DC55">
        <v>21325.1</v>
      </c>
      <c r="DD55">
        <v>21851.6</v>
      </c>
      <c r="DE55">
        <v>22880.8</v>
      </c>
      <c r="DF55">
        <v>22283.7</v>
      </c>
      <c r="DG55">
        <v>32635.1</v>
      </c>
      <c r="DH55">
        <v>29811.6</v>
      </c>
      <c r="DI55">
        <v>40264.3</v>
      </c>
      <c r="DJ55">
        <v>36862.2</v>
      </c>
      <c r="DK55">
        <v>2.0327</v>
      </c>
      <c r="DL55">
        <v>1.55166</v>
      </c>
      <c r="DM55">
        <v>-0.0849813</v>
      </c>
      <c r="DN55">
        <v>0</v>
      </c>
      <c r="DO55">
        <v>31.8933</v>
      </c>
      <c r="DP55">
        <v>999.9</v>
      </c>
      <c r="DQ55">
        <v>35.7</v>
      </c>
      <c r="DR55">
        <v>38.2</v>
      </c>
      <c r="DS55">
        <v>23.966</v>
      </c>
      <c r="DT55">
        <v>30.1954</v>
      </c>
      <c r="DU55">
        <v>12.9247</v>
      </c>
      <c r="DV55">
        <v>1</v>
      </c>
      <c r="DW55">
        <v>0.827754</v>
      </c>
      <c r="DX55">
        <v>3.26171</v>
      </c>
      <c r="DY55">
        <v>20.323</v>
      </c>
      <c r="DZ55">
        <v>5.2101</v>
      </c>
      <c r="EA55">
        <v>11.8542</v>
      </c>
      <c r="EB55">
        <v>4.96756</v>
      </c>
      <c r="EC55">
        <v>3.29296</v>
      </c>
      <c r="ED55">
        <v>879.4</v>
      </c>
      <c r="EE55">
        <v>9999</v>
      </c>
      <c r="EF55">
        <v>9999</v>
      </c>
      <c r="EG55">
        <v>76.7</v>
      </c>
      <c r="EH55">
        <v>4.97159</v>
      </c>
      <c r="EI55">
        <v>1.8721</v>
      </c>
      <c r="EJ55">
        <v>1.86942</v>
      </c>
      <c r="EK55">
        <v>1.87178</v>
      </c>
      <c r="EL55">
        <v>1.86951</v>
      </c>
      <c r="EM55">
        <v>1.86836</v>
      </c>
      <c r="EN55">
        <v>1.87017</v>
      </c>
      <c r="EO55">
        <v>1.87195</v>
      </c>
      <c r="EP55">
        <v>0</v>
      </c>
      <c r="EQ55">
        <v>0</v>
      </c>
      <c r="ER55">
        <v>0</v>
      </c>
      <c r="ES55">
        <v>0</v>
      </c>
      <c r="ET55" t="s">
        <v>334</v>
      </c>
      <c r="EU55" t="s">
        <v>335</v>
      </c>
      <c r="EV55" t="s">
        <v>336</v>
      </c>
      <c r="EW55" t="s">
        <v>336</v>
      </c>
      <c r="EX55" t="s">
        <v>336</v>
      </c>
      <c r="EY55" t="s">
        <v>336</v>
      </c>
      <c r="EZ55">
        <v>0</v>
      </c>
      <c r="FA55">
        <v>100</v>
      </c>
      <c r="FB55">
        <v>100</v>
      </c>
      <c r="FC55">
        <v>6.231</v>
      </c>
      <c r="FD55">
        <v>0.0806</v>
      </c>
      <c r="FE55">
        <v>6.23135000000002</v>
      </c>
      <c r="FF55">
        <v>0</v>
      </c>
      <c r="FG55">
        <v>0</v>
      </c>
      <c r="FH55">
        <v>0</v>
      </c>
      <c r="FI55">
        <v>0.08059047619047632</v>
      </c>
      <c r="FJ55">
        <v>0</v>
      </c>
      <c r="FK55">
        <v>0</v>
      </c>
      <c r="FL55">
        <v>0</v>
      </c>
      <c r="FM55">
        <v>-1</v>
      </c>
      <c r="FN55">
        <v>-1</v>
      </c>
      <c r="FO55">
        <v>-1</v>
      </c>
      <c r="FP55">
        <v>-1</v>
      </c>
      <c r="FQ55">
        <v>39.5</v>
      </c>
      <c r="FR55">
        <v>39.6</v>
      </c>
      <c r="FS55">
        <v>0.144043</v>
      </c>
      <c r="FT55">
        <v>4.99756</v>
      </c>
      <c r="FU55">
        <v>1.5979</v>
      </c>
      <c r="FV55">
        <v>2.13013</v>
      </c>
      <c r="FW55">
        <v>1.54785</v>
      </c>
      <c r="FX55">
        <v>2.46338</v>
      </c>
      <c r="FY55">
        <v>44.1124</v>
      </c>
      <c r="FZ55">
        <v>16.0496</v>
      </c>
      <c r="GA55">
        <v>3</v>
      </c>
      <c r="GB55">
        <v>518.917</v>
      </c>
      <c r="GC55">
        <v>312.322</v>
      </c>
      <c r="GD55">
        <v>28.244</v>
      </c>
      <c r="GE55">
        <v>37.202</v>
      </c>
      <c r="GF55">
        <v>30.0009</v>
      </c>
      <c r="GG55">
        <v>37.0427</v>
      </c>
      <c r="GH55">
        <v>37.0264</v>
      </c>
      <c r="GI55">
        <v>-1</v>
      </c>
      <c r="GJ55">
        <v>100</v>
      </c>
      <c r="GK55">
        <v>0</v>
      </c>
      <c r="GL55">
        <v>28.2282</v>
      </c>
      <c r="GM55">
        <v>1200</v>
      </c>
      <c r="GN55">
        <v>19.4378</v>
      </c>
      <c r="GO55">
        <v>101.304</v>
      </c>
      <c r="GP55">
        <v>96.25360000000001</v>
      </c>
    </row>
    <row r="56" spans="1:198">
      <c r="A56">
        <v>40</v>
      </c>
      <c r="B56">
        <v>1773198440.1</v>
      </c>
      <c r="C56">
        <v>2340.099999904633</v>
      </c>
      <c r="D56" t="s">
        <v>413</v>
      </c>
      <c r="E56" t="s">
        <v>414</v>
      </c>
      <c r="F56">
        <v>15</v>
      </c>
      <c r="G56">
        <v>1773198432.099999</v>
      </c>
      <c r="H56">
        <f>(I56)/1000</f>
        <v>0</v>
      </c>
      <c r="I56">
        <f>1000*AY56*AG56*(AU56-AV56)/(100*AN56*(1000-AG56*AU56))</f>
        <v>0</v>
      </c>
      <c r="J56">
        <f>AY56*AG56*(AT56-AS56*(1000-AG56*AV56)/(1000-AG56*AU56))/(100*AN56)</f>
        <v>0</v>
      </c>
      <c r="K56">
        <f>AS56 - IF(AG56&gt;1, J56*AN56*100.0/(AI56), 0)</f>
        <v>0</v>
      </c>
      <c r="L56">
        <f>((R56-H56/2)*K56-J56)/(R56+H56/2)</f>
        <v>0</v>
      </c>
      <c r="M56">
        <f>L56*(AZ56+BA56)/1000.0</f>
        <v>0</v>
      </c>
      <c r="N56">
        <f>(AS56 - IF(AG56&gt;1, J56*AN56*100.0/(AI56), 0))*(AZ56+BA56)/1000.0</f>
        <v>0</v>
      </c>
      <c r="O56">
        <f>2.0/((1/Q56-1/P56)+SIGN(Q56)*SQRT((1/Q56-1/P56)*(1/Q56-1/P56) + 4*AO56/((AO56+1)*(AO56+1))*(2*1/Q56*1/P56-1/P56*1/P56)))</f>
        <v>0</v>
      </c>
      <c r="P56">
        <f>IF(LEFT(AP56,1)&lt;&gt;"0",IF(LEFT(AP56,1)="1",3.0,AQ56),$D$5+$E$5*(BG56*AZ56/($K$5*1000))+$F$5*(BG56*AZ56/($K$5*1000))*MAX(MIN(AN56,$J$5),$I$5)*MAX(MIN(AN56,$J$5),$I$5)+$G$5*MAX(MIN(AN56,$J$5),$I$5)*(BG56*AZ56/($K$5*1000))+$H$5*(BG56*AZ56/($K$5*1000))*(BG56*AZ56/($K$5*1000)))</f>
        <v>0</v>
      </c>
      <c r="Q56">
        <f>H56*(1000-(1000*0.61365*exp(17.502*U56/(240.97+U56))/(AZ56+BA56)+AU56)/2)/(1000*0.61365*exp(17.502*U56/(240.97+U56))/(AZ56+BA56)-AU56)</f>
        <v>0</v>
      </c>
      <c r="R56">
        <f>1/((AO56+1)/(O56/1.6)+1/(P56/1.37)) + AO56/((AO56+1)/(O56/1.6) + AO56/(P56/1.37))</f>
        <v>0</v>
      </c>
      <c r="S56">
        <f>(AJ56*AM56)</f>
        <v>0</v>
      </c>
      <c r="T56">
        <f>(BB56+(S56+2*0.95*5.67E-8*(((BB56+$B$7)+273)^4-(BB56+273)^4)-44100*H56)/(1.84*29.3*P56+8*0.95*5.67E-8*(BB56+273)^3))</f>
        <v>0</v>
      </c>
      <c r="U56">
        <f>($C$7*BC56+$D$7*BD56+$E$7*T56)</f>
        <v>0</v>
      </c>
      <c r="V56">
        <f>0.61365*exp(17.502*U56/(240.97+U56))</f>
        <v>0</v>
      </c>
      <c r="W56">
        <f>(X56/Y56*100)</f>
        <v>0</v>
      </c>
      <c r="X56">
        <f>AU56*(AZ56+BA56)/1000</f>
        <v>0</v>
      </c>
      <c r="Y56">
        <f>0.61365*exp(17.502*BB56/(240.97+BB56))</f>
        <v>0</v>
      </c>
      <c r="Z56">
        <f>(V56-AU56*(AZ56+BA56)/1000)</f>
        <v>0</v>
      </c>
      <c r="AA56">
        <f>(-H56*44100)</f>
        <v>0</v>
      </c>
      <c r="AB56">
        <f>2*29.3*P56*0.92*(BB56-U56)</f>
        <v>0</v>
      </c>
      <c r="AC56">
        <f>2*0.95*5.67E-8*(((BB56+$B$7)+273)^4-(U56+273)^4)</f>
        <v>0</v>
      </c>
      <c r="AD56">
        <f>S56+AC56+AA56+AB56</f>
        <v>0</v>
      </c>
      <c r="AE56">
        <v>0</v>
      </c>
      <c r="AF56">
        <v>0</v>
      </c>
      <c r="AG56">
        <f>IF(AE56*$H$13&gt;=AI56,1.0,(AI56/(AI56-AE56*$H$13)))</f>
        <v>0</v>
      </c>
      <c r="AH56">
        <f>(AG56-1)*100</f>
        <v>0</v>
      </c>
      <c r="AI56">
        <f>MAX(0,($B$13+$C$13*BG56)/(1+$D$13*BG56)*AZ56/(BB56+273)*$E$13)</f>
        <v>0</v>
      </c>
      <c r="AJ56">
        <f>$B$11*BH56+$C$11*BI56+$D$11*BT56</f>
        <v>0</v>
      </c>
      <c r="AK56">
        <f>AJ56*AL56</f>
        <v>0</v>
      </c>
      <c r="AL56">
        <f>($B$11*$D$9+$C$11*$D$9+$D$11*(BU56*$E$9+BV56*$G$9))/($B$11+$C$11+$D$11)</f>
        <v>0</v>
      </c>
      <c r="AM56">
        <f>($B$11*$K$9+$C$11*$K$9+$D$11*(BU56*$L$9+BV56*$N$9))/($B$11+$C$11+$D$11)</f>
        <v>0</v>
      </c>
      <c r="AN56">
        <v>3</v>
      </c>
      <c r="AO56">
        <v>0.5</v>
      </c>
      <c r="AP56" t="s">
        <v>331</v>
      </c>
      <c r="AQ56">
        <v>2</v>
      </c>
      <c r="AR56">
        <v>1773198432.099999</v>
      </c>
      <c r="AS56">
        <v>432.5421612903227</v>
      </c>
      <c r="AT56">
        <v>429.9041935483871</v>
      </c>
      <c r="AU56">
        <v>9.764880967741934</v>
      </c>
      <c r="AV56">
        <v>8.437558387096773</v>
      </c>
      <c r="AW56">
        <v>426.310870967742</v>
      </c>
      <c r="AX56">
        <v>9.684290967741935</v>
      </c>
      <c r="AY56">
        <v>500.0394516129033</v>
      </c>
      <c r="AZ56">
        <v>100.2453548387097</v>
      </c>
      <c r="BA56">
        <v>0.04669632580645162</v>
      </c>
      <c r="BB56">
        <v>30.81139032258065</v>
      </c>
      <c r="BC56">
        <v>30.51722258064516</v>
      </c>
      <c r="BD56">
        <v>999.9000000000003</v>
      </c>
      <c r="BE56">
        <v>0</v>
      </c>
      <c r="BF56">
        <v>0</v>
      </c>
      <c r="BG56">
        <v>5000.016129032259</v>
      </c>
      <c r="BH56">
        <v>1.547024516129033</v>
      </c>
      <c r="BI56">
        <v>2018.316774193549</v>
      </c>
      <c r="BJ56">
        <v>2.637934838709678</v>
      </c>
      <c r="BK56">
        <v>436.8075161290323</v>
      </c>
      <c r="BL56">
        <v>433.5623870967742</v>
      </c>
      <c r="BM56">
        <v>1.327322903225806</v>
      </c>
      <c r="BN56">
        <v>429.9041935483871</v>
      </c>
      <c r="BO56">
        <v>8.437558387096773</v>
      </c>
      <c r="BP56">
        <v>0.9788840645161291</v>
      </c>
      <c r="BQ56">
        <v>0.8458260967741935</v>
      </c>
      <c r="BR56">
        <v>6.605816451612903</v>
      </c>
      <c r="BS56">
        <v>4.500558387096775</v>
      </c>
      <c r="BT56">
        <v>0</v>
      </c>
      <c r="BU56">
        <v>0</v>
      </c>
      <c r="BV56">
        <v>0</v>
      </c>
      <c r="BW56">
        <v>36</v>
      </c>
      <c r="BX56">
        <v>52.96559032258065</v>
      </c>
      <c r="BY56">
        <v>1773196010</v>
      </c>
      <c r="BZ56" t="s">
        <v>332</v>
      </c>
      <c r="CA56">
        <v>1773196010</v>
      </c>
      <c r="CB56">
        <v>1773196005.5</v>
      </c>
      <c r="CC56">
        <v>2</v>
      </c>
      <c r="CD56">
        <v>-0.279</v>
      </c>
      <c r="CE56">
        <v>-0.021</v>
      </c>
      <c r="CF56">
        <v>6.231</v>
      </c>
      <c r="CG56">
        <v>0.081</v>
      </c>
      <c r="CH56">
        <v>432</v>
      </c>
      <c r="CI56">
        <v>21</v>
      </c>
      <c r="CJ56">
        <v>0.03</v>
      </c>
      <c r="CK56">
        <v>0.06</v>
      </c>
      <c r="CL56">
        <v>429.9825161290323</v>
      </c>
      <c r="CM56">
        <v>-4.632145161291151</v>
      </c>
      <c r="CN56">
        <v>0.3458547029408515</v>
      </c>
      <c r="CO56">
        <v>-1</v>
      </c>
      <c r="CP56">
        <v>500.0499354838709</v>
      </c>
      <c r="CQ56">
        <v>-0.1779193548396814</v>
      </c>
      <c r="CR56">
        <v>0.1068423425438136</v>
      </c>
      <c r="CS56">
        <v>-1</v>
      </c>
      <c r="CT56">
        <v>0</v>
      </c>
      <c r="CU56">
        <v>0</v>
      </c>
      <c r="CV56" t="s">
        <v>333</v>
      </c>
      <c r="CW56">
        <v>3.17008</v>
      </c>
      <c r="CX56">
        <v>2.66688</v>
      </c>
      <c r="CY56">
        <v>0.101025</v>
      </c>
      <c r="CZ56">
        <v>0.101698</v>
      </c>
      <c r="DA56">
        <v>0.0571853</v>
      </c>
      <c r="DB56">
        <v>0.051024</v>
      </c>
      <c r="DC56">
        <v>21333.9</v>
      </c>
      <c r="DD56">
        <v>21864</v>
      </c>
      <c r="DE56">
        <v>22878.1</v>
      </c>
      <c r="DF56">
        <v>22282.4</v>
      </c>
      <c r="DG56">
        <v>32613.8</v>
      </c>
      <c r="DH56">
        <v>29790.9</v>
      </c>
      <c r="DI56">
        <v>40259.8</v>
      </c>
      <c r="DJ56">
        <v>36859.7</v>
      </c>
      <c r="DK56">
        <v>2.03214</v>
      </c>
      <c r="DL56">
        <v>1.54954</v>
      </c>
      <c r="DM56">
        <v>-0.0858158</v>
      </c>
      <c r="DN56">
        <v>0</v>
      </c>
      <c r="DO56">
        <v>31.8984</v>
      </c>
      <c r="DP56">
        <v>999.9</v>
      </c>
      <c r="DQ56">
        <v>34.6</v>
      </c>
      <c r="DR56">
        <v>38.4</v>
      </c>
      <c r="DS56">
        <v>23.4819</v>
      </c>
      <c r="DT56">
        <v>29.6555</v>
      </c>
      <c r="DU56">
        <v>12.9487</v>
      </c>
      <c r="DV56">
        <v>1</v>
      </c>
      <c r="DW56">
        <v>0.833392</v>
      </c>
      <c r="DX56">
        <v>3.49186</v>
      </c>
      <c r="DY56">
        <v>20.3178</v>
      </c>
      <c r="DZ56">
        <v>5.21046</v>
      </c>
      <c r="EA56">
        <v>11.8542</v>
      </c>
      <c r="EB56">
        <v>4.96748</v>
      </c>
      <c r="EC56">
        <v>3.293</v>
      </c>
      <c r="ED56">
        <v>879.4</v>
      </c>
      <c r="EE56">
        <v>9999</v>
      </c>
      <c r="EF56">
        <v>9999</v>
      </c>
      <c r="EG56">
        <v>76.7</v>
      </c>
      <c r="EH56">
        <v>4.97159</v>
      </c>
      <c r="EI56">
        <v>1.8721</v>
      </c>
      <c r="EJ56">
        <v>1.86941</v>
      </c>
      <c r="EK56">
        <v>1.87177</v>
      </c>
      <c r="EL56">
        <v>1.86952</v>
      </c>
      <c r="EM56">
        <v>1.86841</v>
      </c>
      <c r="EN56">
        <v>1.87021</v>
      </c>
      <c r="EO56">
        <v>1.87195</v>
      </c>
      <c r="EP56">
        <v>0</v>
      </c>
      <c r="EQ56">
        <v>0</v>
      </c>
      <c r="ER56">
        <v>0</v>
      </c>
      <c r="ES56">
        <v>0</v>
      </c>
      <c r="ET56" t="s">
        <v>334</v>
      </c>
      <c r="EU56" t="s">
        <v>335</v>
      </c>
      <c r="EV56" t="s">
        <v>336</v>
      </c>
      <c r="EW56" t="s">
        <v>336</v>
      </c>
      <c r="EX56" t="s">
        <v>336</v>
      </c>
      <c r="EY56" t="s">
        <v>336</v>
      </c>
      <c r="EZ56">
        <v>0</v>
      </c>
      <c r="FA56">
        <v>100</v>
      </c>
      <c r="FB56">
        <v>100</v>
      </c>
      <c r="FC56">
        <v>6.231</v>
      </c>
      <c r="FD56">
        <v>0.0806</v>
      </c>
      <c r="FE56">
        <v>6.23135000000002</v>
      </c>
      <c r="FF56">
        <v>0</v>
      </c>
      <c r="FG56">
        <v>0</v>
      </c>
      <c r="FH56">
        <v>0</v>
      </c>
      <c r="FI56">
        <v>0.08059047619047632</v>
      </c>
      <c r="FJ56">
        <v>0</v>
      </c>
      <c r="FK56">
        <v>0</v>
      </c>
      <c r="FL56">
        <v>0</v>
      </c>
      <c r="FM56">
        <v>-1</v>
      </c>
      <c r="FN56">
        <v>-1</v>
      </c>
      <c r="FO56">
        <v>-1</v>
      </c>
      <c r="FP56">
        <v>-1</v>
      </c>
      <c r="FQ56">
        <v>40.5</v>
      </c>
      <c r="FR56">
        <v>40.6</v>
      </c>
      <c r="FS56">
        <v>0.144043</v>
      </c>
      <c r="FT56">
        <v>4.99756</v>
      </c>
      <c r="FU56">
        <v>1.5979</v>
      </c>
      <c r="FV56">
        <v>2.12891</v>
      </c>
      <c r="FW56">
        <v>1.54785</v>
      </c>
      <c r="FX56">
        <v>2.47803</v>
      </c>
      <c r="FY56">
        <v>44.3064</v>
      </c>
      <c r="FZ56">
        <v>16.0408</v>
      </c>
      <c r="GA56">
        <v>3</v>
      </c>
      <c r="GB56">
        <v>518.953</v>
      </c>
      <c r="GC56">
        <v>311.492</v>
      </c>
      <c r="GD56">
        <v>27.8838</v>
      </c>
      <c r="GE56">
        <v>37.2561</v>
      </c>
      <c r="GF56">
        <v>30.0001</v>
      </c>
      <c r="GG56">
        <v>37.0967</v>
      </c>
      <c r="GH56">
        <v>37.0758</v>
      </c>
      <c r="GI56">
        <v>-1</v>
      </c>
      <c r="GJ56">
        <v>100</v>
      </c>
      <c r="GK56">
        <v>0</v>
      </c>
      <c r="GL56">
        <v>27.8893</v>
      </c>
      <c r="GM56">
        <v>1200</v>
      </c>
      <c r="GN56">
        <v>19.4378</v>
      </c>
      <c r="GO56">
        <v>101.292</v>
      </c>
      <c r="GP56">
        <v>96.2474</v>
      </c>
    </row>
    <row r="57" spans="1:198">
      <c r="A57">
        <v>41</v>
      </c>
      <c r="B57">
        <v>1773198500.1</v>
      </c>
      <c r="C57">
        <v>2400.099999904633</v>
      </c>
      <c r="D57" t="s">
        <v>415</v>
      </c>
      <c r="E57" t="s">
        <v>416</v>
      </c>
      <c r="F57">
        <v>15</v>
      </c>
      <c r="G57">
        <v>1773198492.099999</v>
      </c>
      <c r="H57">
        <f>(I57)/1000</f>
        <v>0</v>
      </c>
      <c r="I57">
        <f>1000*AY57*AG57*(AU57-AV57)/(100*AN57*(1000-AG57*AU57))</f>
        <v>0</v>
      </c>
      <c r="J57">
        <f>AY57*AG57*(AT57-AS57*(1000-AG57*AV57)/(1000-AG57*AU57))/(100*AN57)</f>
        <v>0</v>
      </c>
      <c r="K57">
        <f>AS57 - IF(AG57&gt;1, J57*AN57*100.0/(AI57), 0)</f>
        <v>0</v>
      </c>
      <c r="L57">
        <f>((R57-H57/2)*K57-J57)/(R57+H57/2)</f>
        <v>0</v>
      </c>
      <c r="M57">
        <f>L57*(AZ57+BA57)/1000.0</f>
        <v>0</v>
      </c>
      <c r="N57">
        <f>(AS57 - IF(AG57&gt;1, J57*AN57*100.0/(AI57), 0))*(AZ57+BA57)/1000.0</f>
        <v>0</v>
      </c>
      <c r="O57">
        <f>2.0/((1/Q57-1/P57)+SIGN(Q57)*SQRT((1/Q57-1/P57)*(1/Q57-1/P57) + 4*AO57/((AO57+1)*(AO57+1))*(2*1/Q57*1/P57-1/P57*1/P57)))</f>
        <v>0</v>
      </c>
      <c r="P57">
        <f>IF(LEFT(AP57,1)&lt;&gt;"0",IF(LEFT(AP57,1)="1",3.0,AQ57),$D$5+$E$5*(BG57*AZ57/($K$5*1000))+$F$5*(BG57*AZ57/($K$5*1000))*MAX(MIN(AN57,$J$5),$I$5)*MAX(MIN(AN57,$J$5),$I$5)+$G$5*MAX(MIN(AN57,$J$5),$I$5)*(BG57*AZ57/($K$5*1000))+$H$5*(BG57*AZ57/($K$5*1000))*(BG57*AZ57/($K$5*1000)))</f>
        <v>0</v>
      </c>
      <c r="Q57">
        <f>H57*(1000-(1000*0.61365*exp(17.502*U57/(240.97+U57))/(AZ57+BA57)+AU57)/2)/(1000*0.61365*exp(17.502*U57/(240.97+U57))/(AZ57+BA57)-AU57)</f>
        <v>0</v>
      </c>
      <c r="R57">
        <f>1/((AO57+1)/(O57/1.6)+1/(P57/1.37)) + AO57/((AO57+1)/(O57/1.6) + AO57/(P57/1.37))</f>
        <v>0</v>
      </c>
      <c r="S57">
        <f>(AJ57*AM57)</f>
        <v>0</v>
      </c>
      <c r="T57">
        <f>(BB57+(S57+2*0.95*5.67E-8*(((BB57+$B$7)+273)^4-(BB57+273)^4)-44100*H57)/(1.84*29.3*P57+8*0.95*5.67E-8*(BB57+273)^3))</f>
        <v>0</v>
      </c>
      <c r="U57">
        <f>($C$7*BC57+$D$7*BD57+$E$7*T57)</f>
        <v>0</v>
      </c>
      <c r="V57">
        <f>0.61365*exp(17.502*U57/(240.97+U57))</f>
        <v>0</v>
      </c>
      <c r="W57">
        <f>(X57/Y57*100)</f>
        <v>0</v>
      </c>
      <c r="X57">
        <f>AU57*(AZ57+BA57)/1000</f>
        <v>0</v>
      </c>
      <c r="Y57">
        <f>0.61365*exp(17.502*BB57/(240.97+BB57))</f>
        <v>0</v>
      </c>
      <c r="Z57">
        <f>(V57-AU57*(AZ57+BA57)/1000)</f>
        <v>0</v>
      </c>
      <c r="AA57">
        <f>(-H57*44100)</f>
        <v>0</v>
      </c>
      <c r="AB57">
        <f>2*29.3*P57*0.92*(BB57-U57)</f>
        <v>0</v>
      </c>
      <c r="AC57">
        <f>2*0.95*5.67E-8*(((BB57+$B$7)+273)^4-(U57+273)^4)</f>
        <v>0</v>
      </c>
      <c r="AD57">
        <f>S57+AC57+AA57+AB57</f>
        <v>0</v>
      </c>
      <c r="AE57">
        <v>0</v>
      </c>
      <c r="AF57">
        <v>0</v>
      </c>
      <c r="AG57">
        <f>IF(AE57*$H$13&gt;=AI57,1.0,(AI57/(AI57-AE57*$H$13)))</f>
        <v>0</v>
      </c>
      <c r="AH57">
        <f>(AG57-1)*100</f>
        <v>0</v>
      </c>
      <c r="AI57">
        <f>MAX(0,($B$13+$C$13*BG57)/(1+$D$13*BG57)*AZ57/(BB57+273)*$E$13)</f>
        <v>0</v>
      </c>
      <c r="AJ57">
        <f>$B$11*BH57+$C$11*BI57+$D$11*BT57</f>
        <v>0</v>
      </c>
      <c r="AK57">
        <f>AJ57*AL57</f>
        <v>0</v>
      </c>
      <c r="AL57">
        <f>($B$11*$D$9+$C$11*$D$9+$D$11*(BU57*$E$9+BV57*$G$9))/($B$11+$C$11+$D$11)</f>
        <v>0</v>
      </c>
      <c r="AM57">
        <f>($B$11*$K$9+$C$11*$K$9+$D$11*(BU57*$L$9+BV57*$N$9))/($B$11+$C$11+$D$11)</f>
        <v>0</v>
      </c>
      <c r="AN57">
        <v>3</v>
      </c>
      <c r="AO57">
        <v>0.5</v>
      </c>
      <c r="AP57" t="s">
        <v>331</v>
      </c>
      <c r="AQ57">
        <v>2</v>
      </c>
      <c r="AR57">
        <v>1773198492.099999</v>
      </c>
      <c r="AS57">
        <v>430.9357096774192</v>
      </c>
      <c r="AT57">
        <v>428.6762903225807</v>
      </c>
      <c r="AU57">
        <v>9.819999032258066</v>
      </c>
      <c r="AV57">
        <v>8.502817419354839</v>
      </c>
      <c r="AW57">
        <v>424.7043225806451</v>
      </c>
      <c r="AX57">
        <v>9.739409032258065</v>
      </c>
      <c r="AY57">
        <v>500.0082903225807</v>
      </c>
      <c r="AZ57">
        <v>100.2436129032258</v>
      </c>
      <c r="BA57">
        <v>0.04633239032258065</v>
      </c>
      <c r="BB57">
        <v>30.79374516129032</v>
      </c>
      <c r="BC57">
        <v>30.51507741935484</v>
      </c>
      <c r="BD57">
        <v>999.9000000000003</v>
      </c>
      <c r="BE57">
        <v>0</v>
      </c>
      <c r="BF57">
        <v>0</v>
      </c>
      <c r="BG57">
        <v>4995.66129032258</v>
      </c>
      <c r="BH57">
        <v>1.492867419354839</v>
      </c>
      <c r="BI57">
        <v>1988.636774193548</v>
      </c>
      <c r="BJ57">
        <v>2.259406129032258</v>
      </c>
      <c r="BK57">
        <v>435.2094193548387</v>
      </c>
      <c r="BL57">
        <v>432.3524838709678</v>
      </c>
      <c r="BM57">
        <v>1.317181935483871</v>
      </c>
      <c r="BN57">
        <v>428.6762903225807</v>
      </c>
      <c r="BO57">
        <v>8.502817419354839</v>
      </c>
      <c r="BP57">
        <v>0.9843924516129031</v>
      </c>
      <c r="BQ57">
        <v>0.8523533870967741</v>
      </c>
      <c r="BR57">
        <v>6.687398064516128</v>
      </c>
      <c r="BS57">
        <v>4.610439032258065</v>
      </c>
      <c r="BT57">
        <v>0</v>
      </c>
      <c r="BU57">
        <v>0</v>
      </c>
      <c r="BV57">
        <v>0</v>
      </c>
      <c r="BW57">
        <v>36</v>
      </c>
      <c r="BX57">
        <v>52</v>
      </c>
      <c r="BY57">
        <v>1773196010</v>
      </c>
      <c r="BZ57" t="s">
        <v>332</v>
      </c>
      <c r="CA57">
        <v>1773196010</v>
      </c>
      <c r="CB57">
        <v>1773196005.5</v>
      </c>
      <c r="CC57">
        <v>2</v>
      </c>
      <c r="CD57">
        <v>-0.279</v>
      </c>
      <c r="CE57">
        <v>-0.021</v>
      </c>
      <c r="CF57">
        <v>6.231</v>
      </c>
      <c r="CG57">
        <v>0.081</v>
      </c>
      <c r="CH57">
        <v>432</v>
      </c>
      <c r="CI57">
        <v>21</v>
      </c>
      <c r="CJ57">
        <v>0.03</v>
      </c>
      <c r="CK57">
        <v>0.06</v>
      </c>
      <c r="CL57">
        <v>428.6878387096775</v>
      </c>
      <c r="CM57">
        <v>-0.7694032258074615</v>
      </c>
      <c r="CN57">
        <v>0.05826086872113559</v>
      </c>
      <c r="CO57">
        <v>-1</v>
      </c>
      <c r="CP57">
        <v>500.007806451613</v>
      </c>
      <c r="CQ57">
        <v>0.200177419353634</v>
      </c>
      <c r="CR57">
        <v>0.06284975394764249</v>
      </c>
      <c r="CS57">
        <v>-1</v>
      </c>
      <c r="CT57">
        <v>0</v>
      </c>
      <c r="CU57">
        <v>0</v>
      </c>
      <c r="CV57" t="s">
        <v>333</v>
      </c>
      <c r="CW57">
        <v>3.17002</v>
      </c>
      <c r="CX57">
        <v>2.66748</v>
      </c>
      <c r="CY57">
        <v>0.100816</v>
      </c>
      <c r="CZ57">
        <v>0.101576</v>
      </c>
      <c r="DA57">
        <v>0.0574111</v>
      </c>
      <c r="DB57">
        <v>0.0513204</v>
      </c>
      <c r="DC57">
        <v>21338.7</v>
      </c>
      <c r="DD57">
        <v>21867.9</v>
      </c>
      <c r="DE57">
        <v>22878</v>
      </c>
      <c r="DF57">
        <v>22283.4</v>
      </c>
      <c r="DG57">
        <v>32606</v>
      </c>
      <c r="DH57">
        <v>29782.7</v>
      </c>
      <c r="DI57">
        <v>40259.8</v>
      </c>
      <c r="DJ57">
        <v>36861.1</v>
      </c>
      <c r="DK57">
        <v>2.03218</v>
      </c>
      <c r="DL57">
        <v>1.54766</v>
      </c>
      <c r="DM57">
        <v>-0.08235870000000001</v>
      </c>
      <c r="DN57">
        <v>0</v>
      </c>
      <c r="DO57">
        <v>31.8564</v>
      </c>
      <c r="DP57">
        <v>999.9</v>
      </c>
      <c r="DQ57">
        <v>34.2</v>
      </c>
      <c r="DR57">
        <v>38.7</v>
      </c>
      <c r="DS57">
        <v>23.5887</v>
      </c>
      <c r="DT57">
        <v>29.9255</v>
      </c>
      <c r="DU57">
        <v>13.3133</v>
      </c>
      <c r="DV57">
        <v>1</v>
      </c>
      <c r="DW57">
        <v>0.831179</v>
      </c>
      <c r="DX57">
        <v>3.20088</v>
      </c>
      <c r="DY57">
        <v>20.3258</v>
      </c>
      <c r="DZ57">
        <v>5.21034</v>
      </c>
      <c r="EA57">
        <v>11.8542</v>
      </c>
      <c r="EB57">
        <v>4.96748</v>
      </c>
      <c r="EC57">
        <v>3.29298</v>
      </c>
      <c r="ED57">
        <v>879.4</v>
      </c>
      <c r="EE57">
        <v>9999</v>
      </c>
      <c r="EF57">
        <v>9999</v>
      </c>
      <c r="EG57">
        <v>76.7</v>
      </c>
      <c r="EH57">
        <v>4.9716</v>
      </c>
      <c r="EI57">
        <v>1.8721</v>
      </c>
      <c r="EJ57">
        <v>1.86948</v>
      </c>
      <c r="EK57">
        <v>1.87175</v>
      </c>
      <c r="EL57">
        <v>1.86951</v>
      </c>
      <c r="EM57">
        <v>1.86834</v>
      </c>
      <c r="EN57">
        <v>1.87023</v>
      </c>
      <c r="EO57">
        <v>1.87194</v>
      </c>
      <c r="EP57">
        <v>0</v>
      </c>
      <c r="EQ57">
        <v>0</v>
      </c>
      <c r="ER57">
        <v>0</v>
      </c>
      <c r="ES57">
        <v>0</v>
      </c>
      <c r="ET57" t="s">
        <v>334</v>
      </c>
      <c r="EU57" t="s">
        <v>335</v>
      </c>
      <c r="EV57" t="s">
        <v>336</v>
      </c>
      <c r="EW57" t="s">
        <v>336</v>
      </c>
      <c r="EX57" t="s">
        <v>336</v>
      </c>
      <c r="EY57" t="s">
        <v>336</v>
      </c>
      <c r="EZ57">
        <v>0</v>
      </c>
      <c r="FA57">
        <v>100</v>
      </c>
      <c r="FB57">
        <v>100</v>
      </c>
      <c r="FC57">
        <v>6.231</v>
      </c>
      <c r="FD57">
        <v>0.0806</v>
      </c>
      <c r="FE57">
        <v>6.23135000000002</v>
      </c>
      <c r="FF57">
        <v>0</v>
      </c>
      <c r="FG57">
        <v>0</v>
      </c>
      <c r="FH57">
        <v>0</v>
      </c>
      <c r="FI57">
        <v>0.08059047619047632</v>
      </c>
      <c r="FJ57">
        <v>0</v>
      </c>
      <c r="FK57">
        <v>0</v>
      </c>
      <c r="FL57">
        <v>0</v>
      </c>
      <c r="FM57">
        <v>-1</v>
      </c>
      <c r="FN57">
        <v>-1</v>
      </c>
      <c r="FO57">
        <v>-1</v>
      </c>
      <c r="FP57">
        <v>-1</v>
      </c>
      <c r="FQ57">
        <v>41.5</v>
      </c>
      <c r="FR57">
        <v>41.6</v>
      </c>
      <c r="FS57">
        <v>0.142822</v>
      </c>
      <c r="FT57">
        <v>4.99756</v>
      </c>
      <c r="FU57">
        <v>1.5979</v>
      </c>
      <c r="FV57">
        <v>2.12891</v>
      </c>
      <c r="FW57">
        <v>1.54785</v>
      </c>
      <c r="FX57">
        <v>2.37915</v>
      </c>
      <c r="FY57">
        <v>44.3899</v>
      </c>
      <c r="FZ57">
        <v>16.0233</v>
      </c>
      <c r="GA57">
        <v>3</v>
      </c>
      <c r="GB57">
        <v>519.1130000000001</v>
      </c>
      <c r="GC57">
        <v>310.644</v>
      </c>
      <c r="GD57">
        <v>28.1128</v>
      </c>
      <c r="GE57">
        <v>37.2596</v>
      </c>
      <c r="GF57">
        <v>30</v>
      </c>
      <c r="GG57">
        <v>37.1156</v>
      </c>
      <c r="GH57">
        <v>37.0932</v>
      </c>
      <c r="GI57">
        <v>-1</v>
      </c>
      <c r="GJ57">
        <v>100</v>
      </c>
      <c r="GK57">
        <v>0</v>
      </c>
      <c r="GL57">
        <v>28.1165</v>
      </c>
      <c r="GM57">
        <v>1200</v>
      </c>
      <c r="GN57">
        <v>19.4378</v>
      </c>
      <c r="GO57">
        <v>101.292</v>
      </c>
      <c r="GP57">
        <v>96.2512</v>
      </c>
    </row>
    <row r="58" spans="1:198">
      <c r="A58">
        <v>42</v>
      </c>
      <c r="B58">
        <v>1773198560.1</v>
      </c>
      <c r="C58">
        <v>2460.099999904633</v>
      </c>
      <c r="D58" t="s">
        <v>417</v>
      </c>
      <c r="E58" t="s">
        <v>418</v>
      </c>
      <c r="F58">
        <v>15</v>
      </c>
      <c r="G58">
        <v>1773198552.099999</v>
      </c>
      <c r="H58">
        <f>(I58)/1000</f>
        <v>0</v>
      </c>
      <c r="I58">
        <f>1000*AY58*AG58*(AU58-AV58)/(100*AN58*(1000-AG58*AU58))</f>
        <v>0</v>
      </c>
      <c r="J58">
        <f>AY58*AG58*(AT58-AS58*(1000-AG58*AV58)/(1000-AG58*AU58))/(100*AN58)</f>
        <v>0</v>
      </c>
      <c r="K58">
        <f>AS58 - IF(AG58&gt;1, J58*AN58*100.0/(AI58), 0)</f>
        <v>0</v>
      </c>
      <c r="L58">
        <f>((R58-H58/2)*K58-J58)/(R58+H58/2)</f>
        <v>0</v>
      </c>
      <c r="M58">
        <f>L58*(AZ58+BA58)/1000.0</f>
        <v>0</v>
      </c>
      <c r="N58">
        <f>(AS58 - IF(AG58&gt;1, J58*AN58*100.0/(AI58), 0))*(AZ58+BA58)/1000.0</f>
        <v>0</v>
      </c>
      <c r="O58">
        <f>2.0/((1/Q58-1/P58)+SIGN(Q58)*SQRT((1/Q58-1/P58)*(1/Q58-1/P58) + 4*AO58/((AO58+1)*(AO58+1))*(2*1/Q58*1/P58-1/P58*1/P58)))</f>
        <v>0</v>
      </c>
      <c r="P58">
        <f>IF(LEFT(AP58,1)&lt;&gt;"0",IF(LEFT(AP58,1)="1",3.0,AQ58),$D$5+$E$5*(BG58*AZ58/($K$5*1000))+$F$5*(BG58*AZ58/($K$5*1000))*MAX(MIN(AN58,$J$5),$I$5)*MAX(MIN(AN58,$J$5),$I$5)+$G$5*MAX(MIN(AN58,$J$5),$I$5)*(BG58*AZ58/($K$5*1000))+$H$5*(BG58*AZ58/($K$5*1000))*(BG58*AZ58/($K$5*1000)))</f>
        <v>0</v>
      </c>
      <c r="Q58">
        <f>H58*(1000-(1000*0.61365*exp(17.502*U58/(240.97+U58))/(AZ58+BA58)+AU58)/2)/(1000*0.61365*exp(17.502*U58/(240.97+U58))/(AZ58+BA58)-AU58)</f>
        <v>0</v>
      </c>
      <c r="R58">
        <f>1/((AO58+1)/(O58/1.6)+1/(P58/1.37)) + AO58/((AO58+1)/(O58/1.6) + AO58/(P58/1.37))</f>
        <v>0</v>
      </c>
      <c r="S58">
        <f>(AJ58*AM58)</f>
        <v>0</v>
      </c>
      <c r="T58">
        <f>(BB58+(S58+2*0.95*5.67E-8*(((BB58+$B$7)+273)^4-(BB58+273)^4)-44100*H58)/(1.84*29.3*P58+8*0.95*5.67E-8*(BB58+273)^3))</f>
        <v>0</v>
      </c>
      <c r="U58">
        <f>($C$7*BC58+$D$7*BD58+$E$7*T58)</f>
        <v>0</v>
      </c>
      <c r="V58">
        <f>0.61365*exp(17.502*U58/(240.97+U58))</f>
        <v>0</v>
      </c>
      <c r="W58">
        <f>(X58/Y58*100)</f>
        <v>0</v>
      </c>
      <c r="X58">
        <f>AU58*(AZ58+BA58)/1000</f>
        <v>0</v>
      </c>
      <c r="Y58">
        <f>0.61365*exp(17.502*BB58/(240.97+BB58))</f>
        <v>0</v>
      </c>
      <c r="Z58">
        <f>(V58-AU58*(AZ58+BA58)/1000)</f>
        <v>0</v>
      </c>
      <c r="AA58">
        <f>(-H58*44100)</f>
        <v>0</v>
      </c>
      <c r="AB58">
        <f>2*29.3*P58*0.92*(BB58-U58)</f>
        <v>0</v>
      </c>
      <c r="AC58">
        <f>2*0.95*5.67E-8*(((BB58+$B$7)+273)^4-(U58+273)^4)</f>
        <v>0</v>
      </c>
      <c r="AD58">
        <f>S58+AC58+AA58+AB58</f>
        <v>0</v>
      </c>
      <c r="AE58">
        <v>0</v>
      </c>
      <c r="AF58">
        <v>0</v>
      </c>
      <c r="AG58">
        <f>IF(AE58*$H$13&gt;=AI58,1.0,(AI58/(AI58-AE58*$H$13)))</f>
        <v>0</v>
      </c>
      <c r="AH58">
        <f>(AG58-1)*100</f>
        <v>0</v>
      </c>
      <c r="AI58">
        <f>MAX(0,($B$13+$C$13*BG58)/(1+$D$13*BG58)*AZ58/(BB58+273)*$E$13)</f>
        <v>0</v>
      </c>
      <c r="AJ58">
        <f>$B$11*BH58+$C$11*BI58+$D$11*BT58</f>
        <v>0</v>
      </c>
      <c r="AK58">
        <f>AJ58*AL58</f>
        <v>0</v>
      </c>
      <c r="AL58">
        <f>($B$11*$D$9+$C$11*$D$9+$D$11*(BU58*$E$9+BV58*$G$9))/($B$11+$C$11+$D$11)</f>
        <v>0</v>
      </c>
      <c r="AM58">
        <f>($B$11*$K$9+$C$11*$K$9+$D$11*(BU58*$L$9+BV58*$N$9))/($B$11+$C$11+$D$11)</f>
        <v>0</v>
      </c>
      <c r="AN58">
        <v>3</v>
      </c>
      <c r="AO58">
        <v>0.5</v>
      </c>
      <c r="AP58" t="s">
        <v>331</v>
      </c>
      <c r="AQ58">
        <v>2</v>
      </c>
      <c r="AR58">
        <v>1773198552.099999</v>
      </c>
      <c r="AS58">
        <v>430.5777741935484</v>
      </c>
      <c r="AT58">
        <v>428.4442258064516</v>
      </c>
      <c r="AU58">
        <v>9.863036129032258</v>
      </c>
      <c r="AV58">
        <v>8.568378387096775</v>
      </c>
      <c r="AW58">
        <v>424.3464838709677</v>
      </c>
      <c r="AX58">
        <v>9.782445806451612</v>
      </c>
      <c r="AY58">
        <v>499.9941290322581</v>
      </c>
      <c r="AZ58">
        <v>100.2447419354839</v>
      </c>
      <c r="BA58">
        <v>0.04614231935483871</v>
      </c>
      <c r="BB58">
        <v>30.80081935483871</v>
      </c>
      <c r="BC58">
        <v>30.5476064516129</v>
      </c>
      <c r="BD58">
        <v>999.9000000000003</v>
      </c>
      <c r="BE58">
        <v>0</v>
      </c>
      <c r="BF58">
        <v>0</v>
      </c>
      <c r="BG58">
        <v>5005.5</v>
      </c>
      <c r="BH58">
        <v>1.520267419354838</v>
      </c>
      <c r="BI58">
        <v>1998.50870967742</v>
      </c>
      <c r="BJ58">
        <v>2.133584838709677</v>
      </c>
      <c r="BK58">
        <v>434.866935483871</v>
      </c>
      <c r="BL58">
        <v>432.146935483871</v>
      </c>
      <c r="BM58">
        <v>1.294656774193549</v>
      </c>
      <c r="BN58">
        <v>428.4442258064516</v>
      </c>
      <c r="BO58">
        <v>8.568378387096775</v>
      </c>
      <c r="BP58">
        <v>0.9887175806451612</v>
      </c>
      <c r="BQ58">
        <v>0.8589349677419355</v>
      </c>
      <c r="BR58">
        <v>6.751169032258066</v>
      </c>
      <c r="BS58">
        <v>4.720480322580645</v>
      </c>
      <c r="BT58">
        <v>0</v>
      </c>
      <c r="BU58">
        <v>0</v>
      </c>
      <c r="BV58">
        <v>0</v>
      </c>
      <c r="BW58">
        <v>36</v>
      </c>
      <c r="BX58">
        <v>52.10000645161291</v>
      </c>
      <c r="BY58">
        <v>1773196010</v>
      </c>
      <c r="BZ58" t="s">
        <v>332</v>
      </c>
      <c r="CA58">
        <v>1773196010</v>
      </c>
      <c r="CB58">
        <v>1773196005.5</v>
      </c>
      <c r="CC58">
        <v>2</v>
      </c>
      <c r="CD58">
        <v>-0.279</v>
      </c>
      <c r="CE58">
        <v>-0.021</v>
      </c>
      <c r="CF58">
        <v>6.231</v>
      </c>
      <c r="CG58">
        <v>0.081</v>
      </c>
      <c r="CH58">
        <v>432</v>
      </c>
      <c r="CI58">
        <v>21</v>
      </c>
      <c r="CJ58">
        <v>0.03</v>
      </c>
      <c r="CK58">
        <v>0.06</v>
      </c>
      <c r="CL58">
        <v>428.4366</v>
      </c>
      <c r="CM58">
        <v>0.7642625139038267</v>
      </c>
      <c r="CN58">
        <v>0.06516471437825391</v>
      </c>
      <c r="CO58">
        <v>-1</v>
      </c>
      <c r="CP58">
        <v>499.9933333333334</v>
      </c>
      <c r="CQ58">
        <v>0.03155506118006959</v>
      </c>
      <c r="CR58">
        <v>0.05244319678364788</v>
      </c>
      <c r="CS58">
        <v>-1</v>
      </c>
      <c r="CT58">
        <v>0</v>
      </c>
      <c r="CU58">
        <v>0</v>
      </c>
      <c r="CV58" t="s">
        <v>333</v>
      </c>
      <c r="CW58">
        <v>3.17019</v>
      </c>
      <c r="CX58">
        <v>2.66681</v>
      </c>
      <c r="CY58">
        <v>0.100769</v>
      </c>
      <c r="CZ58">
        <v>0.101593</v>
      </c>
      <c r="DA58">
        <v>0.0576463</v>
      </c>
      <c r="DB58">
        <v>0.0516768</v>
      </c>
      <c r="DC58">
        <v>21338.8</v>
      </c>
      <c r="DD58">
        <v>21867.4</v>
      </c>
      <c r="DE58">
        <v>22876.9</v>
      </c>
      <c r="DF58">
        <v>22283.3</v>
      </c>
      <c r="DG58">
        <v>32596.6</v>
      </c>
      <c r="DH58">
        <v>29771.5</v>
      </c>
      <c r="DI58">
        <v>40258.2</v>
      </c>
      <c r="DJ58">
        <v>36861.1</v>
      </c>
      <c r="DK58">
        <v>2.03226</v>
      </c>
      <c r="DL58">
        <v>1.54708</v>
      </c>
      <c r="DM58">
        <v>-0.0817418</v>
      </c>
      <c r="DN58">
        <v>0</v>
      </c>
      <c r="DO58">
        <v>31.8989</v>
      </c>
      <c r="DP58">
        <v>999.9</v>
      </c>
      <c r="DQ58">
        <v>34.1</v>
      </c>
      <c r="DR58">
        <v>38.9</v>
      </c>
      <c r="DS58">
        <v>23.7725</v>
      </c>
      <c r="DT58">
        <v>29.8954</v>
      </c>
      <c r="DU58">
        <v>13.0329</v>
      </c>
      <c r="DV58">
        <v>1</v>
      </c>
      <c r="DW58">
        <v>0.8319839999999999</v>
      </c>
      <c r="DX58">
        <v>3.32911</v>
      </c>
      <c r="DY58">
        <v>20.322</v>
      </c>
      <c r="DZ58">
        <v>5.20459</v>
      </c>
      <c r="EA58">
        <v>11.8542</v>
      </c>
      <c r="EB58">
        <v>4.96652</v>
      </c>
      <c r="EC58">
        <v>3.29216</v>
      </c>
      <c r="ED58">
        <v>879.4</v>
      </c>
      <c r="EE58">
        <v>9999</v>
      </c>
      <c r="EF58">
        <v>9999</v>
      </c>
      <c r="EG58">
        <v>76.7</v>
      </c>
      <c r="EH58">
        <v>4.9716</v>
      </c>
      <c r="EI58">
        <v>1.8721</v>
      </c>
      <c r="EJ58">
        <v>1.86949</v>
      </c>
      <c r="EK58">
        <v>1.8718</v>
      </c>
      <c r="EL58">
        <v>1.86951</v>
      </c>
      <c r="EM58">
        <v>1.86838</v>
      </c>
      <c r="EN58">
        <v>1.8702</v>
      </c>
      <c r="EO58">
        <v>1.87195</v>
      </c>
      <c r="EP58">
        <v>0</v>
      </c>
      <c r="EQ58">
        <v>0</v>
      </c>
      <c r="ER58">
        <v>0</v>
      </c>
      <c r="ES58">
        <v>0</v>
      </c>
      <c r="ET58" t="s">
        <v>334</v>
      </c>
      <c r="EU58" t="s">
        <v>335</v>
      </c>
      <c r="EV58" t="s">
        <v>336</v>
      </c>
      <c r="EW58" t="s">
        <v>336</v>
      </c>
      <c r="EX58" t="s">
        <v>336</v>
      </c>
      <c r="EY58" t="s">
        <v>336</v>
      </c>
      <c r="EZ58">
        <v>0</v>
      </c>
      <c r="FA58">
        <v>100</v>
      </c>
      <c r="FB58">
        <v>100</v>
      </c>
      <c r="FC58">
        <v>6.232</v>
      </c>
      <c r="FD58">
        <v>0.0806</v>
      </c>
      <c r="FE58">
        <v>6.23135000000002</v>
      </c>
      <c r="FF58">
        <v>0</v>
      </c>
      <c r="FG58">
        <v>0</v>
      </c>
      <c r="FH58">
        <v>0</v>
      </c>
      <c r="FI58">
        <v>0.08059047619047632</v>
      </c>
      <c r="FJ58">
        <v>0</v>
      </c>
      <c r="FK58">
        <v>0</v>
      </c>
      <c r="FL58">
        <v>0</v>
      </c>
      <c r="FM58">
        <v>-1</v>
      </c>
      <c r="FN58">
        <v>-1</v>
      </c>
      <c r="FO58">
        <v>-1</v>
      </c>
      <c r="FP58">
        <v>-1</v>
      </c>
      <c r="FQ58">
        <v>42.5</v>
      </c>
      <c r="FR58">
        <v>42.6</v>
      </c>
      <c r="FS58">
        <v>0.142822</v>
      </c>
      <c r="FT58">
        <v>4.99756</v>
      </c>
      <c r="FU58">
        <v>1.5979</v>
      </c>
      <c r="FV58">
        <v>2.12769</v>
      </c>
      <c r="FW58">
        <v>1.54785</v>
      </c>
      <c r="FX58">
        <v>2.46948</v>
      </c>
      <c r="FY58">
        <v>44.4735</v>
      </c>
      <c r="FZ58">
        <v>16.0321</v>
      </c>
      <c r="GA58">
        <v>3</v>
      </c>
      <c r="GB58">
        <v>519.298</v>
      </c>
      <c r="GC58">
        <v>310.469</v>
      </c>
      <c r="GD58">
        <v>28.1992</v>
      </c>
      <c r="GE58">
        <v>37.2676</v>
      </c>
      <c r="GF58">
        <v>30.0007</v>
      </c>
      <c r="GG58">
        <v>37.1344</v>
      </c>
      <c r="GH58">
        <v>37.119</v>
      </c>
      <c r="GI58">
        <v>-1</v>
      </c>
      <c r="GJ58">
        <v>100</v>
      </c>
      <c r="GK58">
        <v>0</v>
      </c>
      <c r="GL58">
        <v>28.1527</v>
      </c>
      <c r="GM58">
        <v>1200</v>
      </c>
      <c r="GN58">
        <v>19.4378</v>
      </c>
      <c r="GO58">
        <v>101.288</v>
      </c>
      <c r="GP58">
        <v>96.25109999999999</v>
      </c>
    </row>
    <row r="59" spans="1:198">
      <c r="A59">
        <v>43</v>
      </c>
      <c r="B59">
        <v>1773198620.1</v>
      </c>
      <c r="C59">
        <v>2520.099999904633</v>
      </c>
      <c r="D59" t="s">
        <v>419</v>
      </c>
      <c r="E59" t="s">
        <v>420</v>
      </c>
      <c r="F59">
        <v>15</v>
      </c>
      <c r="G59">
        <v>1773198612.099999</v>
      </c>
      <c r="H59">
        <f>(I59)/1000</f>
        <v>0</v>
      </c>
      <c r="I59">
        <f>1000*AY59*AG59*(AU59-AV59)/(100*AN59*(1000-AG59*AU59))</f>
        <v>0</v>
      </c>
      <c r="J59">
        <f>AY59*AG59*(AT59-AS59*(1000-AG59*AV59)/(1000-AG59*AU59))/(100*AN59)</f>
        <v>0</v>
      </c>
      <c r="K59">
        <f>AS59 - IF(AG59&gt;1, J59*AN59*100.0/(AI59), 0)</f>
        <v>0</v>
      </c>
      <c r="L59">
        <f>((R59-H59/2)*K59-J59)/(R59+H59/2)</f>
        <v>0</v>
      </c>
      <c r="M59">
        <f>L59*(AZ59+BA59)/1000.0</f>
        <v>0</v>
      </c>
      <c r="N59">
        <f>(AS59 - IF(AG59&gt;1, J59*AN59*100.0/(AI59), 0))*(AZ59+BA59)/1000.0</f>
        <v>0</v>
      </c>
      <c r="O59">
        <f>2.0/((1/Q59-1/P59)+SIGN(Q59)*SQRT((1/Q59-1/P59)*(1/Q59-1/P59) + 4*AO59/((AO59+1)*(AO59+1))*(2*1/Q59*1/P59-1/P59*1/P59)))</f>
        <v>0</v>
      </c>
      <c r="P59">
        <f>IF(LEFT(AP59,1)&lt;&gt;"0",IF(LEFT(AP59,1)="1",3.0,AQ59),$D$5+$E$5*(BG59*AZ59/($K$5*1000))+$F$5*(BG59*AZ59/($K$5*1000))*MAX(MIN(AN59,$J$5),$I$5)*MAX(MIN(AN59,$J$5),$I$5)+$G$5*MAX(MIN(AN59,$J$5),$I$5)*(BG59*AZ59/($K$5*1000))+$H$5*(BG59*AZ59/($K$5*1000))*(BG59*AZ59/($K$5*1000)))</f>
        <v>0</v>
      </c>
      <c r="Q59">
        <f>H59*(1000-(1000*0.61365*exp(17.502*U59/(240.97+U59))/(AZ59+BA59)+AU59)/2)/(1000*0.61365*exp(17.502*U59/(240.97+U59))/(AZ59+BA59)-AU59)</f>
        <v>0</v>
      </c>
      <c r="R59">
        <f>1/((AO59+1)/(O59/1.6)+1/(P59/1.37)) + AO59/((AO59+1)/(O59/1.6) + AO59/(P59/1.37))</f>
        <v>0</v>
      </c>
      <c r="S59">
        <f>(AJ59*AM59)</f>
        <v>0</v>
      </c>
      <c r="T59">
        <f>(BB59+(S59+2*0.95*5.67E-8*(((BB59+$B$7)+273)^4-(BB59+273)^4)-44100*H59)/(1.84*29.3*P59+8*0.95*5.67E-8*(BB59+273)^3))</f>
        <v>0</v>
      </c>
      <c r="U59">
        <f>($C$7*BC59+$D$7*BD59+$E$7*T59)</f>
        <v>0</v>
      </c>
      <c r="V59">
        <f>0.61365*exp(17.502*U59/(240.97+U59))</f>
        <v>0</v>
      </c>
      <c r="W59">
        <f>(X59/Y59*100)</f>
        <v>0</v>
      </c>
      <c r="X59">
        <f>AU59*(AZ59+BA59)/1000</f>
        <v>0</v>
      </c>
      <c r="Y59">
        <f>0.61365*exp(17.502*BB59/(240.97+BB59))</f>
        <v>0</v>
      </c>
      <c r="Z59">
        <f>(V59-AU59*(AZ59+BA59)/1000)</f>
        <v>0</v>
      </c>
      <c r="AA59">
        <f>(-H59*44100)</f>
        <v>0</v>
      </c>
      <c r="AB59">
        <f>2*29.3*P59*0.92*(BB59-U59)</f>
        <v>0</v>
      </c>
      <c r="AC59">
        <f>2*0.95*5.67E-8*(((BB59+$B$7)+273)^4-(U59+273)^4)</f>
        <v>0</v>
      </c>
      <c r="AD59">
        <f>S59+AC59+AA59+AB59</f>
        <v>0</v>
      </c>
      <c r="AE59">
        <v>0</v>
      </c>
      <c r="AF59">
        <v>0</v>
      </c>
      <c r="AG59">
        <f>IF(AE59*$H$13&gt;=AI59,1.0,(AI59/(AI59-AE59*$H$13)))</f>
        <v>0</v>
      </c>
      <c r="AH59">
        <f>(AG59-1)*100</f>
        <v>0</v>
      </c>
      <c r="AI59">
        <f>MAX(0,($B$13+$C$13*BG59)/(1+$D$13*BG59)*AZ59/(BB59+273)*$E$13)</f>
        <v>0</v>
      </c>
      <c r="AJ59">
        <f>$B$11*BH59+$C$11*BI59+$D$11*BT59</f>
        <v>0</v>
      </c>
      <c r="AK59">
        <f>AJ59*AL59</f>
        <v>0</v>
      </c>
      <c r="AL59">
        <f>($B$11*$D$9+$C$11*$D$9+$D$11*(BU59*$E$9+BV59*$G$9))/($B$11+$C$11+$D$11)</f>
        <v>0</v>
      </c>
      <c r="AM59">
        <f>($B$11*$K$9+$C$11*$K$9+$D$11*(BU59*$L$9+BV59*$N$9))/($B$11+$C$11+$D$11)</f>
        <v>0</v>
      </c>
      <c r="AN59">
        <v>3</v>
      </c>
      <c r="AO59">
        <v>0.5</v>
      </c>
      <c r="AP59" t="s">
        <v>331</v>
      </c>
      <c r="AQ59">
        <v>2</v>
      </c>
      <c r="AR59">
        <v>1773198612.099999</v>
      </c>
      <c r="AS59">
        <v>430.8988387096774</v>
      </c>
      <c r="AT59">
        <v>428.9274516129032</v>
      </c>
      <c r="AU59">
        <v>9.978687741935484</v>
      </c>
      <c r="AV59">
        <v>8.715599032258064</v>
      </c>
      <c r="AW59">
        <v>424.6675161290322</v>
      </c>
      <c r="AX59">
        <v>9.898097419354837</v>
      </c>
      <c r="AY59">
        <v>499.9906451612903</v>
      </c>
      <c r="AZ59">
        <v>100.2465161290323</v>
      </c>
      <c r="BA59">
        <v>0.04629311935483871</v>
      </c>
      <c r="BB59">
        <v>30.82070322580645</v>
      </c>
      <c r="BC59">
        <v>30.5941</v>
      </c>
      <c r="BD59">
        <v>999.9000000000003</v>
      </c>
      <c r="BE59">
        <v>0</v>
      </c>
      <c r="BF59">
        <v>0</v>
      </c>
      <c r="BG59">
        <v>5002.080645161291</v>
      </c>
      <c r="BH59">
        <v>1.565891612903226</v>
      </c>
      <c r="BI59">
        <v>2154.287741935484</v>
      </c>
      <c r="BJ59">
        <v>1.971392903225807</v>
      </c>
      <c r="BK59">
        <v>435.2419032258064</v>
      </c>
      <c r="BL59">
        <v>432.6987419354838</v>
      </c>
      <c r="BM59">
        <v>1.263086451612903</v>
      </c>
      <c r="BN59">
        <v>428.9274516129032</v>
      </c>
      <c r="BO59">
        <v>8.715599032258064</v>
      </c>
      <c r="BP59">
        <v>1.000329451612903</v>
      </c>
      <c r="BQ59">
        <v>0.873709064516129</v>
      </c>
      <c r="BR59">
        <v>6.921172580645162</v>
      </c>
      <c r="BS59">
        <v>4.964812580645162</v>
      </c>
      <c r="BT59">
        <v>0</v>
      </c>
      <c r="BU59">
        <v>0</v>
      </c>
      <c r="BV59">
        <v>0</v>
      </c>
      <c r="BW59">
        <v>36</v>
      </c>
      <c r="BX59">
        <v>54.97742580645161</v>
      </c>
      <c r="BY59">
        <v>1773196010</v>
      </c>
      <c r="BZ59" t="s">
        <v>332</v>
      </c>
      <c r="CA59">
        <v>1773196010</v>
      </c>
      <c r="CB59">
        <v>1773196005.5</v>
      </c>
      <c r="CC59">
        <v>2</v>
      </c>
      <c r="CD59">
        <v>-0.279</v>
      </c>
      <c r="CE59">
        <v>-0.021</v>
      </c>
      <c r="CF59">
        <v>6.231</v>
      </c>
      <c r="CG59">
        <v>0.081</v>
      </c>
      <c r="CH59">
        <v>432</v>
      </c>
      <c r="CI59">
        <v>21</v>
      </c>
      <c r="CJ59">
        <v>0.03</v>
      </c>
      <c r="CK59">
        <v>0.06</v>
      </c>
      <c r="CL59">
        <v>428.9271666666666</v>
      </c>
      <c r="CM59">
        <v>1.597107897665234</v>
      </c>
      <c r="CN59">
        <v>0.1267328116769865</v>
      </c>
      <c r="CO59">
        <v>-1</v>
      </c>
      <c r="CP59">
        <v>499.9906666666666</v>
      </c>
      <c r="CQ59">
        <v>-0.3903003337039337</v>
      </c>
      <c r="CR59">
        <v>0.07702048789481243</v>
      </c>
      <c r="CS59">
        <v>-1</v>
      </c>
      <c r="CT59">
        <v>0</v>
      </c>
      <c r="CU59">
        <v>0</v>
      </c>
      <c r="CV59" t="s">
        <v>333</v>
      </c>
      <c r="CW59">
        <v>3.17008</v>
      </c>
      <c r="CX59">
        <v>2.66782</v>
      </c>
      <c r="CY59">
        <v>0.100838</v>
      </c>
      <c r="CZ59">
        <v>0.101613</v>
      </c>
      <c r="DA59">
        <v>0.0581964</v>
      </c>
      <c r="DB59">
        <v>0.0524069</v>
      </c>
      <c r="DC59">
        <v>21334.9</v>
      </c>
      <c r="DD59">
        <v>21865.7</v>
      </c>
      <c r="DE59">
        <v>22874.6</v>
      </c>
      <c r="DF59">
        <v>22282.2</v>
      </c>
      <c r="DG59">
        <v>32574.7</v>
      </c>
      <c r="DH59">
        <v>29746.9</v>
      </c>
      <c r="DI59">
        <v>40254.8</v>
      </c>
      <c r="DJ59">
        <v>36859.1</v>
      </c>
      <c r="DK59">
        <v>2.03158</v>
      </c>
      <c r="DL59">
        <v>1.54448</v>
      </c>
      <c r="DM59">
        <v>-0.0872672</v>
      </c>
      <c r="DN59">
        <v>0</v>
      </c>
      <c r="DO59">
        <v>32.0122</v>
      </c>
      <c r="DP59">
        <v>999.9</v>
      </c>
      <c r="DQ59">
        <v>33.6</v>
      </c>
      <c r="DR59">
        <v>39.1</v>
      </c>
      <c r="DS59">
        <v>23.6767</v>
      </c>
      <c r="DT59">
        <v>30.2554</v>
      </c>
      <c r="DU59">
        <v>13.2572</v>
      </c>
      <c r="DV59">
        <v>1</v>
      </c>
      <c r="DW59">
        <v>0.838222</v>
      </c>
      <c r="DX59">
        <v>3.60963</v>
      </c>
      <c r="DY59">
        <v>20.3149</v>
      </c>
      <c r="DZ59">
        <v>5.20878</v>
      </c>
      <c r="EA59">
        <v>11.8542</v>
      </c>
      <c r="EB59">
        <v>4.96676</v>
      </c>
      <c r="EC59">
        <v>3.293</v>
      </c>
      <c r="ED59">
        <v>879.4</v>
      </c>
      <c r="EE59">
        <v>9999</v>
      </c>
      <c r="EF59">
        <v>9999</v>
      </c>
      <c r="EG59">
        <v>76.7</v>
      </c>
      <c r="EH59">
        <v>4.9716</v>
      </c>
      <c r="EI59">
        <v>1.8721</v>
      </c>
      <c r="EJ59">
        <v>1.86948</v>
      </c>
      <c r="EK59">
        <v>1.87179</v>
      </c>
      <c r="EL59">
        <v>1.86951</v>
      </c>
      <c r="EM59">
        <v>1.8684</v>
      </c>
      <c r="EN59">
        <v>1.87025</v>
      </c>
      <c r="EO59">
        <v>1.87195</v>
      </c>
      <c r="EP59">
        <v>0</v>
      </c>
      <c r="EQ59">
        <v>0</v>
      </c>
      <c r="ER59">
        <v>0</v>
      </c>
      <c r="ES59">
        <v>0</v>
      </c>
      <c r="ET59" t="s">
        <v>334</v>
      </c>
      <c r="EU59" t="s">
        <v>335</v>
      </c>
      <c r="EV59" t="s">
        <v>336</v>
      </c>
      <c r="EW59" t="s">
        <v>336</v>
      </c>
      <c r="EX59" t="s">
        <v>336</v>
      </c>
      <c r="EY59" t="s">
        <v>336</v>
      </c>
      <c r="EZ59">
        <v>0</v>
      </c>
      <c r="FA59">
        <v>100</v>
      </c>
      <c r="FB59">
        <v>100</v>
      </c>
      <c r="FC59">
        <v>6.231</v>
      </c>
      <c r="FD59">
        <v>0.0806</v>
      </c>
      <c r="FE59">
        <v>6.23135000000002</v>
      </c>
      <c r="FF59">
        <v>0</v>
      </c>
      <c r="FG59">
        <v>0</v>
      </c>
      <c r="FH59">
        <v>0</v>
      </c>
      <c r="FI59">
        <v>0.08059047619047632</v>
      </c>
      <c r="FJ59">
        <v>0</v>
      </c>
      <c r="FK59">
        <v>0</v>
      </c>
      <c r="FL59">
        <v>0</v>
      </c>
      <c r="FM59">
        <v>-1</v>
      </c>
      <c r="FN59">
        <v>-1</v>
      </c>
      <c r="FO59">
        <v>-1</v>
      </c>
      <c r="FP59">
        <v>-1</v>
      </c>
      <c r="FQ59">
        <v>43.5</v>
      </c>
      <c r="FR59">
        <v>43.6</v>
      </c>
      <c r="FS59">
        <v>0.142822</v>
      </c>
      <c r="FT59">
        <v>4.99756</v>
      </c>
      <c r="FU59">
        <v>1.5979</v>
      </c>
      <c r="FV59">
        <v>2.12646</v>
      </c>
      <c r="FW59">
        <v>1.54785</v>
      </c>
      <c r="FX59">
        <v>2.42432</v>
      </c>
      <c r="FY59">
        <v>44.6132</v>
      </c>
      <c r="FZ59">
        <v>16.0146</v>
      </c>
      <c r="GA59">
        <v>3</v>
      </c>
      <c r="GB59">
        <v>519.197</v>
      </c>
      <c r="GC59">
        <v>309.403</v>
      </c>
      <c r="GD59">
        <v>27.9246</v>
      </c>
      <c r="GE59">
        <v>37.3165</v>
      </c>
      <c r="GF59">
        <v>30.0006</v>
      </c>
      <c r="GG59">
        <v>37.1798</v>
      </c>
      <c r="GH59">
        <v>37.1677</v>
      </c>
      <c r="GI59">
        <v>-1</v>
      </c>
      <c r="GJ59">
        <v>100</v>
      </c>
      <c r="GK59">
        <v>0</v>
      </c>
      <c r="GL59">
        <v>27.9126</v>
      </c>
      <c r="GM59">
        <v>1200</v>
      </c>
      <c r="GN59">
        <v>19.4378</v>
      </c>
      <c r="GO59">
        <v>101.279</v>
      </c>
      <c r="GP59">
        <v>96.2462</v>
      </c>
    </row>
    <row r="60" spans="1:198">
      <c r="A60">
        <v>44</v>
      </c>
      <c r="B60">
        <v>1773198680.1</v>
      </c>
      <c r="C60">
        <v>2580.099999904633</v>
      </c>
      <c r="D60" t="s">
        <v>421</v>
      </c>
      <c r="E60" t="s">
        <v>422</v>
      </c>
      <c r="F60">
        <v>15</v>
      </c>
      <c r="G60">
        <v>1773198672.099999</v>
      </c>
      <c r="H60">
        <f>(I60)/1000</f>
        <v>0</v>
      </c>
      <c r="I60">
        <f>1000*AY60*AG60*(AU60-AV60)/(100*AN60*(1000-AG60*AU60))</f>
        <v>0</v>
      </c>
      <c r="J60">
        <f>AY60*AG60*(AT60-AS60*(1000-AG60*AV60)/(1000-AG60*AU60))/(100*AN60)</f>
        <v>0</v>
      </c>
      <c r="K60">
        <f>AS60 - IF(AG60&gt;1, J60*AN60*100.0/(AI60), 0)</f>
        <v>0</v>
      </c>
      <c r="L60">
        <f>((R60-H60/2)*K60-J60)/(R60+H60/2)</f>
        <v>0</v>
      </c>
      <c r="M60">
        <f>L60*(AZ60+BA60)/1000.0</f>
        <v>0</v>
      </c>
      <c r="N60">
        <f>(AS60 - IF(AG60&gt;1, J60*AN60*100.0/(AI60), 0))*(AZ60+BA60)/1000.0</f>
        <v>0</v>
      </c>
      <c r="O60">
        <f>2.0/((1/Q60-1/P60)+SIGN(Q60)*SQRT((1/Q60-1/P60)*(1/Q60-1/P60) + 4*AO60/((AO60+1)*(AO60+1))*(2*1/Q60*1/P60-1/P60*1/P60)))</f>
        <v>0</v>
      </c>
      <c r="P60">
        <f>IF(LEFT(AP60,1)&lt;&gt;"0",IF(LEFT(AP60,1)="1",3.0,AQ60),$D$5+$E$5*(BG60*AZ60/($K$5*1000))+$F$5*(BG60*AZ60/($K$5*1000))*MAX(MIN(AN60,$J$5),$I$5)*MAX(MIN(AN60,$J$5),$I$5)+$G$5*MAX(MIN(AN60,$J$5),$I$5)*(BG60*AZ60/($K$5*1000))+$H$5*(BG60*AZ60/($K$5*1000))*(BG60*AZ60/($K$5*1000)))</f>
        <v>0</v>
      </c>
      <c r="Q60">
        <f>H60*(1000-(1000*0.61365*exp(17.502*U60/(240.97+U60))/(AZ60+BA60)+AU60)/2)/(1000*0.61365*exp(17.502*U60/(240.97+U60))/(AZ60+BA60)-AU60)</f>
        <v>0</v>
      </c>
      <c r="R60">
        <f>1/((AO60+1)/(O60/1.6)+1/(P60/1.37)) + AO60/((AO60+1)/(O60/1.6) + AO60/(P60/1.37))</f>
        <v>0</v>
      </c>
      <c r="S60">
        <f>(AJ60*AM60)</f>
        <v>0</v>
      </c>
      <c r="T60">
        <f>(BB60+(S60+2*0.95*5.67E-8*(((BB60+$B$7)+273)^4-(BB60+273)^4)-44100*H60)/(1.84*29.3*P60+8*0.95*5.67E-8*(BB60+273)^3))</f>
        <v>0</v>
      </c>
      <c r="U60">
        <f>($C$7*BC60+$D$7*BD60+$E$7*T60)</f>
        <v>0</v>
      </c>
      <c r="V60">
        <f>0.61365*exp(17.502*U60/(240.97+U60))</f>
        <v>0</v>
      </c>
      <c r="W60">
        <f>(X60/Y60*100)</f>
        <v>0</v>
      </c>
      <c r="X60">
        <f>AU60*(AZ60+BA60)/1000</f>
        <v>0</v>
      </c>
      <c r="Y60">
        <f>0.61365*exp(17.502*BB60/(240.97+BB60))</f>
        <v>0</v>
      </c>
      <c r="Z60">
        <f>(V60-AU60*(AZ60+BA60)/1000)</f>
        <v>0</v>
      </c>
      <c r="AA60">
        <f>(-H60*44100)</f>
        <v>0</v>
      </c>
      <c r="AB60">
        <f>2*29.3*P60*0.92*(BB60-U60)</f>
        <v>0</v>
      </c>
      <c r="AC60">
        <f>2*0.95*5.67E-8*(((BB60+$B$7)+273)^4-(U60+273)^4)</f>
        <v>0</v>
      </c>
      <c r="AD60">
        <f>S60+AC60+AA60+AB60</f>
        <v>0</v>
      </c>
      <c r="AE60">
        <v>0</v>
      </c>
      <c r="AF60">
        <v>0</v>
      </c>
      <c r="AG60">
        <f>IF(AE60*$H$13&gt;=AI60,1.0,(AI60/(AI60-AE60*$H$13)))</f>
        <v>0</v>
      </c>
      <c r="AH60">
        <f>(AG60-1)*100</f>
        <v>0</v>
      </c>
      <c r="AI60">
        <f>MAX(0,($B$13+$C$13*BG60)/(1+$D$13*BG60)*AZ60/(BB60+273)*$E$13)</f>
        <v>0</v>
      </c>
      <c r="AJ60">
        <f>$B$11*BH60+$C$11*BI60+$D$11*BT60</f>
        <v>0</v>
      </c>
      <c r="AK60">
        <f>AJ60*AL60</f>
        <v>0</v>
      </c>
      <c r="AL60">
        <f>($B$11*$D$9+$C$11*$D$9+$D$11*(BU60*$E$9+BV60*$G$9))/($B$11+$C$11+$D$11)</f>
        <v>0</v>
      </c>
      <c r="AM60">
        <f>($B$11*$K$9+$C$11*$K$9+$D$11*(BU60*$L$9+BV60*$N$9))/($B$11+$C$11+$D$11)</f>
        <v>0</v>
      </c>
      <c r="AN60">
        <v>3</v>
      </c>
      <c r="AO60">
        <v>0.5</v>
      </c>
      <c r="AP60" t="s">
        <v>331</v>
      </c>
      <c r="AQ60">
        <v>2</v>
      </c>
      <c r="AR60">
        <v>1773198672.099999</v>
      </c>
      <c r="AS60">
        <v>429.1257096774194</v>
      </c>
      <c r="AT60">
        <v>426.8524516129032</v>
      </c>
      <c r="AU60">
        <v>10.05918387096774</v>
      </c>
      <c r="AV60">
        <v>8.809490645161292</v>
      </c>
      <c r="AW60">
        <v>422.8943548387096</v>
      </c>
      <c r="AX60">
        <v>9.978590322580645</v>
      </c>
      <c r="AY60">
        <v>499.9935806451613</v>
      </c>
      <c r="AZ60">
        <v>100.2465483870968</v>
      </c>
      <c r="BA60">
        <v>0.04620836451612904</v>
      </c>
      <c r="BB60">
        <v>30.77578387096775</v>
      </c>
      <c r="BC60">
        <v>30.56239677419354</v>
      </c>
      <c r="BD60">
        <v>999.9000000000003</v>
      </c>
      <c r="BE60">
        <v>0</v>
      </c>
      <c r="BF60">
        <v>0</v>
      </c>
      <c r="BG60">
        <v>4997.983870967741</v>
      </c>
      <c r="BH60">
        <v>1.516168064516129</v>
      </c>
      <c r="BI60">
        <v>2124.524193548387</v>
      </c>
      <c r="BJ60">
        <v>2.273212903225806</v>
      </c>
      <c r="BK60">
        <v>433.4861935483871</v>
      </c>
      <c r="BL60">
        <v>430.6461612903226</v>
      </c>
      <c r="BM60">
        <v>1.249690322580645</v>
      </c>
      <c r="BN60">
        <v>426.8524516129032</v>
      </c>
      <c r="BO60">
        <v>8.809490645161292</v>
      </c>
      <c r="BP60">
        <v>1.008399032258065</v>
      </c>
      <c r="BQ60">
        <v>0.8831209677419355</v>
      </c>
      <c r="BR60">
        <v>7.038287096774193</v>
      </c>
      <c r="BS60">
        <v>5.118580322580645</v>
      </c>
      <c r="BT60">
        <v>0</v>
      </c>
      <c r="BU60">
        <v>0</v>
      </c>
      <c r="BV60">
        <v>0</v>
      </c>
      <c r="BW60">
        <v>36</v>
      </c>
      <c r="BX60">
        <v>54.02151612903226</v>
      </c>
      <c r="BY60">
        <v>1773196010</v>
      </c>
      <c r="BZ60" t="s">
        <v>332</v>
      </c>
      <c r="CA60">
        <v>1773196010</v>
      </c>
      <c r="CB60">
        <v>1773196005.5</v>
      </c>
      <c r="CC60">
        <v>2</v>
      </c>
      <c r="CD60">
        <v>-0.279</v>
      </c>
      <c r="CE60">
        <v>-0.021</v>
      </c>
      <c r="CF60">
        <v>6.231</v>
      </c>
      <c r="CG60">
        <v>0.081</v>
      </c>
      <c r="CH60">
        <v>432</v>
      </c>
      <c r="CI60">
        <v>21</v>
      </c>
      <c r="CJ60">
        <v>0.03</v>
      </c>
      <c r="CK60">
        <v>0.06</v>
      </c>
      <c r="CL60">
        <v>426.8597096774194</v>
      </c>
      <c r="CM60">
        <v>-0.5790000000009281</v>
      </c>
      <c r="CN60">
        <v>0.04694897267651017</v>
      </c>
      <c r="CO60">
        <v>-1</v>
      </c>
      <c r="CP60">
        <v>499.9929677419354</v>
      </c>
      <c r="CQ60">
        <v>-0.1208709677411831</v>
      </c>
      <c r="CR60">
        <v>0.0483451861505708</v>
      </c>
      <c r="CS60">
        <v>-1</v>
      </c>
      <c r="CT60">
        <v>0</v>
      </c>
      <c r="CU60">
        <v>0</v>
      </c>
      <c r="CV60" t="s">
        <v>333</v>
      </c>
      <c r="CW60">
        <v>3.17016</v>
      </c>
      <c r="CX60">
        <v>2.66742</v>
      </c>
      <c r="CY60">
        <v>0.100467</v>
      </c>
      <c r="CZ60">
        <v>0.101223</v>
      </c>
      <c r="DA60">
        <v>0.0585189</v>
      </c>
      <c r="DB60">
        <v>0.0528148</v>
      </c>
      <c r="DC60">
        <v>21342</v>
      </c>
      <c r="DD60">
        <v>21874.4</v>
      </c>
      <c r="DE60">
        <v>22873</v>
      </c>
      <c r="DF60">
        <v>22281.6</v>
      </c>
      <c r="DG60">
        <v>32561.5</v>
      </c>
      <c r="DH60">
        <v>29732.9</v>
      </c>
      <c r="DI60">
        <v>40252.3</v>
      </c>
      <c r="DJ60">
        <v>36857.7</v>
      </c>
      <c r="DK60">
        <v>2.0312</v>
      </c>
      <c r="DL60">
        <v>1.54548</v>
      </c>
      <c r="DM60">
        <v>-0.087738</v>
      </c>
      <c r="DN60">
        <v>0</v>
      </c>
      <c r="DO60">
        <v>31.9853</v>
      </c>
      <c r="DP60">
        <v>999.9</v>
      </c>
      <c r="DQ60">
        <v>32.6</v>
      </c>
      <c r="DR60">
        <v>39.3</v>
      </c>
      <c r="DS60">
        <v>23.2206</v>
      </c>
      <c r="DT60">
        <v>30.2854</v>
      </c>
      <c r="DU60">
        <v>13.3333</v>
      </c>
      <c r="DV60">
        <v>1</v>
      </c>
      <c r="DW60">
        <v>0.838839</v>
      </c>
      <c r="DX60">
        <v>3.16868</v>
      </c>
      <c r="DY60">
        <v>20.326</v>
      </c>
      <c r="DZ60">
        <v>5.20926</v>
      </c>
      <c r="EA60">
        <v>11.8542</v>
      </c>
      <c r="EB60">
        <v>4.96724</v>
      </c>
      <c r="EC60">
        <v>3.29298</v>
      </c>
      <c r="ED60">
        <v>879.4</v>
      </c>
      <c r="EE60">
        <v>9999</v>
      </c>
      <c r="EF60">
        <v>9999</v>
      </c>
      <c r="EG60">
        <v>76.7</v>
      </c>
      <c r="EH60">
        <v>4.97159</v>
      </c>
      <c r="EI60">
        <v>1.8721</v>
      </c>
      <c r="EJ60">
        <v>1.8695</v>
      </c>
      <c r="EK60">
        <v>1.87179</v>
      </c>
      <c r="EL60">
        <v>1.86951</v>
      </c>
      <c r="EM60">
        <v>1.86841</v>
      </c>
      <c r="EN60">
        <v>1.87026</v>
      </c>
      <c r="EO60">
        <v>1.87195</v>
      </c>
      <c r="EP60">
        <v>0</v>
      </c>
      <c r="EQ60">
        <v>0</v>
      </c>
      <c r="ER60">
        <v>0</v>
      </c>
      <c r="ES60">
        <v>0</v>
      </c>
      <c r="ET60" t="s">
        <v>334</v>
      </c>
      <c r="EU60" t="s">
        <v>335</v>
      </c>
      <c r="EV60" t="s">
        <v>336</v>
      </c>
      <c r="EW60" t="s">
        <v>336</v>
      </c>
      <c r="EX60" t="s">
        <v>336</v>
      </c>
      <c r="EY60" t="s">
        <v>336</v>
      </c>
      <c r="EZ60">
        <v>0</v>
      </c>
      <c r="FA60">
        <v>100</v>
      </c>
      <c r="FB60">
        <v>100</v>
      </c>
      <c r="FC60">
        <v>6.232</v>
      </c>
      <c r="FD60">
        <v>0.0805</v>
      </c>
      <c r="FE60">
        <v>6.23135000000002</v>
      </c>
      <c r="FF60">
        <v>0</v>
      </c>
      <c r="FG60">
        <v>0</v>
      </c>
      <c r="FH60">
        <v>0</v>
      </c>
      <c r="FI60">
        <v>0.08059047619047632</v>
      </c>
      <c r="FJ60">
        <v>0</v>
      </c>
      <c r="FK60">
        <v>0</v>
      </c>
      <c r="FL60">
        <v>0</v>
      </c>
      <c r="FM60">
        <v>-1</v>
      </c>
      <c r="FN60">
        <v>-1</v>
      </c>
      <c r="FO60">
        <v>-1</v>
      </c>
      <c r="FP60">
        <v>-1</v>
      </c>
      <c r="FQ60">
        <v>44.5</v>
      </c>
      <c r="FR60">
        <v>44.6</v>
      </c>
      <c r="FS60">
        <v>0.142822</v>
      </c>
      <c r="FT60">
        <v>4.99756</v>
      </c>
      <c r="FU60">
        <v>1.5979</v>
      </c>
      <c r="FV60">
        <v>2.12524</v>
      </c>
      <c r="FW60">
        <v>1.54785</v>
      </c>
      <c r="FX60">
        <v>2.35229</v>
      </c>
      <c r="FY60">
        <v>44.7534</v>
      </c>
      <c r="FZ60">
        <v>16.0146</v>
      </c>
      <c r="GA60">
        <v>3</v>
      </c>
      <c r="GB60">
        <v>519.265</v>
      </c>
      <c r="GC60">
        <v>310.064</v>
      </c>
      <c r="GD60">
        <v>28.0957</v>
      </c>
      <c r="GE60">
        <v>37.3593</v>
      </c>
      <c r="GF60">
        <v>30.0003</v>
      </c>
      <c r="GG60">
        <v>37.2226</v>
      </c>
      <c r="GH60">
        <v>37.2088</v>
      </c>
      <c r="GI60">
        <v>-1</v>
      </c>
      <c r="GJ60">
        <v>100</v>
      </c>
      <c r="GK60">
        <v>0</v>
      </c>
      <c r="GL60">
        <v>28.112</v>
      </c>
      <c r="GM60">
        <v>1200</v>
      </c>
      <c r="GN60">
        <v>19.4378</v>
      </c>
      <c r="GO60">
        <v>101.272</v>
      </c>
      <c r="GP60">
        <v>96.2427</v>
      </c>
    </row>
    <row r="61" spans="1:198">
      <c r="A61">
        <v>45</v>
      </c>
      <c r="B61">
        <v>1773198740.1</v>
      </c>
      <c r="C61">
        <v>2640.099999904633</v>
      </c>
      <c r="D61" t="s">
        <v>423</v>
      </c>
      <c r="E61" t="s">
        <v>424</v>
      </c>
      <c r="F61">
        <v>15</v>
      </c>
      <c r="G61">
        <v>1773198732.099999</v>
      </c>
      <c r="H61">
        <f>(I61)/1000</f>
        <v>0</v>
      </c>
      <c r="I61">
        <f>1000*AY61*AG61*(AU61-AV61)/(100*AN61*(1000-AG61*AU61))</f>
        <v>0</v>
      </c>
      <c r="J61">
        <f>AY61*AG61*(AT61-AS61*(1000-AG61*AV61)/(1000-AG61*AU61))/(100*AN61)</f>
        <v>0</v>
      </c>
      <c r="K61">
        <f>AS61 - IF(AG61&gt;1, J61*AN61*100.0/(AI61), 0)</f>
        <v>0</v>
      </c>
      <c r="L61">
        <f>((R61-H61/2)*K61-J61)/(R61+H61/2)</f>
        <v>0</v>
      </c>
      <c r="M61">
        <f>L61*(AZ61+BA61)/1000.0</f>
        <v>0</v>
      </c>
      <c r="N61">
        <f>(AS61 - IF(AG61&gt;1, J61*AN61*100.0/(AI61), 0))*(AZ61+BA61)/1000.0</f>
        <v>0</v>
      </c>
      <c r="O61">
        <f>2.0/((1/Q61-1/P61)+SIGN(Q61)*SQRT((1/Q61-1/P61)*(1/Q61-1/P61) + 4*AO61/((AO61+1)*(AO61+1))*(2*1/Q61*1/P61-1/P61*1/P61)))</f>
        <v>0</v>
      </c>
      <c r="P61">
        <f>IF(LEFT(AP61,1)&lt;&gt;"0",IF(LEFT(AP61,1)="1",3.0,AQ61),$D$5+$E$5*(BG61*AZ61/($K$5*1000))+$F$5*(BG61*AZ61/($K$5*1000))*MAX(MIN(AN61,$J$5),$I$5)*MAX(MIN(AN61,$J$5),$I$5)+$G$5*MAX(MIN(AN61,$J$5),$I$5)*(BG61*AZ61/($K$5*1000))+$H$5*(BG61*AZ61/($K$5*1000))*(BG61*AZ61/($K$5*1000)))</f>
        <v>0</v>
      </c>
      <c r="Q61">
        <f>H61*(1000-(1000*0.61365*exp(17.502*U61/(240.97+U61))/(AZ61+BA61)+AU61)/2)/(1000*0.61365*exp(17.502*U61/(240.97+U61))/(AZ61+BA61)-AU61)</f>
        <v>0</v>
      </c>
      <c r="R61">
        <f>1/((AO61+1)/(O61/1.6)+1/(P61/1.37)) + AO61/((AO61+1)/(O61/1.6) + AO61/(P61/1.37))</f>
        <v>0</v>
      </c>
      <c r="S61">
        <f>(AJ61*AM61)</f>
        <v>0</v>
      </c>
      <c r="T61">
        <f>(BB61+(S61+2*0.95*5.67E-8*(((BB61+$B$7)+273)^4-(BB61+273)^4)-44100*H61)/(1.84*29.3*P61+8*0.95*5.67E-8*(BB61+273)^3))</f>
        <v>0</v>
      </c>
      <c r="U61">
        <f>($C$7*BC61+$D$7*BD61+$E$7*T61)</f>
        <v>0</v>
      </c>
      <c r="V61">
        <f>0.61365*exp(17.502*U61/(240.97+U61))</f>
        <v>0</v>
      </c>
      <c r="W61">
        <f>(X61/Y61*100)</f>
        <v>0</v>
      </c>
      <c r="X61">
        <f>AU61*(AZ61+BA61)/1000</f>
        <v>0</v>
      </c>
      <c r="Y61">
        <f>0.61365*exp(17.502*BB61/(240.97+BB61))</f>
        <v>0</v>
      </c>
      <c r="Z61">
        <f>(V61-AU61*(AZ61+BA61)/1000)</f>
        <v>0</v>
      </c>
      <c r="AA61">
        <f>(-H61*44100)</f>
        <v>0</v>
      </c>
      <c r="AB61">
        <f>2*29.3*P61*0.92*(BB61-U61)</f>
        <v>0</v>
      </c>
      <c r="AC61">
        <f>2*0.95*5.67E-8*(((BB61+$B$7)+273)^4-(U61+273)^4)</f>
        <v>0</v>
      </c>
      <c r="AD61">
        <f>S61+AC61+AA61+AB61</f>
        <v>0</v>
      </c>
      <c r="AE61">
        <v>0</v>
      </c>
      <c r="AF61">
        <v>0</v>
      </c>
      <c r="AG61">
        <f>IF(AE61*$H$13&gt;=AI61,1.0,(AI61/(AI61-AE61*$H$13)))</f>
        <v>0</v>
      </c>
      <c r="AH61">
        <f>(AG61-1)*100</f>
        <v>0</v>
      </c>
      <c r="AI61">
        <f>MAX(0,($B$13+$C$13*BG61)/(1+$D$13*BG61)*AZ61/(BB61+273)*$E$13)</f>
        <v>0</v>
      </c>
      <c r="AJ61">
        <f>$B$11*BH61+$C$11*BI61+$D$11*BT61</f>
        <v>0</v>
      </c>
      <c r="AK61">
        <f>AJ61*AL61</f>
        <v>0</v>
      </c>
      <c r="AL61">
        <f>($B$11*$D$9+$C$11*$D$9+$D$11*(BU61*$E$9+BV61*$G$9))/($B$11+$C$11+$D$11)</f>
        <v>0</v>
      </c>
      <c r="AM61">
        <f>($B$11*$K$9+$C$11*$K$9+$D$11*(BU61*$L$9+BV61*$N$9))/($B$11+$C$11+$D$11)</f>
        <v>0</v>
      </c>
      <c r="AN61">
        <v>3</v>
      </c>
      <c r="AO61">
        <v>0.5</v>
      </c>
      <c r="AP61" t="s">
        <v>331</v>
      </c>
      <c r="AQ61">
        <v>2</v>
      </c>
      <c r="AR61">
        <v>1773198732.099999</v>
      </c>
      <c r="AS61">
        <v>428.9838064516129</v>
      </c>
      <c r="AT61">
        <v>426.8017419354839</v>
      </c>
      <c r="AU61">
        <v>10.14437419354839</v>
      </c>
      <c r="AV61">
        <v>8.921739677419353</v>
      </c>
      <c r="AW61">
        <v>422.7524193548387</v>
      </c>
      <c r="AX61">
        <v>10.06378387096774</v>
      </c>
      <c r="AY61">
        <v>500.0084838709678</v>
      </c>
      <c r="AZ61">
        <v>100.2455483870968</v>
      </c>
      <c r="BA61">
        <v>0.04611119677419356</v>
      </c>
      <c r="BB61">
        <v>30.79916129032259</v>
      </c>
      <c r="BC61">
        <v>30.606</v>
      </c>
      <c r="BD61">
        <v>999.9000000000003</v>
      </c>
      <c r="BE61">
        <v>0</v>
      </c>
      <c r="BF61">
        <v>0</v>
      </c>
      <c r="BG61">
        <v>5003.564516129032</v>
      </c>
      <c r="BH61">
        <v>1.54163</v>
      </c>
      <c r="BI61">
        <v>2119.606774193549</v>
      </c>
      <c r="BJ61">
        <v>2.182058387096774</v>
      </c>
      <c r="BK61">
        <v>433.3801612903226</v>
      </c>
      <c r="BL61">
        <v>430.6438387096774</v>
      </c>
      <c r="BM61">
        <v>1.222635483870968</v>
      </c>
      <c r="BN61">
        <v>426.8017419354839</v>
      </c>
      <c r="BO61">
        <v>8.921739677419353</v>
      </c>
      <c r="BP61">
        <v>1.016930967741935</v>
      </c>
      <c r="BQ61">
        <v>0.8943659677419356</v>
      </c>
      <c r="BR61">
        <v>7.16122064516129</v>
      </c>
      <c r="BS61">
        <v>5.300395806451611</v>
      </c>
      <c r="BT61">
        <v>0</v>
      </c>
      <c r="BU61">
        <v>0</v>
      </c>
      <c r="BV61">
        <v>0</v>
      </c>
      <c r="BW61">
        <v>36</v>
      </c>
      <c r="BX61">
        <v>54</v>
      </c>
      <c r="BY61">
        <v>1773196010</v>
      </c>
      <c r="BZ61" t="s">
        <v>332</v>
      </c>
      <c r="CA61">
        <v>1773196010</v>
      </c>
      <c r="CB61">
        <v>1773196005.5</v>
      </c>
      <c r="CC61">
        <v>2</v>
      </c>
      <c r="CD61">
        <v>-0.279</v>
      </c>
      <c r="CE61">
        <v>-0.021</v>
      </c>
      <c r="CF61">
        <v>6.231</v>
      </c>
      <c r="CG61">
        <v>0.081</v>
      </c>
      <c r="CH61">
        <v>432</v>
      </c>
      <c r="CI61">
        <v>21</v>
      </c>
      <c r="CJ61">
        <v>0.03</v>
      </c>
      <c r="CK61">
        <v>0.06</v>
      </c>
      <c r="CL61">
        <v>426.8017419354839</v>
      </c>
      <c r="CM61">
        <v>0.2116935483868046</v>
      </c>
      <c r="CN61">
        <v>0.02250300014683968</v>
      </c>
      <c r="CO61">
        <v>-1</v>
      </c>
      <c r="CP61">
        <v>500.0084838709678</v>
      </c>
      <c r="CQ61">
        <v>0.1400806451591433</v>
      </c>
      <c r="CR61">
        <v>0.04458834721758537</v>
      </c>
      <c r="CS61">
        <v>-1</v>
      </c>
      <c r="CT61">
        <v>0</v>
      </c>
      <c r="CU61">
        <v>0</v>
      </c>
      <c r="CV61" t="s">
        <v>333</v>
      </c>
      <c r="CW61">
        <v>3.17019</v>
      </c>
      <c r="CX61">
        <v>2.66723</v>
      </c>
      <c r="CY61">
        <v>0.100449</v>
      </c>
      <c r="CZ61">
        <v>0.101213</v>
      </c>
      <c r="DA61">
        <v>0.0589185</v>
      </c>
      <c r="DB61">
        <v>0.0533592</v>
      </c>
      <c r="DC61">
        <v>21339.8</v>
      </c>
      <c r="DD61">
        <v>21873</v>
      </c>
      <c r="DE61">
        <v>22870.4</v>
      </c>
      <c r="DF61">
        <v>22279.9</v>
      </c>
      <c r="DG61">
        <v>32544.2</v>
      </c>
      <c r="DH61">
        <v>29713.5</v>
      </c>
      <c r="DI61">
        <v>40248</v>
      </c>
      <c r="DJ61">
        <v>36854.9</v>
      </c>
      <c r="DK61">
        <v>2.03118</v>
      </c>
      <c r="DL61">
        <v>1.54294</v>
      </c>
      <c r="DM61">
        <v>-0.0831008</v>
      </c>
      <c r="DN61">
        <v>0</v>
      </c>
      <c r="DO61">
        <v>31.9687</v>
      </c>
      <c r="DP61">
        <v>999.9</v>
      </c>
      <c r="DQ61">
        <v>32.5</v>
      </c>
      <c r="DR61">
        <v>39.6</v>
      </c>
      <c r="DS61">
        <v>23.5272</v>
      </c>
      <c r="DT61">
        <v>29.9255</v>
      </c>
      <c r="DU61">
        <v>13.3253</v>
      </c>
      <c r="DV61">
        <v>1</v>
      </c>
      <c r="DW61">
        <v>0.843789</v>
      </c>
      <c r="DX61">
        <v>3.53971</v>
      </c>
      <c r="DY61">
        <v>20.316</v>
      </c>
      <c r="DZ61">
        <v>5.20914</v>
      </c>
      <c r="EA61">
        <v>11.8542</v>
      </c>
      <c r="EB61">
        <v>4.96728</v>
      </c>
      <c r="EC61">
        <v>3.293</v>
      </c>
      <c r="ED61">
        <v>879.4</v>
      </c>
      <c r="EE61">
        <v>9999</v>
      </c>
      <c r="EF61">
        <v>9999</v>
      </c>
      <c r="EG61">
        <v>76.8</v>
      </c>
      <c r="EH61">
        <v>4.97162</v>
      </c>
      <c r="EI61">
        <v>1.8721</v>
      </c>
      <c r="EJ61">
        <v>1.86945</v>
      </c>
      <c r="EK61">
        <v>1.8718</v>
      </c>
      <c r="EL61">
        <v>1.86952</v>
      </c>
      <c r="EM61">
        <v>1.86842</v>
      </c>
      <c r="EN61">
        <v>1.87024</v>
      </c>
      <c r="EO61">
        <v>1.87195</v>
      </c>
      <c r="EP61">
        <v>0</v>
      </c>
      <c r="EQ61">
        <v>0</v>
      </c>
      <c r="ER61">
        <v>0</v>
      </c>
      <c r="ES61">
        <v>0</v>
      </c>
      <c r="ET61" t="s">
        <v>334</v>
      </c>
      <c r="EU61" t="s">
        <v>335</v>
      </c>
      <c r="EV61" t="s">
        <v>336</v>
      </c>
      <c r="EW61" t="s">
        <v>336</v>
      </c>
      <c r="EX61" t="s">
        <v>336</v>
      </c>
      <c r="EY61" t="s">
        <v>336</v>
      </c>
      <c r="EZ61">
        <v>0</v>
      </c>
      <c r="FA61">
        <v>100</v>
      </c>
      <c r="FB61">
        <v>100</v>
      </c>
      <c r="FC61">
        <v>6.231</v>
      </c>
      <c r="FD61">
        <v>0.0806</v>
      </c>
      <c r="FE61">
        <v>6.23135000000002</v>
      </c>
      <c r="FF61">
        <v>0</v>
      </c>
      <c r="FG61">
        <v>0</v>
      </c>
      <c r="FH61">
        <v>0</v>
      </c>
      <c r="FI61">
        <v>0.08059047619047632</v>
      </c>
      <c r="FJ61">
        <v>0</v>
      </c>
      <c r="FK61">
        <v>0</v>
      </c>
      <c r="FL61">
        <v>0</v>
      </c>
      <c r="FM61">
        <v>-1</v>
      </c>
      <c r="FN61">
        <v>-1</v>
      </c>
      <c r="FO61">
        <v>-1</v>
      </c>
      <c r="FP61">
        <v>-1</v>
      </c>
      <c r="FQ61">
        <v>45.5</v>
      </c>
      <c r="FR61">
        <v>45.6</v>
      </c>
      <c r="FS61">
        <v>0.142822</v>
      </c>
      <c r="FT61">
        <v>4.99756</v>
      </c>
      <c r="FU61">
        <v>1.5979</v>
      </c>
      <c r="FV61">
        <v>2.12524</v>
      </c>
      <c r="FW61">
        <v>1.54785</v>
      </c>
      <c r="FX61">
        <v>2.4231</v>
      </c>
      <c r="FY61">
        <v>44.894</v>
      </c>
      <c r="FZ61">
        <v>16.0146</v>
      </c>
      <c r="GA61">
        <v>3</v>
      </c>
      <c r="GB61">
        <v>519.59</v>
      </c>
      <c r="GC61">
        <v>309.028</v>
      </c>
      <c r="GD61">
        <v>28.2533</v>
      </c>
      <c r="GE61">
        <v>37.4049</v>
      </c>
      <c r="GF61">
        <v>30.0012</v>
      </c>
      <c r="GG61">
        <v>37.2699</v>
      </c>
      <c r="GH61">
        <v>37.2577</v>
      </c>
      <c r="GI61">
        <v>-1</v>
      </c>
      <c r="GJ61">
        <v>100</v>
      </c>
      <c r="GK61">
        <v>0</v>
      </c>
      <c r="GL61">
        <v>28.1374</v>
      </c>
      <c r="GM61">
        <v>1200</v>
      </c>
      <c r="GN61">
        <v>19.4378</v>
      </c>
      <c r="GO61">
        <v>101.261</v>
      </c>
      <c r="GP61">
        <v>96.2355</v>
      </c>
    </row>
    <row r="62" spans="1:198">
      <c r="A62">
        <v>46</v>
      </c>
      <c r="B62">
        <v>1773198800.5</v>
      </c>
      <c r="C62">
        <v>2700.5</v>
      </c>
      <c r="D62" t="s">
        <v>425</v>
      </c>
      <c r="E62" t="s">
        <v>426</v>
      </c>
      <c r="F62">
        <v>15</v>
      </c>
      <c r="G62">
        <v>1773198792.75</v>
      </c>
      <c r="H62">
        <f>(I62)/1000</f>
        <v>0</v>
      </c>
      <c r="I62">
        <f>1000*AY62*AG62*(AU62-AV62)/(100*AN62*(1000-AG62*AU62))</f>
        <v>0</v>
      </c>
      <c r="J62">
        <f>AY62*AG62*(AT62-AS62*(1000-AG62*AV62)/(1000-AG62*AU62))/(100*AN62)</f>
        <v>0</v>
      </c>
      <c r="K62">
        <f>AS62 - IF(AG62&gt;1, J62*AN62*100.0/(AI62), 0)</f>
        <v>0</v>
      </c>
      <c r="L62">
        <f>((R62-H62/2)*K62-J62)/(R62+H62/2)</f>
        <v>0</v>
      </c>
      <c r="M62">
        <f>L62*(AZ62+BA62)/1000.0</f>
        <v>0</v>
      </c>
      <c r="N62">
        <f>(AS62 - IF(AG62&gt;1, J62*AN62*100.0/(AI62), 0))*(AZ62+BA62)/1000.0</f>
        <v>0</v>
      </c>
      <c r="O62">
        <f>2.0/((1/Q62-1/P62)+SIGN(Q62)*SQRT((1/Q62-1/P62)*(1/Q62-1/P62) + 4*AO62/((AO62+1)*(AO62+1))*(2*1/Q62*1/P62-1/P62*1/P62)))</f>
        <v>0</v>
      </c>
      <c r="P62">
        <f>IF(LEFT(AP62,1)&lt;&gt;"0",IF(LEFT(AP62,1)="1",3.0,AQ62),$D$5+$E$5*(BG62*AZ62/($K$5*1000))+$F$5*(BG62*AZ62/($K$5*1000))*MAX(MIN(AN62,$J$5),$I$5)*MAX(MIN(AN62,$J$5),$I$5)+$G$5*MAX(MIN(AN62,$J$5),$I$5)*(BG62*AZ62/($K$5*1000))+$H$5*(BG62*AZ62/($K$5*1000))*(BG62*AZ62/($K$5*1000)))</f>
        <v>0</v>
      </c>
      <c r="Q62">
        <f>H62*(1000-(1000*0.61365*exp(17.502*U62/(240.97+U62))/(AZ62+BA62)+AU62)/2)/(1000*0.61365*exp(17.502*U62/(240.97+U62))/(AZ62+BA62)-AU62)</f>
        <v>0</v>
      </c>
      <c r="R62">
        <f>1/((AO62+1)/(O62/1.6)+1/(P62/1.37)) + AO62/((AO62+1)/(O62/1.6) + AO62/(P62/1.37))</f>
        <v>0</v>
      </c>
      <c r="S62">
        <f>(AJ62*AM62)</f>
        <v>0</v>
      </c>
      <c r="T62">
        <f>(BB62+(S62+2*0.95*5.67E-8*(((BB62+$B$7)+273)^4-(BB62+273)^4)-44100*H62)/(1.84*29.3*P62+8*0.95*5.67E-8*(BB62+273)^3))</f>
        <v>0</v>
      </c>
      <c r="U62">
        <f>($C$7*BC62+$D$7*BD62+$E$7*T62)</f>
        <v>0</v>
      </c>
      <c r="V62">
        <f>0.61365*exp(17.502*U62/(240.97+U62))</f>
        <v>0</v>
      </c>
      <c r="W62">
        <f>(X62/Y62*100)</f>
        <v>0</v>
      </c>
      <c r="X62">
        <f>AU62*(AZ62+BA62)/1000</f>
        <v>0</v>
      </c>
      <c r="Y62">
        <f>0.61365*exp(17.502*BB62/(240.97+BB62))</f>
        <v>0</v>
      </c>
      <c r="Z62">
        <f>(V62-AU62*(AZ62+BA62)/1000)</f>
        <v>0</v>
      </c>
      <c r="AA62">
        <f>(-H62*44100)</f>
        <v>0</v>
      </c>
      <c r="AB62">
        <f>2*29.3*P62*0.92*(BB62-U62)</f>
        <v>0</v>
      </c>
      <c r="AC62">
        <f>2*0.95*5.67E-8*(((BB62+$B$7)+273)^4-(U62+273)^4)</f>
        <v>0</v>
      </c>
      <c r="AD62">
        <f>S62+AC62+AA62+AB62</f>
        <v>0</v>
      </c>
      <c r="AE62">
        <v>0</v>
      </c>
      <c r="AF62">
        <v>0</v>
      </c>
      <c r="AG62">
        <f>IF(AE62*$H$13&gt;=AI62,1.0,(AI62/(AI62-AE62*$H$13)))</f>
        <v>0</v>
      </c>
      <c r="AH62">
        <f>(AG62-1)*100</f>
        <v>0</v>
      </c>
      <c r="AI62">
        <f>MAX(0,($B$13+$C$13*BG62)/(1+$D$13*BG62)*AZ62/(BB62+273)*$E$13)</f>
        <v>0</v>
      </c>
      <c r="AJ62">
        <f>$B$11*BH62+$C$11*BI62+$D$11*BT62</f>
        <v>0</v>
      </c>
      <c r="AK62">
        <f>AJ62*AL62</f>
        <v>0</v>
      </c>
      <c r="AL62">
        <f>($B$11*$D$9+$C$11*$D$9+$D$11*(BU62*$E$9+BV62*$G$9))/($B$11+$C$11+$D$11)</f>
        <v>0</v>
      </c>
      <c r="AM62">
        <f>($B$11*$K$9+$C$11*$K$9+$D$11*(BU62*$L$9+BV62*$N$9))/($B$11+$C$11+$D$11)</f>
        <v>0</v>
      </c>
      <c r="AN62">
        <v>3</v>
      </c>
      <c r="AO62">
        <v>0.5</v>
      </c>
      <c r="AP62" t="s">
        <v>331</v>
      </c>
      <c r="AQ62">
        <v>2</v>
      </c>
      <c r="AR62">
        <v>1773198792.75</v>
      </c>
      <c r="AS62">
        <v>429.5750333333334</v>
      </c>
      <c r="AT62">
        <v>427.6640333333334</v>
      </c>
      <c r="AU62">
        <v>10.27420666666666</v>
      </c>
      <c r="AV62">
        <v>9.088642999999999</v>
      </c>
      <c r="AW62">
        <v>423.3437333333334</v>
      </c>
      <c r="AX62">
        <v>10.19361333333334</v>
      </c>
      <c r="AY62">
        <v>499.9878</v>
      </c>
      <c r="AZ62">
        <v>100.2417</v>
      </c>
      <c r="BA62">
        <v>0.04626257</v>
      </c>
      <c r="BB62">
        <v>30.82947</v>
      </c>
      <c r="BC62">
        <v>30.64987333333333</v>
      </c>
      <c r="BD62">
        <v>999.9000000000002</v>
      </c>
      <c r="BE62">
        <v>0</v>
      </c>
      <c r="BF62">
        <v>0</v>
      </c>
      <c r="BG62">
        <v>4990.45</v>
      </c>
      <c r="BH62">
        <v>1.540276666666667</v>
      </c>
      <c r="BI62">
        <v>2101.779666666667</v>
      </c>
      <c r="BJ62">
        <v>1.910942333333333</v>
      </c>
      <c r="BK62">
        <v>434.0344333333333</v>
      </c>
      <c r="BL62">
        <v>431.5867</v>
      </c>
      <c r="BM62">
        <v>1.185563666666667</v>
      </c>
      <c r="BN62">
        <v>427.6640333333334</v>
      </c>
      <c r="BO62">
        <v>9.088642999999999</v>
      </c>
      <c r="BP62">
        <v>1.029904333333333</v>
      </c>
      <c r="BQ62">
        <v>0.9110616333333336</v>
      </c>
      <c r="BR62">
        <v>7.346436333333332</v>
      </c>
      <c r="BS62">
        <v>5.566655</v>
      </c>
      <c r="BT62">
        <v>0</v>
      </c>
      <c r="BU62">
        <v>0</v>
      </c>
      <c r="BV62">
        <v>0</v>
      </c>
      <c r="BW62">
        <v>36.00222</v>
      </c>
      <c r="BX62">
        <v>54</v>
      </c>
      <c r="BY62">
        <v>1773196010</v>
      </c>
      <c r="BZ62" t="s">
        <v>332</v>
      </c>
      <c r="CA62">
        <v>1773196010</v>
      </c>
      <c r="CB62">
        <v>1773196005.5</v>
      </c>
      <c r="CC62">
        <v>2</v>
      </c>
      <c r="CD62">
        <v>-0.279</v>
      </c>
      <c r="CE62">
        <v>-0.021</v>
      </c>
      <c r="CF62">
        <v>6.231</v>
      </c>
      <c r="CG62">
        <v>0.081</v>
      </c>
      <c r="CH62">
        <v>432</v>
      </c>
      <c r="CI62">
        <v>21</v>
      </c>
      <c r="CJ62">
        <v>0.03</v>
      </c>
      <c r="CK62">
        <v>0.06</v>
      </c>
      <c r="CL62">
        <v>427.6415806451612</v>
      </c>
      <c r="CM62">
        <v>1.639645161290153</v>
      </c>
      <c r="CN62">
        <v>0.1326826857930631</v>
      </c>
      <c r="CO62">
        <v>-1</v>
      </c>
      <c r="CP62">
        <v>499.988064516129</v>
      </c>
      <c r="CQ62">
        <v>0.1957258064500577</v>
      </c>
      <c r="CR62">
        <v>0.05045658337036309</v>
      </c>
      <c r="CS62">
        <v>-1</v>
      </c>
      <c r="CT62">
        <v>0</v>
      </c>
      <c r="CU62">
        <v>0</v>
      </c>
      <c r="CV62" t="s">
        <v>333</v>
      </c>
      <c r="CW62">
        <v>3.17034</v>
      </c>
      <c r="CX62">
        <v>2.66763</v>
      </c>
      <c r="CY62">
        <v>0.100578</v>
      </c>
      <c r="CZ62">
        <v>0.101365</v>
      </c>
      <c r="DA62">
        <v>0.0595307</v>
      </c>
      <c r="DB62">
        <v>0.0541636</v>
      </c>
      <c r="DC62">
        <v>21334.1</v>
      </c>
      <c r="DD62">
        <v>21867.7</v>
      </c>
      <c r="DE62">
        <v>22867.8</v>
      </c>
      <c r="DF62">
        <v>22278.6</v>
      </c>
      <c r="DG62">
        <v>32519.5</v>
      </c>
      <c r="DH62">
        <v>29686.5</v>
      </c>
      <c r="DI62">
        <v>40243.8</v>
      </c>
      <c r="DJ62">
        <v>36852.8</v>
      </c>
      <c r="DK62">
        <v>2.0303</v>
      </c>
      <c r="DL62">
        <v>1.5394</v>
      </c>
      <c r="DM62">
        <v>-0.0851005</v>
      </c>
      <c r="DN62">
        <v>0</v>
      </c>
      <c r="DO62">
        <v>32.0317</v>
      </c>
      <c r="DP62">
        <v>999.9</v>
      </c>
      <c r="DQ62">
        <v>32.6</v>
      </c>
      <c r="DR62">
        <v>39.8</v>
      </c>
      <c r="DS62">
        <v>23.8528</v>
      </c>
      <c r="DT62">
        <v>30.1955</v>
      </c>
      <c r="DU62">
        <v>13.109</v>
      </c>
      <c r="DV62">
        <v>1</v>
      </c>
      <c r="DW62">
        <v>0.850539</v>
      </c>
      <c r="DX62">
        <v>3.63385</v>
      </c>
      <c r="DY62">
        <v>20.314</v>
      </c>
      <c r="DZ62">
        <v>5.20926</v>
      </c>
      <c r="EA62">
        <v>11.8542</v>
      </c>
      <c r="EB62">
        <v>4.96748</v>
      </c>
      <c r="EC62">
        <v>3.29298</v>
      </c>
      <c r="ED62">
        <v>879.4</v>
      </c>
      <c r="EE62">
        <v>9999</v>
      </c>
      <c r="EF62">
        <v>9999</v>
      </c>
      <c r="EG62">
        <v>76.8</v>
      </c>
      <c r="EH62">
        <v>4.9716</v>
      </c>
      <c r="EI62">
        <v>1.8721</v>
      </c>
      <c r="EJ62">
        <v>1.86947</v>
      </c>
      <c r="EK62">
        <v>1.87179</v>
      </c>
      <c r="EL62">
        <v>1.86952</v>
      </c>
      <c r="EM62">
        <v>1.8684</v>
      </c>
      <c r="EN62">
        <v>1.87024</v>
      </c>
      <c r="EO62">
        <v>1.87195</v>
      </c>
      <c r="EP62">
        <v>0</v>
      </c>
      <c r="EQ62">
        <v>0</v>
      </c>
      <c r="ER62">
        <v>0</v>
      </c>
      <c r="ES62">
        <v>0</v>
      </c>
      <c r="ET62" t="s">
        <v>334</v>
      </c>
      <c r="EU62" t="s">
        <v>335</v>
      </c>
      <c r="EV62" t="s">
        <v>336</v>
      </c>
      <c r="EW62" t="s">
        <v>336</v>
      </c>
      <c r="EX62" t="s">
        <v>336</v>
      </c>
      <c r="EY62" t="s">
        <v>336</v>
      </c>
      <c r="EZ62">
        <v>0</v>
      </c>
      <c r="FA62">
        <v>100</v>
      </c>
      <c r="FB62">
        <v>100</v>
      </c>
      <c r="FC62">
        <v>6.231</v>
      </c>
      <c r="FD62">
        <v>0.0806</v>
      </c>
      <c r="FE62">
        <v>6.23135000000002</v>
      </c>
      <c r="FF62">
        <v>0</v>
      </c>
      <c r="FG62">
        <v>0</v>
      </c>
      <c r="FH62">
        <v>0</v>
      </c>
      <c r="FI62">
        <v>0.08059047619047632</v>
      </c>
      <c r="FJ62">
        <v>0</v>
      </c>
      <c r="FK62">
        <v>0</v>
      </c>
      <c r="FL62">
        <v>0</v>
      </c>
      <c r="FM62">
        <v>-1</v>
      </c>
      <c r="FN62">
        <v>-1</v>
      </c>
      <c r="FO62">
        <v>-1</v>
      </c>
      <c r="FP62">
        <v>-1</v>
      </c>
      <c r="FQ62">
        <v>46.5</v>
      </c>
      <c r="FR62">
        <v>46.6</v>
      </c>
      <c r="FS62">
        <v>0.144043</v>
      </c>
      <c r="FT62">
        <v>4.99756</v>
      </c>
      <c r="FU62">
        <v>1.5979</v>
      </c>
      <c r="FV62">
        <v>2.12524</v>
      </c>
      <c r="FW62">
        <v>1.54785</v>
      </c>
      <c r="FX62">
        <v>2.47192</v>
      </c>
      <c r="FY62">
        <v>45.0634</v>
      </c>
      <c r="FZ62">
        <v>16.0058</v>
      </c>
      <c r="GA62">
        <v>3</v>
      </c>
      <c r="GB62">
        <v>519.426</v>
      </c>
      <c r="GC62">
        <v>307.529</v>
      </c>
      <c r="GD62">
        <v>27.9635</v>
      </c>
      <c r="GE62">
        <v>37.4615</v>
      </c>
      <c r="GF62">
        <v>30.0007</v>
      </c>
      <c r="GG62">
        <v>37.3242</v>
      </c>
      <c r="GH62">
        <v>37.3119</v>
      </c>
      <c r="GI62">
        <v>-1</v>
      </c>
      <c r="GJ62">
        <v>100</v>
      </c>
      <c r="GK62">
        <v>0</v>
      </c>
      <c r="GL62">
        <v>27.9475</v>
      </c>
      <c r="GM62">
        <v>1200</v>
      </c>
      <c r="GN62">
        <v>19.4378</v>
      </c>
      <c r="GO62">
        <v>101.25</v>
      </c>
      <c r="GP62">
        <v>96.2299</v>
      </c>
    </row>
    <row r="63" spans="1:198">
      <c r="A63">
        <v>47</v>
      </c>
      <c r="B63">
        <v>1773198860.5</v>
      </c>
      <c r="C63">
        <v>2760.5</v>
      </c>
      <c r="D63" t="s">
        <v>427</v>
      </c>
      <c r="E63" t="s">
        <v>428</v>
      </c>
      <c r="F63">
        <v>15</v>
      </c>
      <c r="G63">
        <v>1773198852.5</v>
      </c>
      <c r="H63">
        <f>(I63)/1000</f>
        <v>0</v>
      </c>
      <c r="I63">
        <f>1000*AY63*AG63*(AU63-AV63)/(100*AN63*(1000-AG63*AU63))</f>
        <v>0</v>
      </c>
      <c r="J63">
        <f>AY63*AG63*(AT63-AS63*(1000-AG63*AV63)/(1000-AG63*AU63))/(100*AN63)</f>
        <v>0</v>
      </c>
      <c r="K63">
        <f>AS63 - IF(AG63&gt;1, J63*AN63*100.0/(AI63), 0)</f>
        <v>0</v>
      </c>
      <c r="L63">
        <f>((R63-H63/2)*K63-J63)/(R63+H63/2)</f>
        <v>0</v>
      </c>
      <c r="M63">
        <f>L63*(AZ63+BA63)/1000.0</f>
        <v>0</v>
      </c>
      <c r="N63">
        <f>(AS63 - IF(AG63&gt;1, J63*AN63*100.0/(AI63), 0))*(AZ63+BA63)/1000.0</f>
        <v>0</v>
      </c>
      <c r="O63">
        <f>2.0/((1/Q63-1/P63)+SIGN(Q63)*SQRT((1/Q63-1/P63)*(1/Q63-1/P63) + 4*AO63/((AO63+1)*(AO63+1))*(2*1/Q63*1/P63-1/P63*1/P63)))</f>
        <v>0</v>
      </c>
      <c r="P63">
        <f>IF(LEFT(AP63,1)&lt;&gt;"0",IF(LEFT(AP63,1)="1",3.0,AQ63),$D$5+$E$5*(BG63*AZ63/($K$5*1000))+$F$5*(BG63*AZ63/($K$5*1000))*MAX(MIN(AN63,$J$5),$I$5)*MAX(MIN(AN63,$J$5),$I$5)+$G$5*MAX(MIN(AN63,$J$5),$I$5)*(BG63*AZ63/($K$5*1000))+$H$5*(BG63*AZ63/($K$5*1000))*(BG63*AZ63/($K$5*1000)))</f>
        <v>0</v>
      </c>
      <c r="Q63">
        <f>H63*(1000-(1000*0.61365*exp(17.502*U63/(240.97+U63))/(AZ63+BA63)+AU63)/2)/(1000*0.61365*exp(17.502*U63/(240.97+U63))/(AZ63+BA63)-AU63)</f>
        <v>0</v>
      </c>
      <c r="R63">
        <f>1/((AO63+1)/(O63/1.6)+1/(P63/1.37)) + AO63/((AO63+1)/(O63/1.6) + AO63/(P63/1.37))</f>
        <v>0</v>
      </c>
      <c r="S63">
        <f>(AJ63*AM63)</f>
        <v>0</v>
      </c>
      <c r="T63">
        <f>(BB63+(S63+2*0.95*5.67E-8*(((BB63+$B$7)+273)^4-(BB63+273)^4)-44100*H63)/(1.84*29.3*P63+8*0.95*5.67E-8*(BB63+273)^3))</f>
        <v>0</v>
      </c>
      <c r="U63">
        <f>($C$7*BC63+$D$7*BD63+$E$7*T63)</f>
        <v>0</v>
      </c>
      <c r="V63">
        <f>0.61365*exp(17.502*U63/(240.97+U63))</f>
        <v>0</v>
      </c>
      <c r="W63">
        <f>(X63/Y63*100)</f>
        <v>0</v>
      </c>
      <c r="X63">
        <f>AU63*(AZ63+BA63)/1000</f>
        <v>0</v>
      </c>
      <c r="Y63">
        <f>0.61365*exp(17.502*BB63/(240.97+BB63))</f>
        <v>0</v>
      </c>
      <c r="Z63">
        <f>(V63-AU63*(AZ63+BA63)/1000)</f>
        <v>0</v>
      </c>
      <c r="AA63">
        <f>(-H63*44100)</f>
        <v>0</v>
      </c>
      <c r="AB63">
        <f>2*29.3*P63*0.92*(BB63-U63)</f>
        <v>0</v>
      </c>
      <c r="AC63">
        <f>2*0.95*5.67E-8*(((BB63+$B$7)+273)^4-(U63+273)^4)</f>
        <v>0</v>
      </c>
      <c r="AD63">
        <f>S63+AC63+AA63+AB63</f>
        <v>0</v>
      </c>
      <c r="AE63">
        <v>0</v>
      </c>
      <c r="AF63">
        <v>0</v>
      </c>
      <c r="AG63">
        <f>IF(AE63*$H$13&gt;=AI63,1.0,(AI63/(AI63-AE63*$H$13)))</f>
        <v>0</v>
      </c>
      <c r="AH63">
        <f>(AG63-1)*100</f>
        <v>0</v>
      </c>
      <c r="AI63">
        <f>MAX(0,($B$13+$C$13*BG63)/(1+$D$13*BG63)*AZ63/(BB63+273)*$E$13)</f>
        <v>0</v>
      </c>
      <c r="AJ63">
        <f>$B$11*BH63+$C$11*BI63+$D$11*BT63</f>
        <v>0</v>
      </c>
      <c r="AK63">
        <f>AJ63*AL63</f>
        <v>0</v>
      </c>
      <c r="AL63">
        <f>($B$11*$D$9+$C$11*$D$9+$D$11*(BU63*$E$9+BV63*$G$9))/($B$11+$C$11+$D$11)</f>
        <v>0</v>
      </c>
      <c r="AM63">
        <f>($B$11*$K$9+$C$11*$K$9+$D$11*(BU63*$L$9+BV63*$N$9))/($B$11+$C$11+$D$11)</f>
        <v>0</v>
      </c>
      <c r="AN63">
        <v>3</v>
      </c>
      <c r="AO63">
        <v>0.5</v>
      </c>
      <c r="AP63" t="s">
        <v>331</v>
      </c>
      <c r="AQ63">
        <v>2</v>
      </c>
      <c r="AR63">
        <v>1773198852.5</v>
      </c>
      <c r="AS63">
        <v>430.0213548387097</v>
      </c>
      <c r="AT63">
        <v>427.8052580645161</v>
      </c>
      <c r="AU63">
        <v>10.40470322580645</v>
      </c>
      <c r="AV63">
        <v>9.245641935483874</v>
      </c>
      <c r="AW63">
        <v>423.790064516129</v>
      </c>
      <c r="AX63">
        <v>10.32410967741935</v>
      </c>
      <c r="AY63">
        <v>500.0110322580644</v>
      </c>
      <c r="AZ63">
        <v>100.2414838709678</v>
      </c>
      <c r="BA63">
        <v>0.0466939064516129</v>
      </c>
      <c r="BB63">
        <v>30.79644516129033</v>
      </c>
      <c r="BC63">
        <v>30.63598709677419</v>
      </c>
      <c r="BD63">
        <v>999.9000000000003</v>
      </c>
      <c r="BE63">
        <v>0</v>
      </c>
      <c r="BF63">
        <v>0</v>
      </c>
      <c r="BG63">
        <v>5003.209677419355</v>
      </c>
      <c r="BH63">
        <v>1.550414193548387</v>
      </c>
      <c r="BI63">
        <v>2106.819354838709</v>
      </c>
      <c r="BJ63">
        <v>2.216072580645161</v>
      </c>
      <c r="BK63">
        <v>434.5426774193548</v>
      </c>
      <c r="BL63">
        <v>431.7975161290323</v>
      </c>
      <c r="BM63">
        <v>1.159062580645161</v>
      </c>
      <c r="BN63">
        <v>427.8052580645161</v>
      </c>
      <c r="BO63">
        <v>9.245641935483874</v>
      </c>
      <c r="BP63">
        <v>1.042982903225806</v>
      </c>
      <c r="BQ63">
        <v>0.9267965806451613</v>
      </c>
      <c r="BR63">
        <v>7.531060645161292</v>
      </c>
      <c r="BS63">
        <v>5.81368258064516</v>
      </c>
      <c r="BT63">
        <v>0</v>
      </c>
      <c r="BU63">
        <v>0</v>
      </c>
      <c r="BV63">
        <v>0</v>
      </c>
      <c r="BW63">
        <v>36.03977741935483</v>
      </c>
      <c r="BX63">
        <v>54</v>
      </c>
      <c r="BY63">
        <v>1773196010</v>
      </c>
      <c r="BZ63" t="s">
        <v>332</v>
      </c>
      <c r="CA63">
        <v>1773196010</v>
      </c>
      <c r="CB63">
        <v>1773196005.5</v>
      </c>
      <c r="CC63">
        <v>2</v>
      </c>
      <c r="CD63">
        <v>-0.279</v>
      </c>
      <c r="CE63">
        <v>-0.021</v>
      </c>
      <c r="CF63">
        <v>6.231</v>
      </c>
      <c r="CG63">
        <v>0.081</v>
      </c>
      <c r="CH63">
        <v>432</v>
      </c>
      <c r="CI63">
        <v>21</v>
      </c>
      <c r="CJ63">
        <v>0.03</v>
      </c>
      <c r="CK63">
        <v>0.06</v>
      </c>
      <c r="CL63">
        <v>427.8089677419355</v>
      </c>
      <c r="CM63">
        <v>-0.6508548387102558</v>
      </c>
      <c r="CN63">
        <v>0.05709950786238326</v>
      </c>
      <c r="CO63">
        <v>-1</v>
      </c>
      <c r="CP63">
        <v>500.009193548387</v>
      </c>
      <c r="CQ63">
        <v>0.1485483870966022</v>
      </c>
      <c r="CR63">
        <v>0.03818496525178011</v>
      </c>
      <c r="CS63">
        <v>-1</v>
      </c>
      <c r="CT63">
        <v>0</v>
      </c>
      <c r="CU63">
        <v>0</v>
      </c>
      <c r="CV63" t="s">
        <v>333</v>
      </c>
      <c r="CW63">
        <v>3.17037</v>
      </c>
      <c r="CX63">
        <v>2.66794</v>
      </c>
      <c r="CY63">
        <v>0.100605</v>
      </c>
      <c r="CZ63">
        <v>0.101364</v>
      </c>
      <c r="DA63">
        <v>0.0601053</v>
      </c>
      <c r="DB63">
        <v>0.0548753</v>
      </c>
      <c r="DC63">
        <v>21331.6</v>
      </c>
      <c r="DD63">
        <v>21866.1</v>
      </c>
      <c r="DE63">
        <v>22866</v>
      </c>
      <c r="DF63">
        <v>22277</v>
      </c>
      <c r="DG63">
        <v>32497.2</v>
      </c>
      <c r="DH63">
        <v>29661.7</v>
      </c>
      <c r="DI63">
        <v>40240.9</v>
      </c>
      <c r="DJ63">
        <v>36849.8</v>
      </c>
      <c r="DK63">
        <v>2.02974</v>
      </c>
      <c r="DL63">
        <v>1.5366</v>
      </c>
      <c r="DM63">
        <v>-0.0882238</v>
      </c>
      <c r="DN63">
        <v>0</v>
      </c>
      <c r="DO63">
        <v>32.0698</v>
      </c>
      <c r="DP63">
        <v>999.9</v>
      </c>
      <c r="DQ63">
        <v>32.5</v>
      </c>
      <c r="DR63">
        <v>40</v>
      </c>
      <c r="DS63">
        <v>24.0351</v>
      </c>
      <c r="DT63">
        <v>30.2855</v>
      </c>
      <c r="DU63">
        <v>13.153</v>
      </c>
      <c r="DV63">
        <v>1</v>
      </c>
      <c r="DW63">
        <v>0.850155</v>
      </c>
      <c r="DX63">
        <v>3.02785</v>
      </c>
      <c r="DY63">
        <v>20.3294</v>
      </c>
      <c r="DZ63">
        <v>5.20627</v>
      </c>
      <c r="EA63">
        <v>11.8542</v>
      </c>
      <c r="EB63">
        <v>4.96748</v>
      </c>
      <c r="EC63">
        <v>3.293</v>
      </c>
      <c r="ED63">
        <v>879.4</v>
      </c>
      <c r="EE63">
        <v>9999</v>
      </c>
      <c r="EF63">
        <v>9999</v>
      </c>
      <c r="EG63">
        <v>76.8</v>
      </c>
      <c r="EH63">
        <v>4.97162</v>
      </c>
      <c r="EI63">
        <v>1.8721</v>
      </c>
      <c r="EJ63">
        <v>1.86951</v>
      </c>
      <c r="EK63">
        <v>1.87179</v>
      </c>
      <c r="EL63">
        <v>1.86954</v>
      </c>
      <c r="EM63">
        <v>1.86843</v>
      </c>
      <c r="EN63">
        <v>1.87021</v>
      </c>
      <c r="EO63">
        <v>1.87195</v>
      </c>
      <c r="EP63">
        <v>0</v>
      </c>
      <c r="EQ63">
        <v>0</v>
      </c>
      <c r="ER63">
        <v>0</v>
      </c>
      <c r="ES63">
        <v>0</v>
      </c>
      <c r="ET63" t="s">
        <v>334</v>
      </c>
      <c r="EU63" t="s">
        <v>335</v>
      </c>
      <c r="EV63" t="s">
        <v>336</v>
      </c>
      <c r="EW63" t="s">
        <v>336</v>
      </c>
      <c r="EX63" t="s">
        <v>336</v>
      </c>
      <c r="EY63" t="s">
        <v>336</v>
      </c>
      <c r="EZ63">
        <v>0</v>
      </c>
      <c r="FA63">
        <v>100</v>
      </c>
      <c r="FB63">
        <v>100</v>
      </c>
      <c r="FC63">
        <v>6.231</v>
      </c>
      <c r="FD63">
        <v>0.0806</v>
      </c>
      <c r="FE63">
        <v>6.23135000000002</v>
      </c>
      <c r="FF63">
        <v>0</v>
      </c>
      <c r="FG63">
        <v>0</v>
      </c>
      <c r="FH63">
        <v>0</v>
      </c>
      <c r="FI63">
        <v>0.08059047619047632</v>
      </c>
      <c r="FJ63">
        <v>0</v>
      </c>
      <c r="FK63">
        <v>0</v>
      </c>
      <c r="FL63">
        <v>0</v>
      </c>
      <c r="FM63">
        <v>-1</v>
      </c>
      <c r="FN63">
        <v>-1</v>
      </c>
      <c r="FO63">
        <v>-1</v>
      </c>
      <c r="FP63">
        <v>-1</v>
      </c>
      <c r="FQ63">
        <v>47.5</v>
      </c>
      <c r="FR63">
        <v>47.6</v>
      </c>
      <c r="FS63">
        <v>0.142822</v>
      </c>
      <c r="FT63">
        <v>4.99756</v>
      </c>
      <c r="FU63">
        <v>1.5979</v>
      </c>
      <c r="FV63">
        <v>2.12402</v>
      </c>
      <c r="FW63">
        <v>1.54785</v>
      </c>
      <c r="FX63">
        <v>2.49023</v>
      </c>
      <c r="FY63">
        <v>45.2051</v>
      </c>
      <c r="FZ63">
        <v>16.0146</v>
      </c>
      <c r="GA63">
        <v>3</v>
      </c>
      <c r="GB63">
        <v>519.427</v>
      </c>
      <c r="GC63">
        <v>306.37</v>
      </c>
      <c r="GD63">
        <v>27.9385</v>
      </c>
      <c r="GE63">
        <v>37.5127</v>
      </c>
      <c r="GF63">
        <v>29.9983</v>
      </c>
      <c r="GG63">
        <v>37.3736</v>
      </c>
      <c r="GH63">
        <v>37.3603</v>
      </c>
      <c r="GI63">
        <v>-1</v>
      </c>
      <c r="GJ63">
        <v>100</v>
      </c>
      <c r="GK63">
        <v>0</v>
      </c>
      <c r="GL63">
        <v>27.9554</v>
      </c>
      <c r="GM63">
        <v>1200</v>
      </c>
      <c r="GN63">
        <v>19.4378</v>
      </c>
      <c r="GO63">
        <v>101.243</v>
      </c>
      <c r="GP63">
        <v>96.2225</v>
      </c>
    </row>
    <row r="64" spans="1:198">
      <c r="A64">
        <v>48</v>
      </c>
      <c r="B64">
        <v>1773198920.5</v>
      </c>
      <c r="C64">
        <v>2820.5</v>
      </c>
      <c r="D64" t="s">
        <v>429</v>
      </c>
      <c r="E64" t="s">
        <v>430</v>
      </c>
      <c r="F64">
        <v>15</v>
      </c>
      <c r="G64">
        <v>1773198912.5</v>
      </c>
      <c r="H64">
        <f>(I64)/1000</f>
        <v>0</v>
      </c>
      <c r="I64">
        <f>1000*AY64*AG64*(AU64-AV64)/(100*AN64*(1000-AG64*AU64))</f>
        <v>0</v>
      </c>
      <c r="J64">
        <f>AY64*AG64*(AT64-AS64*(1000-AG64*AV64)/(1000-AG64*AU64))/(100*AN64)</f>
        <v>0</v>
      </c>
      <c r="K64">
        <f>AS64 - IF(AG64&gt;1, J64*AN64*100.0/(AI64), 0)</f>
        <v>0</v>
      </c>
      <c r="L64">
        <f>((R64-H64/2)*K64-J64)/(R64+H64/2)</f>
        <v>0</v>
      </c>
      <c r="M64">
        <f>L64*(AZ64+BA64)/1000.0</f>
        <v>0</v>
      </c>
      <c r="N64">
        <f>(AS64 - IF(AG64&gt;1, J64*AN64*100.0/(AI64), 0))*(AZ64+BA64)/1000.0</f>
        <v>0</v>
      </c>
      <c r="O64">
        <f>2.0/((1/Q64-1/P64)+SIGN(Q64)*SQRT((1/Q64-1/P64)*(1/Q64-1/P64) + 4*AO64/((AO64+1)*(AO64+1))*(2*1/Q64*1/P64-1/P64*1/P64)))</f>
        <v>0</v>
      </c>
      <c r="P64">
        <f>IF(LEFT(AP64,1)&lt;&gt;"0",IF(LEFT(AP64,1)="1",3.0,AQ64),$D$5+$E$5*(BG64*AZ64/($K$5*1000))+$F$5*(BG64*AZ64/($K$5*1000))*MAX(MIN(AN64,$J$5),$I$5)*MAX(MIN(AN64,$J$5),$I$5)+$G$5*MAX(MIN(AN64,$J$5),$I$5)*(BG64*AZ64/($K$5*1000))+$H$5*(BG64*AZ64/($K$5*1000))*(BG64*AZ64/($K$5*1000)))</f>
        <v>0</v>
      </c>
      <c r="Q64">
        <f>H64*(1000-(1000*0.61365*exp(17.502*U64/(240.97+U64))/(AZ64+BA64)+AU64)/2)/(1000*0.61365*exp(17.502*U64/(240.97+U64))/(AZ64+BA64)-AU64)</f>
        <v>0</v>
      </c>
      <c r="R64">
        <f>1/((AO64+1)/(O64/1.6)+1/(P64/1.37)) + AO64/((AO64+1)/(O64/1.6) + AO64/(P64/1.37))</f>
        <v>0</v>
      </c>
      <c r="S64">
        <f>(AJ64*AM64)</f>
        <v>0</v>
      </c>
      <c r="T64">
        <f>(BB64+(S64+2*0.95*5.67E-8*(((BB64+$B$7)+273)^4-(BB64+273)^4)-44100*H64)/(1.84*29.3*P64+8*0.95*5.67E-8*(BB64+273)^3))</f>
        <v>0</v>
      </c>
      <c r="U64">
        <f>($C$7*BC64+$D$7*BD64+$E$7*T64)</f>
        <v>0</v>
      </c>
      <c r="V64">
        <f>0.61365*exp(17.502*U64/(240.97+U64))</f>
        <v>0</v>
      </c>
      <c r="W64">
        <f>(X64/Y64*100)</f>
        <v>0</v>
      </c>
      <c r="X64">
        <f>AU64*(AZ64+BA64)/1000</f>
        <v>0</v>
      </c>
      <c r="Y64">
        <f>0.61365*exp(17.502*BB64/(240.97+BB64))</f>
        <v>0</v>
      </c>
      <c r="Z64">
        <f>(V64-AU64*(AZ64+BA64)/1000)</f>
        <v>0</v>
      </c>
      <c r="AA64">
        <f>(-H64*44100)</f>
        <v>0</v>
      </c>
      <c r="AB64">
        <f>2*29.3*P64*0.92*(BB64-U64)</f>
        <v>0</v>
      </c>
      <c r="AC64">
        <f>2*0.95*5.67E-8*(((BB64+$B$7)+273)^4-(U64+273)^4)</f>
        <v>0</v>
      </c>
      <c r="AD64">
        <f>S64+AC64+AA64+AB64</f>
        <v>0</v>
      </c>
      <c r="AE64">
        <v>0</v>
      </c>
      <c r="AF64">
        <v>0</v>
      </c>
      <c r="AG64">
        <f>IF(AE64*$H$13&gt;=AI64,1.0,(AI64/(AI64-AE64*$H$13)))</f>
        <v>0</v>
      </c>
      <c r="AH64">
        <f>(AG64-1)*100</f>
        <v>0</v>
      </c>
      <c r="AI64">
        <f>MAX(0,($B$13+$C$13*BG64)/(1+$D$13*BG64)*AZ64/(BB64+273)*$E$13)</f>
        <v>0</v>
      </c>
      <c r="AJ64">
        <f>$B$11*BH64+$C$11*BI64+$D$11*BT64</f>
        <v>0</v>
      </c>
      <c r="AK64">
        <f>AJ64*AL64</f>
        <v>0</v>
      </c>
      <c r="AL64">
        <f>($B$11*$D$9+$C$11*$D$9+$D$11*(BU64*$E$9+BV64*$G$9))/($B$11+$C$11+$D$11)</f>
        <v>0</v>
      </c>
      <c r="AM64">
        <f>($B$11*$K$9+$C$11*$K$9+$D$11*(BU64*$L$9+BV64*$N$9))/($B$11+$C$11+$D$11)</f>
        <v>0</v>
      </c>
      <c r="AN64">
        <v>3</v>
      </c>
      <c r="AO64">
        <v>0.5</v>
      </c>
      <c r="AP64" t="s">
        <v>331</v>
      </c>
      <c r="AQ64">
        <v>2</v>
      </c>
      <c r="AR64">
        <v>1773198912.5</v>
      </c>
      <c r="AS64">
        <v>429.903806451613</v>
      </c>
      <c r="AT64">
        <v>427.726322580645</v>
      </c>
      <c r="AU64">
        <v>10.5084</v>
      </c>
      <c r="AV64">
        <v>9.375170322580646</v>
      </c>
      <c r="AW64">
        <v>423.6723225806452</v>
      </c>
      <c r="AX64">
        <v>10.42781935483871</v>
      </c>
      <c r="AY64">
        <v>499.9991612903226</v>
      </c>
      <c r="AZ64">
        <v>100.2399032258064</v>
      </c>
      <c r="BA64">
        <v>0.04587635161290323</v>
      </c>
      <c r="BB64">
        <v>30.79481290322581</v>
      </c>
      <c r="BC64">
        <v>30.65079677419354</v>
      </c>
      <c r="BD64">
        <v>999.9000000000003</v>
      </c>
      <c r="BE64">
        <v>0</v>
      </c>
      <c r="BF64">
        <v>0</v>
      </c>
      <c r="BG64">
        <v>4999.709677419355</v>
      </c>
      <c r="BH64">
        <v>1.571931290322581</v>
      </c>
      <c r="BI64">
        <v>2092.631935483871</v>
      </c>
      <c r="BJ64">
        <v>2.177423225806451</v>
      </c>
      <c r="BK64">
        <v>434.4693548387097</v>
      </c>
      <c r="BL64">
        <v>431.7743870967742</v>
      </c>
      <c r="BM64">
        <v>1.133224838709678</v>
      </c>
      <c r="BN64">
        <v>427.726322580645</v>
      </c>
      <c r="BO64">
        <v>9.375170322580646</v>
      </c>
      <c r="BP64">
        <v>1.05336</v>
      </c>
      <c r="BQ64">
        <v>0.9397661935483872</v>
      </c>
      <c r="BR64">
        <v>7.676115806451613</v>
      </c>
      <c r="BS64">
        <v>6.014522580645162</v>
      </c>
      <c r="BT64">
        <v>0</v>
      </c>
      <c r="BU64">
        <v>0</v>
      </c>
      <c r="BV64">
        <v>0</v>
      </c>
      <c r="BW64">
        <v>36.46881935483871</v>
      </c>
      <c r="BX64">
        <v>54</v>
      </c>
      <c r="BY64">
        <v>1773196010</v>
      </c>
      <c r="BZ64" t="s">
        <v>332</v>
      </c>
      <c r="CA64">
        <v>1773196010</v>
      </c>
      <c r="CB64">
        <v>1773196005.5</v>
      </c>
      <c r="CC64">
        <v>2</v>
      </c>
      <c r="CD64">
        <v>-0.279</v>
      </c>
      <c r="CE64">
        <v>-0.021</v>
      </c>
      <c r="CF64">
        <v>6.231</v>
      </c>
      <c r="CG64">
        <v>0.081</v>
      </c>
      <c r="CH64">
        <v>432</v>
      </c>
      <c r="CI64">
        <v>21</v>
      </c>
      <c r="CJ64">
        <v>0.03</v>
      </c>
      <c r="CK64">
        <v>0.06</v>
      </c>
      <c r="CL64">
        <v>427.7263666666666</v>
      </c>
      <c r="CM64">
        <v>0.03430478309296356</v>
      </c>
      <c r="CN64">
        <v>0.00770922967761754</v>
      </c>
      <c r="CO64">
        <v>-1</v>
      </c>
      <c r="CP64">
        <v>499.9996666666667</v>
      </c>
      <c r="CQ64">
        <v>-0.1882625139031988</v>
      </c>
      <c r="CR64">
        <v>0.03480261803690055</v>
      </c>
      <c r="CS64">
        <v>-1</v>
      </c>
      <c r="CT64">
        <v>0</v>
      </c>
      <c r="CU64">
        <v>0</v>
      </c>
      <c r="CV64" t="s">
        <v>333</v>
      </c>
      <c r="CW64">
        <v>3.17031</v>
      </c>
      <c r="CX64">
        <v>2.66722</v>
      </c>
      <c r="CY64">
        <v>0.100578</v>
      </c>
      <c r="CZ64">
        <v>0.101345</v>
      </c>
      <c r="DA64">
        <v>0.0605765</v>
      </c>
      <c r="DB64">
        <v>0.0555092</v>
      </c>
      <c r="DC64">
        <v>21329.3</v>
      </c>
      <c r="DD64">
        <v>21864.8</v>
      </c>
      <c r="DE64">
        <v>22863</v>
      </c>
      <c r="DF64">
        <v>22275.4</v>
      </c>
      <c r="DG64">
        <v>32477.2</v>
      </c>
      <c r="DH64">
        <v>29639.5</v>
      </c>
      <c r="DI64">
        <v>40236.3</v>
      </c>
      <c r="DJ64">
        <v>36847.1</v>
      </c>
      <c r="DK64">
        <v>2.0294</v>
      </c>
      <c r="DL64">
        <v>1.53518</v>
      </c>
      <c r="DM64">
        <v>-0.0845462</v>
      </c>
      <c r="DN64">
        <v>0</v>
      </c>
      <c r="DO64">
        <v>32.0451</v>
      </c>
      <c r="DP64">
        <v>999.9</v>
      </c>
      <c r="DQ64">
        <v>32.4</v>
      </c>
      <c r="DR64">
        <v>40.2</v>
      </c>
      <c r="DS64">
        <v>24.2203</v>
      </c>
      <c r="DT64">
        <v>30.4955</v>
      </c>
      <c r="DU64">
        <v>13.5978</v>
      </c>
      <c r="DV64">
        <v>1</v>
      </c>
      <c r="DW64">
        <v>0.857577</v>
      </c>
      <c r="DX64">
        <v>3.37099</v>
      </c>
      <c r="DY64">
        <v>20.3206</v>
      </c>
      <c r="DZ64">
        <v>5.20974</v>
      </c>
      <c r="EA64">
        <v>11.8542</v>
      </c>
      <c r="EB64">
        <v>4.96716</v>
      </c>
      <c r="EC64">
        <v>3.29294</v>
      </c>
      <c r="ED64">
        <v>879.4</v>
      </c>
      <c r="EE64">
        <v>9999</v>
      </c>
      <c r="EF64">
        <v>9999</v>
      </c>
      <c r="EG64">
        <v>76.8</v>
      </c>
      <c r="EH64">
        <v>4.97161</v>
      </c>
      <c r="EI64">
        <v>1.8721</v>
      </c>
      <c r="EJ64">
        <v>1.86951</v>
      </c>
      <c r="EK64">
        <v>1.8718</v>
      </c>
      <c r="EL64">
        <v>1.86954</v>
      </c>
      <c r="EM64">
        <v>1.86843</v>
      </c>
      <c r="EN64">
        <v>1.87023</v>
      </c>
      <c r="EO64">
        <v>1.87195</v>
      </c>
      <c r="EP64">
        <v>0</v>
      </c>
      <c r="EQ64">
        <v>0</v>
      </c>
      <c r="ER64">
        <v>0</v>
      </c>
      <c r="ES64">
        <v>0</v>
      </c>
      <c r="ET64" t="s">
        <v>334</v>
      </c>
      <c r="EU64" t="s">
        <v>335</v>
      </c>
      <c r="EV64" t="s">
        <v>336</v>
      </c>
      <c r="EW64" t="s">
        <v>336</v>
      </c>
      <c r="EX64" t="s">
        <v>336</v>
      </c>
      <c r="EY64" t="s">
        <v>336</v>
      </c>
      <c r="EZ64">
        <v>0</v>
      </c>
      <c r="FA64">
        <v>100</v>
      </c>
      <c r="FB64">
        <v>100</v>
      </c>
      <c r="FC64">
        <v>6.231</v>
      </c>
      <c r="FD64">
        <v>0.0805</v>
      </c>
      <c r="FE64">
        <v>6.23135000000002</v>
      </c>
      <c r="FF64">
        <v>0</v>
      </c>
      <c r="FG64">
        <v>0</v>
      </c>
      <c r="FH64">
        <v>0</v>
      </c>
      <c r="FI64">
        <v>0.08059047619047632</v>
      </c>
      <c r="FJ64">
        <v>0</v>
      </c>
      <c r="FK64">
        <v>0</v>
      </c>
      <c r="FL64">
        <v>0</v>
      </c>
      <c r="FM64">
        <v>-1</v>
      </c>
      <c r="FN64">
        <v>-1</v>
      </c>
      <c r="FO64">
        <v>-1</v>
      </c>
      <c r="FP64">
        <v>-1</v>
      </c>
      <c r="FQ64">
        <v>48.5</v>
      </c>
      <c r="FR64">
        <v>48.6</v>
      </c>
      <c r="FS64">
        <v>0.142822</v>
      </c>
      <c r="FT64">
        <v>4.99756</v>
      </c>
      <c r="FU64">
        <v>1.5979</v>
      </c>
      <c r="FV64">
        <v>2.1228</v>
      </c>
      <c r="FW64">
        <v>1.54785</v>
      </c>
      <c r="FX64">
        <v>2.39136</v>
      </c>
      <c r="FY64">
        <v>45.3758</v>
      </c>
      <c r="FZ64">
        <v>16.0058</v>
      </c>
      <c r="GA64">
        <v>3</v>
      </c>
      <c r="GB64">
        <v>519.561</v>
      </c>
      <c r="GC64">
        <v>305.884</v>
      </c>
      <c r="GD64">
        <v>28.0397</v>
      </c>
      <c r="GE64">
        <v>37.559</v>
      </c>
      <c r="GF64">
        <v>30.0005</v>
      </c>
      <c r="GG64">
        <v>37.4223</v>
      </c>
      <c r="GH64">
        <v>37.4095</v>
      </c>
      <c r="GI64">
        <v>-1</v>
      </c>
      <c r="GJ64">
        <v>100</v>
      </c>
      <c r="GK64">
        <v>0</v>
      </c>
      <c r="GL64">
        <v>28.0378</v>
      </c>
      <c r="GM64">
        <v>1200</v>
      </c>
      <c r="GN64">
        <v>19.4378</v>
      </c>
      <c r="GO64">
        <v>101.23</v>
      </c>
      <c r="GP64">
        <v>96.21550000000001</v>
      </c>
    </row>
    <row r="65" spans="1:198">
      <c r="A65">
        <v>49</v>
      </c>
      <c r="B65">
        <v>1773198980.5</v>
      </c>
      <c r="C65">
        <v>2880.5</v>
      </c>
      <c r="D65" t="s">
        <v>431</v>
      </c>
      <c r="E65" t="s">
        <v>432</v>
      </c>
      <c r="F65">
        <v>15</v>
      </c>
      <c r="G65">
        <v>1773198972.5</v>
      </c>
      <c r="H65">
        <f>(I65)/1000</f>
        <v>0</v>
      </c>
      <c r="I65">
        <f>1000*AY65*AG65*(AU65-AV65)/(100*AN65*(1000-AG65*AU65))</f>
        <v>0</v>
      </c>
      <c r="J65">
        <f>AY65*AG65*(AT65-AS65*(1000-AG65*AV65)/(1000-AG65*AU65))/(100*AN65)</f>
        <v>0</v>
      </c>
      <c r="K65">
        <f>AS65 - IF(AG65&gt;1, J65*AN65*100.0/(AI65), 0)</f>
        <v>0</v>
      </c>
      <c r="L65">
        <f>((R65-H65/2)*K65-J65)/(R65+H65/2)</f>
        <v>0</v>
      </c>
      <c r="M65">
        <f>L65*(AZ65+BA65)/1000.0</f>
        <v>0</v>
      </c>
      <c r="N65">
        <f>(AS65 - IF(AG65&gt;1, J65*AN65*100.0/(AI65), 0))*(AZ65+BA65)/1000.0</f>
        <v>0</v>
      </c>
      <c r="O65">
        <f>2.0/((1/Q65-1/P65)+SIGN(Q65)*SQRT((1/Q65-1/P65)*(1/Q65-1/P65) + 4*AO65/((AO65+1)*(AO65+1))*(2*1/Q65*1/P65-1/P65*1/P65)))</f>
        <v>0</v>
      </c>
      <c r="P65">
        <f>IF(LEFT(AP65,1)&lt;&gt;"0",IF(LEFT(AP65,1)="1",3.0,AQ65),$D$5+$E$5*(BG65*AZ65/($K$5*1000))+$F$5*(BG65*AZ65/($K$5*1000))*MAX(MIN(AN65,$J$5),$I$5)*MAX(MIN(AN65,$J$5),$I$5)+$G$5*MAX(MIN(AN65,$J$5),$I$5)*(BG65*AZ65/($K$5*1000))+$H$5*(BG65*AZ65/($K$5*1000))*(BG65*AZ65/($K$5*1000)))</f>
        <v>0</v>
      </c>
      <c r="Q65">
        <f>H65*(1000-(1000*0.61365*exp(17.502*U65/(240.97+U65))/(AZ65+BA65)+AU65)/2)/(1000*0.61365*exp(17.502*U65/(240.97+U65))/(AZ65+BA65)-AU65)</f>
        <v>0</v>
      </c>
      <c r="R65">
        <f>1/((AO65+1)/(O65/1.6)+1/(P65/1.37)) + AO65/((AO65+1)/(O65/1.6) + AO65/(P65/1.37))</f>
        <v>0</v>
      </c>
      <c r="S65">
        <f>(AJ65*AM65)</f>
        <v>0</v>
      </c>
      <c r="T65">
        <f>(BB65+(S65+2*0.95*5.67E-8*(((BB65+$B$7)+273)^4-(BB65+273)^4)-44100*H65)/(1.84*29.3*P65+8*0.95*5.67E-8*(BB65+273)^3))</f>
        <v>0</v>
      </c>
      <c r="U65">
        <f>($C$7*BC65+$D$7*BD65+$E$7*T65)</f>
        <v>0</v>
      </c>
      <c r="V65">
        <f>0.61365*exp(17.502*U65/(240.97+U65))</f>
        <v>0</v>
      </c>
      <c r="W65">
        <f>(X65/Y65*100)</f>
        <v>0</v>
      </c>
      <c r="X65">
        <f>AU65*(AZ65+BA65)/1000</f>
        <v>0</v>
      </c>
      <c r="Y65">
        <f>0.61365*exp(17.502*BB65/(240.97+BB65))</f>
        <v>0</v>
      </c>
      <c r="Z65">
        <f>(V65-AU65*(AZ65+BA65)/1000)</f>
        <v>0</v>
      </c>
      <c r="AA65">
        <f>(-H65*44100)</f>
        <v>0</v>
      </c>
      <c r="AB65">
        <f>2*29.3*P65*0.92*(BB65-U65)</f>
        <v>0</v>
      </c>
      <c r="AC65">
        <f>2*0.95*5.67E-8*(((BB65+$B$7)+273)^4-(U65+273)^4)</f>
        <v>0</v>
      </c>
      <c r="AD65">
        <f>S65+AC65+AA65+AB65</f>
        <v>0</v>
      </c>
      <c r="AE65">
        <v>0</v>
      </c>
      <c r="AF65">
        <v>0</v>
      </c>
      <c r="AG65">
        <f>IF(AE65*$H$13&gt;=AI65,1.0,(AI65/(AI65-AE65*$H$13)))</f>
        <v>0</v>
      </c>
      <c r="AH65">
        <f>(AG65-1)*100</f>
        <v>0</v>
      </c>
      <c r="AI65">
        <f>MAX(0,($B$13+$C$13*BG65)/(1+$D$13*BG65)*AZ65/(BB65+273)*$E$13)</f>
        <v>0</v>
      </c>
      <c r="AJ65">
        <f>$B$11*BH65+$C$11*BI65+$D$11*BT65</f>
        <v>0</v>
      </c>
      <c r="AK65">
        <f>AJ65*AL65</f>
        <v>0</v>
      </c>
      <c r="AL65">
        <f>($B$11*$D$9+$C$11*$D$9+$D$11*(BU65*$E$9+BV65*$G$9))/($B$11+$C$11+$D$11)</f>
        <v>0</v>
      </c>
      <c r="AM65">
        <f>($B$11*$K$9+$C$11*$K$9+$D$11*(BU65*$L$9+BV65*$N$9))/($B$11+$C$11+$D$11)</f>
        <v>0</v>
      </c>
      <c r="AN65">
        <v>3</v>
      </c>
      <c r="AO65">
        <v>0.5</v>
      </c>
      <c r="AP65" t="s">
        <v>331</v>
      </c>
      <c r="AQ65">
        <v>2</v>
      </c>
      <c r="AR65">
        <v>1773198972.5</v>
      </c>
      <c r="AS65">
        <v>430.1622258064516</v>
      </c>
      <c r="AT65">
        <v>428.1279677419354</v>
      </c>
      <c r="AU65">
        <v>10.66690645161291</v>
      </c>
      <c r="AV65">
        <v>9.570576451612903</v>
      </c>
      <c r="AW65">
        <v>423.930870967742</v>
      </c>
      <c r="AX65">
        <v>10.58632580645161</v>
      </c>
      <c r="AY65">
        <v>499.9872258064516</v>
      </c>
      <c r="AZ65">
        <v>100.2435483870968</v>
      </c>
      <c r="BA65">
        <v>0.04653851290322582</v>
      </c>
      <c r="BB65">
        <v>30.80321612903225</v>
      </c>
      <c r="BC65">
        <v>30.69252580645161</v>
      </c>
      <c r="BD65">
        <v>999.9000000000003</v>
      </c>
      <c r="BE65">
        <v>0</v>
      </c>
      <c r="BF65">
        <v>0</v>
      </c>
      <c r="BG65">
        <v>4985.951612903225</v>
      </c>
      <c r="BH65">
        <v>1.53864</v>
      </c>
      <c r="BI65">
        <v>2085.94064516129</v>
      </c>
      <c r="BJ65">
        <v>2.034233225806451</v>
      </c>
      <c r="BK65">
        <v>434.800129032258</v>
      </c>
      <c r="BL65">
        <v>432.2650967741936</v>
      </c>
      <c r="BM65">
        <v>1.09633935483871</v>
      </c>
      <c r="BN65">
        <v>428.1279677419354</v>
      </c>
      <c r="BO65">
        <v>9.570576451612903</v>
      </c>
      <c r="BP65">
        <v>1.069289032258065</v>
      </c>
      <c r="BQ65">
        <v>0.9593879677419357</v>
      </c>
      <c r="BR65">
        <v>7.896319677419354</v>
      </c>
      <c r="BS65">
        <v>6.313775161290322</v>
      </c>
      <c r="BT65">
        <v>0</v>
      </c>
      <c r="BU65">
        <v>0</v>
      </c>
      <c r="BV65">
        <v>0</v>
      </c>
      <c r="BW65">
        <v>36.87312258064517</v>
      </c>
      <c r="BX65">
        <v>54</v>
      </c>
      <c r="BY65">
        <v>1773196010</v>
      </c>
      <c r="BZ65" t="s">
        <v>332</v>
      </c>
      <c r="CA65">
        <v>1773196010</v>
      </c>
      <c r="CB65">
        <v>1773196005.5</v>
      </c>
      <c r="CC65">
        <v>2</v>
      </c>
      <c r="CD65">
        <v>-0.279</v>
      </c>
      <c r="CE65">
        <v>-0.021</v>
      </c>
      <c r="CF65">
        <v>6.231</v>
      </c>
      <c r="CG65">
        <v>0.081</v>
      </c>
      <c r="CH65">
        <v>432</v>
      </c>
      <c r="CI65">
        <v>21</v>
      </c>
      <c r="CJ65">
        <v>0.03</v>
      </c>
      <c r="CK65">
        <v>0.06</v>
      </c>
      <c r="CL65">
        <v>428.1217741935484</v>
      </c>
      <c r="CM65">
        <v>0.8520483870959809</v>
      </c>
      <c r="CN65">
        <v>0.06785359461200047</v>
      </c>
      <c r="CO65">
        <v>-1</v>
      </c>
      <c r="CP65">
        <v>499.9861290322581</v>
      </c>
      <c r="CQ65">
        <v>-0.2265967741919282</v>
      </c>
      <c r="CR65">
        <v>0.03636086334143262</v>
      </c>
      <c r="CS65">
        <v>-1</v>
      </c>
      <c r="CT65">
        <v>0</v>
      </c>
      <c r="CU65">
        <v>0</v>
      </c>
      <c r="CV65" t="s">
        <v>333</v>
      </c>
      <c r="CW65">
        <v>3.17042</v>
      </c>
      <c r="CX65">
        <v>2.66787</v>
      </c>
      <c r="CY65">
        <v>0.100626</v>
      </c>
      <c r="CZ65">
        <v>0.101412</v>
      </c>
      <c r="DA65">
        <v>0.0612941</v>
      </c>
      <c r="DB65">
        <v>0.0563999</v>
      </c>
      <c r="DC65">
        <v>21324.5</v>
      </c>
      <c r="DD65">
        <v>21860.5</v>
      </c>
      <c r="DE65">
        <v>22859.4</v>
      </c>
      <c r="DF65">
        <v>22272.8</v>
      </c>
      <c r="DG65">
        <v>32447.7</v>
      </c>
      <c r="DH65">
        <v>29607.8</v>
      </c>
      <c r="DI65">
        <v>40230.6</v>
      </c>
      <c r="DJ65">
        <v>36842.5</v>
      </c>
      <c r="DK65">
        <v>2.02886</v>
      </c>
      <c r="DL65">
        <v>1.53302</v>
      </c>
      <c r="DM65">
        <v>-0.08684989999999999</v>
      </c>
      <c r="DN65">
        <v>0</v>
      </c>
      <c r="DO65">
        <v>32.0989</v>
      </c>
      <c r="DP65">
        <v>999.9</v>
      </c>
      <c r="DQ65">
        <v>31.9</v>
      </c>
      <c r="DR65">
        <v>40.4</v>
      </c>
      <c r="DS65">
        <v>24.1017</v>
      </c>
      <c r="DT65">
        <v>30.2555</v>
      </c>
      <c r="DU65">
        <v>13.5978</v>
      </c>
      <c r="DV65">
        <v>1</v>
      </c>
      <c r="DW65">
        <v>0.864175</v>
      </c>
      <c r="DX65">
        <v>3.3391</v>
      </c>
      <c r="DY65">
        <v>20.3209</v>
      </c>
      <c r="DZ65">
        <v>5.20986</v>
      </c>
      <c r="EA65">
        <v>11.8542</v>
      </c>
      <c r="EB65">
        <v>4.9674</v>
      </c>
      <c r="EC65">
        <v>3.29298</v>
      </c>
      <c r="ED65">
        <v>879.4</v>
      </c>
      <c r="EE65">
        <v>9999</v>
      </c>
      <c r="EF65">
        <v>9999</v>
      </c>
      <c r="EG65">
        <v>76.8</v>
      </c>
      <c r="EH65">
        <v>4.97161</v>
      </c>
      <c r="EI65">
        <v>1.8721</v>
      </c>
      <c r="EJ65">
        <v>1.8695</v>
      </c>
      <c r="EK65">
        <v>1.8718</v>
      </c>
      <c r="EL65">
        <v>1.86955</v>
      </c>
      <c r="EM65">
        <v>1.86844</v>
      </c>
      <c r="EN65">
        <v>1.87024</v>
      </c>
      <c r="EO65">
        <v>1.87195</v>
      </c>
      <c r="EP65">
        <v>0</v>
      </c>
      <c r="EQ65">
        <v>0</v>
      </c>
      <c r="ER65">
        <v>0</v>
      </c>
      <c r="ES65">
        <v>0</v>
      </c>
      <c r="ET65" t="s">
        <v>334</v>
      </c>
      <c r="EU65" t="s">
        <v>335</v>
      </c>
      <c r="EV65" t="s">
        <v>336</v>
      </c>
      <c r="EW65" t="s">
        <v>336</v>
      </c>
      <c r="EX65" t="s">
        <v>336</v>
      </c>
      <c r="EY65" t="s">
        <v>336</v>
      </c>
      <c r="EZ65">
        <v>0</v>
      </c>
      <c r="FA65">
        <v>100</v>
      </c>
      <c r="FB65">
        <v>100</v>
      </c>
      <c r="FC65">
        <v>6.232</v>
      </c>
      <c r="FD65">
        <v>0.0806</v>
      </c>
      <c r="FE65">
        <v>6.23135000000002</v>
      </c>
      <c r="FF65">
        <v>0</v>
      </c>
      <c r="FG65">
        <v>0</v>
      </c>
      <c r="FH65">
        <v>0</v>
      </c>
      <c r="FI65">
        <v>0.08059047619047632</v>
      </c>
      <c r="FJ65">
        <v>0</v>
      </c>
      <c r="FK65">
        <v>0</v>
      </c>
      <c r="FL65">
        <v>0</v>
      </c>
      <c r="FM65">
        <v>-1</v>
      </c>
      <c r="FN65">
        <v>-1</v>
      </c>
      <c r="FO65">
        <v>-1</v>
      </c>
      <c r="FP65">
        <v>-1</v>
      </c>
      <c r="FQ65">
        <v>49.5</v>
      </c>
      <c r="FR65">
        <v>49.6</v>
      </c>
      <c r="FS65">
        <v>0.142822</v>
      </c>
      <c r="FT65">
        <v>4.99756</v>
      </c>
      <c r="FU65">
        <v>1.5979</v>
      </c>
      <c r="FV65">
        <v>2.1228</v>
      </c>
      <c r="FW65">
        <v>1.54785</v>
      </c>
      <c r="FX65">
        <v>2.36694</v>
      </c>
      <c r="FY65">
        <v>45.5472</v>
      </c>
      <c r="FZ65">
        <v>15.997</v>
      </c>
      <c r="GA65">
        <v>3</v>
      </c>
      <c r="GB65">
        <v>519.646</v>
      </c>
      <c r="GC65">
        <v>305.083</v>
      </c>
      <c r="GD65">
        <v>27.879</v>
      </c>
      <c r="GE65">
        <v>37.6189</v>
      </c>
      <c r="GF65">
        <v>30.0001</v>
      </c>
      <c r="GG65">
        <v>37.4818</v>
      </c>
      <c r="GH65">
        <v>37.4694</v>
      </c>
      <c r="GI65">
        <v>-1</v>
      </c>
      <c r="GJ65">
        <v>100</v>
      </c>
      <c r="GK65">
        <v>0</v>
      </c>
      <c r="GL65">
        <v>27.935</v>
      </c>
      <c r="GM65">
        <v>1200</v>
      </c>
      <c r="GN65">
        <v>19.4378</v>
      </c>
      <c r="GO65">
        <v>101.215</v>
      </c>
      <c r="GP65">
        <v>96.2037</v>
      </c>
    </row>
    <row r="66" spans="1:198">
      <c r="A66">
        <v>50</v>
      </c>
      <c r="B66">
        <v>1773199040.5</v>
      </c>
      <c r="C66">
        <v>2940.5</v>
      </c>
      <c r="D66" t="s">
        <v>433</v>
      </c>
      <c r="E66" t="s">
        <v>434</v>
      </c>
      <c r="F66">
        <v>15</v>
      </c>
      <c r="G66">
        <v>1773199032.5</v>
      </c>
      <c r="H66">
        <f>(I66)/1000</f>
        <v>0</v>
      </c>
      <c r="I66">
        <f>1000*AY66*AG66*(AU66-AV66)/(100*AN66*(1000-AG66*AU66))</f>
        <v>0</v>
      </c>
      <c r="J66">
        <f>AY66*AG66*(AT66-AS66*(1000-AG66*AV66)/(1000-AG66*AU66))/(100*AN66)</f>
        <v>0</v>
      </c>
      <c r="K66">
        <f>AS66 - IF(AG66&gt;1, J66*AN66*100.0/(AI66), 0)</f>
        <v>0</v>
      </c>
      <c r="L66">
        <f>((R66-H66/2)*K66-J66)/(R66+H66/2)</f>
        <v>0</v>
      </c>
      <c r="M66">
        <f>L66*(AZ66+BA66)/1000.0</f>
        <v>0</v>
      </c>
      <c r="N66">
        <f>(AS66 - IF(AG66&gt;1, J66*AN66*100.0/(AI66), 0))*(AZ66+BA66)/1000.0</f>
        <v>0</v>
      </c>
      <c r="O66">
        <f>2.0/((1/Q66-1/P66)+SIGN(Q66)*SQRT((1/Q66-1/P66)*(1/Q66-1/P66) + 4*AO66/((AO66+1)*(AO66+1))*(2*1/Q66*1/P66-1/P66*1/P66)))</f>
        <v>0</v>
      </c>
      <c r="P66">
        <f>IF(LEFT(AP66,1)&lt;&gt;"0",IF(LEFT(AP66,1)="1",3.0,AQ66),$D$5+$E$5*(BG66*AZ66/($K$5*1000))+$F$5*(BG66*AZ66/($K$5*1000))*MAX(MIN(AN66,$J$5),$I$5)*MAX(MIN(AN66,$J$5),$I$5)+$G$5*MAX(MIN(AN66,$J$5),$I$5)*(BG66*AZ66/($K$5*1000))+$H$5*(BG66*AZ66/($K$5*1000))*(BG66*AZ66/($K$5*1000)))</f>
        <v>0</v>
      </c>
      <c r="Q66">
        <f>H66*(1000-(1000*0.61365*exp(17.502*U66/(240.97+U66))/(AZ66+BA66)+AU66)/2)/(1000*0.61365*exp(17.502*U66/(240.97+U66))/(AZ66+BA66)-AU66)</f>
        <v>0</v>
      </c>
      <c r="R66">
        <f>1/((AO66+1)/(O66/1.6)+1/(P66/1.37)) + AO66/((AO66+1)/(O66/1.6) + AO66/(P66/1.37))</f>
        <v>0</v>
      </c>
      <c r="S66">
        <f>(AJ66*AM66)</f>
        <v>0</v>
      </c>
      <c r="T66">
        <f>(BB66+(S66+2*0.95*5.67E-8*(((BB66+$B$7)+273)^4-(BB66+273)^4)-44100*H66)/(1.84*29.3*P66+8*0.95*5.67E-8*(BB66+273)^3))</f>
        <v>0</v>
      </c>
      <c r="U66">
        <f>($C$7*BC66+$D$7*BD66+$E$7*T66)</f>
        <v>0</v>
      </c>
      <c r="V66">
        <f>0.61365*exp(17.502*U66/(240.97+U66))</f>
        <v>0</v>
      </c>
      <c r="W66">
        <f>(X66/Y66*100)</f>
        <v>0</v>
      </c>
      <c r="X66">
        <f>AU66*(AZ66+BA66)/1000</f>
        <v>0</v>
      </c>
      <c r="Y66">
        <f>0.61365*exp(17.502*BB66/(240.97+BB66))</f>
        <v>0</v>
      </c>
      <c r="Z66">
        <f>(V66-AU66*(AZ66+BA66)/1000)</f>
        <v>0</v>
      </c>
      <c r="AA66">
        <f>(-H66*44100)</f>
        <v>0</v>
      </c>
      <c r="AB66">
        <f>2*29.3*P66*0.92*(BB66-U66)</f>
        <v>0</v>
      </c>
      <c r="AC66">
        <f>2*0.95*5.67E-8*(((BB66+$B$7)+273)^4-(U66+273)^4)</f>
        <v>0</v>
      </c>
      <c r="AD66">
        <f>S66+AC66+AA66+AB66</f>
        <v>0</v>
      </c>
      <c r="AE66">
        <v>0</v>
      </c>
      <c r="AF66">
        <v>0</v>
      </c>
      <c r="AG66">
        <f>IF(AE66*$H$13&gt;=AI66,1.0,(AI66/(AI66-AE66*$H$13)))</f>
        <v>0</v>
      </c>
      <c r="AH66">
        <f>(AG66-1)*100</f>
        <v>0</v>
      </c>
      <c r="AI66">
        <f>MAX(0,($B$13+$C$13*BG66)/(1+$D$13*BG66)*AZ66/(BB66+273)*$E$13)</f>
        <v>0</v>
      </c>
      <c r="AJ66">
        <f>$B$11*BH66+$C$11*BI66+$D$11*BT66</f>
        <v>0</v>
      </c>
      <c r="AK66">
        <f>AJ66*AL66</f>
        <v>0</v>
      </c>
      <c r="AL66">
        <f>($B$11*$D$9+$C$11*$D$9+$D$11*(BU66*$E$9+BV66*$G$9))/($B$11+$C$11+$D$11)</f>
        <v>0</v>
      </c>
      <c r="AM66">
        <f>($B$11*$K$9+$C$11*$K$9+$D$11*(BU66*$L$9+BV66*$N$9))/($B$11+$C$11+$D$11)</f>
        <v>0</v>
      </c>
      <c r="AN66">
        <v>3</v>
      </c>
      <c r="AO66">
        <v>0.5</v>
      </c>
      <c r="AP66" t="s">
        <v>331</v>
      </c>
      <c r="AQ66">
        <v>2</v>
      </c>
      <c r="AR66">
        <v>1773199032.5</v>
      </c>
      <c r="AS66">
        <v>429.5095161290323</v>
      </c>
      <c r="AT66">
        <v>427.4197096774192</v>
      </c>
      <c r="AU66">
        <v>10.75160322580645</v>
      </c>
      <c r="AV66">
        <v>9.655662580645162</v>
      </c>
      <c r="AW66">
        <v>423.2780967741936</v>
      </c>
      <c r="AX66">
        <v>10.67102258064516</v>
      </c>
      <c r="AY66">
        <v>499.9996129032259</v>
      </c>
      <c r="AZ66">
        <v>100.2415483870967</v>
      </c>
      <c r="BA66">
        <v>0.04704553225806451</v>
      </c>
      <c r="BB66">
        <v>30.79907741935484</v>
      </c>
      <c r="BC66">
        <v>30.68706774193549</v>
      </c>
      <c r="BD66">
        <v>999.9000000000003</v>
      </c>
      <c r="BE66">
        <v>0</v>
      </c>
      <c r="BF66">
        <v>0</v>
      </c>
      <c r="BG66">
        <v>4993.645161290323</v>
      </c>
      <c r="BH66">
        <v>1.490704838709678</v>
      </c>
      <c r="BI66">
        <v>2080.639677419354</v>
      </c>
      <c r="BJ66">
        <v>2.089811935483871</v>
      </c>
      <c r="BK66">
        <v>434.1776774193548</v>
      </c>
      <c r="BL66">
        <v>431.5869677419354</v>
      </c>
      <c r="BM66">
        <v>1.095936451612903</v>
      </c>
      <c r="BN66">
        <v>427.4197096774192</v>
      </c>
      <c r="BO66">
        <v>9.655662580645162</v>
      </c>
      <c r="BP66">
        <v>1.077757741935484</v>
      </c>
      <c r="BQ66">
        <v>0.9678996451612902</v>
      </c>
      <c r="BR66">
        <v>8.012236451612903</v>
      </c>
      <c r="BS66">
        <v>6.441920000000001</v>
      </c>
      <c r="BT66">
        <v>0</v>
      </c>
      <c r="BU66">
        <v>0</v>
      </c>
      <c r="BV66">
        <v>0</v>
      </c>
      <c r="BW66">
        <v>36</v>
      </c>
      <c r="BX66">
        <v>54</v>
      </c>
      <c r="BY66">
        <v>1773196010</v>
      </c>
      <c r="BZ66" t="s">
        <v>332</v>
      </c>
      <c r="CA66">
        <v>1773196010</v>
      </c>
      <c r="CB66">
        <v>1773196005.5</v>
      </c>
      <c r="CC66">
        <v>2</v>
      </c>
      <c r="CD66">
        <v>-0.279</v>
      </c>
      <c r="CE66">
        <v>-0.021</v>
      </c>
      <c r="CF66">
        <v>6.231</v>
      </c>
      <c r="CG66">
        <v>0.081</v>
      </c>
      <c r="CH66">
        <v>432</v>
      </c>
      <c r="CI66">
        <v>21</v>
      </c>
      <c r="CJ66">
        <v>0.03</v>
      </c>
      <c r="CK66">
        <v>0.06</v>
      </c>
      <c r="CL66">
        <v>427.4272333333332</v>
      </c>
      <c r="CM66">
        <v>2.108983314795227</v>
      </c>
      <c r="CN66">
        <v>0.1525712256255692</v>
      </c>
      <c r="CO66">
        <v>-1</v>
      </c>
      <c r="CP66">
        <v>499.9992</v>
      </c>
      <c r="CQ66">
        <v>1.307105672971389</v>
      </c>
      <c r="CR66">
        <v>0.1149212483979056</v>
      </c>
      <c r="CS66">
        <v>-1</v>
      </c>
      <c r="CT66">
        <v>0</v>
      </c>
      <c r="CU66">
        <v>0</v>
      </c>
      <c r="CV66" t="s">
        <v>333</v>
      </c>
      <c r="CW66">
        <v>3.17048</v>
      </c>
      <c r="CX66">
        <v>2.6678</v>
      </c>
      <c r="CY66">
        <v>0.100505</v>
      </c>
      <c r="CZ66">
        <v>0.101313</v>
      </c>
      <c r="DA66">
        <v>0.0615796</v>
      </c>
      <c r="DB66">
        <v>0.0567017</v>
      </c>
      <c r="DC66">
        <v>21325.1</v>
      </c>
      <c r="DD66">
        <v>21861.6</v>
      </c>
      <c r="DE66">
        <v>22857.1</v>
      </c>
      <c r="DF66">
        <v>22271.6</v>
      </c>
      <c r="DG66">
        <v>32434.8</v>
      </c>
      <c r="DH66">
        <v>29596.7</v>
      </c>
      <c r="DI66">
        <v>40226.9</v>
      </c>
      <c r="DJ66">
        <v>36840.5</v>
      </c>
      <c r="DK66">
        <v>2.02862</v>
      </c>
      <c r="DL66">
        <v>1.52856</v>
      </c>
      <c r="DM66">
        <v>-0.0808895</v>
      </c>
      <c r="DN66">
        <v>0</v>
      </c>
      <c r="DO66">
        <v>32.0128</v>
      </c>
      <c r="DP66">
        <v>999.9</v>
      </c>
      <c r="DQ66">
        <v>31.4</v>
      </c>
      <c r="DR66">
        <v>40.6</v>
      </c>
      <c r="DS66">
        <v>23.9789</v>
      </c>
      <c r="DT66">
        <v>30.2555</v>
      </c>
      <c r="DU66">
        <v>13.5577</v>
      </c>
      <c r="DV66">
        <v>1</v>
      </c>
      <c r="DW66">
        <v>0.86711</v>
      </c>
      <c r="DX66">
        <v>3.5286</v>
      </c>
      <c r="DY66">
        <v>20.3161</v>
      </c>
      <c r="DZ66">
        <v>5.20974</v>
      </c>
      <c r="EA66">
        <v>11.8542</v>
      </c>
      <c r="EB66">
        <v>4.9672</v>
      </c>
      <c r="EC66">
        <v>3.293</v>
      </c>
      <c r="ED66">
        <v>879.4</v>
      </c>
      <c r="EE66">
        <v>9999</v>
      </c>
      <c r="EF66">
        <v>9999</v>
      </c>
      <c r="EG66">
        <v>76.8</v>
      </c>
      <c r="EH66">
        <v>4.97159</v>
      </c>
      <c r="EI66">
        <v>1.8721</v>
      </c>
      <c r="EJ66">
        <v>1.8695</v>
      </c>
      <c r="EK66">
        <v>1.8718</v>
      </c>
      <c r="EL66">
        <v>1.86955</v>
      </c>
      <c r="EM66">
        <v>1.86843</v>
      </c>
      <c r="EN66">
        <v>1.87025</v>
      </c>
      <c r="EO66">
        <v>1.87195</v>
      </c>
      <c r="EP66">
        <v>0</v>
      </c>
      <c r="EQ66">
        <v>0</v>
      </c>
      <c r="ER66">
        <v>0</v>
      </c>
      <c r="ES66">
        <v>0</v>
      </c>
      <c r="ET66" t="s">
        <v>334</v>
      </c>
      <c r="EU66" t="s">
        <v>335</v>
      </c>
      <c r="EV66" t="s">
        <v>336</v>
      </c>
      <c r="EW66" t="s">
        <v>336</v>
      </c>
      <c r="EX66" t="s">
        <v>336</v>
      </c>
      <c r="EY66" t="s">
        <v>336</v>
      </c>
      <c r="EZ66">
        <v>0</v>
      </c>
      <c r="FA66">
        <v>100</v>
      </c>
      <c r="FB66">
        <v>100</v>
      </c>
      <c r="FC66">
        <v>6.231</v>
      </c>
      <c r="FD66">
        <v>0.0806</v>
      </c>
      <c r="FE66">
        <v>6.23135000000002</v>
      </c>
      <c r="FF66">
        <v>0</v>
      </c>
      <c r="FG66">
        <v>0</v>
      </c>
      <c r="FH66">
        <v>0</v>
      </c>
      <c r="FI66">
        <v>0.08059047619047632</v>
      </c>
      <c r="FJ66">
        <v>0</v>
      </c>
      <c r="FK66">
        <v>0</v>
      </c>
      <c r="FL66">
        <v>0</v>
      </c>
      <c r="FM66">
        <v>-1</v>
      </c>
      <c r="FN66">
        <v>-1</v>
      </c>
      <c r="FO66">
        <v>-1</v>
      </c>
      <c r="FP66">
        <v>-1</v>
      </c>
      <c r="FQ66">
        <v>50.5</v>
      </c>
      <c r="FR66">
        <v>50.6</v>
      </c>
      <c r="FS66">
        <v>0.142822</v>
      </c>
      <c r="FT66">
        <v>4.99756</v>
      </c>
      <c r="FU66">
        <v>1.5979</v>
      </c>
      <c r="FV66">
        <v>2.1228</v>
      </c>
      <c r="FW66">
        <v>1.54785</v>
      </c>
      <c r="FX66">
        <v>2.4585</v>
      </c>
      <c r="FY66">
        <v>45.6905</v>
      </c>
      <c r="FZ66">
        <v>16.0058</v>
      </c>
      <c r="GA66">
        <v>3</v>
      </c>
      <c r="GB66">
        <v>519.801</v>
      </c>
      <c r="GC66">
        <v>303.088</v>
      </c>
      <c r="GD66">
        <v>28.0352</v>
      </c>
      <c r="GE66">
        <v>37.6604</v>
      </c>
      <c r="GF66">
        <v>30.0008</v>
      </c>
      <c r="GG66">
        <v>37.5246</v>
      </c>
      <c r="GH66">
        <v>37.5082</v>
      </c>
      <c r="GI66">
        <v>-1</v>
      </c>
      <c r="GJ66">
        <v>100</v>
      </c>
      <c r="GK66">
        <v>0</v>
      </c>
      <c r="GL66">
        <v>27.9889</v>
      </c>
      <c r="GM66">
        <v>1200</v>
      </c>
      <c r="GN66">
        <v>19.4378</v>
      </c>
      <c r="GO66">
        <v>101.206</v>
      </c>
      <c r="GP66">
        <v>96.1985</v>
      </c>
    </row>
    <row r="67" spans="1:198">
      <c r="A67">
        <v>51</v>
      </c>
      <c r="B67">
        <v>1773199100.5</v>
      </c>
      <c r="C67">
        <v>3000.5</v>
      </c>
      <c r="D67" t="s">
        <v>435</v>
      </c>
      <c r="E67" t="s">
        <v>436</v>
      </c>
      <c r="F67">
        <v>15</v>
      </c>
      <c r="G67">
        <v>1773199092.5</v>
      </c>
      <c r="H67">
        <f>(I67)/1000</f>
        <v>0</v>
      </c>
      <c r="I67">
        <f>1000*AY67*AG67*(AU67-AV67)/(100*AN67*(1000-AG67*AU67))</f>
        <v>0</v>
      </c>
      <c r="J67">
        <f>AY67*AG67*(AT67-AS67*(1000-AG67*AV67)/(1000-AG67*AU67))/(100*AN67)</f>
        <v>0</v>
      </c>
      <c r="K67">
        <f>AS67 - IF(AG67&gt;1, J67*AN67*100.0/(AI67), 0)</f>
        <v>0</v>
      </c>
      <c r="L67">
        <f>((R67-H67/2)*K67-J67)/(R67+H67/2)</f>
        <v>0</v>
      </c>
      <c r="M67">
        <f>L67*(AZ67+BA67)/1000.0</f>
        <v>0</v>
      </c>
      <c r="N67">
        <f>(AS67 - IF(AG67&gt;1, J67*AN67*100.0/(AI67), 0))*(AZ67+BA67)/1000.0</f>
        <v>0</v>
      </c>
      <c r="O67">
        <f>2.0/((1/Q67-1/P67)+SIGN(Q67)*SQRT((1/Q67-1/P67)*(1/Q67-1/P67) + 4*AO67/((AO67+1)*(AO67+1))*(2*1/Q67*1/P67-1/P67*1/P67)))</f>
        <v>0</v>
      </c>
      <c r="P67">
        <f>IF(LEFT(AP67,1)&lt;&gt;"0",IF(LEFT(AP67,1)="1",3.0,AQ67),$D$5+$E$5*(BG67*AZ67/($K$5*1000))+$F$5*(BG67*AZ67/($K$5*1000))*MAX(MIN(AN67,$J$5),$I$5)*MAX(MIN(AN67,$J$5),$I$5)+$G$5*MAX(MIN(AN67,$J$5),$I$5)*(BG67*AZ67/($K$5*1000))+$H$5*(BG67*AZ67/($K$5*1000))*(BG67*AZ67/($K$5*1000)))</f>
        <v>0</v>
      </c>
      <c r="Q67">
        <f>H67*(1000-(1000*0.61365*exp(17.502*U67/(240.97+U67))/(AZ67+BA67)+AU67)/2)/(1000*0.61365*exp(17.502*U67/(240.97+U67))/(AZ67+BA67)-AU67)</f>
        <v>0</v>
      </c>
      <c r="R67">
        <f>1/((AO67+1)/(O67/1.6)+1/(P67/1.37)) + AO67/((AO67+1)/(O67/1.6) + AO67/(P67/1.37))</f>
        <v>0</v>
      </c>
      <c r="S67">
        <f>(AJ67*AM67)</f>
        <v>0</v>
      </c>
      <c r="T67">
        <f>(BB67+(S67+2*0.95*5.67E-8*(((BB67+$B$7)+273)^4-(BB67+273)^4)-44100*H67)/(1.84*29.3*P67+8*0.95*5.67E-8*(BB67+273)^3))</f>
        <v>0</v>
      </c>
      <c r="U67">
        <f>($C$7*BC67+$D$7*BD67+$E$7*T67)</f>
        <v>0</v>
      </c>
      <c r="V67">
        <f>0.61365*exp(17.502*U67/(240.97+U67))</f>
        <v>0</v>
      </c>
      <c r="W67">
        <f>(X67/Y67*100)</f>
        <v>0</v>
      </c>
      <c r="X67">
        <f>AU67*(AZ67+BA67)/1000</f>
        <v>0</v>
      </c>
      <c r="Y67">
        <f>0.61365*exp(17.502*BB67/(240.97+BB67))</f>
        <v>0</v>
      </c>
      <c r="Z67">
        <f>(V67-AU67*(AZ67+BA67)/1000)</f>
        <v>0</v>
      </c>
      <c r="AA67">
        <f>(-H67*44100)</f>
        <v>0</v>
      </c>
      <c r="AB67">
        <f>2*29.3*P67*0.92*(BB67-U67)</f>
        <v>0</v>
      </c>
      <c r="AC67">
        <f>2*0.95*5.67E-8*(((BB67+$B$7)+273)^4-(U67+273)^4)</f>
        <v>0</v>
      </c>
      <c r="AD67">
        <f>S67+AC67+AA67+AB67</f>
        <v>0</v>
      </c>
      <c r="AE67">
        <v>0</v>
      </c>
      <c r="AF67">
        <v>0</v>
      </c>
      <c r="AG67">
        <f>IF(AE67*$H$13&gt;=AI67,1.0,(AI67/(AI67-AE67*$H$13)))</f>
        <v>0</v>
      </c>
      <c r="AH67">
        <f>(AG67-1)*100</f>
        <v>0</v>
      </c>
      <c r="AI67">
        <f>MAX(0,($B$13+$C$13*BG67)/(1+$D$13*BG67)*AZ67/(BB67+273)*$E$13)</f>
        <v>0</v>
      </c>
      <c r="AJ67">
        <f>$B$11*BH67+$C$11*BI67+$D$11*BT67</f>
        <v>0</v>
      </c>
      <c r="AK67">
        <f>AJ67*AL67</f>
        <v>0</v>
      </c>
      <c r="AL67">
        <f>($B$11*$D$9+$C$11*$D$9+$D$11*(BU67*$E$9+BV67*$G$9))/($B$11+$C$11+$D$11)</f>
        <v>0</v>
      </c>
      <c r="AM67">
        <f>($B$11*$K$9+$C$11*$K$9+$D$11*(BU67*$L$9+BV67*$N$9))/($B$11+$C$11+$D$11)</f>
        <v>0</v>
      </c>
      <c r="AN67">
        <v>3</v>
      </c>
      <c r="AO67">
        <v>0.5</v>
      </c>
      <c r="AP67" t="s">
        <v>331</v>
      </c>
      <c r="AQ67">
        <v>2</v>
      </c>
      <c r="AR67">
        <v>1773199092.5</v>
      </c>
      <c r="AS67">
        <v>430.1277419354839</v>
      </c>
      <c r="AT67">
        <v>427.9442903225806</v>
      </c>
      <c r="AU67">
        <v>10.72127419354838</v>
      </c>
      <c r="AV67">
        <v>9.63705129032258</v>
      </c>
      <c r="AW67">
        <v>423.8964516129033</v>
      </c>
      <c r="AX67">
        <v>10.64068064516129</v>
      </c>
      <c r="AY67">
        <v>499.9764516129032</v>
      </c>
      <c r="AZ67">
        <v>100.2399032258064</v>
      </c>
      <c r="BA67">
        <v>0.0473791129032258</v>
      </c>
      <c r="BB67">
        <v>30.8135806451613</v>
      </c>
      <c r="BC67">
        <v>30.69857096774194</v>
      </c>
      <c r="BD67">
        <v>999.9000000000003</v>
      </c>
      <c r="BE67">
        <v>0</v>
      </c>
      <c r="BF67">
        <v>0</v>
      </c>
      <c r="BG67">
        <v>5006.903225806452</v>
      </c>
      <c r="BH67">
        <v>1.501801935483871</v>
      </c>
      <c r="BI67">
        <v>2081.794838709677</v>
      </c>
      <c r="BJ67">
        <v>2.183525806451613</v>
      </c>
      <c r="BK67">
        <v>434.7893225806451</v>
      </c>
      <c r="BL67">
        <v>432.1085161290322</v>
      </c>
      <c r="BM67">
        <v>1.084223225806452</v>
      </c>
      <c r="BN67">
        <v>427.9442903225806</v>
      </c>
      <c r="BO67">
        <v>9.63705129032258</v>
      </c>
      <c r="BP67">
        <v>1.074699032258065</v>
      </c>
      <c r="BQ67">
        <v>0.9660168387096775</v>
      </c>
      <c r="BR67">
        <v>7.970463225806453</v>
      </c>
      <c r="BS67">
        <v>6.413660967741936</v>
      </c>
      <c r="BT67">
        <v>0</v>
      </c>
      <c r="BU67">
        <v>0</v>
      </c>
      <c r="BV67">
        <v>0</v>
      </c>
      <c r="BW67">
        <v>36</v>
      </c>
      <c r="BX67">
        <v>54.01074193548387</v>
      </c>
      <c r="BY67">
        <v>1773196010</v>
      </c>
      <c r="BZ67" t="s">
        <v>332</v>
      </c>
      <c r="CA67">
        <v>1773196010</v>
      </c>
      <c r="CB67">
        <v>1773196005.5</v>
      </c>
      <c r="CC67">
        <v>2</v>
      </c>
      <c r="CD67">
        <v>-0.279</v>
      </c>
      <c r="CE67">
        <v>-0.021</v>
      </c>
      <c r="CF67">
        <v>6.231</v>
      </c>
      <c r="CG67">
        <v>0.081</v>
      </c>
      <c r="CH67">
        <v>432</v>
      </c>
      <c r="CI67">
        <v>21</v>
      </c>
      <c r="CJ67">
        <v>0.03</v>
      </c>
      <c r="CK67">
        <v>0.06</v>
      </c>
      <c r="CL67">
        <v>427.9415666666666</v>
      </c>
      <c r="CM67">
        <v>0.4268476084543956</v>
      </c>
      <c r="CN67">
        <v>0.03810921440048857</v>
      </c>
      <c r="CO67">
        <v>-1</v>
      </c>
      <c r="CP67">
        <v>499.9635</v>
      </c>
      <c r="CQ67">
        <v>1.481886540600956</v>
      </c>
      <c r="CR67">
        <v>0.2155004640366263</v>
      </c>
      <c r="CS67">
        <v>-1</v>
      </c>
      <c r="CT67">
        <v>0</v>
      </c>
      <c r="CU67">
        <v>0</v>
      </c>
      <c r="CV67" t="s">
        <v>333</v>
      </c>
      <c r="CW67">
        <v>3.17025</v>
      </c>
      <c r="CX67">
        <v>2.66838</v>
      </c>
      <c r="CY67">
        <v>0.100589</v>
      </c>
      <c r="CZ67">
        <v>0.101363</v>
      </c>
      <c r="DA67">
        <v>0.0614066</v>
      </c>
      <c r="DB67">
        <v>0.0565844</v>
      </c>
      <c r="DC67">
        <v>21323.4</v>
      </c>
      <c r="DD67">
        <v>21862</v>
      </c>
      <c r="DE67">
        <v>22857.5</v>
      </c>
      <c r="DF67">
        <v>22273.2</v>
      </c>
      <c r="DG67">
        <v>32440.9</v>
      </c>
      <c r="DH67">
        <v>29602.5</v>
      </c>
      <c r="DI67">
        <v>40227</v>
      </c>
      <c r="DJ67">
        <v>36843.1</v>
      </c>
      <c r="DK67">
        <v>2.02808</v>
      </c>
      <c r="DL67">
        <v>1.52688</v>
      </c>
      <c r="DM67">
        <v>-0.0760198</v>
      </c>
      <c r="DN67">
        <v>0</v>
      </c>
      <c r="DO67">
        <v>31.9312</v>
      </c>
      <c r="DP67">
        <v>999.9</v>
      </c>
      <c r="DQ67">
        <v>31</v>
      </c>
      <c r="DR67">
        <v>40.9</v>
      </c>
      <c r="DS67">
        <v>24.0532</v>
      </c>
      <c r="DT67">
        <v>30.2855</v>
      </c>
      <c r="DU67">
        <v>13.9062</v>
      </c>
      <c r="DV67">
        <v>1</v>
      </c>
      <c r="DW67">
        <v>0.865896</v>
      </c>
      <c r="DX67">
        <v>3.56793</v>
      </c>
      <c r="DY67">
        <v>20.3157</v>
      </c>
      <c r="DZ67">
        <v>5.2083</v>
      </c>
      <c r="EA67">
        <v>11.8542</v>
      </c>
      <c r="EB67">
        <v>4.96708</v>
      </c>
      <c r="EC67">
        <v>3.29298</v>
      </c>
      <c r="ED67">
        <v>879.4</v>
      </c>
      <c r="EE67">
        <v>9999</v>
      </c>
      <c r="EF67">
        <v>9999</v>
      </c>
      <c r="EG67">
        <v>76.90000000000001</v>
      </c>
      <c r="EH67">
        <v>4.97159</v>
      </c>
      <c r="EI67">
        <v>1.8721</v>
      </c>
      <c r="EJ67">
        <v>1.86951</v>
      </c>
      <c r="EK67">
        <v>1.8718</v>
      </c>
      <c r="EL67">
        <v>1.86955</v>
      </c>
      <c r="EM67">
        <v>1.86838</v>
      </c>
      <c r="EN67">
        <v>1.87026</v>
      </c>
      <c r="EO67">
        <v>1.87195</v>
      </c>
      <c r="EP67">
        <v>0</v>
      </c>
      <c r="EQ67">
        <v>0</v>
      </c>
      <c r="ER67">
        <v>0</v>
      </c>
      <c r="ES67">
        <v>0</v>
      </c>
      <c r="ET67" t="s">
        <v>334</v>
      </c>
      <c r="EU67" t="s">
        <v>335</v>
      </c>
      <c r="EV67" t="s">
        <v>336</v>
      </c>
      <c r="EW67" t="s">
        <v>336</v>
      </c>
      <c r="EX67" t="s">
        <v>336</v>
      </c>
      <c r="EY67" t="s">
        <v>336</v>
      </c>
      <c r="EZ67">
        <v>0</v>
      </c>
      <c r="FA67">
        <v>100</v>
      </c>
      <c r="FB67">
        <v>100</v>
      </c>
      <c r="FC67">
        <v>6.231</v>
      </c>
      <c r="FD67">
        <v>0.0806</v>
      </c>
      <c r="FE67">
        <v>6.23135000000002</v>
      </c>
      <c r="FF67">
        <v>0</v>
      </c>
      <c r="FG67">
        <v>0</v>
      </c>
      <c r="FH67">
        <v>0</v>
      </c>
      <c r="FI67">
        <v>0.08059047619047632</v>
      </c>
      <c r="FJ67">
        <v>0</v>
      </c>
      <c r="FK67">
        <v>0</v>
      </c>
      <c r="FL67">
        <v>0</v>
      </c>
      <c r="FM67">
        <v>-1</v>
      </c>
      <c r="FN67">
        <v>-1</v>
      </c>
      <c r="FO67">
        <v>-1</v>
      </c>
      <c r="FP67">
        <v>-1</v>
      </c>
      <c r="FQ67">
        <v>51.5</v>
      </c>
      <c r="FR67">
        <v>51.6</v>
      </c>
      <c r="FS67">
        <v>0.142822</v>
      </c>
      <c r="FT67">
        <v>4.99756</v>
      </c>
      <c r="FU67">
        <v>1.5979</v>
      </c>
      <c r="FV67">
        <v>2.12158</v>
      </c>
      <c r="FW67">
        <v>1.54785</v>
      </c>
      <c r="FX67">
        <v>2.36938</v>
      </c>
      <c r="FY67">
        <v>45.748</v>
      </c>
      <c r="FZ67">
        <v>15.9883</v>
      </c>
      <c r="GA67">
        <v>3</v>
      </c>
      <c r="GB67">
        <v>519.438</v>
      </c>
      <c r="GC67">
        <v>302.257</v>
      </c>
      <c r="GD67">
        <v>27.8697</v>
      </c>
      <c r="GE67">
        <v>37.642</v>
      </c>
      <c r="GF67">
        <v>29.9999</v>
      </c>
      <c r="GG67">
        <v>37.521</v>
      </c>
      <c r="GH67">
        <v>37.5022</v>
      </c>
      <c r="GI67">
        <v>-1</v>
      </c>
      <c r="GJ67">
        <v>100</v>
      </c>
      <c r="GK67">
        <v>0</v>
      </c>
      <c r="GL67">
        <v>27.8602</v>
      </c>
      <c r="GM67">
        <v>1200</v>
      </c>
      <c r="GN67">
        <v>19.4378</v>
      </c>
      <c r="GO67">
        <v>101.207</v>
      </c>
      <c r="GP67">
        <v>96.2054</v>
      </c>
    </row>
    <row r="68" spans="1:198">
      <c r="A68">
        <v>52</v>
      </c>
      <c r="B68">
        <v>1773199160.5</v>
      </c>
      <c r="C68">
        <v>3060.5</v>
      </c>
      <c r="D68" t="s">
        <v>437</v>
      </c>
      <c r="E68" t="s">
        <v>438</v>
      </c>
      <c r="F68">
        <v>15</v>
      </c>
      <c r="G68">
        <v>1773199152.5</v>
      </c>
      <c r="H68">
        <f>(I68)/1000</f>
        <v>0</v>
      </c>
      <c r="I68">
        <f>1000*AY68*AG68*(AU68-AV68)/(100*AN68*(1000-AG68*AU68))</f>
        <v>0</v>
      </c>
      <c r="J68">
        <f>AY68*AG68*(AT68-AS68*(1000-AG68*AV68)/(1000-AG68*AU68))/(100*AN68)</f>
        <v>0</v>
      </c>
      <c r="K68">
        <f>AS68 - IF(AG68&gt;1, J68*AN68*100.0/(AI68), 0)</f>
        <v>0</v>
      </c>
      <c r="L68">
        <f>((R68-H68/2)*K68-J68)/(R68+H68/2)</f>
        <v>0</v>
      </c>
      <c r="M68">
        <f>L68*(AZ68+BA68)/1000.0</f>
        <v>0</v>
      </c>
      <c r="N68">
        <f>(AS68 - IF(AG68&gt;1, J68*AN68*100.0/(AI68), 0))*(AZ68+BA68)/1000.0</f>
        <v>0</v>
      </c>
      <c r="O68">
        <f>2.0/((1/Q68-1/P68)+SIGN(Q68)*SQRT((1/Q68-1/P68)*(1/Q68-1/P68) + 4*AO68/((AO68+1)*(AO68+1))*(2*1/Q68*1/P68-1/P68*1/P68)))</f>
        <v>0</v>
      </c>
      <c r="P68">
        <f>IF(LEFT(AP68,1)&lt;&gt;"0",IF(LEFT(AP68,1)="1",3.0,AQ68),$D$5+$E$5*(BG68*AZ68/($K$5*1000))+$F$5*(BG68*AZ68/($K$5*1000))*MAX(MIN(AN68,$J$5),$I$5)*MAX(MIN(AN68,$J$5),$I$5)+$G$5*MAX(MIN(AN68,$J$5),$I$5)*(BG68*AZ68/($K$5*1000))+$H$5*(BG68*AZ68/($K$5*1000))*(BG68*AZ68/($K$5*1000)))</f>
        <v>0</v>
      </c>
      <c r="Q68">
        <f>H68*(1000-(1000*0.61365*exp(17.502*U68/(240.97+U68))/(AZ68+BA68)+AU68)/2)/(1000*0.61365*exp(17.502*U68/(240.97+U68))/(AZ68+BA68)-AU68)</f>
        <v>0</v>
      </c>
      <c r="R68">
        <f>1/((AO68+1)/(O68/1.6)+1/(P68/1.37)) + AO68/((AO68+1)/(O68/1.6) + AO68/(P68/1.37))</f>
        <v>0</v>
      </c>
      <c r="S68">
        <f>(AJ68*AM68)</f>
        <v>0</v>
      </c>
      <c r="T68">
        <f>(BB68+(S68+2*0.95*5.67E-8*(((BB68+$B$7)+273)^4-(BB68+273)^4)-44100*H68)/(1.84*29.3*P68+8*0.95*5.67E-8*(BB68+273)^3))</f>
        <v>0</v>
      </c>
      <c r="U68">
        <f>($C$7*BC68+$D$7*BD68+$E$7*T68)</f>
        <v>0</v>
      </c>
      <c r="V68">
        <f>0.61365*exp(17.502*U68/(240.97+U68))</f>
        <v>0</v>
      </c>
      <c r="W68">
        <f>(X68/Y68*100)</f>
        <v>0</v>
      </c>
      <c r="X68">
        <f>AU68*(AZ68+BA68)/1000</f>
        <v>0</v>
      </c>
      <c r="Y68">
        <f>0.61365*exp(17.502*BB68/(240.97+BB68))</f>
        <v>0</v>
      </c>
      <c r="Z68">
        <f>(V68-AU68*(AZ68+BA68)/1000)</f>
        <v>0</v>
      </c>
      <c r="AA68">
        <f>(-H68*44100)</f>
        <v>0</v>
      </c>
      <c r="AB68">
        <f>2*29.3*P68*0.92*(BB68-U68)</f>
        <v>0</v>
      </c>
      <c r="AC68">
        <f>2*0.95*5.67E-8*(((BB68+$B$7)+273)^4-(U68+273)^4)</f>
        <v>0</v>
      </c>
      <c r="AD68">
        <f>S68+AC68+AA68+AB68</f>
        <v>0</v>
      </c>
      <c r="AE68">
        <v>0</v>
      </c>
      <c r="AF68">
        <v>0</v>
      </c>
      <c r="AG68">
        <f>IF(AE68*$H$13&gt;=AI68,1.0,(AI68/(AI68-AE68*$H$13)))</f>
        <v>0</v>
      </c>
      <c r="AH68">
        <f>(AG68-1)*100</f>
        <v>0</v>
      </c>
      <c r="AI68">
        <f>MAX(0,($B$13+$C$13*BG68)/(1+$D$13*BG68)*AZ68/(BB68+273)*$E$13)</f>
        <v>0</v>
      </c>
      <c r="AJ68">
        <f>$B$11*BH68+$C$11*BI68+$D$11*BT68</f>
        <v>0</v>
      </c>
      <c r="AK68">
        <f>AJ68*AL68</f>
        <v>0</v>
      </c>
      <c r="AL68">
        <f>($B$11*$D$9+$C$11*$D$9+$D$11*(BU68*$E$9+BV68*$G$9))/($B$11+$C$11+$D$11)</f>
        <v>0</v>
      </c>
      <c r="AM68">
        <f>($B$11*$K$9+$C$11*$K$9+$D$11*(BU68*$L$9+BV68*$N$9))/($B$11+$C$11+$D$11)</f>
        <v>0</v>
      </c>
      <c r="AN68">
        <v>3</v>
      </c>
      <c r="AO68">
        <v>0.5</v>
      </c>
      <c r="AP68" t="s">
        <v>331</v>
      </c>
      <c r="AQ68">
        <v>2</v>
      </c>
      <c r="AR68">
        <v>1773199152.5</v>
      </c>
      <c r="AS68">
        <v>429.8813548387097</v>
      </c>
      <c r="AT68">
        <v>427.6632903225806</v>
      </c>
      <c r="AU68">
        <v>10.65658709677419</v>
      </c>
      <c r="AV68">
        <v>9.592286451612901</v>
      </c>
      <c r="AW68">
        <v>423.65</v>
      </c>
      <c r="AX68">
        <v>10.576</v>
      </c>
      <c r="AY68">
        <v>500.0207741935483</v>
      </c>
      <c r="AZ68">
        <v>100.2374516129032</v>
      </c>
      <c r="BA68">
        <v>0.04678624193548387</v>
      </c>
      <c r="BB68">
        <v>30.78104838709677</v>
      </c>
      <c r="BC68">
        <v>30.6542935483871</v>
      </c>
      <c r="BD68">
        <v>999.9000000000003</v>
      </c>
      <c r="BE68">
        <v>0</v>
      </c>
      <c r="BF68">
        <v>0</v>
      </c>
      <c r="BG68">
        <v>5001.209677419355</v>
      </c>
      <c r="BH68">
        <v>1.531704838709677</v>
      </c>
      <c r="BI68">
        <v>2125.001935483871</v>
      </c>
      <c r="BJ68">
        <v>2.218038709677419</v>
      </c>
      <c r="BK68">
        <v>434.5117419354839</v>
      </c>
      <c r="BL68">
        <v>431.8053870967742</v>
      </c>
      <c r="BM68">
        <v>1.06430064516129</v>
      </c>
      <c r="BN68">
        <v>427.6632903225806</v>
      </c>
      <c r="BO68">
        <v>9.592286451612901</v>
      </c>
      <c r="BP68">
        <v>1.068189677419355</v>
      </c>
      <c r="BQ68">
        <v>0.9615066774193548</v>
      </c>
      <c r="BR68">
        <v>7.881218709677419</v>
      </c>
      <c r="BS68">
        <v>6.345772903225806</v>
      </c>
      <c r="BT68">
        <v>0</v>
      </c>
      <c r="BU68">
        <v>0</v>
      </c>
      <c r="BV68">
        <v>0</v>
      </c>
      <c r="BW68">
        <v>35</v>
      </c>
      <c r="BX68">
        <v>55</v>
      </c>
      <c r="BY68">
        <v>1773196010</v>
      </c>
      <c r="BZ68" t="s">
        <v>332</v>
      </c>
      <c r="CA68">
        <v>1773196010</v>
      </c>
      <c r="CB68">
        <v>1773196005.5</v>
      </c>
      <c r="CC68">
        <v>2</v>
      </c>
      <c r="CD68">
        <v>-0.279</v>
      </c>
      <c r="CE68">
        <v>-0.021</v>
      </c>
      <c r="CF68">
        <v>6.231</v>
      </c>
      <c r="CG68">
        <v>0.081</v>
      </c>
      <c r="CH68">
        <v>432</v>
      </c>
      <c r="CI68">
        <v>21</v>
      </c>
      <c r="CJ68">
        <v>0.03</v>
      </c>
      <c r="CK68">
        <v>0.06</v>
      </c>
      <c r="CL68">
        <v>427.6569032258064</v>
      </c>
      <c r="CM68">
        <v>0.7702741935468485</v>
      </c>
      <c r="CN68">
        <v>0.05786879198988407</v>
      </c>
      <c r="CO68">
        <v>-1</v>
      </c>
      <c r="CP68">
        <v>500.0261290322581</v>
      </c>
      <c r="CQ68">
        <v>-0.6245806451641043</v>
      </c>
      <c r="CR68">
        <v>0.06639944710977076</v>
      </c>
      <c r="CS68">
        <v>-1</v>
      </c>
      <c r="CT68">
        <v>0</v>
      </c>
      <c r="CU68">
        <v>0</v>
      </c>
      <c r="CV68" t="s">
        <v>333</v>
      </c>
      <c r="CW68">
        <v>3.1704</v>
      </c>
      <c r="CX68">
        <v>2.66844</v>
      </c>
      <c r="CY68">
        <v>0.100555</v>
      </c>
      <c r="CZ68">
        <v>0.101337</v>
      </c>
      <c r="DA68">
        <v>0.0611135</v>
      </c>
      <c r="DB68">
        <v>0.0563691</v>
      </c>
      <c r="DC68">
        <v>21327</v>
      </c>
      <c r="DD68">
        <v>21866.1</v>
      </c>
      <c r="DE68">
        <v>22860.1</v>
      </c>
      <c r="DF68">
        <v>22276.5</v>
      </c>
      <c r="DG68">
        <v>32454.6</v>
      </c>
      <c r="DH68">
        <v>29614</v>
      </c>
      <c r="DI68">
        <v>40231.3</v>
      </c>
      <c r="DJ68">
        <v>36848.8</v>
      </c>
      <c r="DK68">
        <v>2.02942</v>
      </c>
      <c r="DL68">
        <v>1.52686</v>
      </c>
      <c r="DM68">
        <v>-0.07237490000000001</v>
      </c>
      <c r="DN68">
        <v>0</v>
      </c>
      <c r="DO68">
        <v>31.829</v>
      </c>
      <c r="DP68">
        <v>999.9</v>
      </c>
      <c r="DQ68">
        <v>30.6</v>
      </c>
      <c r="DR68">
        <v>41</v>
      </c>
      <c r="DS68">
        <v>23.8699</v>
      </c>
      <c r="DT68">
        <v>30.1355</v>
      </c>
      <c r="DU68">
        <v>13.5337</v>
      </c>
      <c r="DV68">
        <v>1</v>
      </c>
      <c r="DW68">
        <v>0.85724</v>
      </c>
      <c r="DX68">
        <v>3.28021</v>
      </c>
      <c r="DY68">
        <v>20.3242</v>
      </c>
      <c r="DZ68">
        <v>5.20974</v>
      </c>
      <c r="EA68">
        <v>11.8542</v>
      </c>
      <c r="EB68">
        <v>4.96712</v>
      </c>
      <c r="EC68">
        <v>3.29298</v>
      </c>
      <c r="ED68">
        <v>879.4</v>
      </c>
      <c r="EE68">
        <v>9999</v>
      </c>
      <c r="EF68">
        <v>9999</v>
      </c>
      <c r="EG68">
        <v>76.90000000000001</v>
      </c>
      <c r="EH68">
        <v>4.97163</v>
      </c>
      <c r="EI68">
        <v>1.8721</v>
      </c>
      <c r="EJ68">
        <v>1.86951</v>
      </c>
      <c r="EK68">
        <v>1.8718</v>
      </c>
      <c r="EL68">
        <v>1.86957</v>
      </c>
      <c r="EM68">
        <v>1.86837</v>
      </c>
      <c r="EN68">
        <v>1.87027</v>
      </c>
      <c r="EO68">
        <v>1.87195</v>
      </c>
      <c r="EP68">
        <v>0</v>
      </c>
      <c r="EQ68">
        <v>0</v>
      </c>
      <c r="ER68">
        <v>0</v>
      </c>
      <c r="ES68">
        <v>0</v>
      </c>
      <c r="ET68" t="s">
        <v>334</v>
      </c>
      <c r="EU68" t="s">
        <v>335</v>
      </c>
      <c r="EV68" t="s">
        <v>336</v>
      </c>
      <c r="EW68" t="s">
        <v>336</v>
      </c>
      <c r="EX68" t="s">
        <v>336</v>
      </c>
      <c r="EY68" t="s">
        <v>336</v>
      </c>
      <c r="EZ68">
        <v>0</v>
      </c>
      <c r="FA68">
        <v>100</v>
      </c>
      <c r="FB68">
        <v>100</v>
      </c>
      <c r="FC68">
        <v>6.231</v>
      </c>
      <c r="FD68">
        <v>0.0806</v>
      </c>
      <c r="FE68">
        <v>6.23135000000002</v>
      </c>
      <c r="FF68">
        <v>0</v>
      </c>
      <c r="FG68">
        <v>0</v>
      </c>
      <c r="FH68">
        <v>0</v>
      </c>
      <c r="FI68">
        <v>0.08059047619047632</v>
      </c>
      <c r="FJ68">
        <v>0</v>
      </c>
      <c r="FK68">
        <v>0</v>
      </c>
      <c r="FL68">
        <v>0</v>
      </c>
      <c r="FM68">
        <v>-1</v>
      </c>
      <c r="FN68">
        <v>-1</v>
      </c>
      <c r="FO68">
        <v>-1</v>
      </c>
      <c r="FP68">
        <v>-1</v>
      </c>
      <c r="FQ68">
        <v>52.5</v>
      </c>
      <c r="FR68">
        <v>52.6</v>
      </c>
      <c r="FS68">
        <v>0.142822</v>
      </c>
      <c r="FT68">
        <v>4.99756</v>
      </c>
      <c r="FU68">
        <v>1.5979</v>
      </c>
      <c r="FV68">
        <v>2.12158</v>
      </c>
      <c r="FW68">
        <v>1.54785</v>
      </c>
      <c r="FX68">
        <v>2.47559</v>
      </c>
      <c r="FY68">
        <v>45.6905</v>
      </c>
      <c r="FZ68">
        <v>15.997</v>
      </c>
      <c r="GA68">
        <v>3</v>
      </c>
      <c r="GB68">
        <v>519.9349999999999</v>
      </c>
      <c r="GC68">
        <v>302.05</v>
      </c>
      <c r="GD68">
        <v>27.955</v>
      </c>
      <c r="GE68">
        <v>37.5706</v>
      </c>
      <c r="GF68">
        <v>29.9993</v>
      </c>
      <c r="GG68">
        <v>37.4728</v>
      </c>
      <c r="GH68">
        <v>37.4538</v>
      </c>
      <c r="GI68">
        <v>-1</v>
      </c>
      <c r="GJ68">
        <v>100</v>
      </c>
      <c r="GK68">
        <v>0</v>
      </c>
      <c r="GL68">
        <v>27.9655</v>
      </c>
      <c r="GM68">
        <v>1200</v>
      </c>
      <c r="GN68">
        <v>19.4378</v>
      </c>
      <c r="GO68">
        <v>101.218</v>
      </c>
      <c r="GP68">
        <v>96.22</v>
      </c>
    </row>
    <row r="69" spans="1:198">
      <c r="A69">
        <v>53</v>
      </c>
      <c r="B69">
        <v>1773199220.5</v>
      </c>
      <c r="C69">
        <v>3120.5</v>
      </c>
      <c r="D69" t="s">
        <v>439</v>
      </c>
      <c r="E69" t="s">
        <v>440</v>
      </c>
      <c r="F69">
        <v>15</v>
      </c>
      <c r="G69">
        <v>1773199212.5</v>
      </c>
      <c r="H69">
        <f>(I69)/1000</f>
        <v>0</v>
      </c>
      <c r="I69">
        <f>1000*AY69*AG69*(AU69-AV69)/(100*AN69*(1000-AG69*AU69))</f>
        <v>0</v>
      </c>
      <c r="J69">
        <f>AY69*AG69*(AT69-AS69*(1000-AG69*AV69)/(1000-AG69*AU69))/(100*AN69)</f>
        <v>0</v>
      </c>
      <c r="K69">
        <f>AS69 - IF(AG69&gt;1, J69*AN69*100.0/(AI69), 0)</f>
        <v>0</v>
      </c>
      <c r="L69">
        <f>((R69-H69/2)*K69-J69)/(R69+H69/2)</f>
        <v>0</v>
      </c>
      <c r="M69">
        <f>L69*(AZ69+BA69)/1000.0</f>
        <v>0</v>
      </c>
      <c r="N69">
        <f>(AS69 - IF(AG69&gt;1, J69*AN69*100.0/(AI69), 0))*(AZ69+BA69)/1000.0</f>
        <v>0</v>
      </c>
      <c r="O69">
        <f>2.0/((1/Q69-1/P69)+SIGN(Q69)*SQRT((1/Q69-1/P69)*(1/Q69-1/P69) + 4*AO69/((AO69+1)*(AO69+1))*(2*1/Q69*1/P69-1/P69*1/P69)))</f>
        <v>0</v>
      </c>
      <c r="P69">
        <f>IF(LEFT(AP69,1)&lt;&gt;"0",IF(LEFT(AP69,1)="1",3.0,AQ69),$D$5+$E$5*(BG69*AZ69/($K$5*1000))+$F$5*(BG69*AZ69/($K$5*1000))*MAX(MIN(AN69,$J$5),$I$5)*MAX(MIN(AN69,$J$5),$I$5)+$G$5*MAX(MIN(AN69,$J$5),$I$5)*(BG69*AZ69/($K$5*1000))+$H$5*(BG69*AZ69/($K$5*1000))*(BG69*AZ69/($K$5*1000)))</f>
        <v>0</v>
      </c>
      <c r="Q69">
        <f>H69*(1000-(1000*0.61365*exp(17.502*U69/(240.97+U69))/(AZ69+BA69)+AU69)/2)/(1000*0.61365*exp(17.502*U69/(240.97+U69))/(AZ69+BA69)-AU69)</f>
        <v>0</v>
      </c>
      <c r="R69">
        <f>1/((AO69+1)/(O69/1.6)+1/(P69/1.37)) + AO69/((AO69+1)/(O69/1.6) + AO69/(P69/1.37))</f>
        <v>0</v>
      </c>
      <c r="S69">
        <f>(AJ69*AM69)</f>
        <v>0</v>
      </c>
      <c r="T69">
        <f>(BB69+(S69+2*0.95*5.67E-8*(((BB69+$B$7)+273)^4-(BB69+273)^4)-44100*H69)/(1.84*29.3*P69+8*0.95*5.67E-8*(BB69+273)^3))</f>
        <v>0</v>
      </c>
      <c r="U69">
        <f>($C$7*BC69+$D$7*BD69+$E$7*T69)</f>
        <v>0</v>
      </c>
      <c r="V69">
        <f>0.61365*exp(17.502*U69/(240.97+U69))</f>
        <v>0</v>
      </c>
      <c r="W69">
        <f>(X69/Y69*100)</f>
        <v>0</v>
      </c>
      <c r="X69">
        <f>AU69*(AZ69+BA69)/1000</f>
        <v>0</v>
      </c>
      <c r="Y69">
        <f>0.61365*exp(17.502*BB69/(240.97+BB69))</f>
        <v>0</v>
      </c>
      <c r="Z69">
        <f>(V69-AU69*(AZ69+BA69)/1000)</f>
        <v>0</v>
      </c>
      <c r="AA69">
        <f>(-H69*44100)</f>
        <v>0</v>
      </c>
      <c r="AB69">
        <f>2*29.3*P69*0.92*(BB69-U69)</f>
        <v>0</v>
      </c>
      <c r="AC69">
        <f>2*0.95*5.67E-8*(((BB69+$B$7)+273)^4-(U69+273)^4)</f>
        <v>0</v>
      </c>
      <c r="AD69">
        <f>S69+AC69+AA69+AB69</f>
        <v>0</v>
      </c>
      <c r="AE69">
        <v>0</v>
      </c>
      <c r="AF69">
        <v>0</v>
      </c>
      <c r="AG69">
        <f>IF(AE69*$H$13&gt;=AI69,1.0,(AI69/(AI69-AE69*$H$13)))</f>
        <v>0</v>
      </c>
      <c r="AH69">
        <f>(AG69-1)*100</f>
        <v>0</v>
      </c>
      <c r="AI69">
        <f>MAX(0,($B$13+$C$13*BG69)/(1+$D$13*BG69)*AZ69/(BB69+273)*$E$13)</f>
        <v>0</v>
      </c>
      <c r="AJ69">
        <f>$B$11*BH69+$C$11*BI69+$D$11*BT69</f>
        <v>0</v>
      </c>
      <c r="AK69">
        <f>AJ69*AL69</f>
        <v>0</v>
      </c>
      <c r="AL69">
        <f>($B$11*$D$9+$C$11*$D$9+$D$11*(BU69*$E$9+BV69*$G$9))/($B$11+$C$11+$D$11)</f>
        <v>0</v>
      </c>
      <c r="AM69">
        <f>($B$11*$K$9+$C$11*$K$9+$D$11*(BU69*$L$9+BV69*$N$9))/($B$11+$C$11+$D$11)</f>
        <v>0</v>
      </c>
      <c r="AN69">
        <v>3</v>
      </c>
      <c r="AO69">
        <v>0.5</v>
      </c>
      <c r="AP69" t="s">
        <v>331</v>
      </c>
      <c r="AQ69">
        <v>2</v>
      </c>
      <c r="AR69">
        <v>1773199212.5</v>
      </c>
      <c r="AS69">
        <v>429.7213225806451</v>
      </c>
      <c r="AT69">
        <v>427.5285483870967</v>
      </c>
      <c r="AU69">
        <v>10.59583870967742</v>
      </c>
      <c r="AV69">
        <v>9.558858064516128</v>
      </c>
      <c r="AW69">
        <v>423.4899677419355</v>
      </c>
      <c r="AX69">
        <v>10.51525161290323</v>
      </c>
      <c r="AY69">
        <v>500.0219677419354</v>
      </c>
      <c r="AZ69">
        <v>100.2345161290323</v>
      </c>
      <c r="BA69">
        <v>0.04613611935483871</v>
      </c>
      <c r="BB69">
        <v>30.77259677419354</v>
      </c>
      <c r="BC69">
        <v>30.65859677419355</v>
      </c>
      <c r="BD69">
        <v>999.9000000000003</v>
      </c>
      <c r="BE69">
        <v>0</v>
      </c>
      <c r="BF69">
        <v>0</v>
      </c>
      <c r="BG69">
        <v>4999.935483870968</v>
      </c>
      <c r="BH69">
        <v>1.526988064516129</v>
      </c>
      <c r="BI69">
        <v>2109.925161290322</v>
      </c>
      <c r="BJ69">
        <v>2.192671612903226</v>
      </c>
      <c r="BK69">
        <v>434.3234193548388</v>
      </c>
      <c r="BL69">
        <v>431.6547419354839</v>
      </c>
      <c r="BM69">
        <v>1.036975483870968</v>
      </c>
      <c r="BN69">
        <v>427.5285483870967</v>
      </c>
      <c r="BO69">
        <v>9.558858064516128</v>
      </c>
      <c r="BP69">
        <v>1.062068709677419</v>
      </c>
      <c r="BQ69">
        <v>0.958126935483871</v>
      </c>
      <c r="BR69">
        <v>7.796855483870969</v>
      </c>
      <c r="BS69">
        <v>6.294717741935483</v>
      </c>
      <c r="BT69">
        <v>0</v>
      </c>
      <c r="BU69">
        <v>0</v>
      </c>
      <c r="BV69">
        <v>0</v>
      </c>
      <c r="BW69">
        <v>35</v>
      </c>
      <c r="BX69">
        <v>54.97635161290322</v>
      </c>
      <c r="BY69">
        <v>1773196010</v>
      </c>
      <c r="BZ69" t="s">
        <v>332</v>
      </c>
      <c r="CA69">
        <v>1773196010</v>
      </c>
      <c r="CB69">
        <v>1773196005.5</v>
      </c>
      <c r="CC69">
        <v>2</v>
      </c>
      <c r="CD69">
        <v>-0.279</v>
      </c>
      <c r="CE69">
        <v>-0.021</v>
      </c>
      <c r="CF69">
        <v>6.231</v>
      </c>
      <c r="CG69">
        <v>0.081</v>
      </c>
      <c r="CH69">
        <v>432</v>
      </c>
      <c r="CI69">
        <v>21</v>
      </c>
      <c r="CJ69">
        <v>0.03</v>
      </c>
      <c r="CK69">
        <v>0.06</v>
      </c>
      <c r="CL69">
        <v>427.5293225806451</v>
      </c>
      <c r="CM69">
        <v>-0.05293548387116328</v>
      </c>
      <c r="CN69">
        <v>0.01097618271024043</v>
      </c>
      <c r="CO69">
        <v>-1</v>
      </c>
      <c r="CP69">
        <v>500.0224838709678</v>
      </c>
      <c r="CQ69">
        <v>0.04233870967691195</v>
      </c>
      <c r="CR69">
        <v>0.03906972342161159</v>
      </c>
      <c r="CS69">
        <v>-1</v>
      </c>
      <c r="CT69">
        <v>0</v>
      </c>
      <c r="CU69">
        <v>0</v>
      </c>
      <c r="CV69" t="s">
        <v>333</v>
      </c>
      <c r="CW69">
        <v>3.17033</v>
      </c>
      <c r="CX69">
        <v>2.6666</v>
      </c>
      <c r="CY69">
        <v>0.10054</v>
      </c>
      <c r="CZ69">
        <v>0.101301</v>
      </c>
      <c r="DA69">
        <v>0.0608737</v>
      </c>
      <c r="DB69">
        <v>0.0562469</v>
      </c>
      <c r="DC69">
        <v>21331.2</v>
      </c>
      <c r="DD69">
        <v>21871.2</v>
      </c>
      <c r="DE69">
        <v>22863.7</v>
      </c>
      <c r="DF69">
        <v>22280.6</v>
      </c>
      <c r="DG69">
        <v>32467.8</v>
      </c>
      <c r="DH69">
        <v>29623.6</v>
      </c>
      <c r="DI69">
        <v>40237.2</v>
      </c>
      <c r="DJ69">
        <v>36855.7</v>
      </c>
      <c r="DK69">
        <v>2.0298</v>
      </c>
      <c r="DL69">
        <v>1.5288</v>
      </c>
      <c r="DM69">
        <v>-0.06878380000000001</v>
      </c>
      <c r="DN69">
        <v>0</v>
      </c>
      <c r="DO69">
        <v>31.7811</v>
      </c>
      <c r="DP69">
        <v>999.9</v>
      </c>
      <c r="DQ69">
        <v>30.4</v>
      </c>
      <c r="DR69">
        <v>41.2</v>
      </c>
      <c r="DS69">
        <v>23.9665</v>
      </c>
      <c r="DT69">
        <v>30.4055</v>
      </c>
      <c r="DU69">
        <v>13.5176</v>
      </c>
      <c r="DV69">
        <v>1</v>
      </c>
      <c r="DW69">
        <v>0.846557</v>
      </c>
      <c r="DX69">
        <v>3.0001</v>
      </c>
      <c r="DY69">
        <v>20.3308</v>
      </c>
      <c r="DZ69">
        <v>5.2095</v>
      </c>
      <c r="EA69">
        <v>11.8542</v>
      </c>
      <c r="EB69">
        <v>4.96716</v>
      </c>
      <c r="EC69">
        <v>3.29296</v>
      </c>
      <c r="ED69">
        <v>879.4</v>
      </c>
      <c r="EE69">
        <v>9999</v>
      </c>
      <c r="EF69">
        <v>9999</v>
      </c>
      <c r="EG69">
        <v>76.90000000000001</v>
      </c>
      <c r="EH69">
        <v>4.9716</v>
      </c>
      <c r="EI69">
        <v>1.87211</v>
      </c>
      <c r="EJ69">
        <v>1.86951</v>
      </c>
      <c r="EK69">
        <v>1.8718</v>
      </c>
      <c r="EL69">
        <v>1.86955</v>
      </c>
      <c r="EM69">
        <v>1.86842</v>
      </c>
      <c r="EN69">
        <v>1.87025</v>
      </c>
      <c r="EO69">
        <v>1.87195</v>
      </c>
      <c r="EP69">
        <v>0</v>
      </c>
      <c r="EQ69">
        <v>0</v>
      </c>
      <c r="ER69">
        <v>0</v>
      </c>
      <c r="ES69">
        <v>0</v>
      </c>
      <c r="ET69" t="s">
        <v>334</v>
      </c>
      <c r="EU69" t="s">
        <v>335</v>
      </c>
      <c r="EV69" t="s">
        <v>336</v>
      </c>
      <c r="EW69" t="s">
        <v>336</v>
      </c>
      <c r="EX69" t="s">
        <v>336</v>
      </c>
      <c r="EY69" t="s">
        <v>336</v>
      </c>
      <c r="EZ69">
        <v>0</v>
      </c>
      <c r="FA69">
        <v>100</v>
      </c>
      <c r="FB69">
        <v>100</v>
      </c>
      <c r="FC69">
        <v>6.231</v>
      </c>
      <c r="FD69">
        <v>0.0806</v>
      </c>
      <c r="FE69">
        <v>6.23135000000002</v>
      </c>
      <c r="FF69">
        <v>0</v>
      </c>
      <c r="FG69">
        <v>0</v>
      </c>
      <c r="FH69">
        <v>0</v>
      </c>
      <c r="FI69">
        <v>0.08059047619047632</v>
      </c>
      <c r="FJ69">
        <v>0</v>
      </c>
      <c r="FK69">
        <v>0</v>
      </c>
      <c r="FL69">
        <v>0</v>
      </c>
      <c r="FM69">
        <v>-1</v>
      </c>
      <c r="FN69">
        <v>-1</v>
      </c>
      <c r="FO69">
        <v>-1</v>
      </c>
      <c r="FP69">
        <v>-1</v>
      </c>
      <c r="FQ69">
        <v>53.5</v>
      </c>
      <c r="FR69">
        <v>53.6</v>
      </c>
      <c r="FS69">
        <v>0.142822</v>
      </c>
      <c r="FT69">
        <v>4.99756</v>
      </c>
      <c r="FU69">
        <v>1.5979</v>
      </c>
      <c r="FV69">
        <v>2.12036</v>
      </c>
      <c r="FW69">
        <v>1.54785</v>
      </c>
      <c r="FX69">
        <v>2.45972</v>
      </c>
      <c r="FY69">
        <v>45.6045</v>
      </c>
      <c r="FZ69">
        <v>15.997</v>
      </c>
      <c r="GA69">
        <v>3</v>
      </c>
      <c r="GB69">
        <v>519.693</v>
      </c>
      <c r="GC69">
        <v>302.74</v>
      </c>
      <c r="GD69">
        <v>28.2075</v>
      </c>
      <c r="GE69">
        <v>37.4739</v>
      </c>
      <c r="GF69">
        <v>29.9994</v>
      </c>
      <c r="GG69">
        <v>37.4055</v>
      </c>
      <c r="GH69">
        <v>37.394</v>
      </c>
      <c r="GI69">
        <v>-1</v>
      </c>
      <c r="GJ69">
        <v>100</v>
      </c>
      <c r="GK69">
        <v>0</v>
      </c>
      <c r="GL69">
        <v>28.2171</v>
      </c>
      <c r="GM69">
        <v>1200</v>
      </c>
      <c r="GN69">
        <v>19.4378</v>
      </c>
      <c r="GO69">
        <v>101.233</v>
      </c>
      <c r="GP69">
        <v>96.2379</v>
      </c>
    </row>
    <row r="70" spans="1:198">
      <c r="A70">
        <v>54</v>
      </c>
      <c r="B70">
        <v>1773199280.5</v>
      </c>
      <c r="C70">
        <v>3180.5</v>
      </c>
      <c r="D70" t="s">
        <v>441</v>
      </c>
      <c r="E70" t="s">
        <v>442</v>
      </c>
      <c r="F70">
        <v>15</v>
      </c>
      <c r="G70">
        <v>1773199272.5</v>
      </c>
      <c r="H70">
        <f>(I70)/1000</f>
        <v>0</v>
      </c>
      <c r="I70">
        <f>1000*AY70*AG70*(AU70-AV70)/(100*AN70*(1000-AG70*AU70))</f>
        <v>0</v>
      </c>
      <c r="J70">
        <f>AY70*AG70*(AT70-AS70*(1000-AG70*AV70)/(1000-AG70*AU70))/(100*AN70)</f>
        <v>0</v>
      </c>
      <c r="K70">
        <f>AS70 - IF(AG70&gt;1, J70*AN70*100.0/(AI70), 0)</f>
        <v>0</v>
      </c>
      <c r="L70">
        <f>((R70-H70/2)*K70-J70)/(R70+H70/2)</f>
        <v>0</v>
      </c>
      <c r="M70">
        <f>L70*(AZ70+BA70)/1000.0</f>
        <v>0</v>
      </c>
      <c r="N70">
        <f>(AS70 - IF(AG70&gt;1, J70*AN70*100.0/(AI70), 0))*(AZ70+BA70)/1000.0</f>
        <v>0</v>
      </c>
      <c r="O70">
        <f>2.0/((1/Q70-1/P70)+SIGN(Q70)*SQRT((1/Q70-1/P70)*(1/Q70-1/P70) + 4*AO70/((AO70+1)*(AO70+1))*(2*1/Q70*1/P70-1/P70*1/P70)))</f>
        <v>0</v>
      </c>
      <c r="P70">
        <f>IF(LEFT(AP70,1)&lt;&gt;"0",IF(LEFT(AP70,1)="1",3.0,AQ70),$D$5+$E$5*(BG70*AZ70/($K$5*1000))+$F$5*(BG70*AZ70/($K$5*1000))*MAX(MIN(AN70,$J$5),$I$5)*MAX(MIN(AN70,$J$5),$I$5)+$G$5*MAX(MIN(AN70,$J$5),$I$5)*(BG70*AZ70/($K$5*1000))+$H$5*(BG70*AZ70/($K$5*1000))*(BG70*AZ70/($K$5*1000)))</f>
        <v>0</v>
      </c>
      <c r="Q70">
        <f>H70*(1000-(1000*0.61365*exp(17.502*U70/(240.97+U70))/(AZ70+BA70)+AU70)/2)/(1000*0.61365*exp(17.502*U70/(240.97+U70))/(AZ70+BA70)-AU70)</f>
        <v>0</v>
      </c>
      <c r="R70">
        <f>1/((AO70+1)/(O70/1.6)+1/(P70/1.37)) + AO70/((AO70+1)/(O70/1.6) + AO70/(P70/1.37))</f>
        <v>0</v>
      </c>
      <c r="S70">
        <f>(AJ70*AM70)</f>
        <v>0</v>
      </c>
      <c r="T70">
        <f>(BB70+(S70+2*0.95*5.67E-8*(((BB70+$B$7)+273)^4-(BB70+273)^4)-44100*H70)/(1.84*29.3*P70+8*0.95*5.67E-8*(BB70+273)^3))</f>
        <v>0</v>
      </c>
      <c r="U70">
        <f>($C$7*BC70+$D$7*BD70+$E$7*T70)</f>
        <v>0</v>
      </c>
      <c r="V70">
        <f>0.61365*exp(17.502*U70/(240.97+U70))</f>
        <v>0</v>
      </c>
      <c r="W70">
        <f>(X70/Y70*100)</f>
        <v>0</v>
      </c>
      <c r="X70">
        <f>AU70*(AZ70+BA70)/1000</f>
        <v>0</v>
      </c>
      <c r="Y70">
        <f>0.61365*exp(17.502*BB70/(240.97+BB70))</f>
        <v>0</v>
      </c>
      <c r="Z70">
        <f>(V70-AU70*(AZ70+BA70)/1000)</f>
        <v>0</v>
      </c>
      <c r="AA70">
        <f>(-H70*44100)</f>
        <v>0</v>
      </c>
      <c r="AB70">
        <f>2*29.3*P70*0.92*(BB70-U70)</f>
        <v>0</v>
      </c>
      <c r="AC70">
        <f>2*0.95*5.67E-8*(((BB70+$B$7)+273)^4-(U70+273)^4)</f>
        <v>0</v>
      </c>
      <c r="AD70">
        <f>S70+AC70+AA70+AB70</f>
        <v>0</v>
      </c>
      <c r="AE70">
        <v>0</v>
      </c>
      <c r="AF70">
        <v>0</v>
      </c>
      <c r="AG70">
        <f>IF(AE70*$H$13&gt;=AI70,1.0,(AI70/(AI70-AE70*$H$13)))</f>
        <v>0</v>
      </c>
      <c r="AH70">
        <f>(AG70-1)*100</f>
        <v>0</v>
      </c>
      <c r="AI70">
        <f>MAX(0,($B$13+$C$13*BG70)/(1+$D$13*BG70)*AZ70/(BB70+273)*$E$13)</f>
        <v>0</v>
      </c>
      <c r="AJ70">
        <f>$B$11*BH70+$C$11*BI70+$D$11*BT70</f>
        <v>0</v>
      </c>
      <c r="AK70">
        <f>AJ70*AL70</f>
        <v>0</v>
      </c>
      <c r="AL70">
        <f>($B$11*$D$9+$C$11*$D$9+$D$11*(BU70*$E$9+BV70*$G$9))/($B$11+$C$11+$D$11)</f>
        <v>0</v>
      </c>
      <c r="AM70">
        <f>($B$11*$K$9+$C$11*$K$9+$D$11*(BU70*$L$9+BV70*$N$9))/($B$11+$C$11+$D$11)</f>
        <v>0</v>
      </c>
      <c r="AN70">
        <v>3</v>
      </c>
      <c r="AO70">
        <v>0.5</v>
      </c>
      <c r="AP70" t="s">
        <v>331</v>
      </c>
      <c r="AQ70">
        <v>2</v>
      </c>
      <c r="AR70">
        <v>1773199272.5</v>
      </c>
      <c r="AS70">
        <v>429.5939677419355</v>
      </c>
      <c r="AT70">
        <v>427.4332580645162</v>
      </c>
      <c r="AU70">
        <v>10.5456</v>
      </c>
      <c r="AV70">
        <v>9.529492258064517</v>
      </c>
      <c r="AW70">
        <v>423.3626451612903</v>
      </c>
      <c r="AX70">
        <v>10.46502258064516</v>
      </c>
      <c r="AY70">
        <v>500.0087096774193</v>
      </c>
      <c r="AZ70">
        <v>100.2358387096774</v>
      </c>
      <c r="BA70">
        <v>0.04628360967741935</v>
      </c>
      <c r="BB70">
        <v>30.78962258064517</v>
      </c>
      <c r="BC70">
        <v>30.69312258064516</v>
      </c>
      <c r="BD70">
        <v>999.9000000000003</v>
      </c>
      <c r="BE70">
        <v>0</v>
      </c>
      <c r="BF70">
        <v>0</v>
      </c>
      <c r="BG70">
        <v>5006.645161290323</v>
      </c>
      <c r="BH70">
        <v>1.493477419354839</v>
      </c>
      <c r="BI70">
        <v>2107.40064516129</v>
      </c>
      <c r="BJ70">
        <v>2.16066129032258</v>
      </c>
      <c r="BK70">
        <v>434.1724838709678</v>
      </c>
      <c r="BL70">
        <v>431.5457096774194</v>
      </c>
      <c r="BM70">
        <v>1.01610935483871</v>
      </c>
      <c r="BN70">
        <v>427.4332580645162</v>
      </c>
      <c r="BO70">
        <v>9.529492258064517</v>
      </c>
      <c r="BP70">
        <v>1.057047096774194</v>
      </c>
      <c r="BQ70">
        <v>0.9551963225806452</v>
      </c>
      <c r="BR70">
        <v>7.727346451612903</v>
      </c>
      <c r="BS70">
        <v>6.250317419354839</v>
      </c>
      <c r="BT70">
        <v>0</v>
      </c>
      <c r="BU70">
        <v>0</v>
      </c>
      <c r="BV70">
        <v>0</v>
      </c>
      <c r="BW70">
        <v>35</v>
      </c>
      <c r="BX70">
        <v>54.99892580645161</v>
      </c>
      <c r="BY70">
        <v>1773196010</v>
      </c>
      <c r="BZ70" t="s">
        <v>332</v>
      </c>
      <c r="CA70">
        <v>1773196010</v>
      </c>
      <c r="CB70">
        <v>1773196005.5</v>
      </c>
      <c r="CC70">
        <v>2</v>
      </c>
      <c r="CD70">
        <v>-0.279</v>
      </c>
      <c r="CE70">
        <v>-0.021</v>
      </c>
      <c r="CF70">
        <v>6.231</v>
      </c>
      <c r="CG70">
        <v>0.081</v>
      </c>
      <c r="CH70">
        <v>432</v>
      </c>
      <c r="CI70">
        <v>21</v>
      </c>
      <c r="CJ70">
        <v>0.03</v>
      </c>
      <c r="CK70">
        <v>0.06</v>
      </c>
      <c r="CL70">
        <v>427.4330322580645</v>
      </c>
      <c r="CM70">
        <v>-0.07959677419449133</v>
      </c>
      <c r="CN70">
        <v>0.03192782573542318</v>
      </c>
      <c r="CO70">
        <v>-1</v>
      </c>
      <c r="CP70">
        <v>500.0119999999999</v>
      </c>
      <c r="CQ70">
        <v>-0.1875967741947328</v>
      </c>
      <c r="CR70">
        <v>0.03540730742876198</v>
      </c>
      <c r="CS70">
        <v>-1</v>
      </c>
      <c r="CT70">
        <v>0</v>
      </c>
      <c r="CU70">
        <v>0</v>
      </c>
      <c r="CV70" t="s">
        <v>333</v>
      </c>
      <c r="CW70">
        <v>3.17029</v>
      </c>
      <c r="CX70">
        <v>2.6677</v>
      </c>
      <c r="CY70">
        <v>0.100524</v>
      </c>
      <c r="CZ70">
        <v>0.101291</v>
      </c>
      <c r="DA70">
        <v>0.0606467</v>
      </c>
      <c r="DB70">
        <v>0.056126</v>
      </c>
      <c r="DC70">
        <v>21333.6</v>
      </c>
      <c r="DD70">
        <v>21874</v>
      </c>
      <c r="DE70">
        <v>22865.6</v>
      </c>
      <c r="DF70">
        <v>22283</v>
      </c>
      <c r="DG70">
        <v>32478.3</v>
      </c>
      <c r="DH70">
        <v>29630.6</v>
      </c>
      <c r="DI70">
        <v>40240.3</v>
      </c>
      <c r="DJ70">
        <v>36859.6</v>
      </c>
      <c r="DK70">
        <v>2.0307</v>
      </c>
      <c r="DL70">
        <v>1.52832</v>
      </c>
      <c r="DM70">
        <v>-0.06650979999999999</v>
      </c>
      <c r="DN70">
        <v>0</v>
      </c>
      <c r="DO70">
        <v>31.7714</v>
      </c>
      <c r="DP70">
        <v>999.9</v>
      </c>
      <c r="DQ70">
        <v>30.6</v>
      </c>
      <c r="DR70">
        <v>41.3</v>
      </c>
      <c r="DS70">
        <v>24.2524</v>
      </c>
      <c r="DT70">
        <v>30.2855</v>
      </c>
      <c r="DU70">
        <v>13.8742</v>
      </c>
      <c r="DV70">
        <v>1</v>
      </c>
      <c r="DW70">
        <v>0.84014</v>
      </c>
      <c r="DX70">
        <v>2.89165</v>
      </c>
      <c r="DY70">
        <v>20.3328</v>
      </c>
      <c r="DZ70">
        <v>5.20998</v>
      </c>
      <c r="EA70">
        <v>11.8542</v>
      </c>
      <c r="EB70">
        <v>4.96724</v>
      </c>
      <c r="EC70">
        <v>3.293</v>
      </c>
      <c r="ED70">
        <v>879.4</v>
      </c>
      <c r="EE70">
        <v>9999</v>
      </c>
      <c r="EF70">
        <v>9999</v>
      </c>
      <c r="EG70">
        <v>76.90000000000001</v>
      </c>
      <c r="EH70">
        <v>4.97162</v>
      </c>
      <c r="EI70">
        <v>1.8721</v>
      </c>
      <c r="EJ70">
        <v>1.86949</v>
      </c>
      <c r="EK70">
        <v>1.87178</v>
      </c>
      <c r="EL70">
        <v>1.86953</v>
      </c>
      <c r="EM70">
        <v>1.86839</v>
      </c>
      <c r="EN70">
        <v>1.87026</v>
      </c>
      <c r="EO70">
        <v>1.87195</v>
      </c>
      <c r="EP70">
        <v>0</v>
      </c>
      <c r="EQ70">
        <v>0</v>
      </c>
      <c r="ER70">
        <v>0</v>
      </c>
      <c r="ES70">
        <v>0</v>
      </c>
      <c r="ET70" t="s">
        <v>334</v>
      </c>
      <c r="EU70" t="s">
        <v>335</v>
      </c>
      <c r="EV70" t="s">
        <v>336</v>
      </c>
      <c r="EW70" t="s">
        <v>336</v>
      </c>
      <c r="EX70" t="s">
        <v>336</v>
      </c>
      <c r="EY70" t="s">
        <v>336</v>
      </c>
      <c r="EZ70">
        <v>0</v>
      </c>
      <c r="FA70">
        <v>100</v>
      </c>
      <c r="FB70">
        <v>100</v>
      </c>
      <c r="FC70">
        <v>6.232</v>
      </c>
      <c r="FD70">
        <v>0.0806</v>
      </c>
      <c r="FE70">
        <v>6.23135000000002</v>
      </c>
      <c r="FF70">
        <v>0</v>
      </c>
      <c r="FG70">
        <v>0</v>
      </c>
      <c r="FH70">
        <v>0</v>
      </c>
      <c r="FI70">
        <v>0.08059047619047632</v>
      </c>
      <c r="FJ70">
        <v>0</v>
      </c>
      <c r="FK70">
        <v>0</v>
      </c>
      <c r="FL70">
        <v>0</v>
      </c>
      <c r="FM70">
        <v>-1</v>
      </c>
      <c r="FN70">
        <v>-1</v>
      </c>
      <c r="FO70">
        <v>-1</v>
      </c>
      <c r="FP70">
        <v>-1</v>
      </c>
      <c r="FQ70">
        <v>54.5</v>
      </c>
      <c r="FR70">
        <v>54.6</v>
      </c>
      <c r="FS70">
        <v>0.142822</v>
      </c>
      <c r="FT70">
        <v>4.99756</v>
      </c>
      <c r="FU70">
        <v>1.5979</v>
      </c>
      <c r="FV70">
        <v>2.12036</v>
      </c>
      <c r="FW70">
        <v>1.54785</v>
      </c>
      <c r="FX70">
        <v>2.39136</v>
      </c>
      <c r="FY70">
        <v>45.5758</v>
      </c>
      <c r="FZ70">
        <v>15.9883</v>
      </c>
      <c r="GA70">
        <v>3</v>
      </c>
      <c r="GB70">
        <v>519.9</v>
      </c>
      <c r="GC70">
        <v>302.343</v>
      </c>
      <c r="GD70">
        <v>28.4123</v>
      </c>
      <c r="GE70">
        <v>37.4037</v>
      </c>
      <c r="GF70">
        <v>29.9998</v>
      </c>
      <c r="GG70">
        <v>37.3554</v>
      </c>
      <c r="GH70">
        <v>37.353</v>
      </c>
      <c r="GI70">
        <v>-1</v>
      </c>
      <c r="GJ70">
        <v>100</v>
      </c>
      <c r="GK70">
        <v>0</v>
      </c>
      <c r="GL70">
        <v>28.4114</v>
      </c>
      <c r="GM70">
        <v>1200</v>
      </c>
      <c r="GN70">
        <v>19.4378</v>
      </c>
      <c r="GO70">
        <v>101.241</v>
      </c>
      <c r="GP70">
        <v>96.24809999999999</v>
      </c>
    </row>
    <row r="71" spans="1:198">
      <c r="A71">
        <v>55</v>
      </c>
      <c r="B71">
        <v>1773199340.5</v>
      </c>
      <c r="C71">
        <v>3240.5</v>
      </c>
      <c r="D71" t="s">
        <v>443</v>
      </c>
      <c r="E71" t="s">
        <v>444</v>
      </c>
      <c r="F71">
        <v>15</v>
      </c>
      <c r="G71">
        <v>1773199332.5</v>
      </c>
      <c r="H71">
        <f>(I71)/1000</f>
        <v>0</v>
      </c>
      <c r="I71">
        <f>1000*AY71*AG71*(AU71-AV71)/(100*AN71*(1000-AG71*AU71))</f>
        <v>0</v>
      </c>
      <c r="J71">
        <f>AY71*AG71*(AT71-AS71*(1000-AG71*AV71)/(1000-AG71*AU71))/(100*AN71)</f>
        <v>0</v>
      </c>
      <c r="K71">
        <f>AS71 - IF(AG71&gt;1, J71*AN71*100.0/(AI71), 0)</f>
        <v>0</v>
      </c>
      <c r="L71">
        <f>((R71-H71/2)*K71-J71)/(R71+H71/2)</f>
        <v>0</v>
      </c>
      <c r="M71">
        <f>L71*(AZ71+BA71)/1000.0</f>
        <v>0</v>
      </c>
      <c r="N71">
        <f>(AS71 - IF(AG71&gt;1, J71*AN71*100.0/(AI71), 0))*(AZ71+BA71)/1000.0</f>
        <v>0</v>
      </c>
      <c r="O71">
        <f>2.0/((1/Q71-1/P71)+SIGN(Q71)*SQRT((1/Q71-1/P71)*(1/Q71-1/P71) + 4*AO71/((AO71+1)*(AO71+1))*(2*1/Q71*1/P71-1/P71*1/P71)))</f>
        <v>0</v>
      </c>
      <c r="P71">
        <f>IF(LEFT(AP71,1)&lt;&gt;"0",IF(LEFT(AP71,1)="1",3.0,AQ71),$D$5+$E$5*(BG71*AZ71/($K$5*1000))+$F$5*(BG71*AZ71/($K$5*1000))*MAX(MIN(AN71,$J$5),$I$5)*MAX(MIN(AN71,$J$5),$I$5)+$G$5*MAX(MIN(AN71,$J$5),$I$5)*(BG71*AZ71/($K$5*1000))+$H$5*(BG71*AZ71/($K$5*1000))*(BG71*AZ71/($K$5*1000)))</f>
        <v>0</v>
      </c>
      <c r="Q71">
        <f>H71*(1000-(1000*0.61365*exp(17.502*U71/(240.97+U71))/(AZ71+BA71)+AU71)/2)/(1000*0.61365*exp(17.502*U71/(240.97+U71))/(AZ71+BA71)-AU71)</f>
        <v>0</v>
      </c>
      <c r="R71">
        <f>1/((AO71+1)/(O71/1.6)+1/(P71/1.37)) + AO71/((AO71+1)/(O71/1.6) + AO71/(P71/1.37))</f>
        <v>0</v>
      </c>
      <c r="S71">
        <f>(AJ71*AM71)</f>
        <v>0</v>
      </c>
      <c r="T71">
        <f>(BB71+(S71+2*0.95*5.67E-8*(((BB71+$B$7)+273)^4-(BB71+273)^4)-44100*H71)/(1.84*29.3*P71+8*0.95*5.67E-8*(BB71+273)^3))</f>
        <v>0</v>
      </c>
      <c r="U71">
        <f>($C$7*BC71+$D$7*BD71+$E$7*T71)</f>
        <v>0</v>
      </c>
      <c r="V71">
        <f>0.61365*exp(17.502*U71/(240.97+U71))</f>
        <v>0</v>
      </c>
      <c r="W71">
        <f>(X71/Y71*100)</f>
        <v>0</v>
      </c>
      <c r="X71">
        <f>AU71*(AZ71+BA71)/1000</f>
        <v>0</v>
      </c>
      <c r="Y71">
        <f>0.61365*exp(17.502*BB71/(240.97+BB71))</f>
        <v>0</v>
      </c>
      <c r="Z71">
        <f>(V71-AU71*(AZ71+BA71)/1000)</f>
        <v>0</v>
      </c>
      <c r="AA71">
        <f>(-H71*44100)</f>
        <v>0</v>
      </c>
      <c r="AB71">
        <f>2*29.3*P71*0.92*(BB71-U71)</f>
        <v>0</v>
      </c>
      <c r="AC71">
        <f>2*0.95*5.67E-8*(((BB71+$B$7)+273)^4-(U71+273)^4)</f>
        <v>0</v>
      </c>
      <c r="AD71">
        <f>S71+AC71+AA71+AB71</f>
        <v>0</v>
      </c>
      <c r="AE71">
        <v>0</v>
      </c>
      <c r="AF71">
        <v>0</v>
      </c>
      <c r="AG71">
        <f>IF(AE71*$H$13&gt;=AI71,1.0,(AI71/(AI71-AE71*$H$13)))</f>
        <v>0</v>
      </c>
      <c r="AH71">
        <f>(AG71-1)*100</f>
        <v>0</v>
      </c>
      <c r="AI71">
        <f>MAX(0,($B$13+$C$13*BG71)/(1+$D$13*BG71)*AZ71/(BB71+273)*$E$13)</f>
        <v>0</v>
      </c>
      <c r="AJ71">
        <f>$B$11*BH71+$C$11*BI71+$D$11*BT71</f>
        <v>0</v>
      </c>
      <c r="AK71">
        <f>AJ71*AL71</f>
        <v>0</v>
      </c>
      <c r="AL71">
        <f>($B$11*$D$9+$C$11*$D$9+$D$11*(BU71*$E$9+BV71*$G$9))/($B$11+$C$11+$D$11)</f>
        <v>0</v>
      </c>
      <c r="AM71">
        <f>($B$11*$K$9+$C$11*$K$9+$D$11*(BU71*$L$9+BV71*$N$9))/($B$11+$C$11+$D$11)</f>
        <v>0</v>
      </c>
      <c r="AN71">
        <v>3</v>
      </c>
      <c r="AO71">
        <v>0.5</v>
      </c>
      <c r="AP71" t="s">
        <v>331</v>
      </c>
      <c r="AQ71">
        <v>2</v>
      </c>
      <c r="AR71">
        <v>1773199332.5</v>
      </c>
      <c r="AS71">
        <v>429.7533870967742</v>
      </c>
      <c r="AT71">
        <v>427.6437741935483</v>
      </c>
      <c r="AU71">
        <v>10.52105806451613</v>
      </c>
      <c r="AV71">
        <v>9.540929032258063</v>
      </c>
      <c r="AW71">
        <v>423.522</v>
      </c>
      <c r="AX71">
        <v>10.44046774193548</v>
      </c>
      <c r="AY71">
        <v>500.0053548387097</v>
      </c>
      <c r="AZ71">
        <v>100.2354193548387</v>
      </c>
      <c r="BA71">
        <v>0.04598202903225807</v>
      </c>
      <c r="BB71">
        <v>30.80438387096774</v>
      </c>
      <c r="BC71">
        <v>30.72145806451613</v>
      </c>
      <c r="BD71">
        <v>999.9000000000003</v>
      </c>
      <c r="BE71">
        <v>0</v>
      </c>
      <c r="BF71">
        <v>0</v>
      </c>
      <c r="BG71">
        <v>4997.403225806452</v>
      </c>
      <c r="BH71">
        <v>1.509634838709677</v>
      </c>
      <c r="BI71">
        <v>2083.916129032258</v>
      </c>
      <c r="BJ71">
        <v>2.109550322580645</v>
      </c>
      <c r="BK71">
        <v>434.3228709677419</v>
      </c>
      <c r="BL71">
        <v>431.7630967741936</v>
      </c>
      <c r="BM71">
        <v>0.9801362903225804</v>
      </c>
      <c r="BN71">
        <v>427.6437741935483</v>
      </c>
      <c r="BO71">
        <v>9.540929032258063</v>
      </c>
      <c r="BP71">
        <v>1.054584516129032</v>
      </c>
      <c r="BQ71">
        <v>0.9563393870967742</v>
      </c>
      <c r="BR71">
        <v>7.693138064516129</v>
      </c>
      <c r="BS71">
        <v>6.267648064516129</v>
      </c>
      <c r="BT71">
        <v>0</v>
      </c>
      <c r="BU71">
        <v>0</v>
      </c>
      <c r="BV71">
        <v>0</v>
      </c>
      <c r="BW71">
        <v>35</v>
      </c>
      <c r="BX71">
        <v>54.02581290322581</v>
      </c>
      <c r="BY71">
        <v>1773196010</v>
      </c>
      <c r="BZ71" t="s">
        <v>332</v>
      </c>
      <c r="CA71">
        <v>1773196010</v>
      </c>
      <c r="CB71">
        <v>1773196005.5</v>
      </c>
      <c r="CC71">
        <v>2</v>
      </c>
      <c r="CD71">
        <v>-0.279</v>
      </c>
      <c r="CE71">
        <v>-0.021</v>
      </c>
      <c r="CF71">
        <v>6.231</v>
      </c>
      <c r="CG71">
        <v>0.081</v>
      </c>
      <c r="CH71">
        <v>432</v>
      </c>
      <c r="CI71">
        <v>21</v>
      </c>
      <c r="CJ71">
        <v>0.03</v>
      </c>
      <c r="CK71">
        <v>0.06</v>
      </c>
      <c r="CL71">
        <v>427.6398387096773</v>
      </c>
      <c r="CM71">
        <v>0.4557580645167963</v>
      </c>
      <c r="CN71">
        <v>0.04101777488357396</v>
      </c>
      <c r="CO71">
        <v>-1</v>
      </c>
      <c r="CP71">
        <v>500.0042903225805</v>
      </c>
      <c r="CQ71">
        <v>0.2092741935479716</v>
      </c>
      <c r="CR71">
        <v>0.03667133322556849</v>
      </c>
      <c r="CS71">
        <v>-1</v>
      </c>
      <c r="CT71">
        <v>0</v>
      </c>
      <c r="CU71">
        <v>0</v>
      </c>
      <c r="CV71" t="s">
        <v>333</v>
      </c>
      <c r="CW71">
        <v>3.17052</v>
      </c>
      <c r="CX71">
        <v>2.66715</v>
      </c>
      <c r="CY71">
        <v>0.100576</v>
      </c>
      <c r="CZ71">
        <v>0.101361</v>
      </c>
      <c r="DA71">
        <v>0.0605657</v>
      </c>
      <c r="DB71">
        <v>0.0562072</v>
      </c>
      <c r="DC71">
        <v>21333.5</v>
      </c>
      <c r="DD71">
        <v>21873.9</v>
      </c>
      <c r="DE71">
        <v>22866.6</v>
      </c>
      <c r="DF71">
        <v>22284.5</v>
      </c>
      <c r="DG71">
        <v>32482.5</v>
      </c>
      <c r="DH71">
        <v>29630.5</v>
      </c>
      <c r="DI71">
        <v>40241.9</v>
      </c>
      <c r="DJ71">
        <v>36862.5</v>
      </c>
      <c r="DK71">
        <v>2.03114</v>
      </c>
      <c r="DL71">
        <v>1.52834</v>
      </c>
      <c r="DM71">
        <v>-0.0651062</v>
      </c>
      <c r="DN71">
        <v>0</v>
      </c>
      <c r="DO71">
        <v>31.7899</v>
      </c>
      <c r="DP71">
        <v>999.9</v>
      </c>
      <c r="DQ71">
        <v>30.2</v>
      </c>
      <c r="DR71">
        <v>41.5</v>
      </c>
      <c r="DS71">
        <v>24.1901</v>
      </c>
      <c r="DT71">
        <v>29.8055</v>
      </c>
      <c r="DU71">
        <v>13.6979</v>
      </c>
      <c r="DV71">
        <v>1</v>
      </c>
      <c r="DW71">
        <v>0.838433</v>
      </c>
      <c r="DX71">
        <v>3.204</v>
      </c>
      <c r="DY71">
        <v>20.3263</v>
      </c>
      <c r="DZ71">
        <v>5.20974</v>
      </c>
      <c r="EA71">
        <v>11.8542</v>
      </c>
      <c r="EB71">
        <v>4.96728</v>
      </c>
      <c r="EC71">
        <v>3.293</v>
      </c>
      <c r="ED71">
        <v>879.4</v>
      </c>
      <c r="EE71">
        <v>9999</v>
      </c>
      <c r="EF71">
        <v>9999</v>
      </c>
      <c r="EG71">
        <v>76.90000000000001</v>
      </c>
      <c r="EH71">
        <v>4.9716</v>
      </c>
      <c r="EI71">
        <v>1.8721</v>
      </c>
      <c r="EJ71">
        <v>1.86948</v>
      </c>
      <c r="EK71">
        <v>1.87179</v>
      </c>
      <c r="EL71">
        <v>1.86952</v>
      </c>
      <c r="EM71">
        <v>1.86838</v>
      </c>
      <c r="EN71">
        <v>1.87025</v>
      </c>
      <c r="EO71">
        <v>1.87195</v>
      </c>
      <c r="EP71">
        <v>0</v>
      </c>
      <c r="EQ71">
        <v>0</v>
      </c>
      <c r="ER71">
        <v>0</v>
      </c>
      <c r="ES71">
        <v>0</v>
      </c>
      <c r="ET71" t="s">
        <v>334</v>
      </c>
      <c r="EU71" t="s">
        <v>335</v>
      </c>
      <c r="EV71" t="s">
        <v>336</v>
      </c>
      <c r="EW71" t="s">
        <v>336</v>
      </c>
      <c r="EX71" t="s">
        <v>336</v>
      </c>
      <c r="EY71" t="s">
        <v>336</v>
      </c>
      <c r="EZ71">
        <v>0</v>
      </c>
      <c r="FA71">
        <v>100</v>
      </c>
      <c r="FB71">
        <v>100</v>
      </c>
      <c r="FC71">
        <v>6.231</v>
      </c>
      <c r="FD71">
        <v>0.0806</v>
      </c>
      <c r="FE71">
        <v>6.23135000000002</v>
      </c>
      <c r="FF71">
        <v>0</v>
      </c>
      <c r="FG71">
        <v>0</v>
      </c>
      <c r="FH71">
        <v>0</v>
      </c>
      <c r="FI71">
        <v>0.08059047619047632</v>
      </c>
      <c r="FJ71">
        <v>0</v>
      </c>
      <c r="FK71">
        <v>0</v>
      </c>
      <c r="FL71">
        <v>0</v>
      </c>
      <c r="FM71">
        <v>-1</v>
      </c>
      <c r="FN71">
        <v>-1</v>
      </c>
      <c r="FO71">
        <v>-1</v>
      </c>
      <c r="FP71">
        <v>-1</v>
      </c>
      <c r="FQ71">
        <v>55.5</v>
      </c>
      <c r="FR71">
        <v>55.6</v>
      </c>
      <c r="FS71">
        <v>0.142822</v>
      </c>
      <c r="FT71">
        <v>4.99756</v>
      </c>
      <c r="FU71">
        <v>1.5979</v>
      </c>
      <c r="FV71">
        <v>2.11914</v>
      </c>
      <c r="FW71">
        <v>1.54785</v>
      </c>
      <c r="FX71">
        <v>2.44873</v>
      </c>
      <c r="FY71">
        <v>45.5472</v>
      </c>
      <c r="FZ71">
        <v>15.9795</v>
      </c>
      <c r="GA71">
        <v>3</v>
      </c>
      <c r="GB71">
        <v>519.909</v>
      </c>
      <c r="GC71">
        <v>302.213</v>
      </c>
      <c r="GD71">
        <v>28.1104</v>
      </c>
      <c r="GE71">
        <v>37.3563</v>
      </c>
      <c r="GF71">
        <v>29.9999</v>
      </c>
      <c r="GG71">
        <v>37.318</v>
      </c>
      <c r="GH71">
        <v>37.3187</v>
      </c>
      <c r="GI71">
        <v>-1</v>
      </c>
      <c r="GJ71">
        <v>100</v>
      </c>
      <c r="GK71">
        <v>0</v>
      </c>
      <c r="GL71">
        <v>28.1055</v>
      </c>
      <c r="GM71">
        <v>1200</v>
      </c>
      <c r="GN71">
        <v>19.4378</v>
      </c>
      <c r="GO71">
        <v>101.245</v>
      </c>
      <c r="GP71">
        <v>96.25539999999999</v>
      </c>
    </row>
    <row r="72" spans="1:198">
      <c r="A72">
        <v>56</v>
      </c>
      <c r="B72">
        <v>1773199400.5</v>
      </c>
      <c r="C72">
        <v>3300.5</v>
      </c>
      <c r="D72" t="s">
        <v>445</v>
      </c>
      <c r="E72" t="s">
        <v>446</v>
      </c>
      <c r="F72">
        <v>15</v>
      </c>
      <c r="G72">
        <v>1773199392.5</v>
      </c>
      <c r="H72">
        <f>(I72)/1000</f>
        <v>0</v>
      </c>
      <c r="I72">
        <f>1000*AY72*AG72*(AU72-AV72)/(100*AN72*(1000-AG72*AU72))</f>
        <v>0</v>
      </c>
      <c r="J72">
        <f>AY72*AG72*(AT72-AS72*(1000-AG72*AV72)/(1000-AG72*AU72))/(100*AN72)</f>
        <v>0</v>
      </c>
      <c r="K72">
        <f>AS72 - IF(AG72&gt;1, J72*AN72*100.0/(AI72), 0)</f>
        <v>0</v>
      </c>
      <c r="L72">
        <f>((R72-H72/2)*K72-J72)/(R72+H72/2)</f>
        <v>0</v>
      </c>
      <c r="M72">
        <f>L72*(AZ72+BA72)/1000.0</f>
        <v>0</v>
      </c>
      <c r="N72">
        <f>(AS72 - IF(AG72&gt;1, J72*AN72*100.0/(AI72), 0))*(AZ72+BA72)/1000.0</f>
        <v>0</v>
      </c>
      <c r="O72">
        <f>2.0/((1/Q72-1/P72)+SIGN(Q72)*SQRT((1/Q72-1/P72)*(1/Q72-1/P72) + 4*AO72/((AO72+1)*(AO72+1))*(2*1/Q72*1/P72-1/P72*1/P72)))</f>
        <v>0</v>
      </c>
      <c r="P72">
        <f>IF(LEFT(AP72,1)&lt;&gt;"0",IF(LEFT(AP72,1)="1",3.0,AQ72),$D$5+$E$5*(BG72*AZ72/($K$5*1000))+$F$5*(BG72*AZ72/($K$5*1000))*MAX(MIN(AN72,$J$5),$I$5)*MAX(MIN(AN72,$J$5),$I$5)+$G$5*MAX(MIN(AN72,$J$5),$I$5)*(BG72*AZ72/($K$5*1000))+$H$5*(BG72*AZ72/($K$5*1000))*(BG72*AZ72/($K$5*1000)))</f>
        <v>0</v>
      </c>
      <c r="Q72">
        <f>H72*(1000-(1000*0.61365*exp(17.502*U72/(240.97+U72))/(AZ72+BA72)+AU72)/2)/(1000*0.61365*exp(17.502*U72/(240.97+U72))/(AZ72+BA72)-AU72)</f>
        <v>0</v>
      </c>
      <c r="R72">
        <f>1/((AO72+1)/(O72/1.6)+1/(P72/1.37)) + AO72/((AO72+1)/(O72/1.6) + AO72/(P72/1.37))</f>
        <v>0</v>
      </c>
      <c r="S72">
        <f>(AJ72*AM72)</f>
        <v>0</v>
      </c>
      <c r="T72">
        <f>(BB72+(S72+2*0.95*5.67E-8*(((BB72+$B$7)+273)^4-(BB72+273)^4)-44100*H72)/(1.84*29.3*P72+8*0.95*5.67E-8*(BB72+273)^3))</f>
        <v>0</v>
      </c>
      <c r="U72">
        <f>($C$7*BC72+$D$7*BD72+$E$7*T72)</f>
        <v>0</v>
      </c>
      <c r="V72">
        <f>0.61365*exp(17.502*U72/(240.97+U72))</f>
        <v>0</v>
      </c>
      <c r="W72">
        <f>(X72/Y72*100)</f>
        <v>0</v>
      </c>
      <c r="X72">
        <f>AU72*(AZ72+BA72)/1000</f>
        <v>0</v>
      </c>
      <c r="Y72">
        <f>0.61365*exp(17.502*BB72/(240.97+BB72))</f>
        <v>0</v>
      </c>
      <c r="Z72">
        <f>(V72-AU72*(AZ72+BA72)/1000)</f>
        <v>0</v>
      </c>
      <c r="AA72">
        <f>(-H72*44100)</f>
        <v>0</v>
      </c>
      <c r="AB72">
        <f>2*29.3*P72*0.92*(BB72-U72)</f>
        <v>0</v>
      </c>
      <c r="AC72">
        <f>2*0.95*5.67E-8*(((BB72+$B$7)+273)^4-(U72+273)^4)</f>
        <v>0</v>
      </c>
      <c r="AD72">
        <f>S72+AC72+AA72+AB72</f>
        <v>0</v>
      </c>
      <c r="AE72">
        <v>0</v>
      </c>
      <c r="AF72">
        <v>0</v>
      </c>
      <c r="AG72">
        <f>IF(AE72*$H$13&gt;=AI72,1.0,(AI72/(AI72-AE72*$H$13)))</f>
        <v>0</v>
      </c>
      <c r="AH72">
        <f>(AG72-1)*100</f>
        <v>0</v>
      </c>
      <c r="AI72">
        <f>MAX(0,($B$13+$C$13*BG72)/(1+$D$13*BG72)*AZ72/(BB72+273)*$E$13)</f>
        <v>0</v>
      </c>
      <c r="AJ72">
        <f>$B$11*BH72+$C$11*BI72+$D$11*BT72</f>
        <v>0</v>
      </c>
      <c r="AK72">
        <f>AJ72*AL72</f>
        <v>0</v>
      </c>
      <c r="AL72">
        <f>($B$11*$D$9+$C$11*$D$9+$D$11*(BU72*$E$9+BV72*$G$9))/($B$11+$C$11+$D$11)</f>
        <v>0</v>
      </c>
      <c r="AM72">
        <f>($B$11*$K$9+$C$11*$K$9+$D$11*(BU72*$L$9+BV72*$N$9))/($B$11+$C$11+$D$11)</f>
        <v>0</v>
      </c>
      <c r="AN72">
        <v>3</v>
      </c>
      <c r="AO72">
        <v>0.5</v>
      </c>
      <c r="AP72" t="s">
        <v>331</v>
      </c>
      <c r="AQ72">
        <v>2</v>
      </c>
      <c r="AR72">
        <v>1773199392.5</v>
      </c>
      <c r="AS72">
        <v>430.2903548387097</v>
      </c>
      <c r="AT72">
        <v>428.2177419354838</v>
      </c>
      <c r="AU72">
        <v>10.55111612903226</v>
      </c>
      <c r="AV72">
        <v>9.618158064516132</v>
      </c>
      <c r="AW72">
        <v>424.0590322580646</v>
      </c>
      <c r="AX72">
        <v>10.47053225806452</v>
      </c>
      <c r="AY72">
        <v>500.028</v>
      </c>
      <c r="AZ72">
        <v>100.2335483870968</v>
      </c>
      <c r="BA72">
        <v>0.04559248064516128</v>
      </c>
      <c r="BB72">
        <v>30.80707419354839</v>
      </c>
      <c r="BC72">
        <v>30.7612870967742</v>
      </c>
      <c r="BD72">
        <v>999.9000000000003</v>
      </c>
      <c r="BE72">
        <v>0</v>
      </c>
      <c r="BF72">
        <v>0</v>
      </c>
      <c r="BG72">
        <v>5008.451612903225</v>
      </c>
      <c r="BH72">
        <v>1.493542580645162</v>
      </c>
      <c r="BI72">
        <v>2092.108064516129</v>
      </c>
      <c r="BJ72">
        <v>2.072701290322581</v>
      </c>
      <c r="BK72">
        <v>434.8789032258064</v>
      </c>
      <c r="BL72">
        <v>432.3764516129032</v>
      </c>
      <c r="BM72">
        <v>0.9329626129032258</v>
      </c>
      <c r="BN72">
        <v>428.2177419354838</v>
      </c>
      <c r="BO72">
        <v>9.618158064516132</v>
      </c>
      <c r="BP72">
        <v>1.057576129032258</v>
      </c>
      <c r="BQ72">
        <v>0.9640616451612904</v>
      </c>
      <c r="BR72">
        <v>7.734680322580646</v>
      </c>
      <c r="BS72">
        <v>6.384264193548386</v>
      </c>
      <c r="BT72">
        <v>0</v>
      </c>
      <c r="BU72">
        <v>0</v>
      </c>
      <c r="BV72">
        <v>0</v>
      </c>
      <c r="BW72">
        <v>35.00644838709678</v>
      </c>
      <c r="BX72">
        <v>54.28494193548386</v>
      </c>
      <c r="BY72">
        <v>1773196010</v>
      </c>
      <c r="BZ72" t="s">
        <v>332</v>
      </c>
      <c r="CA72">
        <v>1773196010</v>
      </c>
      <c r="CB72">
        <v>1773196005.5</v>
      </c>
      <c r="CC72">
        <v>2</v>
      </c>
      <c r="CD72">
        <v>-0.279</v>
      </c>
      <c r="CE72">
        <v>-0.021</v>
      </c>
      <c r="CF72">
        <v>6.231</v>
      </c>
      <c r="CG72">
        <v>0.081</v>
      </c>
      <c r="CH72">
        <v>432</v>
      </c>
      <c r="CI72">
        <v>21</v>
      </c>
      <c r="CJ72">
        <v>0.03</v>
      </c>
      <c r="CK72">
        <v>0.06</v>
      </c>
      <c r="CL72">
        <v>428.206</v>
      </c>
      <c r="CM72">
        <v>0.9796484983311511</v>
      </c>
      <c r="CN72">
        <v>0.07132834873550084</v>
      </c>
      <c r="CO72">
        <v>-1</v>
      </c>
      <c r="CP72">
        <v>500.0263333333333</v>
      </c>
      <c r="CQ72">
        <v>0.17779755283566</v>
      </c>
      <c r="CR72">
        <v>0.03873184162359296</v>
      </c>
      <c r="CS72">
        <v>-1</v>
      </c>
      <c r="CT72">
        <v>0</v>
      </c>
      <c r="CU72">
        <v>0</v>
      </c>
      <c r="CV72" t="s">
        <v>333</v>
      </c>
      <c r="CW72">
        <v>3.17048</v>
      </c>
      <c r="CX72">
        <v>2.66666</v>
      </c>
      <c r="CY72">
        <v>0.100684</v>
      </c>
      <c r="CZ72">
        <v>0.101473</v>
      </c>
      <c r="DA72">
        <v>0.0607436</v>
      </c>
      <c r="DB72">
        <v>0.0566118</v>
      </c>
      <c r="DC72">
        <v>21330.5</v>
      </c>
      <c r="DD72">
        <v>21870.7</v>
      </c>
      <c r="DE72">
        <v>22866.2</v>
      </c>
      <c r="DF72">
        <v>22283.9</v>
      </c>
      <c r="DG72">
        <v>32476</v>
      </c>
      <c r="DH72">
        <v>29617.1</v>
      </c>
      <c r="DI72">
        <v>40241.4</v>
      </c>
      <c r="DJ72">
        <v>36861.6</v>
      </c>
      <c r="DK72">
        <v>2.03144</v>
      </c>
      <c r="DL72">
        <v>1.52816</v>
      </c>
      <c r="DM72">
        <v>-0.0693023</v>
      </c>
      <c r="DN72">
        <v>0</v>
      </c>
      <c r="DO72">
        <v>31.897</v>
      </c>
      <c r="DP72">
        <v>999.9</v>
      </c>
      <c r="DQ72">
        <v>30.2</v>
      </c>
      <c r="DR72">
        <v>41.6</v>
      </c>
      <c r="DS72">
        <v>24.3178</v>
      </c>
      <c r="DT72">
        <v>29.8355</v>
      </c>
      <c r="DU72">
        <v>13.8301</v>
      </c>
      <c r="DV72">
        <v>1</v>
      </c>
      <c r="DW72">
        <v>0.8391</v>
      </c>
      <c r="DX72">
        <v>3.30112</v>
      </c>
      <c r="DY72">
        <v>20.3236</v>
      </c>
      <c r="DZ72">
        <v>5.20675</v>
      </c>
      <c r="EA72">
        <v>11.8542</v>
      </c>
      <c r="EB72">
        <v>4.96728</v>
      </c>
      <c r="EC72">
        <v>3.293</v>
      </c>
      <c r="ED72">
        <v>879.4</v>
      </c>
      <c r="EE72">
        <v>9999</v>
      </c>
      <c r="EF72">
        <v>9999</v>
      </c>
      <c r="EG72">
        <v>76.90000000000001</v>
      </c>
      <c r="EH72">
        <v>4.97163</v>
      </c>
      <c r="EI72">
        <v>1.8721</v>
      </c>
      <c r="EJ72">
        <v>1.86951</v>
      </c>
      <c r="EK72">
        <v>1.8718</v>
      </c>
      <c r="EL72">
        <v>1.86951</v>
      </c>
      <c r="EM72">
        <v>1.86836</v>
      </c>
      <c r="EN72">
        <v>1.87022</v>
      </c>
      <c r="EO72">
        <v>1.87194</v>
      </c>
      <c r="EP72">
        <v>0</v>
      </c>
      <c r="EQ72">
        <v>0</v>
      </c>
      <c r="ER72">
        <v>0</v>
      </c>
      <c r="ES72">
        <v>0</v>
      </c>
      <c r="ET72" t="s">
        <v>334</v>
      </c>
      <c r="EU72" t="s">
        <v>335</v>
      </c>
      <c r="EV72" t="s">
        <v>336</v>
      </c>
      <c r="EW72" t="s">
        <v>336</v>
      </c>
      <c r="EX72" t="s">
        <v>336</v>
      </c>
      <c r="EY72" t="s">
        <v>336</v>
      </c>
      <c r="EZ72">
        <v>0</v>
      </c>
      <c r="FA72">
        <v>100</v>
      </c>
      <c r="FB72">
        <v>100</v>
      </c>
      <c r="FC72">
        <v>6.231</v>
      </c>
      <c r="FD72">
        <v>0.0805</v>
      </c>
      <c r="FE72">
        <v>6.23135000000002</v>
      </c>
      <c r="FF72">
        <v>0</v>
      </c>
      <c r="FG72">
        <v>0</v>
      </c>
      <c r="FH72">
        <v>0</v>
      </c>
      <c r="FI72">
        <v>0.08059047619047632</v>
      </c>
      <c r="FJ72">
        <v>0</v>
      </c>
      <c r="FK72">
        <v>0</v>
      </c>
      <c r="FL72">
        <v>0</v>
      </c>
      <c r="FM72">
        <v>-1</v>
      </c>
      <c r="FN72">
        <v>-1</v>
      </c>
      <c r="FO72">
        <v>-1</v>
      </c>
      <c r="FP72">
        <v>-1</v>
      </c>
      <c r="FQ72">
        <v>56.5</v>
      </c>
      <c r="FR72">
        <v>56.6</v>
      </c>
      <c r="FS72">
        <v>0.142822</v>
      </c>
      <c r="FT72">
        <v>4.99756</v>
      </c>
      <c r="FU72">
        <v>1.5979</v>
      </c>
      <c r="FV72">
        <v>2.11914</v>
      </c>
      <c r="FW72">
        <v>1.54785</v>
      </c>
      <c r="FX72">
        <v>2.39136</v>
      </c>
      <c r="FY72">
        <v>45.5472</v>
      </c>
      <c r="FZ72">
        <v>15.9708</v>
      </c>
      <c r="GA72">
        <v>3</v>
      </c>
      <c r="GB72">
        <v>520.006</v>
      </c>
      <c r="GC72">
        <v>302.088</v>
      </c>
      <c r="GD72">
        <v>28.0962</v>
      </c>
      <c r="GE72">
        <v>37.3505</v>
      </c>
      <c r="GF72">
        <v>30.0005</v>
      </c>
      <c r="GG72">
        <v>37.3053</v>
      </c>
      <c r="GH72">
        <v>37.3093</v>
      </c>
      <c r="GI72">
        <v>-1</v>
      </c>
      <c r="GJ72">
        <v>100</v>
      </c>
      <c r="GK72">
        <v>0</v>
      </c>
      <c r="GL72">
        <v>28.0844</v>
      </c>
      <c r="GM72">
        <v>1200</v>
      </c>
      <c r="GN72">
        <v>19.4378</v>
      </c>
      <c r="GO72">
        <v>101.244</v>
      </c>
      <c r="GP72">
        <v>96.2529</v>
      </c>
    </row>
    <row r="73" spans="1:198">
      <c r="A73">
        <v>57</v>
      </c>
      <c r="B73">
        <v>1773199460.5</v>
      </c>
      <c r="C73">
        <v>3360.5</v>
      </c>
      <c r="D73" t="s">
        <v>447</v>
      </c>
      <c r="E73" t="s">
        <v>448</v>
      </c>
      <c r="F73">
        <v>15</v>
      </c>
      <c r="G73">
        <v>1773199452.5</v>
      </c>
      <c r="H73">
        <f>(I73)/1000</f>
        <v>0</v>
      </c>
      <c r="I73">
        <f>1000*AY73*AG73*(AU73-AV73)/(100*AN73*(1000-AG73*AU73))</f>
        <v>0</v>
      </c>
      <c r="J73">
        <f>AY73*AG73*(AT73-AS73*(1000-AG73*AV73)/(1000-AG73*AU73))/(100*AN73)</f>
        <v>0</v>
      </c>
      <c r="K73">
        <f>AS73 - IF(AG73&gt;1, J73*AN73*100.0/(AI73), 0)</f>
        <v>0</v>
      </c>
      <c r="L73">
        <f>((R73-H73/2)*K73-J73)/(R73+H73/2)</f>
        <v>0</v>
      </c>
      <c r="M73">
        <f>L73*(AZ73+BA73)/1000.0</f>
        <v>0</v>
      </c>
      <c r="N73">
        <f>(AS73 - IF(AG73&gt;1, J73*AN73*100.0/(AI73), 0))*(AZ73+BA73)/1000.0</f>
        <v>0</v>
      </c>
      <c r="O73">
        <f>2.0/((1/Q73-1/P73)+SIGN(Q73)*SQRT((1/Q73-1/P73)*(1/Q73-1/P73) + 4*AO73/((AO73+1)*(AO73+1))*(2*1/Q73*1/P73-1/P73*1/P73)))</f>
        <v>0</v>
      </c>
      <c r="P73">
        <f>IF(LEFT(AP73,1)&lt;&gt;"0",IF(LEFT(AP73,1)="1",3.0,AQ73),$D$5+$E$5*(BG73*AZ73/($K$5*1000))+$F$5*(BG73*AZ73/($K$5*1000))*MAX(MIN(AN73,$J$5),$I$5)*MAX(MIN(AN73,$J$5),$I$5)+$G$5*MAX(MIN(AN73,$J$5),$I$5)*(BG73*AZ73/($K$5*1000))+$H$5*(BG73*AZ73/($K$5*1000))*(BG73*AZ73/($K$5*1000)))</f>
        <v>0</v>
      </c>
      <c r="Q73">
        <f>H73*(1000-(1000*0.61365*exp(17.502*U73/(240.97+U73))/(AZ73+BA73)+AU73)/2)/(1000*0.61365*exp(17.502*U73/(240.97+U73))/(AZ73+BA73)-AU73)</f>
        <v>0</v>
      </c>
      <c r="R73">
        <f>1/((AO73+1)/(O73/1.6)+1/(P73/1.37)) + AO73/((AO73+1)/(O73/1.6) + AO73/(P73/1.37))</f>
        <v>0</v>
      </c>
      <c r="S73">
        <f>(AJ73*AM73)</f>
        <v>0</v>
      </c>
      <c r="T73">
        <f>(BB73+(S73+2*0.95*5.67E-8*(((BB73+$B$7)+273)^4-(BB73+273)^4)-44100*H73)/(1.84*29.3*P73+8*0.95*5.67E-8*(BB73+273)^3))</f>
        <v>0</v>
      </c>
      <c r="U73">
        <f>($C$7*BC73+$D$7*BD73+$E$7*T73)</f>
        <v>0</v>
      </c>
      <c r="V73">
        <f>0.61365*exp(17.502*U73/(240.97+U73))</f>
        <v>0</v>
      </c>
      <c r="W73">
        <f>(X73/Y73*100)</f>
        <v>0</v>
      </c>
      <c r="X73">
        <f>AU73*(AZ73+BA73)/1000</f>
        <v>0</v>
      </c>
      <c r="Y73">
        <f>0.61365*exp(17.502*BB73/(240.97+BB73))</f>
        <v>0</v>
      </c>
      <c r="Z73">
        <f>(V73-AU73*(AZ73+BA73)/1000)</f>
        <v>0</v>
      </c>
      <c r="AA73">
        <f>(-H73*44100)</f>
        <v>0</v>
      </c>
      <c r="AB73">
        <f>2*29.3*P73*0.92*(BB73-U73)</f>
        <v>0</v>
      </c>
      <c r="AC73">
        <f>2*0.95*5.67E-8*(((BB73+$B$7)+273)^4-(U73+273)^4)</f>
        <v>0</v>
      </c>
      <c r="AD73">
        <f>S73+AC73+AA73+AB73</f>
        <v>0</v>
      </c>
      <c r="AE73">
        <v>0</v>
      </c>
      <c r="AF73">
        <v>0</v>
      </c>
      <c r="AG73">
        <f>IF(AE73*$H$13&gt;=AI73,1.0,(AI73/(AI73-AE73*$H$13)))</f>
        <v>0</v>
      </c>
      <c r="AH73">
        <f>(AG73-1)*100</f>
        <v>0</v>
      </c>
      <c r="AI73">
        <f>MAX(0,($B$13+$C$13*BG73)/(1+$D$13*BG73)*AZ73/(BB73+273)*$E$13)</f>
        <v>0</v>
      </c>
      <c r="AJ73">
        <f>$B$11*BH73+$C$11*BI73+$D$11*BT73</f>
        <v>0</v>
      </c>
      <c r="AK73">
        <f>AJ73*AL73</f>
        <v>0</v>
      </c>
      <c r="AL73">
        <f>($B$11*$D$9+$C$11*$D$9+$D$11*(BU73*$E$9+BV73*$G$9))/($B$11+$C$11+$D$11)</f>
        <v>0</v>
      </c>
      <c r="AM73">
        <f>($B$11*$K$9+$C$11*$K$9+$D$11*(BU73*$L$9+BV73*$N$9))/($B$11+$C$11+$D$11)</f>
        <v>0</v>
      </c>
      <c r="AN73">
        <v>3</v>
      </c>
      <c r="AO73">
        <v>0.5</v>
      </c>
      <c r="AP73" t="s">
        <v>331</v>
      </c>
      <c r="AQ73">
        <v>2</v>
      </c>
      <c r="AR73">
        <v>1773199452.5</v>
      </c>
      <c r="AS73">
        <v>430.1212903225806</v>
      </c>
      <c r="AT73">
        <v>427.9923548387096</v>
      </c>
      <c r="AU73">
        <v>10.63030322580645</v>
      </c>
      <c r="AV73">
        <v>9.739664516129031</v>
      </c>
      <c r="AW73">
        <v>423.8900322580646</v>
      </c>
      <c r="AX73">
        <v>10.54970967741935</v>
      </c>
      <c r="AY73">
        <v>500.0068387096773</v>
      </c>
      <c r="AZ73">
        <v>100.2287419354839</v>
      </c>
      <c r="BA73">
        <v>0.04583966451612903</v>
      </c>
      <c r="BB73">
        <v>30.79779677419355</v>
      </c>
      <c r="BC73">
        <v>30.7913</v>
      </c>
      <c r="BD73">
        <v>999.9000000000003</v>
      </c>
      <c r="BE73">
        <v>0</v>
      </c>
      <c r="BF73">
        <v>0</v>
      </c>
      <c r="BG73">
        <v>5005.080645161291</v>
      </c>
      <c r="BH73">
        <v>1.498566129032258</v>
      </c>
      <c r="BI73">
        <v>2104.276451612903</v>
      </c>
      <c r="BJ73">
        <v>2.129162580645161</v>
      </c>
      <c r="BK73">
        <v>434.7428387096774</v>
      </c>
      <c r="BL73">
        <v>432.2018387096775</v>
      </c>
      <c r="BM73">
        <v>0.8906381290322581</v>
      </c>
      <c r="BN73">
        <v>427.9923548387096</v>
      </c>
      <c r="BO73">
        <v>9.739664516129031</v>
      </c>
      <c r="BP73">
        <v>1.065461290322581</v>
      </c>
      <c r="BQ73">
        <v>0.9761940967741934</v>
      </c>
      <c r="BR73">
        <v>7.843680322580647</v>
      </c>
      <c r="BS73">
        <v>6.565826129032258</v>
      </c>
      <c r="BT73">
        <v>0</v>
      </c>
      <c r="BU73">
        <v>0</v>
      </c>
      <c r="BV73">
        <v>0</v>
      </c>
      <c r="BW73">
        <v>36</v>
      </c>
      <c r="BX73">
        <v>54.93548387096774</v>
      </c>
      <c r="BY73">
        <v>1773196010</v>
      </c>
      <c r="BZ73" t="s">
        <v>332</v>
      </c>
      <c r="CA73">
        <v>1773196010</v>
      </c>
      <c r="CB73">
        <v>1773196005.5</v>
      </c>
      <c r="CC73">
        <v>2</v>
      </c>
      <c r="CD73">
        <v>-0.279</v>
      </c>
      <c r="CE73">
        <v>-0.021</v>
      </c>
      <c r="CF73">
        <v>6.231</v>
      </c>
      <c r="CG73">
        <v>0.081</v>
      </c>
      <c r="CH73">
        <v>432</v>
      </c>
      <c r="CI73">
        <v>21</v>
      </c>
      <c r="CJ73">
        <v>0.03</v>
      </c>
      <c r="CK73">
        <v>0.06</v>
      </c>
      <c r="CL73">
        <v>427.9934</v>
      </c>
      <c r="CM73">
        <v>0.01030478309215075</v>
      </c>
      <c r="CN73">
        <v>0.02696244301492799</v>
      </c>
      <c r="CO73">
        <v>-1</v>
      </c>
      <c r="CP73">
        <v>500.0062333333333</v>
      </c>
      <c r="CQ73">
        <v>-0.04370189098977346</v>
      </c>
      <c r="CR73">
        <v>0.03708610102031203</v>
      </c>
      <c r="CS73">
        <v>-1</v>
      </c>
      <c r="CT73">
        <v>0</v>
      </c>
      <c r="CU73">
        <v>0</v>
      </c>
      <c r="CV73" t="s">
        <v>333</v>
      </c>
      <c r="CW73">
        <v>3.17035</v>
      </c>
      <c r="CX73">
        <v>2.66671</v>
      </c>
      <c r="CY73">
        <v>0.100627</v>
      </c>
      <c r="CZ73">
        <v>0.101394</v>
      </c>
      <c r="DA73">
        <v>0.0611121</v>
      </c>
      <c r="DB73">
        <v>0.0571906</v>
      </c>
      <c r="DC73">
        <v>21330.7</v>
      </c>
      <c r="DD73">
        <v>21872.4</v>
      </c>
      <c r="DE73">
        <v>22865.1</v>
      </c>
      <c r="DF73">
        <v>22283.8</v>
      </c>
      <c r="DG73">
        <v>32461.9</v>
      </c>
      <c r="DH73">
        <v>29598.7</v>
      </c>
      <c r="DI73">
        <v>40239.7</v>
      </c>
      <c r="DJ73">
        <v>36861.3</v>
      </c>
      <c r="DK73">
        <v>2.03094</v>
      </c>
      <c r="DL73">
        <v>1.52836</v>
      </c>
      <c r="DM73">
        <v>-0.0748843</v>
      </c>
      <c r="DN73">
        <v>0</v>
      </c>
      <c r="DO73">
        <v>32.01</v>
      </c>
      <c r="DP73">
        <v>999.9</v>
      </c>
      <c r="DQ73">
        <v>29.7</v>
      </c>
      <c r="DR73">
        <v>41.7</v>
      </c>
      <c r="DS73">
        <v>24.0441</v>
      </c>
      <c r="DT73">
        <v>30.1655</v>
      </c>
      <c r="DU73">
        <v>13.6338</v>
      </c>
      <c r="DV73">
        <v>1</v>
      </c>
      <c r="DW73">
        <v>0.839862</v>
      </c>
      <c r="DX73">
        <v>3.20493</v>
      </c>
      <c r="DY73">
        <v>20.3257</v>
      </c>
      <c r="DZ73">
        <v>5.20603</v>
      </c>
      <c r="EA73">
        <v>11.8542</v>
      </c>
      <c r="EB73">
        <v>4.96648</v>
      </c>
      <c r="EC73">
        <v>3.29224</v>
      </c>
      <c r="ED73">
        <v>879.4</v>
      </c>
      <c r="EE73">
        <v>9999</v>
      </c>
      <c r="EF73">
        <v>9999</v>
      </c>
      <c r="EG73">
        <v>77</v>
      </c>
      <c r="EH73">
        <v>4.9716</v>
      </c>
      <c r="EI73">
        <v>1.8721</v>
      </c>
      <c r="EJ73">
        <v>1.86947</v>
      </c>
      <c r="EK73">
        <v>1.8718</v>
      </c>
      <c r="EL73">
        <v>1.86952</v>
      </c>
      <c r="EM73">
        <v>1.8684</v>
      </c>
      <c r="EN73">
        <v>1.8702</v>
      </c>
      <c r="EO73">
        <v>1.87195</v>
      </c>
      <c r="EP73">
        <v>0</v>
      </c>
      <c r="EQ73">
        <v>0</v>
      </c>
      <c r="ER73">
        <v>0</v>
      </c>
      <c r="ES73">
        <v>0</v>
      </c>
      <c r="ET73" t="s">
        <v>334</v>
      </c>
      <c r="EU73" t="s">
        <v>335</v>
      </c>
      <c r="EV73" t="s">
        <v>336</v>
      </c>
      <c r="EW73" t="s">
        <v>336</v>
      </c>
      <c r="EX73" t="s">
        <v>336</v>
      </c>
      <c r="EY73" t="s">
        <v>336</v>
      </c>
      <c r="EZ73">
        <v>0</v>
      </c>
      <c r="FA73">
        <v>100</v>
      </c>
      <c r="FB73">
        <v>100</v>
      </c>
      <c r="FC73">
        <v>6.231</v>
      </c>
      <c r="FD73">
        <v>0.0805</v>
      </c>
      <c r="FE73">
        <v>6.23135000000002</v>
      </c>
      <c r="FF73">
        <v>0</v>
      </c>
      <c r="FG73">
        <v>0</v>
      </c>
      <c r="FH73">
        <v>0</v>
      </c>
      <c r="FI73">
        <v>0.08059047619047632</v>
      </c>
      <c r="FJ73">
        <v>0</v>
      </c>
      <c r="FK73">
        <v>0</v>
      </c>
      <c r="FL73">
        <v>0</v>
      </c>
      <c r="FM73">
        <v>-1</v>
      </c>
      <c r="FN73">
        <v>-1</v>
      </c>
      <c r="FO73">
        <v>-1</v>
      </c>
      <c r="FP73">
        <v>-1</v>
      </c>
      <c r="FQ73">
        <v>57.5</v>
      </c>
      <c r="FR73">
        <v>57.6</v>
      </c>
      <c r="FS73">
        <v>0.142822</v>
      </c>
      <c r="FT73">
        <v>4.99756</v>
      </c>
      <c r="FU73">
        <v>1.5979</v>
      </c>
      <c r="FV73">
        <v>2.11914</v>
      </c>
      <c r="FW73">
        <v>1.54785</v>
      </c>
      <c r="FX73">
        <v>2.45728</v>
      </c>
      <c r="FY73">
        <v>45.6045</v>
      </c>
      <c r="FZ73">
        <v>15.9708</v>
      </c>
      <c r="GA73">
        <v>3</v>
      </c>
      <c r="GB73">
        <v>519.768</v>
      </c>
      <c r="GC73">
        <v>302.227</v>
      </c>
      <c r="GD73">
        <v>28.037</v>
      </c>
      <c r="GE73">
        <v>37.3759</v>
      </c>
      <c r="GF73">
        <v>29.9996</v>
      </c>
      <c r="GG73">
        <v>37.3158</v>
      </c>
      <c r="GH73">
        <v>37.3199</v>
      </c>
      <c r="GI73">
        <v>-1</v>
      </c>
      <c r="GJ73">
        <v>100</v>
      </c>
      <c r="GK73">
        <v>0</v>
      </c>
      <c r="GL73">
        <v>28.0417</v>
      </c>
      <c r="GM73">
        <v>1200</v>
      </c>
      <c r="GN73">
        <v>19.4378</v>
      </c>
      <c r="GO73">
        <v>101.239</v>
      </c>
      <c r="GP73">
        <v>96.2522</v>
      </c>
    </row>
    <row r="74" spans="1:198">
      <c r="A74">
        <v>58</v>
      </c>
      <c r="B74">
        <v>1773199520.5</v>
      </c>
      <c r="C74">
        <v>3420.5</v>
      </c>
      <c r="D74" t="s">
        <v>449</v>
      </c>
      <c r="E74" t="s">
        <v>450</v>
      </c>
      <c r="F74">
        <v>15</v>
      </c>
      <c r="G74">
        <v>1773199512.5</v>
      </c>
      <c r="H74">
        <f>(I74)/1000</f>
        <v>0</v>
      </c>
      <c r="I74">
        <f>1000*AY74*AG74*(AU74-AV74)/(100*AN74*(1000-AG74*AU74))</f>
        <v>0</v>
      </c>
      <c r="J74">
        <f>AY74*AG74*(AT74-AS74*(1000-AG74*AV74)/(1000-AG74*AU74))/(100*AN74)</f>
        <v>0</v>
      </c>
      <c r="K74">
        <f>AS74 - IF(AG74&gt;1, J74*AN74*100.0/(AI74), 0)</f>
        <v>0</v>
      </c>
      <c r="L74">
        <f>((R74-H74/2)*K74-J74)/(R74+H74/2)</f>
        <v>0</v>
      </c>
      <c r="M74">
        <f>L74*(AZ74+BA74)/1000.0</f>
        <v>0</v>
      </c>
      <c r="N74">
        <f>(AS74 - IF(AG74&gt;1, J74*AN74*100.0/(AI74), 0))*(AZ74+BA74)/1000.0</f>
        <v>0</v>
      </c>
      <c r="O74">
        <f>2.0/((1/Q74-1/P74)+SIGN(Q74)*SQRT((1/Q74-1/P74)*(1/Q74-1/P74) + 4*AO74/((AO74+1)*(AO74+1))*(2*1/Q74*1/P74-1/P74*1/P74)))</f>
        <v>0</v>
      </c>
      <c r="P74">
        <f>IF(LEFT(AP74,1)&lt;&gt;"0",IF(LEFT(AP74,1)="1",3.0,AQ74),$D$5+$E$5*(BG74*AZ74/($K$5*1000))+$F$5*(BG74*AZ74/($K$5*1000))*MAX(MIN(AN74,$J$5),$I$5)*MAX(MIN(AN74,$J$5),$I$5)+$G$5*MAX(MIN(AN74,$J$5),$I$5)*(BG74*AZ74/($K$5*1000))+$H$5*(BG74*AZ74/($K$5*1000))*(BG74*AZ74/($K$5*1000)))</f>
        <v>0</v>
      </c>
      <c r="Q74">
        <f>H74*(1000-(1000*0.61365*exp(17.502*U74/(240.97+U74))/(AZ74+BA74)+AU74)/2)/(1000*0.61365*exp(17.502*U74/(240.97+U74))/(AZ74+BA74)-AU74)</f>
        <v>0</v>
      </c>
      <c r="R74">
        <f>1/((AO74+1)/(O74/1.6)+1/(P74/1.37)) + AO74/((AO74+1)/(O74/1.6) + AO74/(P74/1.37))</f>
        <v>0</v>
      </c>
      <c r="S74">
        <f>(AJ74*AM74)</f>
        <v>0</v>
      </c>
      <c r="T74">
        <f>(BB74+(S74+2*0.95*5.67E-8*(((BB74+$B$7)+273)^4-(BB74+273)^4)-44100*H74)/(1.84*29.3*P74+8*0.95*5.67E-8*(BB74+273)^3))</f>
        <v>0</v>
      </c>
      <c r="U74">
        <f>($C$7*BC74+$D$7*BD74+$E$7*T74)</f>
        <v>0</v>
      </c>
      <c r="V74">
        <f>0.61365*exp(17.502*U74/(240.97+U74))</f>
        <v>0</v>
      </c>
      <c r="W74">
        <f>(X74/Y74*100)</f>
        <v>0</v>
      </c>
      <c r="X74">
        <f>AU74*(AZ74+BA74)/1000</f>
        <v>0</v>
      </c>
      <c r="Y74">
        <f>0.61365*exp(17.502*BB74/(240.97+BB74))</f>
        <v>0</v>
      </c>
      <c r="Z74">
        <f>(V74-AU74*(AZ74+BA74)/1000)</f>
        <v>0</v>
      </c>
      <c r="AA74">
        <f>(-H74*44100)</f>
        <v>0</v>
      </c>
      <c r="AB74">
        <f>2*29.3*P74*0.92*(BB74-U74)</f>
        <v>0</v>
      </c>
      <c r="AC74">
        <f>2*0.95*5.67E-8*(((BB74+$B$7)+273)^4-(U74+273)^4)</f>
        <v>0</v>
      </c>
      <c r="AD74">
        <f>S74+AC74+AA74+AB74</f>
        <v>0</v>
      </c>
      <c r="AE74">
        <v>0</v>
      </c>
      <c r="AF74">
        <v>0</v>
      </c>
      <c r="AG74">
        <f>IF(AE74*$H$13&gt;=AI74,1.0,(AI74/(AI74-AE74*$H$13)))</f>
        <v>0</v>
      </c>
      <c r="AH74">
        <f>(AG74-1)*100</f>
        <v>0</v>
      </c>
      <c r="AI74">
        <f>MAX(0,($B$13+$C$13*BG74)/(1+$D$13*BG74)*AZ74/(BB74+273)*$E$13)</f>
        <v>0</v>
      </c>
      <c r="AJ74">
        <f>$B$11*BH74+$C$11*BI74+$D$11*BT74</f>
        <v>0</v>
      </c>
      <c r="AK74">
        <f>AJ74*AL74</f>
        <v>0</v>
      </c>
      <c r="AL74">
        <f>($B$11*$D$9+$C$11*$D$9+$D$11*(BU74*$E$9+BV74*$G$9))/($B$11+$C$11+$D$11)</f>
        <v>0</v>
      </c>
      <c r="AM74">
        <f>($B$11*$K$9+$C$11*$K$9+$D$11*(BU74*$L$9+BV74*$N$9))/($B$11+$C$11+$D$11)</f>
        <v>0</v>
      </c>
      <c r="AN74">
        <v>3</v>
      </c>
      <c r="AO74">
        <v>0.5</v>
      </c>
      <c r="AP74" t="s">
        <v>331</v>
      </c>
      <c r="AQ74">
        <v>2</v>
      </c>
      <c r="AR74">
        <v>1773199512.5</v>
      </c>
      <c r="AS74">
        <v>430.1568064516129</v>
      </c>
      <c r="AT74">
        <v>428.2214838709676</v>
      </c>
      <c r="AU74">
        <v>10.72051612903226</v>
      </c>
      <c r="AV74">
        <v>9.869797096774191</v>
      </c>
      <c r="AW74">
        <v>423.9254838709678</v>
      </c>
      <c r="AX74">
        <v>10.63991935483871</v>
      </c>
      <c r="AY74">
        <v>499.9801612903226</v>
      </c>
      <c r="AZ74">
        <v>100.2261290322581</v>
      </c>
      <c r="BA74">
        <v>0.04594132258064516</v>
      </c>
      <c r="BB74">
        <v>30.80526451612904</v>
      </c>
      <c r="BC74">
        <v>30.82883548387097</v>
      </c>
      <c r="BD74">
        <v>999.9000000000003</v>
      </c>
      <c r="BE74">
        <v>0</v>
      </c>
      <c r="BF74">
        <v>0</v>
      </c>
      <c r="BG74">
        <v>4988.435483870968</v>
      </c>
      <c r="BH74">
        <v>1.492370967741935</v>
      </c>
      <c r="BI74">
        <v>2090.17064516129</v>
      </c>
      <c r="BJ74">
        <v>1.935475483870968</v>
      </c>
      <c r="BK74">
        <v>434.8183870967742</v>
      </c>
      <c r="BL74">
        <v>432.4900322580645</v>
      </c>
      <c r="BM74">
        <v>0.8507110645161291</v>
      </c>
      <c r="BN74">
        <v>428.2214838709676</v>
      </c>
      <c r="BO74">
        <v>9.869797096774191</v>
      </c>
      <c r="BP74">
        <v>1.074476129032258</v>
      </c>
      <c r="BQ74">
        <v>0.989212</v>
      </c>
      <c r="BR74">
        <v>7.967403548387097</v>
      </c>
      <c r="BS74">
        <v>6.758439032258065</v>
      </c>
      <c r="BT74">
        <v>0</v>
      </c>
      <c r="BU74">
        <v>0</v>
      </c>
      <c r="BV74">
        <v>0</v>
      </c>
      <c r="BW74">
        <v>36</v>
      </c>
      <c r="BX74">
        <v>54.07313225806453</v>
      </c>
      <c r="BY74">
        <v>1773196010</v>
      </c>
      <c r="BZ74" t="s">
        <v>332</v>
      </c>
      <c r="CA74">
        <v>1773196010</v>
      </c>
      <c r="CB74">
        <v>1773196005.5</v>
      </c>
      <c r="CC74">
        <v>2</v>
      </c>
      <c r="CD74">
        <v>-0.279</v>
      </c>
      <c r="CE74">
        <v>-0.021</v>
      </c>
      <c r="CF74">
        <v>6.231</v>
      </c>
      <c r="CG74">
        <v>0.081</v>
      </c>
      <c r="CH74">
        <v>432</v>
      </c>
      <c r="CI74">
        <v>21</v>
      </c>
      <c r="CJ74">
        <v>0.03</v>
      </c>
      <c r="CK74">
        <v>0.06</v>
      </c>
      <c r="CL74">
        <v>428.2070645161289</v>
      </c>
      <c r="CM74">
        <v>2.444467741934269</v>
      </c>
      <c r="CN74">
        <v>0.186267226609077</v>
      </c>
      <c r="CO74">
        <v>-1</v>
      </c>
      <c r="CP74">
        <v>499.9830000000001</v>
      </c>
      <c r="CQ74">
        <v>0.09241935483758444</v>
      </c>
      <c r="CR74">
        <v>0.0449049174690609</v>
      </c>
      <c r="CS74">
        <v>-1</v>
      </c>
      <c r="CT74">
        <v>0</v>
      </c>
      <c r="CU74">
        <v>0</v>
      </c>
      <c r="CV74" t="s">
        <v>333</v>
      </c>
      <c r="CW74">
        <v>3.17042</v>
      </c>
      <c r="CX74">
        <v>2.66754</v>
      </c>
      <c r="CY74">
        <v>0.100661</v>
      </c>
      <c r="CZ74">
        <v>0.101459</v>
      </c>
      <c r="DA74">
        <v>0.0615221</v>
      </c>
      <c r="DB74">
        <v>0.057787</v>
      </c>
      <c r="DC74">
        <v>21327.5</v>
      </c>
      <c r="DD74">
        <v>21869</v>
      </c>
      <c r="DE74">
        <v>22862.7</v>
      </c>
      <c r="DF74">
        <v>22282.1</v>
      </c>
      <c r="DG74">
        <v>32444.6</v>
      </c>
      <c r="DH74">
        <v>29577.6</v>
      </c>
      <c r="DI74">
        <v>40236</v>
      </c>
      <c r="DJ74">
        <v>36858.4</v>
      </c>
      <c r="DK74">
        <v>2.03048</v>
      </c>
      <c r="DL74">
        <v>1.52646</v>
      </c>
      <c r="DM74">
        <v>-0.07575750000000001</v>
      </c>
      <c r="DN74">
        <v>0</v>
      </c>
      <c r="DO74">
        <v>32.0744</v>
      </c>
      <c r="DP74">
        <v>999.9</v>
      </c>
      <c r="DQ74">
        <v>29.7</v>
      </c>
      <c r="DR74">
        <v>41.8</v>
      </c>
      <c r="DS74">
        <v>24.1695</v>
      </c>
      <c r="DT74">
        <v>30.3155</v>
      </c>
      <c r="DU74">
        <v>13.5737</v>
      </c>
      <c r="DV74">
        <v>1</v>
      </c>
      <c r="DW74">
        <v>0.8459410000000001</v>
      </c>
      <c r="DX74">
        <v>3.45873</v>
      </c>
      <c r="DY74">
        <v>20.3193</v>
      </c>
      <c r="DZ74">
        <v>5.20998</v>
      </c>
      <c r="EA74">
        <v>11.8542</v>
      </c>
      <c r="EB74">
        <v>4.96732</v>
      </c>
      <c r="EC74">
        <v>3.293</v>
      </c>
      <c r="ED74">
        <v>879.4</v>
      </c>
      <c r="EE74">
        <v>9999</v>
      </c>
      <c r="EF74">
        <v>9999</v>
      </c>
      <c r="EG74">
        <v>77</v>
      </c>
      <c r="EH74">
        <v>4.9716</v>
      </c>
      <c r="EI74">
        <v>1.8721</v>
      </c>
      <c r="EJ74">
        <v>1.86949</v>
      </c>
      <c r="EK74">
        <v>1.8718</v>
      </c>
      <c r="EL74">
        <v>1.86955</v>
      </c>
      <c r="EM74">
        <v>1.86841</v>
      </c>
      <c r="EN74">
        <v>1.87019</v>
      </c>
      <c r="EO74">
        <v>1.87195</v>
      </c>
      <c r="EP74">
        <v>0</v>
      </c>
      <c r="EQ74">
        <v>0</v>
      </c>
      <c r="ER74">
        <v>0</v>
      </c>
      <c r="ES74">
        <v>0</v>
      </c>
      <c r="ET74" t="s">
        <v>334</v>
      </c>
      <c r="EU74" t="s">
        <v>335</v>
      </c>
      <c r="EV74" t="s">
        <v>336</v>
      </c>
      <c r="EW74" t="s">
        <v>336</v>
      </c>
      <c r="EX74" t="s">
        <v>336</v>
      </c>
      <c r="EY74" t="s">
        <v>336</v>
      </c>
      <c r="EZ74">
        <v>0</v>
      </c>
      <c r="FA74">
        <v>100</v>
      </c>
      <c r="FB74">
        <v>100</v>
      </c>
      <c r="FC74">
        <v>6.231</v>
      </c>
      <c r="FD74">
        <v>0.0806</v>
      </c>
      <c r="FE74">
        <v>6.23135000000002</v>
      </c>
      <c r="FF74">
        <v>0</v>
      </c>
      <c r="FG74">
        <v>0</v>
      </c>
      <c r="FH74">
        <v>0</v>
      </c>
      <c r="FI74">
        <v>0.08059047619047632</v>
      </c>
      <c r="FJ74">
        <v>0</v>
      </c>
      <c r="FK74">
        <v>0</v>
      </c>
      <c r="FL74">
        <v>0</v>
      </c>
      <c r="FM74">
        <v>-1</v>
      </c>
      <c r="FN74">
        <v>-1</v>
      </c>
      <c r="FO74">
        <v>-1</v>
      </c>
      <c r="FP74">
        <v>-1</v>
      </c>
      <c r="FQ74">
        <v>58.5</v>
      </c>
      <c r="FR74">
        <v>58.6</v>
      </c>
      <c r="FS74">
        <v>0.142822</v>
      </c>
      <c r="FT74">
        <v>4.99756</v>
      </c>
      <c r="FU74">
        <v>1.5979</v>
      </c>
      <c r="FV74">
        <v>2.11792</v>
      </c>
      <c r="FW74">
        <v>1.54785</v>
      </c>
      <c r="FX74">
        <v>2.47559</v>
      </c>
      <c r="FY74">
        <v>45.7193</v>
      </c>
      <c r="FZ74">
        <v>15.962</v>
      </c>
      <c r="GA74">
        <v>3</v>
      </c>
      <c r="GB74">
        <v>519.72</v>
      </c>
      <c r="GC74">
        <v>301.451</v>
      </c>
      <c r="GD74">
        <v>28.065</v>
      </c>
      <c r="GE74">
        <v>37.4268</v>
      </c>
      <c r="GF74">
        <v>30.0009</v>
      </c>
      <c r="GG74">
        <v>37.3496</v>
      </c>
      <c r="GH74">
        <v>37.3533</v>
      </c>
      <c r="GI74">
        <v>-1</v>
      </c>
      <c r="GJ74">
        <v>100</v>
      </c>
      <c r="GK74">
        <v>0</v>
      </c>
      <c r="GL74">
        <v>28.0534</v>
      </c>
      <c r="GM74">
        <v>1200</v>
      </c>
      <c r="GN74">
        <v>19.4378</v>
      </c>
      <c r="GO74">
        <v>101.229</v>
      </c>
      <c r="GP74">
        <v>96.24469999999999</v>
      </c>
    </row>
    <row r="75" spans="1:198">
      <c r="A75">
        <v>59</v>
      </c>
      <c r="B75">
        <v>1773199580.5</v>
      </c>
      <c r="C75">
        <v>3480.5</v>
      </c>
      <c r="D75" t="s">
        <v>451</v>
      </c>
      <c r="E75" t="s">
        <v>452</v>
      </c>
      <c r="F75">
        <v>15</v>
      </c>
      <c r="G75">
        <v>1773199572.5</v>
      </c>
      <c r="H75">
        <f>(I75)/1000</f>
        <v>0</v>
      </c>
      <c r="I75">
        <f>1000*AY75*AG75*(AU75-AV75)/(100*AN75*(1000-AG75*AU75))</f>
        <v>0</v>
      </c>
      <c r="J75">
        <f>AY75*AG75*(AT75-AS75*(1000-AG75*AV75)/(1000-AG75*AU75))/(100*AN75)</f>
        <v>0</v>
      </c>
      <c r="K75">
        <f>AS75 - IF(AG75&gt;1, J75*AN75*100.0/(AI75), 0)</f>
        <v>0</v>
      </c>
      <c r="L75">
        <f>((R75-H75/2)*K75-J75)/(R75+H75/2)</f>
        <v>0</v>
      </c>
      <c r="M75">
        <f>L75*(AZ75+BA75)/1000.0</f>
        <v>0</v>
      </c>
      <c r="N75">
        <f>(AS75 - IF(AG75&gt;1, J75*AN75*100.0/(AI75), 0))*(AZ75+BA75)/1000.0</f>
        <v>0</v>
      </c>
      <c r="O75">
        <f>2.0/((1/Q75-1/P75)+SIGN(Q75)*SQRT((1/Q75-1/P75)*(1/Q75-1/P75) + 4*AO75/((AO75+1)*(AO75+1))*(2*1/Q75*1/P75-1/P75*1/P75)))</f>
        <v>0</v>
      </c>
      <c r="P75">
        <f>IF(LEFT(AP75,1)&lt;&gt;"0",IF(LEFT(AP75,1)="1",3.0,AQ75),$D$5+$E$5*(BG75*AZ75/($K$5*1000))+$F$5*(BG75*AZ75/($K$5*1000))*MAX(MIN(AN75,$J$5),$I$5)*MAX(MIN(AN75,$J$5),$I$5)+$G$5*MAX(MIN(AN75,$J$5),$I$5)*(BG75*AZ75/($K$5*1000))+$H$5*(BG75*AZ75/($K$5*1000))*(BG75*AZ75/($K$5*1000)))</f>
        <v>0</v>
      </c>
      <c r="Q75">
        <f>H75*(1000-(1000*0.61365*exp(17.502*U75/(240.97+U75))/(AZ75+BA75)+AU75)/2)/(1000*0.61365*exp(17.502*U75/(240.97+U75))/(AZ75+BA75)-AU75)</f>
        <v>0</v>
      </c>
      <c r="R75">
        <f>1/((AO75+1)/(O75/1.6)+1/(P75/1.37)) + AO75/((AO75+1)/(O75/1.6) + AO75/(P75/1.37))</f>
        <v>0</v>
      </c>
      <c r="S75">
        <f>(AJ75*AM75)</f>
        <v>0</v>
      </c>
      <c r="T75">
        <f>(BB75+(S75+2*0.95*5.67E-8*(((BB75+$B$7)+273)^4-(BB75+273)^4)-44100*H75)/(1.84*29.3*P75+8*0.95*5.67E-8*(BB75+273)^3))</f>
        <v>0</v>
      </c>
      <c r="U75">
        <f>($C$7*BC75+$D$7*BD75+$E$7*T75)</f>
        <v>0</v>
      </c>
      <c r="V75">
        <f>0.61365*exp(17.502*U75/(240.97+U75))</f>
        <v>0</v>
      </c>
      <c r="W75">
        <f>(X75/Y75*100)</f>
        <v>0</v>
      </c>
      <c r="X75">
        <f>AU75*(AZ75+BA75)/1000</f>
        <v>0</v>
      </c>
      <c r="Y75">
        <f>0.61365*exp(17.502*BB75/(240.97+BB75))</f>
        <v>0</v>
      </c>
      <c r="Z75">
        <f>(V75-AU75*(AZ75+BA75)/1000)</f>
        <v>0</v>
      </c>
      <c r="AA75">
        <f>(-H75*44100)</f>
        <v>0</v>
      </c>
      <c r="AB75">
        <f>2*29.3*P75*0.92*(BB75-U75)</f>
        <v>0</v>
      </c>
      <c r="AC75">
        <f>2*0.95*5.67E-8*(((BB75+$B$7)+273)^4-(U75+273)^4)</f>
        <v>0</v>
      </c>
      <c r="AD75">
        <f>S75+AC75+AA75+AB75</f>
        <v>0</v>
      </c>
      <c r="AE75">
        <v>0</v>
      </c>
      <c r="AF75">
        <v>0</v>
      </c>
      <c r="AG75">
        <f>IF(AE75*$H$13&gt;=AI75,1.0,(AI75/(AI75-AE75*$H$13)))</f>
        <v>0</v>
      </c>
      <c r="AH75">
        <f>(AG75-1)*100</f>
        <v>0</v>
      </c>
      <c r="AI75">
        <f>MAX(0,($B$13+$C$13*BG75)/(1+$D$13*BG75)*AZ75/(BB75+273)*$E$13)</f>
        <v>0</v>
      </c>
      <c r="AJ75">
        <f>$B$11*BH75+$C$11*BI75+$D$11*BT75</f>
        <v>0</v>
      </c>
      <c r="AK75">
        <f>AJ75*AL75</f>
        <v>0</v>
      </c>
      <c r="AL75">
        <f>($B$11*$D$9+$C$11*$D$9+$D$11*(BU75*$E$9+BV75*$G$9))/($B$11+$C$11+$D$11)</f>
        <v>0</v>
      </c>
      <c r="AM75">
        <f>($B$11*$K$9+$C$11*$K$9+$D$11*(BU75*$L$9+BV75*$N$9))/($B$11+$C$11+$D$11)</f>
        <v>0</v>
      </c>
      <c r="AN75">
        <v>3</v>
      </c>
      <c r="AO75">
        <v>0.5</v>
      </c>
      <c r="AP75" t="s">
        <v>331</v>
      </c>
      <c r="AQ75">
        <v>2</v>
      </c>
      <c r="AR75">
        <v>1773199572.5</v>
      </c>
      <c r="AS75">
        <v>429.943064516129</v>
      </c>
      <c r="AT75">
        <v>427.8586129032258</v>
      </c>
      <c r="AU75">
        <v>10.82162580645161</v>
      </c>
      <c r="AV75">
        <v>9.995200645161288</v>
      </c>
      <c r="AW75">
        <v>423.7116451612903</v>
      </c>
      <c r="AX75">
        <v>10.74102903225806</v>
      </c>
      <c r="AY75">
        <v>500.017</v>
      </c>
      <c r="AZ75">
        <v>100.2251935483871</v>
      </c>
      <c r="BA75">
        <v>0.04597629677419355</v>
      </c>
      <c r="BB75">
        <v>30.80447741935484</v>
      </c>
      <c r="BC75">
        <v>30.85224838709677</v>
      </c>
      <c r="BD75">
        <v>999.9000000000003</v>
      </c>
      <c r="BE75">
        <v>0</v>
      </c>
      <c r="BF75">
        <v>0</v>
      </c>
      <c r="BG75">
        <v>5003.16129032258</v>
      </c>
      <c r="BH75">
        <v>1.483152580645161</v>
      </c>
      <c r="BI75">
        <v>2103.658387096774</v>
      </c>
      <c r="BJ75">
        <v>2.084423225806451</v>
      </c>
      <c r="BK75">
        <v>434.6465483870967</v>
      </c>
      <c r="BL75">
        <v>432.1783548387097</v>
      </c>
      <c r="BM75">
        <v>0.826418322580645</v>
      </c>
      <c r="BN75">
        <v>427.8586129032258</v>
      </c>
      <c r="BO75">
        <v>9.995200645161288</v>
      </c>
      <c r="BP75">
        <v>1.08459935483871</v>
      </c>
      <c r="BQ75">
        <v>1.001771935483871</v>
      </c>
      <c r="BR75">
        <v>8.105275806451614</v>
      </c>
      <c r="BS75">
        <v>6.942163870967741</v>
      </c>
      <c r="BT75">
        <v>0</v>
      </c>
      <c r="BU75">
        <v>0</v>
      </c>
      <c r="BV75">
        <v>0</v>
      </c>
      <c r="BW75">
        <v>36</v>
      </c>
      <c r="BX75">
        <v>54.91828387096775</v>
      </c>
      <c r="BY75">
        <v>1773196010</v>
      </c>
      <c r="BZ75" t="s">
        <v>332</v>
      </c>
      <c r="CA75">
        <v>1773196010</v>
      </c>
      <c r="CB75">
        <v>1773196005.5</v>
      </c>
      <c r="CC75">
        <v>2</v>
      </c>
      <c r="CD75">
        <v>-0.279</v>
      </c>
      <c r="CE75">
        <v>-0.021</v>
      </c>
      <c r="CF75">
        <v>6.231</v>
      </c>
      <c r="CG75">
        <v>0.081</v>
      </c>
      <c r="CH75">
        <v>432</v>
      </c>
      <c r="CI75">
        <v>21</v>
      </c>
      <c r="CJ75">
        <v>0.03</v>
      </c>
      <c r="CK75">
        <v>0.06</v>
      </c>
      <c r="CL75">
        <v>427.8604333333333</v>
      </c>
      <c r="CM75">
        <v>0.1567875417125932</v>
      </c>
      <c r="CN75">
        <v>0.03411224934763707</v>
      </c>
      <c r="CO75">
        <v>-1</v>
      </c>
      <c r="CP75">
        <v>500.0170333333334</v>
      </c>
      <c r="CQ75">
        <v>0.07082536151242413</v>
      </c>
      <c r="CR75">
        <v>0.05256582117265544</v>
      </c>
      <c r="CS75">
        <v>-1</v>
      </c>
      <c r="CT75">
        <v>0</v>
      </c>
      <c r="CU75">
        <v>0</v>
      </c>
      <c r="CV75" t="s">
        <v>333</v>
      </c>
      <c r="CW75">
        <v>3.17051</v>
      </c>
      <c r="CX75">
        <v>2.66695</v>
      </c>
      <c r="CY75">
        <v>0.100578</v>
      </c>
      <c r="CZ75">
        <v>0.101352</v>
      </c>
      <c r="DA75">
        <v>0.0619197</v>
      </c>
      <c r="DB75">
        <v>0.0582783</v>
      </c>
      <c r="DC75">
        <v>21326.3</v>
      </c>
      <c r="DD75">
        <v>21869.4</v>
      </c>
      <c r="DE75">
        <v>22859.6</v>
      </c>
      <c r="DF75">
        <v>22280</v>
      </c>
      <c r="DG75">
        <v>32426.6</v>
      </c>
      <c r="DH75">
        <v>29559.2</v>
      </c>
      <c r="DI75">
        <v>40230.8</v>
      </c>
      <c r="DJ75">
        <v>36854.8</v>
      </c>
      <c r="DK75">
        <v>2.03002</v>
      </c>
      <c r="DL75">
        <v>1.52394</v>
      </c>
      <c r="DM75">
        <v>-0.0759691</v>
      </c>
      <c r="DN75">
        <v>0</v>
      </c>
      <c r="DO75">
        <v>32.0929</v>
      </c>
      <c r="DP75">
        <v>999.9</v>
      </c>
      <c r="DQ75">
        <v>29.6</v>
      </c>
      <c r="DR75">
        <v>42</v>
      </c>
      <c r="DS75">
        <v>24.3459</v>
      </c>
      <c r="DT75">
        <v>29.7154</v>
      </c>
      <c r="DU75">
        <v>13.6899</v>
      </c>
      <c r="DV75">
        <v>1</v>
      </c>
      <c r="DW75">
        <v>0.8512459999999999</v>
      </c>
      <c r="DX75">
        <v>3.38688</v>
      </c>
      <c r="DY75">
        <v>20.3209</v>
      </c>
      <c r="DZ75">
        <v>5.20998</v>
      </c>
      <c r="EA75">
        <v>11.8544</v>
      </c>
      <c r="EB75">
        <v>4.96732</v>
      </c>
      <c r="EC75">
        <v>3.29298</v>
      </c>
      <c r="ED75">
        <v>879.4</v>
      </c>
      <c r="EE75">
        <v>9999</v>
      </c>
      <c r="EF75">
        <v>9999</v>
      </c>
      <c r="EG75">
        <v>77</v>
      </c>
      <c r="EH75">
        <v>4.97161</v>
      </c>
      <c r="EI75">
        <v>1.8721</v>
      </c>
      <c r="EJ75">
        <v>1.86951</v>
      </c>
      <c r="EK75">
        <v>1.8718</v>
      </c>
      <c r="EL75">
        <v>1.86953</v>
      </c>
      <c r="EM75">
        <v>1.86841</v>
      </c>
      <c r="EN75">
        <v>1.87024</v>
      </c>
      <c r="EO75">
        <v>1.87195</v>
      </c>
      <c r="EP75">
        <v>0</v>
      </c>
      <c r="EQ75">
        <v>0</v>
      </c>
      <c r="ER75">
        <v>0</v>
      </c>
      <c r="ES75">
        <v>0</v>
      </c>
      <c r="ET75" t="s">
        <v>334</v>
      </c>
      <c r="EU75" t="s">
        <v>335</v>
      </c>
      <c r="EV75" t="s">
        <v>336</v>
      </c>
      <c r="EW75" t="s">
        <v>336</v>
      </c>
      <c r="EX75" t="s">
        <v>336</v>
      </c>
      <c r="EY75" t="s">
        <v>336</v>
      </c>
      <c r="EZ75">
        <v>0</v>
      </c>
      <c r="FA75">
        <v>100</v>
      </c>
      <c r="FB75">
        <v>100</v>
      </c>
      <c r="FC75">
        <v>6.231</v>
      </c>
      <c r="FD75">
        <v>0.0806</v>
      </c>
      <c r="FE75">
        <v>6.23135000000002</v>
      </c>
      <c r="FF75">
        <v>0</v>
      </c>
      <c r="FG75">
        <v>0</v>
      </c>
      <c r="FH75">
        <v>0</v>
      </c>
      <c r="FI75">
        <v>0.08059047619047632</v>
      </c>
      <c r="FJ75">
        <v>0</v>
      </c>
      <c r="FK75">
        <v>0</v>
      </c>
      <c r="FL75">
        <v>0</v>
      </c>
      <c r="FM75">
        <v>-1</v>
      </c>
      <c r="FN75">
        <v>-1</v>
      </c>
      <c r="FO75">
        <v>-1</v>
      </c>
      <c r="FP75">
        <v>-1</v>
      </c>
      <c r="FQ75">
        <v>59.5</v>
      </c>
      <c r="FR75">
        <v>59.6</v>
      </c>
      <c r="FS75">
        <v>0.142822</v>
      </c>
      <c r="FT75">
        <v>4.99756</v>
      </c>
      <c r="FU75">
        <v>1.5979</v>
      </c>
      <c r="FV75">
        <v>2.1167</v>
      </c>
      <c r="FW75">
        <v>1.54785</v>
      </c>
      <c r="FX75">
        <v>2.39014</v>
      </c>
      <c r="FY75">
        <v>45.8632</v>
      </c>
      <c r="FZ75">
        <v>15.962</v>
      </c>
      <c r="GA75">
        <v>3</v>
      </c>
      <c r="GB75">
        <v>519.773</v>
      </c>
      <c r="GC75">
        <v>300.42</v>
      </c>
      <c r="GD75">
        <v>28.0425</v>
      </c>
      <c r="GE75">
        <v>37.4892</v>
      </c>
      <c r="GF75">
        <v>30.0007</v>
      </c>
      <c r="GG75">
        <v>37.3976</v>
      </c>
      <c r="GH75">
        <v>37.3969</v>
      </c>
      <c r="GI75">
        <v>-1</v>
      </c>
      <c r="GJ75">
        <v>100</v>
      </c>
      <c r="GK75">
        <v>0</v>
      </c>
      <c r="GL75">
        <v>28.0354</v>
      </c>
      <c r="GM75">
        <v>1200</v>
      </c>
      <c r="GN75">
        <v>19.4378</v>
      </c>
      <c r="GO75">
        <v>101.216</v>
      </c>
      <c r="GP75">
        <v>96.23560000000001</v>
      </c>
    </row>
    <row r="76" spans="1:198">
      <c r="A76">
        <v>60</v>
      </c>
      <c r="B76">
        <v>1773199640.5</v>
      </c>
      <c r="C76">
        <v>3540.5</v>
      </c>
      <c r="D76" t="s">
        <v>453</v>
      </c>
      <c r="E76" t="s">
        <v>454</v>
      </c>
      <c r="F76">
        <v>15</v>
      </c>
      <c r="G76">
        <v>1773199632.5</v>
      </c>
      <c r="H76">
        <f>(I76)/1000</f>
        <v>0</v>
      </c>
      <c r="I76">
        <f>1000*AY76*AG76*(AU76-AV76)/(100*AN76*(1000-AG76*AU76))</f>
        <v>0</v>
      </c>
      <c r="J76">
        <f>AY76*AG76*(AT76-AS76*(1000-AG76*AV76)/(1000-AG76*AU76))/(100*AN76)</f>
        <v>0</v>
      </c>
      <c r="K76">
        <f>AS76 - IF(AG76&gt;1, J76*AN76*100.0/(AI76), 0)</f>
        <v>0</v>
      </c>
      <c r="L76">
        <f>((R76-H76/2)*K76-J76)/(R76+H76/2)</f>
        <v>0</v>
      </c>
      <c r="M76">
        <f>L76*(AZ76+BA76)/1000.0</f>
        <v>0</v>
      </c>
      <c r="N76">
        <f>(AS76 - IF(AG76&gt;1, J76*AN76*100.0/(AI76), 0))*(AZ76+BA76)/1000.0</f>
        <v>0</v>
      </c>
      <c r="O76">
        <f>2.0/((1/Q76-1/P76)+SIGN(Q76)*SQRT((1/Q76-1/P76)*(1/Q76-1/P76) + 4*AO76/((AO76+1)*(AO76+1))*(2*1/Q76*1/P76-1/P76*1/P76)))</f>
        <v>0</v>
      </c>
      <c r="P76">
        <f>IF(LEFT(AP76,1)&lt;&gt;"0",IF(LEFT(AP76,1)="1",3.0,AQ76),$D$5+$E$5*(BG76*AZ76/($K$5*1000))+$F$5*(BG76*AZ76/($K$5*1000))*MAX(MIN(AN76,$J$5),$I$5)*MAX(MIN(AN76,$J$5),$I$5)+$G$5*MAX(MIN(AN76,$J$5),$I$5)*(BG76*AZ76/($K$5*1000))+$H$5*(BG76*AZ76/($K$5*1000))*(BG76*AZ76/($K$5*1000)))</f>
        <v>0</v>
      </c>
      <c r="Q76">
        <f>H76*(1000-(1000*0.61365*exp(17.502*U76/(240.97+U76))/(AZ76+BA76)+AU76)/2)/(1000*0.61365*exp(17.502*U76/(240.97+U76))/(AZ76+BA76)-AU76)</f>
        <v>0</v>
      </c>
      <c r="R76">
        <f>1/((AO76+1)/(O76/1.6)+1/(P76/1.37)) + AO76/((AO76+1)/(O76/1.6) + AO76/(P76/1.37))</f>
        <v>0</v>
      </c>
      <c r="S76">
        <f>(AJ76*AM76)</f>
        <v>0</v>
      </c>
      <c r="T76">
        <f>(BB76+(S76+2*0.95*5.67E-8*(((BB76+$B$7)+273)^4-(BB76+273)^4)-44100*H76)/(1.84*29.3*P76+8*0.95*5.67E-8*(BB76+273)^3))</f>
        <v>0</v>
      </c>
      <c r="U76">
        <f>($C$7*BC76+$D$7*BD76+$E$7*T76)</f>
        <v>0</v>
      </c>
      <c r="V76">
        <f>0.61365*exp(17.502*U76/(240.97+U76))</f>
        <v>0</v>
      </c>
      <c r="W76">
        <f>(X76/Y76*100)</f>
        <v>0</v>
      </c>
      <c r="X76">
        <f>AU76*(AZ76+BA76)/1000</f>
        <v>0</v>
      </c>
      <c r="Y76">
        <f>0.61365*exp(17.502*BB76/(240.97+BB76))</f>
        <v>0</v>
      </c>
      <c r="Z76">
        <f>(V76-AU76*(AZ76+BA76)/1000)</f>
        <v>0</v>
      </c>
      <c r="AA76">
        <f>(-H76*44100)</f>
        <v>0</v>
      </c>
      <c r="AB76">
        <f>2*29.3*P76*0.92*(BB76-U76)</f>
        <v>0</v>
      </c>
      <c r="AC76">
        <f>2*0.95*5.67E-8*(((BB76+$B$7)+273)^4-(U76+273)^4)</f>
        <v>0</v>
      </c>
      <c r="AD76">
        <f>S76+AC76+AA76+AB76</f>
        <v>0</v>
      </c>
      <c r="AE76">
        <v>0</v>
      </c>
      <c r="AF76">
        <v>0</v>
      </c>
      <c r="AG76">
        <f>IF(AE76*$H$13&gt;=AI76,1.0,(AI76/(AI76-AE76*$H$13)))</f>
        <v>0</v>
      </c>
      <c r="AH76">
        <f>(AG76-1)*100</f>
        <v>0</v>
      </c>
      <c r="AI76">
        <f>MAX(0,($B$13+$C$13*BG76)/(1+$D$13*BG76)*AZ76/(BB76+273)*$E$13)</f>
        <v>0</v>
      </c>
      <c r="AJ76">
        <f>$B$11*BH76+$C$11*BI76+$D$11*BT76</f>
        <v>0</v>
      </c>
      <c r="AK76">
        <f>AJ76*AL76</f>
        <v>0</v>
      </c>
      <c r="AL76">
        <f>($B$11*$D$9+$C$11*$D$9+$D$11*(BU76*$E$9+BV76*$G$9))/($B$11+$C$11+$D$11)</f>
        <v>0</v>
      </c>
      <c r="AM76">
        <f>($B$11*$K$9+$C$11*$K$9+$D$11*(BU76*$L$9+BV76*$N$9))/($B$11+$C$11+$D$11)</f>
        <v>0</v>
      </c>
      <c r="AN76">
        <v>3</v>
      </c>
      <c r="AO76">
        <v>0.5</v>
      </c>
      <c r="AP76" t="s">
        <v>331</v>
      </c>
      <c r="AQ76">
        <v>2</v>
      </c>
      <c r="AR76">
        <v>1773199632.5</v>
      </c>
      <c r="AS76">
        <v>429.6398387096774</v>
      </c>
      <c r="AT76">
        <v>427.4105161290323</v>
      </c>
      <c r="AU76">
        <v>10.86033548387097</v>
      </c>
      <c r="AV76">
        <v>10.06285161290323</v>
      </c>
      <c r="AW76">
        <v>423.4085161290322</v>
      </c>
      <c r="AX76">
        <v>10.77975161290323</v>
      </c>
      <c r="AY76">
        <v>499.9849032258065</v>
      </c>
      <c r="AZ76">
        <v>100.2242580645161</v>
      </c>
      <c r="BA76">
        <v>0.04585899677419357</v>
      </c>
      <c r="BB76">
        <v>30.84066774193548</v>
      </c>
      <c r="BC76">
        <v>30.92061935483871</v>
      </c>
      <c r="BD76">
        <v>999.9000000000003</v>
      </c>
      <c r="BE76">
        <v>0</v>
      </c>
      <c r="BF76">
        <v>0</v>
      </c>
      <c r="BG76">
        <v>4997.709677419355</v>
      </c>
      <c r="BH76">
        <v>1.503313870967742</v>
      </c>
      <c r="BI76">
        <v>2136.214193548387</v>
      </c>
      <c r="BJ76">
        <v>2.229432903225807</v>
      </c>
      <c r="BK76">
        <v>434.3572258064517</v>
      </c>
      <c r="BL76">
        <v>431.7551612903226</v>
      </c>
      <c r="BM76">
        <v>0.7974896774193547</v>
      </c>
      <c r="BN76">
        <v>427.4105161290323</v>
      </c>
      <c r="BO76">
        <v>10.06285161290323</v>
      </c>
      <c r="BP76">
        <v>1.088470322580645</v>
      </c>
      <c r="BQ76">
        <v>1.008542258064516</v>
      </c>
      <c r="BR76">
        <v>8.15769129032258</v>
      </c>
      <c r="BS76">
        <v>7.040368387096775</v>
      </c>
      <c r="BT76">
        <v>0</v>
      </c>
      <c r="BU76">
        <v>0</v>
      </c>
      <c r="BV76">
        <v>0</v>
      </c>
      <c r="BW76">
        <v>36</v>
      </c>
      <c r="BX76">
        <v>55.01074193548387</v>
      </c>
      <c r="BY76">
        <v>1773196010</v>
      </c>
      <c r="BZ76" t="s">
        <v>332</v>
      </c>
      <c r="CA76">
        <v>1773196010</v>
      </c>
      <c r="CB76">
        <v>1773196005.5</v>
      </c>
      <c r="CC76">
        <v>2</v>
      </c>
      <c r="CD76">
        <v>-0.279</v>
      </c>
      <c r="CE76">
        <v>-0.021</v>
      </c>
      <c r="CF76">
        <v>6.231</v>
      </c>
      <c r="CG76">
        <v>0.081</v>
      </c>
      <c r="CH76">
        <v>432</v>
      </c>
      <c r="CI76">
        <v>21</v>
      </c>
      <c r="CJ76">
        <v>0.03</v>
      </c>
      <c r="CK76">
        <v>0.06</v>
      </c>
      <c r="CL76">
        <v>427.4262666666667</v>
      </c>
      <c r="CM76">
        <v>-0.9720133481642004</v>
      </c>
      <c r="CN76">
        <v>0.07714615278086732</v>
      </c>
      <c r="CO76">
        <v>-1</v>
      </c>
      <c r="CP76">
        <v>499.9793666666666</v>
      </c>
      <c r="CQ76">
        <v>0.3436618464960568</v>
      </c>
      <c r="CR76">
        <v>0.08554861515860883</v>
      </c>
      <c r="CS76">
        <v>-1</v>
      </c>
      <c r="CT76">
        <v>0</v>
      </c>
      <c r="CU76">
        <v>0</v>
      </c>
      <c r="CV76" t="s">
        <v>333</v>
      </c>
      <c r="CW76">
        <v>3.17063</v>
      </c>
      <c r="CX76">
        <v>2.66742</v>
      </c>
      <c r="CY76">
        <v>0.100488</v>
      </c>
      <c r="CZ76">
        <v>0.101241</v>
      </c>
      <c r="DA76">
        <v>0.0621026</v>
      </c>
      <c r="DB76">
        <v>0.0586093</v>
      </c>
      <c r="DC76">
        <v>21325.7</v>
      </c>
      <c r="DD76">
        <v>21869.9</v>
      </c>
      <c r="DE76">
        <v>22856.8</v>
      </c>
      <c r="DF76">
        <v>22277.9</v>
      </c>
      <c r="DG76">
        <v>32416.7</v>
      </c>
      <c r="DH76">
        <v>29545.6</v>
      </c>
      <c r="DI76">
        <v>40226.5</v>
      </c>
      <c r="DJ76">
        <v>36850.9</v>
      </c>
      <c r="DK76">
        <v>2.02938</v>
      </c>
      <c r="DL76">
        <v>1.52092</v>
      </c>
      <c r="DM76">
        <v>-0.0752926</v>
      </c>
      <c r="DN76">
        <v>0</v>
      </c>
      <c r="DO76">
        <v>32.1464</v>
      </c>
      <c r="DP76">
        <v>999.9</v>
      </c>
      <c r="DQ76">
        <v>29.5</v>
      </c>
      <c r="DR76">
        <v>42.1</v>
      </c>
      <c r="DS76">
        <v>24.3921</v>
      </c>
      <c r="DT76">
        <v>30.1354</v>
      </c>
      <c r="DU76">
        <v>14.0024</v>
      </c>
      <c r="DV76">
        <v>1</v>
      </c>
      <c r="DW76">
        <v>0.859563</v>
      </c>
      <c r="DX76">
        <v>3.91948</v>
      </c>
      <c r="DY76">
        <v>20.3059</v>
      </c>
      <c r="DZ76">
        <v>5.20531</v>
      </c>
      <c r="EA76">
        <v>11.8542</v>
      </c>
      <c r="EB76">
        <v>4.96728</v>
      </c>
      <c r="EC76">
        <v>3.293</v>
      </c>
      <c r="ED76">
        <v>879.4</v>
      </c>
      <c r="EE76">
        <v>9999</v>
      </c>
      <c r="EF76">
        <v>9999</v>
      </c>
      <c r="EG76">
        <v>77</v>
      </c>
      <c r="EH76">
        <v>4.97161</v>
      </c>
      <c r="EI76">
        <v>1.8721</v>
      </c>
      <c r="EJ76">
        <v>1.86951</v>
      </c>
      <c r="EK76">
        <v>1.8718</v>
      </c>
      <c r="EL76">
        <v>1.86955</v>
      </c>
      <c r="EM76">
        <v>1.86843</v>
      </c>
      <c r="EN76">
        <v>1.87021</v>
      </c>
      <c r="EO76">
        <v>1.87195</v>
      </c>
      <c r="EP76">
        <v>0</v>
      </c>
      <c r="EQ76">
        <v>0</v>
      </c>
      <c r="ER76">
        <v>0</v>
      </c>
      <c r="ES76">
        <v>0</v>
      </c>
      <c r="ET76" t="s">
        <v>334</v>
      </c>
      <c r="EU76" t="s">
        <v>335</v>
      </c>
      <c r="EV76" t="s">
        <v>336</v>
      </c>
      <c r="EW76" t="s">
        <v>336</v>
      </c>
      <c r="EX76" t="s">
        <v>336</v>
      </c>
      <c r="EY76" t="s">
        <v>336</v>
      </c>
      <c r="EZ76">
        <v>0</v>
      </c>
      <c r="FA76">
        <v>100</v>
      </c>
      <c r="FB76">
        <v>100</v>
      </c>
      <c r="FC76">
        <v>6.232</v>
      </c>
      <c r="FD76">
        <v>0.0806</v>
      </c>
      <c r="FE76">
        <v>6.23135000000002</v>
      </c>
      <c r="FF76">
        <v>0</v>
      </c>
      <c r="FG76">
        <v>0</v>
      </c>
      <c r="FH76">
        <v>0</v>
      </c>
      <c r="FI76">
        <v>0.08059047619047632</v>
      </c>
      <c r="FJ76">
        <v>0</v>
      </c>
      <c r="FK76">
        <v>0</v>
      </c>
      <c r="FL76">
        <v>0</v>
      </c>
      <c r="FM76">
        <v>-1</v>
      </c>
      <c r="FN76">
        <v>-1</v>
      </c>
      <c r="FO76">
        <v>-1</v>
      </c>
      <c r="FP76">
        <v>-1</v>
      </c>
      <c r="FQ76">
        <v>60.5</v>
      </c>
      <c r="FR76">
        <v>60.6</v>
      </c>
      <c r="FS76">
        <v>0.142822</v>
      </c>
      <c r="FT76">
        <v>4.99756</v>
      </c>
      <c r="FU76">
        <v>1.5979</v>
      </c>
      <c r="FV76">
        <v>2.1167</v>
      </c>
      <c r="FW76">
        <v>1.54785</v>
      </c>
      <c r="FX76">
        <v>2.45972</v>
      </c>
      <c r="FY76">
        <v>45.9788</v>
      </c>
      <c r="FZ76">
        <v>15.9358</v>
      </c>
      <c r="GA76">
        <v>3</v>
      </c>
      <c r="GB76">
        <v>519.671</v>
      </c>
      <c r="GC76">
        <v>299.128</v>
      </c>
      <c r="GD76">
        <v>27.7478</v>
      </c>
      <c r="GE76">
        <v>37.5476</v>
      </c>
      <c r="GF76">
        <v>30.0007</v>
      </c>
      <c r="GG76">
        <v>37.4394</v>
      </c>
      <c r="GH76">
        <v>37.4341</v>
      </c>
      <c r="GI76">
        <v>-1</v>
      </c>
      <c r="GJ76">
        <v>100</v>
      </c>
      <c r="GK76">
        <v>0</v>
      </c>
      <c r="GL76">
        <v>27.7237</v>
      </c>
      <c r="GM76">
        <v>1200</v>
      </c>
      <c r="GN76">
        <v>19.4378</v>
      </c>
      <c r="GO76">
        <v>101.205</v>
      </c>
      <c r="GP76">
        <v>96.2259</v>
      </c>
    </row>
    <row r="77" spans="1:198">
      <c r="A77">
        <v>61</v>
      </c>
      <c r="B77">
        <v>1773199700.5</v>
      </c>
      <c r="C77">
        <v>3600.5</v>
      </c>
      <c r="D77" t="s">
        <v>455</v>
      </c>
      <c r="E77" t="s">
        <v>456</v>
      </c>
      <c r="F77">
        <v>15</v>
      </c>
      <c r="G77">
        <v>1773199692.5</v>
      </c>
      <c r="H77">
        <f>(I77)/1000</f>
        <v>0</v>
      </c>
      <c r="I77">
        <f>1000*AY77*AG77*(AU77-AV77)/(100*AN77*(1000-AG77*AU77))</f>
        <v>0</v>
      </c>
      <c r="J77">
        <f>AY77*AG77*(AT77-AS77*(1000-AG77*AV77)/(1000-AG77*AU77))/(100*AN77)</f>
        <v>0</v>
      </c>
      <c r="K77">
        <f>AS77 - IF(AG77&gt;1, J77*AN77*100.0/(AI77), 0)</f>
        <v>0</v>
      </c>
      <c r="L77">
        <f>((R77-H77/2)*K77-J77)/(R77+H77/2)</f>
        <v>0</v>
      </c>
      <c r="M77">
        <f>L77*(AZ77+BA77)/1000.0</f>
        <v>0</v>
      </c>
      <c r="N77">
        <f>(AS77 - IF(AG77&gt;1, J77*AN77*100.0/(AI77), 0))*(AZ77+BA77)/1000.0</f>
        <v>0</v>
      </c>
      <c r="O77">
        <f>2.0/((1/Q77-1/P77)+SIGN(Q77)*SQRT((1/Q77-1/P77)*(1/Q77-1/P77) + 4*AO77/((AO77+1)*(AO77+1))*(2*1/Q77*1/P77-1/P77*1/P77)))</f>
        <v>0</v>
      </c>
      <c r="P77">
        <f>IF(LEFT(AP77,1)&lt;&gt;"0",IF(LEFT(AP77,1)="1",3.0,AQ77),$D$5+$E$5*(BG77*AZ77/($K$5*1000))+$F$5*(BG77*AZ77/($K$5*1000))*MAX(MIN(AN77,$J$5),$I$5)*MAX(MIN(AN77,$J$5),$I$5)+$G$5*MAX(MIN(AN77,$J$5),$I$5)*(BG77*AZ77/($K$5*1000))+$H$5*(BG77*AZ77/($K$5*1000))*(BG77*AZ77/($K$5*1000)))</f>
        <v>0</v>
      </c>
      <c r="Q77">
        <f>H77*(1000-(1000*0.61365*exp(17.502*U77/(240.97+U77))/(AZ77+BA77)+AU77)/2)/(1000*0.61365*exp(17.502*U77/(240.97+U77))/(AZ77+BA77)-AU77)</f>
        <v>0</v>
      </c>
      <c r="R77">
        <f>1/((AO77+1)/(O77/1.6)+1/(P77/1.37)) + AO77/((AO77+1)/(O77/1.6) + AO77/(P77/1.37))</f>
        <v>0</v>
      </c>
      <c r="S77">
        <f>(AJ77*AM77)</f>
        <v>0</v>
      </c>
      <c r="T77">
        <f>(BB77+(S77+2*0.95*5.67E-8*(((BB77+$B$7)+273)^4-(BB77+273)^4)-44100*H77)/(1.84*29.3*P77+8*0.95*5.67E-8*(BB77+273)^3))</f>
        <v>0</v>
      </c>
      <c r="U77">
        <f>($C$7*BC77+$D$7*BD77+$E$7*T77)</f>
        <v>0</v>
      </c>
      <c r="V77">
        <f>0.61365*exp(17.502*U77/(240.97+U77))</f>
        <v>0</v>
      </c>
      <c r="W77">
        <f>(X77/Y77*100)</f>
        <v>0</v>
      </c>
      <c r="X77">
        <f>AU77*(AZ77+BA77)/1000</f>
        <v>0</v>
      </c>
      <c r="Y77">
        <f>0.61365*exp(17.502*BB77/(240.97+BB77))</f>
        <v>0</v>
      </c>
      <c r="Z77">
        <f>(V77-AU77*(AZ77+BA77)/1000)</f>
        <v>0</v>
      </c>
      <c r="AA77">
        <f>(-H77*44100)</f>
        <v>0</v>
      </c>
      <c r="AB77">
        <f>2*29.3*P77*0.92*(BB77-U77)</f>
        <v>0</v>
      </c>
      <c r="AC77">
        <f>2*0.95*5.67E-8*(((BB77+$B$7)+273)^4-(U77+273)^4)</f>
        <v>0</v>
      </c>
      <c r="AD77">
        <f>S77+AC77+AA77+AB77</f>
        <v>0</v>
      </c>
      <c r="AE77">
        <v>0</v>
      </c>
      <c r="AF77">
        <v>0</v>
      </c>
      <c r="AG77">
        <f>IF(AE77*$H$13&gt;=AI77,1.0,(AI77/(AI77-AE77*$H$13)))</f>
        <v>0</v>
      </c>
      <c r="AH77">
        <f>(AG77-1)*100</f>
        <v>0</v>
      </c>
      <c r="AI77">
        <f>MAX(0,($B$13+$C$13*BG77)/(1+$D$13*BG77)*AZ77/(BB77+273)*$E$13)</f>
        <v>0</v>
      </c>
      <c r="AJ77">
        <f>$B$11*BH77+$C$11*BI77+$D$11*BT77</f>
        <v>0</v>
      </c>
      <c r="AK77">
        <f>AJ77*AL77</f>
        <v>0</v>
      </c>
      <c r="AL77">
        <f>($B$11*$D$9+$C$11*$D$9+$D$11*(BU77*$E$9+BV77*$G$9))/($B$11+$C$11+$D$11)</f>
        <v>0</v>
      </c>
      <c r="AM77">
        <f>($B$11*$K$9+$C$11*$K$9+$D$11*(BU77*$L$9+BV77*$N$9))/($B$11+$C$11+$D$11)</f>
        <v>0</v>
      </c>
      <c r="AN77">
        <v>3</v>
      </c>
      <c r="AO77">
        <v>0.5</v>
      </c>
      <c r="AP77" t="s">
        <v>331</v>
      </c>
      <c r="AQ77">
        <v>2</v>
      </c>
      <c r="AR77">
        <v>1773199692.5</v>
      </c>
      <c r="AS77">
        <v>428.6682258064516</v>
      </c>
      <c r="AT77">
        <v>426.5026129032259</v>
      </c>
      <c r="AU77">
        <v>10.88597419354839</v>
      </c>
      <c r="AV77">
        <v>10.10759677419355</v>
      </c>
      <c r="AW77">
        <v>422.436935483871</v>
      </c>
      <c r="AX77">
        <v>10.80537741935484</v>
      </c>
      <c r="AY77">
        <v>499.9969032258064</v>
      </c>
      <c r="AZ77">
        <v>100.2220322580645</v>
      </c>
      <c r="BA77">
        <v>0.04613550645161291</v>
      </c>
      <c r="BB77">
        <v>30.79163870967742</v>
      </c>
      <c r="BC77">
        <v>30.88704838709678</v>
      </c>
      <c r="BD77">
        <v>999.9000000000003</v>
      </c>
      <c r="BE77">
        <v>0</v>
      </c>
      <c r="BF77">
        <v>0</v>
      </c>
      <c r="BG77">
        <v>4998.193548387097</v>
      </c>
      <c r="BH77">
        <v>1.514198064516129</v>
      </c>
      <c r="BI77">
        <v>2154.68</v>
      </c>
      <c r="BJ77">
        <v>2.165568387096774</v>
      </c>
      <c r="BK77">
        <v>433.3861290322581</v>
      </c>
      <c r="BL77">
        <v>430.8575483870968</v>
      </c>
      <c r="BM77">
        <v>0.7783764516129031</v>
      </c>
      <c r="BN77">
        <v>426.5026129032259</v>
      </c>
      <c r="BO77">
        <v>10.10759677419355</v>
      </c>
      <c r="BP77">
        <v>1.091014516129032</v>
      </c>
      <c r="BQ77">
        <v>1.013003225806452</v>
      </c>
      <c r="BR77">
        <v>8.19204935483871</v>
      </c>
      <c r="BS77">
        <v>7.104756774193548</v>
      </c>
      <c r="BT77">
        <v>0</v>
      </c>
      <c r="BU77">
        <v>0</v>
      </c>
      <c r="BV77">
        <v>0</v>
      </c>
      <c r="BW77">
        <v>36</v>
      </c>
      <c r="BX77">
        <v>55.26128064516129</v>
      </c>
      <c r="BY77">
        <v>1773196010</v>
      </c>
      <c r="BZ77" t="s">
        <v>332</v>
      </c>
      <c r="CA77">
        <v>1773196010</v>
      </c>
      <c r="CB77">
        <v>1773196005.5</v>
      </c>
      <c r="CC77">
        <v>2</v>
      </c>
      <c r="CD77">
        <v>-0.279</v>
      </c>
      <c r="CE77">
        <v>-0.021</v>
      </c>
      <c r="CF77">
        <v>6.231</v>
      </c>
      <c r="CG77">
        <v>0.081</v>
      </c>
      <c r="CH77">
        <v>432</v>
      </c>
      <c r="CI77">
        <v>21</v>
      </c>
      <c r="CJ77">
        <v>0.03</v>
      </c>
      <c r="CK77">
        <v>0.06</v>
      </c>
      <c r="CL77">
        <v>426.5085666666667</v>
      </c>
      <c r="CM77">
        <v>-0.4317597330362088</v>
      </c>
      <c r="CN77">
        <v>0.05559417435506993</v>
      </c>
      <c r="CO77">
        <v>-1</v>
      </c>
      <c r="CP77">
        <v>499.9978000000001</v>
      </c>
      <c r="CQ77">
        <v>0.4662780867615482</v>
      </c>
      <c r="CR77">
        <v>0.0636686212614468</v>
      </c>
      <c r="CS77">
        <v>-1</v>
      </c>
      <c r="CT77">
        <v>0</v>
      </c>
      <c r="CU77">
        <v>0</v>
      </c>
      <c r="CV77" t="s">
        <v>333</v>
      </c>
      <c r="CW77">
        <v>3.17053</v>
      </c>
      <c r="CX77">
        <v>2.6672</v>
      </c>
      <c r="CY77">
        <v>0.10032</v>
      </c>
      <c r="CZ77">
        <v>0.101077</v>
      </c>
      <c r="DA77">
        <v>0.0621877</v>
      </c>
      <c r="DB77">
        <v>0.0587766</v>
      </c>
      <c r="DC77">
        <v>21329.9</v>
      </c>
      <c r="DD77">
        <v>21875</v>
      </c>
      <c r="DE77">
        <v>22857.2</v>
      </c>
      <c r="DF77">
        <v>22279.1</v>
      </c>
      <c r="DG77">
        <v>32414.2</v>
      </c>
      <c r="DH77">
        <v>29542.1</v>
      </c>
      <c r="DI77">
        <v>40227.1</v>
      </c>
      <c r="DJ77">
        <v>36853.1</v>
      </c>
      <c r="DK77">
        <v>2.02908</v>
      </c>
      <c r="DL77">
        <v>1.52006</v>
      </c>
      <c r="DM77">
        <v>-0.0754923</v>
      </c>
      <c r="DN77">
        <v>0</v>
      </c>
      <c r="DO77">
        <v>32.117</v>
      </c>
      <c r="DP77">
        <v>999.9</v>
      </c>
      <c r="DQ77">
        <v>29.5</v>
      </c>
      <c r="DR77">
        <v>42.2</v>
      </c>
      <c r="DS77">
        <v>24.5214</v>
      </c>
      <c r="DT77">
        <v>30.2854</v>
      </c>
      <c r="DU77">
        <v>13.778</v>
      </c>
      <c r="DV77">
        <v>1</v>
      </c>
      <c r="DW77">
        <v>0.855398</v>
      </c>
      <c r="DX77">
        <v>3.47318</v>
      </c>
      <c r="DY77">
        <v>20.3196</v>
      </c>
      <c r="DZ77">
        <v>5.21034</v>
      </c>
      <c r="EA77">
        <v>11.8542</v>
      </c>
      <c r="EB77">
        <v>4.9672</v>
      </c>
      <c r="EC77">
        <v>3.29298</v>
      </c>
      <c r="ED77">
        <v>879.4</v>
      </c>
      <c r="EE77">
        <v>9999</v>
      </c>
      <c r="EF77">
        <v>9999</v>
      </c>
      <c r="EG77">
        <v>77</v>
      </c>
      <c r="EH77">
        <v>4.97162</v>
      </c>
      <c r="EI77">
        <v>1.8721</v>
      </c>
      <c r="EJ77">
        <v>1.86951</v>
      </c>
      <c r="EK77">
        <v>1.8718</v>
      </c>
      <c r="EL77">
        <v>1.86955</v>
      </c>
      <c r="EM77">
        <v>1.86843</v>
      </c>
      <c r="EN77">
        <v>1.87021</v>
      </c>
      <c r="EO77">
        <v>1.87195</v>
      </c>
      <c r="EP77">
        <v>0</v>
      </c>
      <c r="EQ77">
        <v>0</v>
      </c>
      <c r="ER77">
        <v>0</v>
      </c>
      <c r="ES77">
        <v>0</v>
      </c>
      <c r="ET77" t="s">
        <v>334</v>
      </c>
      <c r="EU77" t="s">
        <v>335</v>
      </c>
      <c r="EV77" t="s">
        <v>336</v>
      </c>
      <c r="EW77" t="s">
        <v>336</v>
      </c>
      <c r="EX77" t="s">
        <v>336</v>
      </c>
      <c r="EY77" t="s">
        <v>336</v>
      </c>
      <c r="EZ77">
        <v>0</v>
      </c>
      <c r="FA77">
        <v>100</v>
      </c>
      <c r="FB77">
        <v>100</v>
      </c>
      <c r="FC77">
        <v>6.232</v>
      </c>
      <c r="FD77">
        <v>0.0806</v>
      </c>
      <c r="FE77">
        <v>6.23135000000002</v>
      </c>
      <c r="FF77">
        <v>0</v>
      </c>
      <c r="FG77">
        <v>0</v>
      </c>
      <c r="FH77">
        <v>0</v>
      </c>
      <c r="FI77">
        <v>0.08059047619047632</v>
      </c>
      <c r="FJ77">
        <v>0</v>
      </c>
      <c r="FK77">
        <v>0</v>
      </c>
      <c r="FL77">
        <v>0</v>
      </c>
      <c r="FM77">
        <v>-1</v>
      </c>
      <c r="FN77">
        <v>-1</v>
      </c>
      <c r="FO77">
        <v>-1</v>
      </c>
      <c r="FP77">
        <v>-1</v>
      </c>
      <c r="FQ77">
        <v>61.5</v>
      </c>
      <c r="FR77">
        <v>61.6</v>
      </c>
      <c r="FS77">
        <v>0.142822</v>
      </c>
      <c r="FT77">
        <v>4.99756</v>
      </c>
      <c r="FU77">
        <v>1.5979</v>
      </c>
      <c r="FV77">
        <v>2.1167</v>
      </c>
      <c r="FW77">
        <v>1.54785</v>
      </c>
      <c r="FX77">
        <v>2.41943</v>
      </c>
      <c r="FY77">
        <v>46.0657</v>
      </c>
      <c r="FZ77">
        <v>15.9445</v>
      </c>
      <c r="GA77">
        <v>3</v>
      </c>
      <c r="GB77">
        <v>519.5839999999999</v>
      </c>
      <c r="GC77">
        <v>298.753</v>
      </c>
      <c r="GD77">
        <v>27.825</v>
      </c>
      <c r="GE77">
        <v>37.5641</v>
      </c>
      <c r="GF77">
        <v>30.0003</v>
      </c>
      <c r="GG77">
        <v>37.4536</v>
      </c>
      <c r="GH77">
        <v>37.4428</v>
      </c>
      <c r="GI77">
        <v>-1</v>
      </c>
      <c r="GJ77">
        <v>100</v>
      </c>
      <c r="GK77">
        <v>0</v>
      </c>
      <c r="GL77">
        <v>27.7747</v>
      </c>
      <c r="GM77">
        <v>1200</v>
      </c>
      <c r="GN77">
        <v>19.4378</v>
      </c>
      <c r="GO77">
        <v>101.206</v>
      </c>
      <c r="GP77">
        <v>96.23139999999999</v>
      </c>
    </row>
    <row r="78" spans="1:198">
      <c r="A78">
        <v>62</v>
      </c>
      <c r="B78">
        <v>1773199760.5</v>
      </c>
      <c r="C78">
        <v>3660.5</v>
      </c>
      <c r="D78" t="s">
        <v>457</v>
      </c>
      <c r="E78" t="s">
        <v>458</v>
      </c>
      <c r="F78">
        <v>15</v>
      </c>
      <c r="G78">
        <v>1773199752.5</v>
      </c>
      <c r="H78">
        <f>(I78)/1000</f>
        <v>0</v>
      </c>
      <c r="I78">
        <f>1000*AY78*AG78*(AU78-AV78)/(100*AN78*(1000-AG78*AU78))</f>
        <v>0</v>
      </c>
      <c r="J78">
        <f>AY78*AG78*(AT78-AS78*(1000-AG78*AV78)/(1000-AG78*AU78))/(100*AN78)</f>
        <v>0</v>
      </c>
      <c r="K78">
        <f>AS78 - IF(AG78&gt;1, J78*AN78*100.0/(AI78), 0)</f>
        <v>0</v>
      </c>
      <c r="L78">
        <f>((R78-H78/2)*K78-J78)/(R78+H78/2)</f>
        <v>0</v>
      </c>
      <c r="M78">
        <f>L78*(AZ78+BA78)/1000.0</f>
        <v>0</v>
      </c>
      <c r="N78">
        <f>(AS78 - IF(AG78&gt;1, J78*AN78*100.0/(AI78), 0))*(AZ78+BA78)/1000.0</f>
        <v>0</v>
      </c>
      <c r="O78">
        <f>2.0/((1/Q78-1/P78)+SIGN(Q78)*SQRT((1/Q78-1/P78)*(1/Q78-1/P78) + 4*AO78/((AO78+1)*(AO78+1))*(2*1/Q78*1/P78-1/P78*1/P78)))</f>
        <v>0</v>
      </c>
      <c r="P78">
        <f>IF(LEFT(AP78,1)&lt;&gt;"0",IF(LEFT(AP78,1)="1",3.0,AQ78),$D$5+$E$5*(BG78*AZ78/($K$5*1000))+$F$5*(BG78*AZ78/($K$5*1000))*MAX(MIN(AN78,$J$5),$I$5)*MAX(MIN(AN78,$J$5),$I$5)+$G$5*MAX(MIN(AN78,$J$5),$I$5)*(BG78*AZ78/($K$5*1000))+$H$5*(BG78*AZ78/($K$5*1000))*(BG78*AZ78/($K$5*1000)))</f>
        <v>0</v>
      </c>
      <c r="Q78">
        <f>H78*(1000-(1000*0.61365*exp(17.502*U78/(240.97+U78))/(AZ78+BA78)+AU78)/2)/(1000*0.61365*exp(17.502*U78/(240.97+U78))/(AZ78+BA78)-AU78)</f>
        <v>0</v>
      </c>
      <c r="R78">
        <f>1/((AO78+1)/(O78/1.6)+1/(P78/1.37)) + AO78/((AO78+1)/(O78/1.6) + AO78/(P78/1.37))</f>
        <v>0</v>
      </c>
      <c r="S78">
        <f>(AJ78*AM78)</f>
        <v>0</v>
      </c>
      <c r="T78">
        <f>(BB78+(S78+2*0.95*5.67E-8*(((BB78+$B$7)+273)^4-(BB78+273)^4)-44100*H78)/(1.84*29.3*P78+8*0.95*5.67E-8*(BB78+273)^3))</f>
        <v>0</v>
      </c>
      <c r="U78">
        <f>($C$7*BC78+$D$7*BD78+$E$7*T78)</f>
        <v>0</v>
      </c>
      <c r="V78">
        <f>0.61365*exp(17.502*U78/(240.97+U78))</f>
        <v>0</v>
      </c>
      <c r="W78">
        <f>(X78/Y78*100)</f>
        <v>0</v>
      </c>
      <c r="X78">
        <f>AU78*(AZ78+BA78)/1000</f>
        <v>0</v>
      </c>
      <c r="Y78">
        <f>0.61365*exp(17.502*BB78/(240.97+BB78))</f>
        <v>0</v>
      </c>
      <c r="Z78">
        <f>(V78-AU78*(AZ78+BA78)/1000)</f>
        <v>0</v>
      </c>
      <c r="AA78">
        <f>(-H78*44100)</f>
        <v>0</v>
      </c>
      <c r="AB78">
        <f>2*29.3*P78*0.92*(BB78-U78)</f>
        <v>0</v>
      </c>
      <c r="AC78">
        <f>2*0.95*5.67E-8*(((BB78+$B$7)+273)^4-(U78+273)^4)</f>
        <v>0</v>
      </c>
      <c r="AD78">
        <f>S78+AC78+AA78+AB78</f>
        <v>0</v>
      </c>
      <c r="AE78">
        <v>0</v>
      </c>
      <c r="AF78">
        <v>0</v>
      </c>
      <c r="AG78">
        <f>IF(AE78*$H$13&gt;=AI78,1.0,(AI78/(AI78-AE78*$H$13)))</f>
        <v>0</v>
      </c>
      <c r="AH78">
        <f>(AG78-1)*100</f>
        <v>0</v>
      </c>
      <c r="AI78">
        <f>MAX(0,($B$13+$C$13*BG78)/(1+$D$13*BG78)*AZ78/(BB78+273)*$E$13)</f>
        <v>0</v>
      </c>
      <c r="AJ78">
        <f>$B$11*BH78+$C$11*BI78+$D$11*BT78</f>
        <v>0</v>
      </c>
      <c r="AK78">
        <f>AJ78*AL78</f>
        <v>0</v>
      </c>
      <c r="AL78">
        <f>($B$11*$D$9+$C$11*$D$9+$D$11*(BU78*$E$9+BV78*$G$9))/($B$11+$C$11+$D$11)</f>
        <v>0</v>
      </c>
      <c r="AM78">
        <f>($B$11*$K$9+$C$11*$K$9+$D$11*(BU78*$L$9+BV78*$N$9))/($B$11+$C$11+$D$11)</f>
        <v>0</v>
      </c>
      <c r="AN78">
        <v>3</v>
      </c>
      <c r="AO78">
        <v>0.5</v>
      </c>
      <c r="AP78" t="s">
        <v>331</v>
      </c>
      <c r="AQ78">
        <v>2</v>
      </c>
      <c r="AR78">
        <v>1773199752.5</v>
      </c>
      <c r="AS78">
        <v>428.1080967741936</v>
      </c>
      <c r="AT78">
        <v>425.8084838709677</v>
      </c>
      <c r="AU78">
        <v>10.90172580645161</v>
      </c>
      <c r="AV78">
        <v>10.15106774193548</v>
      </c>
      <c r="AW78">
        <v>421.8767741935483</v>
      </c>
      <c r="AX78">
        <v>10.82113225806452</v>
      </c>
      <c r="AY78">
        <v>500.0104838709677</v>
      </c>
      <c r="AZ78">
        <v>100.2204516129032</v>
      </c>
      <c r="BA78">
        <v>0.04610550967741936</v>
      </c>
      <c r="BB78">
        <v>30.79003225806452</v>
      </c>
      <c r="BC78">
        <v>30.91624516129033</v>
      </c>
      <c r="BD78">
        <v>999.9000000000003</v>
      </c>
      <c r="BE78">
        <v>0</v>
      </c>
      <c r="BF78">
        <v>0</v>
      </c>
      <c r="BG78">
        <v>4999.112903225807</v>
      </c>
      <c r="BH78">
        <v>1.503282903225807</v>
      </c>
      <c r="BI78">
        <v>2169.378709677419</v>
      </c>
      <c r="BJ78">
        <v>2.299560322580645</v>
      </c>
      <c r="BK78">
        <v>432.8266774193548</v>
      </c>
      <c r="BL78">
        <v>430.1752903225807</v>
      </c>
      <c r="BM78">
        <v>0.7506603548387097</v>
      </c>
      <c r="BN78">
        <v>425.8084838709677</v>
      </c>
      <c r="BO78">
        <v>10.15106774193548</v>
      </c>
      <c r="BP78">
        <v>1.092575161290323</v>
      </c>
      <c r="BQ78">
        <v>1.017342903225807</v>
      </c>
      <c r="BR78">
        <v>8.213110322580643</v>
      </c>
      <c r="BS78">
        <v>7.167167096774194</v>
      </c>
      <c r="BT78">
        <v>0</v>
      </c>
      <c r="BU78">
        <v>0</v>
      </c>
      <c r="BV78">
        <v>0</v>
      </c>
      <c r="BW78">
        <v>36</v>
      </c>
      <c r="BX78">
        <v>55.93870967741936</v>
      </c>
      <c r="BY78">
        <v>1773196010</v>
      </c>
      <c r="BZ78" t="s">
        <v>332</v>
      </c>
      <c r="CA78">
        <v>1773196010</v>
      </c>
      <c r="CB78">
        <v>1773196005.5</v>
      </c>
      <c r="CC78">
        <v>2</v>
      </c>
      <c r="CD78">
        <v>-0.279</v>
      </c>
      <c r="CE78">
        <v>-0.021</v>
      </c>
      <c r="CF78">
        <v>6.231</v>
      </c>
      <c r="CG78">
        <v>0.081</v>
      </c>
      <c r="CH78">
        <v>432</v>
      </c>
      <c r="CI78">
        <v>21</v>
      </c>
      <c r="CJ78">
        <v>0.03</v>
      </c>
      <c r="CK78">
        <v>0.06</v>
      </c>
      <c r="CL78">
        <v>425.8032333333332</v>
      </c>
      <c r="CM78">
        <v>-1.263563959954939</v>
      </c>
      <c r="CN78">
        <v>0.09298841624393907</v>
      </c>
      <c r="CO78">
        <v>-1</v>
      </c>
      <c r="CP78">
        <v>500.0106666666667</v>
      </c>
      <c r="CQ78">
        <v>-0.1975528364842633</v>
      </c>
      <c r="CR78">
        <v>0.0459044902185208</v>
      </c>
      <c r="CS78">
        <v>-1</v>
      </c>
      <c r="CT78">
        <v>0</v>
      </c>
      <c r="CU78">
        <v>0</v>
      </c>
      <c r="CV78" t="s">
        <v>333</v>
      </c>
      <c r="CW78">
        <v>3.17061</v>
      </c>
      <c r="CX78">
        <v>2.66732</v>
      </c>
      <c r="CY78">
        <v>0.10019</v>
      </c>
      <c r="CZ78">
        <v>0.100951</v>
      </c>
      <c r="DA78">
        <v>0.0622813</v>
      </c>
      <c r="DB78">
        <v>0.0590177</v>
      </c>
      <c r="DC78">
        <v>21331.4</v>
      </c>
      <c r="DD78">
        <v>21877.1</v>
      </c>
      <c r="DE78">
        <v>22855.6</v>
      </c>
      <c r="DF78">
        <v>22278.2</v>
      </c>
      <c r="DG78">
        <v>32408.7</v>
      </c>
      <c r="DH78">
        <v>29533.2</v>
      </c>
      <c r="DI78">
        <v>40224.3</v>
      </c>
      <c r="DJ78">
        <v>36851.4</v>
      </c>
      <c r="DK78">
        <v>2.029</v>
      </c>
      <c r="DL78">
        <v>1.52104</v>
      </c>
      <c r="DM78">
        <v>-0.0775039</v>
      </c>
      <c r="DN78">
        <v>0</v>
      </c>
      <c r="DO78">
        <v>32.1673</v>
      </c>
      <c r="DP78">
        <v>999.9</v>
      </c>
      <c r="DQ78">
        <v>29.2</v>
      </c>
      <c r="DR78">
        <v>42.4</v>
      </c>
      <c r="DS78">
        <v>24.528</v>
      </c>
      <c r="DT78">
        <v>29.7454</v>
      </c>
      <c r="DU78">
        <v>13.6338</v>
      </c>
      <c r="DV78">
        <v>1</v>
      </c>
      <c r="DW78">
        <v>0.858819</v>
      </c>
      <c r="DX78">
        <v>3.56774</v>
      </c>
      <c r="DY78">
        <v>20.3165</v>
      </c>
      <c r="DZ78">
        <v>5.21058</v>
      </c>
      <c r="EA78">
        <v>11.8543</v>
      </c>
      <c r="EB78">
        <v>4.96752</v>
      </c>
      <c r="EC78">
        <v>3.29296</v>
      </c>
      <c r="ED78">
        <v>879.4</v>
      </c>
      <c r="EE78">
        <v>9999</v>
      </c>
      <c r="EF78">
        <v>9999</v>
      </c>
      <c r="EG78">
        <v>77</v>
      </c>
      <c r="EH78">
        <v>4.97163</v>
      </c>
      <c r="EI78">
        <v>1.8721</v>
      </c>
      <c r="EJ78">
        <v>1.8695</v>
      </c>
      <c r="EK78">
        <v>1.8718</v>
      </c>
      <c r="EL78">
        <v>1.86956</v>
      </c>
      <c r="EM78">
        <v>1.86843</v>
      </c>
      <c r="EN78">
        <v>1.8702</v>
      </c>
      <c r="EO78">
        <v>1.87195</v>
      </c>
      <c r="EP78">
        <v>0</v>
      </c>
      <c r="EQ78">
        <v>0</v>
      </c>
      <c r="ER78">
        <v>0</v>
      </c>
      <c r="ES78">
        <v>0</v>
      </c>
      <c r="ET78" t="s">
        <v>334</v>
      </c>
      <c r="EU78" t="s">
        <v>335</v>
      </c>
      <c r="EV78" t="s">
        <v>336</v>
      </c>
      <c r="EW78" t="s">
        <v>336</v>
      </c>
      <c r="EX78" t="s">
        <v>336</v>
      </c>
      <c r="EY78" t="s">
        <v>336</v>
      </c>
      <c r="EZ78">
        <v>0</v>
      </c>
      <c r="FA78">
        <v>100</v>
      </c>
      <c r="FB78">
        <v>100</v>
      </c>
      <c r="FC78">
        <v>6.232</v>
      </c>
      <c r="FD78">
        <v>0.0806</v>
      </c>
      <c r="FE78">
        <v>6.23135000000002</v>
      </c>
      <c r="FF78">
        <v>0</v>
      </c>
      <c r="FG78">
        <v>0</v>
      </c>
      <c r="FH78">
        <v>0</v>
      </c>
      <c r="FI78">
        <v>0.08059047619047632</v>
      </c>
      <c r="FJ78">
        <v>0</v>
      </c>
      <c r="FK78">
        <v>0</v>
      </c>
      <c r="FL78">
        <v>0</v>
      </c>
      <c r="FM78">
        <v>-1</v>
      </c>
      <c r="FN78">
        <v>-1</v>
      </c>
      <c r="FO78">
        <v>-1</v>
      </c>
      <c r="FP78">
        <v>-1</v>
      </c>
      <c r="FQ78">
        <v>62.5</v>
      </c>
      <c r="FR78">
        <v>62.6</v>
      </c>
      <c r="FS78">
        <v>0.142822</v>
      </c>
      <c r="FT78">
        <v>4.99756</v>
      </c>
      <c r="FU78">
        <v>1.5979</v>
      </c>
      <c r="FV78">
        <v>2.1167</v>
      </c>
      <c r="FW78">
        <v>1.54785</v>
      </c>
      <c r="FX78">
        <v>2.48657</v>
      </c>
      <c r="FY78">
        <v>46.1237</v>
      </c>
      <c r="FZ78">
        <v>15.9445</v>
      </c>
      <c r="GA78">
        <v>3</v>
      </c>
      <c r="GB78">
        <v>519.634</v>
      </c>
      <c r="GC78">
        <v>299.276</v>
      </c>
      <c r="GD78">
        <v>27.7622</v>
      </c>
      <c r="GE78">
        <v>37.5782</v>
      </c>
      <c r="GF78">
        <v>30.0001</v>
      </c>
      <c r="GG78">
        <v>37.4677</v>
      </c>
      <c r="GH78">
        <v>37.4569</v>
      </c>
      <c r="GI78">
        <v>-1</v>
      </c>
      <c r="GJ78">
        <v>100</v>
      </c>
      <c r="GK78">
        <v>0</v>
      </c>
      <c r="GL78">
        <v>27.7641</v>
      </c>
      <c r="GM78">
        <v>1200</v>
      </c>
      <c r="GN78">
        <v>19.4378</v>
      </c>
      <c r="GO78">
        <v>101.199</v>
      </c>
      <c r="GP78">
        <v>96.227</v>
      </c>
    </row>
    <row r="79" spans="1:198">
      <c r="A79">
        <v>63</v>
      </c>
      <c r="B79">
        <v>1773199820.5</v>
      </c>
      <c r="C79">
        <v>3720.5</v>
      </c>
      <c r="D79" t="s">
        <v>459</v>
      </c>
      <c r="E79" t="s">
        <v>460</v>
      </c>
      <c r="F79">
        <v>15</v>
      </c>
      <c r="G79">
        <v>1773199812.5</v>
      </c>
      <c r="H79">
        <f>(I79)/1000</f>
        <v>0</v>
      </c>
      <c r="I79">
        <f>1000*AY79*AG79*(AU79-AV79)/(100*AN79*(1000-AG79*AU79))</f>
        <v>0</v>
      </c>
      <c r="J79">
        <f>AY79*AG79*(AT79-AS79*(1000-AG79*AV79)/(1000-AG79*AU79))/(100*AN79)</f>
        <v>0</v>
      </c>
      <c r="K79">
        <f>AS79 - IF(AG79&gt;1, J79*AN79*100.0/(AI79), 0)</f>
        <v>0</v>
      </c>
      <c r="L79">
        <f>((R79-H79/2)*K79-J79)/(R79+H79/2)</f>
        <v>0</v>
      </c>
      <c r="M79">
        <f>L79*(AZ79+BA79)/1000.0</f>
        <v>0</v>
      </c>
      <c r="N79">
        <f>(AS79 - IF(AG79&gt;1, J79*AN79*100.0/(AI79), 0))*(AZ79+BA79)/1000.0</f>
        <v>0</v>
      </c>
      <c r="O79">
        <f>2.0/((1/Q79-1/P79)+SIGN(Q79)*SQRT((1/Q79-1/P79)*(1/Q79-1/P79) + 4*AO79/((AO79+1)*(AO79+1))*(2*1/Q79*1/P79-1/P79*1/P79)))</f>
        <v>0</v>
      </c>
      <c r="P79">
        <f>IF(LEFT(AP79,1)&lt;&gt;"0",IF(LEFT(AP79,1)="1",3.0,AQ79),$D$5+$E$5*(BG79*AZ79/($K$5*1000))+$F$5*(BG79*AZ79/($K$5*1000))*MAX(MIN(AN79,$J$5),$I$5)*MAX(MIN(AN79,$J$5),$I$5)+$G$5*MAX(MIN(AN79,$J$5),$I$5)*(BG79*AZ79/($K$5*1000))+$H$5*(BG79*AZ79/($K$5*1000))*(BG79*AZ79/($K$5*1000)))</f>
        <v>0</v>
      </c>
      <c r="Q79">
        <f>H79*(1000-(1000*0.61365*exp(17.502*U79/(240.97+U79))/(AZ79+BA79)+AU79)/2)/(1000*0.61365*exp(17.502*U79/(240.97+U79))/(AZ79+BA79)-AU79)</f>
        <v>0</v>
      </c>
      <c r="R79">
        <f>1/((AO79+1)/(O79/1.6)+1/(P79/1.37)) + AO79/((AO79+1)/(O79/1.6) + AO79/(P79/1.37))</f>
        <v>0</v>
      </c>
      <c r="S79">
        <f>(AJ79*AM79)</f>
        <v>0</v>
      </c>
      <c r="T79">
        <f>(BB79+(S79+2*0.95*5.67E-8*(((BB79+$B$7)+273)^4-(BB79+273)^4)-44100*H79)/(1.84*29.3*P79+8*0.95*5.67E-8*(BB79+273)^3))</f>
        <v>0</v>
      </c>
      <c r="U79">
        <f>($C$7*BC79+$D$7*BD79+$E$7*T79)</f>
        <v>0</v>
      </c>
      <c r="V79">
        <f>0.61365*exp(17.502*U79/(240.97+U79))</f>
        <v>0</v>
      </c>
      <c r="W79">
        <f>(X79/Y79*100)</f>
        <v>0</v>
      </c>
      <c r="X79">
        <f>AU79*(AZ79+BA79)/1000</f>
        <v>0</v>
      </c>
      <c r="Y79">
        <f>0.61365*exp(17.502*BB79/(240.97+BB79))</f>
        <v>0</v>
      </c>
      <c r="Z79">
        <f>(V79-AU79*(AZ79+BA79)/1000)</f>
        <v>0</v>
      </c>
      <c r="AA79">
        <f>(-H79*44100)</f>
        <v>0</v>
      </c>
      <c r="AB79">
        <f>2*29.3*P79*0.92*(BB79-U79)</f>
        <v>0</v>
      </c>
      <c r="AC79">
        <f>2*0.95*5.67E-8*(((BB79+$B$7)+273)^4-(U79+273)^4)</f>
        <v>0</v>
      </c>
      <c r="AD79">
        <f>S79+AC79+AA79+AB79</f>
        <v>0</v>
      </c>
      <c r="AE79">
        <v>0</v>
      </c>
      <c r="AF79">
        <v>0</v>
      </c>
      <c r="AG79">
        <f>IF(AE79*$H$13&gt;=AI79,1.0,(AI79/(AI79-AE79*$H$13)))</f>
        <v>0</v>
      </c>
      <c r="AH79">
        <f>(AG79-1)*100</f>
        <v>0</v>
      </c>
      <c r="AI79">
        <f>MAX(0,($B$13+$C$13*BG79)/(1+$D$13*BG79)*AZ79/(BB79+273)*$E$13)</f>
        <v>0</v>
      </c>
      <c r="AJ79">
        <f>$B$11*BH79+$C$11*BI79+$D$11*BT79</f>
        <v>0</v>
      </c>
      <c r="AK79">
        <f>AJ79*AL79</f>
        <v>0</v>
      </c>
      <c r="AL79">
        <f>($B$11*$D$9+$C$11*$D$9+$D$11*(BU79*$E$9+BV79*$G$9))/($B$11+$C$11+$D$11)</f>
        <v>0</v>
      </c>
      <c r="AM79">
        <f>($B$11*$K$9+$C$11*$K$9+$D$11*(BU79*$L$9+BV79*$N$9))/($B$11+$C$11+$D$11)</f>
        <v>0</v>
      </c>
      <c r="AN79">
        <v>3</v>
      </c>
      <c r="AO79">
        <v>0.5</v>
      </c>
      <c r="AP79" t="s">
        <v>331</v>
      </c>
      <c r="AQ79">
        <v>2</v>
      </c>
      <c r="AR79">
        <v>1773199812.5</v>
      </c>
      <c r="AS79">
        <v>427.8514516129032</v>
      </c>
      <c r="AT79">
        <v>425.5841612903226</v>
      </c>
      <c r="AU79">
        <v>10.98989677419355</v>
      </c>
      <c r="AV79">
        <v>10.26627741935483</v>
      </c>
      <c r="AW79">
        <v>421.6202580645161</v>
      </c>
      <c r="AX79">
        <v>10.90930967741935</v>
      </c>
      <c r="AY79">
        <v>500.0002580645162</v>
      </c>
      <c r="AZ79">
        <v>100.2181935483871</v>
      </c>
      <c r="BA79">
        <v>0.04605761935483871</v>
      </c>
      <c r="BB79">
        <v>30.82673548387097</v>
      </c>
      <c r="BC79">
        <v>30.9799870967742</v>
      </c>
      <c r="BD79">
        <v>999.9000000000003</v>
      </c>
      <c r="BE79">
        <v>0</v>
      </c>
      <c r="BF79">
        <v>0</v>
      </c>
      <c r="BG79">
        <v>5001.612903225807</v>
      </c>
      <c r="BH79">
        <v>1.51333064516129</v>
      </c>
      <c r="BI79">
        <v>2168.649032258064</v>
      </c>
      <c r="BJ79">
        <v>2.267230967741935</v>
      </c>
      <c r="BK79">
        <v>432.6056774193549</v>
      </c>
      <c r="BL79">
        <v>429.9987096774193</v>
      </c>
      <c r="BM79">
        <v>0.7236290967741935</v>
      </c>
      <c r="BN79">
        <v>425.5841612903226</v>
      </c>
      <c r="BO79">
        <v>10.26627741935483</v>
      </c>
      <c r="BP79">
        <v>1.101388064516129</v>
      </c>
      <c r="BQ79">
        <v>1.028866451612903</v>
      </c>
      <c r="BR79">
        <v>8.331431612903225</v>
      </c>
      <c r="BS79">
        <v>7.331699677419355</v>
      </c>
      <c r="BT79">
        <v>0</v>
      </c>
      <c r="BU79">
        <v>0</v>
      </c>
      <c r="BV79">
        <v>0</v>
      </c>
      <c r="BW79">
        <v>36</v>
      </c>
      <c r="BX79">
        <v>55.73011290322582</v>
      </c>
      <c r="BY79">
        <v>1773196010</v>
      </c>
      <c r="BZ79" t="s">
        <v>332</v>
      </c>
      <c r="CA79">
        <v>1773196010</v>
      </c>
      <c r="CB79">
        <v>1773196005.5</v>
      </c>
      <c r="CC79">
        <v>2</v>
      </c>
      <c r="CD79">
        <v>-0.279</v>
      </c>
      <c r="CE79">
        <v>-0.021</v>
      </c>
      <c r="CF79">
        <v>6.231</v>
      </c>
      <c r="CG79">
        <v>0.081</v>
      </c>
      <c r="CH79">
        <v>432</v>
      </c>
      <c r="CI79">
        <v>21</v>
      </c>
      <c r="CJ79">
        <v>0.03</v>
      </c>
      <c r="CK79">
        <v>0.06</v>
      </c>
      <c r="CL79">
        <v>425.5943870967743</v>
      </c>
      <c r="CM79">
        <v>-1.210983870969465</v>
      </c>
      <c r="CN79">
        <v>0.09681897888439507</v>
      </c>
      <c r="CO79">
        <v>-1</v>
      </c>
      <c r="CP79">
        <v>499.9966129032258</v>
      </c>
      <c r="CQ79">
        <v>0.5183709677385215</v>
      </c>
      <c r="CR79">
        <v>0.06823804511597079</v>
      </c>
      <c r="CS79">
        <v>-1</v>
      </c>
      <c r="CT79">
        <v>0</v>
      </c>
      <c r="CU79">
        <v>0</v>
      </c>
      <c r="CV79" t="s">
        <v>333</v>
      </c>
      <c r="CW79">
        <v>3.17069</v>
      </c>
      <c r="CX79">
        <v>2.66686</v>
      </c>
      <c r="CY79">
        <v>0.100145</v>
      </c>
      <c r="CZ79">
        <v>0.100908</v>
      </c>
      <c r="DA79">
        <v>0.06270149999999999</v>
      </c>
      <c r="DB79">
        <v>0.0595718</v>
      </c>
      <c r="DC79">
        <v>21330.4</v>
      </c>
      <c r="DD79">
        <v>21876.2</v>
      </c>
      <c r="DE79">
        <v>22853.5</v>
      </c>
      <c r="DF79">
        <v>22276.3</v>
      </c>
      <c r="DG79">
        <v>32391.5</v>
      </c>
      <c r="DH79">
        <v>29513.2</v>
      </c>
      <c r="DI79">
        <v>40221</v>
      </c>
      <c r="DJ79">
        <v>36848.2</v>
      </c>
      <c r="DK79">
        <v>2.0288</v>
      </c>
      <c r="DL79">
        <v>1.51922</v>
      </c>
      <c r="DM79">
        <v>-0.0779271</v>
      </c>
      <c r="DN79">
        <v>0</v>
      </c>
      <c r="DO79">
        <v>32.2497</v>
      </c>
      <c r="DP79">
        <v>999.9</v>
      </c>
      <c r="DQ79">
        <v>28.8</v>
      </c>
      <c r="DR79">
        <v>42.5</v>
      </c>
      <c r="DS79">
        <v>24.3212</v>
      </c>
      <c r="DT79">
        <v>29.6554</v>
      </c>
      <c r="DU79">
        <v>13.6659</v>
      </c>
      <c r="DV79">
        <v>1</v>
      </c>
      <c r="DW79">
        <v>0.864337</v>
      </c>
      <c r="DX79">
        <v>3.88433</v>
      </c>
      <c r="DY79">
        <v>20.3075</v>
      </c>
      <c r="DZ79">
        <v>5.2101</v>
      </c>
      <c r="EA79">
        <v>11.8542</v>
      </c>
      <c r="EB79">
        <v>4.9676</v>
      </c>
      <c r="EC79">
        <v>3.29298</v>
      </c>
      <c r="ED79">
        <v>879.4</v>
      </c>
      <c r="EE79">
        <v>9999</v>
      </c>
      <c r="EF79">
        <v>9999</v>
      </c>
      <c r="EG79">
        <v>77.09999999999999</v>
      </c>
      <c r="EH79">
        <v>4.9716</v>
      </c>
      <c r="EI79">
        <v>1.8721</v>
      </c>
      <c r="EJ79">
        <v>1.86951</v>
      </c>
      <c r="EK79">
        <v>1.8718</v>
      </c>
      <c r="EL79">
        <v>1.86957</v>
      </c>
      <c r="EM79">
        <v>1.86843</v>
      </c>
      <c r="EN79">
        <v>1.87017</v>
      </c>
      <c r="EO79">
        <v>1.87195</v>
      </c>
      <c r="EP79">
        <v>0</v>
      </c>
      <c r="EQ79">
        <v>0</v>
      </c>
      <c r="ER79">
        <v>0</v>
      </c>
      <c r="ES79">
        <v>0</v>
      </c>
      <c r="ET79" t="s">
        <v>334</v>
      </c>
      <c r="EU79" t="s">
        <v>335</v>
      </c>
      <c r="EV79" t="s">
        <v>336</v>
      </c>
      <c r="EW79" t="s">
        <v>336</v>
      </c>
      <c r="EX79" t="s">
        <v>336</v>
      </c>
      <c r="EY79" t="s">
        <v>336</v>
      </c>
      <c r="EZ79">
        <v>0</v>
      </c>
      <c r="FA79">
        <v>100</v>
      </c>
      <c r="FB79">
        <v>100</v>
      </c>
      <c r="FC79">
        <v>6.231</v>
      </c>
      <c r="FD79">
        <v>0.0806</v>
      </c>
      <c r="FE79">
        <v>6.23135000000002</v>
      </c>
      <c r="FF79">
        <v>0</v>
      </c>
      <c r="FG79">
        <v>0</v>
      </c>
      <c r="FH79">
        <v>0</v>
      </c>
      <c r="FI79">
        <v>0.08059047619047632</v>
      </c>
      <c r="FJ79">
        <v>0</v>
      </c>
      <c r="FK79">
        <v>0</v>
      </c>
      <c r="FL79">
        <v>0</v>
      </c>
      <c r="FM79">
        <v>-1</v>
      </c>
      <c r="FN79">
        <v>-1</v>
      </c>
      <c r="FO79">
        <v>-1</v>
      </c>
      <c r="FP79">
        <v>-1</v>
      </c>
      <c r="FQ79">
        <v>63.5</v>
      </c>
      <c r="FR79">
        <v>63.6</v>
      </c>
      <c r="FS79">
        <v>0.142822</v>
      </c>
      <c r="FT79">
        <v>4.99756</v>
      </c>
      <c r="FU79">
        <v>1.5979</v>
      </c>
      <c r="FV79">
        <v>2.11548</v>
      </c>
      <c r="FW79">
        <v>1.54785</v>
      </c>
      <c r="FX79">
        <v>2.41089</v>
      </c>
      <c r="FY79">
        <v>46.2108</v>
      </c>
      <c r="FZ79">
        <v>15.927</v>
      </c>
      <c r="GA79">
        <v>3</v>
      </c>
      <c r="GB79">
        <v>519.686</v>
      </c>
      <c r="GC79">
        <v>298.521</v>
      </c>
      <c r="GD79">
        <v>27.6979</v>
      </c>
      <c r="GE79">
        <v>37.6067</v>
      </c>
      <c r="GF79">
        <v>30.0007</v>
      </c>
      <c r="GG79">
        <v>37.4926</v>
      </c>
      <c r="GH79">
        <v>37.4851</v>
      </c>
      <c r="GI79">
        <v>-1</v>
      </c>
      <c r="GJ79">
        <v>100</v>
      </c>
      <c r="GK79">
        <v>0</v>
      </c>
      <c r="GL79">
        <v>27.6803</v>
      </c>
      <c r="GM79">
        <v>1200</v>
      </c>
      <c r="GN79">
        <v>19.4378</v>
      </c>
      <c r="GO79">
        <v>101.191</v>
      </c>
      <c r="GP79">
        <v>96.2188</v>
      </c>
    </row>
    <row r="80" spans="1:198">
      <c r="A80">
        <v>64</v>
      </c>
      <c r="B80">
        <v>1773199880.5</v>
      </c>
      <c r="C80">
        <v>3780.5</v>
      </c>
      <c r="D80" t="s">
        <v>461</v>
      </c>
      <c r="E80" t="s">
        <v>462</v>
      </c>
      <c r="F80">
        <v>15</v>
      </c>
      <c r="G80">
        <v>1773199872.5</v>
      </c>
      <c r="H80">
        <f>(I80)/1000</f>
        <v>0</v>
      </c>
      <c r="I80">
        <f>1000*AY80*AG80*(AU80-AV80)/(100*AN80*(1000-AG80*AU80))</f>
        <v>0</v>
      </c>
      <c r="J80">
        <f>AY80*AG80*(AT80-AS80*(1000-AG80*AV80)/(1000-AG80*AU80))/(100*AN80)</f>
        <v>0</v>
      </c>
      <c r="K80">
        <f>AS80 - IF(AG80&gt;1, J80*AN80*100.0/(AI80), 0)</f>
        <v>0</v>
      </c>
      <c r="L80">
        <f>((R80-H80/2)*K80-J80)/(R80+H80/2)</f>
        <v>0</v>
      </c>
      <c r="M80">
        <f>L80*(AZ80+BA80)/1000.0</f>
        <v>0</v>
      </c>
      <c r="N80">
        <f>(AS80 - IF(AG80&gt;1, J80*AN80*100.0/(AI80), 0))*(AZ80+BA80)/1000.0</f>
        <v>0</v>
      </c>
      <c r="O80">
        <f>2.0/((1/Q80-1/P80)+SIGN(Q80)*SQRT((1/Q80-1/P80)*(1/Q80-1/P80) + 4*AO80/((AO80+1)*(AO80+1))*(2*1/Q80*1/P80-1/P80*1/P80)))</f>
        <v>0</v>
      </c>
      <c r="P80">
        <f>IF(LEFT(AP80,1)&lt;&gt;"0",IF(LEFT(AP80,1)="1",3.0,AQ80),$D$5+$E$5*(BG80*AZ80/($K$5*1000))+$F$5*(BG80*AZ80/($K$5*1000))*MAX(MIN(AN80,$J$5),$I$5)*MAX(MIN(AN80,$J$5),$I$5)+$G$5*MAX(MIN(AN80,$J$5),$I$5)*(BG80*AZ80/($K$5*1000))+$H$5*(BG80*AZ80/($K$5*1000))*(BG80*AZ80/($K$5*1000)))</f>
        <v>0</v>
      </c>
      <c r="Q80">
        <f>H80*(1000-(1000*0.61365*exp(17.502*U80/(240.97+U80))/(AZ80+BA80)+AU80)/2)/(1000*0.61365*exp(17.502*U80/(240.97+U80))/(AZ80+BA80)-AU80)</f>
        <v>0</v>
      </c>
      <c r="R80">
        <f>1/((AO80+1)/(O80/1.6)+1/(P80/1.37)) + AO80/((AO80+1)/(O80/1.6) + AO80/(P80/1.37))</f>
        <v>0</v>
      </c>
      <c r="S80">
        <f>(AJ80*AM80)</f>
        <v>0</v>
      </c>
      <c r="T80">
        <f>(BB80+(S80+2*0.95*5.67E-8*(((BB80+$B$7)+273)^4-(BB80+273)^4)-44100*H80)/(1.84*29.3*P80+8*0.95*5.67E-8*(BB80+273)^3))</f>
        <v>0</v>
      </c>
      <c r="U80">
        <f>($C$7*BC80+$D$7*BD80+$E$7*T80)</f>
        <v>0</v>
      </c>
      <c r="V80">
        <f>0.61365*exp(17.502*U80/(240.97+U80))</f>
        <v>0</v>
      </c>
      <c r="W80">
        <f>(X80/Y80*100)</f>
        <v>0</v>
      </c>
      <c r="X80">
        <f>AU80*(AZ80+BA80)/1000</f>
        <v>0</v>
      </c>
      <c r="Y80">
        <f>0.61365*exp(17.502*BB80/(240.97+BB80))</f>
        <v>0</v>
      </c>
      <c r="Z80">
        <f>(V80-AU80*(AZ80+BA80)/1000)</f>
        <v>0</v>
      </c>
      <c r="AA80">
        <f>(-H80*44100)</f>
        <v>0</v>
      </c>
      <c r="AB80">
        <f>2*29.3*P80*0.92*(BB80-U80)</f>
        <v>0</v>
      </c>
      <c r="AC80">
        <f>2*0.95*5.67E-8*(((BB80+$B$7)+273)^4-(U80+273)^4)</f>
        <v>0</v>
      </c>
      <c r="AD80">
        <f>S80+AC80+AA80+AB80</f>
        <v>0</v>
      </c>
      <c r="AE80">
        <v>0</v>
      </c>
      <c r="AF80">
        <v>0</v>
      </c>
      <c r="AG80">
        <f>IF(AE80*$H$13&gt;=AI80,1.0,(AI80/(AI80-AE80*$H$13)))</f>
        <v>0</v>
      </c>
      <c r="AH80">
        <f>(AG80-1)*100</f>
        <v>0</v>
      </c>
      <c r="AI80">
        <f>MAX(0,($B$13+$C$13*BG80)/(1+$D$13*BG80)*AZ80/(BB80+273)*$E$13)</f>
        <v>0</v>
      </c>
      <c r="AJ80">
        <f>$B$11*BH80+$C$11*BI80+$D$11*BT80</f>
        <v>0</v>
      </c>
      <c r="AK80">
        <f>AJ80*AL80</f>
        <v>0</v>
      </c>
      <c r="AL80">
        <f>($B$11*$D$9+$C$11*$D$9+$D$11*(BU80*$E$9+BV80*$G$9))/($B$11+$C$11+$D$11)</f>
        <v>0</v>
      </c>
      <c r="AM80">
        <f>($B$11*$K$9+$C$11*$K$9+$D$11*(BU80*$L$9+BV80*$N$9))/($B$11+$C$11+$D$11)</f>
        <v>0</v>
      </c>
      <c r="AN80">
        <v>3</v>
      </c>
      <c r="AO80">
        <v>0.5</v>
      </c>
      <c r="AP80" t="s">
        <v>331</v>
      </c>
      <c r="AQ80">
        <v>2</v>
      </c>
      <c r="AR80">
        <v>1773199872.5</v>
      </c>
      <c r="AS80">
        <v>427.4099677419354</v>
      </c>
      <c r="AT80">
        <v>425.1924516129033</v>
      </c>
      <c r="AU80">
        <v>11.09137096774194</v>
      </c>
      <c r="AV80">
        <v>10.38585161290323</v>
      </c>
      <c r="AW80">
        <v>421.1785806451613</v>
      </c>
      <c r="AX80">
        <v>11.01078064516129</v>
      </c>
      <c r="AY80">
        <v>500.0183548387097</v>
      </c>
      <c r="AZ80">
        <v>100.2185483870967</v>
      </c>
      <c r="BA80">
        <v>0.04592818064516129</v>
      </c>
      <c r="BB80">
        <v>30.79938387096774</v>
      </c>
      <c r="BC80">
        <v>30.95247741935485</v>
      </c>
      <c r="BD80">
        <v>999.9000000000003</v>
      </c>
      <c r="BE80">
        <v>0</v>
      </c>
      <c r="BF80">
        <v>0</v>
      </c>
      <c r="BG80">
        <v>4988.758064516129</v>
      </c>
      <c r="BH80">
        <v>1.474739999999999</v>
      </c>
      <c r="BI80">
        <v>2150.988064516129</v>
      </c>
      <c r="BJ80">
        <v>2.217507419354839</v>
      </c>
      <c r="BK80">
        <v>432.2035161290323</v>
      </c>
      <c r="BL80">
        <v>429.6547096774194</v>
      </c>
      <c r="BM80">
        <v>0.7055096774193549</v>
      </c>
      <c r="BN80">
        <v>425.1924516129033</v>
      </c>
      <c r="BO80">
        <v>10.38585161290323</v>
      </c>
      <c r="BP80">
        <v>1.111561935483871</v>
      </c>
      <c r="BQ80">
        <v>1.040856774193548</v>
      </c>
      <c r="BR80">
        <v>8.467004193548387</v>
      </c>
      <c r="BS80">
        <v>7.501180967741935</v>
      </c>
      <c r="BT80">
        <v>0</v>
      </c>
      <c r="BU80">
        <v>0</v>
      </c>
      <c r="BV80">
        <v>0</v>
      </c>
      <c r="BW80">
        <v>36</v>
      </c>
      <c r="BX80">
        <v>55</v>
      </c>
      <c r="BY80">
        <v>1773196010</v>
      </c>
      <c r="BZ80" t="s">
        <v>332</v>
      </c>
      <c r="CA80">
        <v>1773196010</v>
      </c>
      <c r="CB80">
        <v>1773196005.5</v>
      </c>
      <c r="CC80">
        <v>2</v>
      </c>
      <c r="CD80">
        <v>-0.279</v>
      </c>
      <c r="CE80">
        <v>-0.021</v>
      </c>
      <c r="CF80">
        <v>6.231</v>
      </c>
      <c r="CG80">
        <v>0.081</v>
      </c>
      <c r="CH80">
        <v>432</v>
      </c>
      <c r="CI80">
        <v>21</v>
      </c>
      <c r="CJ80">
        <v>0.03</v>
      </c>
      <c r="CK80">
        <v>0.06</v>
      </c>
      <c r="CL80">
        <v>425.1998</v>
      </c>
      <c r="CM80">
        <v>-0.8750522803109805</v>
      </c>
      <c r="CN80">
        <v>0.06557408024516879</v>
      </c>
      <c r="CO80">
        <v>-1</v>
      </c>
      <c r="CP80">
        <v>500.0176333333333</v>
      </c>
      <c r="CQ80">
        <v>-0.2689655172388921</v>
      </c>
      <c r="CR80">
        <v>0.05034314473909788</v>
      </c>
      <c r="CS80">
        <v>-1</v>
      </c>
      <c r="CT80">
        <v>0</v>
      </c>
      <c r="CU80">
        <v>0</v>
      </c>
      <c r="CV80" t="s">
        <v>333</v>
      </c>
      <c r="CW80">
        <v>3.17061</v>
      </c>
      <c r="CX80">
        <v>2.66738</v>
      </c>
      <c r="CY80">
        <v>0.100066</v>
      </c>
      <c r="CZ80">
        <v>0.100843</v>
      </c>
      <c r="DA80">
        <v>0.0631293</v>
      </c>
      <c r="DB80">
        <v>0.0600794</v>
      </c>
      <c r="DC80">
        <v>21331.3</v>
      </c>
      <c r="DD80">
        <v>21877.9</v>
      </c>
      <c r="DE80">
        <v>22852.6</v>
      </c>
      <c r="DF80">
        <v>22276.5</v>
      </c>
      <c r="DG80">
        <v>32375.6</v>
      </c>
      <c r="DH80">
        <v>29497.3</v>
      </c>
      <c r="DI80">
        <v>40219.7</v>
      </c>
      <c r="DJ80">
        <v>36848.2</v>
      </c>
      <c r="DK80">
        <v>2.02856</v>
      </c>
      <c r="DL80">
        <v>1.51902</v>
      </c>
      <c r="DM80">
        <v>-0.08021</v>
      </c>
      <c r="DN80">
        <v>0</v>
      </c>
      <c r="DO80">
        <v>32.2537</v>
      </c>
      <c r="DP80">
        <v>999.9</v>
      </c>
      <c r="DQ80">
        <v>28.6</v>
      </c>
      <c r="DR80">
        <v>42.6</v>
      </c>
      <c r="DS80">
        <v>24.2781</v>
      </c>
      <c r="DT80">
        <v>30.2554</v>
      </c>
      <c r="DU80">
        <v>14.0224</v>
      </c>
      <c r="DV80">
        <v>1</v>
      </c>
      <c r="DW80">
        <v>0.864976</v>
      </c>
      <c r="DX80">
        <v>3.72145</v>
      </c>
      <c r="DY80">
        <v>20.3119</v>
      </c>
      <c r="DZ80">
        <v>5.2107</v>
      </c>
      <c r="EA80">
        <v>11.8542</v>
      </c>
      <c r="EB80">
        <v>4.96736</v>
      </c>
      <c r="EC80">
        <v>3.29294</v>
      </c>
      <c r="ED80">
        <v>879.4</v>
      </c>
      <c r="EE80">
        <v>9999</v>
      </c>
      <c r="EF80">
        <v>9999</v>
      </c>
      <c r="EG80">
        <v>77.09999999999999</v>
      </c>
      <c r="EH80">
        <v>4.97159</v>
      </c>
      <c r="EI80">
        <v>1.8721</v>
      </c>
      <c r="EJ80">
        <v>1.86951</v>
      </c>
      <c r="EK80">
        <v>1.8718</v>
      </c>
      <c r="EL80">
        <v>1.86955</v>
      </c>
      <c r="EM80">
        <v>1.86843</v>
      </c>
      <c r="EN80">
        <v>1.8702</v>
      </c>
      <c r="EO80">
        <v>1.87195</v>
      </c>
      <c r="EP80">
        <v>0</v>
      </c>
      <c r="EQ80">
        <v>0</v>
      </c>
      <c r="ER80">
        <v>0</v>
      </c>
      <c r="ES80">
        <v>0</v>
      </c>
      <c r="ET80" t="s">
        <v>334</v>
      </c>
      <c r="EU80" t="s">
        <v>335</v>
      </c>
      <c r="EV80" t="s">
        <v>336</v>
      </c>
      <c r="EW80" t="s">
        <v>336</v>
      </c>
      <c r="EX80" t="s">
        <v>336</v>
      </c>
      <c r="EY80" t="s">
        <v>336</v>
      </c>
      <c r="EZ80">
        <v>0</v>
      </c>
      <c r="FA80">
        <v>100</v>
      </c>
      <c r="FB80">
        <v>100</v>
      </c>
      <c r="FC80">
        <v>6.231</v>
      </c>
      <c r="FD80">
        <v>0.0806</v>
      </c>
      <c r="FE80">
        <v>6.23135000000002</v>
      </c>
      <c r="FF80">
        <v>0</v>
      </c>
      <c r="FG80">
        <v>0</v>
      </c>
      <c r="FH80">
        <v>0</v>
      </c>
      <c r="FI80">
        <v>0.08059047619047632</v>
      </c>
      <c r="FJ80">
        <v>0</v>
      </c>
      <c r="FK80">
        <v>0</v>
      </c>
      <c r="FL80">
        <v>0</v>
      </c>
      <c r="FM80">
        <v>-1</v>
      </c>
      <c r="FN80">
        <v>-1</v>
      </c>
      <c r="FO80">
        <v>-1</v>
      </c>
      <c r="FP80">
        <v>-1</v>
      </c>
      <c r="FQ80">
        <v>64.5</v>
      </c>
      <c r="FR80">
        <v>64.59999999999999</v>
      </c>
      <c r="FS80">
        <v>0.142822</v>
      </c>
      <c r="FT80">
        <v>4.99756</v>
      </c>
      <c r="FU80">
        <v>1.5979</v>
      </c>
      <c r="FV80">
        <v>2.11548</v>
      </c>
      <c r="FW80">
        <v>1.54785</v>
      </c>
      <c r="FX80">
        <v>2.44385</v>
      </c>
      <c r="FY80">
        <v>46.3274</v>
      </c>
      <c r="FZ80">
        <v>15.927</v>
      </c>
      <c r="GA80">
        <v>3</v>
      </c>
      <c r="GB80">
        <v>519.712</v>
      </c>
      <c r="GC80">
        <v>298.515</v>
      </c>
      <c r="GD80">
        <v>27.6892</v>
      </c>
      <c r="GE80">
        <v>37.6346</v>
      </c>
      <c r="GF80">
        <v>30.0006</v>
      </c>
      <c r="GG80">
        <v>37.5174</v>
      </c>
      <c r="GH80">
        <v>37.5075</v>
      </c>
      <c r="GI80">
        <v>-1</v>
      </c>
      <c r="GJ80">
        <v>100</v>
      </c>
      <c r="GK80">
        <v>0</v>
      </c>
      <c r="GL80">
        <v>27.6811</v>
      </c>
      <c r="GM80">
        <v>1200</v>
      </c>
      <c r="GN80">
        <v>19.4378</v>
      </c>
      <c r="GO80">
        <v>101.187</v>
      </c>
      <c r="GP80">
        <v>96.2192</v>
      </c>
    </row>
    <row r="81" spans="1:198">
      <c r="A81">
        <v>65</v>
      </c>
      <c r="B81">
        <v>1773199940.5</v>
      </c>
      <c r="C81">
        <v>3840.5</v>
      </c>
      <c r="D81" t="s">
        <v>463</v>
      </c>
      <c r="E81" t="s">
        <v>464</v>
      </c>
      <c r="F81">
        <v>15</v>
      </c>
      <c r="G81">
        <v>1773199932.5</v>
      </c>
      <c r="H81">
        <f>(I81)/1000</f>
        <v>0</v>
      </c>
      <c r="I81">
        <f>1000*AY81*AG81*(AU81-AV81)/(100*AN81*(1000-AG81*AU81))</f>
        <v>0</v>
      </c>
      <c r="J81">
        <f>AY81*AG81*(AT81-AS81*(1000-AG81*AV81)/(1000-AG81*AU81))/(100*AN81)</f>
        <v>0</v>
      </c>
      <c r="K81">
        <f>AS81 - IF(AG81&gt;1, J81*AN81*100.0/(AI81), 0)</f>
        <v>0</v>
      </c>
      <c r="L81">
        <f>((R81-H81/2)*K81-J81)/(R81+H81/2)</f>
        <v>0</v>
      </c>
      <c r="M81">
        <f>L81*(AZ81+BA81)/1000.0</f>
        <v>0</v>
      </c>
      <c r="N81">
        <f>(AS81 - IF(AG81&gt;1, J81*AN81*100.0/(AI81), 0))*(AZ81+BA81)/1000.0</f>
        <v>0</v>
      </c>
      <c r="O81">
        <f>2.0/((1/Q81-1/P81)+SIGN(Q81)*SQRT((1/Q81-1/P81)*(1/Q81-1/P81) + 4*AO81/((AO81+1)*(AO81+1))*(2*1/Q81*1/P81-1/P81*1/P81)))</f>
        <v>0</v>
      </c>
      <c r="P81">
        <f>IF(LEFT(AP81,1)&lt;&gt;"0",IF(LEFT(AP81,1)="1",3.0,AQ81),$D$5+$E$5*(BG81*AZ81/($K$5*1000))+$F$5*(BG81*AZ81/($K$5*1000))*MAX(MIN(AN81,$J$5),$I$5)*MAX(MIN(AN81,$J$5),$I$5)+$G$5*MAX(MIN(AN81,$J$5),$I$5)*(BG81*AZ81/($K$5*1000))+$H$5*(BG81*AZ81/($K$5*1000))*(BG81*AZ81/($K$5*1000)))</f>
        <v>0</v>
      </c>
      <c r="Q81">
        <f>H81*(1000-(1000*0.61365*exp(17.502*U81/(240.97+U81))/(AZ81+BA81)+AU81)/2)/(1000*0.61365*exp(17.502*U81/(240.97+U81))/(AZ81+BA81)-AU81)</f>
        <v>0</v>
      </c>
      <c r="R81">
        <f>1/((AO81+1)/(O81/1.6)+1/(P81/1.37)) + AO81/((AO81+1)/(O81/1.6) + AO81/(P81/1.37))</f>
        <v>0</v>
      </c>
      <c r="S81">
        <f>(AJ81*AM81)</f>
        <v>0</v>
      </c>
      <c r="T81">
        <f>(BB81+(S81+2*0.95*5.67E-8*(((BB81+$B$7)+273)^4-(BB81+273)^4)-44100*H81)/(1.84*29.3*P81+8*0.95*5.67E-8*(BB81+273)^3))</f>
        <v>0</v>
      </c>
      <c r="U81">
        <f>($C$7*BC81+$D$7*BD81+$E$7*T81)</f>
        <v>0</v>
      </c>
      <c r="V81">
        <f>0.61365*exp(17.502*U81/(240.97+U81))</f>
        <v>0</v>
      </c>
      <c r="W81">
        <f>(X81/Y81*100)</f>
        <v>0</v>
      </c>
      <c r="X81">
        <f>AU81*(AZ81+BA81)/1000</f>
        <v>0</v>
      </c>
      <c r="Y81">
        <f>0.61365*exp(17.502*BB81/(240.97+BB81))</f>
        <v>0</v>
      </c>
      <c r="Z81">
        <f>(V81-AU81*(AZ81+BA81)/1000)</f>
        <v>0</v>
      </c>
      <c r="AA81">
        <f>(-H81*44100)</f>
        <v>0</v>
      </c>
      <c r="AB81">
        <f>2*29.3*P81*0.92*(BB81-U81)</f>
        <v>0</v>
      </c>
      <c r="AC81">
        <f>2*0.95*5.67E-8*(((BB81+$B$7)+273)^4-(U81+273)^4)</f>
        <v>0</v>
      </c>
      <c r="AD81">
        <f>S81+AC81+AA81+AB81</f>
        <v>0</v>
      </c>
      <c r="AE81">
        <v>0</v>
      </c>
      <c r="AF81">
        <v>0</v>
      </c>
      <c r="AG81">
        <f>IF(AE81*$H$13&gt;=AI81,1.0,(AI81/(AI81-AE81*$H$13)))</f>
        <v>0</v>
      </c>
      <c r="AH81">
        <f>(AG81-1)*100</f>
        <v>0</v>
      </c>
      <c r="AI81">
        <f>MAX(0,($B$13+$C$13*BG81)/(1+$D$13*BG81)*AZ81/(BB81+273)*$E$13)</f>
        <v>0</v>
      </c>
      <c r="AJ81">
        <f>$B$11*BH81+$C$11*BI81+$D$11*BT81</f>
        <v>0</v>
      </c>
      <c r="AK81">
        <f>AJ81*AL81</f>
        <v>0</v>
      </c>
      <c r="AL81">
        <f>($B$11*$D$9+$C$11*$D$9+$D$11*(BU81*$E$9+BV81*$G$9))/($B$11+$C$11+$D$11)</f>
        <v>0</v>
      </c>
      <c r="AM81">
        <f>($B$11*$K$9+$C$11*$K$9+$D$11*(BU81*$L$9+BV81*$N$9))/($B$11+$C$11+$D$11)</f>
        <v>0</v>
      </c>
      <c r="AN81">
        <v>3</v>
      </c>
      <c r="AO81">
        <v>0.5</v>
      </c>
      <c r="AP81" t="s">
        <v>331</v>
      </c>
      <c r="AQ81">
        <v>2</v>
      </c>
      <c r="AR81">
        <v>1773199932.5</v>
      </c>
      <c r="AS81">
        <v>426.2746451612903</v>
      </c>
      <c r="AT81">
        <v>423.9666129032258</v>
      </c>
      <c r="AU81">
        <v>11.13392258064516</v>
      </c>
      <c r="AV81">
        <v>10.42801935483871</v>
      </c>
      <c r="AW81">
        <v>420.0433548387097</v>
      </c>
      <c r="AX81">
        <v>11.05332903225807</v>
      </c>
      <c r="AY81">
        <v>499.989935483871</v>
      </c>
      <c r="AZ81">
        <v>100.2158387096774</v>
      </c>
      <c r="BA81">
        <v>0.04617223225806451</v>
      </c>
      <c r="BB81">
        <v>30.78120322580646</v>
      </c>
      <c r="BC81">
        <v>30.92507096774193</v>
      </c>
      <c r="BD81">
        <v>999.9000000000003</v>
      </c>
      <c r="BE81">
        <v>0</v>
      </c>
      <c r="BF81">
        <v>0</v>
      </c>
      <c r="BG81">
        <v>5004.774193548387</v>
      </c>
      <c r="BH81">
        <v>1.486360322580645</v>
      </c>
      <c r="BI81">
        <v>2121.013548387097</v>
      </c>
      <c r="BJ81">
        <v>2.308066129032258</v>
      </c>
      <c r="BK81">
        <v>431.0742258064516</v>
      </c>
      <c r="BL81">
        <v>428.4343870967743</v>
      </c>
      <c r="BM81">
        <v>0.7059000000000001</v>
      </c>
      <c r="BN81">
        <v>423.9666129032258</v>
      </c>
      <c r="BO81">
        <v>10.42801935483871</v>
      </c>
      <c r="BP81">
        <v>1.115794838709677</v>
      </c>
      <c r="BQ81">
        <v>1.045052258064516</v>
      </c>
      <c r="BR81">
        <v>8.523107741935483</v>
      </c>
      <c r="BS81">
        <v>7.560104193548387</v>
      </c>
      <c r="BT81">
        <v>0</v>
      </c>
      <c r="BU81">
        <v>0</v>
      </c>
      <c r="BV81">
        <v>0</v>
      </c>
      <c r="BW81">
        <v>36</v>
      </c>
      <c r="BX81">
        <v>54.33333870967743</v>
      </c>
      <c r="BY81">
        <v>1773196010</v>
      </c>
      <c r="BZ81" t="s">
        <v>332</v>
      </c>
      <c r="CA81">
        <v>1773196010</v>
      </c>
      <c r="CB81">
        <v>1773196005.5</v>
      </c>
      <c r="CC81">
        <v>2</v>
      </c>
      <c r="CD81">
        <v>-0.279</v>
      </c>
      <c r="CE81">
        <v>-0.021</v>
      </c>
      <c r="CF81">
        <v>6.231</v>
      </c>
      <c r="CG81">
        <v>0.081</v>
      </c>
      <c r="CH81">
        <v>432</v>
      </c>
      <c r="CI81">
        <v>21</v>
      </c>
      <c r="CJ81">
        <v>0.03</v>
      </c>
      <c r="CK81">
        <v>0.06</v>
      </c>
      <c r="CL81">
        <v>423.9631333333334</v>
      </c>
      <c r="CM81">
        <v>-0.7949098998891455</v>
      </c>
      <c r="CN81">
        <v>0.05774699607387422</v>
      </c>
      <c r="CO81">
        <v>-1</v>
      </c>
      <c r="CP81">
        <v>499.9888666666667</v>
      </c>
      <c r="CQ81">
        <v>0.0001601779750931052</v>
      </c>
      <c r="CR81">
        <v>0.0589042914867428</v>
      </c>
      <c r="CS81">
        <v>-1</v>
      </c>
      <c r="CT81">
        <v>0</v>
      </c>
      <c r="CU81">
        <v>0</v>
      </c>
      <c r="CV81" t="s">
        <v>333</v>
      </c>
      <c r="CW81">
        <v>3.17067</v>
      </c>
      <c r="CX81">
        <v>2.66769</v>
      </c>
      <c r="CY81">
        <v>0.09984410000000001</v>
      </c>
      <c r="CZ81">
        <v>0.100599</v>
      </c>
      <c r="DA81">
        <v>0.0632417</v>
      </c>
      <c r="DB81">
        <v>0.0601924</v>
      </c>
      <c r="DC81">
        <v>21334.7</v>
      </c>
      <c r="DD81">
        <v>21882.3</v>
      </c>
      <c r="DE81">
        <v>22850.7</v>
      </c>
      <c r="DF81">
        <v>22274.9</v>
      </c>
      <c r="DG81">
        <v>32369.1</v>
      </c>
      <c r="DH81">
        <v>29491.6</v>
      </c>
      <c r="DI81">
        <v>40216.5</v>
      </c>
      <c r="DJ81">
        <v>36845.6</v>
      </c>
      <c r="DK81">
        <v>2.02862</v>
      </c>
      <c r="DL81">
        <v>1.51766</v>
      </c>
      <c r="DM81">
        <v>-0.077644</v>
      </c>
      <c r="DN81">
        <v>0</v>
      </c>
      <c r="DO81">
        <v>32.198</v>
      </c>
      <c r="DP81">
        <v>999.9</v>
      </c>
      <c r="DQ81">
        <v>28.2</v>
      </c>
      <c r="DR81">
        <v>42.8</v>
      </c>
      <c r="DS81">
        <v>24.1937</v>
      </c>
      <c r="DT81">
        <v>29.8654</v>
      </c>
      <c r="DU81">
        <v>13.8862</v>
      </c>
      <c r="DV81">
        <v>1</v>
      </c>
      <c r="DW81">
        <v>0.866654</v>
      </c>
      <c r="DX81">
        <v>3.51747</v>
      </c>
      <c r="DY81">
        <v>20.3178</v>
      </c>
      <c r="DZ81">
        <v>5.21094</v>
      </c>
      <c r="EA81">
        <v>11.8542</v>
      </c>
      <c r="EB81">
        <v>4.96772</v>
      </c>
      <c r="EC81">
        <v>3.29296</v>
      </c>
      <c r="ED81">
        <v>879.4</v>
      </c>
      <c r="EE81">
        <v>9999</v>
      </c>
      <c r="EF81">
        <v>9999</v>
      </c>
      <c r="EG81">
        <v>77.09999999999999</v>
      </c>
      <c r="EH81">
        <v>4.97163</v>
      </c>
      <c r="EI81">
        <v>1.8721</v>
      </c>
      <c r="EJ81">
        <v>1.86951</v>
      </c>
      <c r="EK81">
        <v>1.8718</v>
      </c>
      <c r="EL81">
        <v>1.86961</v>
      </c>
      <c r="EM81">
        <v>1.86844</v>
      </c>
      <c r="EN81">
        <v>1.87026</v>
      </c>
      <c r="EO81">
        <v>1.87195</v>
      </c>
      <c r="EP81">
        <v>0</v>
      </c>
      <c r="EQ81">
        <v>0</v>
      </c>
      <c r="ER81">
        <v>0</v>
      </c>
      <c r="ES81">
        <v>0</v>
      </c>
      <c r="ET81" t="s">
        <v>334</v>
      </c>
      <c r="EU81" t="s">
        <v>335</v>
      </c>
      <c r="EV81" t="s">
        <v>336</v>
      </c>
      <c r="EW81" t="s">
        <v>336</v>
      </c>
      <c r="EX81" t="s">
        <v>336</v>
      </c>
      <c r="EY81" t="s">
        <v>336</v>
      </c>
      <c r="EZ81">
        <v>0</v>
      </c>
      <c r="FA81">
        <v>100</v>
      </c>
      <c r="FB81">
        <v>100</v>
      </c>
      <c r="FC81">
        <v>6.231</v>
      </c>
      <c r="FD81">
        <v>0.0806</v>
      </c>
      <c r="FE81">
        <v>6.23135000000002</v>
      </c>
      <c r="FF81">
        <v>0</v>
      </c>
      <c r="FG81">
        <v>0</v>
      </c>
      <c r="FH81">
        <v>0</v>
      </c>
      <c r="FI81">
        <v>0.08059047619047632</v>
      </c>
      <c r="FJ81">
        <v>0</v>
      </c>
      <c r="FK81">
        <v>0</v>
      </c>
      <c r="FL81">
        <v>0</v>
      </c>
      <c r="FM81">
        <v>-1</v>
      </c>
      <c r="FN81">
        <v>-1</v>
      </c>
      <c r="FO81">
        <v>-1</v>
      </c>
      <c r="FP81">
        <v>-1</v>
      </c>
      <c r="FQ81">
        <v>65.5</v>
      </c>
      <c r="FR81">
        <v>65.59999999999999</v>
      </c>
      <c r="FS81">
        <v>0.142822</v>
      </c>
      <c r="FT81">
        <v>4.99756</v>
      </c>
      <c r="FU81">
        <v>1.5979</v>
      </c>
      <c r="FV81">
        <v>2.11426</v>
      </c>
      <c r="FW81">
        <v>1.54785</v>
      </c>
      <c r="FX81">
        <v>2.37549</v>
      </c>
      <c r="FY81">
        <v>46.415</v>
      </c>
      <c r="FZ81">
        <v>15.9182</v>
      </c>
      <c r="GA81">
        <v>3</v>
      </c>
      <c r="GB81">
        <v>519.936</v>
      </c>
      <c r="GC81">
        <v>297.974</v>
      </c>
      <c r="GD81">
        <v>27.778</v>
      </c>
      <c r="GE81">
        <v>37.6568</v>
      </c>
      <c r="GF81">
        <v>30.0002</v>
      </c>
      <c r="GG81">
        <v>37.5437</v>
      </c>
      <c r="GH81">
        <v>37.5343</v>
      </c>
      <c r="GI81">
        <v>-1</v>
      </c>
      <c r="GJ81">
        <v>100</v>
      </c>
      <c r="GK81">
        <v>0</v>
      </c>
      <c r="GL81">
        <v>27.7838</v>
      </c>
      <c r="GM81">
        <v>1200</v>
      </c>
      <c r="GN81">
        <v>19.4378</v>
      </c>
      <c r="GO81">
        <v>101.179</v>
      </c>
      <c r="GP81">
        <v>96.2123</v>
      </c>
    </row>
    <row r="82" spans="1:198">
      <c r="A82">
        <v>66</v>
      </c>
      <c r="B82">
        <v>1773200000.5</v>
      </c>
      <c r="C82">
        <v>3900.5</v>
      </c>
      <c r="D82" t="s">
        <v>465</v>
      </c>
      <c r="E82" t="s">
        <v>466</v>
      </c>
      <c r="F82">
        <v>15</v>
      </c>
      <c r="G82">
        <v>1773199992.5</v>
      </c>
      <c r="H82">
        <f>(I82)/1000</f>
        <v>0</v>
      </c>
      <c r="I82">
        <f>1000*AY82*AG82*(AU82-AV82)/(100*AN82*(1000-AG82*AU82))</f>
        <v>0</v>
      </c>
      <c r="J82">
        <f>AY82*AG82*(AT82-AS82*(1000-AG82*AV82)/(1000-AG82*AU82))/(100*AN82)</f>
        <v>0</v>
      </c>
      <c r="K82">
        <f>AS82 - IF(AG82&gt;1, J82*AN82*100.0/(AI82), 0)</f>
        <v>0</v>
      </c>
      <c r="L82">
        <f>((R82-H82/2)*K82-J82)/(R82+H82/2)</f>
        <v>0</v>
      </c>
      <c r="M82">
        <f>L82*(AZ82+BA82)/1000.0</f>
        <v>0</v>
      </c>
      <c r="N82">
        <f>(AS82 - IF(AG82&gt;1, J82*AN82*100.0/(AI82), 0))*(AZ82+BA82)/1000.0</f>
        <v>0</v>
      </c>
      <c r="O82">
        <f>2.0/((1/Q82-1/P82)+SIGN(Q82)*SQRT((1/Q82-1/P82)*(1/Q82-1/P82) + 4*AO82/((AO82+1)*(AO82+1))*(2*1/Q82*1/P82-1/P82*1/P82)))</f>
        <v>0</v>
      </c>
      <c r="P82">
        <f>IF(LEFT(AP82,1)&lt;&gt;"0",IF(LEFT(AP82,1)="1",3.0,AQ82),$D$5+$E$5*(BG82*AZ82/($K$5*1000))+$F$5*(BG82*AZ82/($K$5*1000))*MAX(MIN(AN82,$J$5),$I$5)*MAX(MIN(AN82,$J$5),$I$5)+$G$5*MAX(MIN(AN82,$J$5),$I$5)*(BG82*AZ82/($K$5*1000))+$H$5*(BG82*AZ82/($K$5*1000))*(BG82*AZ82/($K$5*1000)))</f>
        <v>0</v>
      </c>
      <c r="Q82">
        <f>H82*(1000-(1000*0.61365*exp(17.502*U82/(240.97+U82))/(AZ82+BA82)+AU82)/2)/(1000*0.61365*exp(17.502*U82/(240.97+U82))/(AZ82+BA82)-AU82)</f>
        <v>0</v>
      </c>
      <c r="R82">
        <f>1/((AO82+1)/(O82/1.6)+1/(P82/1.37)) + AO82/((AO82+1)/(O82/1.6) + AO82/(P82/1.37))</f>
        <v>0</v>
      </c>
      <c r="S82">
        <f>(AJ82*AM82)</f>
        <v>0</v>
      </c>
      <c r="T82">
        <f>(BB82+(S82+2*0.95*5.67E-8*(((BB82+$B$7)+273)^4-(BB82+273)^4)-44100*H82)/(1.84*29.3*P82+8*0.95*5.67E-8*(BB82+273)^3))</f>
        <v>0</v>
      </c>
      <c r="U82">
        <f>($C$7*BC82+$D$7*BD82+$E$7*T82)</f>
        <v>0</v>
      </c>
      <c r="V82">
        <f>0.61365*exp(17.502*U82/(240.97+U82))</f>
        <v>0</v>
      </c>
      <c r="W82">
        <f>(X82/Y82*100)</f>
        <v>0</v>
      </c>
      <c r="X82">
        <f>AU82*(AZ82+BA82)/1000</f>
        <v>0</v>
      </c>
      <c r="Y82">
        <f>0.61365*exp(17.502*BB82/(240.97+BB82))</f>
        <v>0</v>
      </c>
      <c r="Z82">
        <f>(V82-AU82*(AZ82+BA82)/1000)</f>
        <v>0</v>
      </c>
      <c r="AA82">
        <f>(-H82*44100)</f>
        <v>0</v>
      </c>
      <c r="AB82">
        <f>2*29.3*P82*0.92*(BB82-U82)</f>
        <v>0</v>
      </c>
      <c r="AC82">
        <f>2*0.95*5.67E-8*(((BB82+$B$7)+273)^4-(U82+273)^4)</f>
        <v>0</v>
      </c>
      <c r="AD82">
        <f>S82+AC82+AA82+AB82</f>
        <v>0</v>
      </c>
      <c r="AE82">
        <v>0</v>
      </c>
      <c r="AF82">
        <v>0</v>
      </c>
      <c r="AG82">
        <f>IF(AE82*$H$13&gt;=AI82,1.0,(AI82/(AI82-AE82*$H$13)))</f>
        <v>0</v>
      </c>
      <c r="AH82">
        <f>(AG82-1)*100</f>
        <v>0</v>
      </c>
      <c r="AI82">
        <f>MAX(0,($B$13+$C$13*BG82)/(1+$D$13*BG82)*AZ82/(BB82+273)*$E$13)</f>
        <v>0</v>
      </c>
      <c r="AJ82">
        <f>$B$11*BH82+$C$11*BI82+$D$11*BT82</f>
        <v>0</v>
      </c>
      <c r="AK82">
        <f>AJ82*AL82</f>
        <v>0</v>
      </c>
      <c r="AL82">
        <f>($B$11*$D$9+$C$11*$D$9+$D$11*(BU82*$E$9+BV82*$G$9))/($B$11+$C$11+$D$11)</f>
        <v>0</v>
      </c>
      <c r="AM82">
        <f>($B$11*$K$9+$C$11*$K$9+$D$11*(BU82*$L$9+BV82*$N$9))/($B$11+$C$11+$D$11)</f>
        <v>0</v>
      </c>
      <c r="AN82">
        <v>3</v>
      </c>
      <c r="AO82">
        <v>0.5</v>
      </c>
      <c r="AP82" t="s">
        <v>331</v>
      </c>
      <c r="AQ82">
        <v>2</v>
      </c>
      <c r="AR82">
        <v>1773199992.5</v>
      </c>
      <c r="AS82">
        <v>425.9985161290323</v>
      </c>
      <c r="AT82">
        <v>423.7645483870968</v>
      </c>
      <c r="AU82">
        <v>11.14649677419355</v>
      </c>
      <c r="AV82">
        <v>10.47374516129032</v>
      </c>
      <c r="AW82">
        <v>419.7671290322581</v>
      </c>
      <c r="AX82">
        <v>11.06591290322581</v>
      </c>
      <c r="AY82">
        <v>500.0016129032259</v>
      </c>
      <c r="AZ82">
        <v>100.2179354838709</v>
      </c>
      <c r="BA82">
        <v>0.0463585935483871</v>
      </c>
      <c r="BB82">
        <v>30.81600322580645</v>
      </c>
      <c r="BC82">
        <v>30.9725</v>
      </c>
      <c r="BD82">
        <v>999.9000000000003</v>
      </c>
      <c r="BE82">
        <v>0</v>
      </c>
      <c r="BF82">
        <v>0</v>
      </c>
      <c r="BG82">
        <v>4994.225806451613</v>
      </c>
      <c r="BH82">
        <v>1.461513548387097</v>
      </c>
      <c r="BI82">
        <v>2116.234838709677</v>
      </c>
      <c r="BJ82">
        <v>2.234012258064516</v>
      </c>
      <c r="BK82">
        <v>430.8003870967743</v>
      </c>
      <c r="BL82">
        <v>428.2499032258064</v>
      </c>
      <c r="BM82">
        <v>0.672743064516129</v>
      </c>
      <c r="BN82">
        <v>423.7645483870968</v>
      </c>
      <c r="BO82">
        <v>10.47374516129032</v>
      </c>
      <c r="BP82">
        <v>1.11707935483871</v>
      </c>
      <c r="BQ82">
        <v>1.049658387096774</v>
      </c>
      <c r="BR82">
        <v>8.540082258064517</v>
      </c>
      <c r="BS82">
        <v>7.624520967741936</v>
      </c>
      <c r="BT82">
        <v>0</v>
      </c>
      <c r="BU82">
        <v>0</v>
      </c>
      <c r="BV82">
        <v>0</v>
      </c>
      <c r="BW82">
        <v>36</v>
      </c>
      <c r="BX82">
        <v>54.17419354838709</v>
      </c>
      <c r="BY82">
        <v>1773196010</v>
      </c>
      <c r="BZ82" t="s">
        <v>332</v>
      </c>
      <c r="CA82">
        <v>1773196010</v>
      </c>
      <c r="CB82">
        <v>1773196005.5</v>
      </c>
      <c r="CC82">
        <v>2</v>
      </c>
      <c r="CD82">
        <v>-0.279</v>
      </c>
      <c r="CE82">
        <v>-0.021</v>
      </c>
      <c r="CF82">
        <v>6.231</v>
      </c>
      <c r="CG82">
        <v>0.081</v>
      </c>
      <c r="CH82">
        <v>432</v>
      </c>
      <c r="CI82">
        <v>21</v>
      </c>
      <c r="CJ82">
        <v>0.03</v>
      </c>
      <c r="CK82">
        <v>0.06</v>
      </c>
      <c r="CL82">
        <v>423.7668</v>
      </c>
      <c r="CM82">
        <v>-0.2772146829811139</v>
      </c>
      <c r="CN82">
        <v>0.0457445078670627</v>
      </c>
      <c r="CO82">
        <v>-1</v>
      </c>
      <c r="CP82">
        <v>500.0095</v>
      </c>
      <c r="CQ82">
        <v>-0.4497530589546581</v>
      </c>
      <c r="CR82">
        <v>0.05792682165168657</v>
      </c>
      <c r="CS82">
        <v>-1</v>
      </c>
      <c r="CT82">
        <v>0</v>
      </c>
      <c r="CU82">
        <v>0</v>
      </c>
      <c r="CV82" t="s">
        <v>333</v>
      </c>
      <c r="CW82">
        <v>3.17061</v>
      </c>
      <c r="CX82">
        <v>2.66783</v>
      </c>
      <c r="CY82">
        <v>0.0997962</v>
      </c>
      <c r="CZ82">
        <v>0.100582</v>
      </c>
      <c r="DA82">
        <v>0.0633435</v>
      </c>
      <c r="DB82">
        <v>0.0604438</v>
      </c>
      <c r="DC82">
        <v>21333.8</v>
      </c>
      <c r="DD82">
        <v>21881</v>
      </c>
      <c r="DE82">
        <v>22848.6</v>
      </c>
      <c r="DF82">
        <v>22273.3</v>
      </c>
      <c r="DG82">
        <v>32363</v>
      </c>
      <c r="DH82">
        <v>29481.3</v>
      </c>
      <c r="DI82">
        <v>40213.3</v>
      </c>
      <c r="DJ82">
        <v>36842.7</v>
      </c>
      <c r="DK82">
        <v>2.02776</v>
      </c>
      <c r="DL82">
        <v>1.51596</v>
      </c>
      <c r="DM82">
        <v>-0.0763834</v>
      </c>
      <c r="DN82">
        <v>0</v>
      </c>
      <c r="DO82">
        <v>32.216</v>
      </c>
      <c r="DP82">
        <v>999.9</v>
      </c>
      <c r="DQ82">
        <v>28.1</v>
      </c>
      <c r="DR82">
        <v>42.9</v>
      </c>
      <c r="DS82">
        <v>24.2351</v>
      </c>
      <c r="DT82">
        <v>30.4955</v>
      </c>
      <c r="DU82">
        <v>13.7139</v>
      </c>
      <c r="DV82">
        <v>1</v>
      </c>
      <c r="DW82">
        <v>0.8723959999999999</v>
      </c>
      <c r="DX82">
        <v>3.82271</v>
      </c>
      <c r="DY82">
        <v>20.309</v>
      </c>
      <c r="DZ82">
        <v>5.21082</v>
      </c>
      <c r="EA82">
        <v>11.8542</v>
      </c>
      <c r="EB82">
        <v>4.96764</v>
      </c>
      <c r="EC82">
        <v>3.29296</v>
      </c>
      <c r="ED82">
        <v>879.4</v>
      </c>
      <c r="EE82">
        <v>9999</v>
      </c>
      <c r="EF82">
        <v>9999</v>
      </c>
      <c r="EG82">
        <v>77.09999999999999</v>
      </c>
      <c r="EH82">
        <v>4.97163</v>
      </c>
      <c r="EI82">
        <v>1.8721</v>
      </c>
      <c r="EJ82">
        <v>1.86951</v>
      </c>
      <c r="EK82">
        <v>1.8718</v>
      </c>
      <c r="EL82">
        <v>1.86963</v>
      </c>
      <c r="EM82">
        <v>1.86843</v>
      </c>
      <c r="EN82">
        <v>1.87023</v>
      </c>
      <c r="EO82">
        <v>1.87195</v>
      </c>
      <c r="EP82">
        <v>0</v>
      </c>
      <c r="EQ82">
        <v>0</v>
      </c>
      <c r="ER82">
        <v>0</v>
      </c>
      <c r="ES82">
        <v>0</v>
      </c>
      <c r="ET82" t="s">
        <v>334</v>
      </c>
      <c r="EU82" t="s">
        <v>335</v>
      </c>
      <c r="EV82" t="s">
        <v>336</v>
      </c>
      <c r="EW82" t="s">
        <v>336</v>
      </c>
      <c r="EX82" t="s">
        <v>336</v>
      </c>
      <c r="EY82" t="s">
        <v>336</v>
      </c>
      <c r="EZ82">
        <v>0</v>
      </c>
      <c r="FA82">
        <v>100</v>
      </c>
      <c r="FB82">
        <v>100</v>
      </c>
      <c r="FC82">
        <v>6.232</v>
      </c>
      <c r="FD82">
        <v>0.0805</v>
      </c>
      <c r="FE82">
        <v>6.23135000000002</v>
      </c>
      <c r="FF82">
        <v>0</v>
      </c>
      <c r="FG82">
        <v>0</v>
      </c>
      <c r="FH82">
        <v>0</v>
      </c>
      <c r="FI82">
        <v>0.08059047619047632</v>
      </c>
      <c r="FJ82">
        <v>0</v>
      </c>
      <c r="FK82">
        <v>0</v>
      </c>
      <c r="FL82">
        <v>0</v>
      </c>
      <c r="FM82">
        <v>-1</v>
      </c>
      <c r="FN82">
        <v>-1</v>
      </c>
      <c r="FO82">
        <v>-1</v>
      </c>
      <c r="FP82">
        <v>-1</v>
      </c>
      <c r="FQ82">
        <v>66.5</v>
      </c>
      <c r="FR82">
        <v>66.59999999999999</v>
      </c>
      <c r="FS82">
        <v>0.142822</v>
      </c>
      <c r="FT82">
        <v>4.99756</v>
      </c>
      <c r="FU82">
        <v>1.5979</v>
      </c>
      <c r="FV82">
        <v>2.11548</v>
      </c>
      <c r="FW82">
        <v>1.54785</v>
      </c>
      <c r="FX82">
        <v>2.46826</v>
      </c>
      <c r="FY82">
        <v>46.5321</v>
      </c>
      <c r="FZ82">
        <v>15.9182</v>
      </c>
      <c r="GA82">
        <v>3</v>
      </c>
      <c r="GB82">
        <v>519.639</v>
      </c>
      <c r="GC82">
        <v>297.304</v>
      </c>
      <c r="GD82">
        <v>27.6736</v>
      </c>
      <c r="GE82">
        <v>37.6911</v>
      </c>
      <c r="GF82">
        <v>30.0007</v>
      </c>
      <c r="GG82">
        <v>37.5778</v>
      </c>
      <c r="GH82">
        <v>37.569</v>
      </c>
      <c r="GI82">
        <v>-1</v>
      </c>
      <c r="GJ82">
        <v>100</v>
      </c>
      <c r="GK82">
        <v>0</v>
      </c>
      <c r="GL82">
        <v>27.6627</v>
      </c>
      <c r="GM82">
        <v>1200</v>
      </c>
      <c r="GN82">
        <v>19.4378</v>
      </c>
      <c r="GO82">
        <v>101.17</v>
      </c>
      <c r="GP82">
        <v>96.205</v>
      </c>
    </row>
    <row r="83" spans="1:198">
      <c r="A83">
        <v>67</v>
      </c>
      <c r="B83">
        <v>1773200060.5</v>
      </c>
      <c r="C83">
        <v>3960.5</v>
      </c>
      <c r="D83" t="s">
        <v>467</v>
      </c>
      <c r="E83" t="s">
        <v>468</v>
      </c>
      <c r="F83">
        <v>15</v>
      </c>
      <c r="G83">
        <v>1773200052.5</v>
      </c>
      <c r="H83">
        <f>(I83)/1000</f>
        <v>0</v>
      </c>
      <c r="I83">
        <f>1000*AY83*AG83*(AU83-AV83)/(100*AN83*(1000-AG83*AU83))</f>
        <v>0</v>
      </c>
      <c r="J83">
        <f>AY83*AG83*(AT83-AS83*(1000-AG83*AV83)/(1000-AG83*AU83))/(100*AN83)</f>
        <v>0</v>
      </c>
      <c r="K83">
        <f>AS83 - IF(AG83&gt;1, J83*AN83*100.0/(AI83), 0)</f>
        <v>0</v>
      </c>
      <c r="L83">
        <f>((R83-H83/2)*K83-J83)/(R83+H83/2)</f>
        <v>0</v>
      </c>
      <c r="M83">
        <f>L83*(AZ83+BA83)/1000.0</f>
        <v>0</v>
      </c>
      <c r="N83">
        <f>(AS83 - IF(AG83&gt;1, J83*AN83*100.0/(AI83), 0))*(AZ83+BA83)/1000.0</f>
        <v>0</v>
      </c>
      <c r="O83">
        <f>2.0/((1/Q83-1/P83)+SIGN(Q83)*SQRT((1/Q83-1/P83)*(1/Q83-1/P83) + 4*AO83/((AO83+1)*(AO83+1))*(2*1/Q83*1/P83-1/P83*1/P83)))</f>
        <v>0</v>
      </c>
      <c r="P83">
        <f>IF(LEFT(AP83,1)&lt;&gt;"0",IF(LEFT(AP83,1)="1",3.0,AQ83),$D$5+$E$5*(BG83*AZ83/($K$5*1000))+$F$5*(BG83*AZ83/($K$5*1000))*MAX(MIN(AN83,$J$5),$I$5)*MAX(MIN(AN83,$J$5),$I$5)+$G$5*MAX(MIN(AN83,$J$5),$I$5)*(BG83*AZ83/($K$5*1000))+$H$5*(BG83*AZ83/($K$5*1000))*(BG83*AZ83/($K$5*1000)))</f>
        <v>0</v>
      </c>
      <c r="Q83">
        <f>H83*(1000-(1000*0.61365*exp(17.502*U83/(240.97+U83))/(AZ83+BA83)+AU83)/2)/(1000*0.61365*exp(17.502*U83/(240.97+U83))/(AZ83+BA83)-AU83)</f>
        <v>0</v>
      </c>
      <c r="R83">
        <f>1/((AO83+1)/(O83/1.6)+1/(P83/1.37)) + AO83/((AO83+1)/(O83/1.6) + AO83/(P83/1.37))</f>
        <v>0</v>
      </c>
      <c r="S83">
        <f>(AJ83*AM83)</f>
        <v>0</v>
      </c>
      <c r="T83">
        <f>(BB83+(S83+2*0.95*5.67E-8*(((BB83+$B$7)+273)^4-(BB83+273)^4)-44100*H83)/(1.84*29.3*P83+8*0.95*5.67E-8*(BB83+273)^3))</f>
        <v>0</v>
      </c>
      <c r="U83">
        <f>($C$7*BC83+$D$7*BD83+$E$7*T83)</f>
        <v>0</v>
      </c>
      <c r="V83">
        <f>0.61365*exp(17.502*U83/(240.97+U83))</f>
        <v>0</v>
      </c>
      <c r="W83">
        <f>(X83/Y83*100)</f>
        <v>0</v>
      </c>
      <c r="X83">
        <f>AU83*(AZ83+BA83)/1000</f>
        <v>0</v>
      </c>
      <c r="Y83">
        <f>0.61365*exp(17.502*BB83/(240.97+BB83))</f>
        <v>0</v>
      </c>
      <c r="Z83">
        <f>(V83-AU83*(AZ83+BA83)/1000)</f>
        <v>0</v>
      </c>
      <c r="AA83">
        <f>(-H83*44100)</f>
        <v>0</v>
      </c>
      <c r="AB83">
        <f>2*29.3*P83*0.92*(BB83-U83)</f>
        <v>0</v>
      </c>
      <c r="AC83">
        <f>2*0.95*5.67E-8*(((BB83+$B$7)+273)^4-(U83+273)^4)</f>
        <v>0</v>
      </c>
      <c r="AD83">
        <f>S83+AC83+AA83+AB83</f>
        <v>0</v>
      </c>
      <c r="AE83">
        <v>0</v>
      </c>
      <c r="AF83">
        <v>0</v>
      </c>
      <c r="AG83">
        <f>IF(AE83*$H$13&gt;=AI83,1.0,(AI83/(AI83-AE83*$H$13)))</f>
        <v>0</v>
      </c>
      <c r="AH83">
        <f>(AG83-1)*100</f>
        <v>0</v>
      </c>
      <c r="AI83">
        <f>MAX(0,($B$13+$C$13*BG83)/(1+$D$13*BG83)*AZ83/(BB83+273)*$E$13)</f>
        <v>0</v>
      </c>
      <c r="AJ83">
        <f>$B$11*BH83+$C$11*BI83+$D$11*BT83</f>
        <v>0</v>
      </c>
      <c r="AK83">
        <f>AJ83*AL83</f>
        <v>0</v>
      </c>
      <c r="AL83">
        <f>($B$11*$D$9+$C$11*$D$9+$D$11*(BU83*$E$9+BV83*$G$9))/($B$11+$C$11+$D$11)</f>
        <v>0</v>
      </c>
      <c r="AM83">
        <f>($B$11*$K$9+$C$11*$K$9+$D$11*(BU83*$L$9+BV83*$N$9))/($B$11+$C$11+$D$11)</f>
        <v>0</v>
      </c>
      <c r="AN83">
        <v>3</v>
      </c>
      <c r="AO83">
        <v>0.5</v>
      </c>
      <c r="AP83" t="s">
        <v>331</v>
      </c>
      <c r="AQ83">
        <v>2</v>
      </c>
      <c r="AR83">
        <v>1773200052.5</v>
      </c>
      <c r="AS83">
        <v>426.065935483871</v>
      </c>
      <c r="AT83">
        <v>423.9860322580645</v>
      </c>
      <c r="AU83">
        <v>11.17736129032258</v>
      </c>
      <c r="AV83">
        <v>10.52581290322581</v>
      </c>
      <c r="AW83">
        <v>419.8344516129033</v>
      </c>
      <c r="AX83">
        <v>11.09676774193549</v>
      </c>
      <c r="AY83">
        <v>499.9964838709677</v>
      </c>
      <c r="AZ83">
        <v>100.218064516129</v>
      </c>
      <c r="BA83">
        <v>0.04584851612903226</v>
      </c>
      <c r="BB83">
        <v>30.79581935483871</v>
      </c>
      <c r="BC83">
        <v>30.95874193548388</v>
      </c>
      <c r="BD83">
        <v>999.9000000000003</v>
      </c>
      <c r="BE83">
        <v>0</v>
      </c>
      <c r="BF83">
        <v>0</v>
      </c>
      <c r="BG83">
        <v>4998.306451612903</v>
      </c>
      <c r="BH83">
        <v>1.474830322580645</v>
      </c>
      <c r="BI83">
        <v>2124.343870967742</v>
      </c>
      <c r="BJ83">
        <v>2.079781290322581</v>
      </c>
      <c r="BK83">
        <v>430.8819677419355</v>
      </c>
      <c r="BL83">
        <v>428.4964838709677</v>
      </c>
      <c r="BM83">
        <v>0.6515416774193549</v>
      </c>
      <c r="BN83">
        <v>423.9860322580645</v>
      </c>
      <c r="BO83">
        <v>10.52581290322581</v>
      </c>
      <c r="BP83">
        <v>1.120172580645161</v>
      </c>
      <c r="BQ83">
        <v>1.054875806451613</v>
      </c>
      <c r="BR83">
        <v>8.580904516129033</v>
      </c>
      <c r="BS83">
        <v>7.69719935483871</v>
      </c>
      <c r="BT83">
        <v>0</v>
      </c>
      <c r="BU83">
        <v>0</v>
      </c>
      <c r="BV83">
        <v>0</v>
      </c>
      <c r="BW83">
        <v>36</v>
      </c>
      <c r="BX83">
        <v>54.07634193548386</v>
      </c>
      <c r="BY83">
        <v>1773196010</v>
      </c>
      <c r="BZ83" t="s">
        <v>332</v>
      </c>
      <c r="CA83">
        <v>1773196010</v>
      </c>
      <c r="CB83">
        <v>1773196005.5</v>
      </c>
      <c r="CC83">
        <v>2</v>
      </c>
      <c r="CD83">
        <v>-0.279</v>
      </c>
      <c r="CE83">
        <v>-0.021</v>
      </c>
      <c r="CF83">
        <v>6.231</v>
      </c>
      <c r="CG83">
        <v>0.081</v>
      </c>
      <c r="CH83">
        <v>432</v>
      </c>
      <c r="CI83">
        <v>21</v>
      </c>
      <c r="CJ83">
        <v>0.03</v>
      </c>
      <c r="CK83">
        <v>0.06</v>
      </c>
      <c r="CL83">
        <v>423.9816129032258</v>
      </c>
      <c r="CM83">
        <v>0.6798387096772811</v>
      </c>
      <c r="CN83">
        <v>0.05486445316052704</v>
      </c>
      <c r="CO83">
        <v>-1</v>
      </c>
      <c r="CP83">
        <v>499.9972258064515</v>
      </c>
      <c r="CQ83">
        <v>-0.1306451612919317</v>
      </c>
      <c r="CR83">
        <v>0.04770251205762827</v>
      </c>
      <c r="CS83">
        <v>-1</v>
      </c>
      <c r="CT83">
        <v>0</v>
      </c>
      <c r="CU83">
        <v>0</v>
      </c>
      <c r="CV83" t="s">
        <v>333</v>
      </c>
      <c r="CW83">
        <v>3.17076</v>
      </c>
      <c r="CX83">
        <v>2.66693</v>
      </c>
      <c r="CY83">
        <v>0.0998238</v>
      </c>
      <c r="CZ83">
        <v>0.100619</v>
      </c>
      <c r="DA83">
        <v>0.0634894</v>
      </c>
      <c r="DB83">
        <v>0.0607059</v>
      </c>
      <c r="DC83">
        <v>21330.5</v>
      </c>
      <c r="DD83">
        <v>21878.1</v>
      </c>
      <c r="DE83">
        <v>22845.9</v>
      </c>
      <c r="DF83">
        <v>22271.5</v>
      </c>
      <c r="DG83">
        <v>32354.4</v>
      </c>
      <c r="DH83">
        <v>29470.6</v>
      </c>
      <c r="DI83">
        <v>40208.9</v>
      </c>
      <c r="DJ83">
        <v>36839.6</v>
      </c>
      <c r="DK83">
        <v>2.02758</v>
      </c>
      <c r="DL83">
        <v>1.51528</v>
      </c>
      <c r="DM83">
        <v>-0.0781953</v>
      </c>
      <c r="DN83">
        <v>0</v>
      </c>
      <c r="DO83">
        <v>32.2341</v>
      </c>
      <c r="DP83">
        <v>999.9</v>
      </c>
      <c r="DQ83">
        <v>27.9</v>
      </c>
      <c r="DR83">
        <v>43.1</v>
      </c>
      <c r="DS83">
        <v>24.3124</v>
      </c>
      <c r="DT83">
        <v>30.1355</v>
      </c>
      <c r="DU83">
        <v>13.7019</v>
      </c>
      <c r="DV83">
        <v>1</v>
      </c>
      <c r="DW83">
        <v>0.876144</v>
      </c>
      <c r="DX83">
        <v>3.75739</v>
      </c>
      <c r="DY83">
        <v>20.3114</v>
      </c>
      <c r="DZ83">
        <v>5.21106</v>
      </c>
      <c r="EA83">
        <v>11.8542</v>
      </c>
      <c r="EB83">
        <v>4.96764</v>
      </c>
      <c r="EC83">
        <v>3.29298</v>
      </c>
      <c r="ED83">
        <v>879.4</v>
      </c>
      <c r="EE83">
        <v>9999</v>
      </c>
      <c r="EF83">
        <v>9999</v>
      </c>
      <c r="EG83">
        <v>77.09999999999999</v>
      </c>
      <c r="EH83">
        <v>4.9716</v>
      </c>
      <c r="EI83">
        <v>1.8721</v>
      </c>
      <c r="EJ83">
        <v>1.86951</v>
      </c>
      <c r="EK83">
        <v>1.8718</v>
      </c>
      <c r="EL83">
        <v>1.86964</v>
      </c>
      <c r="EM83">
        <v>1.86844</v>
      </c>
      <c r="EN83">
        <v>1.87023</v>
      </c>
      <c r="EO83">
        <v>1.87195</v>
      </c>
      <c r="EP83">
        <v>0</v>
      </c>
      <c r="EQ83">
        <v>0</v>
      </c>
      <c r="ER83">
        <v>0</v>
      </c>
      <c r="ES83">
        <v>0</v>
      </c>
      <c r="ET83" t="s">
        <v>334</v>
      </c>
      <c r="EU83" t="s">
        <v>335</v>
      </c>
      <c r="EV83" t="s">
        <v>336</v>
      </c>
      <c r="EW83" t="s">
        <v>336</v>
      </c>
      <c r="EX83" t="s">
        <v>336</v>
      </c>
      <c r="EY83" t="s">
        <v>336</v>
      </c>
      <c r="EZ83">
        <v>0</v>
      </c>
      <c r="FA83">
        <v>100</v>
      </c>
      <c r="FB83">
        <v>100</v>
      </c>
      <c r="FC83">
        <v>6.231</v>
      </c>
      <c r="FD83">
        <v>0.0806</v>
      </c>
      <c r="FE83">
        <v>6.23135000000002</v>
      </c>
      <c r="FF83">
        <v>0</v>
      </c>
      <c r="FG83">
        <v>0</v>
      </c>
      <c r="FH83">
        <v>0</v>
      </c>
      <c r="FI83">
        <v>0.08059047619047632</v>
      </c>
      <c r="FJ83">
        <v>0</v>
      </c>
      <c r="FK83">
        <v>0</v>
      </c>
      <c r="FL83">
        <v>0</v>
      </c>
      <c r="FM83">
        <v>-1</v>
      </c>
      <c r="FN83">
        <v>-1</v>
      </c>
      <c r="FO83">
        <v>-1</v>
      </c>
      <c r="FP83">
        <v>-1</v>
      </c>
      <c r="FQ83">
        <v>67.5</v>
      </c>
      <c r="FR83">
        <v>67.59999999999999</v>
      </c>
      <c r="FS83">
        <v>0.142822</v>
      </c>
      <c r="FT83">
        <v>4.99756</v>
      </c>
      <c r="FU83">
        <v>1.5979</v>
      </c>
      <c r="FV83">
        <v>2.11426</v>
      </c>
      <c r="FW83">
        <v>1.54785</v>
      </c>
      <c r="FX83">
        <v>2.43164</v>
      </c>
      <c r="FY83">
        <v>46.5908</v>
      </c>
      <c r="FZ83">
        <v>15.9095</v>
      </c>
      <c r="GA83">
        <v>3</v>
      </c>
      <c r="GB83">
        <v>519.8200000000001</v>
      </c>
      <c r="GC83">
        <v>297.146</v>
      </c>
      <c r="GD83">
        <v>27.705</v>
      </c>
      <c r="GE83">
        <v>37.7405</v>
      </c>
      <c r="GF83">
        <v>30.0006</v>
      </c>
      <c r="GG83">
        <v>37.6192</v>
      </c>
      <c r="GH83">
        <v>37.6108</v>
      </c>
      <c r="GI83">
        <v>-1</v>
      </c>
      <c r="GJ83">
        <v>100</v>
      </c>
      <c r="GK83">
        <v>0</v>
      </c>
      <c r="GL83">
        <v>27.7019</v>
      </c>
      <c r="GM83">
        <v>1200</v>
      </c>
      <c r="GN83">
        <v>19.4378</v>
      </c>
      <c r="GO83">
        <v>101.159</v>
      </c>
      <c r="GP83">
        <v>96.1969</v>
      </c>
    </row>
    <row r="84" spans="1:198">
      <c r="A84">
        <v>68</v>
      </c>
      <c r="B84">
        <v>1773200120.5</v>
      </c>
      <c r="C84">
        <v>4020.5</v>
      </c>
      <c r="D84" t="s">
        <v>469</v>
      </c>
      <c r="E84" t="s">
        <v>470</v>
      </c>
      <c r="F84">
        <v>15</v>
      </c>
      <c r="G84">
        <v>1773200112.5</v>
      </c>
      <c r="H84">
        <f>(I84)/1000</f>
        <v>0</v>
      </c>
      <c r="I84">
        <f>1000*AY84*AG84*(AU84-AV84)/(100*AN84*(1000-AG84*AU84))</f>
        <v>0</v>
      </c>
      <c r="J84">
        <f>AY84*AG84*(AT84-AS84*(1000-AG84*AV84)/(1000-AG84*AU84))/(100*AN84)</f>
        <v>0</v>
      </c>
      <c r="K84">
        <f>AS84 - IF(AG84&gt;1, J84*AN84*100.0/(AI84), 0)</f>
        <v>0</v>
      </c>
      <c r="L84">
        <f>((R84-H84/2)*K84-J84)/(R84+H84/2)</f>
        <v>0</v>
      </c>
      <c r="M84">
        <f>L84*(AZ84+BA84)/1000.0</f>
        <v>0</v>
      </c>
      <c r="N84">
        <f>(AS84 - IF(AG84&gt;1, J84*AN84*100.0/(AI84), 0))*(AZ84+BA84)/1000.0</f>
        <v>0</v>
      </c>
      <c r="O84">
        <f>2.0/((1/Q84-1/P84)+SIGN(Q84)*SQRT((1/Q84-1/P84)*(1/Q84-1/P84) + 4*AO84/((AO84+1)*(AO84+1))*(2*1/Q84*1/P84-1/P84*1/P84)))</f>
        <v>0</v>
      </c>
      <c r="P84">
        <f>IF(LEFT(AP84,1)&lt;&gt;"0",IF(LEFT(AP84,1)="1",3.0,AQ84),$D$5+$E$5*(BG84*AZ84/($K$5*1000))+$F$5*(BG84*AZ84/($K$5*1000))*MAX(MIN(AN84,$J$5),$I$5)*MAX(MIN(AN84,$J$5),$I$5)+$G$5*MAX(MIN(AN84,$J$5),$I$5)*(BG84*AZ84/($K$5*1000))+$H$5*(BG84*AZ84/($K$5*1000))*(BG84*AZ84/($K$5*1000)))</f>
        <v>0</v>
      </c>
      <c r="Q84">
        <f>H84*(1000-(1000*0.61365*exp(17.502*U84/(240.97+U84))/(AZ84+BA84)+AU84)/2)/(1000*0.61365*exp(17.502*U84/(240.97+U84))/(AZ84+BA84)-AU84)</f>
        <v>0</v>
      </c>
      <c r="R84">
        <f>1/((AO84+1)/(O84/1.6)+1/(P84/1.37)) + AO84/((AO84+1)/(O84/1.6) + AO84/(P84/1.37))</f>
        <v>0</v>
      </c>
      <c r="S84">
        <f>(AJ84*AM84)</f>
        <v>0</v>
      </c>
      <c r="T84">
        <f>(BB84+(S84+2*0.95*5.67E-8*(((BB84+$B$7)+273)^4-(BB84+273)^4)-44100*H84)/(1.84*29.3*P84+8*0.95*5.67E-8*(BB84+273)^3))</f>
        <v>0</v>
      </c>
      <c r="U84">
        <f>($C$7*BC84+$D$7*BD84+$E$7*T84)</f>
        <v>0</v>
      </c>
      <c r="V84">
        <f>0.61365*exp(17.502*U84/(240.97+U84))</f>
        <v>0</v>
      </c>
      <c r="W84">
        <f>(X84/Y84*100)</f>
        <v>0</v>
      </c>
      <c r="X84">
        <f>AU84*(AZ84+BA84)/1000</f>
        <v>0</v>
      </c>
      <c r="Y84">
        <f>0.61365*exp(17.502*BB84/(240.97+BB84))</f>
        <v>0</v>
      </c>
      <c r="Z84">
        <f>(V84-AU84*(AZ84+BA84)/1000)</f>
        <v>0</v>
      </c>
      <c r="AA84">
        <f>(-H84*44100)</f>
        <v>0</v>
      </c>
      <c r="AB84">
        <f>2*29.3*P84*0.92*(BB84-U84)</f>
        <v>0</v>
      </c>
      <c r="AC84">
        <f>2*0.95*5.67E-8*(((BB84+$B$7)+273)^4-(U84+273)^4)</f>
        <v>0</v>
      </c>
      <c r="AD84">
        <f>S84+AC84+AA84+AB84</f>
        <v>0</v>
      </c>
      <c r="AE84">
        <v>0</v>
      </c>
      <c r="AF84">
        <v>0</v>
      </c>
      <c r="AG84">
        <f>IF(AE84*$H$13&gt;=AI84,1.0,(AI84/(AI84-AE84*$H$13)))</f>
        <v>0</v>
      </c>
      <c r="AH84">
        <f>(AG84-1)*100</f>
        <v>0</v>
      </c>
      <c r="AI84">
        <f>MAX(0,($B$13+$C$13*BG84)/(1+$D$13*BG84)*AZ84/(BB84+273)*$E$13)</f>
        <v>0</v>
      </c>
      <c r="AJ84">
        <f>$B$11*BH84+$C$11*BI84+$D$11*BT84</f>
        <v>0</v>
      </c>
      <c r="AK84">
        <f>AJ84*AL84</f>
        <v>0</v>
      </c>
      <c r="AL84">
        <f>($B$11*$D$9+$C$11*$D$9+$D$11*(BU84*$E$9+BV84*$G$9))/($B$11+$C$11+$D$11)</f>
        <v>0</v>
      </c>
      <c r="AM84">
        <f>($B$11*$K$9+$C$11*$K$9+$D$11*(BU84*$L$9+BV84*$N$9))/($B$11+$C$11+$D$11)</f>
        <v>0</v>
      </c>
      <c r="AN84">
        <v>3</v>
      </c>
      <c r="AO84">
        <v>0.5</v>
      </c>
      <c r="AP84" t="s">
        <v>331</v>
      </c>
      <c r="AQ84">
        <v>2</v>
      </c>
      <c r="AR84">
        <v>1773200112.5</v>
      </c>
      <c r="AS84">
        <v>426.265129032258</v>
      </c>
      <c r="AT84">
        <v>424.1327419354839</v>
      </c>
      <c r="AU84">
        <v>11.25862903225807</v>
      </c>
      <c r="AV84">
        <v>10.63313225806452</v>
      </c>
      <c r="AW84">
        <v>420.0339354838709</v>
      </c>
      <c r="AX84">
        <v>11.17803225806451</v>
      </c>
      <c r="AY84">
        <v>500.0093870967741</v>
      </c>
      <c r="AZ84">
        <v>100.2159677419355</v>
      </c>
      <c r="BA84">
        <v>0.04595644516129032</v>
      </c>
      <c r="BB84">
        <v>30.81950967741935</v>
      </c>
      <c r="BC84">
        <v>31.00281935483871</v>
      </c>
      <c r="BD84">
        <v>999.9000000000003</v>
      </c>
      <c r="BE84">
        <v>0</v>
      </c>
      <c r="BF84">
        <v>0</v>
      </c>
      <c r="BG84">
        <v>5011.096774193548</v>
      </c>
      <c r="BH84">
        <v>1.434821290322581</v>
      </c>
      <c r="BI84">
        <v>2125.256451612903</v>
      </c>
      <c r="BJ84">
        <v>2.132456774193548</v>
      </c>
      <c r="BK84">
        <v>431.1188709677419</v>
      </c>
      <c r="BL84">
        <v>428.6911290322581</v>
      </c>
      <c r="BM84">
        <v>0.6254936451612904</v>
      </c>
      <c r="BN84">
        <v>424.1327419354839</v>
      </c>
      <c r="BO84">
        <v>10.63313225806452</v>
      </c>
      <c r="BP84">
        <v>1.128293225806452</v>
      </c>
      <c r="BQ84">
        <v>1.065607741935484</v>
      </c>
      <c r="BR84">
        <v>8.687606774193551</v>
      </c>
      <c r="BS84">
        <v>7.845702258064517</v>
      </c>
      <c r="BT84">
        <v>0</v>
      </c>
      <c r="BU84">
        <v>0</v>
      </c>
      <c r="BV84">
        <v>0</v>
      </c>
      <c r="BW84">
        <v>36</v>
      </c>
      <c r="BX84">
        <v>54.11827741935484</v>
      </c>
      <c r="BY84">
        <v>1773196010</v>
      </c>
      <c r="BZ84" t="s">
        <v>332</v>
      </c>
      <c r="CA84">
        <v>1773196010</v>
      </c>
      <c r="CB84">
        <v>1773196005.5</v>
      </c>
      <c r="CC84">
        <v>2</v>
      </c>
      <c r="CD84">
        <v>-0.279</v>
      </c>
      <c r="CE84">
        <v>-0.021</v>
      </c>
      <c r="CF84">
        <v>6.231</v>
      </c>
      <c r="CG84">
        <v>0.081</v>
      </c>
      <c r="CH84">
        <v>432</v>
      </c>
      <c r="CI84">
        <v>21</v>
      </c>
      <c r="CJ84">
        <v>0.03</v>
      </c>
      <c r="CK84">
        <v>0.06</v>
      </c>
      <c r="CL84">
        <v>424.1229333333334</v>
      </c>
      <c r="CM84">
        <v>0.9570634037813699</v>
      </c>
      <c r="CN84">
        <v>0.0715271199538242</v>
      </c>
      <c r="CO84">
        <v>-1</v>
      </c>
      <c r="CP84">
        <v>500.0043999999999</v>
      </c>
      <c r="CQ84">
        <v>0.7630878754179424</v>
      </c>
      <c r="CR84">
        <v>0.09285278671100806</v>
      </c>
      <c r="CS84">
        <v>-1</v>
      </c>
      <c r="CT84">
        <v>0</v>
      </c>
      <c r="CU84">
        <v>0</v>
      </c>
      <c r="CV84" t="s">
        <v>333</v>
      </c>
      <c r="CW84">
        <v>3.17065</v>
      </c>
      <c r="CX84">
        <v>2.66702</v>
      </c>
      <c r="CY84">
        <v>0.0998457</v>
      </c>
      <c r="CZ84">
        <v>0.100635</v>
      </c>
      <c r="DA84">
        <v>0.06384140000000001</v>
      </c>
      <c r="DB84">
        <v>0.0611731</v>
      </c>
      <c r="DC84">
        <v>21326.5</v>
      </c>
      <c r="DD84">
        <v>21875.2</v>
      </c>
      <c r="DE84">
        <v>22842.5</v>
      </c>
      <c r="DF84">
        <v>22269.1</v>
      </c>
      <c r="DG84">
        <v>32337.7</v>
      </c>
      <c r="DH84">
        <v>29452.5</v>
      </c>
      <c r="DI84">
        <v>40203.4</v>
      </c>
      <c r="DJ84">
        <v>36835.5</v>
      </c>
      <c r="DK84">
        <v>2.0266</v>
      </c>
      <c r="DL84">
        <v>1.5134</v>
      </c>
      <c r="DM84">
        <v>-0.08074340000000001</v>
      </c>
      <c r="DN84">
        <v>0</v>
      </c>
      <c r="DO84">
        <v>32.3118</v>
      </c>
      <c r="DP84">
        <v>999.9</v>
      </c>
      <c r="DQ84">
        <v>27.6</v>
      </c>
      <c r="DR84">
        <v>43.2</v>
      </c>
      <c r="DS84">
        <v>24.1784</v>
      </c>
      <c r="DT84">
        <v>29.6555</v>
      </c>
      <c r="DU84">
        <v>13.9824</v>
      </c>
      <c r="DV84">
        <v>1</v>
      </c>
      <c r="DW84">
        <v>0.884278</v>
      </c>
      <c r="DX84">
        <v>4.08249</v>
      </c>
      <c r="DY84">
        <v>20.3019</v>
      </c>
      <c r="DZ84">
        <v>5.20986</v>
      </c>
      <c r="EA84">
        <v>11.8544</v>
      </c>
      <c r="EB84">
        <v>4.96716</v>
      </c>
      <c r="EC84">
        <v>3.293</v>
      </c>
      <c r="ED84">
        <v>879.4</v>
      </c>
      <c r="EE84">
        <v>9999</v>
      </c>
      <c r="EF84">
        <v>9999</v>
      </c>
      <c r="EG84">
        <v>77.09999999999999</v>
      </c>
      <c r="EH84">
        <v>4.97156</v>
      </c>
      <c r="EI84">
        <v>1.8721</v>
      </c>
      <c r="EJ84">
        <v>1.8695</v>
      </c>
      <c r="EK84">
        <v>1.8718</v>
      </c>
      <c r="EL84">
        <v>1.86964</v>
      </c>
      <c r="EM84">
        <v>1.86843</v>
      </c>
      <c r="EN84">
        <v>1.87023</v>
      </c>
      <c r="EO84">
        <v>1.87195</v>
      </c>
      <c r="EP84">
        <v>0</v>
      </c>
      <c r="EQ84">
        <v>0</v>
      </c>
      <c r="ER84">
        <v>0</v>
      </c>
      <c r="ES84">
        <v>0</v>
      </c>
      <c r="ET84" t="s">
        <v>334</v>
      </c>
      <c r="EU84" t="s">
        <v>335</v>
      </c>
      <c r="EV84" t="s">
        <v>336</v>
      </c>
      <c r="EW84" t="s">
        <v>336</v>
      </c>
      <c r="EX84" t="s">
        <v>336</v>
      </c>
      <c r="EY84" t="s">
        <v>336</v>
      </c>
      <c r="EZ84">
        <v>0</v>
      </c>
      <c r="FA84">
        <v>100</v>
      </c>
      <c r="FB84">
        <v>100</v>
      </c>
      <c r="FC84">
        <v>6.231</v>
      </c>
      <c r="FD84">
        <v>0.0806</v>
      </c>
      <c r="FE84">
        <v>6.23135000000002</v>
      </c>
      <c r="FF84">
        <v>0</v>
      </c>
      <c r="FG84">
        <v>0</v>
      </c>
      <c r="FH84">
        <v>0</v>
      </c>
      <c r="FI84">
        <v>0.08059047619047632</v>
      </c>
      <c r="FJ84">
        <v>0</v>
      </c>
      <c r="FK84">
        <v>0</v>
      </c>
      <c r="FL84">
        <v>0</v>
      </c>
      <c r="FM84">
        <v>-1</v>
      </c>
      <c r="FN84">
        <v>-1</v>
      </c>
      <c r="FO84">
        <v>-1</v>
      </c>
      <c r="FP84">
        <v>-1</v>
      </c>
      <c r="FQ84">
        <v>68.5</v>
      </c>
      <c r="FR84">
        <v>68.59999999999999</v>
      </c>
      <c r="FS84">
        <v>0.142822</v>
      </c>
      <c r="FT84">
        <v>4.99756</v>
      </c>
      <c r="FU84">
        <v>1.5979</v>
      </c>
      <c r="FV84">
        <v>2.11426</v>
      </c>
      <c r="FW84">
        <v>1.54785</v>
      </c>
      <c r="FX84">
        <v>2.41455</v>
      </c>
      <c r="FY84">
        <v>46.7084</v>
      </c>
      <c r="FZ84">
        <v>15.9007</v>
      </c>
      <c r="GA84">
        <v>3</v>
      </c>
      <c r="GB84">
        <v>519.595</v>
      </c>
      <c r="GC84">
        <v>296.457</v>
      </c>
      <c r="GD84">
        <v>27.5134</v>
      </c>
      <c r="GE84">
        <v>37.8089</v>
      </c>
      <c r="GF84">
        <v>30.0004</v>
      </c>
      <c r="GG84">
        <v>37.6742</v>
      </c>
      <c r="GH84">
        <v>37.6622</v>
      </c>
      <c r="GI84">
        <v>-1</v>
      </c>
      <c r="GJ84">
        <v>100</v>
      </c>
      <c r="GK84">
        <v>0</v>
      </c>
      <c r="GL84">
        <v>27.5078</v>
      </c>
      <c r="GM84">
        <v>1200</v>
      </c>
      <c r="GN84">
        <v>19.4378</v>
      </c>
      <c r="GO84">
        <v>101.145</v>
      </c>
      <c r="GP84">
        <v>96.1863</v>
      </c>
    </row>
    <row r="85" spans="1:198">
      <c r="A85">
        <v>69</v>
      </c>
      <c r="B85">
        <v>1773200180.5</v>
      </c>
      <c r="C85">
        <v>4080.5</v>
      </c>
      <c r="D85" t="s">
        <v>471</v>
      </c>
      <c r="E85" t="s">
        <v>472</v>
      </c>
      <c r="F85">
        <v>15</v>
      </c>
      <c r="G85">
        <v>1773200172.5</v>
      </c>
      <c r="H85">
        <f>(I85)/1000</f>
        <v>0</v>
      </c>
      <c r="I85">
        <f>1000*AY85*AG85*(AU85-AV85)/(100*AN85*(1000-AG85*AU85))</f>
        <v>0</v>
      </c>
      <c r="J85">
        <f>AY85*AG85*(AT85-AS85*(1000-AG85*AV85)/(1000-AG85*AU85))/(100*AN85)</f>
        <v>0</v>
      </c>
      <c r="K85">
        <f>AS85 - IF(AG85&gt;1, J85*AN85*100.0/(AI85), 0)</f>
        <v>0</v>
      </c>
      <c r="L85">
        <f>((R85-H85/2)*K85-J85)/(R85+H85/2)</f>
        <v>0</v>
      </c>
      <c r="M85">
        <f>L85*(AZ85+BA85)/1000.0</f>
        <v>0</v>
      </c>
      <c r="N85">
        <f>(AS85 - IF(AG85&gt;1, J85*AN85*100.0/(AI85), 0))*(AZ85+BA85)/1000.0</f>
        <v>0</v>
      </c>
      <c r="O85">
        <f>2.0/((1/Q85-1/P85)+SIGN(Q85)*SQRT((1/Q85-1/P85)*(1/Q85-1/P85) + 4*AO85/((AO85+1)*(AO85+1))*(2*1/Q85*1/P85-1/P85*1/P85)))</f>
        <v>0</v>
      </c>
      <c r="P85">
        <f>IF(LEFT(AP85,1)&lt;&gt;"0",IF(LEFT(AP85,1)="1",3.0,AQ85),$D$5+$E$5*(BG85*AZ85/($K$5*1000))+$F$5*(BG85*AZ85/($K$5*1000))*MAX(MIN(AN85,$J$5),$I$5)*MAX(MIN(AN85,$J$5),$I$5)+$G$5*MAX(MIN(AN85,$J$5),$I$5)*(BG85*AZ85/($K$5*1000))+$H$5*(BG85*AZ85/($K$5*1000))*(BG85*AZ85/($K$5*1000)))</f>
        <v>0</v>
      </c>
      <c r="Q85">
        <f>H85*(1000-(1000*0.61365*exp(17.502*U85/(240.97+U85))/(AZ85+BA85)+AU85)/2)/(1000*0.61365*exp(17.502*U85/(240.97+U85))/(AZ85+BA85)-AU85)</f>
        <v>0</v>
      </c>
      <c r="R85">
        <f>1/((AO85+1)/(O85/1.6)+1/(P85/1.37)) + AO85/((AO85+1)/(O85/1.6) + AO85/(P85/1.37))</f>
        <v>0</v>
      </c>
      <c r="S85">
        <f>(AJ85*AM85)</f>
        <v>0</v>
      </c>
      <c r="T85">
        <f>(BB85+(S85+2*0.95*5.67E-8*(((BB85+$B$7)+273)^4-(BB85+273)^4)-44100*H85)/(1.84*29.3*P85+8*0.95*5.67E-8*(BB85+273)^3))</f>
        <v>0</v>
      </c>
      <c r="U85">
        <f>($C$7*BC85+$D$7*BD85+$E$7*T85)</f>
        <v>0</v>
      </c>
      <c r="V85">
        <f>0.61365*exp(17.502*U85/(240.97+U85))</f>
        <v>0</v>
      </c>
      <c r="W85">
        <f>(X85/Y85*100)</f>
        <v>0</v>
      </c>
      <c r="X85">
        <f>AU85*(AZ85+BA85)/1000</f>
        <v>0</v>
      </c>
      <c r="Y85">
        <f>0.61365*exp(17.502*BB85/(240.97+BB85))</f>
        <v>0</v>
      </c>
      <c r="Z85">
        <f>(V85-AU85*(AZ85+BA85)/1000)</f>
        <v>0</v>
      </c>
      <c r="AA85">
        <f>(-H85*44100)</f>
        <v>0</v>
      </c>
      <c r="AB85">
        <f>2*29.3*P85*0.92*(BB85-U85)</f>
        <v>0</v>
      </c>
      <c r="AC85">
        <f>2*0.95*5.67E-8*(((BB85+$B$7)+273)^4-(U85+273)^4)</f>
        <v>0</v>
      </c>
      <c r="AD85">
        <f>S85+AC85+AA85+AB85</f>
        <v>0</v>
      </c>
      <c r="AE85">
        <v>0</v>
      </c>
      <c r="AF85">
        <v>0</v>
      </c>
      <c r="AG85">
        <f>IF(AE85*$H$13&gt;=AI85,1.0,(AI85/(AI85-AE85*$H$13)))</f>
        <v>0</v>
      </c>
      <c r="AH85">
        <f>(AG85-1)*100</f>
        <v>0</v>
      </c>
      <c r="AI85">
        <f>MAX(0,($B$13+$C$13*BG85)/(1+$D$13*BG85)*AZ85/(BB85+273)*$E$13)</f>
        <v>0</v>
      </c>
      <c r="AJ85">
        <f>$B$11*BH85+$C$11*BI85+$D$11*BT85</f>
        <v>0</v>
      </c>
      <c r="AK85">
        <f>AJ85*AL85</f>
        <v>0</v>
      </c>
      <c r="AL85">
        <f>($B$11*$D$9+$C$11*$D$9+$D$11*(BU85*$E$9+BV85*$G$9))/($B$11+$C$11+$D$11)</f>
        <v>0</v>
      </c>
      <c r="AM85">
        <f>($B$11*$K$9+$C$11*$K$9+$D$11*(BU85*$L$9+BV85*$N$9))/($B$11+$C$11+$D$11)</f>
        <v>0</v>
      </c>
      <c r="AN85">
        <v>3</v>
      </c>
      <c r="AO85">
        <v>0.5</v>
      </c>
      <c r="AP85" t="s">
        <v>331</v>
      </c>
      <c r="AQ85">
        <v>2</v>
      </c>
      <c r="AR85">
        <v>1773200172.5</v>
      </c>
      <c r="AS85">
        <v>426.5443225806451</v>
      </c>
      <c r="AT85">
        <v>424.5011290322581</v>
      </c>
      <c r="AU85">
        <v>11.31167096774194</v>
      </c>
      <c r="AV85">
        <v>10.70320322580645</v>
      </c>
      <c r="AW85">
        <v>420.312806451613</v>
      </c>
      <c r="AX85">
        <v>11.23108064516129</v>
      </c>
      <c r="AY85">
        <v>499.9828387096774</v>
      </c>
      <c r="AZ85">
        <v>100.2154193548387</v>
      </c>
      <c r="BA85">
        <v>0.0458514129032258</v>
      </c>
      <c r="BB85">
        <v>30.80242903225806</v>
      </c>
      <c r="BC85">
        <v>30.98296774193548</v>
      </c>
      <c r="BD85">
        <v>999.9000000000003</v>
      </c>
      <c r="BE85">
        <v>0</v>
      </c>
      <c r="BF85">
        <v>0</v>
      </c>
      <c r="BG85">
        <v>4998.016129032259</v>
      </c>
      <c r="BH85">
        <v>1.459448709677419</v>
      </c>
      <c r="BI85">
        <v>2114.6</v>
      </c>
      <c r="BJ85">
        <v>2.043092903225806</v>
      </c>
      <c r="BK85">
        <v>431.4243870967742</v>
      </c>
      <c r="BL85">
        <v>429.0937096774193</v>
      </c>
      <c r="BM85">
        <v>0.6084658064516129</v>
      </c>
      <c r="BN85">
        <v>424.5011290322581</v>
      </c>
      <c r="BO85">
        <v>10.70320322580645</v>
      </c>
      <c r="BP85">
        <v>1.133601612903226</v>
      </c>
      <c r="BQ85">
        <v>1.072625483870968</v>
      </c>
      <c r="BR85">
        <v>8.757016451612904</v>
      </c>
      <c r="BS85">
        <v>7.942083548387096</v>
      </c>
      <c r="BT85">
        <v>0</v>
      </c>
      <c r="BU85">
        <v>0</v>
      </c>
      <c r="BV85">
        <v>0</v>
      </c>
      <c r="BW85">
        <v>36</v>
      </c>
      <c r="BX85">
        <v>54</v>
      </c>
      <c r="BY85">
        <v>1773196010</v>
      </c>
      <c r="BZ85" t="s">
        <v>332</v>
      </c>
      <c r="CA85">
        <v>1773196010</v>
      </c>
      <c r="CB85">
        <v>1773196005.5</v>
      </c>
      <c r="CC85">
        <v>2</v>
      </c>
      <c r="CD85">
        <v>-0.279</v>
      </c>
      <c r="CE85">
        <v>-0.021</v>
      </c>
      <c r="CF85">
        <v>6.231</v>
      </c>
      <c r="CG85">
        <v>0.081</v>
      </c>
      <c r="CH85">
        <v>432</v>
      </c>
      <c r="CI85">
        <v>21</v>
      </c>
      <c r="CJ85">
        <v>0.03</v>
      </c>
      <c r="CK85">
        <v>0.06</v>
      </c>
      <c r="CL85">
        <v>424.4936666666666</v>
      </c>
      <c r="CM85">
        <v>0.6416729699655017</v>
      </c>
      <c r="CN85">
        <v>0.04795229110503905</v>
      </c>
      <c r="CO85">
        <v>-1</v>
      </c>
      <c r="CP85">
        <v>499.9836666666667</v>
      </c>
      <c r="CQ85">
        <v>0.129477196886208</v>
      </c>
      <c r="CR85">
        <v>0.06013281596229762</v>
      </c>
      <c r="CS85">
        <v>-1</v>
      </c>
      <c r="CT85">
        <v>0</v>
      </c>
      <c r="CU85">
        <v>0</v>
      </c>
      <c r="CV85" t="s">
        <v>333</v>
      </c>
      <c r="CW85">
        <v>3.17079</v>
      </c>
      <c r="CX85">
        <v>2.6667</v>
      </c>
      <c r="CY85">
        <v>0.099899</v>
      </c>
      <c r="CZ85">
        <v>0.100688</v>
      </c>
      <c r="DA85">
        <v>0.06404509999999999</v>
      </c>
      <c r="DB85">
        <v>0.0614569</v>
      </c>
      <c r="DC85">
        <v>21324</v>
      </c>
      <c r="DD85">
        <v>21874.3</v>
      </c>
      <c r="DE85">
        <v>22841.4</v>
      </c>
      <c r="DF85">
        <v>22269.5</v>
      </c>
      <c r="DG85">
        <v>32329</v>
      </c>
      <c r="DH85">
        <v>29444.1</v>
      </c>
      <c r="DI85">
        <v>40201.5</v>
      </c>
      <c r="DJ85">
        <v>36836.1</v>
      </c>
      <c r="DK85">
        <v>2.02646</v>
      </c>
      <c r="DL85">
        <v>1.51142</v>
      </c>
      <c r="DM85">
        <v>-0.0821084</v>
      </c>
      <c r="DN85">
        <v>0</v>
      </c>
      <c r="DO85">
        <v>32.3118</v>
      </c>
      <c r="DP85">
        <v>999.9</v>
      </c>
      <c r="DQ85">
        <v>27.7</v>
      </c>
      <c r="DR85">
        <v>43.3</v>
      </c>
      <c r="DS85">
        <v>24.3926</v>
      </c>
      <c r="DT85">
        <v>30.1655</v>
      </c>
      <c r="DU85">
        <v>13.8622</v>
      </c>
      <c r="DV85">
        <v>1</v>
      </c>
      <c r="DW85">
        <v>0.885104</v>
      </c>
      <c r="DX85">
        <v>3.51502</v>
      </c>
      <c r="DY85">
        <v>20.3178</v>
      </c>
      <c r="DZ85">
        <v>5.20998</v>
      </c>
      <c r="EA85">
        <v>11.8542</v>
      </c>
      <c r="EB85">
        <v>4.96728</v>
      </c>
      <c r="EC85">
        <v>3.29298</v>
      </c>
      <c r="ED85">
        <v>879.4</v>
      </c>
      <c r="EE85">
        <v>9999</v>
      </c>
      <c r="EF85">
        <v>9999</v>
      </c>
      <c r="EG85">
        <v>77.2</v>
      </c>
      <c r="EH85">
        <v>4.97157</v>
      </c>
      <c r="EI85">
        <v>1.8721</v>
      </c>
      <c r="EJ85">
        <v>1.86951</v>
      </c>
      <c r="EK85">
        <v>1.8718</v>
      </c>
      <c r="EL85">
        <v>1.86962</v>
      </c>
      <c r="EM85">
        <v>1.86842</v>
      </c>
      <c r="EN85">
        <v>1.87024</v>
      </c>
      <c r="EO85">
        <v>1.87195</v>
      </c>
      <c r="EP85">
        <v>0</v>
      </c>
      <c r="EQ85">
        <v>0</v>
      </c>
      <c r="ER85">
        <v>0</v>
      </c>
      <c r="ES85">
        <v>0</v>
      </c>
      <c r="ET85" t="s">
        <v>334</v>
      </c>
      <c r="EU85" t="s">
        <v>335</v>
      </c>
      <c r="EV85" t="s">
        <v>336</v>
      </c>
      <c r="EW85" t="s">
        <v>336</v>
      </c>
      <c r="EX85" t="s">
        <v>336</v>
      </c>
      <c r="EY85" t="s">
        <v>336</v>
      </c>
      <c r="EZ85">
        <v>0</v>
      </c>
      <c r="FA85">
        <v>100</v>
      </c>
      <c r="FB85">
        <v>100</v>
      </c>
      <c r="FC85">
        <v>6.231</v>
      </c>
      <c r="FD85">
        <v>0.0806</v>
      </c>
      <c r="FE85">
        <v>6.23135000000002</v>
      </c>
      <c r="FF85">
        <v>0</v>
      </c>
      <c r="FG85">
        <v>0</v>
      </c>
      <c r="FH85">
        <v>0</v>
      </c>
      <c r="FI85">
        <v>0.08059047619047632</v>
      </c>
      <c r="FJ85">
        <v>0</v>
      </c>
      <c r="FK85">
        <v>0</v>
      </c>
      <c r="FL85">
        <v>0</v>
      </c>
      <c r="FM85">
        <v>-1</v>
      </c>
      <c r="FN85">
        <v>-1</v>
      </c>
      <c r="FO85">
        <v>-1</v>
      </c>
      <c r="FP85">
        <v>-1</v>
      </c>
      <c r="FQ85">
        <v>69.5</v>
      </c>
      <c r="FR85">
        <v>69.59999999999999</v>
      </c>
      <c r="FS85">
        <v>0.142822</v>
      </c>
      <c r="FT85">
        <v>4.99756</v>
      </c>
      <c r="FU85">
        <v>1.5979</v>
      </c>
      <c r="FV85">
        <v>2.11426</v>
      </c>
      <c r="FW85">
        <v>1.54785</v>
      </c>
      <c r="FX85">
        <v>2.43896</v>
      </c>
      <c r="FY85">
        <v>46.7969</v>
      </c>
      <c r="FZ85">
        <v>15.9095</v>
      </c>
      <c r="GA85">
        <v>3</v>
      </c>
      <c r="GB85">
        <v>519.737</v>
      </c>
      <c r="GC85">
        <v>295.631</v>
      </c>
      <c r="GD85">
        <v>27.3901</v>
      </c>
      <c r="GE85">
        <v>37.8435</v>
      </c>
      <c r="GF85">
        <v>29.9991</v>
      </c>
      <c r="GG85">
        <v>37.7064</v>
      </c>
      <c r="GH85">
        <v>37.6906</v>
      </c>
      <c r="GI85">
        <v>-1</v>
      </c>
      <c r="GJ85">
        <v>100</v>
      </c>
      <c r="GK85">
        <v>0</v>
      </c>
      <c r="GL85">
        <v>27.5338</v>
      </c>
      <c r="GM85">
        <v>1200</v>
      </c>
      <c r="GN85">
        <v>19.4378</v>
      </c>
      <c r="GO85">
        <v>101.14</v>
      </c>
      <c r="GP85">
        <v>96.18810000000001</v>
      </c>
    </row>
    <row r="86" spans="1:198">
      <c r="A86">
        <v>70</v>
      </c>
      <c r="B86">
        <v>1773200240.5</v>
      </c>
      <c r="C86">
        <v>4140.5</v>
      </c>
      <c r="D86" t="s">
        <v>473</v>
      </c>
      <c r="E86" t="s">
        <v>474</v>
      </c>
      <c r="F86">
        <v>15</v>
      </c>
      <c r="G86">
        <v>1773200232.5</v>
      </c>
      <c r="H86">
        <f>(I86)/1000</f>
        <v>0</v>
      </c>
      <c r="I86">
        <f>1000*AY86*AG86*(AU86-AV86)/(100*AN86*(1000-AG86*AU86))</f>
        <v>0</v>
      </c>
      <c r="J86">
        <f>AY86*AG86*(AT86-AS86*(1000-AG86*AV86)/(1000-AG86*AU86))/(100*AN86)</f>
        <v>0</v>
      </c>
      <c r="K86">
        <f>AS86 - IF(AG86&gt;1, J86*AN86*100.0/(AI86), 0)</f>
        <v>0</v>
      </c>
      <c r="L86">
        <f>((R86-H86/2)*K86-J86)/(R86+H86/2)</f>
        <v>0</v>
      </c>
      <c r="M86">
        <f>L86*(AZ86+BA86)/1000.0</f>
        <v>0</v>
      </c>
      <c r="N86">
        <f>(AS86 - IF(AG86&gt;1, J86*AN86*100.0/(AI86), 0))*(AZ86+BA86)/1000.0</f>
        <v>0</v>
      </c>
      <c r="O86">
        <f>2.0/((1/Q86-1/P86)+SIGN(Q86)*SQRT((1/Q86-1/P86)*(1/Q86-1/P86) + 4*AO86/((AO86+1)*(AO86+1))*(2*1/Q86*1/P86-1/P86*1/P86)))</f>
        <v>0</v>
      </c>
      <c r="P86">
        <f>IF(LEFT(AP86,1)&lt;&gt;"0",IF(LEFT(AP86,1)="1",3.0,AQ86),$D$5+$E$5*(BG86*AZ86/($K$5*1000))+$F$5*(BG86*AZ86/($K$5*1000))*MAX(MIN(AN86,$J$5),$I$5)*MAX(MIN(AN86,$J$5),$I$5)+$G$5*MAX(MIN(AN86,$J$5),$I$5)*(BG86*AZ86/($K$5*1000))+$H$5*(BG86*AZ86/($K$5*1000))*(BG86*AZ86/($K$5*1000)))</f>
        <v>0</v>
      </c>
      <c r="Q86">
        <f>H86*(1000-(1000*0.61365*exp(17.502*U86/(240.97+U86))/(AZ86+BA86)+AU86)/2)/(1000*0.61365*exp(17.502*U86/(240.97+U86))/(AZ86+BA86)-AU86)</f>
        <v>0</v>
      </c>
      <c r="R86">
        <f>1/((AO86+1)/(O86/1.6)+1/(P86/1.37)) + AO86/((AO86+1)/(O86/1.6) + AO86/(P86/1.37))</f>
        <v>0</v>
      </c>
      <c r="S86">
        <f>(AJ86*AM86)</f>
        <v>0</v>
      </c>
      <c r="T86">
        <f>(BB86+(S86+2*0.95*5.67E-8*(((BB86+$B$7)+273)^4-(BB86+273)^4)-44100*H86)/(1.84*29.3*P86+8*0.95*5.67E-8*(BB86+273)^3))</f>
        <v>0</v>
      </c>
      <c r="U86">
        <f>($C$7*BC86+$D$7*BD86+$E$7*T86)</f>
        <v>0</v>
      </c>
      <c r="V86">
        <f>0.61365*exp(17.502*U86/(240.97+U86))</f>
        <v>0</v>
      </c>
      <c r="W86">
        <f>(X86/Y86*100)</f>
        <v>0</v>
      </c>
      <c r="X86">
        <f>AU86*(AZ86+BA86)/1000</f>
        <v>0</v>
      </c>
      <c r="Y86">
        <f>0.61365*exp(17.502*BB86/(240.97+BB86))</f>
        <v>0</v>
      </c>
      <c r="Z86">
        <f>(V86-AU86*(AZ86+BA86)/1000)</f>
        <v>0</v>
      </c>
      <c r="AA86">
        <f>(-H86*44100)</f>
        <v>0</v>
      </c>
      <c r="AB86">
        <f>2*29.3*P86*0.92*(BB86-U86)</f>
        <v>0</v>
      </c>
      <c r="AC86">
        <f>2*0.95*5.67E-8*(((BB86+$B$7)+273)^4-(U86+273)^4)</f>
        <v>0</v>
      </c>
      <c r="AD86">
        <f>S86+AC86+AA86+AB86</f>
        <v>0</v>
      </c>
      <c r="AE86">
        <v>0</v>
      </c>
      <c r="AF86">
        <v>0</v>
      </c>
      <c r="AG86">
        <f>IF(AE86*$H$13&gt;=AI86,1.0,(AI86/(AI86-AE86*$H$13)))</f>
        <v>0</v>
      </c>
      <c r="AH86">
        <f>(AG86-1)*100</f>
        <v>0</v>
      </c>
      <c r="AI86">
        <f>MAX(0,($B$13+$C$13*BG86)/(1+$D$13*BG86)*AZ86/(BB86+273)*$E$13)</f>
        <v>0</v>
      </c>
      <c r="AJ86">
        <f>$B$11*BH86+$C$11*BI86+$D$11*BT86</f>
        <v>0</v>
      </c>
      <c r="AK86">
        <f>AJ86*AL86</f>
        <v>0</v>
      </c>
      <c r="AL86">
        <f>($B$11*$D$9+$C$11*$D$9+$D$11*(BU86*$E$9+BV86*$G$9))/($B$11+$C$11+$D$11)</f>
        <v>0</v>
      </c>
      <c r="AM86">
        <f>($B$11*$K$9+$C$11*$K$9+$D$11*(BU86*$L$9+BV86*$N$9))/($B$11+$C$11+$D$11)</f>
        <v>0</v>
      </c>
      <c r="AN86">
        <v>3</v>
      </c>
      <c r="AO86">
        <v>0.5</v>
      </c>
      <c r="AP86" t="s">
        <v>331</v>
      </c>
      <c r="AQ86">
        <v>2</v>
      </c>
      <c r="AR86">
        <v>1773200232.5</v>
      </c>
      <c r="AS86">
        <v>426.7250000000001</v>
      </c>
      <c r="AT86">
        <v>424.5650322580644</v>
      </c>
      <c r="AU86">
        <v>11.33318709677419</v>
      </c>
      <c r="AV86">
        <v>10.73900322580645</v>
      </c>
      <c r="AW86">
        <v>420.4936774193549</v>
      </c>
      <c r="AX86">
        <v>11.2526</v>
      </c>
      <c r="AY86">
        <v>500.0007419354839</v>
      </c>
      <c r="AZ86">
        <v>100.2146129032258</v>
      </c>
      <c r="BA86">
        <v>0.04595880967741935</v>
      </c>
      <c r="BB86">
        <v>30.81332258064515</v>
      </c>
      <c r="BC86">
        <v>31.01257419354839</v>
      </c>
      <c r="BD86">
        <v>999.9000000000003</v>
      </c>
      <c r="BE86">
        <v>0</v>
      </c>
      <c r="BF86">
        <v>0</v>
      </c>
      <c r="BG86">
        <v>5011.806451612903</v>
      </c>
      <c r="BH86">
        <v>1.435991612903226</v>
      </c>
      <c r="BI86">
        <v>2132.401935483871</v>
      </c>
      <c r="BJ86">
        <v>2.159938387096774</v>
      </c>
      <c r="BK86">
        <v>431.6166129032258</v>
      </c>
      <c r="BL86">
        <v>429.1740322580645</v>
      </c>
      <c r="BM86">
        <v>0.5941821612903225</v>
      </c>
      <c r="BN86">
        <v>424.5650322580644</v>
      </c>
      <c r="BO86">
        <v>10.73900322580645</v>
      </c>
      <c r="BP86">
        <v>1.135750322580645</v>
      </c>
      <c r="BQ86">
        <v>1.076205161290323</v>
      </c>
      <c r="BR86">
        <v>8.785012258064516</v>
      </c>
      <c r="BS86">
        <v>7.991040645161291</v>
      </c>
      <c r="BT86">
        <v>0</v>
      </c>
      <c r="BU86">
        <v>0</v>
      </c>
      <c r="BV86">
        <v>0</v>
      </c>
      <c r="BW86">
        <v>36</v>
      </c>
      <c r="BX86">
        <v>54.7043</v>
      </c>
      <c r="BY86">
        <v>1773196010</v>
      </c>
      <c r="BZ86" t="s">
        <v>332</v>
      </c>
      <c r="CA86">
        <v>1773196010</v>
      </c>
      <c r="CB86">
        <v>1773196005.5</v>
      </c>
      <c r="CC86">
        <v>2</v>
      </c>
      <c r="CD86">
        <v>-0.279</v>
      </c>
      <c r="CE86">
        <v>-0.021</v>
      </c>
      <c r="CF86">
        <v>6.231</v>
      </c>
      <c r="CG86">
        <v>0.081</v>
      </c>
      <c r="CH86">
        <v>432</v>
      </c>
      <c r="CI86">
        <v>21</v>
      </c>
      <c r="CJ86">
        <v>0.03</v>
      </c>
      <c r="CK86">
        <v>0.06</v>
      </c>
      <c r="CL86">
        <v>424.5646774193548</v>
      </c>
      <c r="CM86">
        <v>-0.08941935483972123</v>
      </c>
      <c r="CN86">
        <v>0.00996570602446422</v>
      </c>
      <c r="CO86">
        <v>-1</v>
      </c>
      <c r="CP86">
        <v>500.0002258064517</v>
      </c>
      <c r="CQ86">
        <v>-0.1268225806469179</v>
      </c>
      <c r="CR86">
        <v>0.05882489580343694</v>
      </c>
      <c r="CS86">
        <v>-1</v>
      </c>
      <c r="CT86">
        <v>0</v>
      </c>
      <c r="CU86">
        <v>0</v>
      </c>
      <c r="CV86" t="s">
        <v>333</v>
      </c>
      <c r="CW86">
        <v>3.1707</v>
      </c>
      <c r="CX86">
        <v>2.66738</v>
      </c>
      <c r="CY86">
        <v>0.09989820000000001</v>
      </c>
      <c r="CZ86">
        <v>0.100689</v>
      </c>
      <c r="DA86">
        <v>0.0641162</v>
      </c>
      <c r="DB86">
        <v>0.0616077</v>
      </c>
      <c r="DC86">
        <v>21322.5</v>
      </c>
      <c r="DD86">
        <v>21873.2</v>
      </c>
      <c r="DE86">
        <v>22839.9</v>
      </c>
      <c r="DF86">
        <v>22268.6</v>
      </c>
      <c r="DG86">
        <v>32324.7</v>
      </c>
      <c r="DH86">
        <v>29438.1</v>
      </c>
      <c r="DI86">
        <v>40199.2</v>
      </c>
      <c r="DJ86">
        <v>36834.6</v>
      </c>
      <c r="DK86">
        <v>2.02628</v>
      </c>
      <c r="DL86">
        <v>1.51052</v>
      </c>
      <c r="DM86">
        <v>-0.08392330000000001</v>
      </c>
      <c r="DN86">
        <v>0</v>
      </c>
      <c r="DO86">
        <v>32.3534</v>
      </c>
      <c r="DP86">
        <v>999.9</v>
      </c>
      <c r="DQ86">
        <v>27.8</v>
      </c>
      <c r="DR86">
        <v>43.4</v>
      </c>
      <c r="DS86">
        <v>24.6081</v>
      </c>
      <c r="DT86">
        <v>29.8655</v>
      </c>
      <c r="DU86">
        <v>14.0625</v>
      </c>
      <c r="DV86">
        <v>1</v>
      </c>
      <c r="DW86">
        <v>0.889354</v>
      </c>
      <c r="DX86">
        <v>4.17753</v>
      </c>
      <c r="DY86">
        <v>20.2998</v>
      </c>
      <c r="DZ86">
        <v>5.20866</v>
      </c>
      <c r="EA86">
        <v>11.8547</v>
      </c>
      <c r="EB86">
        <v>4.96728</v>
      </c>
      <c r="EC86">
        <v>3.293</v>
      </c>
      <c r="ED86">
        <v>879.4</v>
      </c>
      <c r="EE86">
        <v>9999</v>
      </c>
      <c r="EF86">
        <v>9999</v>
      </c>
      <c r="EG86">
        <v>77.2</v>
      </c>
      <c r="EH86">
        <v>4.97158</v>
      </c>
      <c r="EI86">
        <v>1.8721</v>
      </c>
      <c r="EJ86">
        <v>1.86951</v>
      </c>
      <c r="EK86">
        <v>1.8718</v>
      </c>
      <c r="EL86">
        <v>1.8696</v>
      </c>
      <c r="EM86">
        <v>1.86843</v>
      </c>
      <c r="EN86">
        <v>1.87023</v>
      </c>
      <c r="EO86">
        <v>1.87195</v>
      </c>
      <c r="EP86">
        <v>0</v>
      </c>
      <c r="EQ86">
        <v>0</v>
      </c>
      <c r="ER86">
        <v>0</v>
      </c>
      <c r="ES86">
        <v>0</v>
      </c>
      <c r="ET86" t="s">
        <v>334</v>
      </c>
      <c r="EU86" t="s">
        <v>335</v>
      </c>
      <c r="EV86" t="s">
        <v>336</v>
      </c>
      <c r="EW86" t="s">
        <v>336</v>
      </c>
      <c r="EX86" t="s">
        <v>336</v>
      </c>
      <c r="EY86" t="s">
        <v>336</v>
      </c>
      <c r="EZ86">
        <v>0</v>
      </c>
      <c r="FA86">
        <v>100</v>
      </c>
      <c r="FB86">
        <v>100</v>
      </c>
      <c r="FC86">
        <v>6.231</v>
      </c>
      <c r="FD86">
        <v>0.0806</v>
      </c>
      <c r="FE86">
        <v>6.23135000000002</v>
      </c>
      <c r="FF86">
        <v>0</v>
      </c>
      <c r="FG86">
        <v>0</v>
      </c>
      <c r="FH86">
        <v>0</v>
      </c>
      <c r="FI86">
        <v>0.08059047619047632</v>
      </c>
      <c r="FJ86">
        <v>0</v>
      </c>
      <c r="FK86">
        <v>0</v>
      </c>
      <c r="FL86">
        <v>0</v>
      </c>
      <c r="FM86">
        <v>-1</v>
      </c>
      <c r="FN86">
        <v>-1</v>
      </c>
      <c r="FO86">
        <v>-1</v>
      </c>
      <c r="FP86">
        <v>-1</v>
      </c>
      <c r="FQ86">
        <v>70.5</v>
      </c>
      <c r="FR86">
        <v>70.59999999999999</v>
      </c>
      <c r="FS86">
        <v>0.141602</v>
      </c>
      <c r="FT86">
        <v>4.99756</v>
      </c>
      <c r="FU86">
        <v>1.5979</v>
      </c>
      <c r="FV86">
        <v>2.11426</v>
      </c>
      <c r="FW86">
        <v>1.54785</v>
      </c>
      <c r="FX86">
        <v>2.44995</v>
      </c>
      <c r="FY86">
        <v>46.856</v>
      </c>
      <c r="FZ86">
        <v>15.892</v>
      </c>
      <c r="GA86">
        <v>3</v>
      </c>
      <c r="GB86">
        <v>519.852</v>
      </c>
      <c r="GC86">
        <v>295.335</v>
      </c>
      <c r="GD86">
        <v>27.4018</v>
      </c>
      <c r="GE86">
        <v>37.8773</v>
      </c>
      <c r="GF86">
        <v>30.0003</v>
      </c>
      <c r="GG86">
        <v>37.7387</v>
      </c>
      <c r="GH86">
        <v>37.7239</v>
      </c>
      <c r="GI86">
        <v>-1</v>
      </c>
      <c r="GJ86">
        <v>100</v>
      </c>
      <c r="GK86">
        <v>0</v>
      </c>
      <c r="GL86">
        <v>27.398</v>
      </c>
      <c r="GM86">
        <v>1200</v>
      </c>
      <c r="GN86">
        <v>19.4378</v>
      </c>
      <c r="GO86">
        <v>101.134</v>
      </c>
      <c r="GP86">
        <v>96.1842</v>
      </c>
    </row>
    <row r="87" spans="1:198">
      <c r="A87">
        <v>71</v>
      </c>
      <c r="B87">
        <v>1773200300.5</v>
      </c>
      <c r="C87">
        <v>4200.5</v>
      </c>
      <c r="D87" t="s">
        <v>475</v>
      </c>
      <c r="E87" t="s">
        <v>476</v>
      </c>
      <c r="F87">
        <v>15</v>
      </c>
      <c r="G87">
        <v>1773200292.5</v>
      </c>
      <c r="H87">
        <f>(I87)/1000</f>
        <v>0</v>
      </c>
      <c r="I87">
        <f>1000*AY87*AG87*(AU87-AV87)/(100*AN87*(1000-AG87*AU87))</f>
        <v>0</v>
      </c>
      <c r="J87">
        <f>AY87*AG87*(AT87-AS87*(1000-AG87*AV87)/(1000-AG87*AU87))/(100*AN87)</f>
        <v>0</v>
      </c>
      <c r="K87">
        <f>AS87 - IF(AG87&gt;1, J87*AN87*100.0/(AI87), 0)</f>
        <v>0</v>
      </c>
      <c r="L87">
        <f>((R87-H87/2)*K87-J87)/(R87+H87/2)</f>
        <v>0</v>
      </c>
      <c r="M87">
        <f>L87*(AZ87+BA87)/1000.0</f>
        <v>0</v>
      </c>
      <c r="N87">
        <f>(AS87 - IF(AG87&gt;1, J87*AN87*100.0/(AI87), 0))*(AZ87+BA87)/1000.0</f>
        <v>0</v>
      </c>
      <c r="O87">
        <f>2.0/((1/Q87-1/P87)+SIGN(Q87)*SQRT((1/Q87-1/P87)*(1/Q87-1/P87) + 4*AO87/((AO87+1)*(AO87+1))*(2*1/Q87*1/P87-1/P87*1/P87)))</f>
        <v>0</v>
      </c>
      <c r="P87">
        <f>IF(LEFT(AP87,1)&lt;&gt;"0",IF(LEFT(AP87,1)="1",3.0,AQ87),$D$5+$E$5*(BG87*AZ87/($K$5*1000))+$F$5*(BG87*AZ87/($K$5*1000))*MAX(MIN(AN87,$J$5),$I$5)*MAX(MIN(AN87,$J$5),$I$5)+$G$5*MAX(MIN(AN87,$J$5),$I$5)*(BG87*AZ87/($K$5*1000))+$H$5*(BG87*AZ87/($K$5*1000))*(BG87*AZ87/($K$5*1000)))</f>
        <v>0</v>
      </c>
      <c r="Q87">
        <f>H87*(1000-(1000*0.61365*exp(17.502*U87/(240.97+U87))/(AZ87+BA87)+AU87)/2)/(1000*0.61365*exp(17.502*U87/(240.97+U87))/(AZ87+BA87)-AU87)</f>
        <v>0</v>
      </c>
      <c r="R87">
        <f>1/((AO87+1)/(O87/1.6)+1/(P87/1.37)) + AO87/((AO87+1)/(O87/1.6) + AO87/(P87/1.37))</f>
        <v>0</v>
      </c>
      <c r="S87">
        <f>(AJ87*AM87)</f>
        <v>0</v>
      </c>
      <c r="T87">
        <f>(BB87+(S87+2*0.95*5.67E-8*(((BB87+$B$7)+273)^4-(BB87+273)^4)-44100*H87)/(1.84*29.3*P87+8*0.95*5.67E-8*(BB87+273)^3))</f>
        <v>0</v>
      </c>
      <c r="U87">
        <f>($C$7*BC87+$D$7*BD87+$E$7*T87)</f>
        <v>0</v>
      </c>
      <c r="V87">
        <f>0.61365*exp(17.502*U87/(240.97+U87))</f>
        <v>0</v>
      </c>
      <c r="W87">
        <f>(X87/Y87*100)</f>
        <v>0</v>
      </c>
      <c r="X87">
        <f>AU87*(AZ87+BA87)/1000</f>
        <v>0</v>
      </c>
      <c r="Y87">
        <f>0.61365*exp(17.502*BB87/(240.97+BB87))</f>
        <v>0</v>
      </c>
      <c r="Z87">
        <f>(V87-AU87*(AZ87+BA87)/1000)</f>
        <v>0</v>
      </c>
      <c r="AA87">
        <f>(-H87*44100)</f>
        <v>0</v>
      </c>
      <c r="AB87">
        <f>2*29.3*P87*0.92*(BB87-U87)</f>
        <v>0</v>
      </c>
      <c r="AC87">
        <f>2*0.95*5.67E-8*(((BB87+$B$7)+273)^4-(U87+273)^4)</f>
        <v>0</v>
      </c>
      <c r="AD87">
        <f>S87+AC87+AA87+AB87</f>
        <v>0</v>
      </c>
      <c r="AE87">
        <v>0</v>
      </c>
      <c r="AF87">
        <v>0</v>
      </c>
      <c r="AG87">
        <f>IF(AE87*$H$13&gt;=AI87,1.0,(AI87/(AI87-AE87*$H$13)))</f>
        <v>0</v>
      </c>
      <c r="AH87">
        <f>(AG87-1)*100</f>
        <v>0</v>
      </c>
      <c r="AI87">
        <f>MAX(0,($B$13+$C$13*BG87)/(1+$D$13*BG87)*AZ87/(BB87+273)*$E$13)</f>
        <v>0</v>
      </c>
      <c r="AJ87">
        <f>$B$11*BH87+$C$11*BI87+$D$11*BT87</f>
        <v>0</v>
      </c>
      <c r="AK87">
        <f>AJ87*AL87</f>
        <v>0</v>
      </c>
      <c r="AL87">
        <f>($B$11*$D$9+$C$11*$D$9+$D$11*(BU87*$E$9+BV87*$G$9))/($B$11+$C$11+$D$11)</f>
        <v>0</v>
      </c>
      <c r="AM87">
        <f>($B$11*$K$9+$C$11*$K$9+$D$11*(BU87*$L$9+BV87*$N$9))/($B$11+$C$11+$D$11)</f>
        <v>0</v>
      </c>
      <c r="AN87">
        <v>3</v>
      </c>
      <c r="AO87">
        <v>0.5</v>
      </c>
      <c r="AP87" t="s">
        <v>331</v>
      </c>
      <c r="AQ87">
        <v>2</v>
      </c>
      <c r="AR87">
        <v>1773200292.5</v>
      </c>
      <c r="AS87">
        <v>427.3818064516129</v>
      </c>
      <c r="AT87">
        <v>425.1987741935484</v>
      </c>
      <c r="AU87">
        <v>11.36006451612903</v>
      </c>
      <c r="AV87">
        <v>10.78731290322581</v>
      </c>
      <c r="AW87">
        <v>421.1505483870968</v>
      </c>
      <c r="AX87">
        <v>11.27948064516129</v>
      </c>
      <c r="AY87">
        <v>500.0518709677419</v>
      </c>
      <c r="AZ87">
        <v>100.2111935483871</v>
      </c>
      <c r="BA87">
        <v>0.04615097741935485</v>
      </c>
      <c r="BB87">
        <v>30.79694516129032</v>
      </c>
      <c r="BC87">
        <v>30.99285483870968</v>
      </c>
      <c r="BD87">
        <v>999.9000000000003</v>
      </c>
      <c r="BE87">
        <v>0</v>
      </c>
      <c r="BF87">
        <v>0</v>
      </c>
      <c r="BG87">
        <v>4994.725806451613</v>
      </c>
      <c r="BH87">
        <v>1.45196</v>
      </c>
      <c r="BI87">
        <v>2148.854193548387</v>
      </c>
      <c r="BJ87">
        <v>2.183001612903225</v>
      </c>
      <c r="BK87">
        <v>432.2926774193548</v>
      </c>
      <c r="BL87">
        <v>429.8356451612904</v>
      </c>
      <c r="BM87">
        <v>0.5727516451612903</v>
      </c>
      <c r="BN87">
        <v>425.1987741935484</v>
      </c>
      <c r="BO87">
        <v>10.78731290322581</v>
      </c>
      <c r="BP87">
        <v>1.138406451612903</v>
      </c>
      <c r="BQ87">
        <v>1.081011290322581</v>
      </c>
      <c r="BR87">
        <v>8.819556451612904</v>
      </c>
      <c r="BS87">
        <v>8.056531935483871</v>
      </c>
      <c r="BT87">
        <v>0</v>
      </c>
      <c r="BU87">
        <v>0</v>
      </c>
      <c r="BV87">
        <v>0</v>
      </c>
      <c r="BW87">
        <v>36</v>
      </c>
      <c r="BX87">
        <v>54.97849032258065</v>
      </c>
      <c r="BY87">
        <v>1773196010</v>
      </c>
      <c r="BZ87" t="s">
        <v>332</v>
      </c>
      <c r="CA87">
        <v>1773196010</v>
      </c>
      <c r="CB87">
        <v>1773196005.5</v>
      </c>
      <c r="CC87">
        <v>2</v>
      </c>
      <c r="CD87">
        <v>-0.279</v>
      </c>
      <c r="CE87">
        <v>-0.021</v>
      </c>
      <c r="CF87">
        <v>6.231</v>
      </c>
      <c r="CG87">
        <v>0.081</v>
      </c>
      <c r="CH87">
        <v>432</v>
      </c>
      <c r="CI87">
        <v>21</v>
      </c>
      <c r="CJ87">
        <v>0.03</v>
      </c>
      <c r="CK87">
        <v>0.06</v>
      </c>
      <c r="CL87">
        <v>425.2037666666667</v>
      </c>
      <c r="CM87">
        <v>-0.5600622914350575</v>
      </c>
      <c r="CN87">
        <v>0.04268386372181697</v>
      </c>
      <c r="CO87">
        <v>-1</v>
      </c>
      <c r="CP87">
        <v>500.0479</v>
      </c>
      <c r="CQ87">
        <v>0.7622602892126554</v>
      </c>
      <c r="CR87">
        <v>0.1057633679493959</v>
      </c>
      <c r="CS87">
        <v>-1</v>
      </c>
      <c r="CT87">
        <v>0</v>
      </c>
      <c r="CU87">
        <v>0</v>
      </c>
      <c r="CV87" t="s">
        <v>333</v>
      </c>
      <c r="CW87">
        <v>3.1708</v>
      </c>
      <c r="CX87">
        <v>2.66718</v>
      </c>
      <c r="CY87">
        <v>0.100013</v>
      </c>
      <c r="CZ87">
        <v>0.100782</v>
      </c>
      <c r="DA87">
        <v>0.06423959999999999</v>
      </c>
      <c r="DB87">
        <v>0.0618025</v>
      </c>
      <c r="DC87">
        <v>21319.1</v>
      </c>
      <c r="DD87">
        <v>21871.1</v>
      </c>
      <c r="DE87">
        <v>22839.2</v>
      </c>
      <c r="DF87">
        <v>22268.8</v>
      </c>
      <c r="DG87">
        <v>32319.6</v>
      </c>
      <c r="DH87">
        <v>29432.1</v>
      </c>
      <c r="DI87">
        <v>40198.2</v>
      </c>
      <c r="DJ87">
        <v>36834.8</v>
      </c>
      <c r="DK87">
        <v>2.02594</v>
      </c>
      <c r="DL87">
        <v>1.50902</v>
      </c>
      <c r="DM87">
        <v>-0.0807375</v>
      </c>
      <c r="DN87">
        <v>0</v>
      </c>
      <c r="DO87">
        <v>32.3097</v>
      </c>
      <c r="DP87">
        <v>999.9</v>
      </c>
      <c r="DQ87">
        <v>27.4</v>
      </c>
      <c r="DR87">
        <v>43.6</v>
      </c>
      <c r="DS87">
        <v>24.5087</v>
      </c>
      <c r="DT87">
        <v>29.6855</v>
      </c>
      <c r="DU87">
        <v>13.8502</v>
      </c>
      <c r="DV87">
        <v>1</v>
      </c>
      <c r="DW87">
        <v>0.88851</v>
      </c>
      <c r="DX87">
        <v>3.97756</v>
      </c>
      <c r="DY87">
        <v>20.3058</v>
      </c>
      <c r="DZ87">
        <v>5.20986</v>
      </c>
      <c r="EA87">
        <v>11.8543</v>
      </c>
      <c r="EB87">
        <v>4.96728</v>
      </c>
      <c r="EC87">
        <v>3.29296</v>
      </c>
      <c r="ED87">
        <v>879.4</v>
      </c>
      <c r="EE87">
        <v>9999</v>
      </c>
      <c r="EF87">
        <v>9999</v>
      </c>
      <c r="EG87">
        <v>77.2</v>
      </c>
      <c r="EH87">
        <v>4.97157</v>
      </c>
      <c r="EI87">
        <v>1.8721</v>
      </c>
      <c r="EJ87">
        <v>1.86951</v>
      </c>
      <c r="EK87">
        <v>1.8718</v>
      </c>
      <c r="EL87">
        <v>1.86962</v>
      </c>
      <c r="EM87">
        <v>1.86844</v>
      </c>
      <c r="EN87">
        <v>1.87025</v>
      </c>
      <c r="EO87">
        <v>1.87195</v>
      </c>
      <c r="EP87">
        <v>0</v>
      </c>
      <c r="EQ87">
        <v>0</v>
      </c>
      <c r="ER87">
        <v>0</v>
      </c>
      <c r="ES87">
        <v>0</v>
      </c>
      <c r="ET87" t="s">
        <v>334</v>
      </c>
      <c r="EU87" t="s">
        <v>335</v>
      </c>
      <c r="EV87" t="s">
        <v>336</v>
      </c>
      <c r="EW87" t="s">
        <v>336</v>
      </c>
      <c r="EX87" t="s">
        <v>336</v>
      </c>
      <c r="EY87" t="s">
        <v>336</v>
      </c>
      <c r="EZ87">
        <v>0</v>
      </c>
      <c r="FA87">
        <v>100</v>
      </c>
      <c r="FB87">
        <v>100</v>
      </c>
      <c r="FC87">
        <v>6.232</v>
      </c>
      <c r="FD87">
        <v>0.0806</v>
      </c>
      <c r="FE87">
        <v>6.23135000000002</v>
      </c>
      <c r="FF87">
        <v>0</v>
      </c>
      <c r="FG87">
        <v>0</v>
      </c>
      <c r="FH87">
        <v>0</v>
      </c>
      <c r="FI87">
        <v>0.08059047619047632</v>
      </c>
      <c r="FJ87">
        <v>0</v>
      </c>
      <c r="FK87">
        <v>0</v>
      </c>
      <c r="FL87">
        <v>0</v>
      </c>
      <c r="FM87">
        <v>-1</v>
      </c>
      <c r="FN87">
        <v>-1</v>
      </c>
      <c r="FO87">
        <v>-1</v>
      </c>
      <c r="FP87">
        <v>-1</v>
      </c>
      <c r="FQ87">
        <v>71.5</v>
      </c>
      <c r="FR87">
        <v>71.59999999999999</v>
      </c>
      <c r="FS87">
        <v>0.141602</v>
      </c>
      <c r="FT87">
        <v>4.99756</v>
      </c>
      <c r="FU87">
        <v>1.5979</v>
      </c>
      <c r="FV87">
        <v>2.11304</v>
      </c>
      <c r="FW87">
        <v>1.54785</v>
      </c>
      <c r="FX87">
        <v>2.38281</v>
      </c>
      <c r="FY87">
        <v>46.8855</v>
      </c>
      <c r="FZ87">
        <v>15.8832</v>
      </c>
      <c r="GA87">
        <v>3</v>
      </c>
      <c r="GB87">
        <v>519.741</v>
      </c>
      <c r="GC87">
        <v>294.677</v>
      </c>
      <c r="GD87">
        <v>27.4723</v>
      </c>
      <c r="GE87">
        <v>37.8904</v>
      </c>
      <c r="GF87">
        <v>30</v>
      </c>
      <c r="GG87">
        <v>37.7531</v>
      </c>
      <c r="GH87">
        <v>37.7369</v>
      </c>
      <c r="GI87">
        <v>-1</v>
      </c>
      <c r="GJ87">
        <v>100</v>
      </c>
      <c r="GK87">
        <v>0</v>
      </c>
      <c r="GL87">
        <v>27.4731</v>
      </c>
      <c r="GM87">
        <v>1200</v>
      </c>
      <c r="GN87">
        <v>19.4378</v>
      </c>
      <c r="GO87">
        <v>101.131</v>
      </c>
      <c r="GP87">
        <v>96.1848</v>
      </c>
    </row>
    <row r="88" spans="1:198">
      <c r="A88">
        <v>72</v>
      </c>
      <c r="B88">
        <v>1773200360.5</v>
      </c>
      <c r="C88">
        <v>4260.5</v>
      </c>
      <c r="D88" t="s">
        <v>477</v>
      </c>
      <c r="E88" t="s">
        <v>478</v>
      </c>
      <c r="F88">
        <v>15</v>
      </c>
      <c r="G88">
        <v>1773200352.5</v>
      </c>
      <c r="H88">
        <f>(I88)/1000</f>
        <v>0</v>
      </c>
      <c r="I88">
        <f>1000*AY88*AG88*(AU88-AV88)/(100*AN88*(1000-AG88*AU88))</f>
        <v>0</v>
      </c>
      <c r="J88">
        <f>AY88*AG88*(AT88-AS88*(1000-AG88*AV88)/(1000-AG88*AU88))/(100*AN88)</f>
        <v>0</v>
      </c>
      <c r="K88">
        <f>AS88 - IF(AG88&gt;1, J88*AN88*100.0/(AI88), 0)</f>
        <v>0</v>
      </c>
      <c r="L88">
        <f>((R88-H88/2)*K88-J88)/(R88+H88/2)</f>
        <v>0</v>
      </c>
      <c r="M88">
        <f>L88*(AZ88+BA88)/1000.0</f>
        <v>0</v>
      </c>
      <c r="N88">
        <f>(AS88 - IF(AG88&gt;1, J88*AN88*100.0/(AI88), 0))*(AZ88+BA88)/1000.0</f>
        <v>0</v>
      </c>
      <c r="O88">
        <f>2.0/((1/Q88-1/P88)+SIGN(Q88)*SQRT((1/Q88-1/P88)*(1/Q88-1/P88) + 4*AO88/((AO88+1)*(AO88+1))*(2*1/Q88*1/P88-1/P88*1/P88)))</f>
        <v>0</v>
      </c>
      <c r="P88">
        <f>IF(LEFT(AP88,1)&lt;&gt;"0",IF(LEFT(AP88,1)="1",3.0,AQ88),$D$5+$E$5*(BG88*AZ88/($K$5*1000))+$F$5*(BG88*AZ88/($K$5*1000))*MAX(MIN(AN88,$J$5),$I$5)*MAX(MIN(AN88,$J$5),$I$5)+$G$5*MAX(MIN(AN88,$J$5),$I$5)*(BG88*AZ88/($K$5*1000))+$H$5*(BG88*AZ88/($K$5*1000))*(BG88*AZ88/($K$5*1000)))</f>
        <v>0</v>
      </c>
      <c r="Q88">
        <f>H88*(1000-(1000*0.61365*exp(17.502*U88/(240.97+U88))/(AZ88+BA88)+AU88)/2)/(1000*0.61365*exp(17.502*U88/(240.97+U88))/(AZ88+BA88)-AU88)</f>
        <v>0</v>
      </c>
      <c r="R88">
        <f>1/((AO88+1)/(O88/1.6)+1/(P88/1.37)) + AO88/((AO88+1)/(O88/1.6) + AO88/(P88/1.37))</f>
        <v>0</v>
      </c>
      <c r="S88">
        <f>(AJ88*AM88)</f>
        <v>0</v>
      </c>
      <c r="T88">
        <f>(BB88+(S88+2*0.95*5.67E-8*(((BB88+$B$7)+273)^4-(BB88+273)^4)-44100*H88)/(1.84*29.3*P88+8*0.95*5.67E-8*(BB88+273)^3))</f>
        <v>0</v>
      </c>
      <c r="U88">
        <f>($C$7*BC88+$D$7*BD88+$E$7*T88)</f>
        <v>0</v>
      </c>
      <c r="V88">
        <f>0.61365*exp(17.502*U88/(240.97+U88))</f>
        <v>0</v>
      </c>
      <c r="W88">
        <f>(X88/Y88*100)</f>
        <v>0</v>
      </c>
      <c r="X88">
        <f>AU88*(AZ88+BA88)/1000</f>
        <v>0</v>
      </c>
      <c r="Y88">
        <f>0.61365*exp(17.502*BB88/(240.97+BB88))</f>
        <v>0</v>
      </c>
      <c r="Z88">
        <f>(V88-AU88*(AZ88+BA88)/1000)</f>
        <v>0</v>
      </c>
      <c r="AA88">
        <f>(-H88*44100)</f>
        <v>0</v>
      </c>
      <c r="AB88">
        <f>2*29.3*P88*0.92*(BB88-U88)</f>
        <v>0</v>
      </c>
      <c r="AC88">
        <f>2*0.95*5.67E-8*(((BB88+$B$7)+273)^4-(U88+273)^4)</f>
        <v>0</v>
      </c>
      <c r="AD88">
        <f>S88+AC88+AA88+AB88</f>
        <v>0</v>
      </c>
      <c r="AE88">
        <v>0</v>
      </c>
      <c r="AF88">
        <v>0</v>
      </c>
      <c r="AG88">
        <f>IF(AE88*$H$13&gt;=AI88,1.0,(AI88/(AI88-AE88*$H$13)))</f>
        <v>0</v>
      </c>
      <c r="AH88">
        <f>(AG88-1)*100</f>
        <v>0</v>
      </c>
      <c r="AI88">
        <f>MAX(0,($B$13+$C$13*BG88)/(1+$D$13*BG88)*AZ88/(BB88+273)*$E$13)</f>
        <v>0</v>
      </c>
      <c r="AJ88">
        <f>$B$11*BH88+$C$11*BI88+$D$11*BT88</f>
        <v>0</v>
      </c>
      <c r="AK88">
        <f>AJ88*AL88</f>
        <v>0</v>
      </c>
      <c r="AL88">
        <f>($B$11*$D$9+$C$11*$D$9+$D$11*(BU88*$E$9+BV88*$G$9))/($B$11+$C$11+$D$11)</f>
        <v>0</v>
      </c>
      <c r="AM88">
        <f>($B$11*$K$9+$C$11*$K$9+$D$11*(BU88*$L$9+BV88*$N$9))/($B$11+$C$11+$D$11)</f>
        <v>0</v>
      </c>
      <c r="AN88">
        <v>3</v>
      </c>
      <c r="AO88">
        <v>0.5</v>
      </c>
      <c r="AP88" t="s">
        <v>331</v>
      </c>
      <c r="AQ88">
        <v>2</v>
      </c>
      <c r="AR88">
        <v>1773200352.5</v>
      </c>
      <c r="AS88">
        <v>426.9660967741935</v>
      </c>
      <c r="AT88">
        <v>424.789129032258</v>
      </c>
      <c r="AU88">
        <v>11.36162580645161</v>
      </c>
      <c r="AV88">
        <v>10.80847419354839</v>
      </c>
      <c r="AW88">
        <v>420.7347419354839</v>
      </c>
      <c r="AX88">
        <v>11.28104516129032</v>
      </c>
      <c r="AY88">
        <v>499.9361612903226</v>
      </c>
      <c r="AZ88">
        <v>100.2132258064516</v>
      </c>
      <c r="BA88">
        <v>0.0454349870967742</v>
      </c>
      <c r="BB88">
        <v>30.77881935483871</v>
      </c>
      <c r="BC88">
        <v>30.97612258064516</v>
      </c>
      <c r="BD88">
        <v>999.9000000000003</v>
      </c>
      <c r="BE88">
        <v>0</v>
      </c>
      <c r="BF88">
        <v>0</v>
      </c>
      <c r="BG88">
        <v>4997.096774193548</v>
      </c>
      <c r="BH88">
        <v>1.441631290322581</v>
      </c>
      <c r="BI88">
        <v>2146.839032258064</v>
      </c>
      <c r="BJ88">
        <v>2.176951290322581</v>
      </c>
      <c r="BK88">
        <v>431.8728387096774</v>
      </c>
      <c r="BL88">
        <v>429.4306774193548</v>
      </c>
      <c r="BM88">
        <v>0.5531586129032258</v>
      </c>
      <c r="BN88">
        <v>424.789129032258</v>
      </c>
      <c r="BO88">
        <v>10.80847419354839</v>
      </c>
      <c r="BP88">
        <v>1.138585483870968</v>
      </c>
      <c r="BQ88">
        <v>1.083151612903226</v>
      </c>
      <c r="BR88">
        <v>8.82188935483871</v>
      </c>
      <c r="BS88">
        <v>8.085637419354837</v>
      </c>
      <c r="BT88">
        <v>0</v>
      </c>
      <c r="BU88">
        <v>0</v>
      </c>
      <c r="BV88">
        <v>0</v>
      </c>
      <c r="BW88">
        <v>36</v>
      </c>
      <c r="BX88">
        <v>54.957</v>
      </c>
      <c r="BY88">
        <v>1773196010</v>
      </c>
      <c r="BZ88" t="s">
        <v>332</v>
      </c>
      <c r="CA88">
        <v>1773196010</v>
      </c>
      <c r="CB88">
        <v>1773196005.5</v>
      </c>
      <c r="CC88">
        <v>2</v>
      </c>
      <c r="CD88">
        <v>-0.279</v>
      </c>
      <c r="CE88">
        <v>-0.021</v>
      </c>
      <c r="CF88">
        <v>6.231</v>
      </c>
      <c r="CG88">
        <v>0.081</v>
      </c>
      <c r="CH88">
        <v>432</v>
      </c>
      <c r="CI88">
        <v>21</v>
      </c>
      <c r="CJ88">
        <v>0.03</v>
      </c>
      <c r="CK88">
        <v>0.06</v>
      </c>
      <c r="CL88">
        <v>424.7872999999999</v>
      </c>
      <c r="CM88">
        <v>-0.1754215795322999</v>
      </c>
      <c r="CN88">
        <v>0.02093346602930607</v>
      </c>
      <c r="CO88">
        <v>-1</v>
      </c>
      <c r="CP88">
        <v>499.9320666666667</v>
      </c>
      <c r="CQ88">
        <v>-0.4657441601778062</v>
      </c>
      <c r="CR88">
        <v>0.07728860775617993</v>
      </c>
      <c r="CS88">
        <v>-1</v>
      </c>
      <c r="CT88">
        <v>0</v>
      </c>
      <c r="CU88">
        <v>0</v>
      </c>
      <c r="CV88" t="s">
        <v>333</v>
      </c>
      <c r="CW88">
        <v>3.17081</v>
      </c>
      <c r="CX88">
        <v>2.66708</v>
      </c>
      <c r="CY88">
        <v>0.0999287</v>
      </c>
      <c r="CZ88">
        <v>0.100713</v>
      </c>
      <c r="DA88">
        <v>0.0642447</v>
      </c>
      <c r="DB88">
        <v>0.0619143</v>
      </c>
      <c r="DC88">
        <v>21321.2</v>
      </c>
      <c r="DD88">
        <v>21873.7</v>
      </c>
      <c r="DE88">
        <v>22839.2</v>
      </c>
      <c r="DF88">
        <v>22269.7</v>
      </c>
      <c r="DG88">
        <v>32319.4</v>
      </c>
      <c r="DH88">
        <v>29429.8</v>
      </c>
      <c r="DI88">
        <v>40198.2</v>
      </c>
      <c r="DJ88">
        <v>36836.3</v>
      </c>
      <c r="DK88">
        <v>2.02612</v>
      </c>
      <c r="DL88">
        <v>1.50808</v>
      </c>
      <c r="DM88">
        <v>-0.08036790000000001</v>
      </c>
      <c r="DN88">
        <v>0</v>
      </c>
      <c r="DO88">
        <v>32.2858</v>
      </c>
      <c r="DP88">
        <v>999.9</v>
      </c>
      <c r="DQ88">
        <v>27.4</v>
      </c>
      <c r="DR88">
        <v>43.7</v>
      </c>
      <c r="DS88">
        <v>24.6408</v>
      </c>
      <c r="DT88">
        <v>30.2555</v>
      </c>
      <c r="DU88">
        <v>13.9343</v>
      </c>
      <c r="DV88">
        <v>1</v>
      </c>
      <c r="DW88">
        <v>0.8860710000000001</v>
      </c>
      <c r="DX88">
        <v>3.7794</v>
      </c>
      <c r="DY88">
        <v>20.3106</v>
      </c>
      <c r="DZ88">
        <v>5.20663</v>
      </c>
      <c r="EA88">
        <v>11.8542</v>
      </c>
      <c r="EB88">
        <v>4.96684</v>
      </c>
      <c r="EC88">
        <v>3.29228</v>
      </c>
      <c r="ED88">
        <v>879.4</v>
      </c>
      <c r="EE88">
        <v>9999</v>
      </c>
      <c r="EF88">
        <v>9999</v>
      </c>
      <c r="EG88">
        <v>77.2</v>
      </c>
      <c r="EH88">
        <v>4.97157</v>
      </c>
      <c r="EI88">
        <v>1.8721</v>
      </c>
      <c r="EJ88">
        <v>1.86951</v>
      </c>
      <c r="EK88">
        <v>1.8718</v>
      </c>
      <c r="EL88">
        <v>1.86956</v>
      </c>
      <c r="EM88">
        <v>1.86842</v>
      </c>
      <c r="EN88">
        <v>1.87019</v>
      </c>
      <c r="EO88">
        <v>1.87195</v>
      </c>
      <c r="EP88">
        <v>0</v>
      </c>
      <c r="EQ88">
        <v>0</v>
      </c>
      <c r="ER88">
        <v>0</v>
      </c>
      <c r="ES88">
        <v>0</v>
      </c>
      <c r="ET88" t="s">
        <v>334</v>
      </c>
      <c r="EU88" t="s">
        <v>335</v>
      </c>
      <c r="EV88" t="s">
        <v>336</v>
      </c>
      <c r="EW88" t="s">
        <v>336</v>
      </c>
      <c r="EX88" t="s">
        <v>336</v>
      </c>
      <c r="EY88" t="s">
        <v>336</v>
      </c>
      <c r="EZ88">
        <v>0</v>
      </c>
      <c r="FA88">
        <v>100</v>
      </c>
      <c r="FB88">
        <v>100</v>
      </c>
      <c r="FC88">
        <v>6.232</v>
      </c>
      <c r="FD88">
        <v>0.0806</v>
      </c>
      <c r="FE88">
        <v>6.23135000000002</v>
      </c>
      <c r="FF88">
        <v>0</v>
      </c>
      <c r="FG88">
        <v>0</v>
      </c>
      <c r="FH88">
        <v>0</v>
      </c>
      <c r="FI88">
        <v>0.08059047619047632</v>
      </c>
      <c r="FJ88">
        <v>0</v>
      </c>
      <c r="FK88">
        <v>0</v>
      </c>
      <c r="FL88">
        <v>0</v>
      </c>
      <c r="FM88">
        <v>-1</v>
      </c>
      <c r="FN88">
        <v>-1</v>
      </c>
      <c r="FO88">
        <v>-1</v>
      </c>
      <c r="FP88">
        <v>-1</v>
      </c>
      <c r="FQ88">
        <v>72.5</v>
      </c>
      <c r="FR88">
        <v>72.59999999999999</v>
      </c>
      <c r="FS88">
        <v>0.142822</v>
      </c>
      <c r="FT88">
        <v>4.99756</v>
      </c>
      <c r="FU88">
        <v>1.5979</v>
      </c>
      <c r="FV88">
        <v>2.11304</v>
      </c>
      <c r="FW88">
        <v>1.54785</v>
      </c>
      <c r="FX88">
        <v>2.3877</v>
      </c>
      <c r="FY88">
        <v>46.9151</v>
      </c>
      <c r="FZ88">
        <v>15.8745</v>
      </c>
      <c r="GA88">
        <v>3</v>
      </c>
      <c r="GB88">
        <v>519.88</v>
      </c>
      <c r="GC88">
        <v>294.247</v>
      </c>
      <c r="GD88">
        <v>27.5964</v>
      </c>
      <c r="GE88">
        <v>37.8832</v>
      </c>
      <c r="GF88">
        <v>29.9999</v>
      </c>
      <c r="GG88">
        <v>37.7567</v>
      </c>
      <c r="GH88">
        <v>37.7405</v>
      </c>
      <c r="GI88">
        <v>-1</v>
      </c>
      <c r="GJ88">
        <v>100</v>
      </c>
      <c r="GK88">
        <v>0</v>
      </c>
      <c r="GL88">
        <v>27.6037</v>
      </c>
      <c r="GM88">
        <v>1200</v>
      </c>
      <c r="GN88">
        <v>19.4378</v>
      </c>
      <c r="GO88">
        <v>101.131</v>
      </c>
      <c r="GP88">
        <v>96.1885</v>
      </c>
    </row>
    <row r="89" spans="1:198">
      <c r="A89">
        <v>73</v>
      </c>
      <c r="B89">
        <v>1773200420.5</v>
      </c>
      <c r="C89">
        <v>4320.5</v>
      </c>
      <c r="D89" t="s">
        <v>479</v>
      </c>
      <c r="E89" t="s">
        <v>480</v>
      </c>
      <c r="F89">
        <v>15</v>
      </c>
      <c r="G89">
        <v>1773200412.5</v>
      </c>
      <c r="H89">
        <f>(I89)/1000</f>
        <v>0</v>
      </c>
      <c r="I89">
        <f>1000*AY89*AG89*(AU89-AV89)/(100*AN89*(1000-AG89*AU89))</f>
        <v>0</v>
      </c>
      <c r="J89">
        <f>AY89*AG89*(AT89-AS89*(1000-AG89*AV89)/(1000-AG89*AU89))/(100*AN89)</f>
        <v>0</v>
      </c>
      <c r="K89">
        <f>AS89 - IF(AG89&gt;1, J89*AN89*100.0/(AI89), 0)</f>
        <v>0</v>
      </c>
      <c r="L89">
        <f>((R89-H89/2)*K89-J89)/(R89+H89/2)</f>
        <v>0</v>
      </c>
      <c r="M89">
        <f>L89*(AZ89+BA89)/1000.0</f>
        <v>0</v>
      </c>
      <c r="N89">
        <f>(AS89 - IF(AG89&gt;1, J89*AN89*100.0/(AI89), 0))*(AZ89+BA89)/1000.0</f>
        <v>0</v>
      </c>
      <c r="O89">
        <f>2.0/((1/Q89-1/P89)+SIGN(Q89)*SQRT((1/Q89-1/P89)*(1/Q89-1/P89) + 4*AO89/((AO89+1)*(AO89+1))*(2*1/Q89*1/P89-1/P89*1/P89)))</f>
        <v>0</v>
      </c>
      <c r="P89">
        <f>IF(LEFT(AP89,1)&lt;&gt;"0",IF(LEFT(AP89,1)="1",3.0,AQ89),$D$5+$E$5*(BG89*AZ89/($K$5*1000))+$F$5*(BG89*AZ89/($K$5*1000))*MAX(MIN(AN89,$J$5),$I$5)*MAX(MIN(AN89,$J$5),$I$5)+$G$5*MAX(MIN(AN89,$J$5),$I$5)*(BG89*AZ89/($K$5*1000))+$H$5*(BG89*AZ89/($K$5*1000))*(BG89*AZ89/($K$5*1000)))</f>
        <v>0</v>
      </c>
      <c r="Q89">
        <f>H89*(1000-(1000*0.61365*exp(17.502*U89/(240.97+U89))/(AZ89+BA89)+AU89)/2)/(1000*0.61365*exp(17.502*U89/(240.97+U89))/(AZ89+BA89)-AU89)</f>
        <v>0</v>
      </c>
      <c r="R89">
        <f>1/((AO89+1)/(O89/1.6)+1/(P89/1.37)) + AO89/((AO89+1)/(O89/1.6) + AO89/(P89/1.37))</f>
        <v>0</v>
      </c>
      <c r="S89">
        <f>(AJ89*AM89)</f>
        <v>0</v>
      </c>
      <c r="T89">
        <f>(BB89+(S89+2*0.95*5.67E-8*(((BB89+$B$7)+273)^4-(BB89+273)^4)-44100*H89)/(1.84*29.3*P89+8*0.95*5.67E-8*(BB89+273)^3))</f>
        <v>0</v>
      </c>
      <c r="U89">
        <f>($C$7*BC89+$D$7*BD89+$E$7*T89)</f>
        <v>0</v>
      </c>
      <c r="V89">
        <f>0.61365*exp(17.502*U89/(240.97+U89))</f>
        <v>0</v>
      </c>
      <c r="W89">
        <f>(X89/Y89*100)</f>
        <v>0</v>
      </c>
      <c r="X89">
        <f>AU89*(AZ89+BA89)/1000</f>
        <v>0</v>
      </c>
      <c r="Y89">
        <f>0.61365*exp(17.502*BB89/(240.97+BB89))</f>
        <v>0</v>
      </c>
      <c r="Z89">
        <f>(V89-AU89*(AZ89+BA89)/1000)</f>
        <v>0</v>
      </c>
      <c r="AA89">
        <f>(-H89*44100)</f>
        <v>0</v>
      </c>
      <c r="AB89">
        <f>2*29.3*P89*0.92*(BB89-U89)</f>
        <v>0</v>
      </c>
      <c r="AC89">
        <f>2*0.95*5.67E-8*(((BB89+$B$7)+273)^4-(U89+273)^4)</f>
        <v>0</v>
      </c>
      <c r="AD89">
        <f>S89+AC89+AA89+AB89</f>
        <v>0</v>
      </c>
      <c r="AE89">
        <v>0</v>
      </c>
      <c r="AF89">
        <v>0</v>
      </c>
      <c r="AG89">
        <f>IF(AE89*$H$13&gt;=AI89,1.0,(AI89/(AI89-AE89*$H$13)))</f>
        <v>0</v>
      </c>
      <c r="AH89">
        <f>(AG89-1)*100</f>
        <v>0</v>
      </c>
      <c r="AI89">
        <f>MAX(0,($B$13+$C$13*BG89)/(1+$D$13*BG89)*AZ89/(BB89+273)*$E$13)</f>
        <v>0</v>
      </c>
      <c r="AJ89">
        <f>$B$11*BH89+$C$11*BI89+$D$11*BT89</f>
        <v>0</v>
      </c>
      <c r="AK89">
        <f>AJ89*AL89</f>
        <v>0</v>
      </c>
      <c r="AL89">
        <f>($B$11*$D$9+$C$11*$D$9+$D$11*(BU89*$E$9+BV89*$G$9))/($B$11+$C$11+$D$11)</f>
        <v>0</v>
      </c>
      <c r="AM89">
        <f>($B$11*$K$9+$C$11*$K$9+$D$11*(BU89*$L$9+BV89*$N$9))/($B$11+$C$11+$D$11)</f>
        <v>0</v>
      </c>
      <c r="AN89">
        <v>3</v>
      </c>
      <c r="AO89">
        <v>0.5</v>
      </c>
      <c r="AP89" t="s">
        <v>331</v>
      </c>
      <c r="AQ89">
        <v>2</v>
      </c>
      <c r="AR89">
        <v>1773200412.5</v>
      </c>
      <c r="AS89">
        <v>427.2594193548387</v>
      </c>
      <c r="AT89">
        <v>425.0821935483871</v>
      </c>
      <c r="AU89">
        <v>11.35555483870968</v>
      </c>
      <c r="AV89">
        <v>10.81322258064516</v>
      </c>
      <c r="AW89">
        <v>421.0280967741935</v>
      </c>
      <c r="AX89">
        <v>11.27496451612903</v>
      </c>
      <c r="AY89">
        <v>499.9603548387097</v>
      </c>
      <c r="AZ89">
        <v>100.2118064516129</v>
      </c>
      <c r="BA89">
        <v>0.04593227741935484</v>
      </c>
      <c r="BB89">
        <v>30.79727096774194</v>
      </c>
      <c r="BC89">
        <v>30.98577096774194</v>
      </c>
      <c r="BD89">
        <v>999.9000000000003</v>
      </c>
      <c r="BE89">
        <v>0</v>
      </c>
      <c r="BF89">
        <v>0</v>
      </c>
      <c r="BG89">
        <v>4999.274193548387</v>
      </c>
      <c r="BH89">
        <v>1.47406</v>
      </c>
      <c r="BI89">
        <v>2153.145483870967</v>
      </c>
      <c r="BJ89">
        <v>2.177216129032258</v>
      </c>
      <c r="BK89">
        <v>432.1668709677421</v>
      </c>
      <c r="BL89">
        <v>429.7289032258065</v>
      </c>
      <c r="BM89">
        <v>0.5423408387096774</v>
      </c>
      <c r="BN89">
        <v>425.0821935483871</v>
      </c>
      <c r="BO89">
        <v>10.81322258064516</v>
      </c>
      <c r="BP89">
        <v>1.137960322580645</v>
      </c>
      <c r="BQ89">
        <v>1.083613225806451</v>
      </c>
      <c r="BR89">
        <v>8.813769032258064</v>
      </c>
      <c r="BS89">
        <v>8.091884516129033</v>
      </c>
      <c r="BT89">
        <v>0</v>
      </c>
      <c r="BU89">
        <v>0</v>
      </c>
      <c r="BV89">
        <v>0</v>
      </c>
      <c r="BW89">
        <v>36</v>
      </c>
      <c r="BX89">
        <v>54.99570322580644</v>
      </c>
      <c r="BY89">
        <v>1773196010</v>
      </c>
      <c r="BZ89" t="s">
        <v>332</v>
      </c>
      <c r="CA89">
        <v>1773196010</v>
      </c>
      <c r="CB89">
        <v>1773196005.5</v>
      </c>
      <c r="CC89">
        <v>2</v>
      </c>
      <c r="CD89">
        <v>-0.279</v>
      </c>
      <c r="CE89">
        <v>-0.021</v>
      </c>
      <c r="CF89">
        <v>6.231</v>
      </c>
      <c r="CG89">
        <v>0.081</v>
      </c>
      <c r="CH89">
        <v>432</v>
      </c>
      <c r="CI89">
        <v>21</v>
      </c>
      <c r="CJ89">
        <v>0.03</v>
      </c>
      <c r="CK89">
        <v>0.06</v>
      </c>
      <c r="CL89">
        <v>425.0812666666667</v>
      </c>
      <c r="CM89">
        <v>0.06044048943228435</v>
      </c>
      <c r="CN89">
        <v>0.02856446899364758</v>
      </c>
      <c r="CO89">
        <v>-1</v>
      </c>
      <c r="CP89">
        <v>499.9562</v>
      </c>
      <c r="CQ89">
        <v>-1.025459399331971</v>
      </c>
      <c r="CR89">
        <v>0.1017072268818635</v>
      </c>
      <c r="CS89">
        <v>-1</v>
      </c>
      <c r="CT89">
        <v>0</v>
      </c>
      <c r="CU89">
        <v>0</v>
      </c>
      <c r="CV89" t="s">
        <v>333</v>
      </c>
      <c r="CW89">
        <v>3.17072</v>
      </c>
      <c r="CX89">
        <v>2.66884</v>
      </c>
      <c r="CY89">
        <v>0.09998849999999999</v>
      </c>
      <c r="CZ89">
        <v>0.100772</v>
      </c>
      <c r="DA89">
        <v>0.0641975</v>
      </c>
      <c r="DB89">
        <v>0.0619014</v>
      </c>
      <c r="DC89">
        <v>21320.7</v>
      </c>
      <c r="DD89">
        <v>21873</v>
      </c>
      <c r="DE89">
        <v>22840.1</v>
      </c>
      <c r="DF89">
        <v>22270.4</v>
      </c>
      <c r="DG89">
        <v>32322.2</v>
      </c>
      <c r="DH89">
        <v>29431.1</v>
      </c>
      <c r="DI89">
        <v>40199.5</v>
      </c>
      <c r="DJ89">
        <v>36837.3</v>
      </c>
      <c r="DK89">
        <v>2.02644</v>
      </c>
      <c r="DL89">
        <v>1.50792</v>
      </c>
      <c r="DM89">
        <v>-0.077796</v>
      </c>
      <c r="DN89">
        <v>0</v>
      </c>
      <c r="DO89">
        <v>32.2384</v>
      </c>
      <c r="DP89">
        <v>999.9</v>
      </c>
      <c r="DQ89">
        <v>26.9</v>
      </c>
      <c r="DR89">
        <v>43.8</v>
      </c>
      <c r="DS89">
        <v>24.313</v>
      </c>
      <c r="DT89">
        <v>29.9555</v>
      </c>
      <c r="DU89">
        <v>14.1426</v>
      </c>
      <c r="DV89">
        <v>1</v>
      </c>
      <c r="DW89">
        <v>0.88478</v>
      </c>
      <c r="DX89">
        <v>3.85356</v>
      </c>
      <c r="DY89">
        <v>20.3093</v>
      </c>
      <c r="DZ89">
        <v>5.20579</v>
      </c>
      <c r="EA89">
        <v>11.8546</v>
      </c>
      <c r="EB89">
        <v>4.96724</v>
      </c>
      <c r="EC89">
        <v>3.29298</v>
      </c>
      <c r="ED89">
        <v>879.4</v>
      </c>
      <c r="EE89">
        <v>9999</v>
      </c>
      <c r="EF89">
        <v>9999</v>
      </c>
      <c r="EG89">
        <v>77.2</v>
      </c>
      <c r="EH89">
        <v>4.9716</v>
      </c>
      <c r="EI89">
        <v>1.8721</v>
      </c>
      <c r="EJ89">
        <v>1.86951</v>
      </c>
      <c r="EK89">
        <v>1.8718</v>
      </c>
      <c r="EL89">
        <v>1.86965</v>
      </c>
      <c r="EM89">
        <v>1.86844</v>
      </c>
      <c r="EN89">
        <v>1.87026</v>
      </c>
      <c r="EO89">
        <v>1.87195</v>
      </c>
      <c r="EP89">
        <v>0</v>
      </c>
      <c r="EQ89">
        <v>0</v>
      </c>
      <c r="ER89">
        <v>0</v>
      </c>
      <c r="ES89">
        <v>0</v>
      </c>
      <c r="ET89" t="s">
        <v>334</v>
      </c>
      <c r="EU89" t="s">
        <v>335</v>
      </c>
      <c r="EV89" t="s">
        <v>336</v>
      </c>
      <c r="EW89" t="s">
        <v>336</v>
      </c>
      <c r="EX89" t="s">
        <v>336</v>
      </c>
      <c r="EY89" t="s">
        <v>336</v>
      </c>
      <c r="EZ89">
        <v>0</v>
      </c>
      <c r="FA89">
        <v>100</v>
      </c>
      <c r="FB89">
        <v>100</v>
      </c>
      <c r="FC89">
        <v>6.231</v>
      </c>
      <c r="FD89">
        <v>0.0806</v>
      </c>
      <c r="FE89">
        <v>6.23135000000002</v>
      </c>
      <c r="FF89">
        <v>0</v>
      </c>
      <c r="FG89">
        <v>0</v>
      </c>
      <c r="FH89">
        <v>0</v>
      </c>
      <c r="FI89">
        <v>0.08059047619047632</v>
      </c>
      <c r="FJ89">
        <v>0</v>
      </c>
      <c r="FK89">
        <v>0</v>
      </c>
      <c r="FL89">
        <v>0</v>
      </c>
      <c r="FM89">
        <v>-1</v>
      </c>
      <c r="FN89">
        <v>-1</v>
      </c>
      <c r="FO89">
        <v>-1</v>
      </c>
      <c r="FP89">
        <v>-1</v>
      </c>
      <c r="FQ89">
        <v>73.5</v>
      </c>
      <c r="FR89">
        <v>73.59999999999999</v>
      </c>
      <c r="FS89">
        <v>0.141602</v>
      </c>
      <c r="FT89">
        <v>4.99756</v>
      </c>
      <c r="FU89">
        <v>1.5979</v>
      </c>
      <c r="FV89">
        <v>2.11304</v>
      </c>
      <c r="FW89">
        <v>1.54785</v>
      </c>
      <c r="FX89">
        <v>2.44995</v>
      </c>
      <c r="FY89">
        <v>46.9448</v>
      </c>
      <c r="FZ89">
        <v>15.8745</v>
      </c>
      <c r="GA89">
        <v>3</v>
      </c>
      <c r="GB89">
        <v>520.005</v>
      </c>
      <c r="GC89">
        <v>294.142</v>
      </c>
      <c r="GD89">
        <v>27.5458</v>
      </c>
      <c r="GE89">
        <v>37.8616</v>
      </c>
      <c r="GF89">
        <v>29.9995</v>
      </c>
      <c r="GG89">
        <v>37.7459</v>
      </c>
      <c r="GH89">
        <v>37.7328</v>
      </c>
      <c r="GI89">
        <v>-1</v>
      </c>
      <c r="GJ89">
        <v>100</v>
      </c>
      <c r="GK89">
        <v>0</v>
      </c>
      <c r="GL89">
        <v>27.5518</v>
      </c>
      <c r="GM89">
        <v>1200</v>
      </c>
      <c r="GN89">
        <v>19.4378</v>
      </c>
      <c r="GO89">
        <v>101.135</v>
      </c>
      <c r="GP89">
        <v>96.1914</v>
      </c>
    </row>
    <row r="90" spans="1:198">
      <c r="A90">
        <v>74</v>
      </c>
      <c r="B90">
        <v>1773200480.6</v>
      </c>
      <c r="C90">
        <v>4380.599999904633</v>
      </c>
      <c r="D90" t="s">
        <v>481</v>
      </c>
      <c r="E90" t="s">
        <v>482</v>
      </c>
      <c r="F90">
        <v>15</v>
      </c>
      <c r="G90">
        <v>1773200472.96129</v>
      </c>
      <c r="H90">
        <f>(I90)/1000</f>
        <v>0</v>
      </c>
      <c r="I90">
        <f>1000*AY90*AG90*(AU90-AV90)/(100*AN90*(1000-AG90*AU90))</f>
        <v>0</v>
      </c>
      <c r="J90">
        <f>AY90*AG90*(AT90-AS90*(1000-AG90*AV90)/(1000-AG90*AU90))/(100*AN90)</f>
        <v>0</v>
      </c>
      <c r="K90">
        <f>AS90 - IF(AG90&gt;1, J90*AN90*100.0/(AI90), 0)</f>
        <v>0</v>
      </c>
      <c r="L90">
        <f>((R90-H90/2)*K90-J90)/(R90+H90/2)</f>
        <v>0</v>
      </c>
      <c r="M90">
        <f>L90*(AZ90+BA90)/1000.0</f>
        <v>0</v>
      </c>
      <c r="N90">
        <f>(AS90 - IF(AG90&gt;1, J90*AN90*100.0/(AI90), 0))*(AZ90+BA90)/1000.0</f>
        <v>0</v>
      </c>
      <c r="O90">
        <f>2.0/((1/Q90-1/P90)+SIGN(Q90)*SQRT((1/Q90-1/P90)*(1/Q90-1/P90) + 4*AO90/((AO90+1)*(AO90+1))*(2*1/Q90*1/P90-1/P90*1/P90)))</f>
        <v>0</v>
      </c>
      <c r="P90">
        <f>IF(LEFT(AP90,1)&lt;&gt;"0",IF(LEFT(AP90,1)="1",3.0,AQ90),$D$5+$E$5*(BG90*AZ90/($K$5*1000))+$F$5*(BG90*AZ90/($K$5*1000))*MAX(MIN(AN90,$J$5),$I$5)*MAX(MIN(AN90,$J$5),$I$5)+$G$5*MAX(MIN(AN90,$J$5),$I$5)*(BG90*AZ90/($K$5*1000))+$H$5*(BG90*AZ90/($K$5*1000))*(BG90*AZ90/($K$5*1000)))</f>
        <v>0</v>
      </c>
      <c r="Q90">
        <f>H90*(1000-(1000*0.61365*exp(17.502*U90/(240.97+U90))/(AZ90+BA90)+AU90)/2)/(1000*0.61365*exp(17.502*U90/(240.97+U90))/(AZ90+BA90)-AU90)</f>
        <v>0</v>
      </c>
      <c r="R90">
        <f>1/((AO90+1)/(O90/1.6)+1/(P90/1.37)) + AO90/((AO90+1)/(O90/1.6) + AO90/(P90/1.37))</f>
        <v>0</v>
      </c>
      <c r="S90">
        <f>(AJ90*AM90)</f>
        <v>0</v>
      </c>
      <c r="T90">
        <f>(BB90+(S90+2*0.95*5.67E-8*(((BB90+$B$7)+273)^4-(BB90+273)^4)-44100*H90)/(1.84*29.3*P90+8*0.95*5.67E-8*(BB90+273)^3))</f>
        <v>0</v>
      </c>
      <c r="U90">
        <f>($C$7*BC90+$D$7*BD90+$E$7*T90)</f>
        <v>0</v>
      </c>
      <c r="V90">
        <f>0.61365*exp(17.502*U90/(240.97+U90))</f>
        <v>0</v>
      </c>
      <c r="W90">
        <f>(X90/Y90*100)</f>
        <v>0</v>
      </c>
      <c r="X90">
        <f>AU90*(AZ90+BA90)/1000</f>
        <v>0</v>
      </c>
      <c r="Y90">
        <f>0.61365*exp(17.502*BB90/(240.97+BB90))</f>
        <v>0</v>
      </c>
      <c r="Z90">
        <f>(V90-AU90*(AZ90+BA90)/1000)</f>
        <v>0</v>
      </c>
      <c r="AA90">
        <f>(-H90*44100)</f>
        <v>0</v>
      </c>
      <c r="AB90">
        <f>2*29.3*P90*0.92*(BB90-U90)</f>
        <v>0</v>
      </c>
      <c r="AC90">
        <f>2*0.95*5.67E-8*(((BB90+$B$7)+273)^4-(U90+273)^4)</f>
        <v>0</v>
      </c>
      <c r="AD90">
        <f>S90+AC90+AA90+AB90</f>
        <v>0</v>
      </c>
      <c r="AE90">
        <v>0</v>
      </c>
      <c r="AF90">
        <v>0</v>
      </c>
      <c r="AG90">
        <f>IF(AE90*$H$13&gt;=AI90,1.0,(AI90/(AI90-AE90*$H$13)))</f>
        <v>0</v>
      </c>
      <c r="AH90">
        <f>(AG90-1)*100</f>
        <v>0</v>
      </c>
      <c r="AI90">
        <f>MAX(0,($B$13+$C$13*BG90)/(1+$D$13*BG90)*AZ90/(BB90+273)*$E$13)</f>
        <v>0</v>
      </c>
      <c r="AJ90">
        <f>$B$11*BH90+$C$11*BI90+$D$11*BT90</f>
        <v>0</v>
      </c>
      <c r="AK90">
        <f>AJ90*AL90</f>
        <v>0</v>
      </c>
      <c r="AL90">
        <f>($B$11*$D$9+$C$11*$D$9+$D$11*(BU90*$E$9+BV90*$G$9))/($B$11+$C$11+$D$11)</f>
        <v>0</v>
      </c>
      <c r="AM90">
        <f>($B$11*$K$9+$C$11*$K$9+$D$11*(BU90*$L$9+BV90*$N$9))/($B$11+$C$11+$D$11)</f>
        <v>0</v>
      </c>
      <c r="AN90">
        <v>3</v>
      </c>
      <c r="AO90">
        <v>0.5</v>
      </c>
      <c r="AP90" t="s">
        <v>331</v>
      </c>
      <c r="AQ90">
        <v>2</v>
      </c>
      <c r="AR90">
        <v>1773200472.96129</v>
      </c>
      <c r="AS90">
        <v>427.3504516129032</v>
      </c>
      <c r="AT90">
        <v>425.3098064516128</v>
      </c>
      <c r="AU90">
        <v>11.32055806451613</v>
      </c>
      <c r="AV90">
        <v>10.79116129032258</v>
      </c>
      <c r="AW90">
        <v>421.1191290322581</v>
      </c>
      <c r="AX90">
        <v>11.23996451612903</v>
      </c>
      <c r="AY90">
        <v>500.0103870967741</v>
      </c>
      <c r="AZ90">
        <v>100.2108709677419</v>
      </c>
      <c r="BA90">
        <v>0.04636608387096773</v>
      </c>
      <c r="BB90">
        <v>30.74511935483871</v>
      </c>
      <c r="BC90">
        <v>30.91204516129032</v>
      </c>
      <c r="BD90">
        <v>999.9000000000003</v>
      </c>
      <c r="BE90">
        <v>0</v>
      </c>
      <c r="BF90">
        <v>0</v>
      </c>
      <c r="BG90">
        <v>5002.83870967742</v>
      </c>
      <c r="BH90">
        <v>1.427577419354839</v>
      </c>
      <c r="BI90">
        <v>2148.84935483871</v>
      </c>
      <c r="BJ90">
        <v>2.040624838709677</v>
      </c>
      <c r="BK90">
        <v>432.2437096774194</v>
      </c>
      <c r="BL90">
        <v>429.9494838709677</v>
      </c>
      <c r="BM90">
        <v>0.5293962580645162</v>
      </c>
      <c r="BN90">
        <v>425.3098064516128</v>
      </c>
      <c r="BO90">
        <v>10.79116129032258</v>
      </c>
      <c r="BP90">
        <v>1.134443548387097</v>
      </c>
      <c r="BQ90">
        <v>1.08139129032258</v>
      </c>
      <c r="BR90">
        <v>8.76796935483871</v>
      </c>
      <c r="BS90">
        <v>8.061716129032259</v>
      </c>
      <c r="BT90">
        <v>0</v>
      </c>
      <c r="BU90">
        <v>0</v>
      </c>
      <c r="BV90">
        <v>0</v>
      </c>
      <c r="BW90">
        <v>35.96451935483871</v>
      </c>
      <c r="BX90">
        <v>54.5473129032258</v>
      </c>
      <c r="BY90">
        <v>1773196010</v>
      </c>
      <c r="BZ90" t="s">
        <v>332</v>
      </c>
      <c r="CA90">
        <v>1773196010</v>
      </c>
      <c r="CB90">
        <v>1773196005.5</v>
      </c>
      <c r="CC90">
        <v>2</v>
      </c>
      <c r="CD90">
        <v>-0.279</v>
      </c>
      <c r="CE90">
        <v>-0.021</v>
      </c>
      <c r="CF90">
        <v>6.231</v>
      </c>
      <c r="CG90">
        <v>0.081</v>
      </c>
      <c r="CH90">
        <v>432</v>
      </c>
      <c r="CI90">
        <v>21</v>
      </c>
      <c r="CJ90">
        <v>0.03</v>
      </c>
      <c r="CK90">
        <v>0.06</v>
      </c>
      <c r="CL90">
        <v>425.3038064516129</v>
      </c>
      <c r="CM90">
        <v>0.1899119693335987</v>
      </c>
      <c r="CN90">
        <v>0.01895566874925608</v>
      </c>
      <c r="CO90">
        <v>-1</v>
      </c>
      <c r="CP90">
        <v>500.0006451612903</v>
      </c>
      <c r="CQ90">
        <v>0.6192175986562003</v>
      </c>
      <c r="CR90">
        <v>0.06325297309707546</v>
      </c>
      <c r="CS90">
        <v>-1</v>
      </c>
      <c r="CT90">
        <v>0</v>
      </c>
      <c r="CU90">
        <v>0</v>
      </c>
      <c r="CV90" t="s">
        <v>333</v>
      </c>
      <c r="CW90">
        <v>3.17067</v>
      </c>
      <c r="CX90">
        <v>2.66798</v>
      </c>
      <c r="CY90">
        <v>0.100024</v>
      </c>
      <c r="CZ90">
        <v>0.100827</v>
      </c>
      <c r="DA90">
        <v>0.0640135</v>
      </c>
      <c r="DB90">
        <v>0.061743</v>
      </c>
      <c r="DC90">
        <v>21321.2</v>
      </c>
      <c r="DD90">
        <v>21873.9</v>
      </c>
      <c r="DE90">
        <v>22841.4</v>
      </c>
      <c r="DF90">
        <v>22272.6</v>
      </c>
      <c r="DG90">
        <v>32330.5</v>
      </c>
      <c r="DH90">
        <v>29439.1</v>
      </c>
      <c r="DI90">
        <v>40201.9</v>
      </c>
      <c r="DJ90">
        <v>36841</v>
      </c>
      <c r="DK90">
        <v>2.02682</v>
      </c>
      <c r="DL90">
        <v>1.50924</v>
      </c>
      <c r="DM90">
        <v>-0.07599590000000001</v>
      </c>
      <c r="DN90">
        <v>0</v>
      </c>
      <c r="DO90">
        <v>32.1221</v>
      </c>
      <c r="DP90">
        <v>999.9</v>
      </c>
      <c r="DQ90">
        <v>26.7</v>
      </c>
      <c r="DR90">
        <v>43.9</v>
      </c>
      <c r="DS90">
        <v>24.2588</v>
      </c>
      <c r="DT90">
        <v>29.9391</v>
      </c>
      <c r="DU90">
        <v>14.1867</v>
      </c>
      <c r="DV90">
        <v>1</v>
      </c>
      <c r="DW90">
        <v>0.877226</v>
      </c>
      <c r="DX90">
        <v>3.34819</v>
      </c>
      <c r="DY90">
        <v>20.3231</v>
      </c>
      <c r="DZ90">
        <v>5.2107</v>
      </c>
      <c r="EA90">
        <v>11.8546</v>
      </c>
      <c r="EB90">
        <v>4.96736</v>
      </c>
      <c r="EC90">
        <v>3.29296</v>
      </c>
      <c r="ED90">
        <v>879.4</v>
      </c>
      <c r="EE90">
        <v>9999</v>
      </c>
      <c r="EF90">
        <v>9999</v>
      </c>
      <c r="EG90">
        <v>77.2</v>
      </c>
      <c r="EH90">
        <v>4.97159</v>
      </c>
      <c r="EI90">
        <v>1.8721</v>
      </c>
      <c r="EJ90">
        <v>1.8695</v>
      </c>
      <c r="EK90">
        <v>1.8718</v>
      </c>
      <c r="EL90">
        <v>1.86961</v>
      </c>
      <c r="EM90">
        <v>1.86842</v>
      </c>
      <c r="EN90">
        <v>1.87025</v>
      </c>
      <c r="EO90">
        <v>1.87195</v>
      </c>
      <c r="EP90">
        <v>0</v>
      </c>
      <c r="EQ90">
        <v>0</v>
      </c>
      <c r="ER90">
        <v>0</v>
      </c>
      <c r="ES90">
        <v>0</v>
      </c>
      <c r="ET90" t="s">
        <v>334</v>
      </c>
      <c r="EU90" t="s">
        <v>335</v>
      </c>
      <c r="EV90" t="s">
        <v>336</v>
      </c>
      <c r="EW90" t="s">
        <v>336</v>
      </c>
      <c r="EX90" t="s">
        <v>336</v>
      </c>
      <c r="EY90" t="s">
        <v>336</v>
      </c>
      <c r="EZ90">
        <v>0</v>
      </c>
      <c r="FA90">
        <v>100</v>
      </c>
      <c r="FB90">
        <v>100</v>
      </c>
      <c r="FC90">
        <v>6.232</v>
      </c>
      <c r="FD90">
        <v>0.0806</v>
      </c>
      <c r="FE90">
        <v>6.23135000000002</v>
      </c>
      <c r="FF90">
        <v>0</v>
      </c>
      <c r="FG90">
        <v>0</v>
      </c>
      <c r="FH90">
        <v>0</v>
      </c>
      <c r="FI90">
        <v>0.08059047619047632</v>
      </c>
      <c r="FJ90">
        <v>0</v>
      </c>
      <c r="FK90">
        <v>0</v>
      </c>
      <c r="FL90">
        <v>0</v>
      </c>
      <c r="FM90">
        <v>-1</v>
      </c>
      <c r="FN90">
        <v>-1</v>
      </c>
      <c r="FO90">
        <v>-1</v>
      </c>
      <c r="FP90">
        <v>-1</v>
      </c>
      <c r="FQ90">
        <v>74.5</v>
      </c>
      <c r="FR90">
        <v>74.59999999999999</v>
      </c>
      <c r="FS90">
        <v>0.141602</v>
      </c>
      <c r="FT90">
        <v>4.99756</v>
      </c>
      <c r="FU90">
        <v>1.5979</v>
      </c>
      <c r="FV90">
        <v>2.11182</v>
      </c>
      <c r="FW90">
        <v>1.54785</v>
      </c>
      <c r="FX90">
        <v>2.39014</v>
      </c>
      <c r="FY90">
        <v>46.9151</v>
      </c>
      <c r="FZ90">
        <v>15.8745</v>
      </c>
      <c r="GA90">
        <v>3</v>
      </c>
      <c r="GB90">
        <v>520.029</v>
      </c>
      <c r="GC90">
        <v>294.648</v>
      </c>
      <c r="GD90">
        <v>27.7573</v>
      </c>
      <c r="GE90">
        <v>37.8097</v>
      </c>
      <c r="GF90">
        <v>29.9993</v>
      </c>
      <c r="GG90">
        <v>37.7158</v>
      </c>
      <c r="GH90">
        <v>37.7028</v>
      </c>
      <c r="GI90">
        <v>-1</v>
      </c>
      <c r="GJ90">
        <v>100</v>
      </c>
      <c r="GK90">
        <v>0</v>
      </c>
      <c r="GL90">
        <v>27.7851</v>
      </c>
      <c r="GM90">
        <v>1200</v>
      </c>
      <c r="GN90">
        <v>19.4378</v>
      </c>
      <c r="GO90">
        <v>101.14</v>
      </c>
      <c r="GP90">
        <v>96.2009</v>
      </c>
    </row>
    <row r="91" spans="1:198">
      <c r="A91">
        <v>75</v>
      </c>
      <c r="B91">
        <v>1773200540.6</v>
      </c>
      <c r="C91">
        <v>4440.599999904633</v>
      </c>
      <c r="D91" t="s">
        <v>483</v>
      </c>
      <c r="E91" t="s">
        <v>484</v>
      </c>
      <c r="F91">
        <v>15</v>
      </c>
      <c r="G91">
        <v>1773200532.599999</v>
      </c>
      <c r="H91">
        <f>(I91)/1000</f>
        <v>0</v>
      </c>
      <c r="I91">
        <f>1000*AY91*AG91*(AU91-AV91)/(100*AN91*(1000-AG91*AU91))</f>
        <v>0</v>
      </c>
      <c r="J91">
        <f>AY91*AG91*(AT91-AS91*(1000-AG91*AV91)/(1000-AG91*AU91))/(100*AN91)</f>
        <v>0</v>
      </c>
      <c r="K91">
        <f>AS91 - IF(AG91&gt;1, J91*AN91*100.0/(AI91), 0)</f>
        <v>0</v>
      </c>
      <c r="L91">
        <f>((R91-H91/2)*K91-J91)/(R91+H91/2)</f>
        <v>0</v>
      </c>
      <c r="M91">
        <f>L91*(AZ91+BA91)/1000.0</f>
        <v>0</v>
      </c>
      <c r="N91">
        <f>(AS91 - IF(AG91&gt;1, J91*AN91*100.0/(AI91), 0))*(AZ91+BA91)/1000.0</f>
        <v>0</v>
      </c>
      <c r="O91">
        <f>2.0/((1/Q91-1/P91)+SIGN(Q91)*SQRT((1/Q91-1/P91)*(1/Q91-1/P91) + 4*AO91/((AO91+1)*(AO91+1))*(2*1/Q91*1/P91-1/P91*1/P91)))</f>
        <v>0</v>
      </c>
      <c r="P91">
        <f>IF(LEFT(AP91,1)&lt;&gt;"0",IF(LEFT(AP91,1)="1",3.0,AQ91),$D$5+$E$5*(BG91*AZ91/($K$5*1000))+$F$5*(BG91*AZ91/($K$5*1000))*MAX(MIN(AN91,$J$5),$I$5)*MAX(MIN(AN91,$J$5),$I$5)+$G$5*MAX(MIN(AN91,$J$5),$I$5)*(BG91*AZ91/($K$5*1000))+$H$5*(BG91*AZ91/($K$5*1000))*(BG91*AZ91/($K$5*1000)))</f>
        <v>0</v>
      </c>
      <c r="Q91">
        <f>H91*(1000-(1000*0.61365*exp(17.502*U91/(240.97+U91))/(AZ91+BA91)+AU91)/2)/(1000*0.61365*exp(17.502*U91/(240.97+U91))/(AZ91+BA91)-AU91)</f>
        <v>0</v>
      </c>
      <c r="R91">
        <f>1/((AO91+1)/(O91/1.6)+1/(P91/1.37)) + AO91/((AO91+1)/(O91/1.6) + AO91/(P91/1.37))</f>
        <v>0</v>
      </c>
      <c r="S91">
        <f>(AJ91*AM91)</f>
        <v>0</v>
      </c>
      <c r="T91">
        <f>(BB91+(S91+2*0.95*5.67E-8*(((BB91+$B$7)+273)^4-(BB91+273)^4)-44100*H91)/(1.84*29.3*P91+8*0.95*5.67E-8*(BB91+273)^3))</f>
        <v>0</v>
      </c>
      <c r="U91">
        <f>($C$7*BC91+$D$7*BD91+$E$7*T91)</f>
        <v>0</v>
      </c>
      <c r="V91">
        <f>0.61365*exp(17.502*U91/(240.97+U91))</f>
        <v>0</v>
      </c>
      <c r="W91">
        <f>(X91/Y91*100)</f>
        <v>0</v>
      </c>
      <c r="X91">
        <f>AU91*(AZ91+BA91)/1000</f>
        <v>0</v>
      </c>
      <c r="Y91">
        <f>0.61365*exp(17.502*BB91/(240.97+BB91))</f>
        <v>0</v>
      </c>
      <c r="Z91">
        <f>(V91-AU91*(AZ91+BA91)/1000)</f>
        <v>0</v>
      </c>
      <c r="AA91">
        <f>(-H91*44100)</f>
        <v>0</v>
      </c>
      <c r="AB91">
        <f>2*29.3*P91*0.92*(BB91-U91)</f>
        <v>0</v>
      </c>
      <c r="AC91">
        <f>2*0.95*5.67E-8*(((BB91+$B$7)+273)^4-(U91+273)^4)</f>
        <v>0</v>
      </c>
      <c r="AD91">
        <f>S91+AC91+AA91+AB91</f>
        <v>0</v>
      </c>
      <c r="AE91">
        <v>0</v>
      </c>
      <c r="AF91">
        <v>0</v>
      </c>
      <c r="AG91">
        <f>IF(AE91*$H$13&gt;=AI91,1.0,(AI91/(AI91-AE91*$H$13)))</f>
        <v>0</v>
      </c>
      <c r="AH91">
        <f>(AG91-1)*100</f>
        <v>0</v>
      </c>
      <c r="AI91">
        <f>MAX(0,($B$13+$C$13*BG91)/(1+$D$13*BG91)*AZ91/(BB91+273)*$E$13)</f>
        <v>0</v>
      </c>
      <c r="AJ91">
        <f>$B$11*BH91+$C$11*BI91+$D$11*BT91</f>
        <v>0</v>
      </c>
      <c r="AK91">
        <f>AJ91*AL91</f>
        <v>0</v>
      </c>
      <c r="AL91">
        <f>($B$11*$D$9+$C$11*$D$9+$D$11*(BU91*$E$9+BV91*$G$9))/($B$11+$C$11+$D$11)</f>
        <v>0</v>
      </c>
      <c r="AM91">
        <f>($B$11*$K$9+$C$11*$K$9+$D$11*(BU91*$L$9+BV91*$N$9))/($B$11+$C$11+$D$11)</f>
        <v>0</v>
      </c>
      <c r="AN91">
        <v>3</v>
      </c>
      <c r="AO91">
        <v>0.5</v>
      </c>
      <c r="AP91" t="s">
        <v>331</v>
      </c>
      <c r="AQ91">
        <v>2</v>
      </c>
      <c r="AR91">
        <v>1773200532.599999</v>
      </c>
      <c r="AS91">
        <v>427.3948387096774</v>
      </c>
      <c r="AT91">
        <v>425.3853870967742</v>
      </c>
      <c r="AU91">
        <v>11.22533548387097</v>
      </c>
      <c r="AV91">
        <v>10.7090064516129</v>
      </c>
      <c r="AW91">
        <v>421.1635806451612</v>
      </c>
      <c r="AX91">
        <v>11.14473870967742</v>
      </c>
      <c r="AY91">
        <v>500.0107741935485</v>
      </c>
      <c r="AZ91">
        <v>100.2068064516129</v>
      </c>
      <c r="BA91">
        <v>0.04608688709677419</v>
      </c>
      <c r="BB91">
        <v>30.75614838709678</v>
      </c>
      <c r="BC91">
        <v>30.91268387096774</v>
      </c>
      <c r="BD91">
        <v>999.9000000000003</v>
      </c>
      <c r="BE91">
        <v>0</v>
      </c>
      <c r="BF91">
        <v>0</v>
      </c>
      <c r="BG91">
        <v>5007.83870967742</v>
      </c>
      <c r="BH91">
        <v>1.424431612903226</v>
      </c>
      <c r="BI91">
        <v>2126.980645161291</v>
      </c>
      <c r="BJ91">
        <v>2.009566129032258</v>
      </c>
      <c r="BK91">
        <v>432.2470322580646</v>
      </c>
      <c r="BL91">
        <v>429.9900967741935</v>
      </c>
      <c r="BM91">
        <v>0.5163292903225807</v>
      </c>
      <c r="BN91">
        <v>425.3853870967742</v>
      </c>
      <c r="BO91">
        <v>10.7090064516129</v>
      </c>
      <c r="BP91">
        <v>1.124854193548387</v>
      </c>
      <c r="BQ91">
        <v>1.073114838709678</v>
      </c>
      <c r="BR91">
        <v>8.642512903225807</v>
      </c>
      <c r="BS91">
        <v>7.948790322580646</v>
      </c>
      <c r="BT91">
        <v>0</v>
      </c>
      <c r="BU91">
        <v>0</v>
      </c>
      <c r="BV91">
        <v>0</v>
      </c>
      <c r="BW91">
        <v>35.20967419354838</v>
      </c>
      <c r="BX91">
        <v>54</v>
      </c>
      <c r="BY91">
        <v>1773196010</v>
      </c>
      <c r="BZ91" t="s">
        <v>332</v>
      </c>
      <c r="CA91">
        <v>1773196010</v>
      </c>
      <c r="CB91">
        <v>1773196005.5</v>
      </c>
      <c r="CC91">
        <v>2</v>
      </c>
      <c r="CD91">
        <v>-0.279</v>
      </c>
      <c r="CE91">
        <v>-0.021</v>
      </c>
      <c r="CF91">
        <v>6.231</v>
      </c>
      <c r="CG91">
        <v>0.081</v>
      </c>
      <c r="CH91">
        <v>432</v>
      </c>
      <c r="CI91">
        <v>21</v>
      </c>
      <c r="CJ91">
        <v>0.03</v>
      </c>
      <c r="CK91">
        <v>0.06</v>
      </c>
      <c r="CL91">
        <v>425.3704333333333</v>
      </c>
      <c r="CM91">
        <v>1.350273637374765</v>
      </c>
      <c r="CN91">
        <v>0.09818543114377239</v>
      </c>
      <c r="CO91">
        <v>-1</v>
      </c>
      <c r="CP91">
        <v>500.0056333333334</v>
      </c>
      <c r="CQ91">
        <v>0.2579132369288535</v>
      </c>
      <c r="CR91">
        <v>0.05228478639995609</v>
      </c>
      <c r="CS91">
        <v>-1</v>
      </c>
      <c r="CT91">
        <v>0</v>
      </c>
      <c r="CU91">
        <v>0</v>
      </c>
      <c r="CV91" t="s">
        <v>333</v>
      </c>
      <c r="CW91">
        <v>3.17068</v>
      </c>
      <c r="CX91">
        <v>2.66724</v>
      </c>
      <c r="CY91">
        <v>0.100049</v>
      </c>
      <c r="CZ91">
        <v>0.100863</v>
      </c>
      <c r="DA91">
        <v>0.0636345</v>
      </c>
      <c r="DB91">
        <v>0.0614604</v>
      </c>
      <c r="DC91">
        <v>21322.1</v>
      </c>
      <c r="DD91">
        <v>21874.5</v>
      </c>
      <c r="DE91">
        <v>22842.8</v>
      </c>
      <c r="DF91">
        <v>22273.9</v>
      </c>
      <c r="DG91">
        <v>32345.5</v>
      </c>
      <c r="DH91">
        <v>29449.9</v>
      </c>
      <c r="DI91">
        <v>40204.2</v>
      </c>
      <c r="DJ91">
        <v>36843.3</v>
      </c>
      <c r="DK91">
        <v>2.02734</v>
      </c>
      <c r="DL91">
        <v>1.50958</v>
      </c>
      <c r="DM91">
        <v>-0.0655651</v>
      </c>
      <c r="DN91">
        <v>0</v>
      </c>
      <c r="DO91">
        <v>31.9802</v>
      </c>
      <c r="DP91">
        <v>999.9</v>
      </c>
      <c r="DQ91">
        <v>26.9</v>
      </c>
      <c r="DR91">
        <v>44</v>
      </c>
      <c r="DS91">
        <v>24.5682</v>
      </c>
      <c r="DT91">
        <v>29.9991</v>
      </c>
      <c r="DU91">
        <v>14.2388</v>
      </c>
      <c r="DV91">
        <v>1</v>
      </c>
      <c r="DW91">
        <v>0.870167</v>
      </c>
      <c r="DX91">
        <v>2.89161</v>
      </c>
      <c r="DY91">
        <v>20.3329</v>
      </c>
      <c r="DZ91">
        <v>5.21046</v>
      </c>
      <c r="EA91">
        <v>11.855</v>
      </c>
      <c r="EB91">
        <v>4.96756</v>
      </c>
      <c r="EC91">
        <v>3.29296</v>
      </c>
      <c r="ED91">
        <v>879.4</v>
      </c>
      <c r="EE91">
        <v>9999</v>
      </c>
      <c r="EF91">
        <v>9999</v>
      </c>
      <c r="EG91">
        <v>77.3</v>
      </c>
      <c r="EH91">
        <v>4.97159</v>
      </c>
      <c r="EI91">
        <v>1.8721</v>
      </c>
      <c r="EJ91">
        <v>1.86951</v>
      </c>
      <c r="EK91">
        <v>1.8718</v>
      </c>
      <c r="EL91">
        <v>1.86963</v>
      </c>
      <c r="EM91">
        <v>1.86839</v>
      </c>
      <c r="EN91">
        <v>1.87025</v>
      </c>
      <c r="EO91">
        <v>1.87196</v>
      </c>
      <c r="EP91">
        <v>0</v>
      </c>
      <c r="EQ91">
        <v>0</v>
      </c>
      <c r="ER91">
        <v>0</v>
      </c>
      <c r="ES91">
        <v>0</v>
      </c>
      <c r="ET91" t="s">
        <v>334</v>
      </c>
      <c r="EU91" t="s">
        <v>335</v>
      </c>
      <c r="EV91" t="s">
        <v>336</v>
      </c>
      <c r="EW91" t="s">
        <v>336</v>
      </c>
      <c r="EX91" t="s">
        <v>336</v>
      </c>
      <c r="EY91" t="s">
        <v>336</v>
      </c>
      <c r="EZ91">
        <v>0</v>
      </c>
      <c r="FA91">
        <v>100</v>
      </c>
      <c r="FB91">
        <v>100</v>
      </c>
      <c r="FC91">
        <v>6.231</v>
      </c>
      <c r="FD91">
        <v>0.0806</v>
      </c>
      <c r="FE91">
        <v>6.23135000000002</v>
      </c>
      <c r="FF91">
        <v>0</v>
      </c>
      <c r="FG91">
        <v>0</v>
      </c>
      <c r="FH91">
        <v>0</v>
      </c>
      <c r="FI91">
        <v>0.08059047619047632</v>
      </c>
      <c r="FJ91">
        <v>0</v>
      </c>
      <c r="FK91">
        <v>0</v>
      </c>
      <c r="FL91">
        <v>0</v>
      </c>
      <c r="FM91">
        <v>-1</v>
      </c>
      <c r="FN91">
        <v>-1</v>
      </c>
      <c r="FO91">
        <v>-1</v>
      </c>
      <c r="FP91">
        <v>-1</v>
      </c>
      <c r="FQ91">
        <v>75.5</v>
      </c>
      <c r="FR91">
        <v>75.59999999999999</v>
      </c>
      <c r="FS91">
        <v>0.141602</v>
      </c>
      <c r="FT91">
        <v>4.99756</v>
      </c>
      <c r="FU91">
        <v>1.5979</v>
      </c>
      <c r="FV91">
        <v>2.11304</v>
      </c>
      <c r="FW91">
        <v>1.54785</v>
      </c>
      <c r="FX91">
        <v>2.36328</v>
      </c>
      <c r="FY91">
        <v>46.8855</v>
      </c>
      <c r="FZ91">
        <v>15.8745</v>
      </c>
      <c r="GA91">
        <v>3</v>
      </c>
      <c r="GB91">
        <v>520.112</v>
      </c>
      <c r="GC91">
        <v>294.692</v>
      </c>
      <c r="GD91">
        <v>28.3222</v>
      </c>
      <c r="GE91">
        <v>37.7507</v>
      </c>
      <c r="GF91">
        <v>29.9999</v>
      </c>
      <c r="GG91">
        <v>37.6814</v>
      </c>
      <c r="GH91">
        <v>37.673</v>
      </c>
      <c r="GI91">
        <v>-1</v>
      </c>
      <c r="GJ91">
        <v>100</v>
      </c>
      <c r="GK91">
        <v>0</v>
      </c>
      <c r="GL91">
        <v>28.3321</v>
      </c>
      <c r="GM91">
        <v>1200</v>
      </c>
      <c r="GN91">
        <v>19.4378</v>
      </c>
      <c r="GO91">
        <v>101.146</v>
      </c>
      <c r="GP91">
        <v>96.2068</v>
      </c>
    </row>
    <row r="92" spans="1:198">
      <c r="A92">
        <v>76</v>
      </c>
      <c r="B92">
        <v>1773200600.6</v>
      </c>
      <c r="C92">
        <v>4500.599999904633</v>
      </c>
      <c r="D92" t="s">
        <v>485</v>
      </c>
      <c r="E92" t="s">
        <v>486</v>
      </c>
      <c r="F92">
        <v>15</v>
      </c>
      <c r="G92">
        <v>1773200592.599999</v>
      </c>
      <c r="H92">
        <f>(I92)/1000</f>
        <v>0</v>
      </c>
      <c r="I92">
        <f>1000*AY92*AG92*(AU92-AV92)/(100*AN92*(1000-AG92*AU92))</f>
        <v>0</v>
      </c>
      <c r="J92">
        <f>AY92*AG92*(AT92-AS92*(1000-AG92*AV92)/(1000-AG92*AU92))/(100*AN92)</f>
        <v>0</v>
      </c>
      <c r="K92">
        <f>AS92 - IF(AG92&gt;1, J92*AN92*100.0/(AI92), 0)</f>
        <v>0</v>
      </c>
      <c r="L92">
        <f>((R92-H92/2)*K92-J92)/(R92+H92/2)</f>
        <v>0</v>
      </c>
      <c r="M92">
        <f>L92*(AZ92+BA92)/1000.0</f>
        <v>0</v>
      </c>
      <c r="N92">
        <f>(AS92 - IF(AG92&gt;1, J92*AN92*100.0/(AI92), 0))*(AZ92+BA92)/1000.0</f>
        <v>0</v>
      </c>
      <c r="O92">
        <f>2.0/((1/Q92-1/P92)+SIGN(Q92)*SQRT((1/Q92-1/P92)*(1/Q92-1/P92) + 4*AO92/((AO92+1)*(AO92+1))*(2*1/Q92*1/P92-1/P92*1/P92)))</f>
        <v>0</v>
      </c>
      <c r="P92">
        <f>IF(LEFT(AP92,1)&lt;&gt;"0",IF(LEFT(AP92,1)="1",3.0,AQ92),$D$5+$E$5*(BG92*AZ92/($K$5*1000))+$F$5*(BG92*AZ92/($K$5*1000))*MAX(MIN(AN92,$J$5),$I$5)*MAX(MIN(AN92,$J$5),$I$5)+$G$5*MAX(MIN(AN92,$J$5),$I$5)*(BG92*AZ92/($K$5*1000))+$H$5*(BG92*AZ92/($K$5*1000))*(BG92*AZ92/($K$5*1000)))</f>
        <v>0</v>
      </c>
      <c r="Q92">
        <f>H92*(1000-(1000*0.61365*exp(17.502*U92/(240.97+U92))/(AZ92+BA92)+AU92)/2)/(1000*0.61365*exp(17.502*U92/(240.97+U92))/(AZ92+BA92)-AU92)</f>
        <v>0</v>
      </c>
      <c r="R92">
        <f>1/((AO92+1)/(O92/1.6)+1/(P92/1.37)) + AO92/((AO92+1)/(O92/1.6) + AO92/(P92/1.37))</f>
        <v>0</v>
      </c>
      <c r="S92">
        <f>(AJ92*AM92)</f>
        <v>0</v>
      </c>
      <c r="T92">
        <f>(BB92+(S92+2*0.95*5.67E-8*(((BB92+$B$7)+273)^4-(BB92+273)^4)-44100*H92)/(1.84*29.3*P92+8*0.95*5.67E-8*(BB92+273)^3))</f>
        <v>0</v>
      </c>
      <c r="U92">
        <f>($C$7*BC92+$D$7*BD92+$E$7*T92)</f>
        <v>0</v>
      </c>
      <c r="V92">
        <f>0.61365*exp(17.502*U92/(240.97+U92))</f>
        <v>0</v>
      </c>
      <c r="W92">
        <f>(X92/Y92*100)</f>
        <v>0</v>
      </c>
      <c r="X92">
        <f>AU92*(AZ92+BA92)/1000</f>
        <v>0</v>
      </c>
      <c r="Y92">
        <f>0.61365*exp(17.502*BB92/(240.97+BB92))</f>
        <v>0</v>
      </c>
      <c r="Z92">
        <f>(V92-AU92*(AZ92+BA92)/1000)</f>
        <v>0</v>
      </c>
      <c r="AA92">
        <f>(-H92*44100)</f>
        <v>0</v>
      </c>
      <c r="AB92">
        <f>2*29.3*P92*0.92*(BB92-U92)</f>
        <v>0</v>
      </c>
      <c r="AC92">
        <f>2*0.95*5.67E-8*(((BB92+$B$7)+273)^4-(U92+273)^4)</f>
        <v>0</v>
      </c>
      <c r="AD92">
        <f>S92+AC92+AA92+AB92</f>
        <v>0</v>
      </c>
      <c r="AE92">
        <v>0</v>
      </c>
      <c r="AF92">
        <v>0</v>
      </c>
      <c r="AG92">
        <f>IF(AE92*$H$13&gt;=AI92,1.0,(AI92/(AI92-AE92*$H$13)))</f>
        <v>0</v>
      </c>
      <c r="AH92">
        <f>(AG92-1)*100</f>
        <v>0</v>
      </c>
      <c r="AI92">
        <f>MAX(0,($B$13+$C$13*BG92)/(1+$D$13*BG92)*AZ92/(BB92+273)*$E$13)</f>
        <v>0</v>
      </c>
      <c r="AJ92">
        <f>$B$11*BH92+$C$11*BI92+$D$11*BT92</f>
        <v>0</v>
      </c>
      <c r="AK92">
        <f>AJ92*AL92</f>
        <v>0</v>
      </c>
      <c r="AL92">
        <f>($B$11*$D$9+$C$11*$D$9+$D$11*(BU92*$E$9+BV92*$G$9))/($B$11+$C$11+$D$11)</f>
        <v>0</v>
      </c>
      <c r="AM92">
        <f>($B$11*$K$9+$C$11*$K$9+$D$11*(BU92*$L$9+BV92*$N$9))/($B$11+$C$11+$D$11)</f>
        <v>0</v>
      </c>
      <c r="AN92">
        <v>3</v>
      </c>
      <c r="AO92">
        <v>0.5</v>
      </c>
      <c r="AP92" t="s">
        <v>331</v>
      </c>
      <c r="AQ92">
        <v>2</v>
      </c>
      <c r="AR92">
        <v>1773200592.599999</v>
      </c>
      <c r="AS92">
        <v>428.0469677419354</v>
      </c>
      <c r="AT92">
        <v>425.9901290322581</v>
      </c>
      <c r="AU92">
        <v>11.21155483870968</v>
      </c>
      <c r="AV92">
        <v>10.71664193548387</v>
      </c>
      <c r="AW92">
        <v>421.8155806451612</v>
      </c>
      <c r="AX92">
        <v>11.13096451612903</v>
      </c>
      <c r="AY92">
        <v>499.9896774193548</v>
      </c>
      <c r="AZ92">
        <v>100.2036451612903</v>
      </c>
      <c r="BA92">
        <v>0.04586866451612903</v>
      </c>
      <c r="BB92">
        <v>30.80355483870968</v>
      </c>
      <c r="BC92">
        <v>30.96016774193549</v>
      </c>
      <c r="BD92">
        <v>999.9000000000003</v>
      </c>
      <c r="BE92">
        <v>0</v>
      </c>
      <c r="BF92">
        <v>0</v>
      </c>
      <c r="BG92">
        <v>4989.83870967742</v>
      </c>
      <c r="BH92">
        <v>1.406154193548387</v>
      </c>
      <c r="BI92">
        <v>2111.496451612903</v>
      </c>
      <c r="BJ92">
        <v>2.056877419354838</v>
      </c>
      <c r="BK92">
        <v>432.9003870967742</v>
      </c>
      <c r="BL92">
        <v>430.6046129032258</v>
      </c>
      <c r="BM92">
        <v>0.4949116129032258</v>
      </c>
      <c r="BN92">
        <v>425.9901290322581</v>
      </c>
      <c r="BO92">
        <v>10.71664193548387</v>
      </c>
      <c r="BP92">
        <v>1.123438709677419</v>
      </c>
      <c r="BQ92">
        <v>1.073846451612903</v>
      </c>
      <c r="BR92">
        <v>8.623905161290324</v>
      </c>
      <c r="BS92">
        <v>7.958804838709677</v>
      </c>
      <c r="BT92">
        <v>0</v>
      </c>
      <c r="BU92">
        <v>0</v>
      </c>
      <c r="BV92">
        <v>0</v>
      </c>
      <c r="BW92">
        <v>35.2043064516129</v>
      </c>
      <c r="BX92">
        <v>54</v>
      </c>
      <c r="BY92">
        <v>1773196010</v>
      </c>
      <c r="BZ92" t="s">
        <v>332</v>
      </c>
      <c r="CA92">
        <v>1773196010</v>
      </c>
      <c r="CB92">
        <v>1773196005.5</v>
      </c>
      <c r="CC92">
        <v>2</v>
      </c>
      <c r="CD92">
        <v>-0.279</v>
      </c>
      <c r="CE92">
        <v>-0.021</v>
      </c>
      <c r="CF92">
        <v>6.231</v>
      </c>
      <c r="CG92">
        <v>0.081</v>
      </c>
      <c r="CH92">
        <v>432</v>
      </c>
      <c r="CI92">
        <v>21</v>
      </c>
      <c r="CJ92">
        <v>0.03</v>
      </c>
      <c r="CK92">
        <v>0.06</v>
      </c>
      <c r="CL92">
        <v>425.99</v>
      </c>
      <c r="CM92">
        <v>0.2339132369304007</v>
      </c>
      <c r="CN92">
        <v>0.02298115169727889</v>
      </c>
      <c r="CO92">
        <v>-1</v>
      </c>
      <c r="CP92">
        <v>499.9881333333334</v>
      </c>
      <c r="CQ92">
        <v>0.06780867630780665</v>
      </c>
      <c r="CR92">
        <v>0.05348877348461703</v>
      </c>
      <c r="CS92">
        <v>-1</v>
      </c>
      <c r="CT92">
        <v>0</v>
      </c>
      <c r="CU92">
        <v>0</v>
      </c>
      <c r="CV92" t="s">
        <v>333</v>
      </c>
      <c r="CW92">
        <v>3.17072</v>
      </c>
      <c r="CX92">
        <v>2.66732</v>
      </c>
      <c r="CY92">
        <v>0.100152</v>
      </c>
      <c r="CZ92">
        <v>0.10095</v>
      </c>
      <c r="DA92">
        <v>0.06358279999999999</v>
      </c>
      <c r="DB92">
        <v>0.0615161</v>
      </c>
      <c r="DC92">
        <v>21319.7</v>
      </c>
      <c r="DD92">
        <v>21872.3</v>
      </c>
      <c r="DE92">
        <v>22842.6</v>
      </c>
      <c r="DF92">
        <v>22273.6</v>
      </c>
      <c r="DG92">
        <v>32347.3</v>
      </c>
      <c r="DH92">
        <v>29448.1</v>
      </c>
      <c r="DI92">
        <v>40204</v>
      </c>
      <c r="DJ92">
        <v>36843.1</v>
      </c>
      <c r="DK92">
        <v>2.02714</v>
      </c>
      <c r="DL92">
        <v>1.50972</v>
      </c>
      <c r="DM92">
        <v>-0.0606477</v>
      </c>
      <c r="DN92">
        <v>0</v>
      </c>
      <c r="DO92">
        <v>31.9361</v>
      </c>
      <c r="DP92">
        <v>999.9</v>
      </c>
      <c r="DQ92">
        <v>26.7</v>
      </c>
      <c r="DR92">
        <v>44</v>
      </c>
      <c r="DS92">
        <v>24.3877</v>
      </c>
      <c r="DT92">
        <v>29.6991</v>
      </c>
      <c r="DU92">
        <v>14.0505</v>
      </c>
      <c r="DV92">
        <v>1</v>
      </c>
      <c r="DW92">
        <v>0.881307</v>
      </c>
      <c r="DX92">
        <v>4.41802</v>
      </c>
      <c r="DY92">
        <v>20.2881</v>
      </c>
      <c r="DZ92">
        <v>5.2107</v>
      </c>
      <c r="EA92">
        <v>11.8543</v>
      </c>
      <c r="EB92">
        <v>4.9676</v>
      </c>
      <c r="EC92">
        <v>3.29294</v>
      </c>
      <c r="ED92">
        <v>879.4</v>
      </c>
      <c r="EE92">
        <v>9999</v>
      </c>
      <c r="EF92">
        <v>9999</v>
      </c>
      <c r="EG92">
        <v>77.3</v>
      </c>
      <c r="EH92">
        <v>4.97157</v>
      </c>
      <c r="EI92">
        <v>1.8721</v>
      </c>
      <c r="EJ92">
        <v>1.86951</v>
      </c>
      <c r="EK92">
        <v>1.8718</v>
      </c>
      <c r="EL92">
        <v>1.86959</v>
      </c>
      <c r="EM92">
        <v>1.86842</v>
      </c>
      <c r="EN92">
        <v>1.87026</v>
      </c>
      <c r="EO92">
        <v>1.87195</v>
      </c>
      <c r="EP92">
        <v>0</v>
      </c>
      <c r="EQ92">
        <v>0</v>
      </c>
      <c r="ER92">
        <v>0</v>
      </c>
      <c r="ES92">
        <v>0</v>
      </c>
      <c r="ET92" t="s">
        <v>334</v>
      </c>
      <c r="EU92" t="s">
        <v>335</v>
      </c>
      <c r="EV92" t="s">
        <v>336</v>
      </c>
      <c r="EW92" t="s">
        <v>336</v>
      </c>
      <c r="EX92" t="s">
        <v>336</v>
      </c>
      <c r="EY92" t="s">
        <v>336</v>
      </c>
      <c r="EZ92">
        <v>0</v>
      </c>
      <c r="FA92">
        <v>100</v>
      </c>
      <c r="FB92">
        <v>100</v>
      </c>
      <c r="FC92">
        <v>6.231</v>
      </c>
      <c r="FD92">
        <v>0.0806</v>
      </c>
      <c r="FE92">
        <v>6.23135000000002</v>
      </c>
      <c r="FF92">
        <v>0</v>
      </c>
      <c r="FG92">
        <v>0</v>
      </c>
      <c r="FH92">
        <v>0</v>
      </c>
      <c r="FI92">
        <v>0.08059047619047632</v>
      </c>
      <c r="FJ92">
        <v>0</v>
      </c>
      <c r="FK92">
        <v>0</v>
      </c>
      <c r="FL92">
        <v>0</v>
      </c>
      <c r="FM92">
        <v>-1</v>
      </c>
      <c r="FN92">
        <v>-1</v>
      </c>
      <c r="FO92">
        <v>-1</v>
      </c>
      <c r="FP92">
        <v>-1</v>
      </c>
      <c r="FQ92">
        <v>76.5</v>
      </c>
      <c r="FR92">
        <v>76.59999999999999</v>
      </c>
      <c r="FS92">
        <v>0.141602</v>
      </c>
      <c r="FT92">
        <v>4.99756</v>
      </c>
      <c r="FU92">
        <v>1.5979</v>
      </c>
      <c r="FV92">
        <v>2.11304</v>
      </c>
      <c r="FW92">
        <v>1.54785</v>
      </c>
      <c r="FX92">
        <v>2.46826</v>
      </c>
      <c r="FY92">
        <v>46.8855</v>
      </c>
      <c r="FZ92">
        <v>15.8482</v>
      </c>
      <c r="GA92">
        <v>3</v>
      </c>
      <c r="GB92">
        <v>519.8339999999999</v>
      </c>
      <c r="GC92">
        <v>294.701</v>
      </c>
      <c r="GD92">
        <v>28.0235</v>
      </c>
      <c r="GE92">
        <v>37.7141</v>
      </c>
      <c r="GF92">
        <v>30.0052</v>
      </c>
      <c r="GG92">
        <v>37.66</v>
      </c>
      <c r="GH92">
        <v>37.6586</v>
      </c>
      <c r="GI92">
        <v>-1</v>
      </c>
      <c r="GJ92">
        <v>100</v>
      </c>
      <c r="GK92">
        <v>0</v>
      </c>
      <c r="GL92">
        <v>27.9909</v>
      </c>
      <c r="GM92">
        <v>1200</v>
      </c>
      <c r="GN92">
        <v>19.4378</v>
      </c>
      <c r="GO92">
        <v>101.146</v>
      </c>
      <c r="GP92">
        <v>96.20610000000001</v>
      </c>
    </row>
    <row r="93" spans="1:198">
      <c r="A93">
        <v>77</v>
      </c>
      <c r="B93">
        <v>1773200660.6</v>
      </c>
      <c r="C93">
        <v>4560.599999904633</v>
      </c>
      <c r="D93" t="s">
        <v>487</v>
      </c>
      <c r="E93" t="s">
        <v>488</v>
      </c>
      <c r="F93">
        <v>15</v>
      </c>
      <c r="G93">
        <v>1773200652.599999</v>
      </c>
      <c r="H93">
        <f>(I93)/1000</f>
        <v>0</v>
      </c>
      <c r="I93">
        <f>1000*AY93*AG93*(AU93-AV93)/(100*AN93*(1000-AG93*AU93))</f>
        <v>0</v>
      </c>
      <c r="J93">
        <f>AY93*AG93*(AT93-AS93*(1000-AG93*AV93)/(1000-AG93*AU93))/(100*AN93)</f>
        <v>0</v>
      </c>
      <c r="K93">
        <f>AS93 - IF(AG93&gt;1, J93*AN93*100.0/(AI93), 0)</f>
        <v>0</v>
      </c>
      <c r="L93">
        <f>((R93-H93/2)*K93-J93)/(R93+H93/2)</f>
        <v>0</v>
      </c>
      <c r="M93">
        <f>L93*(AZ93+BA93)/1000.0</f>
        <v>0</v>
      </c>
      <c r="N93">
        <f>(AS93 - IF(AG93&gt;1, J93*AN93*100.0/(AI93), 0))*(AZ93+BA93)/1000.0</f>
        <v>0</v>
      </c>
      <c r="O93">
        <f>2.0/((1/Q93-1/P93)+SIGN(Q93)*SQRT((1/Q93-1/P93)*(1/Q93-1/P93) + 4*AO93/((AO93+1)*(AO93+1))*(2*1/Q93*1/P93-1/P93*1/P93)))</f>
        <v>0</v>
      </c>
      <c r="P93">
        <f>IF(LEFT(AP93,1)&lt;&gt;"0",IF(LEFT(AP93,1)="1",3.0,AQ93),$D$5+$E$5*(BG93*AZ93/($K$5*1000))+$F$5*(BG93*AZ93/($K$5*1000))*MAX(MIN(AN93,$J$5),$I$5)*MAX(MIN(AN93,$J$5),$I$5)+$G$5*MAX(MIN(AN93,$J$5),$I$5)*(BG93*AZ93/($K$5*1000))+$H$5*(BG93*AZ93/($K$5*1000))*(BG93*AZ93/($K$5*1000)))</f>
        <v>0</v>
      </c>
      <c r="Q93">
        <f>H93*(1000-(1000*0.61365*exp(17.502*U93/(240.97+U93))/(AZ93+BA93)+AU93)/2)/(1000*0.61365*exp(17.502*U93/(240.97+U93))/(AZ93+BA93)-AU93)</f>
        <v>0</v>
      </c>
      <c r="R93">
        <f>1/((AO93+1)/(O93/1.6)+1/(P93/1.37)) + AO93/((AO93+1)/(O93/1.6) + AO93/(P93/1.37))</f>
        <v>0</v>
      </c>
      <c r="S93">
        <f>(AJ93*AM93)</f>
        <v>0</v>
      </c>
      <c r="T93">
        <f>(BB93+(S93+2*0.95*5.67E-8*(((BB93+$B$7)+273)^4-(BB93+273)^4)-44100*H93)/(1.84*29.3*P93+8*0.95*5.67E-8*(BB93+273)^3))</f>
        <v>0</v>
      </c>
      <c r="U93">
        <f>($C$7*BC93+$D$7*BD93+$E$7*T93)</f>
        <v>0</v>
      </c>
      <c r="V93">
        <f>0.61365*exp(17.502*U93/(240.97+U93))</f>
        <v>0</v>
      </c>
      <c r="W93">
        <f>(X93/Y93*100)</f>
        <v>0</v>
      </c>
      <c r="X93">
        <f>AU93*(AZ93+BA93)/1000</f>
        <v>0</v>
      </c>
      <c r="Y93">
        <f>0.61365*exp(17.502*BB93/(240.97+BB93))</f>
        <v>0</v>
      </c>
      <c r="Z93">
        <f>(V93-AU93*(AZ93+BA93)/1000)</f>
        <v>0</v>
      </c>
      <c r="AA93">
        <f>(-H93*44100)</f>
        <v>0</v>
      </c>
      <c r="AB93">
        <f>2*29.3*P93*0.92*(BB93-U93)</f>
        <v>0</v>
      </c>
      <c r="AC93">
        <f>2*0.95*5.67E-8*(((BB93+$B$7)+273)^4-(U93+273)^4)</f>
        <v>0</v>
      </c>
      <c r="AD93">
        <f>S93+AC93+AA93+AB93</f>
        <v>0</v>
      </c>
      <c r="AE93">
        <v>0</v>
      </c>
      <c r="AF93">
        <v>0</v>
      </c>
      <c r="AG93">
        <f>IF(AE93*$H$13&gt;=AI93,1.0,(AI93/(AI93-AE93*$H$13)))</f>
        <v>0</v>
      </c>
      <c r="AH93">
        <f>(AG93-1)*100</f>
        <v>0</v>
      </c>
      <c r="AI93">
        <f>MAX(0,($B$13+$C$13*BG93)/(1+$D$13*BG93)*AZ93/(BB93+273)*$E$13)</f>
        <v>0</v>
      </c>
      <c r="AJ93">
        <f>$B$11*BH93+$C$11*BI93+$D$11*BT93</f>
        <v>0</v>
      </c>
      <c r="AK93">
        <f>AJ93*AL93</f>
        <v>0</v>
      </c>
      <c r="AL93">
        <f>($B$11*$D$9+$C$11*$D$9+$D$11*(BU93*$E$9+BV93*$G$9))/($B$11+$C$11+$D$11)</f>
        <v>0</v>
      </c>
      <c r="AM93">
        <f>($B$11*$K$9+$C$11*$K$9+$D$11*(BU93*$L$9+BV93*$N$9))/($B$11+$C$11+$D$11)</f>
        <v>0</v>
      </c>
      <c r="AN93">
        <v>3</v>
      </c>
      <c r="AO93">
        <v>0.5</v>
      </c>
      <c r="AP93" t="s">
        <v>331</v>
      </c>
      <c r="AQ93">
        <v>2</v>
      </c>
      <c r="AR93">
        <v>1773200652.599999</v>
      </c>
      <c r="AS93">
        <v>428.2138064516129</v>
      </c>
      <c r="AT93">
        <v>426.137870967742</v>
      </c>
      <c r="AU93">
        <v>11.28444193548387</v>
      </c>
      <c r="AV93">
        <v>10.83084516129033</v>
      </c>
      <c r="AW93">
        <v>421.9824193548388</v>
      </c>
      <c r="AX93">
        <v>11.20385483870968</v>
      </c>
      <c r="AY93">
        <v>499.980935483871</v>
      </c>
      <c r="AZ93">
        <v>100.2040322580645</v>
      </c>
      <c r="BA93">
        <v>0.04536661935483872</v>
      </c>
      <c r="BB93">
        <v>30.7922</v>
      </c>
      <c r="BC93">
        <v>30.95254193548387</v>
      </c>
      <c r="BD93">
        <v>999.9000000000003</v>
      </c>
      <c r="BE93">
        <v>0</v>
      </c>
      <c r="BF93">
        <v>0</v>
      </c>
      <c r="BG93">
        <v>4997.951612903225</v>
      </c>
      <c r="BH93">
        <v>1.395796129032258</v>
      </c>
      <c r="BI93">
        <v>2102.357741935484</v>
      </c>
      <c r="BJ93">
        <v>2.075866774193548</v>
      </c>
      <c r="BK93">
        <v>433.1011290322581</v>
      </c>
      <c r="BL93">
        <v>430.8039032258064</v>
      </c>
      <c r="BM93">
        <v>0.4535935806451613</v>
      </c>
      <c r="BN93">
        <v>426.137870967742</v>
      </c>
      <c r="BO93">
        <v>10.83084516129033</v>
      </c>
      <c r="BP93">
        <v>1.130746451612903</v>
      </c>
      <c r="BQ93">
        <v>1.085295161290323</v>
      </c>
      <c r="BR93">
        <v>8.719723870967741</v>
      </c>
      <c r="BS93">
        <v>8.114713548387098</v>
      </c>
      <c r="BT93">
        <v>0</v>
      </c>
      <c r="BU93">
        <v>0</v>
      </c>
      <c r="BV93">
        <v>0</v>
      </c>
      <c r="BW93">
        <v>36</v>
      </c>
      <c r="BX93">
        <v>53.28065161290323</v>
      </c>
      <c r="BY93">
        <v>1773196010</v>
      </c>
      <c r="BZ93" t="s">
        <v>332</v>
      </c>
      <c r="CA93">
        <v>1773196010</v>
      </c>
      <c r="CB93">
        <v>1773196005.5</v>
      </c>
      <c r="CC93">
        <v>2</v>
      </c>
      <c r="CD93">
        <v>-0.279</v>
      </c>
      <c r="CE93">
        <v>-0.021</v>
      </c>
      <c r="CF93">
        <v>6.231</v>
      </c>
      <c r="CG93">
        <v>0.081</v>
      </c>
      <c r="CH93">
        <v>432</v>
      </c>
      <c r="CI93">
        <v>21</v>
      </c>
      <c r="CJ93">
        <v>0.03</v>
      </c>
      <c r="CK93">
        <v>0.06</v>
      </c>
      <c r="CL93">
        <v>426.1348333333334</v>
      </c>
      <c r="CM93">
        <v>0.209005561735132</v>
      </c>
      <c r="CN93">
        <v>0.02053141224779542</v>
      </c>
      <c r="CO93">
        <v>-1</v>
      </c>
      <c r="CP93">
        <v>499.9853999999999</v>
      </c>
      <c r="CQ93">
        <v>-0.0646585094543775</v>
      </c>
      <c r="CR93">
        <v>0.04912338207683251</v>
      </c>
      <c r="CS93">
        <v>-1</v>
      </c>
      <c r="CT93">
        <v>0</v>
      </c>
      <c r="CU93">
        <v>0</v>
      </c>
      <c r="CV93" t="s">
        <v>333</v>
      </c>
      <c r="CW93">
        <v>3.17075</v>
      </c>
      <c r="CX93">
        <v>2.66692</v>
      </c>
      <c r="CY93">
        <v>0.100182</v>
      </c>
      <c r="CZ93">
        <v>0.100978</v>
      </c>
      <c r="DA93">
        <v>0.06399009999999999</v>
      </c>
      <c r="DB93">
        <v>0.0620887</v>
      </c>
      <c r="DC93">
        <v>21318.6</v>
      </c>
      <c r="DD93">
        <v>21872.2</v>
      </c>
      <c r="DE93">
        <v>22842.2</v>
      </c>
      <c r="DF93">
        <v>22274.2</v>
      </c>
      <c r="DG93">
        <v>32332.5</v>
      </c>
      <c r="DH93">
        <v>29430.8</v>
      </c>
      <c r="DI93">
        <v>40203.1</v>
      </c>
      <c r="DJ93">
        <v>36843.8</v>
      </c>
      <c r="DK93">
        <v>2.02736</v>
      </c>
      <c r="DL93">
        <v>1.50868</v>
      </c>
      <c r="DM93">
        <v>-0.0598431</v>
      </c>
      <c r="DN93">
        <v>0</v>
      </c>
      <c r="DO93">
        <v>31.9389</v>
      </c>
      <c r="DP93">
        <v>999.9</v>
      </c>
      <c r="DQ93">
        <v>26.8</v>
      </c>
      <c r="DR93">
        <v>44.1</v>
      </c>
      <c r="DS93">
        <v>24.6062</v>
      </c>
      <c r="DT93">
        <v>29.7891</v>
      </c>
      <c r="DU93">
        <v>14.0705</v>
      </c>
      <c r="DV93">
        <v>1</v>
      </c>
      <c r="DW93">
        <v>0.869986</v>
      </c>
      <c r="DX93">
        <v>3.16948</v>
      </c>
      <c r="DY93">
        <v>20.326</v>
      </c>
      <c r="DZ93">
        <v>5.20627</v>
      </c>
      <c r="EA93">
        <v>11.8546</v>
      </c>
      <c r="EB93">
        <v>4.96752</v>
      </c>
      <c r="EC93">
        <v>3.29294</v>
      </c>
      <c r="ED93">
        <v>879.4</v>
      </c>
      <c r="EE93">
        <v>9999</v>
      </c>
      <c r="EF93">
        <v>9999</v>
      </c>
      <c r="EG93">
        <v>77.3</v>
      </c>
      <c r="EH93">
        <v>4.97162</v>
      </c>
      <c r="EI93">
        <v>1.8721</v>
      </c>
      <c r="EJ93">
        <v>1.86951</v>
      </c>
      <c r="EK93">
        <v>1.8718</v>
      </c>
      <c r="EL93">
        <v>1.86964</v>
      </c>
      <c r="EM93">
        <v>1.86841</v>
      </c>
      <c r="EN93">
        <v>1.87026</v>
      </c>
      <c r="EO93">
        <v>1.87195</v>
      </c>
      <c r="EP93">
        <v>0</v>
      </c>
      <c r="EQ93">
        <v>0</v>
      </c>
      <c r="ER93">
        <v>0</v>
      </c>
      <c r="ES93">
        <v>0</v>
      </c>
      <c r="ET93" t="s">
        <v>334</v>
      </c>
      <c r="EU93" t="s">
        <v>335</v>
      </c>
      <c r="EV93" t="s">
        <v>336</v>
      </c>
      <c r="EW93" t="s">
        <v>336</v>
      </c>
      <c r="EX93" t="s">
        <v>336</v>
      </c>
      <c r="EY93" t="s">
        <v>336</v>
      </c>
      <c r="EZ93">
        <v>0</v>
      </c>
      <c r="FA93">
        <v>100</v>
      </c>
      <c r="FB93">
        <v>100</v>
      </c>
      <c r="FC93">
        <v>6.231</v>
      </c>
      <c r="FD93">
        <v>0.0806</v>
      </c>
      <c r="FE93">
        <v>6.23135000000002</v>
      </c>
      <c r="FF93">
        <v>0</v>
      </c>
      <c r="FG93">
        <v>0</v>
      </c>
      <c r="FH93">
        <v>0</v>
      </c>
      <c r="FI93">
        <v>0.08059047619047632</v>
      </c>
      <c r="FJ93">
        <v>0</v>
      </c>
      <c r="FK93">
        <v>0</v>
      </c>
      <c r="FL93">
        <v>0</v>
      </c>
      <c r="FM93">
        <v>-1</v>
      </c>
      <c r="FN93">
        <v>-1</v>
      </c>
      <c r="FO93">
        <v>-1</v>
      </c>
      <c r="FP93">
        <v>-1</v>
      </c>
      <c r="FQ93">
        <v>77.5</v>
      </c>
      <c r="FR93">
        <v>77.59999999999999</v>
      </c>
      <c r="FS93">
        <v>0.142822</v>
      </c>
      <c r="FT93">
        <v>4.99756</v>
      </c>
      <c r="FU93">
        <v>1.5979</v>
      </c>
      <c r="FV93">
        <v>2.11304</v>
      </c>
      <c r="FW93">
        <v>1.54785</v>
      </c>
      <c r="FX93">
        <v>2.4585</v>
      </c>
      <c r="FY93">
        <v>46.9448</v>
      </c>
      <c r="FZ93">
        <v>15.8657</v>
      </c>
      <c r="GA93">
        <v>3</v>
      </c>
      <c r="GB93">
        <v>519.947</v>
      </c>
      <c r="GC93">
        <v>294.21</v>
      </c>
      <c r="GD93">
        <v>28.1989</v>
      </c>
      <c r="GE93">
        <v>37.7134</v>
      </c>
      <c r="GF93">
        <v>30.0003</v>
      </c>
      <c r="GG93">
        <v>37.6564</v>
      </c>
      <c r="GH93">
        <v>37.6586</v>
      </c>
      <c r="GI93">
        <v>-1</v>
      </c>
      <c r="GJ93">
        <v>100</v>
      </c>
      <c r="GK93">
        <v>0</v>
      </c>
      <c r="GL93">
        <v>28.1938</v>
      </c>
      <c r="GM93">
        <v>1200</v>
      </c>
      <c r="GN93">
        <v>19.4378</v>
      </c>
      <c r="GO93">
        <v>101.144</v>
      </c>
      <c r="GP93">
        <v>96.20820000000001</v>
      </c>
    </row>
    <row r="94" spans="1:198">
      <c r="A94">
        <v>78</v>
      </c>
      <c r="B94">
        <v>1773200720.6</v>
      </c>
      <c r="C94">
        <v>4620.599999904633</v>
      </c>
      <c r="D94" t="s">
        <v>489</v>
      </c>
      <c r="E94" t="s">
        <v>490</v>
      </c>
      <c r="F94">
        <v>15</v>
      </c>
      <c r="G94">
        <v>1773200712.599999</v>
      </c>
      <c r="H94">
        <f>(I94)/1000</f>
        <v>0</v>
      </c>
      <c r="I94">
        <f>1000*AY94*AG94*(AU94-AV94)/(100*AN94*(1000-AG94*AU94))</f>
        <v>0</v>
      </c>
      <c r="J94">
        <f>AY94*AG94*(AT94-AS94*(1000-AG94*AV94)/(1000-AG94*AU94))/(100*AN94)</f>
        <v>0</v>
      </c>
      <c r="K94">
        <f>AS94 - IF(AG94&gt;1, J94*AN94*100.0/(AI94), 0)</f>
        <v>0</v>
      </c>
      <c r="L94">
        <f>((R94-H94/2)*K94-J94)/(R94+H94/2)</f>
        <v>0</v>
      </c>
      <c r="M94">
        <f>L94*(AZ94+BA94)/1000.0</f>
        <v>0</v>
      </c>
      <c r="N94">
        <f>(AS94 - IF(AG94&gt;1, J94*AN94*100.0/(AI94), 0))*(AZ94+BA94)/1000.0</f>
        <v>0</v>
      </c>
      <c r="O94">
        <f>2.0/((1/Q94-1/P94)+SIGN(Q94)*SQRT((1/Q94-1/P94)*(1/Q94-1/P94) + 4*AO94/((AO94+1)*(AO94+1))*(2*1/Q94*1/P94-1/P94*1/P94)))</f>
        <v>0</v>
      </c>
      <c r="P94">
        <f>IF(LEFT(AP94,1)&lt;&gt;"0",IF(LEFT(AP94,1)="1",3.0,AQ94),$D$5+$E$5*(BG94*AZ94/($K$5*1000))+$F$5*(BG94*AZ94/($K$5*1000))*MAX(MIN(AN94,$J$5),$I$5)*MAX(MIN(AN94,$J$5),$I$5)+$G$5*MAX(MIN(AN94,$J$5),$I$5)*(BG94*AZ94/($K$5*1000))+$H$5*(BG94*AZ94/($K$5*1000))*(BG94*AZ94/($K$5*1000)))</f>
        <v>0</v>
      </c>
      <c r="Q94">
        <f>H94*(1000-(1000*0.61365*exp(17.502*U94/(240.97+U94))/(AZ94+BA94)+AU94)/2)/(1000*0.61365*exp(17.502*U94/(240.97+U94))/(AZ94+BA94)-AU94)</f>
        <v>0</v>
      </c>
      <c r="R94">
        <f>1/((AO94+1)/(O94/1.6)+1/(P94/1.37)) + AO94/((AO94+1)/(O94/1.6) + AO94/(P94/1.37))</f>
        <v>0</v>
      </c>
      <c r="S94">
        <f>(AJ94*AM94)</f>
        <v>0</v>
      </c>
      <c r="T94">
        <f>(BB94+(S94+2*0.95*5.67E-8*(((BB94+$B$7)+273)^4-(BB94+273)^4)-44100*H94)/(1.84*29.3*P94+8*0.95*5.67E-8*(BB94+273)^3))</f>
        <v>0</v>
      </c>
      <c r="U94">
        <f>($C$7*BC94+$D$7*BD94+$E$7*T94)</f>
        <v>0</v>
      </c>
      <c r="V94">
        <f>0.61365*exp(17.502*U94/(240.97+U94))</f>
        <v>0</v>
      </c>
      <c r="W94">
        <f>(X94/Y94*100)</f>
        <v>0</v>
      </c>
      <c r="X94">
        <f>AU94*(AZ94+BA94)/1000</f>
        <v>0</v>
      </c>
      <c r="Y94">
        <f>0.61365*exp(17.502*BB94/(240.97+BB94))</f>
        <v>0</v>
      </c>
      <c r="Z94">
        <f>(V94-AU94*(AZ94+BA94)/1000)</f>
        <v>0</v>
      </c>
      <c r="AA94">
        <f>(-H94*44100)</f>
        <v>0</v>
      </c>
      <c r="AB94">
        <f>2*29.3*P94*0.92*(BB94-U94)</f>
        <v>0</v>
      </c>
      <c r="AC94">
        <f>2*0.95*5.67E-8*(((BB94+$B$7)+273)^4-(U94+273)^4)</f>
        <v>0</v>
      </c>
      <c r="AD94">
        <f>S94+AC94+AA94+AB94</f>
        <v>0</v>
      </c>
      <c r="AE94">
        <v>0</v>
      </c>
      <c r="AF94">
        <v>0</v>
      </c>
      <c r="AG94">
        <f>IF(AE94*$H$13&gt;=AI94,1.0,(AI94/(AI94-AE94*$H$13)))</f>
        <v>0</v>
      </c>
      <c r="AH94">
        <f>(AG94-1)*100</f>
        <v>0</v>
      </c>
      <c r="AI94">
        <f>MAX(0,($B$13+$C$13*BG94)/(1+$D$13*BG94)*AZ94/(BB94+273)*$E$13)</f>
        <v>0</v>
      </c>
      <c r="AJ94">
        <f>$B$11*BH94+$C$11*BI94+$D$11*BT94</f>
        <v>0</v>
      </c>
      <c r="AK94">
        <f>AJ94*AL94</f>
        <v>0</v>
      </c>
      <c r="AL94">
        <f>($B$11*$D$9+$C$11*$D$9+$D$11*(BU94*$E$9+BV94*$G$9))/($B$11+$C$11+$D$11)</f>
        <v>0</v>
      </c>
      <c r="AM94">
        <f>($B$11*$K$9+$C$11*$K$9+$D$11*(BU94*$L$9+BV94*$N$9))/($B$11+$C$11+$D$11)</f>
        <v>0</v>
      </c>
      <c r="AN94">
        <v>3</v>
      </c>
      <c r="AO94">
        <v>0.5</v>
      </c>
      <c r="AP94" t="s">
        <v>331</v>
      </c>
      <c r="AQ94">
        <v>2</v>
      </c>
      <c r="AR94">
        <v>1773200712.599999</v>
      </c>
      <c r="AS94">
        <v>428.5383548387098</v>
      </c>
      <c r="AT94">
        <v>426.4545806451613</v>
      </c>
      <c r="AU94">
        <v>11.38998064516129</v>
      </c>
      <c r="AV94">
        <v>10.94257741935484</v>
      </c>
      <c r="AW94">
        <v>422.3069032258065</v>
      </c>
      <c r="AX94">
        <v>11.30938387096774</v>
      </c>
      <c r="AY94">
        <v>500.0097096774193</v>
      </c>
      <c r="AZ94">
        <v>100.203935483871</v>
      </c>
      <c r="BA94">
        <v>0.04601290967741935</v>
      </c>
      <c r="BB94">
        <v>30.84999032258065</v>
      </c>
      <c r="BC94">
        <v>31.0235064516129</v>
      </c>
      <c r="BD94">
        <v>999.9000000000003</v>
      </c>
      <c r="BE94">
        <v>0</v>
      </c>
      <c r="BF94">
        <v>0</v>
      </c>
      <c r="BG94">
        <v>5005.935483870968</v>
      </c>
      <c r="BH94">
        <v>1.430444193548387</v>
      </c>
      <c r="BI94">
        <v>2108.845806451613</v>
      </c>
      <c r="BJ94">
        <v>2.083753225806451</v>
      </c>
      <c r="BK94">
        <v>433.4756774193548</v>
      </c>
      <c r="BL94">
        <v>431.1726774193548</v>
      </c>
      <c r="BM94">
        <v>0.4473999032258064</v>
      </c>
      <c r="BN94">
        <v>426.4545806451613</v>
      </c>
      <c r="BO94">
        <v>10.94257741935484</v>
      </c>
      <c r="BP94">
        <v>1.141319032258065</v>
      </c>
      <c r="BQ94">
        <v>1.096486451612903</v>
      </c>
      <c r="BR94">
        <v>8.857360322580645</v>
      </c>
      <c r="BS94">
        <v>8.265735161290323</v>
      </c>
      <c r="BT94">
        <v>0</v>
      </c>
      <c r="BU94">
        <v>0</v>
      </c>
      <c r="BV94">
        <v>0</v>
      </c>
      <c r="BW94">
        <v>36</v>
      </c>
      <c r="BX94">
        <v>53.02473225806451</v>
      </c>
      <c r="BY94">
        <v>1773196010</v>
      </c>
      <c r="BZ94" t="s">
        <v>332</v>
      </c>
      <c r="CA94">
        <v>1773196010</v>
      </c>
      <c r="CB94">
        <v>1773196005.5</v>
      </c>
      <c r="CC94">
        <v>2</v>
      </c>
      <c r="CD94">
        <v>-0.279</v>
      </c>
      <c r="CE94">
        <v>-0.021</v>
      </c>
      <c r="CF94">
        <v>6.231</v>
      </c>
      <c r="CG94">
        <v>0.081</v>
      </c>
      <c r="CH94">
        <v>432</v>
      </c>
      <c r="CI94">
        <v>21</v>
      </c>
      <c r="CJ94">
        <v>0.03</v>
      </c>
      <c r="CK94">
        <v>0.06</v>
      </c>
      <c r="CL94">
        <v>426.4572903225806</v>
      </c>
      <c r="CM94">
        <v>-0.3699677419357456</v>
      </c>
      <c r="CN94">
        <v>0.03046541513341212</v>
      </c>
      <c r="CO94">
        <v>-1</v>
      </c>
      <c r="CP94">
        <v>500.0036774193549</v>
      </c>
      <c r="CQ94">
        <v>0.2555806451595146</v>
      </c>
      <c r="CR94">
        <v>0.05780801769191639</v>
      </c>
      <c r="CS94">
        <v>-1</v>
      </c>
      <c r="CT94">
        <v>0</v>
      </c>
      <c r="CU94">
        <v>0</v>
      </c>
      <c r="CV94" t="s">
        <v>333</v>
      </c>
      <c r="CW94">
        <v>3.17092</v>
      </c>
      <c r="CX94">
        <v>2.6668</v>
      </c>
      <c r="CY94">
        <v>0.100232</v>
      </c>
      <c r="CZ94">
        <v>0.101018</v>
      </c>
      <c r="DA94">
        <v>0.0644076</v>
      </c>
      <c r="DB94">
        <v>0.0625455</v>
      </c>
      <c r="DC94">
        <v>21315.9</v>
      </c>
      <c r="DD94">
        <v>21870.2</v>
      </c>
      <c r="DE94">
        <v>22840.6</v>
      </c>
      <c r="DF94">
        <v>22273.3</v>
      </c>
      <c r="DG94">
        <v>32316.1</v>
      </c>
      <c r="DH94">
        <v>29415.2</v>
      </c>
      <c r="DI94">
        <v>40200.6</v>
      </c>
      <c r="DJ94">
        <v>36842.2</v>
      </c>
      <c r="DK94">
        <v>2.02742</v>
      </c>
      <c r="DL94">
        <v>1.50776</v>
      </c>
      <c r="DM94">
        <v>-0.0654161</v>
      </c>
      <c r="DN94">
        <v>0</v>
      </c>
      <c r="DO94">
        <v>32.0796</v>
      </c>
      <c r="DP94">
        <v>999.9</v>
      </c>
      <c r="DQ94">
        <v>26.4</v>
      </c>
      <c r="DR94">
        <v>44.2</v>
      </c>
      <c r="DS94">
        <v>24.368</v>
      </c>
      <c r="DT94">
        <v>30.1191</v>
      </c>
      <c r="DU94">
        <v>13.8742</v>
      </c>
      <c r="DV94">
        <v>1</v>
      </c>
      <c r="DW94">
        <v>0.877957</v>
      </c>
      <c r="DX94">
        <v>4.04003</v>
      </c>
      <c r="DY94">
        <v>20.3028</v>
      </c>
      <c r="DZ94">
        <v>5.21058</v>
      </c>
      <c r="EA94">
        <v>11.8542</v>
      </c>
      <c r="EB94">
        <v>4.96688</v>
      </c>
      <c r="EC94">
        <v>3.29298</v>
      </c>
      <c r="ED94">
        <v>879.4</v>
      </c>
      <c r="EE94">
        <v>9999</v>
      </c>
      <c r="EF94">
        <v>9999</v>
      </c>
      <c r="EG94">
        <v>77.3</v>
      </c>
      <c r="EH94">
        <v>4.97157</v>
      </c>
      <c r="EI94">
        <v>1.8721</v>
      </c>
      <c r="EJ94">
        <v>1.8695</v>
      </c>
      <c r="EK94">
        <v>1.8718</v>
      </c>
      <c r="EL94">
        <v>1.86953</v>
      </c>
      <c r="EM94">
        <v>1.8684</v>
      </c>
      <c r="EN94">
        <v>1.87022</v>
      </c>
      <c r="EO94">
        <v>1.87195</v>
      </c>
      <c r="EP94">
        <v>0</v>
      </c>
      <c r="EQ94">
        <v>0</v>
      </c>
      <c r="ER94">
        <v>0</v>
      </c>
      <c r="ES94">
        <v>0</v>
      </c>
      <c r="ET94" t="s">
        <v>334</v>
      </c>
      <c r="EU94" t="s">
        <v>335</v>
      </c>
      <c r="EV94" t="s">
        <v>336</v>
      </c>
      <c r="EW94" t="s">
        <v>336</v>
      </c>
      <c r="EX94" t="s">
        <v>336</v>
      </c>
      <c r="EY94" t="s">
        <v>336</v>
      </c>
      <c r="EZ94">
        <v>0</v>
      </c>
      <c r="FA94">
        <v>100</v>
      </c>
      <c r="FB94">
        <v>100</v>
      </c>
      <c r="FC94">
        <v>6.231</v>
      </c>
      <c r="FD94">
        <v>0.0806</v>
      </c>
      <c r="FE94">
        <v>6.23135000000002</v>
      </c>
      <c r="FF94">
        <v>0</v>
      </c>
      <c r="FG94">
        <v>0</v>
      </c>
      <c r="FH94">
        <v>0</v>
      </c>
      <c r="FI94">
        <v>0.08059047619047632</v>
      </c>
      <c r="FJ94">
        <v>0</v>
      </c>
      <c r="FK94">
        <v>0</v>
      </c>
      <c r="FL94">
        <v>0</v>
      </c>
      <c r="FM94">
        <v>-1</v>
      </c>
      <c r="FN94">
        <v>-1</v>
      </c>
      <c r="FO94">
        <v>-1</v>
      </c>
      <c r="FP94">
        <v>-1</v>
      </c>
      <c r="FQ94">
        <v>78.5</v>
      </c>
      <c r="FR94">
        <v>78.59999999999999</v>
      </c>
      <c r="FS94">
        <v>0.141602</v>
      </c>
      <c r="FT94">
        <v>4.99634</v>
      </c>
      <c r="FU94">
        <v>1.5979</v>
      </c>
      <c r="FV94">
        <v>2.11304</v>
      </c>
      <c r="FW94">
        <v>1.54785</v>
      </c>
      <c r="FX94">
        <v>2.48169</v>
      </c>
      <c r="FY94">
        <v>47.0041</v>
      </c>
      <c r="FZ94">
        <v>15.8394</v>
      </c>
      <c r="GA94">
        <v>3</v>
      </c>
      <c r="GB94">
        <v>520.086</v>
      </c>
      <c r="GC94">
        <v>293.832</v>
      </c>
      <c r="GD94">
        <v>27.6469</v>
      </c>
      <c r="GE94">
        <v>37.7357</v>
      </c>
      <c r="GF94">
        <v>30.0006</v>
      </c>
      <c r="GG94">
        <v>37.6707</v>
      </c>
      <c r="GH94">
        <v>37.6729</v>
      </c>
      <c r="GI94">
        <v>-1</v>
      </c>
      <c r="GJ94">
        <v>100</v>
      </c>
      <c r="GK94">
        <v>0</v>
      </c>
      <c r="GL94">
        <v>27.6257</v>
      </c>
      <c r="GM94">
        <v>1200</v>
      </c>
      <c r="GN94">
        <v>19.4378</v>
      </c>
      <c r="GO94">
        <v>101.137</v>
      </c>
      <c r="GP94">
        <v>96.2041</v>
      </c>
    </row>
    <row r="95" spans="1:198">
      <c r="A95">
        <v>79</v>
      </c>
      <c r="B95">
        <v>1773200780.6</v>
      </c>
      <c r="C95">
        <v>4680.599999904633</v>
      </c>
      <c r="D95" t="s">
        <v>491</v>
      </c>
      <c r="E95" t="s">
        <v>492</v>
      </c>
      <c r="F95">
        <v>15</v>
      </c>
      <c r="G95">
        <v>1773200772.599999</v>
      </c>
      <c r="H95">
        <f>(I95)/1000</f>
        <v>0</v>
      </c>
      <c r="I95">
        <f>1000*AY95*AG95*(AU95-AV95)/(100*AN95*(1000-AG95*AU95))</f>
        <v>0</v>
      </c>
      <c r="J95">
        <f>AY95*AG95*(AT95-AS95*(1000-AG95*AV95)/(1000-AG95*AU95))/(100*AN95)</f>
        <v>0</v>
      </c>
      <c r="K95">
        <f>AS95 - IF(AG95&gt;1, J95*AN95*100.0/(AI95), 0)</f>
        <v>0</v>
      </c>
      <c r="L95">
        <f>((R95-H95/2)*K95-J95)/(R95+H95/2)</f>
        <v>0</v>
      </c>
      <c r="M95">
        <f>L95*(AZ95+BA95)/1000.0</f>
        <v>0</v>
      </c>
      <c r="N95">
        <f>(AS95 - IF(AG95&gt;1, J95*AN95*100.0/(AI95), 0))*(AZ95+BA95)/1000.0</f>
        <v>0</v>
      </c>
      <c r="O95">
        <f>2.0/((1/Q95-1/P95)+SIGN(Q95)*SQRT((1/Q95-1/P95)*(1/Q95-1/P95) + 4*AO95/((AO95+1)*(AO95+1))*(2*1/Q95*1/P95-1/P95*1/P95)))</f>
        <v>0</v>
      </c>
      <c r="P95">
        <f>IF(LEFT(AP95,1)&lt;&gt;"0",IF(LEFT(AP95,1)="1",3.0,AQ95),$D$5+$E$5*(BG95*AZ95/($K$5*1000))+$F$5*(BG95*AZ95/($K$5*1000))*MAX(MIN(AN95,$J$5),$I$5)*MAX(MIN(AN95,$J$5),$I$5)+$G$5*MAX(MIN(AN95,$J$5),$I$5)*(BG95*AZ95/($K$5*1000))+$H$5*(BG95*AZ95/($K$5*1000))*(BG95*AZ95/($K$5*1000)))</f>
        <v>0</v>
      </c>
      <c r="Q95">
        <f>H95*(1000-(1000*0.61365*exp(17.502*U95/(240.97+U95))/(AZ95+BA95)+AU95)/2)/(1000*0.61365*exp(17.502*U95/(240.97+U95))/(AZ95+BA95)-AU95)</f>
        <v>0</v>
      </c>
      <c r="R95">
        <f>1/((AO95+1)/(O95/1.6)+1/(P95/1.37)) + AO95/((AO95+1)/(O95/1.6) + AO95/(P95/1.37))</f>
        <v>0</v>
      </c>
      <c r="S95">
        <f>(AJ95*AM95)</f>
        <v>0</v>
      </c>
      <c r="T95">
        <f>(BB95+(S95+2*0.95*5.67E-8*(((BB95+$B$7)+273)^4-(BB95+273)^4)-44100*H95)/(1.84*29.3*P95+8*0.95*5.67E-8*(BB95+273)^3))</f>
        <v>0</v>
      </c>
      <c r="U95">
        <f>($C$7*BC95+$D$7*BD95+$E$7*T95)</f>
        <v>0</v>
      </c>
      <c r="V95">
        <f>0.61365*exp(17.502*U95/(240.97+U95))</f>
        <v>0</v>
      </c>
      <c r="W95">
        <f>(X95/Y95*100)</f>
        <v>0</v>
      </c>
      <c r="X95">
        <f>AU95*(AZ95+BA95)/1000</f>
        <v>0</v>
      </c>
      <c r="Y95">
        <f>0.61365*exp(17.502*BB95/(240.97+BB95))</f>
        <v>0</v>
      </c>
      <c r="Z95">
        <f>(V95-AU95*(AZ95+BA95)/1000)</f>
        <v>0</v>
      </c>
      <c r="AA95">
        <f>(-H95*44100)</f>
        <v>0</v>
      </c>
      <c r="AB95">
        <f>2*29.3*P95*0.92*(BB95-U95)</f>
        <v>0</v>
      </c>
      <c r="AC95">
        <f>2*0.95*5.67E-8*(((BB95+$B$7)+273)^4-(U95+273)^4)</f>
        <v>0</v>
      </c>
      <c r="AD95">
        <f>S95+AC95+AA95+AB95</f>
        <v>0</v>
      </c>
      <c r="AE95">
        <v>0</v>
      </c>
      <c r="AF95">
        <v>0</v>
      </c>
      <c r="AG95">
        <f>IF(AE95*$H$13&gt;=AI95,1.0,(AI95/(AI95-AE95*$H$13)))</f>
        <v>0</v>
      </c>
      <c r="AH95">
        <f>(AG95-1)*100</f>
        <v>0</v>
      </c>
      <c r="AI95">
        <f>MAX(0,($B$13+$C$13*BG95)/(1+$D$13*BG95)*AZ95/(BB95+273)*$E$13)</f>
        <v>0</v>
      </c>
      <c r="AJ95">
        <f>$B$11*BH95+$C$11*BI95+$D$11*BT95</f>
        <v>0</v>
      </c>
      <c r="AK95">
        <f>AJ95*AL95</f>
        <v>0</v>
      </c>
      <c r="AL95">
        <f>($B$11*$D$9+$C$11*$D$9+$D$11*(BU95*$E$9+BV95*$G$9))/($B$11+$C$11+$D$11)</f>
        <v>0</v>
      </c>
      <c r="AM95">
        <f>($B$11*$K$9+$C$11*$K$9+$D$11*(BU95*$L$9+BV95*$N$9))/($B$11+$C$11+$D$11)</f>
        <v>0</v>
      </c>
      <c r="AN95">
        <v>3</v>
      </c>
      <c r="AO95">
        <v>0.5</v>
      </c>
      <c r="AP95" t="s">
        <v>331</v>
      </c>
      <c r="AQ95">
        <v>2</v>
      </c>
      <c r="AR95">
        <v>1773200772.599999</v>
      </c>
      <c r="AS95">
        <v>428.358064516129</v>
      </c>
      <c r="AT95">
        <v>426.2298064516129</v>
      </c>
      <c r="AU95">
        <v>11.4504935483871</v>
      </c>
      <c r="AV95">
        <v>11.01392258064516</v>
      </c>
      <c r="AW95">
        <v>422.1267419354838</v>
      </c>
      <c r="AX95">
        <v>11.3699064516129</v>
      </c>
      <c r="AY95">
        <v>500.0636774193549</v>
      </c>
      <c r="AZ95">
        <v>100.2044193548387</v>
      </c>
      <c r="BA95">
        <v>0.04591548709677419</v>
      </c>
      <c r="BB95">
        <v>30.82224516129032</v>
      </c>
      <c r="BC95">
        <v>31.00800967741936</v>
      </c>
      <c r="BD95">
        <v>999.9000000000003</v>
      </c>
      <c r="BE95">
        <v>0</v>
      </c>
      <c r="BF95">
        <v>0</v>
      </c>
      <c r="BG95">
        <v>5002.903225806452</v>
      </c>
      <c r="BH95">
        <v>1.384825806451613</v>
      </c>
      <c r="BI95">
        <v>2101.778387096774</v>
      </c>
      <c r="BJ95">
        <v>2.12832064516129</v>
      </c>
      <c r="BK95">
        <v>433.319806451613</v>
      </c>
      <c r="BL95">
        <v>430.9765161290323</v>
      </c>
      <c r="BM95">
        <v>0.4365661290322581</v>
      </c>
      <c r="BN95">
        <v>426.2298064516129</v>
      </c>
      <c r="BO95">
        <v>11.01392258064516</v>
      </c>
      <c r="BP95">
        <v>1.14739</v>
      </c>
      <c r="BQ95">
        <v>1.103644516129032</v>
      </c>
      <c r="BR95">
        <v>8.935908387096774</v>
      </c>
      <c r="BS95">
        <v>8.361603548387096</v>
      </c>
      <c r="BT95">
        <v>0</v>
      </c>
      <c r="BU95">
        <v>0</v>
      </c>
      <c r="BV95">
        <v>0</v>
      </c>
      <c r="BW95">
        <v>36</v>
      </c>
      <c r="BX95">
        <v>53</v>
      </c>
      <c r="BY95">
        <v>1773196010</v>
      </c>
      <c r="BZ95" t="s">
        <v>332</v>
      </c>
      <c r="CA95">
        <v>1773196010</v>
      </c>
      <c r="CB95">
        <v>1773196005.5</v>
      </c>
      <c r="CC95">
        <v>2</v>
      </c>
      <c r="CD95">
        <v>-0.279</v>
      </c>
      <c r="CE95">
        <v>-0.021</v>
      </c>
      <c r="CF95">
        <v>6.231</v>
      </c>
      <c r="CG95">
        <v>0.081</v>
      </c>
      <c r="CH95">
        <v>432</v>
      </c>
      <c r="CI95">
        <v>21</v>
      </c>
      <c r="CJ95">
        <v>0.03</v>
      </c>
      <c r="CK95">
        <v>0.06</v>
      </c>
      <c r="CL95">
        <v>426.2347666666667</v>
      </c>
      <c r="CM95">
        <v>-0.3600000000003925</v>
      </c>
      <c r="CN95">
        <v>0.03104478843363036</v>
      </c>
      <c r="CO95">
        <v>-1</v>
      </c>
      <c r="CP95">
        <v>500.0547333333333</v>
      </c>
      <c r="CQ95">
        <v>0.460832035595403</v>
      </c>
      <c r="CR95">
        <v>0.0655428273895959</v>
      </c>
      <c r="CS95">
        <v>-1</v>
      </c>
      <c r="CT95">
        <v>0</v>
      </c>
      <c r="CU95">
        <v>0</v>
      </c>
      <c r="CV95" t="s">
        <v>333</v>
      </c>
      <c r="CW95">
        <v>3.17082</v>
      </c>
      <c r="CX95">
        <v>2.66714</v>
      </c>
      <c r="CY95">
        <v>0.100192</v>
      </c>
      <c r="CZ95">
        <v>0.100978</v>
      </c>
      <c r="DA95">
        <v>0.0646562</v>
      </c>
      <c r="DB95">
        <v>0.06284530000000001</v>
      </c>
      <c r="DC95">
        <v>21315.2</v>
      </c>
      <c r="DD95">
        <v>21870.3</v>
      </c>
      <c r="DE95">
        <v>22839</v>
      </c>
      <c r="DF95">
        <v>22272.5</v>
      </c>
      <c r="DG95">
        <v>32305.3</v>
      </c>
      <c r="DH95">
        <v>29404.8</v>
      </c>
      <c r="DI95">
        <v>40197.9</v>
      </c>
      <c r="DJ95">
        <v>36841</v>
      </c>
      <c r="DK95">
        <v>2.02728</v>
      </c>
      <c r="DL95">
        <v>1.50638</v>
      </c>
      <c r="DM95">
        <v>-0.0725836</v>
      </c>
      <c r="DN95">
        <v>0</v>
      </c>
      <c r="DO95">
        <v>32.1775</v>
      </c>
      <c r="DP95">
        <v>999.9</v>
      </c>
      <c r="DQ95">
        <v>26.2</v>
      </c>
      <c r="DR95">
        <v>44.3</v>
      </c>
      <c r="DS95">
        <v>24.3074</v>
      </c>
      <c r="DT95">
        <v>30.0891</v>
      </c>
      <c r="DU95">
        <v>14.2668</v>
      </c>
      <c r="DV95">
        <v>1</v>
      </c>
      <c r="DW95">
        <v>0.881244</v>
      </c>
      <c r="DX95">
        <v>4.19394</v>
      </c>
      <c r="DY95">
        <v>20.2992</v>
      </c>
      <c r="DZ95">
        <v>5.20926</v>
      </c>
      <c r="EA95">
        <v>11.8548</v>
      </c>
      <c r="EB95">
        <v>4.96744</v>
      </c>
      <c r="EC95">
        <v>3.29296</v>
      </c>
      <c r="ED95">
        <v>879.4</v>
      </c>
      <c r="EE95">
        <v>9999</v>
      </c>
      <c r="EF95">
        <v>9999</v>
      </c>
      <c r="EG95">
        <v>77.3</v>
      </c>
      <c r="EH95">
        <v>4.97159</v>
      </c>
      <c r="EI95">
        <v>1.8721</v>
      </c>
      <c r="EJ95">
        <v>1.86951</v>
      </c>
      <c r="EK95">
        <v>1.8718</v>
      </c>
      <c r="EL95">
        <v>1.86958</v>
      </c>
      <c r="EM95">
        <v>1.86844</v>
      </c>
      <c r="EN95">
        <v>1.87022</v>
      </c>
      <c r="EO95">
        <v>1.87195</v>
      </c>
      <c r="EP95">
        <v>0</v>
      </c>
      <c r="EQ95">
        <v>0</v>
      </c>
      <c r="ER95">
        <v>0</v>
      </c>
      <c r="ES95">
        <v>0</v>
      </c>
      <c r="ET95" t="s">
        <v>334</v>
      </c>
      <c r="EU95" t="s">
        <v>335</v>
      </c>
      <c r="EV95" t="s">
        <v>336</v>
      </c>
      <c r="EW95" t="s">
        <v>336</v>
      </c>
      <c r="EX95" t="s">
        <v>336</v>
      </c>
      <c r="EY95" t="s">
        <v>336</v>
      </c>
      <c r="EZ95">
        <v>0</v>
      </c>
      <c r="FA95">
        <v>100</v>
      </c>
      <c r="FB95">
        <v>100</v>
      </c>
      <c r="FC95">
        <v>6.232</v>
      </c>
      <c r="FD95">
        <v>0.0806</v>
      </c>
      <c r="FE95">
        <v>6.23135000000002</v>
      </c>
      <c r="FF95">
        <v>0</v>
      </c>
      <c r="FG95">
        <v>0</v>
      </c>
      <c r="FH95">
        <v>0</v>
      </c>
      <c r="FI95">
        <v>0.08059047619047632</v>
      </c>
      <c r="FJ95">
        <v>0</v>
      </c>
      <c r="FK95">
        <v>0</v>
      </c>
      <c r="FL95">
        <v>0</v>
      </c>
      <c r="FM95">
        <v>-1</v>
      </c>
      <c r="FN95">
        <v>-1</v>
      </c>
      <c r="FO95">
        <v>-1</v>
      </c>
      <c r="FP95">
        <v>-1</v>
      </c>
      <c r="FQ95">
        <v>79.5</v>
      </c>
      <c r="FR95">
        <v>79.59999999999999</v>
      </c>
      <c r="FS95">
        <v>0.141602</v>
      </c>
      <c r="FT95">
        <v>4.99756</v>
      </c>
      <c r="FU95">
        <v>1.5979</v>
      </c>
      <c r="FV95">
        <v>2.11182</v>
      </c>
      <c r="FW95">
        <v>1.54785</v>
      </c>
      <c r="FX95">
        <v>2.41699</v>
      </c>
      <c r="FY95">
        <v>47.0634</v>
      </c>
      <c r="FZ95">
        <v>15.8219</v>
      </c>
      <c r="GA95">
        <v>3</v>
      </c>
      <c r="GB95">
        <v>520.125</v>
      </c>
      <c r="GC95">
        <v>293.237</v>
      </c>
      <c r="GD95">
        <v>27.3353</v>
      </c>
      <c r="GE95">
        <v>37.7679</v>
      </c>
      <c r="GF95">
        <v>30.0004</v>
      </c>
      <c r="GG95">
        <v>37.6886</v>
      </c>
      <c r="GH95">
        <v>37.687</v>
      </c>
      <c r="GI95">
        <v>-1</v>
      </c>
      <c r="GJ95">
        <v>100</v>
      </c>
      <c r="GK95">
        <v>0</v>
      </c>
      <c r="GL95">
        <v>27.3235</v>
      </c>
      <c r="GM95">
        <v>1200</v>
      </c>
      <c r="GN95">
        <v>19.4378</v>
      </c>
      <c r="GO95">
        <v>101.13</v>
      </c>
      <c r="GP95">
        <v>96.2009</v>
      </c>
    </row>
    <row r="96" spans="1:198">
      <c r="A96">
        <v>80</v>
      </c>
      <c r="B96">
        <v>1773200840.6</v>
      </c>
      <c r="C96">
        <v>4740.599999904633</v>
      </c>
      <c r="D96" t="s">
        <v>493</v>
      </c>
      <c r="E96" t="s">
        <v>494</v>
      </c>
      <c r="F96">
        <v>15</v>
      </c>
      <c r="G96">
        <v>1773200832.599999</v>
      </c>
      <c r="H96">
        <f>(I96)/1000</f>
        <v>0</v>
      </c>
      <c r="I96">
        <f>1000*AY96*AG96*(AU96-AV96)/(100*AN96*(1000-AG96*AU96))</f>
        <v>0</v>
      </c>
      <c r="J96">
        <f>AY96*AG96*(AT96-AS96*(1000-AG96*AV96)/(1000-AG96*AU96))/(100*AN96)</f>
        <v>0</v>
      </c>
      <c r="K96">
        <f>AS96 - IF(AG96&gt;1, J96*AN96*100.0/(AI96), 0)</f>
        <v>0</v>
      </c>
      <c r="L96">
        <f>((R96-H96/2)*K96-J96)/(R96+H96/2)</f>
        <v>0</v>
      </c>
      <c r="M96">
        <f>L96*(AZ96+BA96)/1000.0</f>
        <v>0</v>
      </c>
      <c r="N96">
        <f>(AS96 - IF(AG96&gt;1, J96*AN96*100.0/(AI96), 0))*(AZ96+BA96)/1000.0</f>
        <v>0</v>
      </c>
      <c r="O96">
        <f>2.0/((1/Q96-1/P96)+SIGN(Q96)*SQRT((1/Q96-1/P96)*(1/Q96-1/P96) + 4*AO96/((AO96+1)*(AO96+1))*(2*1/Q96*1/P96-1/P96*1/P96)))</f>
        <v>0</v>
      </c>
      <c r="P96">
        <f>IF(LEFT(AP96,1)&lt;&gt;"0",IF(LEFT(AP96,1)="1",3.0,AQ96),$D$5+$E$5*(BG96*AZ96/($K$5*1000))+$F$5*(BG96*AZ96/($K$5*1000))*MAX(MIN(AN96,$J$5),$I$5)*MAX(MIN(AN96,$J$5),$I$5)+$G$5*MAX(MIN(AN96,$J$5),$I$5)*(BG96*AZ96/($K$5*1000))+$H$5*(BG96*AZ96/($K$5*1000))*(BG96*AZ96/($K$5*1000)))</f>
        <v>0</v>
      </c>
      <c r="Q96">
        <f>H96*(1000-(1000*0.61365*exp(17.502*U96/(240.97+U96))/(AZ96+BA96)+AU96)/2)/(1000*0.61365*exp(17.502*U96/(240.97+U96))/(AZ96+BA96)-AU96)</f>
        <v>0</v>
      </c>
      <c r="R96">
        <f>1/((AO96+1)/(O96/1.6)+1/(P96/1.37)) + AO96/((AO96+1)/(O96/1.6) + AO96/(P96/1.37))</f>
        <v>0</v>
      </c>
      <c r="S96">
        <f>(AJ96*AM96)</f>
        <v>0</v>
      </c>
      <c r="T96">
        <f>(BB96+(S96+2*0.95*5.67E-8*(((BB96+$B$7)+273)^4-(BB96+273)^4)-44100*H96)/(1.84*29.3*P96+8*0.95*5.67E-8*(BB96+273)^3))</f>
        <v>0</v>
      </c>
      <c r="U96">
        <f>($C$7*BC96+$D$7*BD96+$E$7*T96)</f>
        <v>0</v>
      </c>
      <c r="V96">
        <f>0.61365*exp(17.502*U96/(240.97+U96))</f>
        <v>0</v>
      </c>
      <c r="W96">
        <f>(X96/Y96*100)</f>
        <v>0</v>
      </c>
      <c r="X96">
        <f>AU96*(AZ96+BA96)/1000</f>
        <v>0</v>
      </c>
      <c r="Y96">
        <f>0.61365*exp(17.502*BB96/(240.97+BB96))</f>
        <v>0</v>
      </c>
      <c r="Z96">
        <f>(V96-AU96*(AZ96+BA96)/1000)</f>
        <v>0</v>
      </c>
      <c r="AA96">
        <f>(-H96*44100)</f>
        <v>0</v>
      </c>
      <c r="AB96">
        <f>2*29.3*P96*0.92*(BB96-U96)</f>
        <v>0</v>
      </c>
      <c r="AC96">
        <f>2*0.95*5.67E-8*(((BB96+$B$7)+273)^4-(U96+273)^4)</f>
        <v>0</v>
      </c>
      <c r="AD96">
        <f>S96+AC96+AA96+AB96</f>
        <v>0</v>
      </c>
      <c r="AE96">
        <v>0</v>
      </c>
      <c r="AF96">
        <v>0</v>
      </c>
      <c r="AG96">
        <f>IF(AE96*$H$13&gt;=AI96,1.0,(AI96/(AI96-AE96*$H$13)))</f>
        <v>0</v>
      </c>
      <c r="AH96">
        <f>(AG96-1)*100</f>
        <v>0</v>
      </c>
      <c r="AI96">
        <f>MAX(0,($B$13+$C$13*BG96)/(1+$D$13*BG96)*AZ96/(BB96+273)*$E$13)</f>
        <v>0</v>
      </c>
      <c r="AJ96">
        <f>$B$11*BH96+$C$11*BI96+$D$11*BT96</f>
        <v>0</v>
      </c>
      <c r="AK96">
        <f>AJ96*AL96</f>
        <v>0</v>
      </c>
      <c r="AL96">
        <f>($B$11*$D$9+$C$11*$D$9+$D$11*(BU96*$E$9+BV96*$G$9))/($B$11+$C$11+$D$11)</f>
        <v>0</v>
      </c>
      <c r="AM96">
        <f>($B$11*$K$9+$C$11*$K$9+$D$11*(BU96*$L$9+BV96*$N$9))/($B$11+$C$11+$D$11)</f>
        <v>0</v>
      </c>
      <c r="AN96">
        <v>3</v>
      </c>
      <c r="AO96">
        <v>0.5</v>
      </c>
      <c r="AP96" t="s">
        <v>331</v>
      </c>
      <c r="AQ96">
        <v>2</v>
      </c>
      <c r="AR96">
        <v>1773200832.599999</v>
      </c>
      <c r="AS96">
        <v>428.2927096774193</v>
      </c>
      <c r="AT96">
        <v>426.3110967741936</v>
      </c>
      <c r="AU96">
        <v>11.51076129032258</v>
      </c>
      <c r="AV96">
        <v>11.08580322580645</v>
      </c>
      <c r="AW96">
        <v>422.0613225806452</v>
      </c>
      <c r="AX96">
        <v>11.4301870967742</v>
      </c>
      <c r="AY96">
        <v>499.9830645161291</v>
      </c>
      <c r="AZ96">
        <v>100.2016451612904</v>
      </c>
      <c r="BA96">
        <v>0.04570284516129033</v>
      </c>
      <c r="BB96">
        <v>30.83933870967741</v>
      </c>
      <c r="BC96">
        <v>31.03951290322581</v>
      </c>
      <c r="BD96">
        <v>999.9000000000003</v>
      </c>
      <c r="BE96">
        <v>0</v>
      </c>
      <c r="BF96">
        <v>0</v>
      </c>
      <c r="BG96">
        <v>4997.677419354839</v>
      </c>
      <c r="BH96">
        <v>1.380138064516129</v>
      </c>
      <c r="BI96">
        <v>2075.703225806452</v>
      </c>
      <c r="BJ96">
        <v>1.981616129032258</v>
      </c>
      <c r="BK96">
        <v>433.280064516129</v>
      </c>
      <c r="BL96">
        <v>431.0901290322581</v>
      </c>
      <c r="BM96">
        <v>0.4249701290322581</v>
      </c>
      <c r="BN96">
        <v>426.3110967741936</v>
      </c>
      <c r="BO96">
        <v>11.08580322580645</v>
      </c>
      <c r="BP96">
        <v>1.153398387096774</v>
      </c>
      <c r="BQ96">
        <v>1.110815161290323</v>
      </c>
      <c r="BR96">
        <v>9.013274838709677</v>
      </c>
      <c r="BS96">
        <v>8.457113870967742</v>
      </c>
      <c r="BT96">
        <v>0</v>
      </c>
      <c r="BU96">
        <v>0</v>
      </c>
      <c r="BV96">
        <v>0</v>
      </c>
      <c r="BW96">
        <v>36</v>
      </c>
      <c r="BX96">
        <v>53</v>
      </c>
      <c r="BY96">
        <v>1773196010</v>
      </c>
      <c r="BZ96" t="s">
        <v>332</v>
      </c>
      <c r="CA96">
        <v>1773196010</v>
      </c>
      <c r="CB96">
        <v>1773196005.5</v>
      </c>
      <c r="CC96">
        <v>2</v>
      </c>
      <c r="CD96">
        <v>-0.279</v>
      </c>
      <c r="CE96">
        <v>-0.021</v>
      </c>
      <c r="CF96">
        <v>6.231</v>
      </c>
      <c r="CG96">
        <v>0.081</v>
      </c>
      <c r="CH96">
        <v>432</v>
      </c>
      <c r="CI96">
        <v>21</v>
      </c>
      <c r="CJ96">
        <v>0.03</v>
      </c>
      <c r="CK96">
        <v>0.06</v>
      </c>
      <c r="CL96">
        <v>426.3080333333334</v>
      </c>
      <c r="CM96">
        <v>0.4856329254737463</v>
      </c>
      <c r="CN96">
        <v>0.04197894975129995</v>
      </c>
      <c r="CO96">
        <v>-1</v>
      </c>
      <c r="CP96">
        <v>499.9775333333334</v>
      </c>
      <c r="CQ96">
        <v>0.8032925472751641</v>
      </c>
      <c r="CR96">
        <v>0.08337095150923325</v>
      </c>
      <c r="CS96">
        <v>-1</v>
      </c>
      <c r="CT96">
        <v>0</v>
      </c>
      <c r="CU96">
        <v>0</v>
      </c>
      <c r="CV96" t="s">
        <v>333</v>
      </c>
      <c r="CW96">
        <v>3.1707</v>
      </c>
      <c r="CX96">
        <v>2.66706</v>
      </c>
      <c r="CY96">
        <v>0.100197</v>
      </c>
      <c r="CZ96">
        <v>0.100997</v>
      </c>
      <c r="DA96">
        <v>0.06492630000000001</v>
      </c>
      <c r="DB96">
        <v>0.0631567</v>
      </c>
      <c r="DC96">
        <v>21314.2</v>
      </c>
      <c r="DD96">
        <v>21869.6</v>
      </c>
      <c r="DE96">
        <v>22838.2</v>
      </c>
      <c r="DF96">
        <v>22272.3</v>
      </c>
      <c r="DG96">
        <v>32294.6</v>
      </c>
      <c r="DH96">
        <v>29394.6</v>
      </c>
      <c r="DI96">
        <v>40196.3</v>
      </c>
      <c r="DJ96">
        <v>36840.5</v>
      </c>
      <c r="DK96">
        <v>2.02668</v>
      </c>
      <c r="DL96">
        <v>1.50432</v>
      </c>
      <c r="DM96">
        <v>-0.0729054</v>
      </c>
      <c r="DN96">
        <v>0</v>
      </c>
      <c r="DO96">
        <v>32.2305</v>
      </c>
      <c r="DP96">
        <v>999.9</v>
      </c>
      <c r="DQ96">
        <v>26.2</v>
      </c>
      <c r="DR96">
        <v>44.4</v>
      </c>
      <c r="DS96">
        <v>24.4336</v>
      </c>
      <c r="DT96">
        <v>29.8491</v>
      </c>
      <c r="DU96">
        <v>14.3389</v>
      </c>
      <c r="DV96">
        <v>1</v>
      </c>
      <c r="DW96">
        <v>0.881951</v>
      </c>
      <c r="DX96">
        <v>4.12472</v>
      </c>
      <c r="DY96">
        <v>20.3013</v>
      </c>
      <c r="DZ96">
        <v>5.20974</v>
      </c>
      <c r="EA96">
        <v>11.8544</v>
      </c>
      <c r="EB96">
        <v>4.96724</v>
      </c>
      <c r="EC96">
        <v>3.29294</v>
      </c>
      <c r="ED96">
        <v>879.4</v>
      </c>
      <c r="EE96">
        <v>9999</v>
      </c>
      <c r="EF96">
        <v>9999</v>
      </c>
      <c r="EG96">
        <v>77.3</v>
      </c>
      <c r="EH96">
        <v>4.97157</v>
      </c>
      <c r="EI96">
        <v>1.8721</v>
      </c>
      <c r="EJ96">
        <v>1.86951</v>
      </c>
      <c r="EK96">
        <v>1.8718</v>
      </c>
      <c r="EL96">
        <v>1.86963</v>
      </c>
      <c r="EM96">
        <v>1.86842</v>
      </c>
      <c r="EN96">
        <v>1.87021</v>
      </c>
      <c r="EO96">
        <v>1.87195</v>
      </c>
      <c r="EP96">
        <v>0</v>
      </c>
      <c r="EQ96">
        <v>0</v>
      </c>
      <c r="ER96">
        <v>0</v>
      </c>
      <c r="ES96">
        <v>0</v>
      </c>
      <c r="ET96" t="s">
        <v>334</v>
      </c>
      <c r="EU96" t="s">
        <v>335</v>
      </c>
      <c r="EV96" t="s">
        <v>336</v>
      </c>
      <c r="EW96" t="s">
        <v>336</v>
      </c>
      <c r="EX96" t="s">
        <v>336</v>
      </c>
      <c r="EY96" t="s">
        <v>336</v>
      </c>
      <c r="EZ96">
        <v>0</v>
      </c>
      <c r="FA96">
        <v>100</v>
      </c>
      <c r="FB96">
        <v>100</v>
      </c>
      <c r="FC96">
        <v>6.232</v>
      </c>
      <c r="FD96">
        <v>0.0806</v>
      </c>
      <c r="FE96">
        <v>6.23135000000002</v>
      </c>
      <c r="FF96">
        <v>0</v>
      </c>
      <c r="FG96">
        <v>0</v>
      </c>
      <c r="FH96">
        <v>0</v>
      </c>
      <c r="FI96">
        <v>0.08059047619047632</v>
      </c>
      <c r="FJ96">
        <v>0</v>
      </c>
      <c r="FK96">
        <v>0</v>
      </c>
      <c r="FL96">
        <v>0</v>
      </c>
      <c r="FM96">
        <v>-1</v>
      </c>
      <c r="FN96">
        <v>-1</v>
      </c>
      <c r="FO96">
        <v>-1</v>
      </c>
      <c r="FP96">
        <v>-1</v>
      </c>
      <c r="FQ96">
        <v>80.5</v>
      </c>
      <c r="FR96">
        <v>80.59999999999999</v>
      </c>
      <c r="FS96">
        <v>0.141602</v>
      </c>
      <c r="FT96">
        <v>4.99756</v>
      </c>
      <c r="FU96">
        <v>1.5979</v>
      </c>
      <c r="FV96">
        <v>2.11304</v>
      </c>
      <c r="FW96">
        <v>1.54785</v>
      </c>
      <c r="FX96">
        <v>2.42676</v>
      </c>
      <c r="FY96">
        <v>47.0932</v>
      </c>
      <c r="FZ96">
        <v>15.8132</v>
      </c>
      <c r="GA96">
        <v>3</v>
      </c>
      <c r="GB96">
        <v>519.799</v>
      </c>
      <c r="GC96">
        <v>292.282</v>
      </c>
      <c r="GD96">
        <v>27.5405</v>
      </c>
      <c r="GE96">
        <v>37.7859</v>
      </c>
      <c r="GF96">
        <v>30.0002</v>
      </c>
      <c r="GG96">
        <v>37.6957</v>
      </c>
      <c r="GH96">
        <v>37.6906</v>
      </c>
      <c r="GI96">
        <v>-1</v>
      </c>
      <c r="GJ96">
        <v>100</v>
      </c>
      <c r="GK96">
        <v>0</v>
      </c>
      <c r="GL96">
        <v>27.5206</v>
      </c>
      <c r="GM96">
        <v>1200</v>
      </c>
      <c r="GN96">
        <v>19.4378</v>
      </c>
      <c r="GO96">
        <v>101.126</v>
      </c>
      <c r="GP96">
        <v>96.1998</v>
      </c>
    </row>
    <row r="97" spans="1:198">
      <c r="A97">
        <v>81</v>
      </c>
      <c r="B97">
        <v>1773200900.6</v>
      </c>
      <c r="C97">
        <v>4800.599999904633</v>
      </c>
      <c r="D97" t="s">
        <v>495</v>
      </c>
      <c r="E97" t="s">
        <v>496</v>
      </c>
      <c r="F97">
        <v>15</v>
      </c>
      <c r="G97">
        <v>1773200892.599999</v>
      </c>
      <c r="H97">
        <f>(I97)/1000</f>
        <v>0</v>
      </c>
      <c r="I97">
        <f>1000*AY97*AG97*(AU97-AV97)/(100*AN97*(1000-AG97*AU97))</f>
        <v>0</v>
      </c>
      <c r="J97">
        <f>AY97*AG97*(AT97-AS97*(1000-AG97*AV97)/(1000-AG97*AU97))/(100*AN97)</f>
        <v>0</v>
      </c>
      <c r="K97">
        <f>AS97 - IF(AG97&gt;1, J97*AN97*100.0/(AI97), 0)</f>
        <v>0</v>
      </c>
      <c r="L97">
        <f>((R97-H97/2)*K97-J97)/(R97+H97/2)</f>
        <v>0</v>
      </c>
      <c r="M97">
        <f>L97*(AZ97+BA97)/1000.0</f>
        <v>0</v>
      </c>
      <c r="N97">
        <f>(AS97 - IF(AG97&gt;1, J97*AN97*100.0/(AI97), 0))*(AZ97+BA97)/1000.0</f>
        <v>0</v>
      </c>
      <c r="O97">
        <f>2.0/((1/Q97-1/P97)+SIGN(Q97)*SQRT((1/Q97-1/P97)*(1/Q97-1/P97) + 4*AO97/((AO97+1)*(AO97+1))*(2*1/Q97*1/P97-1/P97*1/P97)))</f>
        <v>0</v>
      </c>
      <c r="P97">
        <f>IF(LEFT(AP97,1)&lt;&gt;"0",IF(LEFT(AP97,1)="1",3.0,AQ97),$D$5+$E$5*(BG97*AZ97/($K$5*1000))+$F$5*(BG97*AZ97/($K$5*1000))*MAX(MIN(AN97,$J$5),$I$5)*MAX(MIN(AN97,$J$5),$I$5)+$G$5*MAX(MIN(AN97,$J$5),$I$5)*(BG97*AZ97/($K$5*1000))+$H$5*(BG97*AZ97/($K$5*1000))*(BG97*AZ97/($K$5*1000)))</f>
        <v>0</v>
      </c>
      <c r="Q97">
        <f>H97*(1000-(1000*0.61365*exp(17.502*U97/(240.97+U97))/(AZ97+BA97)+AU97)/2)/(1000*0.61365*exp(17.502*U97/(240.97+U97))/(AZ97+BA97)-AU97)</f>
        <v>0</v>
      </c>
      <c r="R97">
        <f>1/((AO97+1)/(O97/1.6)+1/(P97/1.37)) + AO97/((AO97+1)/(O97/1.6) + AO97/(P97/1.37))</f>
        <v>0</v>
      </c>
      <c r="S97">
        <f>(AJ97*AM97)</f>
        <v>0</v>
      </c>
      <c r="T97">
        <f>(BB97+(S97+2*0.95*5.67E-8*(((BB97+$B$7)+273)^4-(BB97+273)^4)-44100*H97)/(1.84*29.3*P97+8*0.95*5.67E-8*(BB97+273)^3))</f>
        <v>0</v>
      </c>
      <c r="U97">
        <f>($C$7*BC97+$D$7*BD97+$E$7*T97)</f>
        <v>0</v>
      </c>
      <c r="V97">
        <f>0.61365*exp(17.502*U97/(240.97+U97))</f>
        <v>0</v>
      </c>
      <c r="W97">
        <f>(X97/Y97*100)</f>
        <v>0</v>
      </c>
      <c r="X97">
        <f>AU97*(AZ97+BA97)/1000</f>
        <v>0</v>
      </c>
      <c r="Y97">
        <f>0.61365*exp(17.502*BB97/(240.97+BB97))</f>
        <v>0</v>
      </c>
      <c r="Z97">
        <f>(V97-AU97*(AZ97+BA97)/1000)</f>
        <v>0</v>
      </c>
      <c r="AA97">
        <f>(-H97*44100)</f>
        <v>0</v>
      </c>
      <c r="AB97">
        <f>2*29.3*P97*0.92*(BB97-U97)</f>
        <v>0</v>
      </c>
      <c r="AC97">
        <f>2*0.95*5.67E-8*(((BB97+$B$7)+273)^4-(U97+273)^4)</f>
        <v>0</v>
      </c>
      <c r="AD97">
        <f>S97+AC97+AA97+AB97</f>
        <v>0</v>
      </c>
      <c r="AE97">
        <v>0</v>
      </c>
      <c r="AF97">
        <v>0</v>
      </c>
      <c r="AG97">
        <f>IF(AE97*$H$13&gt;=AI97,1.0,(AI97/(AI97-AE97*$H$13)))</f>
        <v>0</v>
      </c>
      <c r="AH97">
        <f>(AG97-1)*100</f>
        <v>0</v>
      </c>
      <c r="AI97">
        <f>MAX(0,($B$13+$C$13*BG97)/(1+$D$13*BG97)*AZ97/(BB97+273)*$E$13)</f>
        <v>0</v>
      </c>
      <c r="AJ97">
        <f>$B$11*BH97+$C$11*BI97+$D$11*BT97</f>
        <v>0</v>
      </c>
      <c r="AK97">
        <f>AJ97*AL97</f>
        <v>0</v>
      </c>
      <c r="AL97">
        <f>($B$11*$D$9+$C$11*$D$9+$D$11*(BU97*$E$9+BV97*$G$9))/($B$11+$C$11+$D$11)</f>
        <v>0</v>
      </c>
      <c r="AM97">
        <f>($B$11*$K$9+$C$11*$K$9+$D$11*(BU97*$L$9+BV97*$N$9))/($B$11+$C$11+$D$11)</f>
        <v>0</v>
      </c>
      <c r="AN97">
        <v>3</v>
      </c>
      <c r="AO97">
        <v>0.5</v>
      </c>
      <c r="AP97" t="s">
        <v>331</v>
      </c>
      <c r="AQ97">
        <v>2</v>
      </c>
      <c r="AR97">
        <v>1773200892.599999</v>
      </c>
      <c r="AS97">
        <v>428.0895806451613</v>
      </c>
      <c r="AT97">
        <v>426.0162258064516</v>
      </c>
      <c r="AU97">
        <v>11.5232</v>
      </c>
      <c r="AV97">
        <v>11.10212258064516</v>
      </c>
      <c r="AW97">
        <v>421.8582580645161</v>
      </c>
      <c r="AX97">
        <v>11.44261612903226</v>
      </c>
      <c r="AY97">
        <v>499.9850967741936</v>
      </c>
      <c r="AZ97">
        <v>100.2017096774193</v>
      </c>
      <c r="BA97">
        <v>0.04645090967741936</v>
      </c>
      <c r="BB97">
        <v>30.77393225806451</v>
      </c>
      <c r="BC97">
        <v>30.98255483870968</v>
      </c>
      <c r="BD97">
        <v>999.9000000000003</v>
      </c>
      <c r="BE97">
        <v>0</v>
      </c>
      <c r="BF97">
        <v>0</v>
      </c>
      <c r="BG97">
        <v>4994.33870967742</v>
      </c>
      <c r="BH97">
        <v>1.402611290322581</v>
      </c>
      <c r="BI97">
        <v>2097.331935483871</v>
      </c>
      <c r="BJ97">
        <v>2.073237419354839</v>
      </c>
      <c r="BK97">
        <v>433.08</v>
      </c>
      <c r="BL97">
        <v>430.7990322580645</v>
      </c>
      <c r="BM97">
        <v>0.4210855483870967</v>
      </c>
      <c r="BN97">
        <v>426.0162258064516</v>
      </c>
      <c r="BO97">
        <v>11.10212258064516</v>
      </c>
      <c r="BP97">
        <v>1.154644838709678</v>
      </c>
      <c r="BQ97">
        <v>1.11245129032258</v>
      </c>
      <c r="BR97">
        <v>9.029276451612903</v>
      </c>
      <c r="BS97">
        <v>8.478816451612902</v>
      </c>
      <c r="BT97">
        <v>0</v>
      </c>
      <c r="BU97">
        <v>0</v>
      </c>
      <c r="BV97">
        <v>0</v>
      </c>
      <c r="BW97">
        <v>36</v>
      </c>
      <c r="BX97">
        <v>53</v>
      </c>
      <c r="BY97">
        <v>1773196010</v>
      </c>
      <c r="BZ97" t="s">
        <v>332</v>
      </c>
      <c r="CA97">
        <v>1773196010</v>
      </c>
      <c r="CB97">
        <v>1773196005.5</v>
      </c>
      <c r="CC97">
        <v>2</v>
      </c>
      <c r="CD97">
        <v>-0.279</v>
      </c>
      <c r="CE97">
        <v>-0.021</v>
      </c>
      <c r="CF97">
        <v>6.231</v>
      </c>
      <c r="CG97">
        <v>0.081</v>
      </c>
      <c r="CH97">
        <v>432</v>
      </c>
      <c r="CI97">
        <v>21</v>
      </c>
      <c r="CJ97">
        <v>0.03</v>
      </c>
      <c r="CK97">
        <v>0.06</v>
      </c>
      <c r="CL97">
        <v>426.0193333333333</v>
      </c>
      <c r="CM97">
        <v>-0.3284182424905015</v>
      </c>
      <c r="CN97">
        <v>0.02597990676571985</v>
      </c>
      <c r="CO97">
        <v>-1</v>
      </c>
      <c r="CP97">
        <v>499.9835666666667</v>
      </c>
      <c r="CQ97">
        <v>-0.1005116796451193</v>
      </c>
      <c r="CR97">
        <v>0.03995637899287197</v>
      </c>
      <c r="CS97">
        <v>-1</v>
      </c>
      <c r="CT97">
        <v>0</v>
      </c>
      <c r="CU97">
        <v>0</v>
      </c>
      <c r="CV97" t="s">
        <v>333</v>
      </c>
      <c r="CW97">
        <v>3.17089</v>
      </c>
      <c r="CX97">
        <v>2.66804</v>
      </c>
      <c r="CY97">
        <v>0.10014</v>
      </c>
      <c r="CZ97">
        <v>0.10094</v>
      </c>
      <c r="DA97">
        <v>0.0649502</v>
      </c>
      <c r="DB97">
        <v>0.0632103</v>
      </c>
      <c r="DC97">
        <v>21316.2</v>
      </c>
      <c r="DD97">
        <v>21872.1</v>
      </c>
      <c r="DE97">
        <v>22838.9</v>
      </c>
      <c r="DF97">
        <v>22273.4</v>
      </c>
      <c r="DG97">
        <v>32295</v>
      </c>
      <c r="DH97">
        <v>29394.4</v>
      </c>
      <c r="DI97">
        <v>40197.8</v>
      </c>
      <c r="DJ97">
        <v>36842.4</v>
      </c>
      <c r="DK97">
        <v>2.02684</v>
      </c>
      <c r="DL97">
        <v>1.50456</v>
      </c>
      <c r="DM97">
        <v>-0.0765771</v>
      </c>
      <c r="DN97">
        <v>0</v>
      </c>
      <c r="DO97">
        <v>32.216</v>
      </c>
      <c r="DP97">
        <v>999.9</v>
      </c>
      <c r="DQ97">
        <v>26.1</v>
      </c>
      <c r="DR97">
        <v>44.5</v>
      </c>
      <c r="DS97">
        <v>24.4666</v>
      </c>
      <c r="DT97">
        <v>29.3691</v>
      </c>
      <c r="DU97">
        <v>13.9583</v>
      </c>
      <c r="DV97">
        <v>1</v>
      </c>
      <c r="DW97">
        <v>0.87776</v>
      </c>
      <c r="DX97">
        <v>3.69092</v>
      </c>
      <c r="DY97">
        <v>20.3138</v>
      </c>
      <c r="DZ97">
        <v>5.20615</v>
      </c>
      <c r="EA97">
        <v>11.8548</v>
      </c>
      <c r="EB97">
        <v>4.9674</v>
      </c>
      <c r="EC97">
        <v>3.293</v>
      </c>
      <c r="ED97">
        <v>879.4</v>
      </c>
      <c r="EE97">
        <v>9999</v>
      </c>
      <c r="EF97">
        <v>9999</v>
      </c>
      <c r="EG97">
        <v>77.40000000000001</v>
      </c>
      <c r="EH97">
        <v>4.97158</v>
      </c>
      <c r="EI97">
        <v>1.8721</v>
      </c>
      <c r="EJ97">
        <v>1.86951</v>
      </c>
      <c r="EK97">
        <v>1.8718</v>
      </c>
      <c r="EL97">
        <v>1.86964</v>
      </c>
      <c r="EM97">
        <v>1.86843</v>
      </c>
      <c r="EN97">
        <v>1.87025</v>
      </c>
      <c r="EO97">
        <v>1.87195</v>
      </c>
      <c r="EP97">
        <v>0</v>
      </c>
      <c r="EQ97">
        <v>0</v>
      </c>
      <c r="ER97">
        <v>0</v>
      </c>
      <c r="ES97">
        <v>0</v>
      </c>
      <c r="ET97" t="s">
        <v>334</v>
      </c>
      <c r="EU97" t="s">
        <v>335</v>
      </c>
      <c r="EV97" t="s">
        <v>336</v>
      </c>
      <c r="EW97" t="s">
        <v>336</v>
      </c>
      <c r="EX97" t="s">
        <v>336</v>
      </c>
      <c r="EY97" t="s">
        <v>336</v>
      </c>
      <c r="EZ97">
        <v>0</v>
      </c>
      <c r="FA97">
        <v>100</v>
      </c>
      <c r="FB97">
        <v>100</v>
      </c>
      <c r="FC97">
        <v>6.232</v>
      </c>
      <c r="FD97">
        <v>0.0806</v>
      </c>
      <c r="FE97">
        <v>6.23135000000002</v>
      </c>
      <c r="FF97">
        <v>0</v>
      </c>
      <c r="FG97">
        <v>0</v>
      </c>
      <c r="FH97">
        <v>0</v>
      </c>
      <c r="FI97">
        <v>0.08059047619047632</v>
      </c>
      <c r="FJ97">
        <v>0</v>
      </c>
      <c r="FK97">
        <v>0</v>
      </c>
      <c r="FL97">
        <v>0</v>
      </c>
      <c r="FM97">
        <v>-1</v>
      </c>
      <c r="FN97">
        <v>-1</v>
      </c>
      <c r="FO97">
        <v>-1</v>
      </c>
      <c r="FP97">
        <v>-1</v>
      </c>
      <c r="FQ97">
        <v>81.5</v>
      </c>
      <c r="FR97">
        <v>81.59999999999999</v>
      </c>
      <c r="FS97">
        <v>0.141602</v>
      </c>
      <c r="FT97">
        <v>4.99756</v>
      </c>
      <c r="FU97">
        <v>1.5979</v>
      </c>
      <c r="FV97">
        <v>2.11182</v>
      </c>
      <c r="FW97">
        <v>1.54785</v>
      </c>
      <c r="FX97">
        <v>2.47803</v>
      </c>
      <c r="FY97">
        <v>47.1229</v>
      </c>
      <c r="FZ97">
        <v>15.8219</v>
      </c>
      <c r="GA97">
        <v>3</v>
      </c>
      <c r="GB97">
        <v>519.849</v>
      </c>
      <c r="GC97">
        <v>292.368</v>
      </c>
      <c r="GD97">
        <v>27.6219</v>
      </c>
      <c r="GE97">
        <v>37.7823</v>
      </c>
      <c r="GF97">
        <v>30.0002</v>
      </c>
      <c r="GG97">
        <v>37.6886</v>
      </c>
      <c r="GH97">
        <v>37.6835</v>
      </c>
      <c r="GI97">
        <v>-1</v>
      </c>
      <c r="GJ97">
        <v>100</v>
      </c>
      <c r="GK97">
        <v>0</v>
      </c>
      <c r="GL97">
        <v>27.6307</v>
      </c>
      <c r="GM97">
        <v>1200</v>
      </c>
      <c r="GN97">
        <v>19.4378</v>
      </c>
      <c r="GO97">
        <v>101.13</v>
      </c>
      <c r="GP97">
        <v>96.2047</v>
      </c>
    </row>
    <row r="98" spans="1:198">
      <c r="A98">
        <v>82</v>
      </c>
      <c r="B98">
        <v>1773200960.6</v>
      </c>
      <c r="C98">
        <v>4860.599999904633</v>
      </c>
      <c r="D98" t="s">
        <v>497</v>
      </c>
      <c r="E98" t="s">
        <v>498</v>
      </c>
      <c r="F98">
        <v>15</v>
      </c>
      <c r="G98">
        <v>1773200952.599999</v>
      </c>
      <c r="H98">
        <f>(I98)/1000</f>
        <v>0</v>
      </c>
      <c r="I98">
        <f>1000*AY98*AG98*(AU98-AV98)/(100*AN98*(1000-AG98*AU98))</f>
        <v>0</v>
      </c>
      <c r="J98">
        <f>AY98*AG98*(AT98-AS98*(1000-AG98*AV98)/(1000-AG98*AU98))/(100*AN98)</f>
        <v>0</v>
      </c>
      <c r="K98">
        <f>AS98 - IF(AG98&gt;1, J98*AN98*100.0/(AI98), 0)</f>
        <v>0</v>
      </c>
      <c r="L98">
        <f>((R98-H98/2)*K98-J98)/(R98+H98/2)</f>
        <v>0</v>
      </c>
      <c r="M98">
        <f>L98*(AZ98+BA98)/1000.0</f>
        <v>0</v>
      </c>
      <c r="N98">
        <f>(AS98 - IF(AG98&gt;1, J98*AN98*100.0/(AI98), 0))*(AZ98+BA98)/1000.0</f>
        <v>0</v>
      </c>
      <c r="O98">
        <f>2.0/((1/Q98-1/P98)+SIGN(Q98)*SQRT((1/Q98-1/P98)*(1/Q98-1/P98) + 4*AO98/((AO98+1)*(AO98+1))*(2*1/Q98*1/P98-1/P98*1/P98)))</f>
        <v>0</v>
      </c>
      <c r="P98">
        <f>IF(LEFT(AP98,1)&lt;&gt;"0",IF(LEFT(AP98,1)="1",3.0,AQ98),$D$5+$E$5*(BG98*AZ98/($K$5*1000))+$F$5*(BG98*AZ98/($K$5*1000))*MAX(MIN(AN98,$J$5),$I$5)*MAX(MIN(AN98,$J$5),$I$5)+$G$5*MAX(MIN(AN98,$J$5),$I$5)*(BG98*AZ98/($K$5*1000))+$H$5*(BG98*AZ98/($K$5*1000))*(BG98*AZ98/($K$5*1000)))</f>
        <v>0</v>
      </c>
      <c r="Q98">
        <f>H98*(1000-(1000*0.61365*exp(17.502*U98/(240.97+U98))/(AZ98+BA98)+AU98)/2)/(1000*0.61365*exp(17.502*U98/(240.97+U98))/(AZ98+BA98)-AU98)</f>
        <v>0</v>
      </c>
      <c r="R98">
        <f>1/((AO98+1)/(O98/1.6)+1/(P98/1.37)) + AO98/((AO98+1)/(O98/1.6) + AO98/(P98/1.37))</f>
        <v>0</v>
      </c>
      <c r="S98">
        <f>(AJ98*AM98)</f>
        <v>0</v>
      </c>
      <c r="T98">
        <f>(BB98+(S98+2*0.95*5.67E-8*(((BB98+$B$7)+273)^4-(BB98+273)^4)-44100*H98)/(1.84*29.3*P98+8*0.95*5.67E-8*(BB98+273)^3))</f>
        <v>0</v>
      </c>
      <c r="U98">
        <f>($C$7*BC98+$D$7*BD98+$E$7*T98)</f>
        <v>0</v>
      </c>
      <c r="V98">
        <f>0.61365*exp(17.502*U98/(240.97+U98))</f>
        <v>0</v>
      </c>
      <c r="W98">
        <f>(X98/Y98*100)</f>
        <v>0</v>
      </c>
      <c r="X98">
        <f>AU98*(AZ98+BA98)/1000</f>
        <v>0</v>
      </c>
      <c r="Y98">
        <f>0.61365*exp(17.502*BB98/(240.97+BB98))</f>
        <v>0</v>
      </c>
      <c r="Z98">
        <f>(V98-AU98*(AZ98+BA98)/1000)</f>
        <v>0</v>
      </c>
      <c r="AA98">
        <f>(-H98*44100)</f>
        <v>0</v>
      </c>
      <c r="AB98">
        <f>2*29.3*P98*0.92*(BB98-U98)</f>
        <v>0</v>
      </c>
      <c r="AC98">
        <f>2*0.95*5.67E-8*(((BB98+$B$7)+273)^4-(U98+273)^4)</f>
        <v>0</v>
      </c>
      <c r="AD98">
        <f>S98+AC98+AA98+AB98</f>
        <v>0</v>
      </c>
      <c r="AE98">
        <v>0</v>
      </c>
      <c r="AF98">
        <v>0</v>
      </c>
      <c r="AG98">
        <f>IF(AE98*$H$13&gt;=AI98,1.0,(AI98/(AI98-AE98*$H$13)))</f>
        <v>0</v>
      </c>
      <c r="AH98">
        <f>(AG98-1)*100</f>
        <v>0</v>
      </c>
      <c r="AI98">
        <f>MAX(0,($B$13+$C$13*BG98)/(1+$D$13*BG98)*AZ98/(BB98+273)*$E$13)</f>
        <v>0</v>
      </c>
      <c r="AJ98">
        <f>$B$11*BH98+$C$11*BI98+$D$11*BT98</f>
        <v>0</v>
      </c>
      <c r="AK98">
        <f>AJ98*AL98</f>
        <v>0</v>
      </c>
      <c r="AL98">
        <f>($B$11*$D$9+$C$11*$D$9+$D$11*(BU98*$E$9+BV98*$G$9))/($B$11+$C$11+$D$11)</f>
        <v>0</v>
      </c>
      <c r="AM98">
        <f>($B$11*$K$9+$C$11*$K$9+$D$11*(BU98*$L$9+BV98*$N$9))/($B$11+$C$11+$D$11)</f>
        <v>0</v>
      </c>
      <c r="AN98">
        <v>3</v>
      </c>
      <c r="AO98">
        <v>0.5</v>
      </c>
      <c r="AP98" t="s">
        <v>331</v>
      </c>
      <c r="AQ98">
        <v>2</v>
      </c>
      <c r="AR98">
        <v>1773200952.599999</v>
      </c>
      <c r="AS98">
        <v>428.1560000000001</v>
      </c>
      <c r="AT98">
        <v>426.1317741935484</v>
      </c>
      <c r="AU98">
        <v>11.4362</v>
      </c>
      <c r="AV98">
        <v>10.99468064516129</v>
      </c>
      <c r="AW98">
        <v>421.9247096774193</v>
      </c>
      <c r="AX98">
        <v>11.35560322580645</v>
      </c>
      <c r="AY98">
        <v>499.9825483870968</v>
      </c>
      <c r="AZ98">
        <v>100.1988064516129</v>
      </c>
      <c r="BA98">
        <v>0.04612336451612902</v>
      </c>
      <c r="BB98">
        <v>30.75778709677419</v>
      </c>
      <c r="BC98">
        <v>30.94436129032258</v>
      </c>
      <c r="BD98">
        <v>999.9000000000003</v>
      </c>
      <c r="BE98">
        <v>0</v>
      </c>
      <c r="BF98">
        <v>0</v>
      </c>
      <c r="BG98">
        <v>4995.064516129032</v>
      </c>
      <c r="BH98">
        <v>1.42134935483871</v>
      </c>
      <c r="BI98">
        <v>2135.463870967742</v>
      </c>
      <c r="BJ98">
        <v>2.024174516129032</v>
      </c>
      <c r="BK98">
        <v>433.1091612903226</v>
      </c>
      <c r="BL98">
        <v>430.8691290322581</v>
      </c>
      <c r="BM98">
        <v>0.4415196451612903</v>
      </c>
      <c r="BN98">
        <v>426.1317741935484</v>
      </c>
      <c r="BO98">
        <v>10.99468064516129</v>
      </c>
      <c r="BP98">
        <v>1.145893870967742</v>
      </c>
      <c r="BQ98">
        <v>1.101653548387097</v>
      </c>
      <c r="BR98">
        <v>8.916567096774195</v>
      </c>
      <c r="BS98">
        <v>8.334981290322581</v>
      </c>
      <c r="BT98">
        <v>0</v>
      </c>
      <c r="BU98">
        <v>0</v>
      </c>
      <c r="BV98">
        <v>0</v>
      </c>
      <c r="BW98">
        <v>35</v>
      </c>
      <c r="BX98">
        <v>53.23763870967742</v>
      </c>
      <c r="BY98">
        <v>1773196010</v>
      </c>
      <c r="BZ98" t="s">
        <v>332</v>
      </c>
      <c r="CA98">
        <v>1773196010</v>
      </c>
      <c r="CB98">
        <v>1773196005.5</v>
      </c>
      <c r="CC98">
        <v>2</v>
      </c>
      <c r="CD98">
        <v>-0.279</v>
      </c>
      <c r="CE98">
        <v>-0.021</v>
      </c>
      <c r="CF98">
        <v>6.231</v>
      </c>
      <c r="CG98">
        <v>0.081</v>
      </c>
      <c r="CH98">
        <v>432</v>
      </c>
      <c r="CI98">
        <v>21</v>
      </c>
      <c r="CJ98">
        <v>0.03</v>
      </c>
      <c r="CK98">
        <v>0.06</v>
      </c>
      <c r="CL98">
        <v>426.1340333333334</v>
      </c>
      <c r="CM98">
        <v>0.001681868743344985</v>
      </c>
      <c r="CN98">
        <v>0.02387255513950659</v>
      </c>
      <c r="CO98">
        <v>-1</v>
      </c>
      <c r="CP98">
        <v>499.9888</v>
      </c>
      <c r="CQ98">
        <v>-0.5855038932155431</v>
      </c>
      <c r="CR98">
        <v>0.06796047871128279</v>
      </c>
      <c r="CS98">
        <v>-1</v>
      </c>
      <c r="CT98">
        <v>0</v>
      </c>
      <c r="CU98">
        <v>0</v>
      </c>
      <c r="CV98" t="s">
        <v>333</v>
      </c>
      <c r="CW98">
        <v>3.17072</v>
      </c>
      <c r="CX98">
        <v>2.66736</v>
      </c>
      <c r="CY98">
        <v>0.100164</v>
      </c>
      <c r="CZ98">
        <v>0.100951</v>
      </c>
      <c r="DA98">
        <v>0.0644725</v>
      </c>
      <c r="DB98">
        <v>0.062627</v>
      </c>
      <c r="DC98">
        <v>21315.9</v>
      </c>
      <c r="DD98">
        <v>21872.9</v>
      </c>
      <c r="DE98">
        <v>22839</v>
      </c>
      <c r="DF98">
        <v>22274.4</v>
      </c>
      <c r="DG98">
        <v>32311.6</v>
      </c>
      <c r="DH98">
        <v>29413.9</v>
      </c>
      <c r="DI98">
        <v>40197.9</v>
      </c>
      <c r="DJ98">
        <v>36844</v>
      </c>
      <c r="DK98">
        <v>2.0273</v>
      </c>
      <c r="DL98">
        <v>1.50366</v>
      </c>
      <c r="DM98">
        <v>-0.07077749999999999</v>
      </c>
      <c r="DN98">
        <v>0</v>
      </c>
      <c r="DO98">
        <v>32.0875</v>
      </c>
      <c r="DP98">
        <v>999.9</v>
      </c>
      <c r="DQ98">
        <v>26</v>
      </c>
      <c r="DR98">
        <v>44.5</v>
      </c>
      <c r="DS98">
        <v>24.3732</v>
      </c>
      <c r="DT98">
        <v>30.0591</v>
      </c>
      <c r="DU98">
        <v>14.4151</v>
      </c>
      <c r="DV98">
        <v>1</v>
      </c>
      <c r="DW98">
        <v>0.874055</v>
      </c>
      <c r="DX98">
        <v>3.23032</v>
      </c>
      <c r="DY98">
        <v>20.3259</v>
      </c>
      <c r="DZ98">
        <v>5.20986</v>
      </c>
      <c r="EA98">
        <v>11.8547</v>
      </c>
      <c r="EB98">
        <v>4.96696</v>
      </c>
      <c r="EC98">
        <v>3.29296</v>
      </c>
      <c r="ED98">
        <v>879.4</v>
      </c>
      <c r="EE98">
        <v>9999</v>
      </c>
      <c r="EF98">
        <v>9999</v>
      </c>
      <c r="EG98">
        <v>77.40000000000001</v>
      </c>
      <c r="EH98">
        <v>4.97158</v>
      </c>
      <c r="EI98">
        <v>1.8721</v>
      </c>
      <c r="EJ98">
        <v>1.86951</v>
      </c>
      <c r="EK98">
        <v>1.8718</v>
      </c>
      <c r="EL98">
        <v>1.86959</v>
      </c>
      <c r="EM98">
        <v>1.86844</v>
      </c>
      <c r="EN98">
        <v>1.87023</v>
      </c>
      <c r="EO98">
        <v>1.87195</v>
      </c>
      <c r="EP98">
        <v>0</v>
      </c>
      <c r="EQ98">
        <v>0</v>
      </c>
      <c r="ER98">
        <v>0</v>
      </c>
      <c r="ES98">
        <v>0</v>
      </c>
      <c r="ET98" t="s">
        <v>334</v>
      </c>
      <c r="EU98" t="s">
        <v>335</v>
      </c>
      <c r="EV98" t="s">
        <v>336</v>
      </c>
      <c r="EW98" t="s">
        <v>336</v>
      </c>
      <c r="EX98" t="s">
        <v>336</v>
      </c>
      <c r="EY98" t="s">
        <v>336</v>
      </c>
      <c r="EZ98">
        <v>0</v>
      </c>
      <c r="FA98">
        <v>100</v>
      </c>
      <c r="FB98">
        <v>100</v>
      </c>
      <c r="FC98">
        <v>6.231</v>
      </c>
      <c r="FD98">
        <v>0.0806</v>
      </c>
      <c r="FE98">
        <v>6.23135000000002</v>
      </c>
      <c r="FF98">
        <v>0</v>
      </c>
      <c r="FG98">
        <v>0</v>
      </c>
      <c r="FH98">
        <v>0</v>
      </c>
      <c r="FI98">
        <v>0.08059047619047632</v>
      </c>
      <c r="FJ98">
        <v>0</v>
      </c>
      <c r="FK98">
        <v>0</v>
      </c>
      <c r="FL98">
        <v>0</v>
      </c>
      <c r="FM98">
        <v>-1</v>
      </c>
      <c r="FN98">
        <v>-1</v>
      </c>
      <c r="FO98">
        <v>-1</v>
      </c>
      <c r="FP98">
        <v>-1</v>
      </c>
      <c r="FQ98">
        <v>82.5</v>
      </c>
      <c r="FR98">
        <v>82.59999999999999</v>
      </c>
      <c r="FS98">
        <v>0.141602</v>
      </c>
      <c r="FT98">
        <v>4.99756</v>
      </c>
      <c r="FU98">
        <v>1.5979</v>
      </c>
      <c r="FV98">
        <v>2.11182</v>
      </c>
      <c r="FW98">
        <v>1.54785</v>
      </c>
      <c r="FX98">
        <v>2.35229</v>
      </c>
      <c r="FY98">
        <v>47.0932</v>
      </c>
      <c r="FZ98">
        <v>15.8132</v>
      </c>
      <c r="GA98">
        <v>3</v>
      </c>
      <c r="GB98">
        <v>520.062</v>
      </c>
      <c r="GC98">
        <v>291.891</v>
      </c>
      <c r="GD98">
        <v>27.9623</v>
      </c>
      <c r="GE98">
        <v>37.7601</v>
      </c>
      <c r="GF98">
        <v>29.9998</v>
      </c>
      <c r="GG98">
        <v>37.6779</v>
      </c>
      <c r="GH98">
        <v>37.6695</v>
      </c>
      <c r="GI98">
        <v>-1</v>
      </c>
      <c r="GJ98">
        <v>100</v>
      </c>
      <c r="GK98">
        <v>0</v>
      </c>
      <c r="GL98">
        <v>27.9775</v>
      </c>
      <c r="GM98">
        <v>1200</v>
      </c>
      <c r="GN98">
        <v>19.4378</v>
      </c>
      <c r="GO98">
        <v>101.13</v>
      </c>
      <c r="GP98">
        <v>96.2088</v>
      </c>
    </row>
    <row r="99" spans="1:198">
      <c r="A99">
        <v>83</v>
      </c>
      <c r="B99">
        <v>1773201020.6</v>
      </c>
      <c r="C99">
        <v>4920.599999904633</v>
      </c>
      <c r="D99" t="s">
        <v>499</v>
      </c>
      <c r="E99" t="s">
        <v>500</v>
      </c>
      <c r="F99">
        <v>15</v>
      </c>
      <c r="G99">
        <v>1773201012.599999</v>
      </c>
      <c r="H99">
        <f>(I99)/1000</f>
        <v>0</v>
      </c>
      <c r="I99">
        <f>1000*AY99*AG99*(AU99-AV99)/(100*AN99*(1000-AG99*AU99))</f>
        <v>0</v>
      </c>
      <c r="J99">
        <f>AY99*AG99*(AT99-AS99*(1000-AG99*AV99)/(1000-AG99*AU99))/(100*AN99)</f>
        <v>0</v>
      </c>
      <c r="K99">
        <f>AS99 - IF(AG99&gt;1, J99*AN99*100.0/(AI99), 0)</f>
        <v>0</v>
      </c>
      <c r="L99">
        <f>((R99-H99/2)*K99-J99)/(R99+H99/2)</f>
        <v>0</v>
      </c>
      <c r="M99">
        <f>L99*(AZ99+BA99)/1000.0</f>
        <v>0</v>
      </c>
      <c r="N99">
        <f>(AS99 - IF(AG99&gt;1, J99*AN99*100.0/(AI99), 0))*(AZ99+BA99)/1000.0</f>
        <v>0</v>
      </c>
      <c r="O99">
        <f>2.0/((1/Q99-1/P99)+SIGN(Q99)*SQRT((1/Q99-1/P99)*(1/Q99-1/P99) + 4*AO99/((AO99+1)*(AO99+1))*(2*1/Q99*1/P99-1/P99*1/P99)))</f>
        <v>0</v>
      </c>
      <c r="P99">
        <f>IF(LEFT(AP99,1)&lt;&gt;"0",IF(LEFT(AP99,1)="1",3.0,AQ99),$D$5+$E$5*(BG99*AZ99/($K$5*1000))+$F$5*(BG99*AZ99/($K$5*1000))*MAX(MIN(AN99,$J$5),$I$5)*MAX(MIN(AN99,$J$5),$I$5)+$G$5*MAX(MIN(AN99,$J$5),$I$5)*(BG99*AZ99/($K$5*1000))+$H$5*(BG99*AZ99/($K$5*1000))*(BG99*AZ99/($K$5*1000)))</f>
        <v>0</v>
      </c>
      <c r="Q99">
        <f>H99*(1000-(1000*0.61365*exp(17.502*U99/(240.97+U99))/(AZ99+BA99)+AU99)/2)/(1000*0.61365*exp(17.502*U99/(240.97+U99))/(AZ99+BA99)-AU99)</f>
        <v>0</v>
      </c>
      <c r="R99">
        <f>1/((AO99+1)/(O99/1.6)+1/(P99/1.37)) + AO99/((AO99+1)/(O99/1.6) + AO99/(P99/1.37))</f>
        <v>0</v>
      </c>
      <c r="S99">
        <f>(AJ99*AM99)</f>
        <v>0</v>
      </c>
      <c r="T99">
        <f>(BB99+(S99+2*0.95*5.67E-8*(((BB99+$B$7)+273)^4-(BB99+273)^4)-44100*H99)/(1.84*29.3*P99+8*0.95*5.67E-8*(BB99+273)^3))</f>
        <v>0</v>
      </c>
      <c r="U99">
        <f>($C$7*BC99+$D$7*BD99+$E$7*T99)</f>
        <v>0</v>
      </c>
      <c r="V99">
        <f>0.61365*exp(17.502*U99/(240.97+U99))</f>
        <v>0</v>
      </c>
      <c r="W99">
        <f>(X99/Y99*100)</f>
        <v>0</v>
      </c>
      <c r="X99">
        <f>AU99*(AZ99+BA99)/1000</f>
        <v>0</v>
      </c>
      <c r="Y99">
        <f>0.61365*exp(17.502*BB99/(240.97+BB99))</f>
        <v>0</v>
      </c>
      <c r="Z99">
        <f>(V99-AU99*(AZ99+BA99)/1000)</f>
        <v>0</v>
      </c>
      <c r="AA99">
        <f>(-H99*44100)</f>
        <v>0</v>
      </c>
      <c r="AB99">
        <f>2*29.3*P99*0.92*(BB99-U99)</f>
        <v>0</v>
      </c>
      <c r="AC99">
        <f>2*0.95*5.67E-8*(((BB99+$B$7)+273)^4-(U99+273)^4)</f>
        <v>0</v>
      </c>
      <c r="AD99">
        <f>S99+AC99+AA99+AB99</f>
        <v>0</v>
      </c>
      <c r="AE99">
        <v>0</v>
      </c>
      <c r="AF99">
        <v>0</v>
      </c>
      <c r="AG99">
        <f>IF(AE99*$H$13&gt;=AI99,1.0,(AI99/(AI99-AE99*$H$13)))</f>
        <v>0</v>
      </c>
      <c r="AH99">
        <f>(AG99-1)*100</f>
        <v>0</v>
      </c>
      <c r="AI99">
        <f>MAX(0,($B$13+$C$13*BG99)/(1+$D$13*BG99)*AZ99/(BB99+273)*$E$13)</f>
        <v>0</v>
      </c>
      <c r="AJ99">
        <f>$B$11*BH99+$C$11*BI99+$D$11*BT99</f>
        <v>0</v>
      </c>
      <c r="AK99">
        <f>AJ99*AL99</f>
        <v>0</v>
      </c>
      <c r="AL99">
        <f>($B$11*$D$9+$C$11*$D$9+$D$11*(BU99*$E$9+BV99*$G$9))/($B$11+$C$11+$D$11)</f>
        <v>0</v>
      </c>
      <c r="AM99">
        <f>($B$11*$K$9+$C$11*$K$9+$D$11*(BU99*$L$9+BV99*$N$9))/($B$11+$C$11+$D$11)</f>
        <v>0</v>
      </c>
      <c r="AN99">
        <v>3</v>
      </c>
      <c r="AO99">
        <v>0.5</v>
      </c>
      <c r="AP99" t="s">
        <v>331</v>
      </c>
      <c r="AQ99">
        <v>2</v>
      </c>
      <c r="AR99">
        <v>1773201012.599999</v>
      </c>
      <c r="AS99">
        <v>428.1919677419355</v>
      </c>
      <c r="AT99">
        <v>426.1270967741935</v>
      </c>
      <c r="AU99">
        <v>11.32675161290323</v>
      </c>
      <c r="AV99">
        <v>10.9154064516129</v>
      </c>
      <c r="AW99">
        <v>421.9606129032259</v>
      </c>
      <c r="AX99">
        <v>11.24616129032258</v>
      </c>
      <c r="AY99">
        <v>499.9546774193548</v>
      </c>
      <c r="AZ99">
        <v>100.1953870967742</v>
      </c>
      <c r="BA99">
        <v>0.04564102258064517</v>
      </c>
      <c r="BB99">
        <v>30.80367419354839</v>
      </c>
      <c r="BC99">
        <v>30.99583548387096</v>
      </c>
      <c r="BD99">
        <v>999.9000000000003</v>
      </c>
      <c r="BE99">
        <v>0</v>
      </c>
      <c r="BF99">
        <v>0</v>
      </c>
      <c r="BG99">
        <v>5006.564516129032</v>
      </c>
      <c r="BH99">
        <v>1.391019677419355</v>
      </c>
      <c r="BI99">
        <v>2118.09</v>
      </c>
      <c r="BJ99">
        <v>2.064879032258064</v>
      </c>
      <c r="BK99">
        <v>433.0975161290323</v>
      </c>
      <c r="BL99">
        <v>430.8297096774193</v>
      </c>
      <c r="BM99">
        <v>0.4113590967741935</v>
      </c>
      <c r="BN99">
        <v>426.1270967741935</v>
      </c>
      <c r="BO99">
        <v>10.9154064516129</v>
      </c>
      <c r="BP99">
        <v>1.13489</v>
      </c>
      <c r="BQ99">
        <v>1.093672580645161</v>
      </c>
      <c r="BR99">
        <v>8.773791935483873</v>
      </c>
      <c r="BS99">
        <v>8.227892580645161</v>
      </c>
      <c r="BT99">
        <v>0</v>
      </c>
      <c r="BU99">
        <v>0</v>
      </c>
      <c r="BV99">
        <v>0</v>
      </c>
      <c r="BW99">
        <v>35</v>
      </c>
      <c r="BX99">
        <v>53</v>
      </c>
      <c r="BY99">
        <v>1773196010</v>
      </c>
      <c r="BZ99" t="s">
        <v>332</v>
      </c>
      <c r="CA99">
        <v>1773196010</v>
      </c>
      <c r="CB99">
        <v>1773196005.5</v>
      </c>
      <c r="CC99">
        <v>2</v>
      </c>
      <c r="CD99">
        <v>-0.279</v>
      </c>
      <c r="CE99">
        <v>-0.021</v>
      </c>
      <c r="CF99">
        <v>6.231</v>
      </c>
      <c r="CG99">
        <v>0.081</v>
      </c>
      <c r="CH99">
        <v>432</v>
      </c>
      <c r="CI99">
        <v>21</v>
      </c>
      <c r="CJ99">
        <v>0.03</v>
      </c>
      <c r="CK99">
        <v>0.06</v>
      </c>
      <c r="CL99">
        <v>426.1407</v>
      </c>
      <c r="CM99">
        <v>-1.004449388208019</v>
      </c>
      <c r="CN99">
        <v>0.0768405925710324</v>
      </c>
      <c r="CO99">
        <v>-1</v>
      </c>
      <c r="CP99">
        <v>499.9524666666666</v>
      </c>
      <c r="CQ99">
        <v>-0.5270389321484437</v>
      </c>
      <c r="CR99">
        <v>0.06759178122293646</v>
      </c>
      <c r="CS99">
        <v>-1</v>
      </c>
      <c r="CT99">
        <v>0</v>
      </c>
      <c r="CU99">
        <v>0</v>
      </c>
      <c r="CV99" t="s">
        <v>333</v>
      </c>
      <c r="CW99">
        <v>3.17088</v>
      </c>
      <c r="CX99">
        <v>2.66639</v>
      </c>
      <c r="CY99">
        <v>0.100149</v>
      </c>
      <c r="CZ99">
        <v>0.100931</v>
      </c>
      <c r="DA99">
        <v>0.064077</v>
      </c>
      <c r="DB99">
        <v>0.0623932</v>
      </c>
      <c r="DC99">
        <v>21315.8</v>
      </c>
      <c r="DD99">
        <v>21873.3</v>
      </c>
      <c r="DE99">
        <v>22838.4</v>
      </c>
      <c r="DF99">
        <v>22274.2</v>
      </c>
      <c r="DG99">
        <v>32324.5</v>
      </c>
      <c r="DH99">
        <v>29421.1</v>
      </c>
      <c r="DI99">
        <v>40197</v>
      </c>
      <c r="DJ99">
        <v>36843.7</v>
      </c>
      <c r="DK99">
        <v>2.0272</v>
      </c>
      <c r="DL99">
        <v>1.50452</v>
      </c>
      <c r="DM99">
        <v>-0.0664264</v>
      </c>
      <c r="DN99">
        <v>0</v>
      </c>
      <c r="DO99">
        <v>32.0706</v>
      </c>
      <c r="DP99">
        <v>999.9</v>
      </c>
      <c r="DQ99">
        <v>26</v>
      </c>
      <c r="DR99">
        <v>44.6</v>
      </c>
      <c r="DS99">
        <v>24.5026</v>
      </c>
      <c r="DT99">
        <v>30.2991</v>
      </c>
      <c r="DU99">
        <v>14.0705</v>
      </c>
      <c r="DV99">
        <v>1</v>
      </c>
      <c r="DW99">
        <v>0.874772</v>
      </c>
      <c r="DX99">
        <v>3.5341</v>
      </c>
      <c r="DY99">
        <v>20.3179</v>
      </c>
      <c r="DZ99">
        <v>5.20974</v>
      </c>
      <c r="EA99">
        <v>11.8544</v>
      </c>
      <c r="EB99">
        <v>4.96728</v>
      </c>
      <c r="EC99">
        <v>3.29296</v>
      </c>
      <c r="ED99">
        <v>879.4</v>
      </c>
      <c r="EE99">
        <v>9999</v>
      </c>
      <c r="EF99">
        <v>9999</v>
      </c>
      <c r="EG99">
        <v>77.40000000000001</v>
      </c>
      <c r="EH99">
        <v>4.9716</v>
      </c>
      <c r="EI99">
        <v>1.8721</v>
      </c>
      <c r="EJ99">
        <v>1.86951</v>
      </c>
      <c r="EK99">
        <v>1.8718</v>
      </c>
      <c r="EL99">
        <v>1.86955</v>
      </c>
      <c r="EM99">
        <v>1.86844</v>
      </c>
      <c r="EN99">
        <v>1.87026</v>
      </c>
      <c r="EO99">
        <v>1.87195</v>
      </c>
      <c r="EP99">
        <v>0</v>
      </c>
      <c r="EQ99">
        <v>0</v>
      </c>
      <c r="ER99">
        <v>0</v>
      </c>
      <c r="ES99">
        <v>0</v>
      </c>
      <c r="ET99" t="s">
        <v>334</v>
      </c>
      <c r="EU99" t="s">
        <v>335</v>
      </c>
      <c r="EV99" t="s">
        <v>336</v>
      </c>
      <c r="EW99" t="s">
        <v>336</v>
      </c>
      <c r="EX99" t="s">
        <v>336</v>
      </c>
      <c r="EY99" t="s">
        <v>336</v>
      </c>
      <c r="EZ99">
        <v>0</v>
      </c>
      <c r="FA99">
        <v>100</v>
      </c>
      <c r="FB99">
        <v>100</v>
      </c>
      <c r="FC99">
        <v>6.231</v>
      </c>
      <c r="FD99">
        <v>0.0806</v>
      </c>
      <c r="FE99">
        <v>6.23135000000002</v>
      </c>
      <c r="FF99">
        <v>0</v>
      </c>
      <c r="FG99">
        <v>0</v>
      </c>
      <c r="FH99">
        <v>0</v>
      </c>
      <c r="FI99">
        <v>0.08059047619047632</v>
      </c>
      <c r="FJ99">
        <v>0</v>
      </c>
      <c r="FK99">
        <v>0</v>
      </c>
      <c r="FL99">
        <v>0</v>
      </c>
      <c r="FM99">
        <v>-1</v>
      </c>
      <c r="FN99">
        <v>-1</v>
      </c>
      <c r="FO99">
        <v>-1</v>
      </c>
      <c r="FP99">
        <v>-1</v>
      </c>
      <c r="FQ99">
        <v>83.5</v>
      </c>
      <c r="FR99">
        <v>83.59999999999999</v>
      </c>
      <c r="FS99">
        <v>0.141602</v>
      </c>
      <c r="FT99">
        <v>4.99756</v>
      </c>
      <c r="FU99">
        <v>1.5979</v>
      </c>
      <c r="FV99">
        <v>2.11182</v>
      </c>
      <c r="FW99">
        <v>1.54785</v>
      </c>
      <c r="FX99">
        <v>2.47559</v>
      </c>
      <c r="FY99">
        <v>47.0337</v>
      </c>
      <c r="FZ99">
        <v>15.8132</v>
      </c>
      <c r="GA99">
        <v>3</v>
      </c>
      <c r="GB99">
        <v>519.873</v>
      </c>
      <c r="GC99">
        <v>292.239</v>
      </c>
      <c r="GD99">
        <v>27.7852</v>
      </c>
      <c r="GE99">
        <v>37.7321</v>
      </c>
      <c r="GF99">
        <v>29.9985</v>
      </c>
      <c r="GG99">
        <v>37.66</v>
      </c>
      <c r="GH99">
        <v>37.6551</v>
      </c>
      <c r="GI99">
        <v>-1</v>
      </c>
      <c r="GJ99">
        <v>100</v>
      </c>
      <c r="GK99">
        <v>0</v>
      </c>
      <c r="GL99">
        <v>27.8297</v>
      </c>
      <c r="GM99">
        <v>1200</v>
      </c>
      <c r="GN99">
        <v>19.4378</v>
      </c>
      <c r="GO99">
        <v>101.128</v>
      </c>
      <c r="GP99">
        <v>96.2081</v>
      </c>
    </row>
    <row r="100" spans="1:198">
      <c r="A100">
        <v>84</v>
      </c>
      <c r="B100">
        <v>1773201080.6</v>
      </c>
      <c r="C100">
        <v>4980.599999904633</v>
      </c>
      <c r="D100" t="s">
        <v>501</v>
      </c>
      <c r="E100" t="s">
        <v>502</v>
      </c>
      <c r="F100">
        <v>15</v>
      </c>
      <c r="G100">
        <v>1773201072.599999</v>
      </c>
      <c r="H100">
        <f>(I100)/1000</f>
        <v>0</v>
      </c>
      <c r="I100">
        <f>1000*AY100*AG100*(AU100-AV100)/(100*AN100*(1000-AG100*AU100))</f>
        <v>0</v>
      </c>
      <c r="J100">
        <f>AY100*AG100*(AT100-AS100*(1000-AG100*AV100)/(1000-AG100*AU100))/(100*AN100)</f>
        <v>0</v>
      </c>
      <c r="K100">
        <f>AS100 - IF(AG100&gt;1, J100*AN100*100.0/(AI100), 0)</f>
        <v>0</v>
      </c>
      <c r="L100">
        <f>((R100-H100/2)*K100-J100)/(R100+H100/2)</f>
        <v>0</v>
      </c>
      <c r="M100">
        <f>L100*(AZ100+BA100)/1000.0</f>
        <v>0</v>
      </c>
      <c r="N100">
        <f>(AS100 - IF(AG100&gt;1, J100*AN100*100.0/(AI100), 0))*(AZ100+BA100)/1000.0</f>
        <v>0</v>
      </c>
      <c r="O100">
        <f>2.0/((1/Q100-1/P100)+SIGN(Q100)*SQRT((1/Q100-1/P100)*(1/Q100-1/P100) + 4*AO100/((AO100+1)*(AO100+1))*(2*1/Q100*1/P100-1/P100*1/P100)))</f>
        <v>0</v>
      </c>
      <c r="P100">
        <f>IF(LEFT(AP100,1)&lt;&gt;"0",IF(LEFT(AP100,1)="1",3.0,AQ100),$D$5+$E$5*(BG100*AZ100/($K$5*1000))+$F$5*(BG100*AZ100/($K$5*1000))*MAX(MIN(AN100,$J$5),$I$5)*MAX(MIN(AN100,$J$5),$I$5)+$G$5*MAX(MIN(AN100,$J$5),$I$5)*(BG100*AZ100/($K$5*1000))+$H$5*(BG100*AZ100/($K$5*1000))*(BG100*AZ100/($K$5*1000)))</f>
        <v>0</v>
      </c>
      <c r="Q100">
        <f>H100*(1000-(1000*0.61365*exp(17.502*U100/(240.97+U100))/(AZ100+BA100)+AU100)/2)/(1000*0.61365*exp(17.502*U100/(240.97+U100))/(AZ100+BA100)-AU100)</f>
        <v>0</v>
      </c>
      <c r="R100">
        <f>1/((AO100+1)/(O100/1.6)+1/(P100/1.37)) + AO100/((AO100+1)/(O100/1.6) + AO100/(P100/1.37))</f>
        <v>0</v>
      </c>
      <c r="S100">
        <f>(AJ100*AM100)</f>
        <v>0</v>
      </c>
      <c r="T100">
        <f>(BB100+(S100+2*0.95*5.67E-8*(((BB100+$B$7)+273)^4-(BB100+273)^4)-44100*H100)/(1.84*29.3*P100+8*0.95*5.67E-8*(BB100+273)^3))</f>
        <v>0</v>
      </c>
      <c r="U100">
        <f>($C$7*BC100+$D$7*BD100+$E$7*T100)</f>
        <v>0</v>
      </c>
      <c r="V100">
        <f>0.61365*exp(17.502*U100/(240.97+U100))</f>
        <v>0</v>
      </c>
      <c r="W100">
        <f>(X100/Y100*100)</f>
        <v>0</v>
      </c>
      <c r="X100">
        <f>AU100*(AZ100+BA100)/1000</f>
        <v>0</v>
      </c>
      <c r="Y100">
        <f>0.61365*exp(17.502*BB100/(240.97+BB100))</f>
        <v>0</v>
      </c>
      <c r="Z100">
        <f>(V100-AU100*(AZ100+BA100)/1000)</f>
        <v>0</v>
      </c>
      <c r="AA100">
        <f>(-H100*44100)</f>
        <v>0</v>
      </c>
      <c r="AB100">
        <f>2*29.3*P100*0.92*(BB100-U100)</f>
        <v>0</v>
      </c>
      <c r="AC100">
        <f>2*0.95*5.67E-8*(((BB100+$B$7)+273)^4-(U100+273)^4)</f>
        <v>0</v>
      </c>
      <c r="AD100">
        <f>S100+AC100+AA100+AB100</f>
        <v>0</v>
      </c>
      <c r="AE100">
        <v>0</v>
      </c>
      <c r="AF100">
        <v>0</v>
      </c>
      <c r="AG100">
        <f>IF(AE100*$H$13&gt;=AI100,1.0,(AI100/(AI100-AE100*$H$13)))</f>
        <v>0</v>
      </c>
      <c r="AH100">
        <f>(AG100-1)*100</f>
        <v>0</v>
      </c>
      <c r="AI100">
        <f>MAX(0,($B$13+$C$13*BG100)/(1+$D$13*BG100)*AZ100/(BB100+273)*$E$13)</f>
        <v>0</v>
      </c>
      <c r="AJ100">
        <f>$B$11*BH100+$C$11*BI100+$D$11*BT100</f>
        <v>0</v>
      </c>
      <c r="AK100">
        <f>AJ100*AL100</f>
        <v>0</v>
      </c>
      <c r="AL100">
        <f>($B$11*$D$9+$C$11*$D$9+$D$11*(BU100*$E$9+BV100*$G$9))/($B$11+$C$11+$D$11)</f>
        <v>0</v>
      </c>
      <c r="AM100">
        <f>($B$11*$K$9+$C$11*$K$9+$D$11*(BU100*$L$9+BV100*$N$9))/($B$11+$C$11+$D$11)</f>
        <v>0</v>
      </c>
      <c r="AN100">
        <v>3</v>
      </c>
      <c r="AO100">
        <v>0.5</v>
      </c>
      <c r="AP100" t="s">
        <v>331</v>
      </c>
      <c r="AQ100">
        <v>2</v>
      </c>
      <c r="AR100">
        <v>1773201072.599999</v>
      </c>
      <c r="AS100">
        <v>428.3554838709678</v>
      </c>
      <c r="AT100">
        <v>426.376935483871</v>
      </c>
      <c r="AU100">
        <v>11.35138387096774</v>
      </c>
      <c r="AV100">
        <v>10.96671612903226</v>
      </c>
      <c r="AW100">
        <v>422.1240967741936</v>
      </c>
      <c r="AX100">
        <v>11.27079032258064</v>
      </c>
      <c r="AY100">
        <v>500.0190967741935</v>
      </c>
      <c r="AZ100">
        <v>100.1968387096774</v>
      </c>
      <c r="BA100">
        <v>0.04495820967741936</v>
      </c>
      <c r="BB100">
        <v>30.82997741935484</v>
      </c>
      <c r="BC100">
        <v>31.03494193548388</v>
      </c>
      <c r="BD100">
        <v>999.9000000000003</v>
      </c>
      <c r="BE100">
        <v>0</v>
      </c>
      <c r="BF100">
        <v>0</v>
      </c>
      <c r="BG100">
        <v>5002.354838709677</v>
      </c>
      <c r="BH100">
        <v>1.419285161290323</v>
      </c>
      <c r="BI100">
        <v>2153.406451612903</v>
      </c>
      <c r="BJ100">
        <v>1.978501612903226</v>
      </c>
      <c r="BK100">
        <v>433.2737096774194</v>
      </c>
      <c r="BL100">
        <v>431.1047741935484</v>
      </c>
      <c r="BM100">
        <v>0.384663</v>
      </c>
      <c r="BN100">
        <v>426.376935483871</v>
      </c>
      <c r="BO100">
        <v>10.96671612903226</v>
      </c>
      <c r="BP100">
        <v>1.137371612903226</v>
      </c>
      <c r="BQ100">
        <v>1.09883064516129</v>
      </c>
      <c r="BR100">
        <v>8.806112903225808</v>
      </c>
      <c r="BS100">
        <v>8.297177096774192</v>
      </c>
      <c r="BT100">
        <v>0</v>
      </c>
      <c r="BU100">
        <v>0</v>
      </c>
      <c r="BV100">
        <v>0</v>
      </c>
      <c r="BW100">
        <v>35.1516064516129</v>
      </c>
      <c r="BX100">
        <v>53.8967677419355</v>
      </c>
      <c r="BY100">
        <v>1773196010</v>
      </c>
      <c r="BZ100" t="s">
        <v>332</v>
      </c>
      <c r="CA100">
        <v>1773196010</v>
      </c>
      <c r="CB100">
        <v>1773196005.5</v>
      </c>
      <c r="CC100">
        <v>2</v>
      </c>
      <c r="CD100">
        <v>-0.279</v>
      </c>
      <c r="CE100">
        <v>-0.021</v>
      </c>
      <c r="CF100">
        <v>6.231</v>
      </c>
      <c r="CG100">
        <v>0.081</v>
      </c>
      <c r="CH100">
        <v>432</v>
      </c>
      <c r="CI100">
        <v>21</v>
      </c>
      <c r="CJ100">
        <v>0.03</v>
      </c>
      <c r="CK100">
        <v>0.06</v>
      </c>
      <c r="CL100">
        <v>426.3769</v>
      </c>
      <c r="CM100">
        <v>0.1484582869853323</v>
      </c>
      <c r="CN100">
        <v>0.0146226992492269</v>
      </c>
      <c r="CO100">
        <v>-1</v>
      </c>
      <c r="CP100">
        <v>500.0191666666666</v>
      </c>
      <c r="CQ100">
        <v>-0.1692814238037796</v>
      </c>
      <c r="CR100">
        <v>0.0487565949955056</v>
      </c>
      <c r="CS100">
        <v>-1</v>
      </c>
      <c r="CT100">
        <v>0</v>
      </c>
      <c r="CU100">
        <v>0</v>
      </c>
      <c r="CV100" t="s">
        <v>333</v>
      </c>
      <c r="CW100">
        <v>3.17073</v>
      </c>
      <c r="CX100">
        <v>2.6663</v>
      </c>
      <c r="CY100">
        <v>0.100209</v>
      </c>
      <c r="CZ100">
        <v>0.101013</v>
      </c>
      <c r="DA100">
        <v>0.0642253</v>
      </c>
      <c r="DB100">
        <v>0.0626502</v>
      </c>
      <c r="DC100">
        <v>21314.9</v>
      </c>
      <c r="DD100">
        <v>21872</v>
      </c>
      <c r="DE100">
        <v>22839</v>
      </c>
      <c r="DF100">
        <v>22274.9</v>
      </c>
      <c r="DG100">
        <v>32320</v>
      </c>
      <c r="DH100">
        <v>29414.1</v>
      </c>
      <c r="DI100">
        <v>40197.7</v>
      </c>
      <c r="DJ100">
        <v>36845</v>
      </c>
      <c r="DK100">
        <v>2.02712</v>
      </c>
      <c r="DL100">
        <v>1.5054</v>
      </c>
      <c r="DM100">
        <v>-0.0714272</v>
      </c>
      <c r="DN100">
        <v>0</v>
      </c>
      <c r="DO100">
        <v>32.1861</v>
      </c>
      <c r="DP100">
        <v>999.9</v>
      </c>
      <c r="DQ100">
        <v>26</v>
      </c>
      <c r="DR100">
        <v>44.7</v>
      </c>
      <c r="DS100">
        <v>24.624</v>
      </c>
      <c r="DT100">
        <v>30.1191</v>
      </c>
      <c r="DU100">
        <v>13.9784</v>
      </c>
      <c r="DV100">
        <v>1</v>
      </c>
      <c r="DW100">
        <v>0.876085</v>
      </c>
      <c r="DX100">
        <v>3.99472</v>
      </c>
      <c r="DY100">
        <v>20.3053</v>
      </c>
      <c r="DZ100">
        <v>5.2095</v>
      </c>
      <c r="EA100">
        <v>11.8544</v>
      </c>
      <c r="EB100">
        <v>4.96724</v>
      </c>
      <c r="EC100">
        <v>3.29296</v>
      </c>
      <c r="ED100">
        <v>879.4</v>
      </c>
      <c r="EE100">
        <v>9999</v>
      </c>
      <c r="EF100">
        <v>9999</v>
      </c>
      <c r="EG100">
        <v>77.40000000000001</v>
      </c>
      <c r="EH100">
        <v>4.9716</v>
      </c>
      <c r="EI100">
        <v>1.8721</v>
      </c>
      <c r="EJ100">
        <v>1.86951</v>
      </c>
      <c r="EK100">
        <v>1.8718</v>
      </c>
      <c r="EL100">
        <v>1.86957</v>
      </c>
      <c r="EM100">
        <v>1.86843</v>
      </c>
      <c r="EN100">
        <v>1.87021</v>
      </c>
      <c r="EO100">
        <v>1.87195</v>
      </c>
      <c r="EP100">
        <v>0</v>
      </c>
      <c r="EQ100">
        <v>0</v>
      </c>
      <c r="ER100">
        <v>0</v>
      </c>
      <c r="ES100">
        <v>0</v>
      </c>
      <c r="ET100" t="s">
        <v>334</v>
      </c>
      <c r="EU100" t="s">
        <v>335</v>
      </c>
      <c r="EV100" t="s">
        <v>336</v>
      </c>
      <c r="EW100" t="s">
        <v>336</v>
      </c>
      <c r="EX100" t="s">
        <v>336</v>
      </c>
      <c r="EY100" t="s">
        <v>336</v>
      </c>
      <c r="EZ100">
        <v>0</v>
      </c>
      <c r="FA100">
        <v>100</v>
      </c>
      <c r="FB100">
        <v>100</v>
      </c>
      <c r="FC100">
        <v>6.231</v>
      </c>
      <c r="FD100">
        <v>0.0806</v>
      </c>
      <c r="FE100">
        <v>6.23135000000002</v>
      </c>
      <c r="FF100">
        <v>0</v>
      </c>
      <c r="FG100">
        <v>0</v>
      </c>
      <c r="FH100">
        <v>0</v>
      </c>
      <c r="FI100">
        <v>0.08059047619047632</v>
      </c>
      <c r="FJ100">
        <v>0</v>
      </c>
      <c r="FK100">
        <v>0</v>
      </c>
      <c r="FL100">
        <v>0</v>
      </c>
      <c r="FM100">
        <v>-1</v>
      </c>
      <c r="FN100">
        <v>-1</v>
      </c>
      <c r="FO100">
        <v>-1</v>
      </c>
      <c r="FP100">
        <v>-1</v>
      </c>
      <c r="FQ100">
        <v>84.5</v>
      </c>
      <c r="FR100">
        <v>84.59999999999999</v>
      </c>
      <c r="FS100">
        <v>0.141602</v>
      </c>
      <c r="FT100">
        <v>4.99756</v>
      </c>
      <c r="FU100">
        <v>1.5979</v>
      </c>
      <c r="FV100">
        <v>2.11182</v>
      </c>
      <c r="FW100">
        <v>1.54785</v>
      </c>
      <c r="FX100">
        <v>2.47559</v>
      </c>
      <c r="FY100">
        <v>47.0337</v>
      </c>
      <c r="FZ100">
        <v>15.7957</v>
      </c>
      <c r="GA100">
        <v>3</v>
      </c>
      <c r="GB100">
        <v>519.771</v>
      </c>
      <c r="GC100">
        <v>292.637</v>
      </c>
      <c r="GD100">
        <v>27.598</v>
      </c>
      <c r="GE100">
        <v>37.7285</v>
      </c>
      <c r="GF100">
        <v>30.0003</v>
      </c>
      <c r="GG100">
        <v>37.6529</v>
      </c>
      <c r="GH100">
        <v>37.6513</v>
      </c>
      <c r="GI100">
        <v>-1</v>
      </c>
      <c r="GJ100">
        <v>100</v>
      </c>
      <c r="GK100">
        <v>0</v>
      </c>
      <c r="GL100">
        <v>27.5843</v>
      </c>
      <c r="GM100">
        <v>1200</v>
      </c>
      <c r="GN100">
        <v>19.4378</v>
      </c>
      <c r="GO100">
        <v>101.13</v>
      </c>
      <c r="GP100">
        <v>96.2114</v>
      </c>
    </row>
    <row r="101" spans="1:198">
      <c r="A101">
        <v>85</v>
      </c>
      <c r="B101">
        <v>1773201140.6</v>
      </c>
      <c r="C101">
        <v>5040.599999904633</v>
      </c>
      <c r="D101" t="s">
        <v>503</v>
      </c>
      <c r="E101" t="s">
        <v>504</v>
      </c>
      <c r="F101">
        <v>15</v>
      </c>
      <c r="G101">
        <v>1773201132.599999</v>
      </c>
      <c r="H101">
        <f>(I101)/1000</f>
        <v>0</v>
      </c>
      <c r="I101">
        <f>1000*AY101*AG101*(AU101-AV101)/(100*AN101*(1000-AG101*AU101))</f>
        <v>0</v>
      </c>
      <c r="J101">
        <f>AY101*AG101*(AT101-AS101*(1000-AG101*AV101)/(1000-AG101*AU101))/(100*AN101)</f>
        <v>0</v>
      </c>
      <c r="K101">
        <f>AS101 - IF(AG101&gt;1, J101*AN101*100.0/(AI101), 0)</f>
        <v>0</v>
      </c>
      <c r="L101">
        <f>((R101-H101/2)*K101-J101)/(R101+H101/2)</f>
        <v>0</v>
      </c>
      <c r="M101">
        <f>L101*(AZ101+BA101)/1000.0</f>
        <v>0</v>
      </c>
      <c r="N101">
        <f>(AS101 - IF(AG101&gt;1, J101*AN101*100.0/(AI101), 0))*(AZ101+BA101)/1000.0</f>
        <v>0</v>
      </c>
      <c r="O101">
        <f>2.0/((1/Q101-1/P101)+SIGN(Q101)*SQRT((1/Q101-1/P101)*(1/Q101-1/P101) + 4*AO101/((AO101+1)*(AO101+1))*(2*1/Q101*1/P101-1/P101*1/P101)))</f>
        <v>0</v>
      </c>
      <c r="P101">
        <f>IF(LEFT(AP101,1)&lt;&gt;"0",IF(LEFT(AP101,1)="1",3.0,AQ101),$D$5+$E$5*(BG101*AZ101/($K$5*1000))+$F$5*(BG101*AZ101/($K$5*1000))*MAX(MIN(AN101,$J$5),$I$5)*MAX(MIN(AN101,$J$5),$I$5)+$G$5*MAX(MIN(AN101,$J$5),$I$5)*(BG101*AZ101/($K$5*1000))+$H$5*(BG101*AZ101/($K$5*1000))*(BG101*AZ101/($K$5*1000)))</f>
        <v>0</v>
      </c>
      <c r="Q101">
        <f>H101*(1000-(1000*0.61365*exp(17.502*U101/(240.97+U101))/(AZ101+BA101)+AU101)/2)/(1000*0.61365*exp(17.502*U101/(240.97+U101))/(AZ101+BA101)-AU101)</f>
        <v>0</v>
      </c>
      <c r="R101">
        <f>1/((AO101+1)/(O101/1.6)+1/(P101/1.37)) + AO101/((AO101+1)/(O101/1.6) + AO101/(P101/1.37))</f>
        <v>0</v>
      </c>
      <c r="S101">
        <f>(AJ101*AM101)</f>
        <v>0</v>
      </c>
      <c r="T101">
        <f>(BB101+(S101+2*0.95*5.67E-8*(((BB101+$B$7)+273)^4-(BB101+273)^4)-44100*H101)/(1.84*29.3*P101+8*0.95*5.67E-8*(BB101+273)^3))</f>
        <v>0</v>
      </c>
      <c r="U101">
        <f>($C$7*BC101+$D$7*BD101+$E$7*T101)</f>
        <v>0</v>
      </c>
      <c r="V101">
        <f>0.61365*exp(17.502*U101/(240.97+U101))</f>
        <v>0</v>
      </c>
      <c r="W101">
        <f>(X101/Y101*100)</f>
        <v>0</v>
      </c>
      <c r="X101">
        <f>AU101*(AZ101+BA101)/1000</f>
        <v>0</v>
      </c>
      <c r="Y101">
        <f>0.61365*exp(17.502*BB101/(240.97+BB101))</f>
        <v>0</v>
      </c>
      <c r="Z101">
        <f>(V101-AU101*(AZ101+BA101)/1000)</f>
        <v>0</v>
      </c>
      <c r="AA101">
        <f>(-H101*44100)</f>
        <v>0</v>
      </c>
      <c r="AB101">
        <f>2*29.3*P101*0.92*(BB101-U101)</f>
        <v>0</v>
      </c>
      <c r="AC101">
        <f>2*0.95*5.67E-8*(((BB101+$B$7)+273)^4-(U101+273)^4)</f>
        <v>0</v>
      </c>
      <c r="AD101">
        <f>S101+AC101+AA101+AB101</f>
        <v>0</v>
      </c>
      <c r="AE101">
        <v>0</v>
      </c>
      <c r="AF101">
        <v>0</v>
      </c>
      <c r="AG101">
        <f>IF(AE101*$H$13&gt;=AI101,1.0,(AI101/(AI101-AE101*$H$13)))</f>
        <v>0</v>
      </c>
      <c r="AH101">
        <f>(AG101-1)*100</f>
        <v>0</v>
      </c>
      <c r="AI101">
        <f>MAX(0,($B$13+$C$13*BG101)/(1+$D$13*BG101)*AZ101/(BB101+273)*$E$13)</f>
        <v>0</v>
      </c>
      <c r="AJ101">
        <f>$B$11*BH101+$C$11*BI101+$D$11*BT101</f>
        <v>0</v>
      </c>
      <c r="AK101">
        <f>AJ101*AL101</f>
        <v>0</v>
      </c>
      <c r="AL101">
        <f>($B$11*$D$9+$C$11*$D$9+$D$11*(BU101*$E$9+BV101*$G$9))/($B$11+$C$11+$D$11)</f>
        <v>0</v>
      </c>
      <c r="AM101">
        <f>($B$11*$K$9+$C$11*$K$9+$D$11*(BU101*$L$9+BV101*$N$9))/($B$11+$C$11+$D$11)</f>
        <v>0</v>
      </c>
      <c r="AN101">
        <v>3</v>
      </c>
      <c r="AO101">
        <v>0.5</v>
      </c>
      <c r="AP101" t="s">
        <v>331</v>
      </c>
      <c r="AQ101">
        <v>2</v>
      </c>
      <c r="AR101">
        <v>1773201132.599999</v>
      </c>
      <c r="AS101">
        <v>428.1821290322581</v>
      </c>
      <c r="AT101">
        <v>426.0921935483872</v>
      </c>
      <c r="AU101">
        <v>11.41335161290322</v>
      </c>
      <c r="AV101">
        <v>11.04898064516129</v>
      </c>
      <c r="AW101">
        <v>421.9507096774194</v>
      </c>
      <c r="AX101">
        <v>11.33276129032258</v>
      </c>
      <c r="AY101">
        <v>500.0406774193548</v>
      </c>
      <c r="AZ101">
        <v>100.1933225806452</v>
      </c>
      <c r="BA101">
        <v>0.04598055483870967</v>
      </c>
      <c r="BB101">
        <v>30.79463225806452</v>
      </c>
      <c r="BC101">
        <v>31.01305483870967</v>
      </c>
      <c r="BD101">
        <v>999.9000000000003</v>
      </c>
      <c r="BE101">
        <v>0</v>
      </c>
      <c r="BF101">
        <v>0</v>
      </c>
      <c r="BG101">
        <v>5000.032258064516</v>
      </c>
      <c r="BH101">
        <v>1.403440967741935</v>
      </c>
      <c r="BI101">
        <v>2149.862580645161</v>
      </c>
      <c r="BJ101">
        <v>2.089875483870967</v>
      </c>
      <c r="BK101">
        <v>433.1255161290322</v>
      </c>
      <c r="BL101">
        <v>430.8527741935484</v>
      </c>
      <c r="BM101">
        <v>0.3643675161290322</v>
      </c>
      <c r="BN101">
        <v>426.0921935483872</v>
      </c>
      <c r="BO101">
        <v>11.04898064516129</v>
      </c>
      <c r="BP101">
        <v>1.143540967741936</v>
      </c>
      <c r="BQ101">
        <v>1.107033225806452</v>
      </c>
      <c r="BR101">
        <v>8.886148387096775</v>
      </c>
      <c r="BS101">
        <v>8.406803225806453</v>
      </c>
      <c r="BT101">
        <v>0</v>
      </c>
      <c r="BU101">
        <v>0</v>
      </c>
      <c r="BV101">
        <v>0</v>
      </c>
      <c r="BW101">
        <v>35.18709354838711</v>
      </c>
      <c r="BX101">
        <v>53.87097096774194</v>
      </c>
      <c r="BY101">
        <v>1773196010</v>
      </c>
      <c r="BZ101" t="s">
        <v>332</v>
      </c>
      <c r="CA101">
        <v>1773196010</v>
      </c>
      <c r="CB101">
        <v>1773196005.5</v>
      </c>
      <c r="CC101">
        <v>2</v>
      </c>
      <c r="CD101">
        <v>-0.279</v>
      </c>
      <c r="CE101">
        <v>-0.021</v>
      </c>
      <c r="CF101">
        <v>6.231</v>
      </c>
      <c r="CG101">
        <v>0.081</v>
      </c>
      <c r="CH101">
        <v>432</v>
      </c>
      <c r="CI101">
        <v>21</v>
      </c>
      <c r="CJ101">
        <v>0.03</v>
      </c>
      <c r="CK101">
        <v>0.06</v>
      </c>
      <c r="CL101">
        <v>426.0977666666667</v>
      </c>
      <c r="CM101">
        <v>-0.7429855394869715</v>
      </c>
      <c r="CN101">
        <v>0.05611279315410774</v>
      </c>
      <c r="CO101">
        <v>-1</v>
      </c>
      <c r="CP101">
        <v>500.0433</v>
      </c>
      <c r="CQ101">
        <v>-0.3764983314795262</v>
      </c>
      <c r="CR101">
        <v>0.06963052491544126</v>
      </c>
      <c r="CS101">
        <v>-1</v>
      </c>
      <c r="CT101">
        <v>0</v>
      </c>
      <c r="CU101">
        <v>0</v>
      </c>
      <c r="CV101" t="s">
        <v>333</v>
      </c>
      <c r="CW101">
        <v>3.17091</v>
      </c>
      <c r="CX101">
        <v>2.66716</v>
      </c>
      <c r="CY101">
        <v>0.100148</v>
      </c>
      <c r="CZ101">
        <v>0.100948</v>
      </c>
      <c r="DA101">
        <v>0.06450400000000001</v>
      </c>
      <c r="DB101">
        <v>0.0629921</v>
      </c>
      <c r="DC101">
        <v>21315.6</v>
      </c>
      <c r="DD101">
        <v>21873.2</v>
      </c>
      <c r="DE101">
        <v>22838.3</v>
      </c>
      <c r="DF101">
        <v>22274.7</v>
      </c>
      <c r="DG101">
        <v>32309.5</v>
      </c>
      <c r="DH101">
        <v>29402.9</v>
      </c>
      <c r="DI101">
        <v>40196.7</v>
      </c>
      <c r="DJ101">
        <v>36844.4</v>
      </c>
      <c r="DK101">
        <v>2.0273</v>
      </c>
      <c r="DL101">
        <v>1.5043</v>
      </c>
      <c r="DM101">
        <v>-0.07631780000000001</v>
      </c>
      <c r="DN101">
        <v>0</v>
      </c>
      <c r="DO101">
        <v>32.2521</v>
      </c>
      <c r="DP101">
        <v>999.9</v>
      </c>
      <c r="DQ101">
        <v>25.6</v>
      </c>
      <c r="DR101">
        <v>44.7</v>
      </c>
      <c r="DS101">
        <v>24.2482</v>
      </c>
      <c r="DT101">
        <v>29.9691</v>
      </c>
      <c r="DU101">
        <v>14.2628</v>
      </c>
      <c r="DV101">
        <v>1</v>
      </c>
      <c r="DW101">
        <v>0.8726</v>
      </c>
      <c r="DX101">
        <v>3.35646</v>
      </c>
      <c r="DY101">
        <v>20.3234</v>
      </c>
      <c r="DZ101">
        <v>5.20974</v>
      </c>
      <c r="EA101">
        <v>11.8555</v>
      </c>
      <c r="EB101">
        <v>4.9672</v>
      </c>
      <c r="EC101">
        <v>3.29298</v>
      </c>
      <c r="ED101">
        <v>879.4</v>
      </c>
      <c r="EE101">
        <v>9999</v>
      </c>
      <c r="EF101">
        <v>9999</v>
      </c>
      <c r="EG101">
        <v>77.40000000000001</v>
      </c>
      <c r="EH101">
        <v>4.9716</v>
      </c>
      <c r="EI101">
        <v>1.8721</v>
      </c>
      <c r="EJ101">
        <v>1.8695</v>
      </c>
      <c r="EK101">
        <v>1.8718</v>
      </c>
      <c r="EL101">
        <v>1.86958</v>
      </c>
      <c r="EM101">
        <v>1.86843</v>
      </c>
      <c r="EN101">
        <v>1.87026</v>
      </c>
      <c r="EO101">
        <v>1.87196</v>
      </c>
      <c r="EP101">
        <v>0</v>
      </c>
      <c r="EQ101">
        <v>0</v>
      </c>
      <c r="ER101">
        <v>0</v>
      </c>
      <c r="ES101">
        <v>0</v>
      </c>
      <c r="ET101" t="s">
        <v>334</v>
      </c>
      <c r="EU101" t="s">
        <v>335</v>
      </c>
      <c r="EV101" t="s">
        <v>336</v>
      </c>
      <c r="EW101" t="s">
        <v>336</v>
      </c>
      <c r="EX101" t="s">
        <v>336</v>
      </c>
      <c r="EY101" t="s">
        <v>336</v>
      </c>
      <c r="EZ101">
        <v>0</v>
      </c>
      <c r="FA101">
        <v>100</v>
      </c>
      <c r="FB101">
        <v>100</v>
      </c>
      <c r="FC101">
        <v>6.232</v>
      </c>
      <c r="FD101">
        <v>0.0805</v>
      </c>
      <c r="FE101">
        <v>6.23135000000002</v>
      </c>
      <c r="FF101">
        <v>0</v>
      </c>
      <c r="FG101">
        <v>0</v>
      </c>
      <c r="FH101">
        <v>0</v>
      </c>
      <c r="FI101">
        <v>0.08059047619047632</v>
      </c>
      <c r="FJ101">
        <v>0</v>
      </c>
      <c r="FK101">
        <v>0</v>
      </c>
      <c r="FL101">
        <v>0</v>
      </c>
      <c r="FM101">
        <v>-1</v>
      </c>
      <c r="FN101">
        <v>-1</v>
      </c>
      <c r="FO101">
        <v>-1</v>
      </c>
      <c r="FP101">
        <v>-1</v>
      </c>
      <c r="FQ101">
        <v>85.5</v>
      </c>
      <c r="FR101">
        <v>85.59999999999999</v>
      </c>
      <c r="FS101">
        <v>0.141602</v>
      </c>
      <c r="FT101">
        <v>4.99756</v>
      </c>
      <c r="FU101">
        <v>1.5979</v>
      </c>
      <c r="FV101">
        <v>2.1106</v>
      </c>
      <c r="FW101">
        <v>1.54785</v>
      </c>
      <c r="FX101">
        <v>2.37549</v>
      </c>
      <c r="FY101">
        <v>47.0634</v>
      </c>
      <c r="FZ101">
        <v>15.7869</v>
      </c>
      <c r="GA101">
        <v>3</v>
      </c>
      <c r="GB101">
        <v>519.96</v>
      </c>
      <c r="GC101">
        <v>292.149</v>
      </c>
      <c r="GD101">
        <v>27.6053</v>
      </c>
      <c r="GE101">
        <v>37.75</v>
      </c>
      <c r="GF101">
        <v>29.9978</v>
      </c>
      <c r="GG101">
        <v>37.6636</v>
      </c>
      <c r="GH101">
        <v>37.6586</v>
      </c>
      <c r="GI101">
        <v>-1</v>
      </c>
      <c r="GJ101">
        <v>100</v>
      </c>
      <c r="GK101">
        <v>0</v>
      </c>
      <c r="GL101">
        <v>27.6227</v>
      </c>
      <c r="GM101">
        <v>1200</v>
      </c>
      <c r="GN101">
        <v>19.4378</v>
      </c>
      <c r="GO101">
        <v>101.127</v>
      </c>
      <c r="GP101">
        <v>96.2098</v>
      </c>
    </row>
    <row r="102" spans="1:198">
      <c r="A102">
        <v>86</v>
      </c>
      <c r="B102">
        <v>1773201200.6</v>
      </c>
      <c r="C102">
        <v>5100.599999904633</v>
      </c>
      <c r="D102" t="s">
        <v>505</v>
      </c>
      <c r="E102" t="s">
        <v>506</v>
      </c>
      <c r="F102">
        <v>15</v>
      </c>
      <c r="G102">
        <v>1773201192.599999</v>
      </c>
      <c r="H102">
        <f>(I102)/1000</f>
        <v>0</v>
      </c>
      <c r="I102">
        <f>1000*AY102*AG102*(AU102-AV102)/(100*AN102*(1000-AG102*AU102))</f>
        <v>0</v>
      </c>
      <c r="J102">
        <f>AY102*AG102*(AT102-AS102*(1000-AG102*AV102)/(1000-AG102*AU102))/(100*AN102)</f>
        <v>0</v>
      </c>
      <c r="K102">
        <f>AS102 - IF(AG102&gt;1, J102*AN102*100.0/(AI102), 0)</f>
        <v>0</v>
      </c>
      <c r="L102">
        <f>((R102-H102/2)*K102-J102)/(R102+H102/2)</f>
        <v>0</v>
      </c>
      <c r="M102">
        <f>L102*(AZ102+BA102)/1000.0</f>
        <v>0</v>
      </c>
      <c r="N102">
        <f>(AS102 - IF(AG102&gt;1, J102*AN102*100.0/(AI102), 0))*(AZ102+BA102)/1000.0</f>
        <v>0</v>
      </c>
      <c r="O102">
        <f>2.0/((1/Q102-1/P102)+SIGN(Q102)*SQRT((1/Q102-1/P102)*(1/Q102-1/P102) + 4*AO102/((AO102+1)*(AO102+1))*(2*1/Q102*1/P102-1/P102*1/P102)))</f>
        <v>0</v>
      </c>
      <c r="P102">
        <f>IF(LEFT(AP102,1)&lt;&gt;"0",IF(LEFT(AP102,1)="1",3.0,AQ102),$D$5+$E$5*(BG102*AZ102/($K$5*1000))+$F$5*(BG102*AZ102/($K$5*1000))*MAX(MIN(AN102,$J$5),$I$5)*MAX(MIN(AN102,$J$5),$I$5)+$G$5*MAX(MIN(AN102,$J$5),$I$5)*(BG102*AZ102/($K$5*1000))+$H$5*(BG102*AZ102/($K$5*1000))*(BG102*AZ102/($K$5*1000)))</f>
        <v>0</v>
      </c>
      <c r="Q102">
        <f>H102*(1000-(1000*0.61365*exp(17.502*U102/(240.97+U102))/(AZ102+BA102)+AU102)/2)/(1000*0.61365*exp(17.502*U102/(240.97+U102))/(AZ102+BA102)-AU102)</f>
        <v>0</v>
      </c>
      <c r="R102">
        <f>1/((AO102+1)/(O102/1.6)+1/(P102/1.37)) + AO102/((AO102+1)/(O102/1.6) + AO102/(P102/1.37))</f>
        <v>0</v>
      </c>
      <c r="S102">
        <f>(AJ102*AM102)</f>
        <v>0</v>
      </c>
      <c r="T102">
        <f>(BB102+(S102+2*0.95*5.67E-8*(((BB102+$B$7)+273)^4-(BB102+273)^4)-44100*H102)/(1.84*29.3*P102+8*0.95*5.67E-8*(BB102+273)^3))</f>
        <v>0</v>
      </c>
      <c r="U102">
        <f>($C$7*BC102+$D$7*BD102+$E$7*T102)</f>
        <v>0</v>
      </c>
      <c r="V102">
        <f>0.61365*exp(17.502*U102/(240.97+U102))</f>
        <v>0</v>
      </c>
      <c r="W102">
        <f>(X102/Y102*100)</f>
        <v>0</v>
      </c>
      <c r="X102">
        <f>AU102*(AZ102+BA102)/1000</f>
        <v>0</v>
      </c>
      <c r="Y102">
        <f>0.61365*exp(17.502*BB102/(240.97+BB102))</f>
        <v>0</v>
      </c>
      <c r="Z102">
        <f>(V102-AU102*(AZ102+BA102)/1000)</f>
        <v>0</v>
      </c>
      <c r="AA102">
        <f>(-H102*44100)</f>
        <v>0</v>
      </c>
      <c r="AB102">
        <f>2*29.3*P102*0.92*(BB102-U102)</f>
        <v>0</v>
      </c>
      <c r="AC102">
        <f>2*0.95*5.67E-8*(((BB102+$B$7)+273)^4-(U102+273)^4)</f>
        <v>0</v>
      </c>
      <c r="AD102">
        <f>S102+AC102+AA102+AB102</f>
        <v>0</v>
      </c>
      <c r="AE102">
        <v>0</v>
      </c>
      <c r="AF102">
        <v>0</v>
      </c>
      <c r="AG102">
        <f>IF(AE102*$H$13&gt;=AI102,1.0,(AI102/(AI102-AE102*$H$13)))</f>
        <v>0</v>
      </c>
      <c r="AH102">
        <f>(AG102-1)*100</f>
        <v>0</v>
      </c>
      <c r="AI102">
        <f>MAX(0,($B$13+$C$13*BG102)/(1+$D$13*BG102)*AZ102/(BB102+273)*$E$13)</f>
        <v>0</v>
      </c>
      <c r="AJ102">
        <f>$B$11*BH102+$C$11*BI102+$D$11*BT102</f>
        <v>0</v>
      </c>
      <c r="AK102">
        <f>AJ102*AL102</f>
        <v>0</v>
      </c>
      <c r="AL102">
        <f>($B$11*$D$9+$C$11*$D$9+$D$11*(BU102*$E$9+BV102*$G$9))/($B$11+$C$11+$D$11)</f>
        <v>0</v>
      </c>
      <c r="AM102">
        <f>($B$11*$K$9+$C$11*$K$9+$D$11*(BU102*$L$9+BV102*$N$9))/($B$11+$C$11+$D$11)</f>
        <v>0</v>
      </c>
      <c r="AN102">
        <v>3</v>
      </c>
      <c r="AO102">
        <v>0.5</v>
      </c>
      <c r="AP102" t="s">
        <v>331</v>
      </c>
      <c r="AQ102">
        <v>2</v>
      </c>
      <c r="AR102">
        <v>1773201192.599999</v>
      </c>
      <c r="AS102">
        <v>427.9472903225806</v>
      </c>
      <c r="AT102">
        <v>425.8762258064516</v>
      </c>
      <c r="AU102">
        <v>11.46779032258065</v>
      </c>
      <c r="AV102">
        <v>11.11548064516129</v>
      </c>
      <c r="AW102">
        <v>421.7159677419355</v>
      </c>
      <c r="AX102">
        <v>11.3871935483871</v>
      </c>
      <c r="AY102">
        <v>500.0502580645162</v>
      </c>
      <c r="AZ102">
        <v>100.1917096774194</v>
      </c>
      <c r="BA102">
        <v>0.04584429032258065</v>
      </c>
      <c r="BB102">
        <v>30.7993870967742</v>
      </c>
      <c r="BC102">
        <v>31.03208709677419</v>
      </c>
      <c r="BD102">
        <v>999.9000000000003</v>
      </c>
      <c r="BE102">
        <v>0</v>
      </c>
      <c r="BF102">
        <v>0</v>
      </c>
      <c r="BG102">
        <v>5006.66129032258</v>
      </c>
      <c r="BH102">
        <v>1.387382903225806</v>
      </c>
      <c r="BI102">
        <v>2133.472580645161</v>
      </c>
      <c r="BJ102">
        <v>2.07112</v>
      </c>
      <c r="BK102">
        <v>432.9119354838709</v>
      </c>
      <c r="BL102">
        <v>430.6632580645161</v>
      </c>
      <c r="BM102">
        <v>0.3523065483870967</v>
      </c>
      <c r="BN102">
        <v>425.8762258064516</v>
      </c>
      <c r="BO102">
        <v>11.11548064516129</v>
      </c>
      <c r="BP102">
        <v>1.148979032258064</v>
      </c>
      <c r="BQ102">
        <v>1.11368064516129</v>
      </c>
      <c r="BR102">
        <v>8.956393870967743</v>
      </c>
      <c r="BS102">
        <v>8.495107419354838</v>
      </c>
      <c r="BT102">
        <v>0</v>
      </c>
      <c r="BU102">
        <v>0</v>
      </c>
      <c r="BV102">
        <v>0</v>
      </c>
      <c r="BW102">
        <v>36</v>
      </c>
      <c r="BX102">
        <v>53</v>
      </c>
      <c r="BY102">
        <v>1773196010</v>
      </c>
      <c r="BZ102" t="s">
        <v>332</v>
      </c>
      <c r="CA102">
        <v>1773196010</v>
      </c>
      <c r="CB102">
        <v>1773196005.5</v>
      </c>
      <c r="CC102">
        <v>2</v>
      </c>
      <c r="CD102">
        <v>-0.279</v>
      </c>
      <c r="CE102">
        <v>-0.021</v>
      </c>
      <c r="CF102">
        <v>6.231</v>
      </c>
      <c r="CG102">
        <v>0.081</v>
      </c>
      <c r="CH102">
        <v>432</v>
      </c>
      <c r="CI102">
        <v>21</v>
      </c>
      <c r="CJ102">
        <v>0.03</v>
      </c>
      <c r="CK102">
        <v>0.06</v>
      </c>
      <c r="CL102">
        <v>425.8763548387097</v>
      </c>
      <c r="CM102">
        <v>0.1301612903210224</v>
      </c>
      <c r="CN102">
        <v>0.02599695811870635</v>
      </c>
      <c r="CO102">
        <v>-1</v>
      </c>
      <c r="CP102">
        <v>500.046806451613</v>
      </c>
      <c r="CQ102">
        <v>0.5330322580642234</v>
      </c>
      <c r="CR102">
        <v>0.05505271336364232</v>
      </c>
      <c r="CS102">
        <v>-1</v>
      </c>
      <c r="CT102">
        <v>0</v>
      </c>
      <c r="CU102">
        <v>0</v>
      </c>
      <c r="CV102" t="s">
        <v>333</v>
      </c>
      <c r="CW102">
        <v>3.17083</v>
      </c>
      <c r="CX102">
        <v>2.66702</v>
      </c>
      <c r="CY102">
        <v>0.100116</v>
      </c>
      <c r="CZ102">
        <v>0.100918</v>
      </c>
      <c r="DA102">
        <v>0.0647377</v>
      </c>
      <c r="DB102">
        <v>0.06329600000000001</v>
      </c>
      <c r="DC102">
        <v>21315.6</v>
      </c>
      <c r="DD102">
        <v>21873.3</v>
      </c>
      <c r="DE102">
        <v>22837.5</v>
      </c>
      <c r="DF102">
        <v>22274</v>
      </c>
      <c r="DG102">
        <v>32300.4</v>
      </c>
      <c r="DH102">
        <v>29392.5</v>
      </c>
      <c r="DI102">
        <v>40195.3</v>
      </c>
      <c r="DJ102">
        <v>36843.4</v>
      </c>
      <c r="DK102">
        <v>2.02722</v>
      </c>
      <c r="DL102">
        <v>1.50402</v>
      </c>
      <c r="DM102">
        <v>-0.0762582</v>
      </c>
      <c r="DN102">
        <v>0</v>
      </c>
      <c r="DO102">
        <v>32.2622</v>
      </c>
      <c r="DP102">
        <v>999.9</v>
      </c>
      <c r="DQ102">
        <v>25.5</v>
      </c>
      <c r="DR102">
        <v>44.8</v>
      </c>
      <c r="DS102">
        <v>24.2803</v>
      </c>
      <c r="DT102">
        <v>29.6691</v>
      </c>
      <c r="DU102">
        <v>14.1987</v>
      </c>
      <c r="DV102">
        <v>1</v>
      </c>
      <c r="DW102">
        <v>0.878252</v>
      </c>
      <c r="DX102">
        <v>3.82243</v>
      </c>
      <c r="DY102">
        <v>20.3104</v>
      </c>
      <c r="DZ102">
        <v>5.20914</v>
      </c>
      <c r="EA102">
        <v>11.855</v>
      </c>
      <c r="EB102">
        <v>4.96708</v>
      </c>
      <c r="EC102">
        <v>3.29298</v>
      </c>
      <c r="ED102">
        <v>879.4</v>
      </c>
      <c r="EE102">
        <v>9999</v>
      </c>
      <c r="EF102">
        <v>9999</v>
      </c>
      <c r="EG102">
        <v>77.40000000000001</v>
      </c>
      <c r="EH102">
        <v>4.97161</v>
      </c>
      <c r="EI102">
        <v>1.8721</v>
      </c>
      <c r="EJ102">
        <v>1.86951</v>
      </c>
      <c r="EK102">
        <v>1.8718</v>
      </c>
      <c r="EL102">
        <v>1.8696</v>
      </c>
      <c r="EM102">
        <v>1.86843</v>
      </c>
      <c r="EN102">
        <v>1.87026</v>
      </c>
      <c r="EO102">
        <v>1.87196</v>
      </c>
      <c r="EP102">
        <v>0</v>
      </c>
      <c r="EQ102">
        <v>0</v>
      </c>
      <c r="ER102">
        <v>0</v>
      </c>
      <c r="ES102">
        <v>0</v>
      </c>
      <c r="ET102" t="s">
        <v>334</v>
      </c>
      <c r="EU102" t="s">
        <v>335</v>
      </c>
      <c r="EV102" t="s">
        <v>336</v>
      </c>
      <c r="EW102" t="s">
        <v>336</v>
      </c>
      <c r="EX102" t="s">
        <v>336</v>
      </c>
      <c r="EY102" t="s">
        <v>336</v>
      </c>
      <c r="EZ102">
        <v>0</v>
      </c>
      <c r="FA102">
        <v>100</v>
      </c>
      <c r="FB102">
        <v>100</v>
      </c>
      <c r="FC102">
        <v>6.231</v>
      </c>
      <c r="FD102">
        <v>0.0806</v>
      </c>
      <c r="FE102">
        <v>6.23135000000002</v>
      </c>
      <c r="FF102">
        <v>0</v>
      </c>
      <c r="FG102">
        <v>0</v>
      </c>
      <c r="FH102">
        <v>0</v>
      </c>
      <c r="FI102">
        <v>0.08059047619047632</v>
      </c>
      <c r="FJ102">
        <v>0</v>
      </c>
      <c r="FK102">
        <v>0</v>
      </c>
      <c r="FL102">
        <v>0</v>
      </c>
      <c r="FM102">
        <v>-1</v>
      </c>
      <c r="FN102">
        <v>-1</v>
      </c>
      <c r="FO102">
        <v>-1</v>
      </c>
      <c r="FP102">
        <v>-1</v>
      </c>
      <c r="FQ102">
        <v>86.5</v>
      </c>
      <c r="FR102">
        <v>86.59999999999999</v>
      </c>
      <c r="FS102">
        <v>0.141602</v>
      </c>
      <c r="FT102">
        <v>4.99756</v>
      </c>
      <c r="FU102">
        <v>1.5979</v>
      </c>
      <c r="FV102">
        <v>2.11182</v>
      </c>
      <c r="FW102">
        <v>1.54785</v>
      </c>
      <c r="FX102">
        <v>2.45483</v>
      </c>
      <c r="FY102">
        <v>47.1229</v>
      </c>
      <c r="FZ102">
        <v>15.7781</v>
      </c>
      <c r="GA102">
        <v>3</v>
      </c>
      <c r="GB102">
        <v>519.986</v>
      </c>
      <c r="GC102">
        <v>292.059</v>
      </c>
      <c r="GD102">
        <v>27.6412</v>
      </c>
      <c r="GE102">
        <v>37.7679</v>
      </c>
      <c r="GF102">
        <v>30.0002</v>
      </c>
      <c r="GG102">
        <v>37.6743</v>
      </c>
      <c r="GH102">
        <v>37.6693</v>
      </c>
      <c r="GI102">
        <v>-1</v>
      </c>
      <c r="GJ102">
        <v>100</v>
      </c>
      <c r="GK102">
        <v>0</v>
      </c>
      <c r="GL102">
        <v>27.6432</v>
      </c>
      <c r="GM102">
        <v>1200</v>
      </c>
      <c r="GN102">
        <v>19.4378</v>
      </c>
      <c r="GO102">
        <v>101.124</v>
      </c>
      <c r="GP102">
        <v>96.2071</v>
      </c>
    </row>
    <row r="103" spans="1:198">
      <c r="A103">
        <v>87</v>
      </c>
      <c r="B103">
        <v>1773201260.6</v>
      </c>
      <c r="C103">
        <v>5160.599999904633</v>
      </c>
      <c r="D103" t="s">
        <v>507</v>
      </c>
      <c r="E103" t="s">
        <v>508</v>
      </c>
      <c r="F103">
        <v>15</v>
      </c>
      <c r="G103">
        <v>1773201252.599999</v>
      </c>
      <c r="H103">
        <f>(I103)/1000</f>
        <v>0</v>
      </c>
      <c r="I103">
        <f>1000*AY103*AG103*(AU103-AV103)/(100*AN103*(1000-AG103*AU103))</f>
        <v>0</v>
      </c>
      <c r="J103">
        <f>AY103*AG103*(AT103-AS103*(1000-AG103*AV103)/(1000-AG103*AU103))/(100*AN103)</f>
        <v>0</v>
      </c>
      <c r="K103">
        <f>AS103 - IF(AG103&gt;1, J103*AN103*100.0/(AI103), 0)</f>
        <v>0</v>
      </c>
      <c r="L103">
        <f>((R103-H103/2)*K103-J103)/(R103+H103/2)</f>
        <v>0</v>
      </c>
      <c r="M103">
        <f>L103*(AZ103+BA103)/1000.0</f>
        <v>0</v>
      </c>
      <c r="N103">
        <f>(AS103 - IF(AG103&gt;1, J103*AN103*100.0/(AI103), 0))*(AZ103+BA103)/1000.0</f>
        <v>0</v>
      </c>
      <c r="O103">
        <f>2.0/((1/Q103-1/P103)+SIGN(Q103)*SQRT((1/Q103-1/P103)*(1/Q103-1/P103) + 4*AO103/((AO103+1)*(AO103+1))*(2*1/Q103*1/P103-1/P103*1/P103)))</f>
        <v>0</v>
      </c>
      <c r="P103">
        <f>IF(LEFT(AP103,1)&lt;&gt;"0",IF(LEFT(AP103,1)="1",3.0,AQ103),$D$5+$E$5*(BG103*AZ103/($K$5*1000))+$F$5*(BG103*AZ103/($K$5*1000))*MAX(MIN(AN103,$J$5),$I$5)*MAX(MIN(AN103,$J$5),$I$5)+$G$5*MAX(MIN(AN103,$J$5),$I$5)*(BG103*AZ103/($K$5*1000))+$H$5*(BG103*AZ103/($K$5*1000))*(BG103*AZ103/($K$5*1000)))</f>
        <v>0</v>
      </c>
      <c r="Q103">
        <f>H103*(1000-(1000*0.61365*exp(17.502*U103/(240.97+U103))/(AZ103+BA103)+AU103)/2)/(1000*0.61365*exp(17.502*U103/(240.97+U103))/(AZ103+BA103)-AU103)</f>
        <v>0</v>
      </c>
      <c r="R103">
        <f>1/((AO103+1)/(O103/1.6)+1/(P103/1.37)) + AO103/((AO103+1)/(O103/1.6) + AO103/(P103/1.37))</f>
        <v>0</v>
      </c>
      <c r="S103">
        <f>(AJ103*AM103)</f>
        <v>0</v>
      </c>
      <c r="T103">
        <f>(BB103+(S103+2*0.95*5.67E-8*(((BB103+$B$7)+273)^4-(BB103+273)^4)-44100*H103)/(1.84*29.3*P103+8*0.95*5.67E-8*(BB103+273)^3))</f>
        <v>0</v>
      </c>
      <c r="U103">
        <f>($C$7*BC103+$D$7*BD103+$E$7*T103)</f>
        <v>0</v>
      </c>
      <c r="V103">
        <f>0.61365*exp(17.502*U103/(240.97+U103))</f>
        <v>0</v>
      </c>
      <c r="W103">
        <f>(X103/Y103*100)</f>
        <v>0</v>
      </c>
      <c r="X103">
        <f>AU103*(AZ103+BA103)/1000</f>
        <v>0</v>
      </c>
      <c r="Y103">
        <f>0.61365*exp(17.502*BB103/(240.97+BB103))</f>
        <v>0</v>
      </c>
      <c r="Z103">
        <f>(V103-AU103*(AZ103+BA103)/1000)</f>
        <v>0</v>
      </c>
      <c r="AA103">
        <f>(-H103*44100)</f>
        <v>0</v>
      </c>
      <c r="AB103">
        <f>2*29.3*P103*0.92*(BB103-U103)</f>
        <v>0</v>
      </c>
      <c r="AC103">
        <f>2*0.95*5.67E-8*(((BB103+$B$7)+273)^4-(U103+273)^4)</f>
        <v>0</v>
      </c>
      <c r="AD103">
        <f>S103+AC103+AA103+AB103</f>
        <v>0</v>
      </c>
      <c r="AE103">
        <v>0</v>
      </c>
      <c r="AF103">
        <v>0</v>
      </c>
      <c r="AG103">
        <f>IF(AE103*$H$13&gt;=AI103,1.0,(AI103/(AI103-AE103*$H$13)))</f>
        <v>0</v>
      </c>
      <c r="AH103">
        <f>(AG103-1)*100</f>
        <v>0</v>
      </c>
      <c r="AI103">
        <f>MAX(0,($B$13+$C$13*BG103)/(1+$D$13*BG103)*AZ103/(BB103+273)*$E$13)</f>
        <v>0</v>
      </c>
      <c r="AJ103">
        <f>$B$11*BH103+$C$11*BI103+$D$11*BT103</f>
        <v>0</v>
      </c>
      <c r="AK103">
        <f>AJ103*AL103</f>
        <v>0</v>
      </c>
      <c r="AL103">
        <f>($B$11*$D$9+$C$11*$D$9+$D$11*(BU103*$E$9+BV103*$G$9))/($B$11+$C$11+$D$11)</f>
        <v>0</v>
      </c>
      <c r="AM103">
        <f>($B$11*$K$9+$C$11*$K$9+$D$11*(BU103*$L$9+BV103*$N$9))/($B$11+$C$11+$D$11)</f>
        <v>0</v>
      </c>
      <c r="AN103">
        <v>3</v>
      </c>
      <c r="AO103">
        <v>0.5</v>
      </c>
      <c r="AP103" t="s">
        <v>331</v>
      </c>
      <c r="AQ103">
        <v>2</v>
      </c>
      <c r="AR103">
        <v>1773201252.599999</v>
      </c>
      <c r="AS103">
        <v>428.0330645161289</v>
      </c>
      <c r="AT103">
        <v>425.9499032258065</v>
      </c>
      <c r="AU103">
        <v>11.49458709677419</v>
      </c>
      <c r="AV103">
        <v>11.13942258064516</v>
      </c>
      <c r="AW103">
        <v>421.8016129032258</v>
      </c>
      <c r="AX103">
        <v>11.414</v>
      </c>
      <c r="AY103">
        <v>500.034193548387</v>
      </c>
      <c r="AZ103">
        <v>100.190129032258</v>
      </c>
      <c r="BA103">
        <v>0.0465396129032258</v>
      </c>
      <c r="BB103">
        <v>30.8388129032258</v>
      </c>
      <c r="BC103">
        <v>31.0642935483871</v>
      </c>
      <c r="BD103">
        <v>999.9000000000003</v>
      </c>
      <c r="BE103">
        <v>0</v>
      </c>
      <c r="BF103">
        <v>0</v>
      </c>
      <c r="BG103">
        <v>4990.612903225807</v>
      </c>
      <c r="BH103">
        <v>1.385503870967742</v>
      </c>
      <c r="BI103">
        <v>2131.487419354839</v>
      </c>
      <c r="BJ103">
        <v>2.08303870967742</v>
      </c>
      <c r="BK103">
        <v>433.0102580645162</v>
      </c>
      <c r="BL103">
        <v>430.7482580645162</v>
      </c>
      <c r="BM103">
        <v>0.3551602903225807</v>
      </c>
      <c r="BN103">
        <v>425.9499032258065</v>
      </c>
      <c r="BO103">
        <v>11.13942258064516</v>
      </c>
      <c r="BP103">
        <v>1.151644193548387</v>
      </c>
      <c r="BQ103">
        <v>1.11606064516129</v>
      </c>
      <c r="BR103">
        <v>8.990711612903224</v>
      </c>
      <c r="BS103">
        <v>8.526608709677419</v>
      </c>
      <c r="BT103">
        <v>0</v>
      </c>
      <c r="BU103">
        <v>0</v>
      </c>
      <c r="BV103">
        <v>0</v>
      </c>
      <c r="BW103">
        <v>35.48924838709677</v>
      </c>
      <c r="BX103">
        <v>53</v>
      </c>
      <c r="BY103">
        <v>1773196010</v>
      </c>
      <c r="BZ103" t="s">
        <v>332</v>
      </c>
      <c r="CA103">
        <v>1773196010</v>
      </c>
      <c r="CB103">
        <v>1773196005.5</v>
      </c>
      <c r="CC103">
        <v>2</v>
      </c>
      <c r="CD103">
        <v>-0.279</v>
      </c>
      <c r="CE103">
        <v>-0.021</v>
      </c>
      <c r="CF103">
        <v>6.231</v>
      </c>
      <c r="CG103">
        <v>0.081</v>
      </c>
      <c r="CH103">
        <v>432</v>
      </c>
      <c r="CI103">
        <v>21</v>
      </c>
      <c r="CJ103">
        <v>0.03</v>
      </c>
      <c r="CK103">
        <v>0.06</v>
      </c>
      <c r="CL103">
        <v>425.9660666666666</v>
      </c>
      <c r="CM103">
        <v>-1.059844271413219</v>
      </c>
      <c r="CN103">
        <v>0.07880437100116017</v>
      </c>
      <c r="CO103">
        <v>-1</v>
      </c>
      <c r="CP103">
        <v>500.0224333333333</v>
      </c>
      <c r="CQ103">
        <v>1.325499443826538</v>
      </c>
      <c r="CR103">
        <v>0.1222630179390156</v>
      </c>
      <c r="CS103">
        <v>-1</v>
      </c>
      <c r="CT103">
        <v>0</v>
      </c>
      <c r="CU103">
        <v>0</v>
      </c>
      <c r="CV103" t="s">
        <v>333</v>
      </c>
      <c r="CW103">
        <v>3.17086</v>
      </c>
      <c r="CX103">
        <v>2.66665</v>
      </c>
      <c r="CY103">
        <v>0.100115</v>
      </c>
      <c r="CZ103">
        <v>0.100884</v>
      </c>
      <c r="DA103">
        <v>0.0648055</v>
      </c>
      <c r="DB103">
        <v>0.0633532</v>
      </c>
      <c r="DC103">
        <v>21314.9</v>
      </c>
      <c r="DD103">
        <v>21873.9</v>
      </c>
      <c r="DE103">
        <v>22836.8</v>
      </c>
      <c r="DF103">
        <v>22273.9</v>
      </c>
      <c r="DG103">
        <v>32297.3</v>
      </c>
      <c r="DH103">
        <v>29390.4</v>
      </c>
      <c r="DI103">
        <v>40194.4</v>
      </c>
      <c r="DJ103">
        <v>36842.9</v>
      </c>
      <c r="DK103">
        <v>2.0266</v>
      </c>
      <c r="DL103">
        <v>1.50202</v>
      </c>
      <c r="DM103">
        <v>-0.0734389</v>
      </c>
      <c r="DN103">
        <v>0</v>
      </c>
      <c r="DO103">
        <v>32.2565</v>
      </c>
      <c r="DP103">
        <v>999.9</v>
      </c>
      <c r="DQ103">
        <v>25.4</v>
      </c>
      <c r="DR103">
        <v>44.8</v>
      </c>
      <c r="DS103">
        <v>24.1842</v>
      </c>
      <c r="DT103">
        <v>30.0591</v>
      </c>
      <c r="DU103">
        <v>14.4391</v>
      </c>
      <c r="DV103">
        <v>1</v>
      </c>
      <c r="DW103">
        <v>0.880189</v>
      </c>
      <c r="DX103">
        <v>4.11189</v>
      </c>
      <c r="DY103">
        <v>20.3014</v>
      </c>
      <c r="DZ103">
        <v>5.20615</v>
      </c>
      <c r="EA103">
        <v>11.8547</v>
      </c>
      <c r="EB103">
        <v>4.9666</v>
      </c>
      <c r="EC103">
        <v>3.29228</v>
      </c>
      <c r="ED103">
        <v>879.4</v>
      </c>
      <c r="EE103">
        <v>9999</v>
      </c>
      <c r="EF103">
        <v>9999</v>
      </c>
      <c r="EG103">
        <v>77.5</v>
      </c>
      <c r="EH103">
        <v>4.97159</v>
      </c>
      <c r="EI103">
        <v>1.8721</v>
      </c>
      <c r="EJ103">
        <v>1.86951</v>
      </c>
      <c r="EK103">
        <v>1.8718</v>
      </c>
      <c r="EL103">
        <v>1.86956</v>
      </c>
      <c r="EM103">
        <v>1.86842</v>
      </c>
      <c r="EN103">
        <v>1.87021</v>
      </c>
      <c r="EO103">
        <v>1.87195</v>
      </c>
      <c r="EP103">
        <v>0</v>
      </c>
      <c r="EQ103">
        <v>0</v>
      </c>
      <c r="ER103">
        <v>0</v>
      </c>
      <c r="ES103">
        <v>0</v>
      </c>
      <c r="ET103" t="s">
        <v>334</v>
      </c>
      <c r="EU103" t="s">
        <v>335</v>
      </c>
      <c r="EV103" t="s">
        <v>336</v>
      </c>
      <c r="EW103" t="s">
        <v>336</v>
      </c>
      <c r="EX103" t="s">
        <v>336</v>
      </c>
      <c r="EY103" t="s">
        <v>336</v>
      </c>
      <c r="EZ103">
        <v>0</v>
      </c>
      <c r="FA103">
        <v>100</v>
      </c>
      <c r="FB103">
        <v>100</v>
      </c>
      <c r="FC103">
        <v>6.231</v>
      </c>
      <c r="FD103">
        <v>0.0806</v>
      </c>
      <c r="FE103">
        <v>6.23135000000002</v>
      </c>
      <c r="FF103">
        <v>0</v>
      </c>
      <c r="FG103">
        <v>0</v>
      </c>
      <c r="FH103">
        <v>0</v>
      </c>
      <c r="FI103">
        <v>0.08059047619047632</v>
      </c>
      <c r="FJ103">
        <v>0</v>
      </c>
      <c r="FK103">
        <v>0</v>
      </c>
      <c r="FL103">
        <v>0</v>
      </c>
      <c r="FM103">
        <v>-1</v>
      </c>
      <c r="FN103">
        <v>-1</v>
      </c>
      <c r="FO103">
        <v>-1</v>
      </c>
      <c r="FP103">
        <v>-1</v>
      </c>
      <c r="FQ103">
        <v>87.5</v>
      </c>
      <c r="FR103">
        <v>87.59999999999999</v>
      </c>
      <c r="FS103">
        <v>0.141602</v>
      </c>
      <c r="FT103">
        <v>4.99756</v>
      </c>
      <c r="FU103">
        <v>1.5979</v>
      </c>
      <c r="FV103">
        <v>2.10938</v>
      </c>
      <c r="FW103">
        <v>1.54785</v>
      </c>
      <c r="FX103">
        <v>2.39624</v>
      </c>
      <c r="FY103">
        <v>47.1229</v>
      </c>
      <c r="FZ103">
        <v>15.7606</v>
      </c>
      <c r="GA103">
        <v>3</v>
      </c>
      <c r="GB103">
        <v>519.644</v>
      </c>
      <c r="GC103">
        <v>291.136</v>
      </c>
      <c r="GD103">
        <v>27.6065</v>
      </c>
      <c r="GE103">
        <v>37.7751</v>
      </c>
      <c r="GF103">
        <v>30.0007</v>
      </c>
      <c r="GG103">
        <v>37.6808</v>
      </c>
      <c r="GH103">
        <v>37.6729</v>
      </c>
      <c r="GI103">
        <v>-1</v>
      </c>
      <c r="GJ103">
        <v>100</v>
      </c>
      <c r="GK103">
        <v>0</v>
      </c>
      <c r="GL103">
        <v>27.5736</v>
      </c>
      <c r="GM103">
        <v>1200</v>
      </c>
      <c r="GN103">
        <v>19.4378</v>
      </c>
      <c r="GO103">
        <v>101.121</v>
      </c>
      <c r="GP103">
        <v>96.2063</v>
      </c>
    </row>
    <row r="104" spans="1:198">
      <c r="A104">
        <v>88</v>
      </c>
      <c r="B104">
        <v>1773201320.6</v>
      </c>
      <c r="C104">
        <v>5220.599999904633</v>
      </c>
      <c r="D104" t="s">
        <v>509</v>
      </c>
      <c r="E104" t="s">
        <v>510</v>
      </c>
      <c r="F104">
        <v>15</v>
      </c>
      <c r="G104">
        <v>1773201312.599999</v>
      </c>
      <c r="H104">
        <f>(I104)/1000</f>
        <v>0</v>
      </c>
      <c r="I104">
        <f>1000*AY104*AG104*(AU104-AV104)/(100*AN104*(1000-AG104*AU104))</f>
        <v>0</v>
      </c>
      <c r="J104">
        <f>AY104*AG104*(AT104-AS104*(1000-AG104*AV104)/(1000-AG104*AU104))/(100*AN104)</f>
        <v>0</v>
      </c>
      <c r="K104">
        <f>AS104 - IF(AG104&gt;1, J104*AN104*100.0/(AI104), 0)</f>
        <v>0</v>
      </c>
      <c r="L104">
        <f>((R104-H104/2)*K104-J104)/(R104+H104/2)</f>
        <v>0</v>
      </c>
      <c r="M104">
        <f>L104*(AZ104+BA104)/1000.0</f>
        <v>0</v>
      </c>
      <c r="N104">
        <f>(AS104 - IF(AG104&gt;1, J104*AN104*100.0/(AI104), 0))*(AZ104+BA104)/1000.0</f>
        <v>0</v>
      </c>
      <c r="O104">
        <f>2.0/((1/Q104-1/P104)+SIGN(Q104)*SQRT((1/Q104-1/P104)*(1/Q104-1/P104) + 4*AO104/((AO104+1)*(AO104+1))*(2*1/Q104*1/P104-1/P104*1/P104)))</f>
        <v>0</v>
      </c>
      <c r="P104">
        <f>IF(LEFT(AP104,1)&lt;&gt;"0",IF(LEFT(AP104,1)="1",3.0,AQ104),$D$5+$E$5*(BG104*AZ104/($K$5*1000))+$F$5*(BG104*AZ104/($K$5*1000))*MAX(MIN(AN104,$J$5),$I$5)*MAX(MIN(AN104,$J$5),$I$5)+$G$5*MAX(MIN(AN104,$J$5),$I$5)*(BG104*AZ104/($K$5*1000))+$H$5*(BG104*AZ104/($K$5*1000))*(BG104*AZ104/($K$5*1000)))</f>
        <v>0</v>
      </c>
      <c r="Q104">
        <f>H104*(1000-(1000*0.61365*exp(17.502*U104/(240.97+U104))/(AZ104+BA104)+AU104)/2)/(1000*0.61365*exp(17.502*U104/(240.97+U104))/(AZ104+BA104)-AU104)</f>
        <v>0</v>
      </c>
      <c r="R104">
        <f>1/((AO104+1)/(O104/1.6)+1/(P104/1.37)) + AO104/((AO104+1)/(O104/1.6) + AO104/(P104/1.37))</f>
        <v>0</v>
      </c>
      <c r="S104">
        <f>(AJ104*AM104)</f>
        <v>0</v>
      </c>
      <c r="T104">
        <f>(BB104+(S104+2*0.95*5.67E-8*(((BB104+$B$7)+273)^4-(BB104+273)^4)-44100*H104)/(1.84*29.3*P104+8*0.95*5.67E-8*(BB104+273)^3))</f>
        <v>0</v>
      </c>
      <c r="U104">
        <f>($C$7*BC104+$D$7*BD104+$E$7*T104)</f>
        <v>0</v>
      </c>
      <c r="V104">
        <f>0.61365*exp(17.502*U104/(240.97+U104))</f>
        <v>0</v>
      </c>
      <c r="W104">
        <f>(X104/Y104*100)</f>
        <v>0</v>
      </c>
      <c r="X104">
        <f>AU104*(AZ104+BA104)/1000</f>
        <v>0</v>
      </c>
      <c r="Y104">
        <f>0.61365*exp(17.502*BB104/(240.97+BB104))</f>
        <v>0</v>
      </c>
      <c r="Z104">
        <f>(V104-AU104*(AZ104+BA104)/1000)</f>
        <v>0</v>
      </c>
      <c r="AA104">
        <f>(-H104*44100)</f>
        <v>0</v>
      </c>
      <c r="AB104">
        <f>2*29.3*P104*0.92*(BB104-U104)</f>
        <v>0</v>
      </c>
      <c r="AC104">
        <f>2*0.95*5.67E-8*(((BB104+$B$7)+273)^4-(U104+273)^4)</f>
        <v>0</v>
      </c>
      <c r="AD104">
        <f>S104+AC104+AA104+AB104</f>
        <v>0</v>
      </c>
      <c r="AE104">
        <v>0</v>
      </c>
      <c r="AF104">
        <v>0</v>
      </c>
      <c r="AG104">
        <f>IF(AE104*$H$13&gt;=AI104,1.0,(AI104/(AI104-AE104*$H$13)))</f>
        <v>0</v>
      </c>
      <c r="AH104">
        <f>(AG104-1)*100</f>
        <v>0</v>
      </c>
      <c r="AI104">
        <f>MAX(0,($B$13+$C$13*BG104)/(1+$D$13*BG104)*AZ104/(BB104+273)*$E$13)</f>
        <v>0</v>
      </c>
      <c r="AJ104">
        <f>$B$11*BH104+$C$11*BI104+$D$11*BT104</f>
        <v>0</v>
      </c>
      <c r="AK104">
        <f>AJ104*AL104</f>
        <v>0</v>
      </c>
      <c r="AL104">
        <f>($B$11*$D$9+$C$11*$D$9+$D$11*(BU104*$E$9+BV104*$G$9))/($B$11+$C$11+$D$11)</f>
        <v>0</v>
      </c>
      <c r="AM104">
        <f>($B$11*$K$9+$C$11*$K$9+$D$11*(BU104*$L$9+BV104*$N$9))/($B$11+$C$11+$D$11)</f>
        <v>0</v>
      </c>
      <c r="AN104">
        <v>3</v>
      </c>
      <c r="AO104">
        <v>0.5</v>
      </c>
      <c r="AP104" t="s">
        <v>331</v>
      </c>
      <c r="AQ104">
        <v>2</v>
      </c>
      <c r="AR104">
        <v>1773201312.599999</v>
      </c>
      <c r="AS104">
        <v>427.0293548387098</v>
      </c>
      <c r="AT104">
        <v>424.8910967741937</v>
      </c>
      <c r="AU104">
        <v>11.46254516129032</v>
      </c>
      <c r="AV104">
        <v>11.11675483870968</v>
      </c>
      <c r="AW104">
        <v>420.7979354838709</v>
      </c>
      <c r="AX104">
        <v>11.38195161290322</v>
      </c>
      <c r="AY104">
        <v>500.0197096774193</v>
      </c>
      <c r="AZ104">
        <v>100.1879032258065</v>
      </c>
      <c r="BA104">
        <v>0.04614597741935485</v>
      </c>
      <c r="BB104">
        <v>30.79107419354839</v>
      </c>
      <c r="BC104">
        <v>30.99906774193548</v>
      </c>
      <c r="BD104">
        <v>999.9000000000003</v>
      </c>
      <c r="BE104">
        <v>0</v>
      </c>
      <c r="BF104">
        <v>0</v>
      </c>
      <c r="BG104">
        <v>5002.612903225807</v>
      </c>
      <c r="BH104">
        <v>1.345458387096774</v>
      </c>
      <c r="BI104">
        <v>2137.040967741936</v>
      </c>
      <c r="BJ104">
        <v>2.138248387096775</v>
      </c>
      <c r="BK104">
        <v>431.980935483871</v>
      </c>
      <c r="BL104">
        <v>429.6676451612903</v>
      </c>
      <c r="BM104">
        <v>0.3457933870967742</v>
      </c>
      <c r="BN104">
        <v>424.8910967741937</v>
      </c>
      <c r="BO104">
        <v>11.11675483870968</v>
      </c>
      <c r="BP104">
        <v>1.148408064516129</v>
      </c>
      <c r="BQ104">
        <v>1.113763225806452</v>
      </c>
      <c r="BR104">
        <v>8.949041935483871</v>
      </c>
      <c r="BS104">
        <v>8.496215806451614</v>
      </c>
      <c r="BT104">
        <v>0</v>
      </c>
      <c r="BU104">
        <v>0</v>
      </c>
      <c r="BV104">
        <v>0</v>
      </c>
      <c r="BW104">
        <v>35</v>
      </c>
      <c r="BX104">
        <v>53.72903548387097</v>
      </c>
      <c r="BY104">
        <v>1773196010</v>
      </c>
      <c r="BZ104" t="s">
        <v>332</v>
      </c>
      <c r="CA104">
        <v>1773196010</v>
      </c>
      <c r="CB104">
        <v>1773196005.5</v>
      </c>
      <c r="CC104">
        <v>2</v>
      </c>
      <c r="CD104">
        <v>-0.279</v>
      </c>
      <c r="CE104">
        <v>-0.021</v>
      </c>
      <c r="CF104">
        <v>6.231</v>
      </c>
      <c r="CG104">
        <v>0.081</v>
      </c>
      <c r="CH104">
        <v>432</v>
      </c>
      <c r="CI104">
        <v>21</v>
      </c>
      <c r="CJ104">
        <v>0.03</v>
      </c>
      <c r="CK104">
        <v>0.06</v>
      </c>
      <c r="CL104">
        <v>424.8972580645162</v>
      </c>
      <c r="CM104">
        <v>-0.9215806451616115</v>
      </c>
      <c r="CN104">
        <v>0.07004467134158532</v>
      </c>
      <c r="CO104">
        <v>-1</v>
      </c>
      <c r="CP104">
        <v>500.0165161290323</v>
      </c>
      <c r="CQ104">
        <v>0.7425967741928324</v>
      </c>
      <c r="CR104">
        <v>0.07938630375402013</v>
      </c>
      <c r="CS104">
        <v>-1</v>
      </c>
      <c r="CT104">
        <v>0</v>
      </c>
      <c r="CU104">
        <v>0</v>
      </c>
      <c r="CV104" t="s">
        <v>333</v>
      </c>
      <c r="CW104">
        <v>3.17095</v>
      </c>
      <c r="CX104">
        <v>2.66698</v>
      </c>
      <c r="CY104">
        <v>0.09993100000000001</v>
      </c>
      <c r="CZ104">
        <v>0.100713</v>
      </c>
      <c r="DA104">
        <v>0.0646466</v>
      </c>
      <c r="DB104">
        <v>0.0632142</v>
      </c>
      <c r="DC104">
        <v>21320.7</v>
      </c>
      <c r="DD104">
        <v>21880.2</v>
      </c>
      <c r="DE104">
        <v>22838.2</v>
      </c>
      <c r="DF104">
        <v>22276</v>
      </c>
      <c r="DG104">
        <v>32304.6</v>
      </c>
      <c r="DH104">
        <v>29397.7</v>
      </c>
      <c r="DI104">
        <v>40196.6</v>
      </c>
      <c r="DJ104">
        <v>36846.6</v>
      </c>
      <c r="DK104">
        <v>2.0271</v>
      </c>
      <c r="DL104">
        <v>1.503</v>
      </c>
      <c r="DM104">
        <v>-0.0745267</v>
      </c>
      <c r="DN104">
        <v>0</v>
      </c>
      <c r="DO104">
        <v>32.1977</v>
      </c>
      <c r="DP104">
        <v>999.9</v>
      </c>
      <c r="DQ104">
        <v>25</v>
      </c>
      <c r="DR104">
        <v>44.9</v>
      </c>
      <c r="DS104">
        <v>23.9282</v>
      </c>
      <c r="DT104">
        <v>29.9691</v>
      </c>
      <c r="DU104">
        <v>14.1066</v>
      </c>
      <c r="DV104">
        <v>1</v>
      </c>
      <c r="DW104">
        <v>0.872108</v>
      </c>
      <c r="DX104">
        <v>3.44851</v>
      </c>
      <c r="DY104">
        <v>20.322</v>
      </c>
      <c r="DZ104">
        <v>5.20878</v>
      </c>
      <c r="EA104">
        <v>11.8553</v>
      </c>
      <c r="EB104">
        <v>4.96736</v>
      </c>
      <c r="EC104">
        <v>3.293</v>
      </c>
      <c r="ED104">
        <v>879.4</v>
      </c>
      <c r="EE104">
        <v>9999</v>
      </c>
      <c r="EF104">
        <v>9999</v>
      </c>
      <c r="EG104">
        <v>77.5</v>
      </c>
      <c r="EH104">
        <v>4.97163</v>
      </c>
      <c r="EI104">
        <v>1.8721</v>
      </c>
      <c r="EJ104">
        <v>1.86951</v>
      </c>
      <c r="EK104">
        <v>1.8718</v>
      </c>
      <c r="EL104">
        <v>1.86962</v>
      </c>
      <c r="EM104">
        <v>1.86844</v>
      </c>
      <c r="EN104">
        <v>1.87026</v>
      </c>
      <c r="EO104">
        <v>1.87196</v>
      </c>
      <c r="EP104">
        <v>0</v>
      </c>
      <c r="EQ104">
        <v>0</v>
      </c>
      <c r="ER104">
        <v>0</v>
      </c>
      <c r="ES104">
        <v>0</v>
      </c>
      <c r="ET104" t="s">
        <v>334</v>
      </c>
      <c r="EU104" t="s">
        <v>335</v>
      </c>
      <c r="EV104" t="s">
        <v>336</v>
      </c>
      <c r="EW104" t="s">
        <v>336</v>
      </c>
      <c r="EX104" t="s">
        <v>336</v>
      </c>
      <c r="EY104" t="s">
        <v>336</v>
      </c>
      <c r="EZ104">
        <v>0</v>
      </c>
      <c r="FA104">
        <v>100</v>
      </c>
      <c r="FB104">
        <v>100</v>
      </c>
      <c r="FC104">
        <v>6.231</v>
      </c>
      <c r="FD104">
        <v>0.0806</v>
      </c>
      <c r="FE104">
        <v>6.23135000000002</v>
      </c>
      <c r="FF104">
        <v>0</v>
      </c>
      <c r="FG104">
        <v>0</v>
      </c>
      <c r="FH104">
        <v>0</v>
      </c>
      <c r="FI104">
        <v>0.08059047619047632</v>
      </c>
      <c r="FJ104">
        <v>0</v>
      </c>
      <c r="FK104">
        <v>0</v>
      </c>
      <c r="FL104">
        <v>0</v>
      </c>
      <c r="FM104">
        <v>-1</v>
      </c>
      <c r="FN104">
        <v>-1</v>
      </c>
      <c r="FO104">
        <v>-1</v>
      </c>
      <c r="FP104">
        <v>-1</v>
      </c>
      <c r="FQ104">
        <v>88.5</v>
      </c>
      <c r="FR104">
        <v>88.59999999999999</v>
      </c>
      <c r="FS104">
        <v>0.141602</v>
      </c>
      <c r="FT104">
        <v>4.99756</v>
      </c>
      <c r="FU104">
        <v>1.5979</v>
      </c>
      <c r="FV104">
        <v>2.1106</v>
      </c>
      <c r="FW104">
        <v>1.54785</v>
      </c>
      <c r="FX104">
        <v>2.45728</v>
      </c>
      <c r="FY104">
        <v>47.0932</v>
      </c>
      <c r="FZ104">
        <v>15.7694</v>
      </c>
      <c r="GA104">
        <v>3</v>
      </c>
      <c r="GB104">
        <v>519.79</v>
      </c>
      <c r="GC104">
        <v>291.491</v>
      </c>
      <c r="GD104">
        <v>27.4739</v>
      </c>
      <c r="GE104">
        <v>37.7479</v>
      </c>
      <c r="GF104">
        <v>29.9974</v>
      </c>
      <c r="GG104">
        <v>37.6572</v>
      </c>
      <c r="GH104">
        <v>37.646</v>
      </c>
      <c r="GI104">
        <v>-1</v>
      </c>
      <c r="GJ104">
        <v>100</v>
      </c>
      <c r="GK104">
        <v>0</v>
      </c>
      <c r="GL104">
        <v>27.4941</v>
      </c>
      <c r="GM104">
        <v>1200</v>
      </c>
      <c r="GN104">
        <v>19.4378</v>
      </c>
      <c r="GO104">
        <v>101.127</v>
      </c>
      <c r="GP104">
        <v>96.21559999999999</v>
      </c>
    </row>
    <row r="105" spans="1:198">
      <c r="A105">
        <v>89</v>
      </c>
      <c r="B105">
        <v>1773201380.6</v>
      </c>
      <c r="C105">
        <v>5280.599999904633</v>
      </c>
      <c r="D105" t="s">
        <v>511</v>
      </c>
      <c r="E105" t="s">
        <v>512</v>
      </c>
      <c r="F105">
        <v>15</v>
      </c>
      <c r="G105">
        <v>1773201372.599999</v>
      </c>
      <c r="H105">
        <f>(I105)/1000</f>
        <v>0</v>
      </c>
      <c r="I105">
        <f>1000*AY105*AG105*(AU105-AV105)/(100*AN105*(1000-AG105*AU105))</f>
        <v>0</v>
      </c>
      <c r="J105">
        <f>AY105*AG105*(AT105-AS105*(1000-AG105*AV105)/(1000-AG105*AU105))/(100*AN105)</f>
        <v>0</v>
      </c>
      <c r="K105">
        <f>AS105 - IF(AG105&gt;1, J105*AN105*100.0/(AI105), 0)</f>
        <v>0</v>
      </c>
      <c r="L105">
        <f>((R105-H105/2)*K105-J105)/(R105+H105/2)</f>
        <v>0</v>
      </c>
      <c r="M105">
        <f>L105*(AZ105+BA105)/1000.0</f>
        <v>0</v>
      </c>
      <c r="N105">
        <f>(AS105 - IF(AG105&gt;1, J105*AN105*100.0/(AI105), 0))*(AZ105+BA105)/1000.0</f>
        <v>0</v>
      </c>
      <c r="O105">
        <f>2.0/((1/Q105-1/P105)+SIGN(Q105)*SQRT((1/Q105-1/P105)*(1/Q105-1/P105) + 4*AO105/((AO105+1)*(AO105+1))*(2*1/Q105*1/P105-1/P105*1/P105)))</f>
        <v>0</v>
      </c>
      <c r="P105">
        <f>IF(LEFT(AP105,1)&lt;&gt;"0",IF(LEFT(AP105,1)="1",3.0,AQ105),$D$5+$E$5*(BG105*AZ105/($K$5*1000))+$F$5*(BG105*AZ105/($K$5*1000))*MAX(MIN(AN105,$J$5),$I$5)*MAX(MIN(AN105,$J$5),$I$5)+$G$5*MAX(MIN(AN105,$J$5),$I$5)*(BG105*AZ105/($K$5*1000))+$H$5*(BG105*AZ105/($K$5*1000))*(BG105*AZ105/($K$5*1000)))</f>
        <v>0</v>
      </c>
      <c r="Q105">
        <f>H105*(1000-(1000*0.61365*exp(17.502*U105/(240.97+U105))/(AZ105+BA105)+AU105)/2)/(1000*0.61365*exp(17.502*U105/(240.97+U105))/(AZ105+BA105)-AU105)</f>
        <v>0</v>
      </c>
      <c r="R105">
        <f>1/((AO105+1)/(O105/1.6)+1/(P105/1.37)) + AO105/((AO105+1)/(O105/1.6) + AO105/(P105/1.37))</f>
        <v>0</v>
      </c>
      <c r="S105">
        <f>(AJ105*AM105)</f>
        <v>0</v>
      </c>
      <c r="T105">
        <f>(BB105+(S105+2*0.95*5.67E-8*(((BB105+$B$7)+273)^4-(BB105+273)^4)-44100*H105)/(1.84*29.3*P105+8*0.95*5.67E-8*(BB105+273)^3))</f>
        <v>0</v>
      </c>
      <c r="U105">
        <f>($C$7*BC105+$D$7*BD105+$E$7*T105)</f>
        <v>0</v>
      </c>
      <c r="V105">
        <f>0.61365*exp(17.502*U105/(240.97+U105))</f>
        <v>0</v>
      </c>
      <c r="W105">
        <f>(X105/Y105*100)</f>
        <v>0</v>
      </c>
      <c r="X105">
        <f>AU105*(AZ105+BA105)/1000</f>
        <v>0</v>
      </c>
      <c r="Y105">
        <f>0.61365*exp(17.502*BB105/(240.97+BB105))</f>
        <v>0</v>
      </c>
      <c r="Z105">
        <f>(V105-AU105*(AZ105+BA105)/1000)</f>
        <v>0</v>
      </c>
      <c r="AA105">
        <f>(-H105*44100)</f>
        <v>0</v>
      </c>
      <c r="AB105">
        <f>2*29.3*P105*0.92*(BB105-U105)</f>
        <v>0</v>
      </c>
      <c r="AC105">
        <f>2*0.95*5.67E-8*(((BB105+$B$7)+273)^4-(U105+273)^4)</f>
        <v>0</v>
      </c>
      <c r="AD105">
        <f>S105+AC105+AA105+AB105</f>
        <v>0</v>
      </c>
      <c r="AE105">
        <v>0</v>
      </c>
      <c r="AF105">
        <v>0</v>
      </c>
      <c r="AG105">
        <f>IF(AE105*$H$13&gt;=AI105,1.0,(AI105/(AI105-AE105*$H$13)))</f>
        <v>0</v>
      </c>
      <c r="AH105">
        <f>(AG105-1)*100</f>
        <v>0</v>
      </c>
      <c r="AI105">
        <f>MAX(0,($B$13+$C$13*BG105)/(1+$D$13*BG105)*AZ105/(BB105+273)*$E$13)</f>
        <v>0</v>
      </c>
      <c r="AJ105">
        <f>$B$11*BH105+$C$11*BI105+$D$11*BT105</f>
        <v>0</v>
      </c>
      <c r="AK105">
        <f>AJ105*AL105</f>
        <v>0</v>
      </c>
      <c r="AL105">
        <f>($B$11*$D$9+$C$11*$D$9+$D$11*(BU105*$E$9+BV105*$G$9))/($B$11+$C$11+$D$11)</f>
        <v>0</v>
      </c>
      <c r="AM105">
        <f>($B$11*$K$9+$C$11*$K$9+$D$11*(BU105*$L$9+BV105*$N$9))/($B$11+$C$11+$D$11)</f>
        <v>0</v>
      </c>
      <c r="AN105">
        <v>3</v>
      </c>
      <c r="AO105">
        <v>0.5</v>
      </c>
      <c r="AP105" t="s">
        <v>331</v>
      </c>
      <c r="AQ105">
        <v>2</v>
      </c>
      <c r="AR105">
        <v>1773201372.599999</v>
      </c>
      <c r="AS105">
        <v>426.7827741935483</v>
      </c>
      <c r="AT105">
        <v>424.7291612903227</v>
      </c>
      <c r="AU105">
        <v>11.39765806451613</v>
      </c>
      <c r="AV105">
        <v>11.05816451612903</v>
      </c>
      <c r="AW105">
        <v>420.5514838709676</v>
      </c>
      <c r="AX105">
        <v>11.31706451612903</v>
      </c>
      <c r="AY105">
        <v>500.0614193548387</v>
      </c>
      <c r="AZ105">
        <v>100.1838709677419</v>
      </c>
      <c r="BA105">
        <v>0.04521223225806451</v>
      </c>
      <c r="BB105">
        <v>30.79459354838709</v>
      </c>
      <c r="BC105">
        <v>31.00432903225806</v>
      </c>
      <c r="BD105">
        <v>999.9000000000003</v>
      </c>
      <c r="BE105">
        <v>0</v>
      </c>
      <c r="BF105">
        <v>0</v>
      </c>
      <c r="BG105">
        <v>4999.322580645161</v>
      </c>
      <c r="BH105">
        <v>1.345366774193548</v>
      </c>
      <c r="BI105">
        <v>2202.967096774194</v>
      </c>
      <c r="BJ105">
        <v>2.05360064516129</v>
      </c>
      <c r="BK105">
        <v>431.703193548387</v>
      </c>
      <c r="BL105">
        <v>429.4784516129033</v>
      </c>
      <c r="BM105">
        <v>0.3394832903225807</v>
      </c>
      <c r="BN105">
        <v>424.7291612903227</v>
      </c>
      <c r="BO105">
        <v>11.05816451612903</v>
      </c>
      <c r="BP105">
        <v>1.141860322580645</v>
      </c>
      <c r="BQ105">
        <v>1.107850322580645</v>
      </c>
      <c r="BR105">
        <v>8.864389677419357</v>
      </c>
      <c r="BS105">
        <v>8.41767741935484</v>
      </c>
      <c r="BT105">
        <v>0</v>
      </c>
      <c r="BU105">
        <v>0</v>
      </c>
      <c r="BV105">
        <v>0</v>
      </c>
      <c r="BW105">
        <v>35</v>
      </c>
      <c r="BX105">
        <v>54.09891612903226</v>
      </c>
      <c r="BY105">
        <v>1773196010</v>
      </c>
      <c r="BZ105" t="s">
        <v>332</v>
      </c>
      <c r="CA105">
        <v>1773196010</v>
      </c>
      <c r="CB105">
        <v>1773196005.5</v>
      </c>
      <c r="CC105">
        <v>2</v>
      </c>
      <c r="CD105">
        <v>-0.279</v>
      </c>
      <c r="CE105">
        <v>-0.021</v>
      </c>
      <c r="CF105">
        <v>6.231</v>
      </c>
      <c r="CG105">
        <v>0.081</v>
      </c>
      <c r="CH105">
        <v>432</v>
      </c>
      <c r="CI105">
        <v>21</v>
      </c>
      <c r="CJ105">
        <v>0.03</v>
      </c>
      <c r="CK105">
        <v>0.06</v>
      </c>
      <c r="CL105">
        <v>424.7384333333334</v>
      </c>
      <c r="CM105">
        <v>-0.4508209121242071</v>
      </c>
      <c r="CN105">
        <v>0.04293536485877043</v>
      </c>
      <c r="CO105">
        <v>-1</v>
      </c>
      <c r="CP105">
        <v>500.0613333333333</v>
      </c>
      <c r="CQ105">
        <v>-0.2673370411563697</v>
      </c>
      <c r="CR105">
        <v>0.1108119528249927</v>
      </c>
      <c r="CS105">
        <v>-1</v>
      </c>
      <c r="CT105">
        <v>0</v>
      </c>
      <c r="CU105">
        <v>0</v>
      </c>
      <c r="CV105" t="s">
        <v>333</v>
      </c>
      <c r="CW105">
        <v>3.17077</v>
      </c>
      <c r="CX105">
        <v>2.66691</v>
      </c>
      <c r="CY105">
        <v>0.099907</v>
      </c>
      <c r="CZ105">
        <v>0.100687</v>
      </c>
      <c r="DA105">
        <v>0.0643803</v>
      </c>
      <c r="DB105">
        <v>0.0629921</v>
      </c>
      <c r="DC105">
        <v>21323.3</v>
      </c>
      <c r="DD105">
        <v>21882.4</v>
      </c>
      <c r="DE105">
        <v>22840.2</v>
      </c>
      <c r="DF105">
        <v>22277.4</v>
      </c>
      <c r="DG105">
        <v>32316.4</v>
      </c>
      <c r="DH105">
        <v>29406.7</v>
      </c>
      <c r="DI105">
        <v>40199.8</v>
      </c>
      <c r="DJ105">
        <v>36849</v>
      </c>
      <c r="DK105">
        <v>2.02714</v>
      </c>
      <c r="DL105">
        <v>1.50304</v>
      </c>
      <c r="DM105">
        <v>-0.0694871</v>
      </c>
      <c r="DN105">
        <v>0</v>
      </c>
      <c r="DO105">
        <v>32.1407</v>
      </c>
      <c r="DP105">
        <v>999.9</v>
      </c>
      <c r="DQ105">
        <v>24.9</v>
      </c>
      <c r="DR105">
        <v>44.9</v>
      </c>
      <c r="DS105">
        <v>23.8323</v>
      </c>
      <c r="DT105">
        <v>29.8491</v>
      </c>
      <c r="DU105">
        <v>14.2067</v>
      </c>
      <c r="DV105">
        <v>1</v>
      </c>
      <c r="DW105">
        <v>0.870045</v>
      </c>
      <c r="DX105">
        <v>3.7038</v>
      </c>
      <c r="DY105">
        <v>20.3143</v>
      </c>
      <c r="DZ105">
        <v>5.2095</v>
      </c>
      <c r="EA105">
        <v>11.8544</v>
      </c>
      <c r="EB105">
        <v>4.9672</v>
      </c>
      <c r="EC105">
        <v>3.293</v>
      </c>
      <c r="ED105">
        <v>879.4</v>
      </c>
      <c r="EE105">
        <v>9999</v>
      </c>
      <c r="EF105">
        <v>9999</v>
      </c>
      <c r="EG105">
        <v>77.5</v>
      </c>
      <c r="EH105">
        <v>4.97163</v>
      </c>
      <c r="EI105">
        <v>1.87211</v>
      </c>
      <c r="EJ105">
        <v>1.86951</v>
      </c>
      <c r="EK105">
        <v>1.8718</v>
      </c>
      <c r="EL105">
        <v>1.86959</v>
      </c>
      <c r="EM105">
        <v>1.86842</v>
      </c>
      <c r="EN105">
        <v>1.87027</v>
      </c>
      <c r="EO105">
        <v>1.87195</v>
      </c>
      <c r="EP105">
        <v>0</v>
      </c>
      <c r="EQ105">
        <v>0</v>
      </c>
      <c r="ER105">
        <v>0</v>
      </c>
      <c r="ES105">
        <v>0</v>
      </c>
      <c r="ET105" t="s">
        <v>334</v>
      </c>
      <c r="EU105" t="s">
        <v>335</v>
      </c>
      <c r="EV105" t="s">
        <v>336</v>
      </c>
      <c r="EW105" t="s">
        <v>336</v>
      </c>
      <c r="EX105" t="s">
        <v>336</v>
      </c>
      <c r="EY105" t="s">
        <v>336</v>
      </c>
      <c r="EZ105">
        <v>0</v>
      </c>
      <c r="FA105">
        <v>100</v>
      </c>
      <c r="FB105">
        <v>100</v>
      </c>
      <c r="FC105">
        <v>6.231</v>
      </c>
      <c r="FD105">
        <v>0.0806</v>
      </c>
      <c r="FE105">
        <v>6.23135000000002</v>
      </c>
      <c r="FF105">
        <v>0</v>
      </c>
      <c r="FG105">
        <v>0</v>
      </c>
      <c r="FH105">
        <v>0</v>
      </c>
      <c r="FI105">
        <v>0.08059047619047632</v>
      </c>
      <c r="FJ105">
        <v>0</v>
      </c>
      <c r="FK105">
        <v>0</v>
      </c>
      <c r="FL105">
        <v>0</v>
      </c>
      <c r="FM105">
        <v>-1</v>
      </c>
      <c r="FN105">
        <v>-1</v>
      </c>
      <c r="FO105">
        <v>-1</v>
      </c>
      <c r="FP105">
        <v>-1</v>
      </c>
      <c r="FQ105">
        <v>89.5</v>
      </c>
      <c r="FR105">
        <v>89.59999999999999</v>
      </c>
      <c r="FS105">
        <v>0.141602</v>
      </c>
      <c r="FT105">
        <v>4.99756</v>
      </c>
      <c r="FU105">
        <v>1.5979</v>
      </c>
      <c r="FV105">
        <v>2.10938</v>
      </c>
      <c r="FW105">
        <v>1.54785</v>
      </c>
      <c r="FX105">
        <v>2.4292</v>
      </c>
      <c r="FY105">
        <v>47.0337</v>
      </c>
      <c r="FZ105">
        <v>15.7519</v>
      </c>
      <c r="GA105">
        <v>3</v>
      </c>
      <c r="GB105">
        <v>519.532</v>
      </c>
      <c r="GC105">
        <v>291.366</v>
      </c>
      <c r="GD105">
        <v>27.6707</v>
      </c>
      <c r="GE105">
        <v>37.6956</v>
      </c>
      <c r="GF105">
        <v>29.9999</v>
      </c>
      <c r="GG105">
        <v>37.6172</v>
      </c>
      <c r="GH105">
        <v>37.6086</v>
      </c>
      <c r="GI105">
        <v>-1</v>
      </c>
      <c r="GJ105">
        <v>100</v>
      </c>
      <c r="GK105">
        <v>0</v>
      </c>
      <c r="GL105">
        <v>27.6666</v>
      </c>
      <c r="GM105">
        <v>1200</v>
      </c>
      <c r="GN105">
        <v>19.4378</v>
      </c>
      <c r="GO105">
        <v>101.135</v>
      </c>
      <c r="GP105">
        <v>96.22190000000001</v>
      </c>
    </row>
    <row r="106" spans="1:198">
      <c r="A106">
        <v>90</v>
      </c>
      <c r="B106">
        <v>1773201440.6</v>
      </c>
      <c r="C106">
        <v>5340.599999904633</v>
      </c>
      <c r="D106" t="s">
        <v>513</v>
      </c>
      <c r="E106" t="s">
        <v>514</v>
      </c>
      <c r="F106">
        <v>15</v>
      </c>
      <c r="G106">
        <v>1773201432.599999</v>
      </c>
      <c r="H106">
        <f>(I106)/1000</f>
        <v>0</v>
      </c>
      <c r="I106">
        <f>1000*AY106*AG106*(AU106-AV106)/(100*AN106*(1000-AG106*AU106))</f>
        <v>0</v>
      </c>
      <c r="J106">
        <f>AY106*AG106*(AT106-AS106*(1000-AG106*AV106)/(1000-AG106*AU106))/(100*AN106)</f>
        <v>0</v>
      </c>
      <c r="K106">
        <f>AS106 - IF(AG106&gt;1, J106*AN106*100.0/(AI106), 0)</f>
        <v>0</v>
      </c>
      <c r="L106">
        <f>((R106-H106/2)*K106-J106)/(R106+H106/2)</f>
        <v>0</v>
      </c>
      <c r="M106">
        <f>L106*(AZ106+BA106)/1000.0</f>
        <v>0</v>
      </c>
      <c r="N106">
        <f>(AS106 - IF(AG106&gt;1, J106*AN106*100.0/(AI106), 0))*(AZ106+BA106)/1000.0</f>
        <v>0</v>
      </c>
      <c r="O106">
        <f>2.0/((1/Q106-1/P106)+SIGN(Q106)*SQRT((1/Q106-1/P106)*(1/Q106-1/P106) + 4*AO106/((AO106+1)*(AO106+1))*(2*1/Q106*1/P106-1/P106*1/P106)))</f>
        <v>0</v>
      </c>
      <c r="P106">
        <f>IF(LEFT(AP106,1)&lt;&gt;"0",IF(LEFT(AP106,1)="1",3.0,AQ106),$D$5+$E$5*(BG106*AZ106/($K$5*1000))+$F$5*(BG106*AZ106/($K$5*1000))*MAX(MIN(AN106,$J$5),$I$5)*MAX(MIN(AN106,$J$5),$I$5)+$G$5*MAX(MIN(AN106,$J$5),$I$5)*(BG106*AZ106/($K$5*1000))+$H$5*(BG106*AZ106/($K$5*1000))*(BG106*AZ106/($K$5*1000)))</f>
        <v>0</v>
      </c>
      <c r="Q106">
        <f>H106*(1000-(1000*0.61365*exp(17.502*U106/(240.97+U106))/(AZ106+BA106)+AU106)/2)/(1000*0.61365*exp(17.502*U106/(240.97+U106))/(AZ106+BA106)-AU106)</f>
        <v>0</v>
      </c>
      <c r="R106">
        <f>1/((AO106+1)/(O106/1.6)+1/(P106/1.37)) + AO106/((AO106+1)/(O106/1.6) + AO106/(P106/1.37))</f>
        <v>0</v>
      </c>
      <c r="S106">
        <f>(AJ106*AM106)</f>
        <v>0</v>
      </c>
      <c r="T106">
        <f>(BB106+(S106+2*0.95*5.67E-8*(((BB106+$B$7)+273)^4-(BB106+273)^4)-44100*H106)/(1.84*29.3*P106+8*0.95*5.67E-8*(BB106+273)^3))</f>
        <v>0</v>
      </c>
      <c r="U106">
        <f>($C$7*BC106+$D$7*BD106+$E$7*T106)</f>
        <v>0</v>
      </c>
      <c r="V106">
        <f>0.61365*exp(17.502*U106/(240.97+U106))</f>
        <v>0</v>
      </c>
      <c r="W106">
        <f>(X106/Y106*100)</f>
        <v>0</v>
      </c>
      <c r="X106">
        <f>AU106*(AZ106+BA106)/1000</f>
        <v>0</v>
      </c>
      <c r="Y106">
        <f>0.61365*exp(17.502*BB106/(240.97+BB106))</f>
        <v>0</v>
      </c>
      <c r="Z106">
        <f>(V106-AU106*(AZ106+BA106)/1000)</f>
        <v>0</v>
      </c>
      <c r="AA106">
        <f>(-H106*44100)</f>
        <v>0</v>
      </c>
      <c r="AB106">
        <f>2*29.3*P106*0.92*(BB106-U106)</f>
        <v>0</v>
      </c>
      <c r="AC106">
        <f>2*0.95*5.67E-8*(((BB106+$B$7)+273)^4-(U106+273)^4)</f>
        <v>0</v>
      </c>
      <c r="AD106">
        <f>S106+AC106+AA106+AB106</f>
        <v>0</v>
      </c>
      <c r="AE106">
        <v>0</v>
      </c>
      <c r="AF106">
        <v>0</v>
      </c>
      <c r="AG106">
        <f>IF(AE106*$H$13&gt;=AI106,1.0,(AI106/(AI106-AE106*$H$13)))</f>
        <v>0</v>
      </c>
      <c r="AH106">
        <f>(AG106-1)*100</f>
        <v>0</v>
      </c>
      <c r="AI106">
        <f>MAX(0,($B$13+$C$13*BG106)/(1+$D$13*BG106)*AZ106/(BB106+273)*$E$13)</f>
        <v>0</v>
      </c>
      <c r="AJ106">
        <f>$B$11*BH106+$C$11*BI106+$D$11*BT106</f>
        <v>0</v>
      </c>
      <c r="AK106">
        <f>AJ106*AL106</f>
        <v>0</v>
      </c>
      <c r="AL106">
        <f>($B$11*$D$9+$C$11*$D$9+$D$11*(BU106*$E$9+BV106*$G$9))/($B$11+$C$11+$D$11)</f>
        <v>0</v>
      </c>
      <c r="AM106">
        <f>($B$11*$K$9+$C$11*$K$9+$D$11*(BU106*$L$9+BV106*$N$9))/($B$11+$C$11+$D$11)</f>
        <v>0</v>
      </c>
      <c r="AN106">
        <v>3</v>
      </c>
      <c r="AO106">
        <v>0.5</v>
      </c>
      <c r="AP106" t="s">
        <v>331</v>
      </c>
      <c r="AQ106">
        <v>2</v>
      </c>
      <c r="AR106">
        <v>1773201432.599999</v>
      </c>
      <c r="AS106">
        <v>426.6784838709678</v>
      </c>
      <c r="AT106">
        <v>424.5448387096774</v>
      </c>
      <c r="AU106">
        <v>11.36101612903226</v>
      </c>
      <c r="AV106">
        <v>11.03531290322581</v>
      </c>
      <c r="AW106">
        <v>420.4471612903227</v>
      </c>
      <c r="AX106">
        <v>11.28042258064516</v>
      </c>
      <c r="AY106">
        <v>500.0377419354839</v>
      </c>
      <c r="AZ106">
        <v>100.1836451612903</v>
      </c>
      <c r="BA106">
        <v>0.04656265161290321</v>
      </c>
      <c r="BB106">
        <v>30.80333870967742</v>
      </c>
      <c r="BC106">
        <v>31.01815483870967</v>
      </c>
      <c r="BD106">
        <v>999.9000000000003</v>
      </c>
      <c r="BE106">
        <v>0</v>
      </c>
      <c r="BF106">
        <v>0</v>
      </c>
      <c r="BG106">
        <v>4999.887096774193</v>
      </c>
      <c r="BH106">
        <v>1.334114516129032</v>
      </c>
      <c r="BI106">
        <v>2181.432903225807</v>
      </c>
      <c r="BJ106">
        <v>2.133758709677419</v>
      </c>
      <c r="BK106">
        <v>431.5816451612904</v>
      </c>
      <c r="BL106">
        <v>429.282</v>
      </c>
      <c r="BM106">
        <v>0.3257031290322581</v>
      </c>
      <c r="BN106">
        <v>424.5448387096774</v>
      </c>
      <c r="BO106">
        <v>11.03531290322581</v>
      </c>
      <c r="BP106">
        <v>1.138186451612903</v>
      </c>
      <c r="BQ106">
        <v>1.105556774193548</v>
      </c>
      <c r="BR106">
        <v>8.816707096774193</v>
      </c>
      <c r="BS106">
        <v>8.387124838709676</v>
      </c>
      <c r="BT106">
        <v>0</v>
      </c>
      <c r="BU106">
        <v>0</v>
      </c>
      <c r="BV106">
        <v>0</v>
      </c>
      <c r="BW106">
        <v>35</v>
      </c>
      <c r="BX106">
        <v>53.96774193548386</v>
      </c>
      <c r="BY106">
        <v>1773196010</v>
      </c>
      <c r="BZ106" t="s">
        <v>332</v>
      </c>
      <c r="CA106">
        <v>1773196010</v>
      </c>
      <c r="CB106">
        <v>1773196005.5</v>
      </c>
      <c r="CC106">
        <v>2</v>
      </c>
      <c r="CD106">
        <v>-0.279</v>
      </c>
      <c r="CE106">
        <v>-0.021</v>
      </c>
      <c r="CF106">
        <v>6.231</v>
      </c>
      <c r="CG106">
        <v>0.081</v>
      </c>
      <c r="CH106">
        <v>432</v>
      </c>
      <c r="CI106">
        <v>21</v>
      </c>
      <c r="CJ106">
        <v>0.03</v>
      </c>
      <c r="CK106">
        <v>0.06</v>
      </c>
      <c r="CL106">
        <v>424.5566999999999</v>
      </c>
      <c r="CM106">
        <v>-1.052235817575204</v>
      </c>
      <c r="CN106">
        <v>0.07776638091103306</v>
      </c>
      <c r="CO106">
        <v>-1</v>
      </c>
      <c r="CP106">
        <v>500.0283333333333</v>
      </c>
      <c r="CQ106">
        <v>-0.1719243603997481</v>
      </c>
      <c r="CR106">
        <v>0.1212584934024068</v>
      </c>
      <c r="CS106">
        <v>-1</v>
      </c>
      <c r="CT106">
        <v>0</v>
      </c>
      <c r="CU106">
        <v>0</v>
      </c>
      <c r="CV106" t="s">
        <v>333</v>
      </c>
      <c r="CW106">
        <v>3.17108</v>
      </c>
      <c r="CX106">
        <v>2.66822</v>
      </c>
      <c r="CY106">
        <v>0.0998858</v>
      </c>
      <c r="CZ106">
        <v>0.100672</v>
      </c>
      <c r="DA106">
        <v>0.0642337</v>
      </c>
      <c r="DB106">
        <v>0.06290179999999999</v>
      </c>
      <c r="DC106">
        <v>21324.9</v>
      </c>
      <c r="DD106">
        <v>21884.5</v>
      </c>
      <c r="DE106">
        <v>22841.2</v>
      </c>
      <c r="DF106">
        <v>22279</v>
      </c>
      <c r="DG106">
        <v>32322.7</v>
      </c>
      <c r="DH106">
        <v>29411.9</v>
      </c>
      <c r="DI106">
        <v>40201.2</v>
      </c>
      <c r="DJ106">
        <v>36851.9</v>
      </c>
      <c r="DK106">
        <v>2.02818</v>
      </c>
      <c r="DL106">
        <v>1.50374</v>
      </c>
      <c r="DM106">
        <v>-0.0706524</v>
      </c>
      <c r="DN106">
        <v>0</v>
      </c>
      <c r="DO106">
        <v>32.172</v>
      </c>
      <c r="DP106">
        <v>999.9</v>
      </c>
      <c r="DQ106">
        <v>24.8</v>
      </c>
      <c r="DR106">
        <v>44.9</v>
      </c>
      <c r="DS106">
        <v>23.7383</v>
      </c>
      <c r="DT106">
        <v>29.8491</v>
      </c>
      <c r="DU106">
        <v>14.4712</v>
      </c>
      <c r="DV106">
        <v>1</v>
      </c>
      <c r="DW106">
        <v>0.867144</v>
      </c>
      <c r="DX106">
        <v>3.86663</v>
      </c>
      <c r="DY106">
        <v>20.3098</v>
      </c>
      <c r="DZ106">
        <v>5.20842</v>
      </c>
      <c r="EA106">
        <v>11.8559</v>
      </c>
      <c r="EB106">
        <v>4.96716</v>
      </c>
      <c r="EC106">
        <v>3.29296</v>
      </c>
      <c r="ED106">
        <v>879.4</v>
      </c>
      <c r="EE106">
        <v>9999</v>
      </c>
      <c r="EF106">
        <v>9999</v>
      </c>
      <c r="EG106">
        <v>77.5</v>
      </c>
      <c r="EH106">
        <v>4.9716</v>
      </c>
      <c r="EI106">
        <v>1.8721</v>
      </c>
      <c r="EJ106">
        <v>1.86951</v>
      </c>
      <c r="EK106">
        <v>1.8718</v>
      </c>
      <c r="EL106">
        <v>1.86959</v>
      </c>
      <c r="EM106">
        <v>1.86841</v>
      </c>
      <c r="EN106">
        <v>1.87023</v>
      </c>
      <c r="EO106">
        <v>1.87195</v>
      </c>
      <c r="EP106">
        <v>0</v>
      </c>
      <c r="EQ106">
        <v>0</v>
      </c>
      <c r="ER106">
        <v>0</v>
      </c>
      <c r="ES106">
        <v>0</v>
      </c>
      <c r="ET106" t="s">
        <v>334</v>
      </c>
      <c r="EU106" t="s">
        <v>335</v>
      </c>
      <c r="EV106" t="s">
        <v>336</v>
      </c>
      <c r="EW106" t="s">
        <v>336</v>
      </c>
      <c r="EX106" t="s">
        <v>336</v>
      </c>
      <c r="EY106" t="s">
        <v>336</v>
      </c>
      <c r="EZ106">
        <v>0</v>
      </c>
      <c r="FA106">
        <v>100</v>
      </c>
      <c r="FB106">
        <v>100</v>
      </c>
      <c r="FC106">
        <v>6.232</v>
      </c>
      <c r="FD106">
        <v>0.0806</v>
      </c>
      <c r="FE106">
        <v>6.23135000000002</v>
      </c>
      <c r="FF106">
        <v>0</v>
      </c>
      <c r="FG106">
        <v>0</v>
      </c>
      <c r="FH106">
        <v>0</v>
      </c>
      <c r="FI106">
        <v>0.08059047619047632</v>
      </c>
      <c r="FJ106">
        <v>0</v>
      </c>
      <c r="FK106">
        <v>0</v>
      </c>
      <c r="FL106">
        <v>0</v>
      </c>
      <c r="FM106">
        <v>-1</v>
      </c>
      <c r="FN106">
        <v>-1</v>
      </c>
      <c r="FO106">
        <v>-1</v>
      </c>
      <c r="FP106">
        <v>-1</v>
      </c>
      <c r="FQ106">
        <v>90.5</v>
      </c>
      <c r="FR106">
        <v>90.59999999999999</v>
      </c>
      <c r="FS106">
        <v>0.141602</v>
      </c>
      <c r="FT106">
        <v>4.99756</v>
      </c>
      <c r="FU106">
        <v>1.5979</v>
      </c>
      <c r="FV106">
        <v>2.10938</v>
      </c>
      <c r="FW106">
        <v>1.54785</v>
      </c>
      <c r="FX106">
        <v>2.35474</v>
      </c>
      <c r="FY106">
        <v>46.9448</v>
      </c>
      <c r="FZ106">
        <v>15.7344</v>
      </c>
      <c r="GA106">
        <v>3</v>
      </c>
      <c r="GB106">
        <v>519.931</v>
      </c>
      <c r="GC106">
        <v>291.57</v>
      </c>
      <c r="GD106">
        <v>27.5733</v>
      </c>
      <c r="GE106">
        <v>37.6526</v>
      </c>
      <c r="GF106">
        <v>30</v>
      </c>
      <c r="GG106">
        <v>37.5816</v>
      </c>
      <c r="GH106">
        <v>37.577</v>
      </c>
      <c r="GI106">
        <v>-1</v>
      </c>
      <c r="GJ106">
        <v>100</v>
      </c>
      <c r="GK106">
        <v>0</v>
      </c>
      <c r="GL106">
        <v>27.5671</v>
      </c>
      <c r="GM106">
        <v>1200</v>
      </c>
      <c r="GN106">
        <v>19.4378</v>
      </c>
      <c r="GO106">
        <v>101.139</v>
      </c>
      <c r="GP106">
        <v>96.2291</v>
      </c>
    </row>
    <row r="107" spans="1:198">
      <c r="A107">
        <v>91</v>
      </c>
      <c r="B107">
        <v>1773201500.6</v>
      </c>
      <c r="C107">
        <v>5400.599999904633</v>
      </c>
      <c r="D107" t="s">
        <v>515</v>
      </c>
      <c r="E107" t="s">
        <v>516</v>
      </c>
      <c r="F107">
        <v>15</v>
      </c>
      <c r="G107">
        <v>1773201492.599999</v>
      </c>
      <c r="H107">
        <f>(I107)/1000</f>
        <v>0</v>
      </c>
      <c r="I107">
        <f>1000*AY107*AG107*(AU107-AV107)/(100*AN107*(1000-AG107*AU107))</f>
        <v>0</v>
      </c>
      <c r="J107">
        <f>AY107*AG107*(AT107-AS107*(1000-AG107*AV107)/(1000-AG107*AU107))/(100*AN107)</f>
        <v>0</v>
      </c>
      <c r="K107">
        <f>AS107 - IF(AG107&gt;1, J107*AN107*100.0/(AI107), 0)</f>
        <v>0</v>
      </c>
      <c r="L107">
        <f>((R107-H107/2)*K107-J107)/(R107+H107/2)</f>
        <v>0</v>
      </c>
      <c r="M107">
        <f>L107*(AZ107+BA107)/1000.0</f>
        <v>0</v>
      </c>
      <c r="N107">
        <f>(AS107 - IF(AG107&gt;1, J107*AN107*100.0/(AI107), 0))*(AZ107+BA107)/1000.0</f>
        <v>0</v>
      </c>
      <c r="O107">
        <f>2.0/((1/Q107-1/P107)+SIGN(Q107)*SQRT((1/Q107-1/P107)*(1/Q107-1/P107) + 4*AO107/((AO107+1)*(AO107+1))*(2*1/Q107*1/P107-1/P107*1/P107)))</f>
        <v>0</v>
      </c>
      <c r="P107">
        <f>IF(LEFT(AP107,1)&lt;&gt;"0",IF(LEFT(AP107,1)="1",3.0,AQ107),$D$5+$E$5*(BG107*AZ107/($K$5*1000))+$F$5*(BG107*AZ107/($K$5*1000))*MAX(MIN(AN107,$J$5),$I$5)*MAX(MIN(AN107,$J$5),$I$5)+$G$5*MAX(MIN(AN107,$J$5),$I$5)*(BG107*AZ107/($K$5*1000))+$H$5*(BG107*AZ107/($K$5*1000))*(BG107*AZ107/($K$5*1000)))</f>
        <v>0</v>
      </c>
      <c r="Q107">
        <f>H107*(1000-(1000*0.61365*exp(17.502*U107/(240.97+U107))/(AZ107+BA107)+AU107)/2)/(1000*0.61365*exp(17.502*U107/(240.97+U107))/(AZ107+BA107)-AU107)</f>
        <v>0</v>
      </c>
      <c r="R107">
        <f>1/((AO107+1)/(O107/1.6)+1/(P107/1.37)) + AO107/((AO107+1)/(O107/1.6) + AO107/(P107/1.37))</f>
        <v>0</v>
      </c>
      <c r="S107">
        <f>(AJ107*AM107)</f>
        <v>0</v>
      </c>
      <c r="T107">
        <f>(BB107+(S107+2*0.95*5.67E-8*(((BB107+$B$7)+273)^4-(BB107+273)^4)-44100*H107)/(1.84*29.3*P107+8*0.95*5.67E-8*(BB107+273)^3))</f>
        <v>0</v>
      </c>
      <c r="U107">
        <f>($C$7*BC107+$D$7*BD107+$E$7*T107)</f>
        <v>0</v>
      </c>
      <c r="V107">
        <f>0.61365*exp(17.502*U107/(240.97+U107))</f>
        <v>0</v>
      </c>
      <c r="W107">
        <f>(X107/Y107*100)</f>
        <v>0</v>
      </c>
      <c r="X107">
        <f>AU107*(AZ107+BA107)/1000</f>
        <v>0</v>
      </c>
      <c r="Y107">
        <f>0.61365*exp(17.502*BB107/(240.97+BB107))</f>
        <v>0</v>
      </c>
      <c r="Z107">
        <f>(V107-AU107*(AZ107+BA107)/1000)</f>
        <v>0</v>
      </c>
      <c r="AA107">
        <f>(-H107*44100)</f>
        <v>0</v>
      </c>
      <c r="AB107">
        <f>2*29.3*P107*0.92*(BB107-U107)</f>
        <v>0</v>
      </c>
      <c r="AC107">
        <f>2*0.95*5.67E-8*(((BB107+$B$7)+273)^4-(U107+273)^4)</f>
        <v>0</v>
      </c>
      <c r="AD107">
        <f>S107+AC107+AA107+AB107</f>
        <v>0</v>
      </c>
      <c r="AE107">
        <v>0</v>
      </c>
      <c r="AF107">
        <v>0</v>
      </c>
      <c r="AG107">
        <f>IF(AE107*$H$13&gt;=AI107,1.0,(AI107/(AI107-AE107*$H$13)))</f>
        <v>0</v>
      </c>
      <c r="AH107">
        <f>(AG107-1)*100</f>
        <v>0</v>
      </c>
      <c r="AI107">
        <f>MAX(0,($B$13+$C$13*BG107)/(1+$D$13*BG107)*AZ107/(BB107+273)*$E$13)</f>
        <v>0</v>
      </c>
      <c r="AJ107">
        <f>$B$11*BH107+$C$11*BI107+$D$11*BT107</f>
        <v>0</v>
      </c>
      <c r="AK107">
        <f>AJ107*AL107</f>
        <v>0</v>
      </c>
      <c r="AL107">
        <f>($B$11*$D$9+$C$11*$D$9+$D$11*(BU107*$E$9+BV107*$G$9))/($B$11+$C$11+$D$11)</f>
        <v>0</v>
      </c>
      <c r="AM107">
        <f>($B$11*$K$9+$C$11*$K$9+$D$11*(BU107*$L$9+BV107*$N$9))/($B$11+$C$11+$D$11)</f>
        <v>0</v>
      </c>
      <c r="AN107">
        <v>3</v>
      </c>
      <c r="AO107">
        <v>0.5</v>
      </c>
      <c r="AP107" t="s">
        <v>331</v>
      </c>
      <c r="AQ107">
        <v>2</v>
      </c>
      <c r="AR107">
        <v>1773201492.599999</v>
      </c>
      <c r="AS107">
        <v>426.5875483870968</v>
      </c>
      <c r="AT107">
        <v>424.5845161290322</v>
      </c>
      <c r="AU107">
        <v>11.3512935483871</v>
      </c>
      <c r="AV107">
        <v>11.04070967741936</v>
      </c>
      <c r="AW107">
        <v>420.3561612903226</v>
      </c>
      <c r="AX107">
        <v>11.27070967741935</v>
      </c>
      <c r="AY107">
        <v>499.8947741935484</v>
      </c>
      <c r="AZ107">
        <v>100.1831935483871</v>
      </c>
      <c r="BA107">
        <v>0.04509624838709678</v>
      </c>
      <c r="BB107">
        <v>30.78812903225806</v>
      </c>
      <c r="BC107">
        <v>31.01357419354839</v>
      </c>
      <c r="BD107">
        <v>999.9000000000003</v>
      </c>
      <c r="BE107">
        <v>0</v>
      </c>
      <c r="BF107">
        <v>0</v>
      </c>
      <c r="BG107">
        <v>5001.112903225807</v>
      </c>
      <c r="BH107">
        <v>1.277732580645162</v>
      </c>
      <c r="BI107">
        <v>2165.732580645161</v>
      </c>
      <c r="BJ107">
        <v>2.002960967741936</v>
      </c>
      <c r="BK107">
        <v>431.4854516129033</v>
      </c>
      <c r="BL107">
        <v>429.3246129032258</v>
      </c>
      <c r="BM107">
        <v>0.3105897096774193</v>
      </c>
      <c r="BN107">
        <v>424.5845161290322</v>
      </c>
      <c r="BO107">
        <v>11.04070967741936</v>
      </c>
      <c r="BP107">
        <v>1.137209032258065</v>
      </c>
      <c r="BQ107">
        <v>1.106093225806452</v>
      </c>
      <c r="BR107">
        <v>8.803988387096775</v>
      </c>
      <c r="BS107">
        <v>8.394273225806451</v>
      </c>
      <c r="BT107">
        <v>0</v>
      </c>
      <c r="BU107">
        <v>0</v>
      </c>
      <c r="BV107">
        <v>0</v>
      </c>
      <c r="BW107">
        <v>35</v>
      </c>
      <c r="BX107">
        <v>53.14085483870967</v>
      </c>
      <c r="BY107">
        <v>1773196010</v>
      </c>
      <c r="BZ107" t="s">
        <v>332</v>
      </c>
      <c r="CA107">
        <v>1773196010</v>
      </c>
      <c r="CB107">
        <v>1773196005.5</v>
      </c>
      <c r="CC107">
        <v>2</v>
      </c>
      <c r="CD107">
        <v>-0.279</v>
      </c>
      <c r="CE107">
        <v>-0.021</v>
      </c>
      <c r="CF107">
        <v>6.231</v>
      </c>
      <c r="CG107">
        <v>0.081</v>
      </c>
      <c r="CH107">
        <v>432</v>
      </c>
      <c r="CI107">
        <v>21</v>
      </c>
      <c r="CJ107">
        <v>0.03</v>
      </c>
      <c r="CK107">
        <v>0.06</v>
      </c>
      <c r="CL107">
        <v>424.5857</v>
      </c>
      <c r="CM107">
        <v>0.09367741935569894</v>
      </c>
      <c r="CN107">
        <v>0.01085403150907475</v>
      </c>
      <c r="CO107">
        <v>-1</v>
      </c>
      <c r="CP107">
        <v>499.8904666666667</v>
      </c>
      <c r="CQ107">
        <v>-0.01019799777611033</v>
      </c>
      <c r="CR107">
        <v>0.07531875965226818</v>
      </c>
      <c r="CS107">
        <v>-1</v>
      </c>
      <c r="CT107">
        <v>0</v>
      </c>
      <c r="CU107">
        <v>0</v>
      </c>
      <c r="CV107" t="s">
        <v>333</v>
      </c>
      <c r="CW107">
        <v>3.17062</v>
      </c>
      <c r="CX107">
        <v>2.66722</v>
      </c>
      <c r="CY107">
        <v>0.0998933</v>
      </c>
      <c r="CZ107">
        <v>0.100701</v>
      </c>
      <c r="DA107">
        <v>0.06421449999999999</v>
      </c>
      <c r="DB107">
        <v>0.0629439</v>
      </c>
      <c r="DC107">
        <v>21325.4</v>
      </c>
      <c r="DD107">
        <v>21884.9</v>
      </c>
      <c r="DE107">
        <v>22841.7</v>
      </c>
      <c r="DF107">
        <v>22280</v>
      </c>
      <c r="DG107">
        <v>32324.2</v>
      </c>
      <c r="DH107">
        <v>29412.2</v>
      </c>
      <c r="DI107">
        <v>40202.1</v>
      </c>
      <c r="DJ107">
        <v>36853.9</v>
      </c>
      <c r="DK107">
        <v>2.0282</v>
      </c>
      <c r="DL107">
        <v>1.50396</v>
      </c>
      <c r="DM107">
        <v>-0.0706166</v>
      </c>
      <c r="DN107">
        <v>0</v>
      </c>
      <c r="DO107">
        <v>32.1813</v>
      </c>
      <c r="DP107">
        <v>999.9</v>
      </c>
      <c r="DQ107">
        <v>24.8</v>
      </c>
      <c r="DR107">
        <v>44.9</v>
      </c>
      <c r="DS107">
        <v>23.7376</v>
      </c>
      <c r="DT107">
        <v>29.6991</v>
      </c>
      <c r="DU107">
        <v>14.3029</v>
      </c>
      <c r="DV107">
        <v>1</v>
      </c>
      <c r="DW107">
        <v>0.864218</v>
      </c>
      <c r="DX107">
        <v>3.72829</v>
      </c>
      <c r="DY107">
        <v>20.3135</v>
      </c>
      <c r="DZ107">
        <v>5.20711</v>
      </c>
      <c r="EA107">
        <v>11.8549</v>
      </c>
      <c r="EB107">
        <v>4.96632</v>
      </c>
      <c r="EC107">
        <v>3.29298</v>
      </c>
      <c r="ED107">
        <v>879.4</v>
      </c>
      <c r="EE107">
        <v>9999</v>
      </c>
      <c r="EF107">
        <v>9999</v>
      </c>
      <c r="EG107">
        <v>77.5</v>
      </c>
      <c r="EH107">
        <v>4.9716</v>
      </c>
      <c r="EI107">
        <v>1.8721</v>
      </c>
      <c r="EJ107">
        <v>1.86951</v>
      </c>
      <c r="EK107">
        <v>1.8718</v>
      </c>
      <c r="EL107">
        <v>1.86956</v>
      </c>
      <c r="EM107">
        <v>1.86844</v>
      </c>
      <c r="EN107">
        <v>1.87026</v>
      </c>
      <c r="EO107">
        <v>1.87196</v>
      </c>
      <c r="EP107">
        <v>0</v>
      </c>
      <c r="EQ107">
        <v>0</v>
      </c>
      <c r="ER107">
        <v>0</v>
      </c>
      <c r="ES107">
        <v>0</v>
      </c>
      <c r="ET107" t="s">
        <v>334</v>
      </c>
      <c r="EU107" t="s">
        <v>335</v>
      </c>
      <c r="EV107" t="s">
        <v>336</v>
      </c>
      <c r="EW107" t="s">
        <v>336</v>
      </c>
      <c r="EX107" t="s">
        <v>336</v>
      </c>
      <c r="EY107" t="s">
        <v>336</v>
      </c>
      <c r="EZ107">
        <v>0</v>
      </c>
      <c r="FA107">
        <v>100</v>
      </c>
      <c r="FB107">
        <v>100</v>
      </c>
      <c r="FC107">
        <v>6.231</v>
      </c>
      <c r="FD107">
        <v>0.0806</v>
      </c>
      <c r="FE107">
        <v>6.23135000000002</v>
      </c>
      <c r="FF107">
        <v>0</v>
      </c>
      <c r="FG107">
        <v>0</v>
      </c>
      <c r="FH107">
        <v>0</v>
      </c>
      <c r="FI107">
        <v>0.08059047619047632</v>
      </c>
      <c r="FJ107">
        <v>0</v>
      </c>
      <c r="FK107">
        <v>0</v>
      </c>
      <c r="FL107">
        <v>0</v>
      </c>
      <c r="FM107">
        <v>-1</v>
      </c>
      <c r="FN107">
        <v>-1</v>
      </c>
      <c r="FO107">
        <v>-1</v>
      </c>
      <c r="FP107">
        <v>-1</v>
      </c>
      <c r="FQ107">
        <v>91.5</v>
      </c>
      <c r="FR107">
        <v>91.59999999999999</v>
      </c>
      <c r="FS107">
        <v>0.141602</v>
      </c>
      <c r="FT107">
        <v>4.99756</v>
      </c>
      <c r="FU107">
        <v>1.5979</v>
      </c>
      <c r="FV107">
        <v>2.10938</v>
      </c>
      <c r="FW107">
        <v>1.54785</v>
      </c>
      <c r="FX107">
        <v>2.50488</v>
      </c>
      <c r="FY107">
        <v>46.8855</v>
      </c>
      <c r="FZ107">
        <v>15.7431</v>
      </c>
      <c r="GA107">
        <v>3</v>
      </c>
      <c r="GB107">
        <v>519.784</v>
      </c>
      <c r="GC107">
        <v>291.592</v>
      </c>
      <c r="GD107">
        <v>27.6372</v>
      </c>
      <c r="GE107">
        <v>37.6269</v>
      </c>
      <c r="GF107">
        <v>30.0001</v>
      </c>
      <c r="GG107">
        <v>37.5588</v>
      </c>
      <c r="GH107">
        <v>37.5558</v>
      </c>
      <c r="GI107">
        <v>-1</v>
      </c>
      <c r="GJ107">
        <v>100</v>
      </c>
      <c r="GK107">
        <v>0</v>
      </c>
      <c r="GL107">
        <v>27.6357</v>
      </c>
      <c r="GM107">
        <v>1200</v>
      </c>
      <c r="GN107">
        <v>19.4378</v>
      </c>
      <c r="GO107">
        <v>101.141</v>
      </c>
      <c r="GP107">
        <v>96.2341</v>
      </c>
    </row>
    <row r="108" spans="1:198">
      <c r="A108">
        <v>92</v>
      </c>
      <c r="B108">
        <v>1773201560.6</v>
      </c>
      <c r="C108">
        <v>5460.599999904633</v>
      </c>
      <c r="D108" t="s">
        <v>517</v>
      </c>
      <c r="E108" t="s">
        <v>518</v>
      </c>
      <c r="F108">
        <v>15</v>
      </c>
      <c r="G108">
        <v>1773201552.599999</v>
      </c>
      <c r="H108">
        <f>(I108)/1000</f>
        <v>0</v>
      </c>
      <c r="I108">
        <f>1000*AY108*AG108*(AU108-AV108)/(100*AN108*(1000-AG108*AU108))</f>
        <v>0</v>
      </c>
      <c r="J108">
        <f>AY108*AG108*(AT108-AS108*(1000-AG108*AV108)/(1000-AG108*AU108))/(100*AN108)</f>
        <v>0</v>
      </c>
      <c r="K108">
        <f>AS108 - IF(AG108&gt;1, J108*AN108*100.0/(AI108), 0)</f>
        <v>0</v>
      </c>
      <c r="L108">
        <f>((R108-H108/2)*K108-J108)/(R108+H108/2)</f>
        <v>0</v>
      </c>
      <c r="M108">
        <f>L108*(AZ108+BA108)/1000.0</f>
        <v>0</v>
      </c>
      <c r="N108">
        <f>(AS108 - IF(AG108&gt;1, J108*AN108*100.0/(AI108), 0))*(AZ108+BA108)/1000.0</f>
        <v>0</v>
      </c>
      <c r="O108">
        <f>2.0/((1/Q108-1/P108)+SIGN(Q108)*SQRT((1/Q108-1/P108)*(1/Q108-1/P108) + 4*AO108/((AO108+1)*(AO108+1))*(2*1/Q108*1/P108-1/P108*1/P108)))</f>
        <v>0</v>
      </c>
      <c r="P108">
        <f>IF(LEFT(AP108,1)&lt;&gt;"0",IF(LEFT(AP108,1)="1",3.0,AQ108),$D$5+$E$5*(BG108*AZ108/($K$5*1000))+$F$5*(BG108*AZ108/($K$5*1000))*MAX(MIN(AN108,$J$5),$I$5)*MAX(MIN(AN108,$J$5),$I$5)+$G$5*MAX(MIN(AN108,$J$5),$I$5)*(BG108*AZ108/($K$5*1000))+$H$5*(BG108*AZ108/($K$5*1000))*(BG108*AZ108/($K$5*1000)))</f>
        <v>0</v>
      </c>
      <c r="Q108">
        <f>H108*(1000-(1000*0.61365*exp(17.502*U108/(240.97+U108))/(AZ108+BA108)+AU108)/2)/(1000*0.61365*exp(17.502*U108/(240.97+U108))/(AZ108+BA108)-AU108)</f>
        <v>0</v>
      </c>
      <c r="R108">
        <f>1/((AO108+1)/(O108/1.6)+1/(P108/1.37)) + AO108/((AO108+1)/(O108/1.6) + AO108/(P108/1.37))</f>
        <v>0</v>
      </c>
      <c r="S108">
        <f>(AJ108*AM108)</f>
        <v>0</v>
      </c>
      <c r="T108">
        <f>(BB108+(S108+2*0.95*5.67E-8*(((BB108+$B$7)+273)^4-(BB108+273)^4)-44100*H108)/(1.84*29.3*P108+8*0.95*5.67E-8*(BB108+273)^3))</f>
        <v>0</v>
      </c>
      <c r="U108">
        <f>($C$7*BC108+$D$7*BD108+$E$7*T108)</f>
        <v>0</v>
      </c>
      <c r="V108">
        <f>0.61365*exp(17.502*U108/(240.97+U108))</f>
        <v>0</v>
      </c>
      <c r="W108">
        <f>(X108/Y108*100)</f>
        <v>0</v>
      </c>
      <c r="X108">
        <f>AU108*(AZ108+BA108)/1000</f>
        <v>0</v>
      </c>
      <c r="Y108">
        <f>0.61365*exp(17.502*BB108/(240.97+BB108))</f>
        <v>0</v>
      </c>
      <c r="Z108">
        <f>(V108-AU108*(AZ108+BA108)/1000)</f>
        <v>0</v>
      </c>
      <c r="AA108">
        <f>(-H108*44100)</f>
        <v>0</v>
      </c>
      <c r="AB108">
        <f>2*29.3*P108*0.92*(BB108-U108)</f>
        <v>0</v>
      </c>
      <c r="AC108">
        <f>2*0.95*5.67E-8*(((BB108+$B$7)+273)^4-(U108+273)^4)</f>
        <v>0</v>
      </c>
      <c r="AD108">
        <f>S108+AC108+AA108+AB108</f>
        <v>0</v>
      </c>
      <c r="AE108">
        <v>0</v>
      </c>
      <c r="AF108">
        <v>0</v>
      </c>
      <c r="AG108">
        <f>IF(AE108*$H$13&gt;=AI108,1.0,(AI108/(AI108-AE108*$H$13)))</f>
        <v>0</v>
      </c>
      <c r="AH108">
        <f>(AG108-1)*100</f>
        <v>0</v>
      </c>
      <c r="AI108">
        <f>MAX(0,($B$13+$C$13*BG108)/(1+$D$13*BG108)*AZ108/(BB108+273)*$E$13)</f>
        <v>0</v>
      </c>
      <c r="AJ108">
        <f>$B$11*BH108+$C$11*BI108+$D$11*BT108</f>
        <v>0</v>
      </c>
      <c r="AK108">
        <f>AJ108*AL108</f>
        <v>0</v>
      </c>
      <c r="AL108">
        <f>($B$11*$D$9+$C$11*$D$9+$D$11*(BU108*$E$9+BV108*$G$9))/($B$11+$C$11+$D$11)</f>
        <v>0</v>
      </c>
      <c r="AM108">
        <f>($B$11*$K$9+$C$11*$K$9+$D$11*(BU108*$L$9+BV108*$N$9))/($B$11+$C$11+$D$11)</f>
        <v>0</v>
      </c>
      <c r="AN108">
        <v>3</v>
      </c>
      <c r="AO108">
        <v>0.5</v>
      </c>
      <c r="AP108" t="s">
        <v>331</v>
      </c>
      <c r="AQ108">
        <v>2</v>
      </c>
      <c r="AR108">
        <v>1773201552.599999</v>
      </c>
      <c r="AS108">
        <v>425.9492903225806</v>
      </c>
      <c r="AT108">
        <v>423.8706451612904</v>
      </c>
      <c r="AU108">
        <v>11.32839032258064</v>
      </c>
      <c r="AV108">
        <v>11.0177</v>
      </c>
      <c r="AW108">
        <v>419.7178709677419</v>
      </c>
      <c r="AX108">
        <v>11.24780322580645</v>
      </c>
      <c r="AY108">
        <v>500.0492580645162</v>
      </c>
      <c r="AZ108">
        <v>100.1797741935484</v>
      </c>
      <c r="BA108">
        <v>0.0451247193548387</v>
      </c>
      <c r="BB108">
        <v>30.79723870967742</v>
      </c>
      <c r="BC108">
        <v>31.01767419354839</v>
      </c>
      <c r="BD108">
        <v>999.9000000000003</v>
      </c>
      <c r="BE108">
        <v>0</v>
      </c>
      <c r="BF108">
        <v>0</v>
      </c>
      <c r="BG108">
        <v>4984</v>
      </c>
      <c r="BH108">
        <v>1.281526129032258</v>
      </c>
      <c r="BI108">
        <v>2214.314838709677</v>
      </c>
      <c r="BJ108">
        <v>2.078474193548387</v>
      </c>
      <c r="BK108">
        <v>430.8298387096773</v>
      </c>
      <c r="BL108">
        <v>428.592935483871</v>
      </c>
      <c r="BM108">
        <v>0.3106885483870966</v>
      </c>
      <c r="BN108">
        <v>423.8706451612904</v>
      </c>
      <c r="BO108">
        <v>11.0177</v>
      </c>
      <c r="BP108">
        <v>1.134877096774194</v>
      </c>
      <c r="BQ108">
        <v>1.10375129032258</v>
      </c>
      <c r="BR108">
        <v>8.773615161290321</v>
      </c>
      <c r="BS108">
        <v>8.363028387096774</v>
      </c>
      <c r="BT108">
        <v>0</v>
      </c>
      <c r="BU108">
        <v>0</v>
      </c>
      <c r="BV108">
        <v>0</v>
      </c>
      <c r="BW108">
        <v>35</v>
      </c>
      <c r="BX108">
        <v>54</v>
      </c>
      <c r="BY108">
        <v>1773196010</v>
      </c>
      <c r="BZ108" t="s">
        <v>332</v>
      </c>
      <c r="CA108">
        <v>1773196010</v>
      </c>
      <c r="CB108">
        <v>1773196005.5</v>
      </c>
      <c r="CC108">
        <v>2</v>
      </c>
      <c r="CD108">
        <v>-0.279</v>
      </c>
      <c r="CE108">
        <v>-0.021</v>
      </c>
      <c r="CF108">
        <v>6.231</v>
      </c>
      <c r="CG108">
        <v>0.081</v>
      </c>
      <c r="CH108">
        <v>432</v>
      </c>
      <c r="CI108">
        <v>21</v>
      </c>
      <c r="CJ108">
        <v>0.03</v>
      </c>
      <c r="CK108">
        <v>0.06</v>
      </c>
      <c r="CL108">
        <v>423.8715</v>
      </c>
      <c r="CM108">
        <v>0.120373748610353</v>
      </c>
      <c r="CN108">
        <v>0.01194640810732486</v>
      </c>
      <c r="CO108">
        <v>-1</v>
      </c>
      <c r="CP108">
        <v>500.0488333333334</v>
      </c>
      <c r="CQ108">
        <v>-0.2349543937704233</v>
      </c>
      <c r="CR108">
        <v>0.06902419060654136</v>
      </c>
      <c r="CS108">
        <v>-1</v>
      </c>
      <c r="CT108">
        <v>0</v>
      </c>
      <c r="CU108">
        <v>0</v>
      </c>
      <c r="CV108" t="s">
        <v>333</v>
      </c>
      <c r="CW108">
        <v>3.1708</v>
      </c>
      <c r="CX108">
        <v>2.66649</v>
      </c>
      <c r="CY108">
        <v>0.0997791</v>
      </c>
      <c r="CZ108">
        <v>0.100581</v>
      </c>
      <c r="DA108">
        <v>0.06407640000000001</v>
      </c>
      <c r="DB108">
        <v>0.0628044</v>
      </c>
      <c r="DC108">
        <v>21329</v>
      </c>
      <c r="DD108">
        <v>21889.1</v>
      </c>
      <c r="DE108">
        <v>22842.6</v>
      </c>
      <c r="DF108">
        <v>22281.3</v>
      </c>
      <c r="DG108">
        <v>32330.1</v>
      </c>
      <c r="DH108">
        <v>29418.2</v>
      </c>
      <c r="DI108">
        <v>40203.5</v>
      </c>
      <c r="DJ108">
        <v>36855.8</v>
      </c>
      <c r="DK108">
        <v>2.0284</v>
      </c>
      <c r="DL108">
        <v>1.50498</v>
      </c>
      <c r="DM108">
        <v>-0.06933209999999999</v>
      </c>
      <c r="DN108">
        <v>0</v>
      </c>
      <c r="DO108">
        <v>32.1464</v>
      </c>
      <c r="DP108">
        <v>999.9</v>
      </c>
      <c r="DQ108">
        <v>24.4</v>
      </c>
      <c r="DR108">
        <v>44.9</v>
      </c>
      <c r="DS108">
        <v>23.356</v>
      </c>
      <c r="DT108">
        <v>29.9391</v>
      </c>
      <c r="DU108">
        <v>14.383</v>
      </c>
      <c r="DV108">
        <v>1</v>
      </c>
      <c r="DW108">
        <v>0.862144</v>
      </c>
      <c r="DX108">
        <v>3.78904</v>
      </c>
      <c r="DY108">
        <v>20.3122</v>
      </c>
      <c r="DZ108">
        <v>5.21082</v>
      </c>
      <c r="EA108">
        <v>11.855</v>
      </c>
      <c r="EB108">
        <v>4.96684</v>
      </c>
      <c r="EC108">
        <v>3.293</v>
      </c>
      <c r="ED108">
        <v>879.4</v>
      </c>
      <c r="EE108">
        <v>9999</v>
      </c>
      <c r="EF108">
        <v>9999</v>
      </c>
      <c r="EG108">
        <v>77.5</v>
      </c>
      <c r="EH108">
        <v>4.9716</v>
      </c>
      <c r="EI108">
        <v>1.8721</v>
      </c>
      <c r="EJ108">
        <v>1.8695</v>
      </c>
      <c r="EK108">
        <v>1.8718</v>
      </c>
      <c r="EL108">
        <v>1.86956</v>
      </c>
      <c r="EM108">
        <v>1.86842</v>
      </c>
      <c r="EN108">
        <v>1.87027</v>
      </c>
      <c r="EO108">
        <v>1.87195</v>
      </c>
      <c r="EP108">
        <v>0</v>
      </c>
      <c r="EQ108">
        <v>0</v>
      </c>
      <c r="ER108">
        <v>0</v>
      </c>
      <c r="ES108">
        <v>0</v>
      </c>
      <c r="ET108" t="s">
        <v>334</v>
      </c>
      <c r="EU108" t="s">
        <v>335</v>
      </c>
      <c r="EV108" t="s">
        <v>336</v>
      </c>
      <c r="EW108" t="s">
        <v>336</v>
      </c>
      <c r="EX108" t="s">
        <v>336</v>
      </c>
      <c r="EY108" t="s">
        <v>336</v>
      </c>
      <c r="EZ108">
        <v>0</v>
      </c>
      <c r="FA108">
        <v>100</v>
      </c>
      <c r="FB108">
        <v>100</v>
      </c>
      <c r="FC108">
        <v>6.232</v>
      </c>
      <c r="FD108">
        <v>0.0805</v>
      </c>
      <c r="FE108">
        <v>6.23135000000002</v>
      </c>
      <c r="FF108">
        <v>0</v>
      </c>
      <c r="FG108">
        <v>0</v>
      </c>
      <c r="FH108">
        <v>0</v>
      </c>
      <c r="FI108">
        <v>0.08059047619047632</v>
      </c>
      <c r="FJ108">
        <v>0</v>
      </c>
      <c r="FK108">
        <v>0</v>
      </c>
      <c r="FL108">
        <v>0</v>
      </c>
      <c r="FM108">
        <v>-1</v>
      </c>
      <c r="FN108">
        <v>-1</v>
      </c>
      <c r="FO108">
        <v>-1</v>
      </c>
      <c r="FP108">
        <v>-1</v>
      </c>
      <c r="FQ108">
        <v>92.5</v>
      </c>
      <c r="FR108">
        <v>92.59999999999999</v>
      </c>
      <c r="FS108">
        <v>0.141602</v>
      </c>
      <c r="FT108">
        <v>4.99756</v>
      </c>
      <c r="FU108">
        <v>1.5979</v>
      </c>
      <c r="FV108">
        <v>2.1106</v>
      </c>
      <c r="FW108">
        <v>1.54785</v>
      </c>
      <c r="FX108">
        <v>2.45728</v>
      </c>
      <c r="FY108">
        <v>46.8264</v>
      </c>
      <c r="FZ108">
        <v>15.7256</v>
      </c>
      <c r="GA108">
        <v>3</v>
      </c>
      <c r="GB108">
        <v>519.694</v>
      </c>
      <c r="GC108">
        <v>291.946</v>
      </c>
      <c r="GD108">
        <v>27.5776</v>
      </c>
      <c r="GE108">
        <v>37.5948</v>
      </c>
      <c r="GF108">
        <v>29.9999</v>
      </c>
      <c r="GG108">
        <v>37.5289</v>
      </c>
      <c r="GH108">
        <v>37.5239</v>
      </c>
      <c r="GI108">
        <v>-1</v>
      </c>
      <c r="GJ108">
        <v>100</v>
      </c>
      <c r="GK108">
        <v>0</v>
      </c>
      <c r="GL108">
        <v>27.5757</v>
      </c>
      <c r="GM108">
        <v>1200</v>
      </c>
      <c r="GN108">
        <v>19.4378</v>
      </c>
      <c r="GO108">
        <v>101.145</v>
      </c>
      <c r="GP108">
        <v>96.2392</v>
      </c>
    </row>
    <row r="109" spans="1:198">
      <c r="A109">
        <v>93</v>
      </c>
      <c r="B109">
        <v>1773201620.6</v>
      </c>
      <c r="C109">
        <v>5520.599999904633</v>
      </c>
      <c r="D109" t="s">
        <v>519</v>
      </c>
      <c r="E109" t="s">
        <v>520</v>
      </c>
      <c r="F109">
        <v>15</v>
      </c>
      <c r="G109">
        <v>1773201612.599999</v>
      </c>
      <c r="H109">
        <f>(I109)/1000</f>
        <v>0</v>
      </c>
      <c r="I109">
        <f>1000*AY109*AG109*(AU109-AV109)/(100*AN109*(1000-AG109*AU109))</f>
        <v>0</v>
      </c>
      <c r="J109">
        <f>AY109*AG109*(AT109-AS109*(1000-AG109*AV109)/(1000-AG109*AU109))/(100*AN109)</f>
        <v>0</v>
      </c>
      <c r="K109">
        <f>AS109 - IF(AG109&gt;1, J109*AN109*100.0/(AI109), 0)</f>
        <v>0</v>
      </c>
      <c r="L109">
        <f>((R109-H109/2)*K109-J109)/(R109+H109/2)</f>
        <v>0</v>
      </c>
      <c r="M109">
        <f>L109*(AZ109+BA109)/1000.0</f>
        <v>0</v>
      </c>
      <c r="N109">
        <f>(AS109 - IF(AG109&gt;1, J109*AN109*100.0/(AI109), 0))*(AZ109+BA109)/1000.0</f>
        <v>0</v>
      </c>
      <c r="O109">
        <f>2.0/((1/Q109-1/P109)+SIGN(Q109)*SQRT((1/Q109-1/P109)*(1/Q109-1/P109) + 4*AO109/((AO109+1)*(AO109+1))*(2*1/Q109*1/P109-1/P109*1/P109)))</f>
        <v>0</v>
      </c>
      <c r="P109">
        <f>IF(LEFT(AP109,1)&lt;&gt;"0",IF(LEFT(AP109,1)="1",3.0,AQ109),$D$5+$E$5*(BG109*AZ109/($K$5*1000))+$F$5*(BG109*AZ109/($K$5*1000))*MAX(MIN(AN109,$J$5),$I$5)*MAX(MIN(AN109,$J$5),$I$5)+$G$5*MAX(MIN(AN109,$J$5),$I$5)*(BG109*AZ109/($K$5*1000))+$H$5*(BG109*AZ109/($K$5*1000))*(BG109*AZ109/($K$5*1000)))</f>
        <v>0</v>
      </c>
      <c r="Q109">
        <f>H109*(1000-(1000*0.61365*exp(17.502*U109/(240.97+U109))/(AZ109+BA109)+AU109)/2)/(1000*0.61365*exp(17.502*U109/(240.97+U109))/(AZ109+BA109)-AU109)</f>
        <v>0</v>
      </c>
      <c r="R109">
        <f>1/((AO109+1)/(O109/1.6)+1/(P109/1.37)) + AO109/((AO109+1)/(O109/1.6) + AO109/(P109/1.37))</f>
        <v>0</v>
      </c>
      <c r="S109">
        <f>(AJ109*AM109)</f>
        <v>0</v>
      </c>
      <c r="T109">
        <f>(BB109+(S109+2*0.95*5.67E-8*(((BB109+$B$7)+273)^4-(BB109+273)^4)-44100*H109)/(1.84*29.3*P109+8*0.95*5.67E-8*(BB109+273)^3))</f>
        <v>0</v>
      </c>
      <c r="U109">
        <f>($C$7*BC109+$D$7*BD109+$E$7*T109)</f>
        <v>0</v>
      </c>
      <c r="V109">
        <f>0.61365*exp(17.502*U109/(240.97+U109))</f>
        <v>0</v>
      </c>
      <c r="W109">
        <f>(X109/Y109*100)</f>
        <v>0</v>
      </c>
      <c r="X109">
        <f>AU109*(AZ109+BA109)/1000</f>
        <v>0</v>
      </c>
      <c r="Y109">
        <f>0.61365*exp(17.502*BB109/(240.97+BB109))</f>
        <v>0</v>
      </c>
      <c r="Z109">
        <f>(V109-AU109*(AZ109+BA109)/1000)</f>
        <v>0</v>
      </c>
      <c r="AA109">
        <f>(-H109*44100)</f>
        <v>0</v>
      </c>
      <c r="AB109">
        <f>2*29.3*P109*0.92*(BB109-U109)</f>
        <v>0</v>
      </c>
      <c r="AC109">
        <f>2*0.95*5.67E-8*(((BB109+$B$7)+273)^4-(U109+273)^4)</f>
        <v>0</v>
      </c>
      <c r="AD109">
        <f>S109+AC109+AA109+AB109</f>
        <v>0</v>
      </c>
      <c r="AE109">
        <v>0</v>
      </c>
      <c r="AF109">
        <v>0</v>
      </c>
      <c r="AG109">
        <f>IF(AE109*$H$13&gt;=AI109,1.0,(AI109/(AI109-AE109*$H$13)))</f>
        <v>0</v>
      </c>
      <c r="AH109">
        <f>(AG109-1)*100</f>
        <v>0</v>
      </c>
      <c r="AI109">
        <f>MAX(0,($B$13+$C$13*BG109)/(1+$D$13*BG109)*AZ109/(BB109+273)*$E$13)</f>
        <v>0</v>
      </c>
      <c r="AJ109">
        <f>$B$11*BH109+$C$11*BI109+$D$11*BT109</f>
        <v>0</v>
      </c>
      <c r="AK109">
        <f>AJ109*AL109</f>
        <v>0</v>
      </c>
      <c r="AL109">
        <f>($B$11*$D$9+$C$11*$D$9+$D$11*(BU109*$E$9+BV109*$G$9))/($B$11+$C$11+$D$11)</f>
        <v>0</v>
      </c>
      <c r="AM109">
        <f>($B$11*$K$9+$C$11*$K$9+$D$11*(BU109*$L$9+BV109*$N$9))/($B$11+$C$11+$D$11)</f>
        <v>0</v>
      </c>
      <c r="AN109">
        <v>3</v>
      </c>
      <c r="AO109">
        <v>0.5</v>
      </c>
      <c r="AP109" t="s">
        <v>331</v>
      </c>
      <c r="AQ109">
        <v>2</v>
      </c>
      <c r="AR109">
        <v>1773201612.599999</v>
      </c>
      <c r="AS109">
        <v>426.0654516129031</v>
      </c>
      <c r="AT109">
        <v>424.1092580645162</v>
      </c>
      <c r="AU109">
        <v>11.30476451612903</v>
      </c>
      <c r="AV109">
        <v>11.01286451612903</v>
      </c>
      <c r="AW109">
        <v>419.8341612903225</v>
      </c>
      <c r="AX109">
        <v>11.22416451612903</v>
      </c>
      <c r="AY109">
        <v>499.9926774193548</v>
      </c>
      <c r="AZ109">
        <v>100.1758709677419</v>
      </c>
      <c r="BA109">
        <v>0.04471288064516129</v>
      </c>
      <c r="BB109">
        <v>30.79118387096774</v>
      </c>
      <c r="BC109">
        <v>31.02212258064517</v>
      </c>
      <c r="BD109">
        <v>999.9000000000003</v>
      </c>
      <c r="BE109">
        <v>0</v>
      </c>
      <c r="BF109">
        <v>0</v>
      </c>
      <c r="BG109">
        <v>4996.129032258064</v>
      </c>
      <c r="BH109">
        <v>1.28057</v>
      </c>
      <c r="BI109">
        <v>2195.074516129033</v>
      </c>
      <c r="BJ109">
        <v>1.956202258064516</v>
      </c>
      <c r="BK109">
        <v>430.9371935483871</v>
      </c>
      <c r="BL109">
        <v>428.831935483871</v>
      </c>
      <c r="BM109">
        <v>0.2918981612903226</v>
      </c>
      <c r="BN109">
        <v>424.1092580645162</v>
      </c>
      <c r="BO109">
        <v>11.01286451612903</v>
      </c>
      <c r="BP109">
        <v>1.132464516129032</v>
      </c>
      <c r="BQ109">
        <v>1.103223548387097</v>
      </c>
      <c r="BR109">
        <v>8.74216935483871</v>
      </c>
      <c r="BS109">
        <v>8.355983870967743</v>
      </c>
      <c r="BT109">
        <v>0</v>
      </c>
      <c r="BU109">
        <v>0</v>
      </c>
      <c r="BV109">
        <v>0</v>
      </c>
      <c r="BW109">
        <v>35</v>
      </c>
      <c r="BX109">
        <v>53.98924838709677</v>
      </c>
      <c r="BY109">
        <v>1773196010</v>
      </c>
      <c r="BZ109" t="s">
        <v>332</v>
      </c>
      <c r="CA109">
        <v>1773196010</v>
      </c>
      <c r="CB109">
        <v>1773196005.5</v>
      </c>
      <c r="CC109">
        <v>2</v>
      </c>
      <c r="CD109">
        <v>-0.279</v>
      </c>
      <c r="CE109">
        <v>-0.021</v>
      </c>
      <c r="CF109">
        <v>6.231</v>
      </c>
      <c r="CG109">
        <v>0.081</v>
      </c>
      <c r="CH109">
        <v>432</v>
      </c>
      <c r="CI109">
        <v>21</v>
      </c>
      <c r="CJ109">
        <v>0.03</v>
      </c>
      <c r="CK109">
        <v>0.06</v>
      </c>
      <c r="CL109">
        <v>424.1059666666667</v>
      </c>
      <c r="CM109">
        <v>0.7128720800892298</v>
      </c>
      <c r="CN109">
        <v>0.07024219213233539</v>
      </c>
      <c r="CO109">
        <v>-1</v>
      </c>
      <c r="CP109">
        <v>499.9920666666666</v>
      </c>
      <c r="CQ109">
        <v>-0.3895528364851609</v>
      </c>
      <c r="CR109">
        <v>0.04103813944234311</v>
      </c>
      <c r="CS109">
        <v>-1</v>
      </c>
      <c r="CT109">
        <v>0</v>
      </c>
      <c r="CU109">
        <v>0</v>
      </c>
      <c r="CV109" t="s">
        <v>333</v>
      </c>
      <c r="CW109">
        <v>3.17082</v>
      </c>
      <c r="CX109">
        <v>2.66588</v>
      </c>
      <c r="CY109">
        <v>0.09981520000000001</v>
      </c>
      <c r="CZ109">
        <v>0.100625</v>
      </c>
      <c r="DA109">
        <v>0.0640249</v>
      </c>
      <c r="DB109">
        <v>0.06284480000000001</v>
      </c>
      <c r="DC109">
        <v>21329.2</v>
      </c>
      <c r="DD109">
        <v>21888.8</v>
      </c>
      <c r="DE109">
        <v>22843.6</v>
      </c>
      <c r="DF109">
        <v>22282</v>
      </c>
      <c r="DG109">
        <v>32333.4</v>
      </c>
      <c r="DH109">
        <v>29418</v>
      </c>
      <c r="DI109">
        <v>40205.3</v>
      </c>
      <c r="DJ109">
        <v>36857.1</v>
      </c>
      <c r="DK109">
        <v>2.02878</v>
      </c>
      <c r="DL109">
        <v>1.50512</v>
      </c>
      <c r="DM109">
        <v>-0.0729173</v>
      </c>
      <c r="DN109">
        <v>0</v>
      </c>
      <c r="DO109">
        <v>32.2072</v>
      </c>
      <c r="DP109">
        <v>999.9</v>
      </c>
      <c r="DQ109">
        <v>24.5</v>
      </c>
      <c r="DR109">
        <v>45</v>
      </c>
      <c r="DS109">
        <v>23.5755</v>
      </c>
      <c r="DT109">
        <v>30.0291</v>
      </c>
      <c r="DU109">
        <v>14.4311</v>
      </c>
      <c r="DV109">
        <v>1</v>
      </c>
      <c r="DW109">
        <v>0.859858</v>
      </c>
      <c r="DX109">
        <v>3.74998</v>
      </c>
      <c r="DY109">
        <v>20.3132</v>
      </c>
      <c r="DZ109">
        <v>5.21082</v>
      </c>
      <c r="EA109">
        <v>11.8549</v>
      </c>
      <c r="EB109">
        <v>4.96772</v>
      </c>
      <c r="EC109">
        <v>3.293</v>
      </c>
      <c r="ED109">
        <v>879.4</v>
      </c>
      <c r="EE109">
        <v>9999</v>
      </c>
      <c r="EF109">
        <v>9999</v>
      </c>
      <c r="EG109">
        <v>77.59999999999999</v>
      </c>
      <c r="EH109">
        <v>4.97161</v>
      </c>
      <c r="EI109">
        <v>1.8721</v>
      </c>
      <c r="EJ109">
        <v>1.86951</v>
      </c>
      <c r="EK109">
        <v>1.8718</v>
      </c>
      <c r="EL109">
        <v>1.8696</v>
      </c>
      <c r="EM109">
        <v>1.86842</v>
      </c>
      <c r="EN109">
        <v>1.87024</v>
      </c>
      <c r="EO109">
        <v>1.87195</v>
      </c>
      <c r="EP109">
        <v>0</v>
      </c>
      <c r="EQ109">
        <v>0</v>
      </c>
      <c r="ER109">
        <v>0</v>
      </c>
      <c r="ES109">
        <v>0</v>
      </c>
      <c r="ET109" t="s">
        <v>334</v>
      </c>
      <c r="EU109" t="s">
        <v>335</v>
      </c>
      <c r="EV109" t="s">
        <v>336</v>
      </c>
      <c r="EW109" t="s">
        <v>336</v>
      </c>
      <c r="EX109" t="s">
        <v>336</v>
      </c>
      <c r="EY109" t="s">
        <v>336</v>
      </c>
      <c r="EZ109">
        <v>0</v>
      </c>
      <c r="FA109">
        <v>100</v>
      </c>
      <c r="FB109">
        <v>100</v>
      </c>
      <c r="FC109">
        <v>6.232</v>
      </c>
      <c r="FD109">
        <v>0.0806</v>
      </c>
      <c r="FE109">
        <v>6.23135000000002</v>
      </c>
      <c r="FF109">
        <v>0</v>
      </c>
      <c r="FG109">
        <v>0</v>
      </c>
      <c r="FH109">
        <v>0</v>
      </c>
      <c r="FI109">
        <v>0.08059047619047632</v>
      </c>
      <c r="FJ109">
        <v>0</v>
      </c>
      <c r="FK109">
        <v>0</v>
      </c>
      <c r="FL109">
        <v>0</v>
      </c>
      <c r="FM109">
        <v>-1</v>
      </c>
      <c r="FN109">
        <v>-1</v>
      </c>
      <c r="FO109">
        <v>-1</v>
      </c>
      <c r="FP109">
        <v>-1</v>
      </c>
      <c r="FQ109">
        <v>93.5</v>
      </c>
      <c r="FR109">
        <v>93.59999999999999</v>
      </c>
      <c r="FS109">
        <v>0.141602</v>
      </c>
      <c r="FT109">
        <v>4.99756</v>
      </c>
      <c r="FU109">
        <v>1.5979</v>
      </c>
      <c r="FV109">
        <v>2.10938</v>
      </c>
      <c r="FW109">
        <v>1.54785</v>
      </c>
      <c r="FX109">
        <v>2.45483</v>
      </c>
      <c r="FY109">
        <v>46.7969</v>
      </c>
      <c r="FZ109">
        <v>15.7169</v>
      </c>
      <c r="GA109">
        <v>3</v>
      </c>
      <c r="GB109">
        <v>519.775</v>
      </c>
      <c r="GC109">
        <v>291.943</v>
      </c>
      <c r="GD109">
        <v>27.6268</v>
      </c>
      <c r="GE109">
        <v>37.5712</v>
      </c>
      <c r="GF109">
        <v>30.0002</v>
      </c>
      <c r="GG109">
        <v>37.5068</v>
      </c>
      <c r="GH109">
        <v>37.5063</v>
      </c>
      <c r="GI109">
        <v>-1</v>
      </c>
      <c r="GJ109">
        <v>100</v>
      </c>
      <c r="GK109">
        <v>0</v>
      </c>
      <c r="GL109">
        <v>27.6241</v>
      </c>
      <c r="GM109">
        <v>1200</v>
      </c>
      <c r="GN109">
        <v>19.4378</v>
      </c>
      <c r="GO109">
        <v>101.15</v>
      </c>
      <c r="GP109">
        <v>96.2426</v>
      </c>
    </row>
    <row r="110" spans="1:198">
      <c r="A110">
        <v>94</v>
      </c>
      <c r="B110">
        <v>1773201680.6</v>
      </c>
      <c r="C110">
        <v>5580.599999904633</v>
      </c>
      <c r="D110" t="s">
        <v>521</v>
      </c>
      <c r="E110" t="s">
        <v>522</v>
      </c>
      <c r="F110">
        <v>15</v>
      </c>
      <c r="G110">
        <v>1773201672.599999</v>
      </c>
      <c r="H110">
        <f>(I110)/1000</f>
        <v>0</v>
      </c>
      <c r="I110">
        <f>1000*AY110*AG110*(AU110-AV110)/(100*AN110*(1000-AG110*AU110))</f>
        <v>0</v>
      </c>
      <c r="J110">
        <f>AY110*AG110*(AT110-AS110*(1000-AG110*AV110)/(1000-AG110*AU110))/(100*AN110)</f>
        <v>0</v>
      </c>
      <c r="K110">
        <f>AS110 - IF(AG110&gt;1, J110*AN110*100.0/(AI110), 0)</f>
        <v>0</v>
      </c>
      <c r="L110">
        <f>((R110-H110/2)*K110-J110)/(R110+H110/2)</f>
        <v>0</v>
      </c>
      <c r="M110">
        <f>L110*(AZ110+BA110)/1000.0</f>
        <v>0</v>
      </c>
      <c r="N110">
        <f>(AS110 - IF(AG110&gt;1, J110*AN110*100.0/(AI110), 0))*(AZ110+BA110)/1000.0</f>
        <v>0</v>
      </c>
      <c r="O110">
        <f>2.0/((1/Q110-1/P110)+SIGN(Q110)*SQRT((1/Q110-1/P110)*(1/Q110-1/P110) + 4*AO110/((AO110+1)*(AO110+1))*(2*1/Q110*1/P110-1/P110*1/P110)))</f>
        <v>0</v>
      </c>
      <c r="P110">
        <f>IF(LEFT(AP110,1)&lt;&gt;"0",IF(LEFT(AP110,1)="1",3.0,AQ110),$D$5+$E$5*(BG110*AZ110/($K$5*1000))+$F$5*(BG110*AZ110/($K$5*1000))*MAX(MIN(AN110,$J$5),$I$5)*MAX(MIN(AN110,$J$5),$I$5)+$G$5*MAX(MIN(AN110,$J$5),$I$5)*(BG110*AZ110/($K$5*1000))+$H$5*(BG110*AZ110/($K$5*1000))*(BG110*AZ110/($K$5*1000)))</f>
        <v>0</v>
      </c>
      <c r="Q110">
        <f>H110*(1000-(1000*0.61365*exp(17.502*U110/(240.97+U110))/(AZ110+BA110)+AU110)/2)/(1000*0.61365*exp(17.502*U110/(240.97+U110))/(AZ110+BA110)-AU110)</f>
        <v>0</v>
      </c>
      <c r="R110">
        <f>1/((AO110+1)/(O110/1.6)+1/(P110/1.37)) + AO110/((AO110+1)/(O110/1.6) + AO110/(P110/1.37))</f>
        <v>0</v>
      </c>
      <c r="S110">
        <f>(AJ110*AM110)</f>
        <v>0</v>
      </c>
      <c r="T110">
        <f>(BB110+(S110+2*0.95*5.67E-8*(((BB110+$B$7)+273)^4-(BB110+273)^4)-44100*H110)/(1.84*29.3*P110+8*0.95*5.67E-8*(BB110+273)^3))</f>
        <v>0</v>
      </c>
      <c r="U110">
        <f>($C$7*BC110+$D$7*BD110+$E$7*T110)</f>
        <v>0</v>
      </c>
      <c r="V110">
        <f>0.61365*exp(17.502*U110/(240.97+U110))</f>
        <v>0</v>
      </c>
      <c r="W110">
        <f>(X110/Y110*100)</f>
        <v>0</v>
      </c>
      <c r="X110">
        <f>AU110*(AZ110+BA110)/1000</f>
        <v>0</v>
      </c>
      <c r="Y110">
        <f>0.61365*exp(17.502*BB110/(240.97+BB110))</f>
        <v>0</v>
      </c>
      <c r="Z110">
        <f>(V110-AU110*(AZ110+BA110)/1000)</f>
        <v>0</v>
      </c>
      <c r="AA110">
        <f>(-H110*44100)</f>
        <v>0</v>
      </c>
      <c r="AB110">
        <f>2*29.3*P110*0.92*(BB110-U110)</f>
        <v>0</v>
      </c>
      <c r="AC110">
        <f>2*0.95*5.67E-8*(((BB110+$B$7)+273)^4-(U110+273)^4)</f>
        <v>0</v>
      </c>
      <c r="AD110">
        <f>S110+AC110+AA110+AB110</f>
        <v>0</v>
      </c>
      <c r="AE110">
        <v>0</v>
      </c>
      <c r="AF110">
        <v>0</v>
      </c>
      <c r="AG110">
        <f>IF(AE110*$H$13&gt;=AI110,1.0,(AI110/(AI110-AE110*$H$13)))</f>
        <v>0</v>
      </c>
      <c r="AH110">
        <f>(AG110-1)*100</f>
        <v>0</v>
      </c>
      <c r="AI110">
        <f>MAX(0,($B$13+$C$13*BG110)/(1+$D$13*BG110)*AZ110/(BB110+273)*$E$13)</f>
        <v>0</v>
      </c>
      <c r="AJ110">
        <f>$B$11*BH110+$C$11*BI110+$D$11*BT110</f>
        <v>0</v>
      </c>
      <c r="AK110">
        <f>AJ110*AL110</f>
        <v>0</v>
      </c>
      <c r="AL110">
        <f>($B$11*$D$9+$C$11*$D$9+$D$11*(BU110*$E$9+BV110*$G$9))/($B$11+$C$11+$D$11)</f>
        <v>0</v>
      </c>
      <c r="AM110">
        <f>($B$11*$K$9+$C$11*$K$9+$D$11*(BU110*$L$9+BV110*$N$9))/($B$11+$C$11+$D$11)</f>
        <v>0</v>
      </c>
      <c r="AN110">
        <v>3</v>
      </c>
      <c r="AO110">
        <v>0.5</v>
      </c>
      <c r="AP110" t="s">
        <v>331</v>
      </c>
      <c r="AQ110">
        <v>2</v>
      </c>
      <c r="AR110">
        <v>1773201672.599999</v>
      </c>
      <c r="AS110">
        <v>425.5279677419355</v>
      </c>
      <c r="AT110">
        <v>423.4580967741935</v>
      </c>
      <c r="AU110">
        <v>11.34124838709678</v>
      </c>
      <c r="AV110">
        <v>11.05991290322581</v>
      </c>
      <c r="AW110">
        <v>419.2966451612903</v>
      </c>
      <c r="AX110">
        <v>11.26066129032258</v>
      </c>
      <c r="AY110">
        <v>500.0074193548387</v>
      </c>
      <c r="AZ110">
        <v>100.1759032258065</v>
      </c>
      <c r="BA110">
        <v>0.04528453225806452</v>
      </c>
      <c r="BB110">
        <v>30.80113548387098</v>
      </c>
      <c r="BC110">
        <v>31.06152903225806</v>
      </c>
      <c r="BD110">
        <v>999.9000000000003</v>
      </c>
      <c r="BE110">
        <v>0</v>
      </c>
      <c r="BF110">
        <v>0</v>
      </c>
      <c r="BG110">
        <v>5000.032258064516</v>
      </c>
      <c r="BH110">
        <v>1.258992258064516</v>
      </c>
      <c r="BI110">
        <v>2169.928064516129</v>
      </c>
      <c r="BJ110">
        <v>2.069856774193549</v>
      </c>
      <c r="BK110">
        <v>430.4093870967741</v>
      </c>
      <c r="BL110">
        <v>428.1939677419355</v>
      </c>
      <c r="BM110">
        <v>0.2813366774193548</v>
      </c>
      <c r="BN110">
        <v>423.4580967741935</v>
      </c>
      <c r="BO110">
        <v>11.05991290322581</v>
      </c>
      <c r="BP110">
        <v>1.136121290322581</v>
      </c>
      <c r="BQ110">
        <v>1.107937096774193</v>
      </c>
      <c r="BR110">
        <v>8.789817419354838</v>
      </c>
      <c r="BS110">
        <v>8.418833225806452</v>
      </c>
      <c r="BT110">
        <v>0</v>
      </c>
      <c r="BU110">
        <v>0</v>
      </c>
      <c r="BV110">
        <v>0</v>
      </c>
      <c r="BW110">
        <v>35</v>
      </c>
      <c r="BX110">
        <v>53</v>
      </c>
      <c r="BY110">
        <v>1773196010</v>
      </c>
      <c r="BZ110" t="s">
        <v>332</v>
      </c>
      <c r="CA110">
        <v>1773196010</v>
      </c>
      <c r="CB110">
        <v>1773196005.5</v>
      </c>
      <c r="CC110">
        <v>2</v>
      </c>
      <c r="CD110">
        <v>-0.279</v>
      </c>
      <c r="CE110">
        <v>-0.021</v>
      </c>
      <c r="CF110">
        <v>6.231</v>
      </c>
      <c r="CG110">
        <v>0.081</v>
      </c>
      <c r="CH110">
        <v>432</v>
      </c>
      <c r="CI110">
        <v>21</v>
      </c>
      <c r="CJ110">
        <v>0.03</v>
      </c>
      <c r="CK110">
        <v>0.06</v>
      </c>
      <c r="CL110">
        <v>423.4597419354838</v>
      </c>
      <c r="CM110">
        <v>0.229112903225336</v>
      </c>
      <c r="CN110">
        <v>0.03446734568884664</v>
      </c>
      <c r="CO110">
        <v>-1</v>
      </c>
      <c r="CP110">
        <v>500.0084193548387</v>
      </c>
      <c r="CQ110">
        <v>0.05308064516106113</v>
      </c>
      <c r="CR110">
        <v>0.0384638700966243</v>
      </c>
      <c r="CS110">
        <v>-1</v>
      </c>
      <c r="CT110">
        <v>0</v>
      </c>
      <c r="CU110">
        <v>0</v>
      </c>
      <c r="CV110" t="s">
        <v>333</v>
      </c>
      <c r="CW110">
        <v>3.17073</v>
      </c>
      <c r="CX110">
        <v>2.66658</v>
      </c>
      <c r="CY110">
        <v>0.09969740000000001</v>
      </c>
      <c r="CZ110">
        <v>0.100494</v>
      </c>
      <c r="DA110">
        <v>0.0641882</v>
      </c>
      <c r="DB110">
        <v>0.0630539</v>
      </c>
      <c r="DC110">
        <v>21330.6</v>
      </c>
      <c r="DD110">
        <v>21891.4</v>
      </c>
      <c r="DE110">
        <v>22842.2</v>
      </c>
      <c r="DF110">
        <v>22281.5</v>
      </c>
      <c r="DG110">
        <v>32325.9</v>
      </c>
      <c r="DH110">
        <v>29410.4</v>
      </c>
      <c r="DI110">
        <v>40203.1</v>
      </c>
      <c r="DJ110">
        <v>36855.8</v>
      </c>
      <c r="DK110">
        <v>2.0286</v>
      </c>
      <c r="DL110">
        <v>1.50632</v>
      </c>
      <c r="DM110">
        <v>-0.0768244</v>
      </c>
      <c r="DN110">
        <v>0</v>
      </c>
      <c r="DO110">
        <v>32.3115</v>
      </c>
      <c r="DP110">
        <v>999.9</v>
      </c>
      <c r="DQ110">
        <v>24.1</v>
      </c>
      <c r="DR110">
        <v>45</v>
      </c>
      <c r="DS110">
        <v>23.1889</v>
      </c>
      <c r="DT110">
        <v>29.9691</v>
      </c>
      <c r="DU110">
        <v>14.2628</v>
      </c>
      <c r="DV110">
        <v>1</v>
      </c>
      <c r="DW110">
        <v>0.862152</v>
      </c>
      <c r="DX110">
        <v>3.81333</v>
      </c>
      <c r="DY110">
        <v>20.3116</v>
      </c>
      <c r="DZ110">
        <v>5.21094</v>
      </c>
      <c r="EA110">
        <v>11.8564</v>
      </c>
      <c r="EB110">
        <v>4.96768</v>
      </c>
      <c r="EC110">
        <v>3.293</v>
      </c>
      <c r="ED110">
        <v>879.4</v>
      </c>
      <c r="EE110">
        <v>9999</v>
      </c>
      <c r="EF110">
        <v>9999</v>
      </c>
      <c r="EG110">
        <v>77.59999999999999</v>
      </c>
      <c r="EH110">
        <v>4.9716</v>
      </c>
      <c r="EI110">
        <v>1.8721</v>
      </c>
      <c r="EJ110">
        <v>1.86951</v>
      </c>
      <c r="EK110">
        <v>1.8718</v>
      </c>
      <c r="EL110">
        <v>1.86956</v>
      </c>
      <c r="EM110">
        <v>1.86844</v>
      </c>
      <c r="EN110">
        <v>1.87025</v>
      </c>
      <c r="EO110">
        <v>1.87195</v>
      </c>
      <c r="EP110">
        <v>0</v>
      </c>
      <c r="EQ110">
        <v>0</v>
      </c>
      <c r="ER110">
        <v>0</v>
      </c>
      <c r="ES110">
        <v>0</v>
      </c>
      <c r="ET110" t="s">
        <v>334</v>
      </c>
      <c r="EU110" t="s">
        <v>335</v>
      </c>
      <c r="EV110" t="s">
        <v>336</v>
      </c>
      <c r="EW110" t="s">
        <v>336</v>
      </c>
      <c r="EX110" t="s">
        <v>336</v>
      </c>
      <c r="EY110" t="s">
        <v>336</v>
      </c>
      <c r="EZ110">
        <v>0</v>
      </c>
      <c r="FA110">
        <v>100</v>
      </c>
      <c r="FB110">
        <v>100</v>
      </c>
      <c r="FC110">
        <v>6.232</v>
      </c>
      <c r="FD110">
        <v>0.0806</v>
      </c>
      <c r="FE110">
        <v>6.23135000000002</v>
      </c>
      <c r="FF110">
        <v>0</v>
      </c>
      <c r="FG110">
        <v>0</v>
      </c>
      <c r="FH110">
        <v>0</v>
      </c>
      <c r="FI110">
        <v>0.08059047619047632</v>
      </c>
      <c r="FJ110">
        <v>0</v>
      </c>
      <c r="FK110">
        <v>0</v>
      </c>
      <c r="FL110">
        <v>0</v>
      </c>
      <c r="FM110">
        <v>-1</v>
      </c>
      <c r="FN110">
        <v>-1</v>
      </c>
      <c r="FO110">
        <v>-1</v>
      </c>
      <c r="FP110">
        <v>-1</v>
      </c>
      <c r="FQ110">
        <v>94.5</v>
      </c>
      <c r="FR110">
        <v>94.59999999999999</v>
      </c>
      <c r="FS110">
        <v>0.141602</v>
      </c>
      <c r="FT110">
        <v>4.99756</v>
      </c>
      <c r="FU110">
        <v>1.5979</v>
      </c>
      <c r="FV110">
        <v>2.1106</v>
      </c>
      <c r="FW110">
        <v>1.54785</v>
      </c>
      <c r="FX110">
        <v>2.48169</v>
      </c>
      <c r="FY110">
        <v>46.7969</v>
      </c>
      <c r="FZ110">
        <v>15.7081</v>
      </c>
      <c r="GA110">
        <v>3</v>
      </c>
      <c r="GB110">
        <v>519.701</v>
      </c>
      <c r="GC110">
        <v>292.526</v>
      </c>
      <c r="GD110">
        <v>27.5667</v>
      </c>
      <c r="GE110">
        <v>37.589</v>
      </c>
      <c r="GF110">
        <v>30</v>
      </c>
      <c r="GG110">
        <v>37.5124</v>
      </c>
      <c r="GH110">
        <v>37.5117</v>
      </c>
      <c r="GI110">
        <v>-1</v>
      </c>
      <c r="GJ110">
        <v>100</v>
      </c>
      <c r="GK110">
        <v>0</v>
      </c>
      <c r="GL110">
        <v>27.5836</v>
      </c>
      <c r="GM110">
        <v>1200</v>
      </c>
      <c r="GN110">
        <v>19.4378</v>
      </c>
      <c r="GO110">
        <v>101.144</v>
      </c>
      <c r="GP110">
        <v>96.2396</v>
      </c>
    </row>
    <row r="111" spans="1:198">
      <c r="A111">
        <v>95</v>
      </c>
      <c r="B111">
        <v>1773201740.6</v>
      </c>
      <c r="C111">
        <v>5640.599999904633</v>
      </c>
      <c r="D111" t="s">
        <v>523</v>
      </c>
      <c r="E111" t="s">
        <v>524</v>
      </c>
      <c r="F111">
        <v>15</v>
      </c>
      <c r="G111">
        <v>1773201732.599999</v>
      </c>
      <c r="H111">
        <f>(I111)/1000</f>
        <v>0</v>
      </c>
      <c r="I111">
        <f>1000*AY111*AG111*(AU111-AV111)/(100*AN111*(1000-AG111*AU111))</f>
        <v>0</v>
      </c>
      <c r="J111">
        <f>AY111*AG111*(AT111-AS111*(1000-AG111*AV111)/(1000-AG111*AU111))/(100*AN111)</f>
        <v>0</v>
      </c>
      <c r="K111">
        <f>AS111 - IF(AG111&gt;1, J111*AN111*100.0/(AI111), 0)</f>
        <v>0</v>
      </c>
      <c r="L111">
        <f>((R111-H111/2)*K111-J111)/(R111+H111/2)</f>
        <v>0</v>
      </c>
      <c r="M111">
        <f>L111*(AZ111+BA111)/1000.0</f>
        <v>0</v>
      </c>
      <c r="N111">
        <f>(AS111 - IF(AG111&gt;1, J111*AN111*100.0/(AI111), 0))*(AZ111+BA111)/1000.0</f>
        <v>0</v>
      </c>
      <c r="O111">
        <f>2.0/((1/Q111-1/P111)+SIGN(Q111)*SQRT((1/Q111-1/P111)*(1/Q111-1/P111) + 4*AO111/((AO111+1)*(AO111+1))*(2*1/Q111*1/P111-1/P111*1/P111)))</f>
        <v>0</v>
      </c>
      <c r="P111">
        <f>IF(LEFT(AP111,1)&lt;&gt;"0",IF(LEFT(AP111,1)="1",3.0,AQ111),$D$5+$E$5*(BG111*AZ111/($K$5*1000))+$F$5*(BG111*AZ111/($K$5*1000))*MAX(MIN(AN111,$J$5),$I$5)*MAX(MIN(AN111,$J$5),$I$5)+$G$5*MAX(MIN(AN111,$J$5),$I$5)*(BG111*AZ111/($K$5*1000))+$H$5*(BG111*AZ111/($K$5*1000))*(BG111*AZ111/($K$5*1000)))</f>
        <v>0</v>
      </c>
      <c r="Q111">
        <f>H111*(1000-(1000*0.61365*exp(17.502*U111/(240.97+U111))/(AZ111+BA111)+AU111)/2)/(1000*0.61365*exp(17.502*U111/(240.97+U111))/(AZ111+BA111)-AU111)</f>
        <v>0</v>
      </c>
      <c r="R111">
        <f>1/((AO111+1)/(O111/1.6)+1/(P111/1.37)) + AO111/((AO111+1)/(O111/1.6) + AO111/(P111/1.37))</f>
        <v>0</v>
      </c>
      <c r="S111">
        <f>(AJ111*AM111)</f>
        <v>0</v>
      </c>
      <c r="T111">
        <f>(BB111+(S111+2*0.95*5.67E-8*(((BB111+$B$7)+273)^4-(BB111+273)^4)-44100*H111)/(1.84*29.3*P111+8*0.95*5.67E-8*(BB111+273)^3))</f>
        <v>0</v>
      </c>
      <c r="U111">
        <f>($C$7*BC111+$D$7*BD111+$E$7*T111)</f>
        <v>0</v>
      </c>
      <c r="V111">
        <f>0.61365*exp(17.502*U111/(240.97+U111))</f>
        <v>0</v>
      </c>
      <c r="W111">
        <f>(X111/Y111*100)</f>
        <v>0</v>
      </c>
      <c r="X111">
        <f>AU111*(AZ111+BA111)/1000</f>
        <v>0</v>
      </c>
      <c r="Y111">
        <f>0.61365*exp(17.502*BB111/(240.97+BB111))</f>
        <v>0</v>
      </c>
      <c r="Z111">
        <f>(V111-AU111*(AZ111+BA111)/1000)</f>
        <v>0</v>
      </c>
      <c r="AA111">
        <f>(-H111*44100)</f>
        <v>0</v>
      </c>
      <c r="AB111">
        <f>2*29.3*P111*0.92*(BB111-U111)</f>
        <v>0</v>
      </c>
      <c r="AC111">
        <f>2*0.95*5.67E-8*(((BB111+$B$7)+273)^4-(U111+273)^4)</f>
        <v>0</v>
      </c>
      <c r="AD111">
        <f>S111+AC111+AA111+AB111</f>
        <v>0</v>
      </c>
      <c r="AE111">
        <v>0</v>
      </c>
      <c r="AF111">
        <v>0</v>
      </c>
      <c r="AG111">
        <f>IF(AE111*$H$13&gt;=AI111,1.0,(AI111/(AI111-AE111*$H$13)))</f>
        <v>0</v>
      </c>
      <c r="AH111">
        <f>(AG111-1)*100</f>
        <v>0</v>
      </c>
      <c r="AI111">
        <f>MAX(0,($B$13+$C$13*BG111)/(1+$D$13*BG111)*AZ111/(BB111+273)*$E$13)</f>
        <v>0</v>
      </c>
      <c r="AJ111">
        <f>$B$11*BH111+$C$11*BI111+$D$11*BT111</f>
        <v>0</v>
      </c>
      <c r="AK111">
        <f>AJ111*AL111</f>
        <v>0</v>
      </c>
      <c r="AL111">
        <f>($B$11*$D$9+$C$11*$D$9+$D$11*(BU111*$E$9+BV111*$G$9))/($B$11+$C$11+$D$11)</f>
        <v>0</v>
      </c>
      <c r="AM111">
        <f>($B$11*$K$9+$C$11*$K$9+$D$11*(BU111*$L$9+BV111*$N$9))/($B$11+$C$11+$D$11)</f>
        <v>0</v>
      </c>
      <c r="AN111">
        <v>3</v>
      </c>
      <c r="AO111">
        <v>0.5</v>
      </c>
      <c r="AP111" t="s">
        <v>331</v>
      </c>
      <c r="AQ111">
        <v>2</v>
      </c>
      <c r="AR111">
        <v>1773201732.599999</v>
      </c>
      <c r="AS111">
        <v>425.0117096774194</v>
      </c>
      <c r="AT111">
        <v>422.9043548387097</v>
      </c>
      <c r="AU111">
        <v>11.36446774193548</v>
      </c>
      <c r="AV111">
        <v>11.08373870967742</v>
      </c>
      <c r="AW111">
        <v>418.7803548387097</v>
      </c>
      <c r="AX111">
        <v>11.28388064516129</v>
      </c>
      <c r="AY111">
        <v>500.0185483870968</v>
      </c>
      <c r="AZ111">
        <v>100.1773225806452</v>
      </c>
      <c r="BA111">
        <v>0.04560508064516129</v>
      </c>
      <c r="BB111">
        <v>30.78333870967742</v>
      </c>
      <c r="BC111">
        <v>31.0358064516129</v>
      </c>
      <c r="BD111">
        <v>999.9000000000003</v>
      </c>
      <c r="BE111">
        <v>0</v>
      </c>
      <c r="BF111">
        <v>0</v>
      </c>
      <c r="BG111">
        <v>5000</v>
      </c>
      <c r="BH111">
        <v>1.240006129032258</v>
      </c>
      <c r="BI111">
        <v>2171.250322580645</v>
      </c>
      <c r="BJ111">
        <v>2.107353870967742</v>
      </c>
      <c r="BK111">
        <v>429.8972258064517</v>
      </c>
      <c r="BL111">
        <v>427.6442580645161</v>
      </c>
      <c r="BM111">
        <v>0.2807300322580645</v>
      </c>
      <c r="BN111">
        <v>422.9043548387097</v>
      </c>
      <c r="BO111">
        <v>11.08373870967742</v>
      </c>
      <c r="BP111">
        <v>1.13846</v>
      </c>
      <c r="BQ111">
        <v>1.110336774193548</v>
      </c>
      <c r="BR111">
        <v>8.820254193548388</v>
      </c>
      <c r="BS111">
        <v>8.450751612903225</v>
      </c>
      <c r="BT111">
        <v>0</v>
      </c>
      <c r="BU111">
        <v>0</v>
      </c>
      <c r="BV111">
        <v>0</v>
      </c>
      <c r="BW111">
        <v>35</v>
      </c>
      <c r="BX111">
        <v>53</v>
      </c>
      <c r="BY111">
        <v>1773196010</v>
      </c>
      <c r="BZ111" t="s">
        <v>332</v>
      </c>
      <c r="CA111">
        <v>1773196010</v>
      </c>
      <c r="CB111">
        <v>1773196005.5</v>
      </c>
      <c r="CC111">
        <v>2</v>
      </c>
      <c r="CD111">
        <v>-0.279</v>
      </c>
      <c r="CE111">
        <v>-0.021</v>
      </c>
      <c r="CF111">
        <v>6.231</v>
      </c>
      <c r="CG111">
        <v>0.081</v>
      </c>
      <c r="CH111">
        <v>432</v>
      </c>
      <c r="CI111">
        <v>21</v>
      </c>
      <c r="CJ111">
        <v>0.03</v>
      </c>
      <c r="CK111">
        <v>0.06</v>
      </c>
      <c r="CL111">
        <v>422.9067666666667</v>
      </c>
      <c r="CM111">
        <v>-0.4714838709681513</v>
      </c>
      <c r="CN111">
        <v>0.04093220682489187</v>
      </c>
      <c r="CO111">
        <v>-1</v>
      </c>
      <c r="CP111">
        <v>500.0135</v>
      </c>
      <c r="CQ111">
        <v>-0.1300912124573491</v>
      </c>
      <c r="CR111">
        <v>0.04477480690448158</v>
      </c>
      <c r="CS111">
        <v>-1</v>
      </c>
      <c r="CT111">
        <v>0</v>
      </c>
      <c r="CU111">
        <v>0</v>
      </c>
      <c r="CV111" t="s">
        <v>333</v>
      </c>
      <c r="CW111">
        <v>3.17081</v>
      </c>
      <c r="CX111">
        <v>2.66665</v>
      </c>
      <c r="CY111">
        <v>0.09959079999999999</v>
      </c>
      <c r="CZ111">
        <v>0.100389</v>
      </c>
      <c r="DA111">
        <v>0.06425699999999999</v>
      </c>
      <c r="DB111">
        <v>0.0631241</v>
      </c>
      <c r="DC111">
        <v>21331.2</v>
      </c>
      <c r="DD111">
        <v>21892.3</v>
      </c>
      <c r="DE111">
        <v>22840.3</v>
      </c>
      <c r="DF111">
        <v>22279.9</v>
      </c>
      <c r="DG111">
        <v>32321</v>
      </c>
      <c r="DH111">
        <v>29406.1</v>
      </c>
      <c r="DI111">
        <v>40200.1</v>
      </c>
      <c r="DJ111">
        <v>36853.3</v>
      </c>
      <c r="DK111">
        <v>2.02824</v>
      </c>
      <c r="DL111">
        <v>1.5045</v>
      </c>
      <c r="DM111">
        <v>-0.07950069999999999</v>
      </c>
      <c r="DN111">
        <v>0</v>
      </c>
      <c r="DO111">
        <v>32.3196</v>
      </c>
      <c r="DP111">
        <v>999.9</v>
      </c>
      <c r="DQ111">
        <v>24.3</v>
      </c>
      <c r="DR111">
        <v>45</v>
      </c>
      <c r="DS111">
        <v>23.38</v>
      </c>
      <c r="DT111">
        <v>30.0591</v>
      </c>
      <c r="DU111">
        <v>14.0905</v>
      </c>
      <c r="DV111">
        <v>1</v>
      </c>
      <c r="DW111">
        <v>0.864866</v>
      </c>
      <c r="DX111">
        <v>3.71034</v>
      </c>
      <c r="DY111">
        <v>20.3139</v>
      </c>
      <c r="DZ111">
        <v>5.2101</v>
      </c>
      <c r="EA111">
        <v>11.8543</v>
      </c>
      <c r="EB111">
        <v>4.96748</v>
      </c>
      <c r="EC111">
        <v>3.293</v>
      </c>
      <c r="ED111">
        <v>879.4</v>
      </c>
      <c r="EE111">
        <v>9999</v>
      </c>
      <c r="EF111">
        <v>9999</v>
      </c>
      <c r="EG111">
        <v>77.59999999999999</v>
      </c>
      <c r="EH111">
        <v>4.9716</v>
      </c>
      <c r="EI111">
        <v>1.8721</v>
      </c>
      <c r="EJ111">
        <v>1.8695</v>
      </c>
      <c r="EK111">
        <v>1.8718</v>
      </c>
      <c r="EL111">
        <v>1.8696</v>
      </c>
      <c r="EM111">
        <v>1.86843</v>
      </c>
      <c r="EN111">
        <v>1.87026</v>
      </c>
      <c r="EO111">
        <v>1.87195</v>
      </c>
      <c r="EP111">
        <v>0</v>
      </c>
      <c r="EQ111">
        <v>0</v>
      </c>
      <c r="ER111">
        <v>0</v>
      </c>
      <c r="ES111">
        <v>0</v>
      </c>
      <c r="ET111" t="s">
        <v>334</v>
      </c>
      <c r="EU111" t="s">
        <v>335</v>
      </c>
      <c r="EV111" t="s">
        <v>336</v>
      </c>
      <c r="EW111" t="s">
        <v>336</v>
      </c>
      <c r="EX111" t="s">
        <v>336</v>
      </c>
      <c r="EY111" t="s">
        <v>336</v>
      </c>
      <c r="EZ111">
        <v>0</v>
      </c>
      <c r="FA111">
        <v>100</v>
      </c>
      <c r="FB111">
        <v>100</v>
      </c>
      <c r="FC111">
        <v>6.231</v>
      </c>
      <c r="FD111">
        <v>0.0806</v>
      </c>
      <c r="FE111">
        <v>6.23135000000002</v>
      </c>
      <c r="FF111">
        <v>0</v>
      </c>
      <c r="FG111">
        <v>0</v>
      </c>
      <c r="FH111">
        <v>0</v>
      </c>
      <c r="FI111">
        <v>0.08059047619047632</v>
      </c>
      <c r="FJ111">
        <v>0</v>
      </c>
      <c r="FK111">
        <v>0</v>
      </c>
      <c r="FL111">
        <v>0</v>
      </c>
      <c r="FM111">
        <v>-1</v>
      </c>
      <c r="FN111">
        <v>-1</v>
      </c>
      <c r="FO111">
        <v>-1</v>
      </c>
      <c r="FP111">
        <v>-1</v>
      </c>
      <c r="FQ111">
        <v>95.5</v>
      </c>
      <c r="FR111">
        <v>95.59999999999999</v>
      </c>
      <c r="FS111">
        <v>0.141602</v>
      </c>
      <c r="FT111">
        <v>4.99756</v>
      </c>
      <c r="FU111">
        <v>1.5979</v>
      </c>
      <c r="FV111">
        <v>2.10938</v>
      </c>
      <c r="FW111">
        <v>1.54785</v>
      </c>
      <c r="FX111">
        <v>2.49146</v>
      </c>
      <c r="FY111">
        <v>46.8264</v>
      </c>
      <c r="FZ111">
        <v>15.7081</v>
      </c>
      <c r="GA111">
        <v>3</v>
      </c>
      <c r="GB111">
        <v>519.657</v>
      </c>
      <c r="GC111">
        <v>291.766</v>
      </c>
      <c r="GD111">
        <v>27.6505</v>
      </c>
      <c r="GE111">
        <v>37.6247</v>
      </c>
      <c r="GF111">
        <v>30.0002</v>
      </c>
      <c r="GG111">
        <v>37.538</v>
      </c>
      <c r="GH111">
        <v>37.5357</v>
      </c>
      <c r="GI111">
        <v>-1</v>
      </c>
      <c r="GJ111">
        <v>100</v>
      </c>
      <c r="GK111">
        <v>0</v>
      </c>
      <c r="GL111">
        <v>27.6604</v>
      </c>
      <c r="GM111">
        <v>1200</v>
      </c>
      <c r="GN111">
        <v>19.4378</v>
      </c>
      <c r="GO111">
        <v>101.136</v>
      </c>
      <c r="GP111">
        <v>96.2328</v>
      </c>
    </row>
    <row r="112" spans="1:198">
      <c r="A112">
        <v>96</v>
      </c>
      <c r="B112">
        <v>1773201800.6</v>
      </c>
      <c r="C112">
        <v>5700.599999904633</v>
      </c>
      <c r="D112" t="s">
        <v>525</v>
      </c>
      <c r="E112" t="s">
        <v>526</v>
      </c>
      <c r="F112">
        <v>15</v>
      </c>
      <c r="G112">
        <v>1773201792.599999</v>
      </c>
      <c r="H112">
        <f>(I112)/1000</f>
        <v>0</v>
      </c>
      <c r="I112">
        <f>1000*AY112*AG112*(AU112-AV112)/(100*AN112*(1000-AG112*AU112))</f>
        <v>0</v>
      </c>
      <c r="J112">
        <f>AY112*AG112*(AT112-AS112*(1000-AG112*AV112)/(1000-AG112*AU112))/(100*AN112)</f>
        <v>0</v>
      </c>
      <c r="K112">
        <f>AS112 - IF(AG112&gt;1, J112*AN112*100.0/(AI112), 0)</f>
        <v>0</v>
      </c>
      <c r="L112">
        <f>((R112-H112/2)*K112-J112)/(R112+H112/2)</f>
        <v>0</v>
      </c>
      <c r="M112">
        <f>L112*(AZ112+BA112)/1000.0</f>
        <v>0</v>
      </c>
      <c r="N112">
        <f>(AS112 - IF(AG112&gt;1, J112*AN112*100.0/(AI112), 0))*(AZ112+BA112)/1000.0</f>
        <v>0</v>
      </c>
      <c r="O112">
        <f>2.0/((1/Q112-1/P112)+SIGN(Q112)*SQRT((1/Q112-1/P112)*(1/Q112-1/P112) + 4*AO112/((AO112+1)*(AO112+1))*(2*1/Q112*1/P112-1/P112*1/P112)))</f>
        <v>0</v>
      </c>
      <c r="P112">
        <f>IF(LEFT(AP112,1)&lt;&gt;"0",IF(LEFT(AP112,1)="1",3.0,AQ112),$D$5+$E$5*(BG112*AZ112/($K$5*1000))+$F$5*(BG112*AZ112/($K$5*1000))*MAX(MIN(AN112,$J$5),$I$5)*MAX(MIN(AN112,$J$5),$I$5)+$G$5*MAX(MIN(AN112,$J$5),$I$5)*(BG112*AZ112/($K$5*1000))+$H$5*(BG112*AZ112/($K$5*1000))*(BG112*AZ112/($K$5*1000)))</f>
        <v>0</v>
      </c>
      <c r="Q112">
        <f>H112*(1000-(1000*0.61365*exp(17.502*U112/(240.97+U112))/(AZ112+BA112)+AU112)/2)/(1000*0.61365*exp(17.502*U112/(240.97+U112))/(AZ112+BA112)-AU112)</f>
        <v>0</v>
      </c>
      <c r="R112">
        <f>1/((AO112+1)/(O112/1.6)+1/(P112/1.37)) + AO112/((AO112+1)/(O112/1.6) + AO112/(P112/1.37))</f>
        <v>0</v>
      </c>
      <c r="S112">
        <f>(AJ112*AM112)</f>
        <v>0</v>
      </c>
      <c r="T112">
        <f>(BB112+(S112+2*0.95*5.67E-8*(((BB112+$B$7)+273)^4-(BB112+273)^4)-44100*H112)/(1.84*29.3*P112+8*0.95*5.67E-8*(BB112+273)^3))</f>
        <v>0</v>
      </c>
      <c r="U112">
        <f>($C$7*BC112+$D$7*BD112+$E$7*T112)</f>
        <v>0</v>
      </c>
      <c r="V112">
        <f>0.61365*exp(17.502*U112/(240.97+U112))</f>
        <v>0</v>
      </c>
      <c r="W112">
        <f>(X112/Y112*100)</f>
        <v>0</v>
      </c>
      <c r="X112">
        <f>AU112*(AZ112+BA112)/1000</f>
        <v>0</v>
      </c>
      <c r="Y112">
        <f>0.61365*exp(17.502*BB112/(240.97+BB112))</f>
        <v>0</v>
      </c>
      <c r="Z112">
        <f>(V112-AU112*(AZ112+BA112)/1000)</f>
        <v>0</v>
      </c>
      <c r="AA112">
        <f>(-H112*44100)</f>
        <v>0</v>
      </c>
      <c r="AB112">
        <f>2*29.3*P112*0.92*(BB112-U112)</f>
        <v>0</v>
      </c>
      <c r="AC112">
        <f>2*0.95*5.67E-8*(((BB112+$B$7)+273)^4-(U112+273)^4)</f>
        <v>0</v>
      </c>
      <c r="AD112">
        <f>S112+AC112+AA112+AB112</f>
        <v>0</v>
      </c>
      <c r="AE112">
        <v>0</v>
      </c>
      <c r="AF112">
        <v>0</v>
      </c>
      <c r="AG112">
        <f>IF(AE112*$H$13&gt;=AI112,1.0,(AI112/(AI112-AE112*$H$13)))</f>
        <v>0</v>
      </c>
      <c r="AH112">
        <f>(AG112-1)*100</f>
        <v>0</v>
      </c>
      <c r="AI112">
        <f>MAX(0,($B$13+$C$13*BG112)/(1+$D$13*BG112)*AZ112/(BB112+273)*$E$13)</f>
        <v>0</v>
      </c>
      <c r="AJ112">
        <f>$B$11*BH112+$C$11*BI112+$D$11*BT112</f>
        <v>0</v>
      </c>
      <c r="AK112">
        <f>AJ112*AL112</f>
        <v>0</v>
      </c>
      <c r="AL112">
        <f>($B$11*$D$9+$C$11*$D$9+$D$11*(BU112*$E$9+BV112*$G$9))/($B$11+$C$11+$D$11)</f>
        <v>0</v>
      </c>
      <c r="AM112">
        <f>($B$11*$K$9+$C$11*$K$9+$D$11*(BU112*$L$9+BV112*$N$9))/($B$11+$C$11+$D$11)</f>
        <v>0</v>
      </c>
      <c r="AN112">
        <v>3</v>
      </c>
      <c r="AO112">
        <v>0.5</v>
      </c>
      <c r="AP112" t="s">
        <v>331</v>
      </c>
      <c r="AQ112">
        <v>2</v>
      </c>
      <c r="AR112">
        <v>1773201792.599999</v>
      </c>
      <c r="AS112">
        <v>425.1047096774194</v>
      </c>
      <c r="AT112">
        <v>422.9419677419355</v>
      </c>
      <c r="AU112">
        <v>11.37959677419355</v>
      </c>
      <c r="AV112">
        <v>11.10452903225807</v>
      </c>
      <c r="AW112">
        <v>418.8734838709678</v>
      </c>
      <c r="AX112">
        <v>11.29900967741936</v>
      </c>
      <c r="AY112">
        <v>499.9919677419355</v>
      </c>
      <c r="AZ112">
        <v>100.1730322580646</v>
      </c>
      <c r="BA112">
        <v>0.04580414193548386</v>
      </c>
      <c r="BB112">
        <v>30.79820967741936</v>
      </c>
      <c r="BC112">
        <v>31.04003225806452</v>
      </c>
      <c r="BD112">
        <v>999.9000000000003</v>
      </c>
      <c r="BE112">
        <v>0</v>
      </c>
      <c r="BF112">
        <v>0</v>
      </c>
      <c r="BG112">
        <v>5004.693548387097</v>
      </c>
      <c r="BH112">
        <v>1.201996774193548</v>
      </c>
      <c r="BI112">
        <v>2178.485483870968</v>
      </c>
      <c r="BJ112">
        <v>2.162783870967742</v>
      </c>
      <c r="BK112">
        <v>429.9980322580645</v>
      </c>
      <c r="BL112">
        <v>427.6912903225807</v>
      </c>
      <c r="BM112">
        <v>0.2750690967741936</v>
      </c>
      <c r="BN112">
        <v>422.9419677419355</v>
      </c>
      <c r="BO112">
        <v>11.10452903225807</v>
      </c>
      <c r="BP112">
        <v>1.139928064516129</v>
      </c>
      <c r="BQ112">
        <v>1.112372258064516</v>
      </c>
      <c r="BR112">
        <v>8.839316774193549</v>
      </c>
      <c r="BS112">
        <v>8.477776451612902</v>
      </c>
      <c r="BT112">
        <v>0</v>
      </c>
      <c r="BU112">
        <v>0</v>
      </c>
      <c r="BV112">
        <v>0</v>
      </c>
      <c r="BW112">
        <v>35</v>
      </c>
      <c r="BX112">
        <v>52.88924838709676</v>
      </c>
      <c r="BY112">
        <v>1773196010</v>
      </c>
      <c r="BZ112" t="s">
        <v>332</v>
      </c>
      <c r="CA112">
        <v>1773196010</v>
      </c>
      <c r="CB112">
        <v>1773196005.5</v>
      </c>
      <c r="CC112">
        <v>2</v>
      </c>
      <c r="CD112">
        <v>-0.279</v>
      </c>
      <c r="CE112">
        <v>-0.021</v>
      </c>
      <c r="CF112">
        <v>6.231</v>
      </c>
      <c r="CG112">
        <v>0.081</v>
      </c>
      <c r="CH112">
        <v>432</v>
      </c>
      <c r="CI112">
        <v>21</v>
      </c>
      <c r="CJ112">
        <v>0.03</v>
      </c>
      <c r="CK112">
        <v>0.06</v>
      </c>
      <c r="CL112">
        <v>422.9614999999999</v>
      </c>
      <c r="CM112">
        <v>-1.870852057841553</v>
      </c>
      <c r="CN112">
        <v>0.1369751193952129</v>
      </c>
      <c r="CO112">
        <v>-1</v>
      </c>
      <c r="CP112">
        <v>499.9895666666667</v>
      </c>
      <c r="CQ112">
        <v>-0.04177975528275635</v>
      </c>
      <c r="CR112">
        <v>0.04234515582947515</v>
      </c>
      <c r="CS112">
        <v>-1</v>
      </c>
      <c r="CT112">
        <v>0</v>
      </c>
      <c r="CU112">
        <v>0</v>
      </c>
      <c r="CV112" t="s">
        <v>333</v>
      </c>
      <c r="CW112">
        <v>3.17086</v>
      </c>
      <c r="CX112">
        <v>2.66678</v>
      </c>
      <c r="CY112">
        <v>0.0995822</v>
      </c>
      <c r="CZ112">
        <v>0.100359</v>
      </c>
      <c r="DA112">
        <v>0.0643007</v>
      </c>
      <c r="DB112">
        <v>0.0631601</v>
      </c>
      <c r="DC112">
        <v>21328.9</v>
      </c>
      <c r="DD112">
        <v>21891.1</v>
      </c>
      <c r="DE112">
        <v>22837.7</v>
      </c>
      <c r="DF112">
        <v>22278</v>
      </c>
      <c r="DG112">
        <v>32315.9</v>
      </c>
      <c r="DH112">
        <v>29402.3</v>
      </c>
      <c r="DI112">
        <v>40195.7</v>
      </c>
      <c r="DJ112">
        <v>36850</v>
      </c>
      <c r="DK112">
        <v>2.028</v>
      </c>
      <c r="DL112">
        <v>1.50512</v>
      </c>
      <c r="DM112">
        <v>-0.0759065</v>
      </c>
      <c r="DN112">
        <v>0</v>
      </c>
      <c r="DO112">
        <v>32.27</v>
      </c>
      <c r="DP112">
        <v>999.9</v>
      </c>
      <c r="DQ112">
        <v>23.6</v>
      </c>
      <c r="DR112">
        <v>45</v>
      </c>
      <c r="DS112">
        <v>22.708</v>
      </c>
      <c r="DT112">
        <v>30.2091</v>
      </c>
      <c r="DU112">
        <v>14.2107</v>
      </c>
      <c r="DV112">
        <v>1</v>
      </c>
      <c r="DW112">
        <v>0.869441</v>
      </c>
      <c r="DX112">
        <v>3.7193</v>
      </c>
      <c r="DY112">
        <v>20.3131</v>
      </c>
      <c r="DZ112">
        <v>5.21022</v>
      </c>
      <c r="EA112">
        <v>11.856</v>
      </c>
      <c r="EB112">
        <v>4.9674</v>
      </c>
      <c r="EC112">
        <v>3.29298</v>
      </c>
      <c r="ED112">
        <v>879.4</v>
      </c>
      <c r="EE112">
        <v>9999</v>
      </c>
      <c r="EF112">
        <v>9999</v>
      </c>
      <c r="EG112">
        <v>77.59999999999999</v>
      </c>
      <c r="EH112">
        <v>4.97161</v>
      </c>
      <c r="EI112">
        <v>1.8721</v>
      </c>
      <c r="EJ112">
        <v>1.86951</v>
      </c>
      <c r="EK112">
        <v>1.8718</v>
      </c>
      <c r="EL112">
        <v>1.86958</v>
      </c>
      <c r="EM112">
        <v>1.86843</v>
      </c>
      <c r="EN112">
        <v>1.87026</v>
      </c>
      <c r="EO112">
        <v>1.87195</v>
      </c>
      <c r="EP112">
        <v>0</v>
      </c>
      <c r="EQ112">
        <v>0</v>
      </c>
      <c r="ER112">
        <v>0</v>
      </c>
      <c r="ES112">
        <v>0</v>
      </c>
      <c r="ET112" t="s">
        <v>334</v>
      </c>
      <c r="EU112" t="s">
        <v>335</v>
      </c>
      <c r="EV112" t="s">
        <v>336</v>
      </c>
      <c r="EW112" t="s">
        <v>336</v>
      </c>
      <c r="EX112" t="s">
        <v>336</v>
      </c>
      <c r="EY112" t="s">
        <v>336</v>
      </c>
      <c r="EZ112">
        <v>0</v>
      </c>
      <c r="FA112">
        <v>100</v>
      </c>
      <c r="FB112">
        <v>100</v>
      </c>
      <c r="FC112">
        <v>6.231</v>
      </c>
      <c r="FD112">
        <v>0.0806</v>
      </c>
      <c r="FE112">
        <v>6.23135000000002</v>
      </c>
      <c r="FF112">
        <v>0</v>
      </c>
      <c r="FG112">
        <v>0</v>
      </c>
      <c r="FH112">
        <v>0</v>
      </c>
      <c r="FI112">
        <v>0.08059047619047632</v>
      </c>
      <c r="FJ112">
        <v>0</v>
      </c>
      <c r="FK112">
        <v>0</v>
      </c>
      <c r="FL112">
        <v>0</v>
      </c>
      <c r="FM112">
        <v>-1</v>
      </c>
      <c r="FN112">
        <v>-1</v>
      </c>
      <c r="FO112">
        <v>-1</v>
      </c>
      <c r="FP112">
        <v>-1</v>
      </c>
      <c r="FQ112">
        <v>96.5</v>
      </c>
      <c r="FR112">
        <v>96.59999999999999</v>
      </c>
      <c r="FS112">
        <v>0.141602</v>
      </c>
      <c r="FT112">
        <v>4.99756</v>
      </c>
      <c r="FU112">
        <v>1.5979</v>
      </c>
      <c r="FV112">
        <v>2.10938</v>
      </c>
      <c r="FW112">
        <v>1.54785</v>
      </c>
      <c r="FX112">
        <v>2.37671</v>
      </c>
      <c r="FY112">
        <v>46.8855</v>
      </c>
      <c r="FZ112">
        <v>15.6906</v>
      </c>
      <c r="GA112">
        <v>3</v>
      </c>
      <c r="GB112">
        <v>519.715</v>
      </c>
      <c r="GC112">
        <v>292.16</v>
      </c>
      <c r="GD112">
        <v>27.6596</v>
      </c>
      <c r="GE112">
        <v>37.6618</v>
      </c>
      <c r="GF112">
        <v>29.9998</v>
      </c>
      <c r="GG112">
        <v>37.5673</v>
      </c>
      <c r="GH112">
        <v>37.5621</v>
      </c>
      <c r="GI112">
        <v>-1</v>
      </c>
      <c r="GJ112">
        <v>100</v>
      </c>
      <c r="GK112">
        <v>0</v>
      </c>
      <c r="GL112">
        <v>27.6777</v>
      </c>
      <c r="GM112">
        <v>1200</v>
      </c>
      <c r="GN112">
        <v>19.4378</v>
      </c>
      <c r="GO112">
        <v>101.125</v>
      </c>
      <c r="GP112">
        <v>96.2244</v>
      </c>
    </row>
    <row r="113" spans="1:198">
      <c r="A113">
        <v>97</v>
      </c>
      <c r="B113">
        <v>1773201860.6</v>
      </c>
      <c r="C113">
        <v>5760.599999904633</v>
      </c>
      <c r="D113" t="s">
        <v>527</v>
      </c>
      <c r="E113" t="s">
        <v>528</v>
      </c>
      <c r="F113">
        <v>15</v>
      </c>
      <c r="G113">
        <v>1773201852.599999</v>
      </c>
      <c r="H113">
        <f>(I113)/1000</f>
        <v>0</v>
      </c>
      <c r="I113">
        <f>1000*AY113*AG113*(AU113-AV113)/(100*AN113*(1000-AG113*AU113))</f>
        <v>0</v>
      </c>
      <c r="J113">
        <f>AY113*AG113*(AT113-AS113*(1000-AG113*AV113)/(1000-AG113*AU113))/(100*AN113)</f>
        <v>0</v>
      </c>
      <c r="K113">
        <f>AS113 - IF(AG113&gt;1, J113*AN113*100.0/(AI113), 0)</f>
        <v>0</v>
      </c>
      <c r="L113">
        <f>((R113-H113/2)*K113-J113)/(R113+H113/2)</f>
        <v>0</v>
      </c>
      <c r="M113">
        <f>L113*(AZ113+BA113)/1000.0</f>
        <v>0</v>
      </c>
      <c r="N113">
        <f>(AS113 - IF(AG113&gt;1, J113*AN113*100.0/(AI113), 0))*(AZ113+BA113)/1000.0</f>
        <v>0</v>
      </c>
      <c r="O113">
        <f>2.0/((1/Q113-1/P113)+SIGN(Q113)*SQRT((1/Q113-1/P113)*(1/Q113-1/P113) + 4*AO113/((AO113+1)*(AO113+1))*(2*1/Q113*1/P113-1/P113*1/P113)))</f>
        <v>0</v>
      </c>
      <c r="P113">
        <f>IF(LEFT(AP113,1)&lt;&gt;"0",IF(LEFT(AP113,1)="1",3.0,AQ113),$D$5+$E$5*(BG113*AZ113/($K$5*1000))+$F$5*(BG113*AZ113/($K$5*1000))*MAX(MIN(AN113,$J$5),$I$5)*MAX(MIN(AN113,$J$5),$I$5)+$G$5*MAX(MIN(AN113,$J$5),$I$5)*(BG113*AZ113/($K$5*1000))+$H$5*(BG113*AZ113/($K$5*1000))*(BG113*AZ113/($K$5*1000)))</f>
        <v>0</v>
      </c>
      <c r="Q113">
        <f>H113*(1000-(1000*0.61365*exp(17.502*U113/(240.97+U113))/(AZ113+BA113)+AU113)/2)/(1000*0.61365*exp(17.502*U113/(240.97+U113))/(AZ113+BA113)-AU113)</f>
        <v>0</v>
      </c>
      <c r="R113">
        <f>1/((AO113+1)/(O113/1.6)+1/(P113/1.37)) + AO113/((AO113+1)/(O113/1.6) + AO113/(P113/1.37))</f>
        <v>0</v>
      </c>
      <c r="S113">
        <f>(AJ113*AM113)</f>
        <v>0</v>
      </c>
      <c r="T113">
        <f>(BB113+(S113+2*0.95*5.67E-8*(((BB113+$B$7)+273)^4-(BB113+273)^4)-44100*H113)/(1.84*29.3*P113+8*0.95*5.67E-8*(BB113+273)^3))</f>
        <v>0</v>
      </c>
      <c r="U113">
        <f>($C$7*BC113+$D$7*BD113+$E$7*T113)</f>
        <v>0</v>
      </c>
      <c r="V113">
        <f>0.61365*exp(17.502*U113/(240.97+U113))</f>
        <v>0</v>
      </c>
      <c r="W113">
        <f>(X113/Y113*100)</f>
        <v>0</v>
      </c>
      <c r="X113">
        <f>AU113*(AZ113+BA113)/1000</f>
        <v>0</v>
      </c>
      <c r="Y113">
        <f>0.61365*exp(17.502*BB113/(240.97+BB113))</f>
        <v>0</v>
      </c>
      <c r="Z113">
        <f>(V113-AU113*(AZ113+BA113)/1000)</f>
        <v>0</v>
      </c>
      <c r="AA113">
        <f>(-H113*44100)</f>
        <v>0</v>
      </c>
      <c r="AB113">
        <f>2*29.3*P113*0.92*(BB113-U113)</f>
        <v>0</v>
      </c>
      <c r="AC113">
        <f>2*0.95*5.67E-8*(((BB113+$B$7)+273)^4-(U113+273)^4)</f>
        <v>0</v>
      </c>
      <c r="AD113">
        <f>S113+AC113+AA113+AB113</f>
        <v>0</v>
      </c>
      <c r="AE113">
        <v>0</v>
      </c>
      <c r="AF113">
        <v>0</v>
      </c>
      <c r="AG113">
        <f>IF(AE113*$H$13&gt;=AI113,1.0,(AI113/(AI113-AE113*$H$13)))</f>
        <v>0</v>
      </c>
      <c r="AH113">
        <f>(AG113-1)*100</f>
        <v>0</v>
      </c>
      <c r="AI113">
        <f>MAX(0,($B$13+$C$13*BG113)/(1+$D$13*BG113)*AZ113/(BB113+273)*$E$13)</f>
        <v>0</v>
      </c>
      <c r="AJ113">
        <f>$B$11*BH113+$C$11*BI113+$D$11*BT113</f>
        <v>0</v>
      </c>
      <c r="AK113">
        <f>AJ113*AL113</f>
        <v>0</v>
      </c>
      <c r="AL113">
        <f>($B$11*$D$9+$C$11*$D$9+$D$11*(BU113*$E$9+BV113*$G$9))/($B$11+$C$11+$D$11)</f>
        <v>0</v>
      </c>
      <c r="AM113">
        <f>($B$11*$K$9+$C$11*$K$9+$D$11*(BU113*$L$9+BV113*$N$9))/($B$11+$C$11+$D$11)</f>
        <v>0</v>
      </c>
      <c r="AN113">
        <v>3</v>
      </c>
      <c r="AO113">
        <v>0.5</v>
      </c>
      <c r="AP113" t="s">
        <v>331</v>
      </c>
      <c r="AQ113">
        <v>2</v>
      </c>
      <c r="AR113">
        <v>1773201852.599999</v>
      </c>
      <c r="AS113">
        <v>425.0567096774194</v>
      </c>
      <c r="AT113">
        <v>422.9833548387097</v>
      </c>
      <c r="AU113">
        <v>11.35051612903226</v>
      </c>
      <c r="AV113">
        <v>11.08299677419355</v>
      </c>
      <c r="AW113">
        <v>418.8252903225807</v>
      </c>
      <c r="AX113">
        <v>11.26993548387096</v>
      </c>
      <c r="AY113">
        <v>499.9568709677419</v>
      </c>
      <c r="AZ113">
        <v>100.1768064516129</v>
      </c>
      <c r="BA113">
        <v>0.04505016774193549</v>
      </c>
      <c r="BB113">
        <v>30.79182258064516</v>
      </c>
      <c r="BC113">
        <v>31.04051935483871</v>
      </c>
      <c r="BD113">
        <v>999.9000000000003</v>
      </c>
      <c r="BE113">
        <v>0</v>
      </c>
      <c r="BF113">
        <v>0</v>
      </c>
      <c r="BG113">
        <v>4999.064516129032</v>
      </c>
      <c r="BH113">
        <v>1.203289032258064</v>
      </c>
      <c r="BI113">
        <v>2163.488387096774</v>
      </c>
      <c r="BJ113">
        <v>2.073245483870967</v>
      </c>
      <c r="BK113">
        <v>429.9367096774193</v>
      </c>
      <c r="BL113">
        <v>427.723870967742</v>
      </c>
      <c r="BM113">
        <v>0.2675155161290322</v>
      </c>
      <c r="BN113">
        <v>422.9833548387097</v>
      </c>
      <c r="BO113">
        <v>11.08299677419355</v>
      </c>
      <c r="BP113">
        <v>1.137059032258065</v>
      </c>
      <c r="BQ113">
        <v>1.110260322580645</v>
      </c>
      <c r="BR113">
        <v>8.802042903225807</v>
      </c>
      <c r="BS113">
        <v>8.449732903225808</v>
      </c>
      <c r="BT113">
        <v>0</v>
      </c>
      <c r="BU113">
        <v>0</v>
      </c>
      <c r="BV113">
        <v>0</v>
      </c>
      <c r="BW113">
        <v>35</v>
      </c>
      <c r="BX113">
        <v>52.75699032258063</v>
      </c>
      <c r="BY113">
        <v>1773196010</v>
      </c>
      <c r="BZ113" t="s">
        <v>332</v>
      </c>
      <c r="CA113">
        <v>1773196010</v>
      </c>
      <c r="CB113">
        <v>1773196005.5</v>
      </c>
      <c r="CC113">
        <v>2</v>
      </c>
      <c r="CD113">
        <v>-0.279</v>
      </c>
      <c r="CE113">
        <v>-0.021</v>
      </c>
      <c r="CF113">
        <v>6.231</v>
      </c>
      <c r="CG113">
        <v>0.081</v>
      </c>
      <c r="CH113">
        <v>432</v>
      </c>
      <c r="CI113">
        <v>21</v>
      </c>
      <c r="CJ113">
        <v>0.03</v>
      </c>
      <c r="CK113">
        <v>0.06</v>
      </c>
      <c r="CL113">
        <v>422.9786666666666</v>
      </c>
      <c r="CM113">
        <v>0.1691479421582128</v>
      </c>
      <c r="CN113">
        <v>0.04448395466032807</v>
      </c>
      <c r="CO113">
        <v>-1</v>
      </c>
      <c r="CP113">
        <v>499.9469999999999</v>
      </c>
      <c r="CQ113">
        <v>-0.3607208008902289</v>
      </c>
      <c r="CR113">
        <v>0.09148114559842288</v>
      </c>
      <c r="CS113">
        <v>-1</v>
      </c>
      <c r="CT113">
        <v>0</v>
      </c>
      <c r="CU113">
        <v>0</v>
      </c>
      <c r="CV113" t="s">
        <v>333</v>
      </c>
      <c r="CW113">
        <v>3.17091</v>
      </c>
      <c r="CX113">
        <v>2.66627</v>
      </c>
      <c r="CY113">
        <v>0.09959750000000001</v>
      </c>
      <c r="CZ113">
        <v>0.100418</v>
      </c>
      <c r="DA113">
        <v>0.0641973</v>
      </c>
      <c r="DB113">
        <v>0.0631179</v>
      </c>
      <c r="DC113">
        <v>21327.7</v>
      </c>
      <c r="DD113">
        <v>21888.9</v>
      </c>
      <c r="DE113">
        <v>22837</v>
      </c>
      <c r="DF113">
        <v>22277.3</v>
      </c>
      <c r="DG113">
        <v>32318.5</v>
      </c>
      <c r="DH113">
        <v>29402.6</v>
      </c>
      <c r="DI113">
        <v>40194.6</v>
      </c>
      <c r="DJ113">
        <v>36848.8</v>
      </c>
      <c r="DK113">
        <v>2.02794</v>
      </c>
      <c r="DL113">
        <v>1.50362</v>
      </c>
      <c r="DM113">
        <v>-0.0755459</v>
      </c>
      <c r="DN113">
        <v>0</v>
      </c>
      <c r="DO113">
        <v>32.2746</v>
      </c>
      <c r="DP113">
        <v>999.9</v>
      </c>
      <c r="DQ113">
        <v>23.7</v>
      </c>
      <c r="DR113">
        <v>45.1</v>
      </c>
      <c r="DS113">
        <v>22.9209</v>
      </c>
      <c r="DT113">
        <v>30.3591</v>
      </c>
      <c r="DU113">
        <v>14.1146</v>
      </c>
      <c r="DV113">
        <v>1</v>
      </c>
      <c r="DW113">
        <v>0.870715</v>
      </c>
      <c r="DX113">
        <v>3.70274</v>
      </c>
      <c r="DY113">
        <v>20.3136</v>
      </c>
      <c r="DZ113">
        <v>5.20842</v>
      </c>
      <c r="EA113">
        <v>11.8552</v>
      </c>
      <c r="EB113">
        <v>4.96744</v>
      </c>
      <c r="EC113">
        <v>3.29298</v>
      </c>
      <c r="ED113">
        <v>879.4</v>
      </c>
      <c r="EE113">
        <v>9999</v>
      </c>
      <c r="EF113">
        <v>9999</v>
      </c>
      <c r="EG113">
        <v>77.59999999999999</v>
      </c>
      <c r="EH113">
        <v>4.97159</v>
      </c>
      <c r="EI113">
        <v>1.8721</v>
      </c>
      <c r="EJ113">
        <v>1.8695</v>
      </c>
      <c r="EK113">
        <v>1.8718</v>
      </c>
      <c r="EL113">
        <v>1.86958</v>
      </c>
      <c r="EM113">
        <v>1.86839</v>
      </c>
      <c r="EN113">
        <v>1.87025</v>
      </c>
      <c r="EO113">
        <v>1.87195</v>
      </c>
      <c r="EP113">
        <v>0</v>
      </c>
      <c r="EQ113">
        <v>0</v>
      </c>
      <c r="ER113">
        <v>0</v>
      </c>
      <c r="ES113">
        <v>0</v>
      </c>
      <c r="ET113" t="s">
        <v>334</v>
      </c>
      <c r="EU113" t="s">
        <v>335</v>
      </c>
      <c r="EV113" t="s">
        <v>336</v>
      </c>
      <c r="EW113" t="s">
        <v>336</v>
      </c>
      <c r="EX113" t="s">
        <v>336</v>
      </c>
      <c r="EY113" t="s">
        <v>336</v>
      </c>
      <c r="EZ113">
        <v>0</v>
      </c>
      <c r="FA113">
        <v>100</v>
      </c>
      <c r="FB113">
        <v>100</v>
      </c>
      <c r="FC113">
        <v>6.231</v>
      </c>
      <c r="FD113">
        <v>0.0806</v>
      </c>
      <c r="FE113">
        <v>6.23135000000002</v>
      </c>
      <c r="FF113">
        <v>0</v>
      </c>
      <c r="FG113">
        <v>0</v>
      </c>
      <c r="FH113">
        <v>0</v>
      </c>
      <c r="FI113">
        <v>0.08059047619047632</v>
      </c>
      <c r="FJ113">
        <v>0</v>
      </c>
      <c r="FK113">
        <v>0</v>
      </c>
      <c r="FL113">
        <v>0</v>
      </c>
      <c r="FM113">
        <v>-1</v>
      </c>
      <c r="FN113">
        <v>-1</v>
      </c>
      <c r="FO113">
        <v>-1</v>
      </c>
      <c r="FP113">
        <v>-1</v>
      </c>
      <c r="FQ113">
        <v>97.5</v>
      </c>
      <c r="FR113">
        <v>97.59999999999999</v>
      </c>
      <c r="FS113">
        <v>0.141602</v>
      </c>
      <c r="FT113">
        <v>4.99756</v>
      </c>
      <c r="FU113">
        <v>1.5979</v>
      </c>
      <c r="FV113">
        <v>2.10815</v>
      </c>
      <c r="FW113">
        <v>1.54785</v>
      </c>
      <c r="FX113">
        <v>2.48291</v>
      </c>
      <c r="FY113">
        <v>46.9151</v>
      </c>
      <c r="FZ113">
        <v>15.6906</v>
      </c>
      <c r="GA113">
        <v>3</v>
      </c>
      <c r="GB113">
        <v>519.809</v>
      </c>
      <c r="GC113">
        <v>291.528</v>
      </c>
      <c r="GD113">
        <v>27.7011</v>
      </c>
      <c r="GE113">
        <v>37.689</v>
      </c>
      <c r="GF113">
        <v>30.0002</v>
      </c>
      <c r="GG113">
        <v>37.5857</v>
      </c>
      <c r="GH113">
        <v>37.5805</v>
      </c>
      <c r="GI113">
        <v>-1</v>
      </c>
      <c r="GJ113">
        <v>100</v>
      </c>
      <c r="GK113">
        <v>0</v>
      </c>
      <c r="GL113">
        <v>27.702</v>
      </c>
      <c r="GM113">
        <v>1200</v>
      </c>
      <c r="GN113">
        <v>19.4378</v>
      </c>
      <c r="GO113">
        <v>101.122</v>
      </c>
      <c r="GP113">
        <v>96.22150000000001</v>
      </c>
    </row>
    <row r="114" spans="1:198">
      <c r="A114">
        <v>98</v>
      </c>
      <c r="B114">
        <v>1773201920.6</v>
      </c>
      <c r="C114">
        <v>5820.599999904633</v>
      </c>
      <c r="D114" t="s">
        <v>529</v>
      </c>
      <c r="E114" t="s">
        <v>530</v>
      </c>
      <c r="F114">
        <v>15</v>
      </c>
      <c r="G114">
        <v>1773201912.599999</v>
      </c>
      <c r="H114">
        <f>(I114)/1000</f>
        <v>0</v>
      </c>
      <c r="I114">
        <f>1000*AY114*AG114*(AU114-AV114)/(100*AN114*(1000-AG114*AU114))</f>
        <v>0</v>
      </c>
      <c r="J114">
        <f>AY114*AG114*(AT114-AS114*(1000-AG114*AV114)/(1000-AG114*AU114))/(100*AN114)</f>
        <v>0</v>
      </c>
      <c r="K114">
        <f>AS114 - IF(AG114&gt;1, J114*AN114*100.0/(AI114), 0)</f>
        <v>0</v>
      </c>
      <c r="L114">
        <f>((R114-H114/2)*K114-J114)/(R114+H114/2)</f>
        <v>0</v>
      </c>
      <c r="M114">
        <f>L114*(AZ114+BA114)/1000.0</f>
        <v>0</v>
      </c>
      <c r="N114">
        <f>(AS114 - IF(AG114&gt;1, J114*AN114*100.0/(AI114), 0))*(AZ114+BA114)/1000.0</f>
        <v>0</v>
      </c>
      <c r="O114">
        <f>2.0/((1/Q114-1/P114)+SIGN(Q114)*SQRT((1/Q114-1/P114)*(1/Q114-1/P114) + 4*AO114/((AO114+1)*(AO114+1))*(2*1/Q114*1/P114-1/P114*1/P114)))</f>
        <v>0</v>
      </c>
      <c r="P114">
        <f>IF(LEFT(AP114,1)&lt;&gt;"0",IF(LEFT(AP114,1)="1",3.0,AQ114),$D$5+$E$5*(BG114*AZ114/($K$5*1000))+$F$5*(BG114*AZ114/($K$5*1000))*MAX(MIN(AN114,$J$5),$I$5)*MAX(MIN(AN114,$J$5),$I$5)+$G$5*MAX(MIN(AN114,$J$5),$I$5)*(BG114*AZ114/($K$5*1000))+$H$5*(BG114*AZ114/($K$5*1000))*(BG114*AZ114/($K$5*1000)))</f>
        <v>0</v>
      </c>
      <c r="Q114">
        <f>H114*(1000-(1000*0.61365*exp(17.502*U114/(240.97+U114))/(AZ114+BA114)+AU114)/2)/(1000*0.61365*exp(17.502*U114/(240.97+U114))/(AZ114+BA114)-AU114)</f>
        <v>0</v>
      </c>
      <c r="R114">
        <f>1/((AO114+1)/(O114/1.6)+1/(P114/1.37)) + AO114/((AO114+1)/(O114/1.6) + AO114/(P114/1.37))</f>
        <v>0</v>
      </c>
      <c r="S114">
        <f>(AJ114*AM114)</f>
        <v>0</v>
      </c>
      <c r="T114">
        <f>(BB114+(S114+2*0.95*5.67E-8*(((BB114+$B$7)+273)^4-(BB114+273)^4)-44100*H114)/(1.84*29.3*P114+8*0.95*5.67E-8*(BB114+273)^3))</f>
        <v>0</v>
      </c>
      <c r="U114">
        <f>($C$7*BC114+$D$7*BD114+$E$7*T114)</f>
        <v>0</v>
      </c>
      <c r="V114">
        <f>0.61365*exp(17.502*U114/(240.97+U114))</f>
        <v>0</v>
      </c>
      <c r="W114">
        <f>(X114/Y114*100)</f>
        <v>0</v>
      </c>
      <c r="X114">
        <f>AU114*(AZ114+BA114)/1000</f>
        <v>0</v>
      </c>
      <c r="Y114">
        <f>0.61365*exp(17.502*BB114/(240.97+BB114))</f>
        <v>0</v>
      </c>
      <c r="Z114">
        <f>(V114-AU114*(AZ114+BA114)/1000)</f>
        <v>0</v>
      </c>
      <c r="AA114">
        <f>(-H114*44100)</f>
        <v>0</v>
      </c>
      <c r="AB114">
        <f>2*29.3*P114*0.92*(BB114-U114)</f>
        <v>0</v>
      </c>
      <c r="AC114">
        <f>2*0.95*5.67E-8*(((BB114+$B$7)+273)^4-(U114+273)^4)</f>
        <v>0</v>
      </c>
      <c r="AD114">
        <f>S114+AC114+AA114+AB114</f>
        <v>0</v>
      </c>
      <c r="AE114">
        <v>0</v>
      </c>
      <c r="AF114">
        <v>0</v>
      </c>
      <c r="AG114">
        <f>IF(AE114*$H$13&gt;=AI114,1.0,(AI114/(AI114-AE114*$H$13)))</f>
        <v>0</v>
      </c>
      <c r="AH114">
        <f>(AG114-1)*100</f>
        <v>0</v>
      </c>
      <c r="AI114">
        <f>MAX(0,($B$13+$C$13*BG114)/(1+$D$13*BG114)*AZ114/(BB114+273)*$E$13)</f>
        <v>0</v>
      </c>
      <c r="AJ114">
        <f>$B$11*BH114+$C$11*BI114+$D$11*BT114</f>
        <v>0</v>
      </c>
      <c r="AK114">
        <f>AJ114*AL114</f>
        <v>0</v>
      </c>
      <c r="AL114">
        <f>($B$11*$D$9+$C$11*$D$9+$D$11*(BU114*$E$9+BV114*$G$9))/($B$11+$C$11+$D$11)</f>
        <v>0</v>
      </c>
      <c r="AM114">
        <f>($B$11*$K$9+$C$11*$K$9+$D$11*(BU114*$L$9+BV114*$N$9))/($B$11+$C$11+$D$11)</f>
        <v>0</v>
      </c>
      <c r="AN114">
        <v>3</v>
      </c>
      <c r="AO114">
        <v>0.5</v>
      </c>
      <c r="AP114" t="s">
        <v>331</v>
      </c>
      <c r="AQ114">
        <v>2</v>
      </c>
      <c r="AR114">
        <v>1773201912.599999</v>
      </c>
      <c r="AS114">
        <v>425.6025483870969</v>
      </c>
      <c r="AT114">
        <v>423.5837419354839</v>
      </c>
      <c r="AU114">
        <v>11.34338064516129</v>
      </c>
      <c r="AV114">
        <v>11.07825806451613</v>
      </c>
      <c r="AW114">
        <v>419.3712580645162</v>
      </c>
      <c r="AX114">
        <v>11.2627870967742</v>
      </c>
      <c r="AY114">
        <v>500.0129032258065</v>
      </c>
      <c r="AZ114">
        <v>100.1746129032258</v>
      </c>
      <c r="BA114">
        <v>0.04532970645161292</v>
      </c>
      <c r="BB114">
        <v>30.81805483870968</v>
      </c>
      <c r="BC114">
        <v>31.04839677419355</v>
      </c>
      <c r="BD114">
        <v>999.9000000000003</v>
      </c>
      <c r="BE114">
        <v>0</v>
      </c>
      <c r="BF114">
        <v>0</v>
      </c>
      <c r="BG114">
        <v>5004.66129032258</v>
      </c>
      <c r="BH114">
        <v>1.184518387096774</v>
      </c>
      <c r="BI114">
        <v>2189.710967741935</v>
      </c>
      <c r="BJ114">
        <v>2.018919677419355</v>
      </c>
      <c r="BK114">
        <v>430.4856774193548</v>
      </c>
      <c r="BL114">
        <v>428.3288064516129</v>
      </c>
      <c r="BM114">
        <v>0.2651166774193549</v>
      </c>
      <c r="BN114">
        <v>423.5837419354839</v>
      </c>
      <c r="BO114">
        <v>11.07825806451613</v>
      </c>
      <c r="BP114">
        <v>1.136319677419355</v>
      </c>
      <c r="BQ114">
        <v>1.109760967741935</v>
      </c>
      <c r="BR114">
        <v>8.792416129032258</v>
      </c>
      <c r="BS114">
        <v>8.443101935483872</v>
      </c>
      <c r="BT114">
        <v>0</v>
      </c>
      <c r="BU114">
        <v>0</v>
      </c>
      <c r="BV114">
        <v>0</v>
      </c>
      <c r="BW114">
        <v>35</v>
      </c>
      <c r="BX114">
        <v>53</v>
      </c>
      <c r="BY114">
        <v>1773196010</v>
      </c>
      <c r="BZ114" t="s">
        <v>332</v>
      </c>
      <c r="CA114">
        <v>1773196010</v>
      </c>
      <c r="CB114">
        <v>1773196005.5</v>
      </c>
      <c r="CC114">
        <v>2</v>
      </c>
      <c r="CD114">
        <v>-0.279</v>
      </c>
      <c r="CE114">
        <v>-0.021</v>
      </c>
      <c r="CF114">
        <v>6.231</v>
      </c>
      <c r="CG114">
        <v>0.081</v>
      </c>
      <c r="CH114">
        <v>432</v>
      </c>
      <c r="CI114">
        <v>21</v>
      </c>
      <c r="CJ114">
        <v>0.03</v>
      </c>
      <c r="CK114">
        <v>0.06</v>
      </c>
      <c r="CL114">
        <v>423.5884</v>
      </c>
      <c r="CM114">
        <v>-0.6673548387099545</v>
      </c>
      <c r="CN114">
        <v>0.05097751138166003</v>
      </c>
      <c r="CO114">
        <v>-1</v>
      </c>
      <c r="CP114">
        <v>500.0155666666667</v>
      </c>
      <c r="CQ114">
        <v>-0.2153058954390404</v>
      </c>
      <c r="CR114">
        <v>0.05978889714840149</v>
      </c>
      <c r="CS114">
        <v>-1</v>
      </c>
      <c r="CT114">
        <v>0</v>
      </c>
      <c r="CU114">
        <v>0</v>
      </c>
      <c r="CV114" t="s">
        <v>333</v>
      </c>
      <c r="CW114">
        <v>3.17075</v>
      </c>
      <c r="CX114">
        <v>2.66691</v>
      </c>
      <c r="CY114">
        <v>0.0996939</v>
      </c>
      <c r="CZ114">
        <v>0.100493</v>
      </c>
      <c r="DA114">
        <v>0.0641434</v>
      </c>
      <c r="DB114">
        <v>0.063071</v>
      </c>
      <c r="DC114">
        <v>21325</v>
      </c>
      <c r="DD114">
        <v>21887.8</v>
      </c>
      <c r="DE114">
        <v>22836.5</v>
      </c>
      <c r="DF114">
        <v>22278</v>
      </c>
      <c r="DG114">
        <v>32319.7</v>
      </c>
      <c r="DH114">
        <v>29405.1</v>
      </c>
      <c r="DI114">
        <v>40193.7</v>
      </c>
      <c r="DJ114">
        <v>36850.1</v>
      </c>
      <c r="DK114">
        <v>2.02746</v>
      </c>
      <c r="DL114">
        <v>1.50296</v>
      </c>
      <c r="DM114">
        <v>-0.0733733</v>
      </c>
      <c r="DN114">
        <v>0</v>
      </c>
      <c r="DO114">
        <v>32.2378</v>
      </c>
      <c r="DP114">
        <v>999.9</v>
      </c>
      <c r="DQ114">
        <v>23.6</v>
      </c>
      <c r="DR114">
        <v>45.1</v>
      </c>
      <c r="DS114">
        <v>22.8236</v>
      </c>
      <c r="DT114">
        <v>29.9391</v>
      </c>
      <c r="DU114">
        <v>14.5112</v>
      </c>
      <c r="DV114">
        <v>1</v>
      </c>
      <c r="DW114">
        <v>0.872516</v>
      </c>
      <c r="DX114">
        <v>4.01193</v>
      </c>
      <c r="DY114">
        <v>20.3056</v>
      </c>
      <c r="DZ114">
        <v>5.20986</v>
      </c>
      <c r="EA114">
        <v>11.8552</v>
      </c>
      <c r="EB114">
        <v>4.96736</v>
      </c>
      <c r="EC114">
        <v>3.293</v>
      </c>
      <c r="ED114">
        <v>879.4</v>
      </c>
      <c r="EE114">
        <v>9999</v>
      </c>
      <c r="EF114">
        <v>9999</v>
      </c>
      <c r="EG114">
        <v>77.59999999999999</v>
      </c>
      <c r="EH114">
        <v>4.97158</v>
      </c>
      <c r="EI114">
        <v>1.8721</v>
      </c>
      <c r="EJ114">
        <v>1.86944</v>
      </c>
      <c r="EK114">
        <v>1.8718</v>
      </c>
      <c r="EL114">
        <v>1.86953</v>
      </c>
      <c r="EM114">
        <v>1.86834</v>
      </c>
      <c r="EN114">
        <v>1.87017</v>
      </c>
      <c r="EO114">
        <v>1.87195</v>
      </c>
      <c r="EP114">
        <v>0</v>
      </c>
      <c r="EQ114">
        <v>0</v>
      </c>
      <c r="ER114">
        <v>0</v>
      </c>
      <c r="ES114">
        <v>0</v>
      </c>
      <c r="ET114" t="s">
        <v>334</v>
      </c>
      <c r="EU114" t="s">
        <v>335</v>
      </c>
      <c r="EV114" t="s">
        <v>336</v>
      </c>
      <c r="EW114" t="s">
        <v>336</v>
      </c>
      <c r="EX114" t="s">
        <v>336</v>
      </c>
      <c r="EY114" t="s">
        <v>336</v>
      </c>
      <c r="EZ114">
        <v>0</v>
      </c>
      <c r="FA114">
        <v>100</v>
      </c>
      <c r="FB114">
        <v>100</v>
      </c>
      <c r="FC114">
        <v>6.232</v>
      </c>
      <c r="FD114">
        <v>0.0806</v>
      </c>
      <c r="FE114">
        <v>6.23135000000002</v>
      </c>
      <c r="FF114">
        <v>0</v>
      </c>
      <c r="FG114">
        <v>0</v>
      </c>
      <c r="FH114">
        <v>0</v>
      </c>
      <c r="FI114">
        <v>0.08059047619047632</v>
      </c>
      <c r="FJ114">
        <v>0</v>
      </c>
      <c r="FK114">
        <v>0</v>
      </c>
      <c r="FL114">
        <v>0</v>
      </c>
      <c r="FM114">
        <v>-1</v>
      </c>
      <c r="FN114">
        <v>-1</v>
      </c>
      <c r="FO114">
        <v>-1</v>
      </c>
      <c r="FP114">
        <v>-1</v>
      </c>
      <c r="FQ114">
        <v>98.5</v>
      </c>
      <c r="FR114">
        <v>98.59999999999999</v>
      </c>
      <c r="FS114">
        <v>0.141602</v>
      </c>
      <c r="FT114">
        <v>4.99756</v>
      </c>
      <c r="FU114">
        <v>1.5979</v>
      </c>
      <c r="FV114">
        <v>2.10938</v>
      </c>
      <c r="FW114">
        <v>1.54785</v>
      </c>
      <c r="FX114">
        <v>2.45483</v>
      </c>
      <c r="FY114">
        <v>46.9151</v>
      </c>
      <c r="FZ114">
        <v>15.6731</v>
      </c>
      <c r="GA114">
        <v>3</v>
      </c>
      <c r="GB114">
        <v>519.515</v>
      </c>
      <c r="GC114">
        <v>291.201</v>
      </c>
      <c r="GD114">
        <v>27.4898</v>
      </c>
      <c r="GE114">
        <v>37.6891</v>
      </c>
      <c r="GF114">
        <v>29.9999</v>
      </c>
      <c r="GG114">
        <v>37.5866</v>
      </c>
      <c r="GH114">
        <v>37.5758</v>
      </c>
      <c r="GI114">
        <v>-1</v>
      </c>
      <c r="GJ114">
        <v>100</v>
      </c>
      <c r="GK114">
        <v>0</v>
      </c>
      <c r="GL114">
        <v>27.4828</v>
      </c>
      <c r="GM114">
        <v>1200</v>
      </c>
      <c r="GN114">
        <v>19.4378</v>
      </c>
      <c r="GO114">
        <v>101.119</v>
      </c>
      <c r="GP114">
        <v>96.2246</v>
      </c>
    </row>
    <row r="115" spans="1:198">
      <c r="A115">
        <v>99</v>
      </c>
      <c r="B115">
        <v>1773201980.6</v>
      </c>
      <c r="C115">
        <v>5880.599999904633</v>
      </c>
      <c r="D115" t="s">
        <v>531</v>
      </c>
      <c r="E115" t="s">
        <v>532</v>
      </c>
      <c r="F115">
        <v>15</v>
      </c>
      <c r="G115">
        <v>1773201972.599999</v>
      </c>
      <c r="H115">
        <f>(I115)/1000</f>
        <v>0</v>
      </c>
      <c r="I115">
        <f>1000*AY115*AG115*(AU115-AV115)/(100*AN115*(1000-AG115*AU115))</f>
        <v>0</v>
      </c>
      <c r="J115">
        <f>AY115*AG115*(AT115-AS115*(1000-AG115*AV115)/(1000-AG115*AU115))/(100*AN115)</f>
        <v>0</v>
      </c>
      <c r="K115">
        <f>AS115 - IF(AG115&gt;1, J115*AN115*100.0/(AI115), 0)</f>
        <v>0</v>
      </c>
      <c r="L115">
        <f>((R115-H115/2)*K115-J115)/(R115+H115/2)</f>
        <v>0</v>
      </c>
      <c r="M115">
        <f>L115*(AZ115+BA115)/1000.0</f>
        <v>0</v>
      </c>
      <c r="N115">
        <f>(AS115 - IF(AG115&gt;1, J115*AN115*100.0/(AI115), 0))*(AZ115+BA115)/1000.0</f>
        <v>0</v>
      </c>
      <c r="O115">
        <f>2.0/((1/Q115-1/P115)+SIGN(Q115)*SQRT((1/Q115-1/P115)*(1/Q115-1/P115) + 4*AO115/((AO115+1)*(AO115+1))*(2*1/Q115*1/P115-1/P115*1/P115)))</f>
        <v>0</v>
      </c>
      <c r="P115">
        <f>IF(LEFT(AP115,1)&lt;&gt;"0",IF(LEFT(AP115,1)="1",3.0,AQ115),$D$5+$E$5*(BG115*AZ115/($K$5*1000))+$F$5*(BG115*AZ115/($K$5*1000))*MAX(MIN(AN115,$J$5),$I$5)*MAX(MIN(AN115,$J$5),$I$5)+$G$5*MAX(MIN(AN115,$J$5),$I$5)*(BG115*AZ115/($K$5*1000))+$H$5*(BG115*AZ115/($K$5*1000))*(BG115*AZ115/($K$5*1000)))</f>
        <v>0</v>
      </c>
      <c r="Q115">
        <f>H115*(1000-(1000*0.61365*exp(17.502*U115/(240.97+U115))/(AZ115+BA115)+AU115)/2)/(1000*0.61365*exp(17.502*U115/(240.97+U115))/(AZ115+BA115)-AU115)</f>
        <v>0</v>
      </c>
      <c r="R115">
        <f>1/((AO115+1)/(O115/1.6)+1/(P115/1.37)) + AO115/((AO115+1)/(O115/1.6) + AO115/(P115/1.37))</f>
        <v>0</v>
      </c>
      <c r="S115">
        <f>(AJ115*AM115)</f>
        <v>0</v>
      </c>
      <c r="T115">
        <f>(BB115+(S115+2*0.95*5.67E-8*(((BB115+$B$7)+273)^4-(BB115+273)^4)-44100*H115)/(1.84*29.3*P115+8*0.95*5.67E-8*(BB115+273)^3))</f>
        <v>0</v>
      </c>
      <c r="U115">
        <f>($C$7*BC115+$D$7*BD115+$E$7*T115)</f>
        <v>0</v>
      </c>
      <c r="V115">
        <f>0.61365*exp(17.502*U115/(240.97+U115))</f>
        <v>0</v>
      </c>
      <c r="W115">
        <f>(X115/Y115*100)</f>
        <v>0</v>
      </c>
      <c r="X115">
        <f>AU115*(AZ115+BA115)/1000</f>
        <v>0</v>
      </c>
      <c r="Y115">
        <f>0.61365*exp(17.502*BB115/(240.97+BB115))</f>
        <v>0</v>
      </c>
      <c r="Z115">
        <f>(V115-AU115*(AZ115+BA115)/1000)</f>
        <v>0</v>
      </c>
      <c r="AA115">
        <f>(-H115*44100)</f>
        <v>0</v>
      </c>
      <c r="AB115">
        <f>2*29.3*P115*0.92*(BB115-U115)</f>
        <v>0</v>
      </c>
      <c r="AC115">
        <f>2*0.95*5.67E-8*(((BB115+$B$7)+273)^4-(U115+273)^4)</f>
        <v>0</v>
      </c>
      <c r="AD115">
        <f>S115+AC115+AA115+AB115</f>
        <v>0</v>
      </c>
      <c r="AE115">
        <v>0</v>
      </c>
      <c r="AF115">
        <v>0</v>
      </c>
      <c r="AG115">
        <f>IF(AE115*$H$13&gt;=AI115,1.0,(AI115/(AI115-AE115*$H$13)))</f>
        <v>0</v>
      </c>
      <c r="AH115">
        <f>(AG115-1)*100</f>
        <v>0</v>
      </c>
      <c r="AI115">
        <f>MAX(0,($B$13+$C$13*BG115)/(1+$D$13*BG115)*AZ115/(BB115+273)*$E$13)</f>
        <v>0</v>
      </c>
      <c r="AJ115">
        <f>$B$11*BH115+$C$11*BI115+$D$11*BT115</f>
        <v>0</v>
      </c>
      <c r="AK115">
        <f>AJ115*AL115</f>
        <v>0</v>
      </c>
      <c r="AL115">
        <f>($B$11*$D$9+$C$11*$D$9+$D$11*(BU115*$E$9+BV115*$G$9))/($B$11+$C$11+$D$11)</f>
        <v>0</v>
      </c>
      <c r="AM115">
        <f>($B$11*$K$9+$C$11*$K$9+$D$11*(BU115*$L$9+BV115*$N$9))/($B$11+$C$11+$D$11)</f>
        <v>0</v>
      </c>
      <c r="AN115">
        <v>3</v>
      </c>
      <c r="AO115">
        <v>0.5</v>
      </c>
      <c r="AP115" t="s">
        <v>331</v>
      </c>
      <c r="AQ115">
        <v>2</v>
      </c>
      <c r="AR115">
        <v>1773201972.599999</v>
      </c>
      <c r="AS115">
        <v>425.2437419354839</v>
      </c>
      <c r="AT115">
        <v>423.1553548387097</v>
      </c>
      <c r="AU115">
        <v>11.30108064516129</v>
      </c>
      <c r="AV115">
        <v>11.0381064516129</v>
      </c>
      <c r="AW115">
        <v>419.0124193548386</v>
      </c>
      <c r="AX115">
        <v>11.22049032258065</v>
      </c>
      <c r="AY115">
        <v>499.9963548387097</v>
      </c>
      <c r="AZ115">
        <v>100.1736774193548</v>
      </c>
      <c r="BA115">
        <v>0.04589377419354839</v>
      </c>
      <c r="BB115">
        <v>30.78543225806451</v>
      </c>
      <c r="BC115">
        <v>31.02157096774194</v>
      </c>
      <c r="BD115">
        <v>999.9000000000003</v>
      </c>
      <c r="BE115">
        <v>0</v>
      </c>
      <c r="BF115">
        <v>0</v>
      </c>
      <c r="BG115">
        <v>5002.790322580645</v>
      </c>
      <c r="BH115">
        <v>1.193549677419355</v>
      </c>
      <c r="BI115">
        <v>2193.263225806451</v>
      </c>
      <c r="BJ115">
        <v>2.088412903225806</v>
      </c>
      <c r="BK115">
        <v>430.1044516129031</v>
      </c>
      <c r="BL115">
        <v>427.8782903225806</v>
      </c>
      <c r="BM115">
        <v>0.2629674516129032</v>
      </c>
      <c r="BN115">
        <v>423.1553548387097</v>
      </c>
      <c r="BO115">
        <v>11.0381064516129</v>
      </c>
      <c r="BP115">
        <v>1.13207</v>
      </c>
      <c r="BQ115">
        <v>1.105727741935484</v>
      </c>
      <c r="BR115">
        <v>8.737015806451614</v>
      </c>
      <c r="BS115">
        <v>8.389407096774194</v>
      </c>
      <c r="BT115">
        <v>0</v>
      </c>
      <c r="BU115">
        <v>0</v>
      </c>
      <c r="BV115">
        <v>0</v>
      </c>
      <c r="BW115">
        <v>35</v>
      </c>
      <c r="BX115">
        <v>53</v>
      </c>
      <c r="BY115">
        <v>1773196010</v>
      </c>
      <c r="BZ115" t="s">
        <v>332</v>
      </c>
      <c r="CA115">
        <v>1773196010</v>
      </c>
      <c r="CB115">
        <v>1773196005.5</v>
      </c>
      <c r="CC115">
        <v>2</v>
      </c>
      <c r="CD115">
        <v>-0.279</v>
      </c>
      <c r="CE115">
        <v>-0.021</v>
      </c>
      <c r="CF115">
        <v>6.231</v>
      </c>
      <c r="CG115">
        <v>0.081</v>
      </c>
      <c r="CH115">
        <v>432</v>
      </c>
      <c r="CI115">
        <v>21</v>
      </c>
      <c r="CJ115">
        <v>0.03</v>
      </c>
      <c r="CK115">
        <v>0.06</v>
      </c>
      <c r="CL115">
        <v>423.1582666666666</v>
      </c>
      <c r="CM115">
        <v>-0.1800400444922733</v>
      </c>
      <c r="CN115">
        <v>0.02061865390584037</v>
      </c>
      <c r="CO115">
        <v>-1</v>
      </c>
      <c r="CP115">
        <v>499.9916</v>
      </c>
      <c r="CQ115">
        <v>0.0137219132384834</v>
      </c>
      <c r="CR115">
        <v>0.02764006753488395</v>
      </c>
      <c r="CS115">
        <v>-1</v>
      </c>
      <c r="CT115">
        <v>0</v>
      </c>
      <c r="CU115">
        <v>0</v>
      </c>
      <c r="CV115" t="s">
        <v>333</v>
      </c>
      <c r="CW115">
        <v>3.17089</v>
      </c>
      <c r="CX115">
        <v>2.66704</v>
      </c>
      <c r="CY115">
        <v>0.09962029999999999</v>
      </c>
      <c r="CZ115">
        <v>0.100424</v>
      </c>
      <c r="DA115">
        <v>0.0639518</v>
      </c>
      <c r="DB115">
        <v>0.0629031</v>
      </c>
      <c r="DC115">
        <v>21328.4</v>
      </c>
      <c r="DD115">
        <v>21891.1</v>
      </c>
      <c r="DE115">
        <v>22838.2</v>
      </c>
      <c r="DF115">
        <v>22279.6</v>
      </c>
      <c r="DG115">
        <v>32328.7</v>
      </c>
      <c r="DH115">
        <v>29412.4</v>
      </c>
      <c r="DI115">
        <v>40196.7</v>
      </c>
      <c r="DJ115">
        <v>36852.6</v>
      </c>
      <c r="DK115">
        <v>2.02796</v>
      </c>
      <c r="DL115">
        <v>1.50386</v>
      </c>
      <c r="DM115">
        <v>-0.07252400000000001</v>
      </c>
      <c r="DN115">
        <v>0</v>
      </c>
      <c r="DO115">
        <v>32.2062</v>
      </c>
      <c r="DP115">
        <v>999.9</v>
      </c>
      <c r="DQ115">
        <v>23.8</v>
      </c>
      <c r="DR115">
        <v>45.1</v>
      </c>
      <c r="DS115">
        <v>23.0193</v>
      </c>
      <c r="DT115">
        <v>29.9991</v>
      </c>
      <c r="DU115">
        <v>14.1907</v>
      </c>
      <c r="DV115">
        <v>1</v>
      </c>
      <c r="DW115">
        <v>0.86775</v>
      </c>
      <c r="DX115">
        <v>3.72459</v>
      </c>
      <c r="DY115">
        <v>20.3135</v>
      </c>
      <c r="DZ115">
        <v>5.20926</v>
      </c>
      <c r="EA115">
        <v>11.8548</v>
      </c>
      <c r="EB115">
        <v>4.96716</v>
      </c>
      <c r="EC115">
        <v>3.293</v>
      </c>
      <c r="ED115">
        <v>879.4</v>
      </c>
      <c r="EE115">
        <v>9999</v>
      </c>
      <c r="EF115">
        <v>9999</v>
      </c>
      <c r="EG115">
        <v>77.7</v>
      </c>
      <c r="EH115">
        <v>4.97157</v>
      </c>
      <c r="EI115">
        <v>1.8721</v>
      </c>
      <c r="EJ115">
        <v>1.86948</v>
      </c>
      <c r="EK115">
        <v>1.8718</v>
      </c>
      <c r="EL115">
        <v>1.86952</v>
      </c>
      <c r="EM115">
        <v>1.86839</v>
      </c>
      <c r="EN115">
        <v>1.87023</v>
      </c>
      <c r="EO115">
        <v>1.87195</v>
      </c>
      <c r="EP115">
        <v>0</v>
      </c>
      <c r="EQ115">
        <v>0</v>
      </c>
      <c r="ER115">
        <v>0</v>
      </c>
      <c r="ES115">
        <v>0</v>
      </c>
      <c r="ET115" t="s">
        <v>334</v>
      </c>
      <c r="EU115" t="s">
        <v>335</v>
      </c>
      <c r="EV115" t="s">
        <v>336</v>
      </c>
      <c r="EW115" t="s">
        <v>336</v>
      </c>
      <c r="EX115" t="s">
        <v>336</v>
      </c>
      <c r="EY115" t="s">
        <v>336</v>
      </c>
      <c r="EZ115">
        <v>0</v>
      </c>
      <c r="FA115">
        <v>100</v>
      </c>
      <c r="FB115">
        <v>100</v>
      </c>
      <c r="FC115">
        <v>6.232</v>
      </c>
      <c r="FD115">
        <v>0.0806</v>
      </c>
      <c r="FE115">
        <v>6.23135000000002</v>
      </c>
      <c r="FF115">
        <v>0</v>
      </c>
      <c r="FG115">
        <v>0</v>
      </c>
      <c r="FH115">
        <v>0</v>
      </c>
      <c r="FI115">
        <v>0.08059047619047632</v>
      </c>
      <c r="FJ115">
        <v>0</v>
      </c>
      <c r="FK115">
        <v>0</v>
      </c>
      <c r="FL115">
        <v>0</v>
      </c>
      <c r="FM115">
        <v>-1</v>
      </c>
      <c r="FN115">
        <v>-1</v>
      </c>
      <c r="FO115">
        <v>-1</v>
      </c>
      <c r="FP115">
        <v>-1</v>
      </c>
      <c r="FQ115">
        <v>99.5</v>
      </c>
      <c r="FR115">
        <v>99.59999999999999</v>
      </c>
      <c r="FS115">
        <v>0.141602</v>
      </c>
      <c r="FT115">
        <v>4.99756</v>
      </c>
      <c r="FU115">
        <v>1.5979</v>
      </c>
      <c r="FV115">
        <v>2.10815</v>
      </c>
      <c r="FW115">
        <v>1.54785</v>
      </c>
      <c r="FX115">
        <v>2.37793</v>
      </c>
      <c r="FY115">
        <v>46.8855</v>
      </c>
      <c r="FZ115">
        <v>15.6643</v>
      </c>
      <c r="GA115">
        <v>3</v>
      </c>
      <c r="GB115">
        <v>519.715</v>
      </c>
      <c r="GC115">
        <v>291.572</v>
      </c>
      <c r="GD115">
        <v>27.6141</v>
      </c>
      <c r="GE115">
        <v>37.664</v>
      </c>
      <c r="GF115">
        <v>29.9999</v>
      </c>
      <c r="GG115">
        <v>37.5708</v>
      </c>
      <c r="GH115">
        <v>37.5628</v>
      </c>
      <c r="GI115">
        <v>-1</v>
      </c>
      <c r="GJ115">
        <v>100</v>
      </c>
      <c r="GK115">
        <v>0</v>
      </c>
      <c r="GL115">
        <v>27.6224</v>
      </c>
      <c r="GM115">
        <v>1200</v>
      </c>
      <c r="GN115">
        <v>19.4378</v>
      </c>
      <c r="GO115">
        <v>101.127</v>
      </c>
      <c r="GP115">
        <v>96.23139999999999</v>
      </c>
    </row>
    <row r="116" spans="1:198">
      <c r="A116">
        <v>100</v>
      </c>
      <c r="B116">
        <v>1773202040.6</v>
      </c>
      <c r="C116">
        <v>5940.599999904633</v>
      </c>
      <c r="D116" t="s">
        <v>533</v>
      </c>
      <c r="E116" t="s">
        <v>534</v>
      </c>
      <c r="F116">
        <v>15</v>
      </c>
      <c r="G116">
        <v>1773202032.599999</v>
      </c>
      <c r="H116">
        <f>(I116)/1000</f>
        <v>0</v>
      </c>
      <c r="I116">
        <f>1000*AY116*AG116*(AU116-AV116)/(100*AN116*(1000-AG116*AU116))</f>
        <v>0</v>
      </c>
      <c r="J116">
        <f>AY116*AG116*(AT116-AS116*(1000-AG116*AV116)/(1000-AG116*AU116))/(100*AN116)</f>
        <v>0</v>
      </c>
      <c r="K116">
        <f>AS116 - IF(AG116&gt;1, J116*AN116*100.0/(AI116), 0)</f>
        <v>0</v>
      </c>
      <c r="L116">
        <f>((R116-H116/2)*K116-J116)/(R116+H116/2)</f>
        <v>0</v>
      </c>
      <c r="M116">
        <f>L116*(AZ116+BA116)/1000.0</f>
        <v>0</v>
      </c>
      <c r="N116">
        <f>(AS116 - IF(AG116&gt;1, J116*AN116*100.0/(AI116), 0))*(AZ116+BA116)/1000.0</f>
        <v>0</v>
      </c>
      <c r="O116">
        <f>2.0/((1/Q116-1/P116)+SIGN(Q116)*SQRT((1/Q116-1/P116)*(1/Q116-1/P116) + 4*AO116/((AO116+1)*(AO116+1))*(2*1/Q116*1/P116-1/P116*1/P116)))</f>
        <v>0</v>
      </c>
      <c r="P116">
        <f>IF(LEFT(AP116,1)&lt;&gt;"0",IF(LEFT(AP116,1)="1",3.0,AQ116),$D$5+$E$5*(BG116*AZ116/($K$5*1000))+$F$5*(BG116*AZ116/($K$5*1000))*MAX(MIN(AN116,$J$5),$I$5)*MAX(MIN(AN116,$J$5),$I$5)+$G$5*MAX(MIN(AN116,$J$5),$I$5)*(BG116*AZ116/($K$5*1000))+$H$5*(BG116*AZ116/($K$5*1000))*(BG116*AZ116/($K$5*1000)))</f>
        <v>0</v>
      </c>
      <c r="Q116">
        <f>H116*(1000-(1000*0.61365*exp(17.502*U116/(240.97+U116))/(AZ116+BA116)+AU116)/2)/(1000*0.61365*exp(17.502*U116/(240.97+U116))/(AZ116+BA116)-AU116)</f>
        <v>0</v>
      </c>
      <c r="R116">
        <f>1/((AO116+1)/(O116/1.6)+1/(P116/1.37)) + AO116/((AO116+1)/(O116/1.6) + AO116/(P116/1.37))</f>
        <v>0</v>
      </c>
      <c r="S116">
        <f>(AJ116*AM116)</f>
        <v>0</v>
      </c>
      <c r="T116">
        <f>(BB116+(S116+2*0.95*5.67E-8*(((BB116+$B$7)+273)^4-(BB116+273)^4)-44100*H116)/(1.84*29.3*P116+8*0.95*5.67E-8*(BB116+273)^3))</f>
        <v>0</v>
      </c>
      <c r="U116">
        <f>($C$7*BC116+$D$7*BD116+$E$7*T116)</f>
        <v>0</v>
      </c>
      <c r="V116">
        <f>0.61365*exp(17.502*U116/(240.97+U116))</f>
        <v>0</v>
      </c>
      <c r="W116">
        <f>(X116/Y116*100)</f>
        <v>0</v>
      </c>
      <c r="X116">
        <f>AU116*(AZ116+BA116)/1000</f>
        <v>0</v>
      </c>
      <c r="Y116">
        <f>0.61365*exp(17.502*BB116/(240.97+BB116))</f>
        <v>0</v>
      </c>
      <c r="Z116">
        <f>(V116-AU116*(AZ116+BA116)/1000)</f>
        <v>0</v>
      </c>
      <c r="AA116">
        <f>(-H116*44100)</f>
        <v>0</v>
      </c>
      <c r="AB116">
        <f>2*29.3*P116*0.92*(BB116-U116)</f>
        <v>0</v>
      </c>
      <c r="AC116">
        <f>2*0.95*5.67E-8*(((BB116+$B$7)+273)^4-(U116+273)^4)</f>
        <v>0</v>
      </c>
      <c r="AD116">
        <f>S116+AC116+AA116+AB116</f>
        <v>0</v>
      </c>
      <c r="AE116">
        <v>0</v>
      </c>
      <c r="AF116">
        <v>0</v>
      </c>
      <c r="AG116">
        <f>IF(AE116*$H$13&gt;=AI116,1.0,(AI116/(AI116-AE116*$H$13)))</f>
        <v>0</v>
      </c>
      <c r="AH116">
        <f>(AG116-1)*100</f>
        <v>0</v>
      </c>
      <c r="AI116">
        <f>MAX(0,($B$13+$C$13*BG116)/(1+$D$13*BG116)*AZ116/(BB116+273)*$E$13)</f>
        <v>0</v>
      </c>
      <c r="AJ116">
        <f>$B$11*BH116+$C$11*BI116+$D$11*BT116</f>
        <v>0</v>
      </c>
      <c r="AK116">
        <f>AJ116*AL116</f>
        <v>0</v>
      </c>
      <c r="AL116">
        <f>($B$11*$D$9+$C$11*$D$9+$D$11*(BU116*$E$9+BV116*$G$9))/($B$11+$C$11+$D$11)</f>
        <v>0</v>
      </c>
      <c r="AM116">
        <f>($B$11*$K$9+$C$11*$K$9+$D$11*(BU116*$L$9+BV116*$N$9))/($B$11+$C$11+$D$11)</f>
        <v>0</v>
      </c>
      <c r="AN116">
        <v>3</v>
      </c>
      <c r="AO116">
        <v>0.5</v>
      </c>
      <c r="AP116" t="s">
        <v>331</v>
      </c>
      <c r="AQ116">
        <v>2</v>
      </c>
      <c r="AR116">
        <v>1773202032.599999</v>
      </c>
      <c r="AS116">
        <v>425.241064516129</v>
      </c>
      <c r="AT116">
        <v>423.0376774193548</v>
      </c>
      <c r="AU116">
        <v>11.30716451612903</v>
      </c>
      <c r="AV116">
        <v>11.06007741935484</v>
      </c>
      <c r="AW116">
        <v>419.0097741935484</v>
      </c>
      <c r="AX116">
        <v>11.22657419354839</v>
      </c>
      <c r="AY116">
        <v>500.0008064516128</v>
      </c>
      <c r="AZ116">
        <v>100.172064516129</v>
      </c>
      <c r="BA116">
        <v>0.04545946129032257</v>
      </c>
      <c r="BB116">
        <v>30.82283870967742</v>
      </c>
      <c r="BC116">
        <v>31.0869</v>
      </c>
      <c r="BD116">
        <v>999.9000000000003</v>
      </c>
      <c r="BE116">
        <v>0</v>
      </c>
      <c r="BF116">
        <v>0</v>
      </c>
      <c r="BG116">
        <v>5005.33870967742</v>
      </c>
      <c r="BH116">
        <v>1.184210967741935</v>
      </c>
      <c r="BI116">
        <v>2187.258387096775</v>
      </c>
      <c r="BJ116">
        <v>2.203371935483871</v>
      </c>
      <c r="BK116">
        <v>430.1041612903226</v>
      </c>
      <c r="BL116">
        <v>427.768935483871</v>
      </c>
      <c r="BM116">
        <v>0.2470929032258065</v>
      </c>
      <c r="BN116">
        <v>423.0376774193548</v>
      </c>
      <c r="BO116">
        <v>11.06007741935484</v>
      </c>
      <c r="BP116">
        <v>1.132662580645161</v>
      </c>
      <c r="BQ116">
        <v>1.10791</v>
      </c>
      <c r="BR116">
        <v>8.744745483870968</v>
      </c>
      <c r="BS116">
        <v>8.418484838709677</v>
      </c>
      <c r="BT116">
        <v>0</v>
      </c>
      <c r="BU116">
        <v>0</v>
      </c>
      <c r="BV116">
        <v>0</v>
      </c>
      <c r="BW116">
        <v>35</v>
      </c>
      <c r="BX116">
        <v>52.9731193548387</v>
      </c>
      <c r="BY116">
        <v>1773196010</v>
      </c>
      <c r="BZ116" t="s">
        <v>332</v>
      </c>
      <c r="CA116">
        <v>1773196010</v>
      </c>
      <c r="CB116">
        <v>1773196005.5</v>
      </c>
      <c r="CC116">
        <v>2</v>
      </c>
      <c r="CD116">
        <v>-0.279</v>
      </c>
      <c r="CE116">
        <v>-0.021</v>
      </c>
      <c r="CF116">
        <v>6.231</v>
      </c>
      <c r="CG116">
        <v>0.081</v>
      </c>
      <c r="CH116">
        <v>432</v>
      </c>
      <c r="CI116">
        <v>21</v>
      </c>
      <c r="CJ116">
        <v>0.03</v>
      </c>
      <c r="CK116">
        <v>0.06</v>
      </c>
      <c r="CL116">
        <v>423.0415666666667</v>
      </c>
      <c r="CM116">
        <v>-0.3838131256957009</v>
      </c>
      <c r="CN116">
        <v>0.04953899698442114</v>
      </c>
      <c r="CO116">
        <v>-1</v>
      </c>
      <c r="CP116">
        <v>500.0036333333333</v>
      </c>
      <c r="CQ116">
        <v>0.4939087875407744</v>
      </c>
      <c r="CR116">
        <v>0.06662856411146383</v>
      </c>
      <c r="CS116">
        <v>-1</v>
      </c>
      <c r="CT116">
        <v>0</v>
      </c>
      <c r="CU116">
        <v>0</v>
      </c>
      <c r="CV116" t="s">
        <v>333</v>
      </c>
      <c r="CW116">
        <v>3.17066</v>
      </c>
      <c r="CX116">
        <v>2.6659</v>
      </c>
      <c r="CY116">
        <v>0.0996066</v>
      </c>
      <c r="CZ116">
        <v>0.100402</v>
      </c>
      <c r="DA116">
        <v>0.0640164</v>
      </c>
      <c r="DB116">
        <v>0.0630315</v>
      </c>
      <c r="DC116">
        <v>21327.7</v>
      </c>
      <c r="DD116">
        <v>21890.9</v>
      </c>
      <c r="DE116">
        <v>22837.1</v>
      </c>
      <c r="DF116">
        <v>22278.9</v>
      </c>
      <c r="DG116">
        <v>32325</v>
      </c>
      <c r="DH116">
        <v>29407.3</v>
      </c>
      <c r="DI116">
        <v>40194.8</v>
      </c>
      <c r="DJ116">
        <v>36851.3</v>
      </c>
      <c r="DK116">
        <v>2.02766</v>
      </c>
      <c r="DL116">
        <v>1.50406</v>
      </c>
      <c r="DM116">
        <v>-0.0753373</v>
      </c>
      <c r="DN116">
        <v>0</v>
      </c>
      <c r="DO116">
        <v>32.3164</v>
      </c>
      <c r="DP116">
        <v>999.9</v>
      </c>
      <c r="DQ116">
        <v>23.5</v>
      </c>
      <c r="DR116">
        <v>45.1</v>
      </c>
      <c r="DS116">
        <v>22.7266</v>
      </c>
      <c r="DT116">
        <v>29.6091</v>
      </c>
      <c r="DU116">
        <v>14.0986</v>
      </c>
      <c r="DV116">
        <v>1</v>
      </c>
      <c r="DW116">
        <v>0.871293</v>
      </c>
      <c r="DX116">
        <v>4.04627</v>
      </c>
      <c r="DY116">
        <v>20.3043</v>
      </c>
      <c r="DZ116">
        <v>5.2101</v>
      </c>
      <c r="EA116">
        <v>11.855</v>
      </c>
      <c r="EB116">
        <v>4.96748</v>
      </c>
      <c r="EC116">
        <v>3.29298</v>
      </c>
      <c r="ED116">
        <v>879.4</v>
      </c>
      <c r="EE116">
        <v>9999</v>
      </c>
      <c r="EF116">
        <v>9999</v>
      </c>
      <c r="EG116">
        <v>77.7</v>
      </c>
      <c r="EH116">
        <v>4.97159</v>
      </c>
      <c r="EI116">
        <v>1.8721</v>
      </c>
      <c r="EJ116">
        <v>1.86949</v>
      </c>
      <c r="EK116">
        <v>1.8718</v>
      </c>
      <c r="EL116">
        <v>1.86957</v>
      </c>
      <c r="EM116">
        <v>1.86842</v>
      </c>
      <c r="EN116">
        <v>1.87021</v>
      </c>
      <c r="EO116">
        <v>1.87195</v>
      </c>
      <c r="EP116">
        <v>0</v>
      </c>
      <c r="EQ116">
        <v>0</v>
      </c>
      <c r="ER116">
        <v>0</v>
      </c>
      <c r="ES116">
        <v>0</v>
      </c>
      <c r="ET116" t="s">
        <v>334</v>
      </c>
      <c r="EU116" t="s">
        <v>335</v>
      </c>
      <c r="EV116" t="s">
        <v>336</v>
      </c>
      <c r="EW116" t="s">
        <v>336</v>
      </c>
      <c r="EX116" t="s">
        <v>336</v>
      </c>
      <c r="EY116" t="s">
        <v>336</v>
      </c>
      <c r="EZ116">
        <v>0</v>
      </c>
      <c r="FA116">
        <v>100</v>
      </c>
      <c r="FB116">
        <v>100</v>
      </c>
      <c r="FC116">
        <v>6.231</v>
      </c>
      <c r="FD116">
        <v>0.0806</v>
      </c>
      <c r="FE116">
        <v>6.23135000000002</v>
      </c>
      <c r="FF116">
        <v>0</v>
      </c>
      <c r="FG116">
        <v>0</v>
      </c>
      <c r="FH116">
        <v>0</v>
      </c>
      <c r="FI116">
        <v>0.08059047619047632</v>
      </c>
      <c r="FJ116">
        <v>0</v>
      </c>
      <c r="FK116">
        <v>0</v>
      </c>
      <c r="FL116">
        <v>0</v>
      </c>
      <c r="FM116">
        <v>-1</v>
      </c>
      <c r="FN116">
        <v>-1</v>
      </c>
      <c r="FO116">
        <v>-1</v>
      </c>
      <c r="FP116">
        <v>-1</v>
      </c>
      <c r="FQ116">
        <v>100.5</v>
      </c>
      <c r="FR116">
        <v>100.6</v>
      </c>
      <c r="FS116">
        <v>0.141602</v>
      </c>
      <c r="FT116">
        <v>4.99756</v>
      </c>
      <c r="FU116">
        <v>1.5979</v>
      </c>
      <c r="FV116">
        <v>2.10938</v>
      </c>
      <c r="FW116">
        <v>1.54785</v>
      </c>
      <c r="FX116">
        <v>2.47681</v>
      </c>
      <c r="FY116">
        <v>46.9151</v>
      </c>
      <c r="FZ116">
        <v>15.6468</v>
      </c>
      <c r="GA116">
        <v>3</v>
      </c>
      <c r="GB116">
        <v>519.603</v>
      </c>
      <c r="GC116">
        <v>291.72</v>
      </c>
      <c r="GD116">
        <v>27.5491</v>
      </c>
      <c r="GE116">
        <v>37.6768</v>
      </c>
      <c r="GF116">
        <v>30.0005</v>
      </c>
      <c r="GG116">
        <v>37.5815</v>
      </c>
      <c r="GH116">
        <v>37.577</v>
      </c>
      <c r="GI116">
        <v>-1</v>
      </c>
      <c r="GJ116">
        <v>100</v>
      </c>
      <c r="GK116">
        <v>0</v>
      </c>
      <c r="GL116">
        <v>27.5345</v>
      </c>
      <c r="GM116">
        <v>1200</v>
      </c>
      <c r="GN116">
        <v>19.4378</v>
      </c>
      <c r="GO116">
        <v>101.122</v>
      </c>
      <c r="GP116">
        <v>96.22799999999999</v>
      </c>
    </row>
    <row r="117" spans="1:198">
      <c r="A117">
        <v>101</v>
      </c>
      <c r="B117">
        <v>1773202100.6</v>
      </c>
      <c r="C117">
        <v>6000.599999904633</v>
      </c>
      <c r="D117" t="s">
        <v>535</v>
      </c>
      <c r="E117" t="s">
        <v>536</v>
      </c>
      <c r="F117">
        <v>15</v>
      </c>
      <c r="G117">
        <v>1773202092.599999</v>
      </c>
      <c r="H117">
        <f>(I117)/1000</f>
        <v>0</v>
      </c>
      <c r="I117">
        <f>1000*AY117*AG117*(AU117-AV117)/(100*AN117*(1000-AG117*AU117))</f>
        <v>0</v>
      </c>
      <c r="J117">
        <f>AY117*AG117*(AT117-AS117*(1000-AG117*AV117)/(1000-AG117*AU117))/(100*AN117)</f>
        <v>0</v>
      </c>
      <c r="K117">
        <f>AS117 - IF(AG117&gt;1, J117*AN117*100.0/(AI117), 0)</f>
        <v>0</v>
      </c>
      <c r="L117">
        <f>((R117-H117/2)*K117-J117)/(R117+H117/2)</f>
        <v>0</v>
      </c>
      <c r="M117">
        <f>L117*(AZ117+BA117)/1000.0</f>
        <v>0</v>
      </c>
      <c r="N117">
        <f>(AS117 - IF(AG117&gt;1, J117*AN117*100.0/(AI117), 0))*(AZ117+BA117)/1000.0</f>
        <v>0</v>
      </c>
      <c r="O117">
        <f>2.0/((1/Q117-1/P117)+SIGN(Q117)*SQRT((1/Q117-1/P117)*(1/Q117-1/P117) + 4*AO117/((AO117+1)*(AO117+1))*(2*1/Q117*1/P117-1/P117*1/P117)))</f>
        <v>0</v>
      </c>
      <c r="P117">
        <f>IF(LEFT(AP117,1)&lt;&gt;"0",IF(LEFT(AP117,1)="1",3.0,AQ117),$D$5+$E$5*(BG117*AZ117/($K$5*1000))+$F$5*(BG117*AZ117/($K$5*1000))*MAX(MIN(AN117,$J$5),$I$5)*MAX(MIN(AN117,$J$5),$I$5)+$G$5*MAX(MIN(AN117,$J$5),$I$5)*(BG117*AZ117/($K$5*1000))+$H$5*(BG117*AZ117/($K$5*1000))*(BG117*AZ117/($K$5*1000)))</f>
        <v>0</v>
      </c>
      <c r="Q117">
        <f>H117*(1000-(1000*0.61365*exp(17.502*U117/(240.97+U117))/(AZ117+BA117)+AU117)/2)/(1000*0.61365*exp(17.502*U117/(240.97+U117))/(AZ117+BA117)-AU117)</f>
        <v>0</v>
      </c>
      <c r="R117">
        <f>1/((AO117+1)/(O117/1.6)+1/(P117/1.37)) + AO117/((AO117+1)/(O117/1.6) + AO117/(P117/1.37))</f>
        <v>0</v>
      </c>
      <c r="S117">
        <f>(AJ117*AM117)</f>
        <v>0</v>
      </c>
      <c r="T117">
        <f>(BB117+(S117+2*0.95*5.67E-8*(((BB117+$B$7)+273)^4-(BB117+273)^4)-44100*H117)/(1.84*29.3*P117+8*0.95*5.67E-8*(BB117+273)^3))</f>
        <v>0</v>
      </c>
      <c r="U117">
        <f>($C$7*BC117+$D$7*BD117+$E$7*T117)</f>
        <v>0</v>
      </c>
      <c r="V117">
        <f>0.61365*exp(17.502*U117/(240.97+U117))</f>
        <v>0</v>
      </c>
      <c r="W117">
        <f>(X117/Y117*100)</f>
        <v>0</v>
      </c>
      <c r="X117">
        <f>AU117*(AZ117+BA117)/1000</f>
        <v>0</v>
      </c>
      <c r="Y117">
        <f>0.61365*exp(17.502*BB117/(240.97+BB117))</f>
        <v>0</v>
      </c>
      <c r="Z117">
        <f>(V117-AU117*(AZ117+BA117)/1000)</f>
        <v>0</v>
      </c>
      <c r="AA117">
        <f>(-H117*44100)</f>
        <v>0</v>
      </c>
      <c r="AB117">
        <f>2*29.3*P117*0.92*(BB117-U117)</f>
        <v>0</v>
      </c>
      <c r="AC117">
        <f>2*0.95*5.67E-8*(((BB117+$B$7)+273)^4-(U117+273)^4)</f>
        <v>0</v>
      </c>
      <c r="AD117">
        <f>S117+AC117+AA117+AB117</f>
        <v>0</v>
      </c>
      <c r="AE117">
        <v>0</v>
      </c>
      <c r="AF117">
        <v>0</v>
      </c>
      <c r="AG117">
        <f>IF(AE117*$H$13&gt;=AI117,1.0,(AI117/(AI117-AE117*$H$13)))</f>
        <v>0</v>
      </c>
      <c r="AH117">
        <f>(AG117-1)*100</f>
        <v>0</v>
      </c>
      <c r="AI117">
        <f>MAX(0,($B$13+$C$13*BG117)/(1+$D$13*BG117)*AZ117/(BB117+273)*$E$13)</f>
        <v>0</v>
      </c>
      <c r="AJ117">
        <f>$B$11*BH117+$C$11*BI117+$D$11*BT117</f>
        <v>0</v>
      </c>
      <c r="AK117">
        <f>AJ117*AL117</f>
        <v>0</v>
      </c>
      <c r="AL117">
        <f>($B$11*$D$9+$C$11*$D$9+$D$11*(BU117*$E$9+BV117*$G$9))/($B$11+$C$11+$D$11)</f>
        <v>0</v>
      </c>
      <c r="AM117">
        <f>($B$11*$K$9+$C$11*$K$9+$D$11*(BU117*$L$9+BV117*$N$9))/($B$11+$C$11+$D$11)</f>
        <v>0</v>
      </c>
      <c r="AN117">
        <v>3</v>
      </c>
      <c r="AO117">
        <v>0.5</v>
      </c>
      <c r="AP117" t="s">
        <v>331</v>
      </c>
      <c r="AQ117">
        <v>2</v>
      </c>
      <c r="AR117">
        <v>1773202092.599999</v>
      </c>
      <c r="AS117">
        <v>424.8886451612903</v>
      </c>
      <c r="AT117">
        <v>422.7972580645161</v>
      </c>
      <c r="AU117">
        <v>11.32034193548387</v>
      </c>
      <c r="AV117">
        <v>11.07931290322581</v>
      </c>
      <c r="AW117">
        <v>418.6573225806452</v>
      </c>
      <c r="AX117">
        <v>11.23974838709677</v>
      </c>
      <c r="AY117">
        <v>500.0107096774194</v>
      </c>
      <c r="AZ117">
        <v>100.1719677419355</v>
      </c>
      <c r="BA117">
        <v>0.04569912903225806</v>
      </c>
      <c r="BB117">
        <v>30.78168064516129</v>
      </c>
      <c r="BC117">
        <v>31.03224193548386</v>
      </c>
      <c r="BD117">
        <v>999.9000000000003</v>
      </c>
      <c r="BE117">
        <v>0</v>
      </c>
      <c r="BF117">
        <v>0</v>
      </c>
      <c r="BG117">
        <v>5007.790322580645</v>
      </c>
      <c r="BH117">
        <v>1.180821290322581</v>
      </c>
      <c r="BI117">
        <v>2183.643225806451</v>
      </c>
      <c r="BJ117">
        <v>2.091372903225807</v>
      </c>
      <c r="BK117">
        <v>429.7535806451612</v>
      </c>
      <c r="BL117">
        <v>427.5340322580646</v>
      </c>
      <c r="BM117">
        <v>0.241026129032258</v>
      </c>
      <c r="BN117">
        <v>422.7972580645161</v>
      </c>
      <c r="BO117">
        <v>11.07931290322581</v>
      </c>
      <c r="BP117">
        <v>1.133980322580646</v>
      </c>
      <c r="BQ117">
        <v>1.109835483870968</v>
      </c>
      <c r="BR117">
        <v>8.761942580645162</v>
      </c>
      <c r="BS117">
        <v>8.44409741935484</v>
      </c>
      <c r="BT117">
        <v>0</v>
      </c>
      <c r="BU117">
        <v>0</v>
      </c>
      <c r="BV117">
        <v>0</v>
      </c>
      <c r="BW117">
        <v>35</v>
      </c>
      <c r="BX117">
        <v>53</v>
      </c>
      <c r="BY117">
        <v>1773196010</v>
      </c>
      <c r="BZ117" t="s">
        <v>332</v>
      </c>
      <c r="CA117">
        <v>1773196010</v>
      </c>
      <c r="CB117">
        <v>1773196005.5</v>
      </c>
      <c r="CC117">
        <v>2</v>
      </c>
      <c r="CD117">
        <v>-0.279</v>
      </c>
      <c r="CE117">
        <v>-0.021</v>
      </c>
      <c r="CF117">
        <v>6.231</v>
      </c>
      <c r="CG117">
        <v>0.081</v>
      </c>
      <c r="CH117">
        <v>432</v>
      </c>
      <c r="CI117">
        <v>21</v>
      </c>
      <c r="CJ117">
        <v>0.03</v>
      </c>
      <c r="CK117">
        <v>0.06</v>
      </c>
      <c r="CL117">
        <v>422.7942666666667</v>
      </c>
      <c r="CM117">
        <v>-0.6343047830929294</v>
      </c>
      <c r="CN117">
        <v>0.04923882840017992</v>
      </c>
      <c r="CO117">
        <v>-1</v>
      </c>
      <c r="CP117">
        <v>500.0117333333334</v>
      </c>
      <c r="CQ117">
        <v>-0.03790878754303067</v>
      </c>
      <c r="CR117">
        <v>0.0281364927135953</v>
      </c>
      <c r="CS117">
        <v>-1</v>
      </c>
      <c r="CT117">
        <v>0</v>
      </c>
      <c r="CU117">
        <v>0</v>
      </c>
      <c r="CV117" t="s">
        <v>333</v>
      </c>
      <c r="CW117">
        <v>3.17082</v>
      </c>
      <c r="CX117">
        <v>2.6669</v>
      </c>
      <c r="CY117">
        <v>0.0995463</v>
      </c>
      <c r="CZ117">
        <v>0.10034</v>
      </c>
      <c r="DA117">
        <v>0.06406199999999999</v>
      </c>
      <c r="DB117">
        <v>0.0630994</v>
      </c>
      <c r="DC117">
        <v>21327.4</v>
      </c>
      <c r="DD117">
        <v>21891.3</v>
      </c>
      <c r="DE117">
        <v>22835.5</v>
      </c>
      <c r="DF117">
        <v>22277.8</v>
      </c>
      <c r="DG117">
        <v>32321.2</v>
      </c>
      <c r="DH117">
        <v>29403.6</v>
      </c>
      <c r="DI117">
        <v>40192.2</v>
      </c>
      <c r="DJ117">
        <v>36849.4</v>
      </c>
      <c r="DK117">
        <v>2.0276</v>
      </c>
      <c r="DL117">
        <v>1.50358</v>
      </c>
      <c r="DM117">
        <v>-0.0794649</v>
      </c>
      <c r="DN117">
        <v>0</v>
      </c>
      <c r="DO117">
        <v>32.3282</v>
      </c>
      <c r="DP117">
        <v>999.9</v>
      </c>
      <c r="DQ117">
        <v>23.5</v>
      </c>
      <c r="DR117">
        <v>45.2</v>
      </c>
      <c r="DS117">
        <v>22.8489</v>
      </c>
      <c r="DT117">
        <v>29.9091</v>
      </c>
      <c r="DU117">
        <v>14.363</v>
      </c>
      <c r="DV117">
        <v>1</v>
      </c>
      <c r="DW117">
        <v>0.8731179999999999</v>
      </c>
      <c r="DX117">
        <v>3.84635</v>
      </c>
      <c r="DY117">
        <v>20.3103</v>
      </c>
      <c r="DZ117">
        <v>5.2095</v>
      </c>
      <c r="EA117">
        <v>11.8559</v>
      </c>
      <c r="EB117">
        <v>4.96716</v>
      </c>
      <c r="EC117">
        <v>3.29298</v>
      </c>
      <c r="ED117">
        <v>879.4</v>
      </c>
      <c r="EE117">
        <v>9999</v>
      </c>
      <c r="EF117">
        <v>9999</v>
      </c>
      <c r="EG117">
        <v>77.7</v>
      </c>
      <c r="EH117">
        <v>4.97157</v>
      </c>
      <c r="EI117">
        <v>1.8721</v>
      </c>
      <c r="EJ117">
        <v>1.86947</v>
      </c>
      <c r="EK117">
        <v>1.8718</v>
      </c>
      <c r="EL117">
        <v>1.86955</v>
      </c>
      <c r="EM117">
        <v>1.86837</v>
      </c>
      <c r="EN117">
        <v>1.8702</v>
      </c>
      <c r="EO117">
        <v>1.87195</v>
      </c>
      <c r="EP117">
        <v>0</v>
      </c>
      <c r="EQ117">
        <v>0</v>
      </c>
      <c r="ER117">
        <v>0</v>
      </c>
      <c r="ES117">
        <v>0</v>
      </c>
      <c r="ET117" t="s">
        <v>334</v>
      </c>
      <c r="EU117" t="s">
        <v>335</v>
      </c>
      <c r="EV117" t="s">
        <v>336</v>
      </c>
      <c r="EW117" t="s">
        <v>336</v>
      </c>
      <c r="EX117" t="s">
        <v>336</v>
      </c>
      <c r="EY117" t="s">
        <v>336</v>
      </c>
      <c r="EZ117">
        <v>0</v>
      </c>
      <c r="FA117">
        <v>100</v>
      </c>
      <c r="FB117">
        <v>100</v>
      </c>
      <c r="FC117">
        <v>6.231</v>
      </c>
      <c r="FD117">
        <v>0.0806</v>
      </c>
      <c r="FE117">
        <v>6.23135000000002</v>
      </c>
      <c r="FF117">
        <v>0</v>
      </c>
      <c r="FG117">
        <v>0</v>
      </c>
      <c r="FH117">
        <v>0</v>
      </c>
      <c r="FI117">
        <v>0.08059047619047632</v>
      </c>
      <c r="FJ117">
        <v>0</v>
      </c>
      <c r="FK117">
        <v>0</v>
      </c>
      <c r="FL117">
        <v>0</v>
      </c>
      <c r="FM117">
        <v>-1</v>
      </c>
      <c r="FN117">
        <v>-1</v>
      </c>
      <c r="FO117">
        <v>-1</v>
      </c>
      <c r="FP117">
        <v>-1</v>
      </c>
      <c r="FQ117">
        <v>101.5</v>
      </c>
      <c r="FR117">
        <v>101.6</v>
      </c>
      <c r="FS117">
        <v>0.141602</v>
      </c>
      <c r="FT117">
        <v>4.99756</v>
      </c>
      <c r="FU117">
        <v>1.5979</v>
      </c>
      <c r="FV117">
        <v>2.10938</v>
      </c>
      <c r="FW117">
        <v>1.54785</v>
      </c>
      <c r="FX117">
        <v>2.47803</v>
      </c>
      <c r="FY117">
        <v>46.9448</v>
      </c>
      <c r="FZ117">
        <v>15.6468</v>
      </c>
      <c r="GA117">
        <v>3</v>
      </c>
      <c r="GB117">
        <v>519.7619999999999</v>
      </c>
      <c r="GC117">
        <v>291.601</v>
      </c>
      <c r="GD117">
        <v>27.5475</v>
      </c>
      <c r="GE117">
        <v>37.7104</v>
      </c>
      <c r="GF117">
        <v>30.0008</v>
      </c>
      <c r="GG117">
        <v>37.6092</v>
      </c>
      <c r="GH117">
        <v>37.6045</v>
      </c>
      <c r="GI117">
        <v>-1</v>
      </c>
      <c r="GJ117">
        <v>100</v>
      </c>
      <c r="GK117">
        <v>0</v>
      </c>
      <c r="GL117">
        <v>27.5408</v>
      </c>
      <c r="GM117">
        <v>1200</v>
      </c>
      <c r="GN117">
        <v>19.4378</v>
      </c>
      <c r="GO117">
        <v>101.115</v>
      </c>
      <c r="GP117">
        <v>96.22320000000001</v>
      </c>
    </row>
    <row r="118" spans="1:198">
      <c r="A118">
        <v>102</v>
      </c>
      <c r="B118">
        <v>1773202160.6</v>
      </c>
      <c r="C118">
        <v>6060.599999904633</v>
      </c>
      <c r="D118" t="s">
        <v>537</v>
      </c>
      <c r="E118" t="s">
        <v>538</v>
      </c>
      <c r="F118">
        <v>15</v>
      </c>
      <c r="G118">
        <v>1773202152.599999</v>
      </c>
      <c r="H118">
        <f>(I118)/1000</f>
        <v>0</v>
      </c>
      <c r="I118">
        <f>1000*AY118*AG118*(AU118-AV118)/(100*AN118*(1000-AG118*AU118))</f>
        <v>0</v>
      </c>
      <c r="J118">
        <f>AY118*AG118*(AT118-AS118*(1000-AG118*AV118)/(1000-AG118*AU118))/(100*AN118)</f>
        <v>0</v>
      </c>
      <c r="K118">
        <f>AS118 - IF(AG118&gt;1, J118*AN118*100.0/(AI118), 0)</f>
        <v>0</v>
      </c>
      <c r="L118">
        <f>((R118-H118/2)*K118-J118)/(R118+H118/2)</f>
        <v>0</v>
      </c>
      <c r="M118">
        <f>L118*(AZ118+BA118)/1000.0</f>
        <v>0</v>
      </c>
      <c r="N118">
        <f>(AS118 - IF(AG118&gt;1, J118*AN118*100.0/(AI118), 0))*(AZ118+BA118)/1000.0</f>
        <v>0</v>
      </c>
      <c r="O118">
        <f>2.0/((1/Q118-1/P118)+SIGN(Q118)*SQRT((1/Q118-1/P118)*(1/Q118-1/P118) + 4*AO118/((AO118+1)*(AO118+1))*(2*1/Q118*1/P118-1/P118*1/P118)))</f>
        <v>0</v>
      </c>
      <c r="P118">
        <f>IF(LEFT(AP118,1)&lt;&gt;"0",IF(LEFT(AP118,1)="1",3.0,AQ118),$D$5+$E$5*(BG118*AZ118/($K$5*1000))+$F$5*(BG118*AZ118/($K$5*1000))*MAX(MIN(AN118,$J$5),$I$5)*MAX(MIN(AN118,$J$5),$I$5)+$G$5*MAX(MIN(AN118,$J$5),$I$5)*(BG118*AZ118/($K$5*1000))+$H$5*(BG118*AZ118/($K$5*1000))*(BG118*AZ118/($K$5*1000)))</f>
        <v>0</v>
      </c>
      <c r="Q118">
        <f>H118*(1000-(1000*0.61365*exp(17.502*U118/(240.97+U118))/(AZ118+BA118)+AU118)/2)/(1000*0.61365*exp(17.502*U118/(240.97+U118))/(AZ118+BA118)-AU118)</f>
        <v>0</v>
      </c>
      <c r="R118">
        <f>1/((AO118+1)/(O118/1.6)+1/(P118/1.37)) + AO118/((AO118+1)/(O118/1.6) + AO118/(P118/1.37))</f>
        <v>0</v>
      </c>
      <c r="S118">
        <f>(AJ118*AM118)</f>
        <v>0</v>
      </c>
      <c r="T118">
        <f>(BB118+(S118+2*0.95*5.67E-8*(((BB118+$B$7)+273)^4-(BB118+273)^4)-44100*H118)/(1.84*29.3*P118+8*0.95*5.67E-8*(BB118+273)^3))</f>
        <v>0</v>
      </c>
      <c r="U118">
        <f>($C$7*BC118+$D$7*BD118+$E$7*T118)</f>
        <v>0</v>
      </c>
      <c r="V118">
        <f>0.61365*exp(17.502*U118/(240.97+U118))</f>
        <v>0</v>
      </c>
      <c r="W118">
        <f>(X118/Y118*100)</f>
        <v>0</v>
      </c>
      <c r="X118">
        <f>AU118*(AZ118+BA118)/1000</f>
        <v>0</v>
      </c>
      <c r="Y118">
        <f>0.61365*exp(17.502*BB118/(240.97+BB118))</f>
        <v>0</v>
      </c>
      <c r="Z118">
        <f>(V118-AU118*(AZ118+BA118)/1000)</f>
        <v>0</v>
      </c>
      <c r="AA118">
        <f>(-H118*44100)</f>
        <v>0</v>
      </c>
      <c r="AB118">
        <f>2*29.3*P118*0.92*(BB118-U118)</f>
        <v>0</v>
      </c>
      <c r="AC118">
        <f>2*0.95*5.67E-8*(((BB118+$B$7)+273)^4-(U118+273)^4)</f>
        <v>0</v>
      </c>
      <c r="AD118">
        <f>S118+AC118+AA118+AB118</f>
        <v>0</v>
      </c>
      <c r="AE118">
        <v>0</v>
      </c>
      <c r="AF118">
        <v>0</v>
      </c>
      <c r="AG118">
        <f>IF(AE118*$H$13&gt;=AI118,1.0,(AI118/(AI118-AE118*$H$13)))</f>
        <v>0</v>
      </c>
      <c r="AH118">
        <f>(AG118-1)*100</f>
        <v>0</v>
      </c>
      <c r="AI118">
        <f>MAX(0,($B$13+$C$13*BG118)/(1+$D$13*BG118)*AZ118/(BB118+273)*$E$13)</f>
        <v>0</v>
      </c>
      <c r="AJ118">
        <f>$B$11*BH118+$C$11*BI118+$D$11*BT118</f>
        <v>0</v>
      </c>
      <c r="AK118">
        <f>AJ118*AL118</f>
        <v>0</v>
      </c>
      <c r="AL118">
        <f>($B$11*$D$9+$C$11*$D$9+$D$11*(BU118*$E$9+BV118*$G$9))/($B$11+$C$11+$D$11)</f>
        <v>0</v>
      </c>
      <c r="AM118">
        <f>($B$11*$K$9+$C$11*$K$9+$D$11*(BU118*$L$9+BV118*$N$9))/($B$11+$C$11+$D$11)</f>
        <v>0</v>
      </c>
      <c r="AN118">
        <v>3</v>
      </c>
      <c r="AO118">
        <v>0.5</v>
      </c>
      <c r="AP118" t="s">
        <v>331</v>
      </c>
      <c r="AQ118">
        <v>2</v>
      </c>
      <c r="AR118">
        <v>1773202152.599999</v>
      </c>
      <c r="AS118">
        <v>424.9291612903225</v>
      </c>
      <c r="AT118">
        <v>422.8869677419355</v>
      </c>
      <c r="AU118">
        <v>11.29478064516129</v>
      </c>
      <c r="AV118">
        <v>11.04270967741935</v>
      </c>
      <c r="AW118">
        <v>418.6978387096774</v>
      </c>
      <c r="AX118">
        <v>11.21419032258065</v>
      </c>
      <c r="AY118">
        <v>499.9978064516129</v>
      </c>
      <c r="AZ118">
        <v>100.1694193548387</v>
      </c>
      <c r="BA118">
        <v>0.04557965483870969</v>
      </c>
      <c r="BB118">
        <v>30.76941935483871</v>
      </c>
      <c r="BC118">
        <v>31.00983870967742</v>
      </c>
      <c r="BD118">
        <v>999.9000000000003</v>
      </c>
      <c r="BE118">
        <v>0</v>
      </c>
      <c r="BF118">
        <v>0</v>
      </c>
      <c r="BG118">
        <v>4984.112903225807</v>
      </c>
      <c r="BH118">
        <v>1.157116774193548</v>
      </c>
      <c r="BI118">
        <v>2167.880967741935</v>
      </c>
      <c r="BJ118">
        <v>2.042207096774194</v>
      </c>
      <c r="BK118">
        <v>429.7834516129032</v>
      </c>
      <c r="BL118">
        <v>427.608870967742</v>
      </c>
      <c r="BM118">
        <v>0.2520724193548387</v>
      </c>
      <c r="BN118">
        <v>422.8869677419355</v>
      </c>
      <c r="BO118">
        <v>11.04270967741935</v>
      </c>
      <c r="BP118">
        <v>1.131393225806452</v>
      </c>
      <c r="BQ118">
        <v>1.106142903225807</v>
      </c>
      <c r="BR118">
        <v>8.728150967741936</v>
      </c>
      <c r="BS118">
        <v>8.394925806451614</v>
      </c>
      <c r="BT118">
        <v>0</v>
      </c>
      <c r="BU118">
        <v>0</v>
      </c>
      <c r="BV118">
        <v>0</v>
      </c>
      <c r="BW118">
        <v>35</v>
      </c>
      <c r="BX118">
        <v>52</v>
      </c>
      <c r="BY118">
        <v>1773196010</v>
      </c>
      <c r="BZ118" t="s">
        <v>332</v>
      </c>
      <c r="CA118">
        <v>1773196010</v>
      </c>
      <c r="CB118">
        <v>1773196005.5</v>
      </c>
      <c r="CC118">
        <v>2</v>
      </c>
      <c r="CD118">
        <v>-0.279</v>
      </c>
      <c r="CE118">
        <v>-0.021</v>
      </c>
      <c r="CF118">
        <v>6.231</v>
      </c>
      <c r="CG118">
        <v>0.081</v>
      </c>
      <c r="CH118">
        <v>432</v>
      </c>
      <c r="CI118">
        <v>21</v>
      </c>
      <c r="CJ118">
        <v>0.03</v>
      </c>
      <c r="CK118">
        <v>0.06</v>
      </c>
      <c r="CL118">
        <v>422.8864666666666</v>
      </c>
      <c r="CM118">
        <v>-0.08083648498362003</v>
      </c>
      <c r="CN118">
        <v>0.0150105148331233</v>
      </c>
      <c r="CO118">
        <v>-1</v>
      </c>
      <c r="CP118">
        <v>499.9960333333334</v>
      </c>
      <c r="CQ118">
        <v>-0.3744694104558787</v>
      </c>
      <c r="CR118">
        <v>0.04289171119096308</v>
      </c>
      <c r="CS118">
        <v>-1</v>
      </c>
      <c r="CT118">
        <v>0</v>
      </c>
      <c r="CU118">
        <v>0</v>
      </c>
      <c r="CV118" t="s">
        <v>333</v>
      </c>
      <c r="CW118">
        <v>3.17081</v>
      </c>
      <c r="CX118">
        <v>2.66665</v>
      </c>
      <c r="CY118">
        <v>0.0995606</v>
      </c>
      <c r="CZ118">
        <v>0.100362</v>
      </c>
      <c r="DA118">
        <v>0.06388969999999999</v>
      </c>
      <c r="DB118">
        <v>0.06288009999999999</v>
      </c>
      <c r="DC118">
        <v>21325.2</v>
      </c>
      <c r="DD118">
        <v>21889.5</v>
      </c>
      <c r="DE118">
        <v>22833.6</v>
      </c>
      <c r="DF118">
        <v>22276.6</v>
      </c>
      <c r="DG118">
        <v>32324.6</v>
      </c>
      <c r="DH118">
        <v>29408.8</v>
      </c>
      <c r="DI118">
        <v>40189</v>
      </c>
      <c r="DJ118">
        <v>36847.4</v>
      </c>
      <c r="DK118">
        <v>2.02744</v>
      </c>
      <c r="DL118">
        <v>1.5025</v>
      </c>
      <c r="DM118">
        <v>-0.07608230000000001</v>
      </c>
      <c r="DN118">
        <v>0</v>
      </c>
      <c r="DO118">
        <v>32.2373</v>
      </c>
      <c r="DP118">
        <v>999.9</v>
      </c>
      <c r="DQ118">
        <v>23.5</v>
      </c>
      <c r="DR118">
        <v>45.2</v>
      </c>
      <c r="DS118">
        <v>22.8457</v>
      </c>
      <c r="DT118">
        <v>30.1491</v>
      </c>
      <c r="DU118">
        <v>14.4231</v>
      </c>
      <c r="DV118">
        <v>1</v>
      </c>
      <c r="DW118">
        <v>0.874297</v>
      </c>
      <c r="DX118">
        <v>3.54106</v>
      </c>
      <c r="DY118">
        <v>20.3177</v>
      </c>
      <c r="DZ118">
        <v>5.20363</v>
      </c>
      <c r="EA118">
        <v>11.8548</v>
      </c>
      <c r="EB118">
        <v>4.96672</v>
      </c>
      <c r="EC118">
        <v>3.29226</v>
      </c>
      <c r="ED118">
        <v>879.4</v>
      </c>
      <c r="EE118">
        <v>9999</v>
      </c>
      <c r="EF118">
        <v>9999</v>
      </c>
      <c r="EG118">
        <v>77.7</v>
      </c>
      <c r="EH118">
        <v>4.97157</v>
      </c>
      <c r="EI118">
        <v>1.8721</v>
      </c>
      <c r="EJ118">
        <v>1.86947</v>
      </c>
      <c r="EK118">
        <v>1.8718</v>
      </c>
      <c r="EL118">
        <v>1.86957</v>
      </c>
      <c r="EM118">
        <v>1.86836</v>
      </c>
      <c r="EN118">
        <v>1.87021</v>
      </c>
      <c r="EO118">
        <v>1.87195</v>
      </c>
      <c r="EP118">
        <v>0</v>
      </c>
      <c r="EQ118">
        <v>0</v>
      </c>
      <c r="ER118">
        <v>0</v>
      </c>
      <c r="ES118">
        <v>0</v>
      </c>
      <c r="ET118" t="s">
        <v>334</v>
      </c>
      <c r="EU118" t="s">
        <v>335</v>
      </c>
      <c r="EV118" t="s">
        <v>336</v>
      </c>
      <c r="EW118" t="s">
        <v>336</v>
      </c>
      <c r="EX118" t="s">
        <v>336</v>
      </c>
      <c r="EY118" t="s">
        <v>336</v>
      </c>
      <c r="EZ118">
        <v>0</v>
      </c>
      <c r="FA118">
        <v>100</v>
      </c>
      <c r="FB118">
        <v>100</v>
      </c>
      <c r="FC118">
        <v>6.232</v>
      </c>
      <c r="FD118">
        <v>0.0806</v>
      </c>
      <c r="FE118">
        <v>6.23135000000002</v>
      </c>
      <c r="FF118">
        <v>0</v>
      </c>
      <c r="FG118">
        <v>0</v>
      </c>
      <c r="FH118">
        <v>0</v>
      </c>
      <c r="FI118">
        <v>0.08059047619047632</v>
      </c>
      <c r="FJ118">
        <v>0</v>
      </c>
      <c r="FK118">
        <v>0</v>
      </c>
      <c r="FL118">
        <v>0</v>
      </c>
      <c r="FM118">
        <v>-1</v>
      </c>
      <c r="FN118">
        <v>-1</v>
      </c>
      <c r="FO118">
        <v>-1</v>
      </c>
      <c r="FP118">
        <v>-1</v>
      </c>
      <c r="FQ118">
        <v>102.5</v>
      </c>
      <c r="FR118">
        <v>102.6</v>
      </c>
      <c r="FS118">
        <v>0.141602</v>
      </c>
      <c r="FT118">
        <v>4.99756</v>
      </c>
      <c r="FU118">
        <v>1.5979</v>
      </c>
      <c r="FV118">
        <v>2.10815</v>
      </c>
      <c r="FW118">
        <v>1.54785</v>
      </c>
      <c r="FX118">
        <v>2.43286</v>
      </c>
      <c r="FY118">
        <v>46.9448</v>
      </c>
      <c r="FZ118">
        <v>15.6381</v>
      </c>
      <c r="GA118">
        <v>3</v>
      </c>
      <c r="GB118">
        <v>519.845</v>
      </c>
      <c r="GC118">
        <v>291.182</v>
      </c>
      <c r="GD118">
        <v>27.7503</v>
      </c>
      <c r="GE118">
        <v>37.7392</v>
      </c>
      <c r="GF118">
        <v>30.0001</v>
      </c>
      <c r="GG118">
        <v>37.635</v>
      </c>
      <c r="GH118">
        <v>37.6267</v>
      </c>
      <c r="GI118">
        <v>-1</v>
      </c>
      <c r="GJ118">
        <v>100</v>
      </c>
      <c r="GK118">
        <v>0</v>
      </c>
      <c r="GL118">
        <v>27.7612</v>
      </c>
      <c r="GM118">
        <v>1200</v>
      </c>
      <c r="GN118">
        <v>19.4378</v>
      </c>
      <c r="GO118">
        <v>101.107</v>
      </c>
      <c r="GP118">
        <v>96.21810000000001</v>
      </c>
    </row>
    <row r="119" spans="1:198">
      <c r="A119">
        <v>103</v>
      </c>
      <c r="B119">
        <v>1773202221</v>
      </c>
      <c r="C119">
        <v>6121</v>
      </c>
      <c r="D119" t="s">
        <v>539</v>
      </c>
      <c r="E119" t="s">
        <v>540</v>
      </c>
      <c r="F119">
        <v>15</v>
      </c>
      <c r="G119">
        <v>1773202213.009677</v>
      </c>
      <c r="H119">
        <f>(I119)/1000</f>
        <v>0</v>
      </c>
      <c r="I119">
        <f>1000*AY119*AG119*(AU119-AV119)/(100*AN119*(1000-AG119*AU119))</f>
        <v>0</v>
      </c>
      <c r="J119">
        <f>AY119*AG119*(AT119-AS119*(1000-AG119*AV119)/(1000-AG119*AU119))/(100*AN119)</f>
        <v>0</v>
      </c>
      <c r="K119">
        <f>AS119 - IF(AG119&gt;1, J119*AN119*100.0/(AI119), 0)</f>
        <v>0</v>
      </c>
      <c r="L119">
        <f>((R119-H119/2)*K119-J119)/(R119+H119/2)</f>
        <v>0</v>
      </c>
      <c r="M119">
        <f>L119*(AZ119+BA119)/1000.0</f>
        <v>0</v>
      </c>
      <c r="N119">
        <f>(AS119 - IF(AG119&gt;1, J119*AN119*100.0/(AI119), 0))*(AZ119+BA119)/1000.0</f>
        <v>0</v>
      </c>
      <c r="O119">
        <f>2.0/((1/Q119-1/P119)+SIGN(Q119)*SQRT((1/Q119-1/P119)*(1/Q119-1/P119) + 4*AO119/((AO119+1)*(AO119+1))*(2*1/Q119*1/P119-1/P119*1/P119)))</f>
        <v>0</v>
      </c>
      <c r="P119">
        <f>IF(LEFT(AP119,1)&lt;&gt;"0",IF(LEFT(AP119,1)="1",3.0,AQ119),$D$5+$E$5*(BG119*AZ119/($K$5*1000))+$F$5*(BG119*AZ119/($K$5*1000))*MAX(MIN(AN119,$J$5),$I$5)*MAX(MIN(AN119,$J$5),$I$5)+$G$5*MAX(MIN(AN119,$J$5),$I$5)*(BG119*AZ119/($K$5*1000))+$H$5*(BG119*AZ119/($K$5*1000))*(BG119*AZ119/($K$5*1000)))</f>
        <v>0</v>
      </c>
      <c r="Q119">
        <f>H119*(1000-(1000*0.61365*exp(17.502*U119/(240.97+U119))/(AZ119+BA119)+AU119)/2)/(1000*0.61365*exp(17.502*U119/(240.97+U119))/(AZ119+BA119)-AU119)</f>
        <v>0</v>
      </c>
      <c r="R119">
        <f>1/((AO119+1)/(O119/1.6)+1/(P119/1.37)) + AO119/((AO119+1)/(O119/1.6) + AO119/(P119/1.37))</f>
        <v>0</v>
      </c>
      <c r="S119">
        <f>(AJ119*AM119)</f>
        <v>0</v>
      </c>
      <c r="T119">
        <f>(BB119+(S119+2*0.95*5.67E-8*(((BB119+$B$7)+273)^4-(BB119+273)^4)-44100*H119)/(1.84*29.3*P119+8*0.95*5.67E-8*(BB119+273)^3))</f>
        <v>0</v>
      </c>
      <c r="U119">
        <f>($C$7*BC119+$D$7*BD119+$E$7*T119)</f>
        <v>0</v>
      </c>
      <c r="V119">
        <f>0.61365*exp(17.502*U119/(240.97+U119))</f>
        <v>0</v>
      </c>
      <c r="W119">
        <f>(X119/Y119*100)</f>
        <v>0</v>
      </c>
      <c r="X119">
        <f>AU119*(AZ119+BA119)/1000</f>
        <v>0</v>
      </c>
      <c r="Y119">
        <f>0.61365*exp(17.502*BB119/(240.97+BB119))</f>
        <v>0</v>
      </c>
      <c r="Z119">
        <f>(V119-AU119*(AZ119+BA119)/1000)</f>
        <v>0</v>
      </c>
      <c r="AA119">
        <f>(-H119*44100)</f>
        <v>0</v>
      </c>
      <c r="AB119">
        <f>2*29.3*P119*0.92*(BB119-U119)</f>
        <v>0</v>
      </c>
      <c r="AC119">
        <f>2*0.95*5.67E-8*(((BB119+$B$7)+273)^4-(U119+273)^4)</f>
        <v>0</v>
      </c>
      <c r="AD119">
        <f>S119+AC119+AA119+AB119</f>
        <v>0</v>
      </c>
      <c r="AE119">
        <v>0</v>
      </c>
      <c r="AF119">
        <v>0</v>
      </c>
      <c r="AG119">
        <f>IF(AE119*$H$13&gt;=AI119,1.0,(AI119/(AI119-AE119*$H$13)))</f>
        <v>0</v>
      </c>
      <c r="AH119">
        <f>(AG119-1)*100</f>
        <v>0</v>
      </c>
      <c r="AI119">
        <f>MAX(0,($B$13+$C$13*BG119)/(1+$D$13*BG119)*AZ119/(BB119+273)*$E$13)</f>
        <v>0</v>
      </c>
      <c r="AJ119">
        <f>$B$11*BH119+$C$11*BI119+$D$11*BT119</f>
        <v>0</v>
      </c>
      <c r="AK119">
        <f>AJ119*AL119</f>
        <v>0</v>
      </c>
      <c r="AL119">
        <f>($B$11*$D$9+$C$11*$D$9+$D$11*(BU119*$E$9+BV119*$G$9))/($B$11+$C$11+$D$11)</f>
        <v>0</v>
      </c>
      <c r="AM119">
        <f>($B$11*$K$9+$C$11*$K$9+$D$11*(BU119*$L$9+BV119*$N$9))/($B$11+$C$11+$D$11)</f>
        <v>0</v>
      </c>
      <c r="AN119">
        <v>3</v>
      </c>
      <c r="AO119">
        <v>0.5</v>
      </c>
      <c r="AP119" t="s">
        <v>331</v>
      </c>
      <c r="AQ119">
        <v>2</v>
      </c>
      <c r="AR119">
        <v>1773202213.009677</v>
      </c>
      <c r="AS119">
        <v>424.6020322580645</v>
      </c>
      <c r="AT119">
        <v>422.5004838709677</v>
      </c>
      <c r="AU119">
        <v>11.24952258064516</v>
      </c>
      <c r="AV119">
        <v>11.00764838709677</v>
      </c>
      <c r="AW119">
        <v>418.3705806451613</v>
      </c>
      <c r="AX119">
        <v>11.16892580645161</v>
      </c>
      <c r="AY119">
        <v>499.9849677419356</v>
      </c>
      <c r="AZ119">
        <v>100.1665806451613</v>
      </c>
      <c r="BA119">
        <v>0.04646649677419355</v>
      </c>
      <c r="BB119">
        <v>30.80591612903226</v>
      </c>
      <c r="BC119">
        <v>31.03566774193549</v>
      </c>
      <c r="BD119">
        <v>999.9000000000003</v>
      </c>
      <c r="BE119">
        <v>0</v>
      </c>
      <c r="BF119">
        <v>0</v>
      </c>
      <c r="BG119">
        <v>5003.370967741936</v>
      </c>
      <c r="BH119">
        <v>1.144202258064516</v>
      </c>
      <c r="BI119">
        <v>2186.67935483871</v>
      </c>
      <c r="BJ119">
        <v>2.101524838709678</v>
      </c>
      <c r="BK119">
        <v>429.4328064516129</v>
      </c>
      <c r="BL119">
        <v>427.2029032258065</v>
      </c>
      <c r="BM119">
        <v>0.241868064516129</v>
      </c>
      <c r="BN119">
        <v>422.5004838709677</v>
      </c>
      <c r="BO119">
        <v>11.00764838709677</v>
      </c>
      <c r="BP119">
        <v>1.126826451612903</v>
      </c>
      <c r="BQ119">
        <v>1.102599677419355</v>
      </c>
      <c r="BR119">
        <v>8.668384516129032</v>
      </c>
      <c r="BS119">
        <v>8.347629999999999</v>
      </c>
      <c r="BT119">
        <v>0</v>
      </c>
      <c r="BU119">
        <v>0</v>
      </c>
      <c r="BV119">
        <v>0</v>
      </c>
      <c r="BW119">
        <v>35</v>
      </c>
      <c r="BX119">
        <v>52.25269032258065</v>
      </c>
      <c r="BY119">
        <v>1773196010</v>
      </c>
      <c r="BZ119" t="s">
        <v>332</v>
      </c>
      <c r="CA119">
        <v>1773196010</v>
      </c>
      <c r="CB119">
        <v>1773196005.5</v>
      </c>
      <c r="CC119">
        <v>2</v>
      </c>
      <c r="CD119">
        <v>-0.279</v>
      </c>
      <c r="CE119">
        <v>-0.021</v>
      </c>
      <c r="CF119">
        <v>6.231</v>
      </c>
      <c r="CG119">
        <v>0.081</v>
      </c>
      <c r="CH119">
        <v>432</v>
      </c>
      <c r="CI119">
        <v>21</v>
      </c>
      <c r="CJ119">
        <v>0.03</v>
      </c>
      <c r="CK119">
        <v>0.06</v>
      </c>
      <c r="CL119">
        <v>422.5004838709677</v>
      </c>
      <c r="CM119">
        <v>-0.6351112360823618</v>
      </c>
      <c r="CN119">
        <v>0.05428709284472995</v>
      </c>
      <c r="CO119">
        <v>-1</v>
      </c>
      <c r="CP119">
        <v>499.9849677419356</v>
      </c>
      <c r="CQ119">
        <v>-0.2753555681978508</v>
      </c>
      <c r="CR119">
        <v>0.0539435092038338</v>
      </c>
      <c r="CS119">
        <v>-1</v>
      </c>
      <c r="CT119">
        <v>0</v>
      </c>
      <c r="CU119">
        <v>0</v>
      </c>
      <c r="CV119" t="s">
        <v>333</v>
      </c>
      <c r="CW119">
        <v>3.17088</v>
      </c>
      <c r="CX119">
        <v>2.66718</v>
      </c>
      <c r="CY119">
        <v>0.099484</v>
      </c>
      <c r="CZ119">
        <v>0.100274</v>
      </c>
      <c r="DA119">
        <v>0.0636993</v>
      </c>
      <c r="DB119">
        <v>0.06271110000000001</v>
      </c>
      <c r="DC119">
        <v>21325.1</v>
      </c>
      <c r="DD119">
        <v>21889.6</v>
      </c>
      <c r="DE119">
        <v>22831.7</v>
      </c>
      <c r="DF119">
        <v>22274.7</v>
      </c>
      <c r="DG119">
        <v>32328.5</v>
      </c>
      <c r="DH119">
        <v>29411.2</v>
      </c>
      <c r="DI119">
        <v>40185.9</v>
      </c>
      <c r="DJ119">
        <v>36843.8</v>
      </c>
      <c r="DK119">
        <v>2.02724</v>
      </c>
      <c r="DL119">
        <v>1.50098</v>
      </c>
      <c r="DM119">
        <v>-0.071758</v>
      </c>
      <c r="DN119">
        <v>0</v>
      </c>
      <c r="DO119">
        <v>32.1853</v>
      </c>
      <c r="DP119">
        <v>999.9</v>
      </c>
      <c r="DQ119">
        <v>23.3</v>
      </c>
      <c r="DR119">
        <v>45.3</v>
      </c>
      <c r="DS119">
        <v>22.7705</v>
      </c>
      <c r="DT119">
        <v>30.0391</v>
      </c>
      <c r="DU119">
        <v>14.0545</v>
      </c>
      <c r="DV119">
        <v>1</v>
      </c>
      <c r="DW119">
        <v>0.880929</v>
      </c>
      <c r="DX119">
        <v>3.84975</v>
      </c>
      <c r="DY119">
        <v>20.3091</v>
      </c>
      <c r="DZ119">
        <v>5.21094</v>
      </c>
      <c r="EA119">
        <v>11.8556</v>
      </c>
      <c r="EB119">
        <v>4.96696</v>
      </c>
      <c r="EC119">
        <v>3.293</v>
      </c>
      <c r="ED119">
        <v>879.4</v>
      </c>
      <c r="EE119">
        <v>9999</v>
      </c>
      <c r="EF119">
        <v>9999</v>
      </c>
      <c r="EG119">
        <v>77.7</v>
      </c>
      <c r="EH119">
        <v>4.97158</v>
      </c>
      <c r="EI119">
        <v>1.8721</v>
      </c>
      <c r="EJ119">
        <v>1.86945</v>
      </c>
      <c r="EK119">
        <v>1.8718</v>
      </c>
      <c r="EL119">
        <v>1.86958</v>
      </c>
      <c r="EM119">
        <v>1.86836</v>
      </c>
      <c r="EN119">
        <v>1.87021</v>
      </c>
      <c r="EO119">
        <v>1.87195</v>
      </c>
      <c r="EP119">
        <v>0</v>
      </c>
      <c r="EQ119">
        <v>0</v>
      </c>
      <c r="ER119">
        <v>0</v>
      </c>
      <c r="ES119">
        <v>0</v>
      </c>
      <c r="ET119" t="s">
        <v>334</v>
      </c>
      <c r="EU119" t="s">
        <v>335</v>
      </c>
      <c r="EV119" t="s">
        <v>336</v>
      </c>
      <c r="EW119" t="s">
        <v>336</v>
      </c>
      <c r="EX119" t="s">
        <v>336</v>
      </c>
      <c r="EY119" t="s">
        <v>336</v>
      </c>
      <c r="EZ119">
        <v>0</v>
      </c>
      <c r="FA119">
        <v>100</v>
      </c>
      <c r="FB119">
        <v>100</v>
      </c>
      <c r="FC119">
        <v>6.231</v>
      </c>
      <c r="FD119">
        <v>0.0806</v>
      </c>
      <c r="FE119">
        <v>6.23135000000002</v>
      </c>
      <c r="FF119">
        <v>0</v>
      </c>
      <c r="FG119">
        <v>0</v>
      </c>
      <c r="FH119">
        <v>0</v>
      </c>
      <c r="FI119">
        <v>0.08059047619047632</v>
      </c>
      <c r="FJ119">
        <v>0</v>
      </c>
      <c r="FK119">
        <v>0</v>
      </c>
      <c r="FL119">
        <v>0</v>
      </c>
      <c r="FM119">
        <v>-1</v>
      </c>
      <c r="FN119">
        <v>-1</v>
      </c>
      <c r="FO119">
        <v>-1</v>
      </c>
      <c r="FP119">
        <v>-1</v>
      </c>
      <c r="FQ119">
        <v>103.5</v>
      </c>
      <c r="FR119">
        <v>103.6</v>
      </c>
      <c r="FS119">
        <v>0.141602</v>
      </c>
      <c r="FT119">
        <v>4.99756</v>
      </c>
      <c r="FU119">
        <v>1.5979</v>
      </c>
      <c r="FV119">
        <v>2.10815</v>
      </c>
      <c r="FW119">
        <v>1.54785</v>
      </c>
      <c r="FX119">
        <v>2.41211</v>
      </c>
      <c r="FY119">
        <v>46.9744</v>
      </c>
      <c r="FZ119">
        <v>15.6293</v>
      </c>
      <c r="GA119">
        <v>3</v>
      </c>
      <c r="GB119">
        <v>519.897</v>
      </c>
      <c r="GC119">
        <v>290.566</v>
      </c>
      <c r="GD119">
        <v>27.66</v>
      </c>
      <c r="GE119">
        <v>37.7644</v>
      </c>
      <c r="GF119">
        <v>29.9998</v>
      </c>
      <c r="GG119">
        <v>37.66</v>
      </c>
      <c r="GH119">
        <v>37.6515</v>
      </c>
      <c r="GI119">
        <v>-1</v>
      </c>
      <c r="GJ119">
        <v>100</v>
      </c>
      <c r="GK119">
        <v>0</v>
      </c>
      <c r="GL119">
        <v>27.6992</v>
      </c>
      <c r="GM119">
        <v>1200</v>
      </c>
      <c r="GN119">
        <v>19.4378</v>
      </c>
      <c r="GO119">
        <v>101.099</v>
      </c>
      <c r="GP119">
        <v>96.209</v>
      </c>
    </row>
    <row r="120" spans="1:198">
      <c r="A120">
        <v>104</v>
      </c>
      <c r="B120">
        <v>1773202281</v>
      </c>
      <c r="C120">
        <v>6181</v>
      </c>
      <c r="D120" t="s">
        <v>541</v>
      </c>
      <c r="E120" t="s">
        <v>542</v>
      </c>
      <c r="F120">
        <v>15</v>
      </c>
      <c r="G120">
        <v>1773202273</v>
      </c>
      <c r="H120">
        <f>(I120)/1000</f>
        <v>0</v>
      </c>
      <c r="I120">
        <f>1000*AY120*AG120*(AU120-AV120)/(100*AN120*(1000-AG120*AU120))</f>
        <v>0</v>
      </c>
      <c r="J120">
        <f>AY120*AG120*(AT120-AS120*(1000-AG120*AV120)/(1000-AG120*AU120))/(100*AN120)</f>
        <v>0</v>
      </c>
      <c r="K120">
        <f>AS120 - IF(AG120&gt;1, J120*AN120*100.0/(AI120), 0)</f>
        <v>0</v>
      </c>
      <c r="L120">
        <f>((R120-H120/2)*K120-J120)/(R120+H120/2)</f>
        <v>0</v>
      </c>
      <c r="M120">
        <f>L120*(AZ120+BA120)/1000.0</f>
        <v>0</v>
      </c>
      <c r="N120">
        <f>(AS120 - IF(AG120&gt;1, J120*AN120*100.0/(AI120), 0))*(AZ120+BA120)/1000.0</f>
        <v>0</v>
      </c>
      <c r="O120">
        <f>2.0/((1/Q120-1/P120)+SIGN(Q120)*SQRT((1/Q120-1/P120)*(1/Q120-1/P120) + 4*AO120/((AO120+1)*(AO120+1))*(2*1/Q120*1/P120-1/P120*1/P120)))</f>
        <v>0</v>
      </c>
      <c r="P120">
        <f>IF(LEFT(AP120,1)&lt;&gt;"0",IF(LEFT(AP120,1)="1",3.0,AQ120),$D$5+$E$5*(BG120*AZ120/($K$5*1000))+$F$5*(BG120*AZ120/($K$5*1000))*MAX(MIN(AN120,$J$5),$I$5)*MAX(MIN(AN120,$J$5),$I$5)+$G$5*MAX(MIN(AN120,$J$5),$I$5)*(BG120*AZ120/($K$5*1000))+$H$5*(BG120*AZ120/($K$5*1000))*(BG120*AZ120/($K$5*1000)))</f>
        <v>0</v>
      </c>
      <c r="Q120">
        <f>H120*(1000-(1000*0.61365*exp(17.502*U120/(240.97+U120))/(AZ120+BA120)+AU120)/2)/(1000*0.61365*exp(17.502*U120/(240.97+U120))/(AZ120+BA120)-AU120)</f>
        <v>0</v>
      </c>
      <c r="R120">
        <f>1/((AO120+1)/(O120/1.6)+1/(P120/1.37)) + AO120/((AO120+1)/(O120/1.6) + AO120/(P120/1.37))</f>
        <v>0</v>
      </c>
      <c r="S120">
        <f>(AJ120*AM120)</f>
        <v>0</v>
      </c>
      <c r="T120">
        <f>(BB120+(S120+2*0.95*5.67E-8*(((BB120+$B$7)+273)^4-(BB120+273)^4)-44100*H120)/(1.84*29.3*P120+8*0.95*5.67E-8*(BB120+273)^3))</f>
        <v>0</v>
      </c>
      <c r="U120">
        <f>($C$7*BC120+$D$7*BD120+$E$7*T120)</f>
        <v>0</v>
      </c>
      <c r="V120">
        <f>0.61365*exp(17.502*U120/(240.97+U120))</f>
        <v>0</v>
      </c>
      <c r="W120">
        <f>(X120/Y120*100)</f>
        <v>0</v>
      </c>
      <c r="X120">
        <f>AU120*(AZ120+BA120)/1000</f>
        <v>0</v>
      </c>
      <c r="Y120">
        <f>0.61365*exp(17.502*BB120/(240.97+BB120))</f>
        <v>0</v>
      </c>
      <c r="Z120">
        <f>(V120-AU120*(AZ120+BA120)/1000)</f>
        <v>0</v>
      </c>
      <c r="AA120">
        <f>(-H120*44100)</f>
        <v>0</v>
      </c>
      <c r="AB120">
        <f>2*29.3*P120*0.92*(BB120-U120)</f>
        <v>0</v>
      </c>
      <c r="AC120">
        <f>2*0.95*5.67E-8*(((BB120+$B$7)+273)^4-(U120+273)^4)</f>
        <v>0</v>
      </c>
      <c r="AD120">
        <f>S120+AC120+AA120+AB120</f>
        <v>0</v>
      </c>
      <c r="AE120">
        <v>0</v>
      </c>
      <c r="AF120">
        <v>0</v>
      </c>
      <c r="AG120">
        <f>IF(AE120*$H$13&gt;=AI120,1.0,(AI120/(AI120-AE120*$H$13)))</f>
        <v>0</v>
      </c>
      <c r="AH120">
        <f>(AG120-1)*100</f>
        <v>0</v>
      </c>
      <c r="AI120">
        <f>MAX(0,($B$13+$C$13*BG120)/(1+$D$13*BG120)*AZ120/(BB120+273)*$E$13)</f>
        <v>0</v>
      </c>
      <c r="AJ120">
        <f>$B$11*BH120+$C$11*BI120+$D$11*BT120</f>
        <v>0</v>
      </c>
      <c r="AK120">
        <f>AJ120*AL120</f>
        <v>0</v>
      </c>
      <c r="AL120">
        <f>($B$11*$D$9+$C$11*$D$9+$D$11*(BU120*$E$9+BV120*$G$9))/($B$11+$C$11+$D$11)</f>
        <v>0</v>
      </c>
      <c r="AM120">
        <f>($B$11*$K$9+$C$11*$K$9+$D$11*(BU120*$L$9+BV120*$N$9))/($B$11+$C$11+$D$11)</f>
        <v>0</v>
      </c>
      <c r="AN120">
        <v>3</v>
      </c>
      <c r="AO120">
        <v>0.5</v>
      </c>
      <c r="AP120" t="s">
        <v>331</v>
      </c>
      <c r="AQ120">
        <v>2</v>
      </c>
      <c r="AR120">
        <v>1773202273</v>
      </c>
      <c r="AS120">
        <v>424.402</v>
      </c>
      <c r="AT120">
        <v>422.4246129032257</v>
      </c>
      <c r="AU120">
        <v>11.16585806451613</v>
      </c>
      <c r="AV120">
        <v>10.91872580645162</v>
      </c>
      <c r="AW120">
        <v>418.1705806451613</v>
      </c>
      <c r="AX120">
        <v>11.08527419354839</v>
      </c>
      <c r="AY120">
        <v>499.9993548387097</v>
      </c>
      <c r="AZ120">
        <v>100.1626129032258</v>
      </c>
      <c r="BA120">
        <v>0.04610759032258065</v>
      </c>
      <c r="BB120">
        <v>30.79486451612903</v>
      </c>
      <c r="BC120">
        <v>31.0052064516129</v>
      </c>
      <c r="BD120">
        <v>999.9000000000003</v>
      </c>
      <c r="BE120">
        <v>0</v>
      </c>
      <c r="BF120">
        <v>0</v>
      </c>
      <c r="BG120">
        <v>4997.483870967741</v>
      </c>
      <c r="BH120">
        <v>1.165933870967742</v>
      </c>
      <c r="BI120">
        <v>2164.35</v>
      </c>
      <c r="BJ120">
        <v>1.977267096774194</v>
      </c>
      <c r="BK120">
        <v>429.1942903225806</v>
      </c>
      <c r="BL120">
        <v>427.088</v>
      </c>
      <c r="BM120">
        <v>0.2471290322580645</v>
      </c>
      <c r="BN120">
        <v>422.4246129032257</v>
      </c>
      <c r="BO120">
        <v>10.91872580645162</v>
      </c>
      <c r="BP120">
        <v>1.118401612903226</v>
      </c>
      <c r="BQ120">
        <v>1.093648709677419</v>
      </c>
      <c r="BR120">
        <v>8.557546129032257</v>
      </c>
      <c r="BS120">
        <v>8.227560967741933</v>
      </c>
      <c r="BT120">
        <v>0</v>
      </c>
      <c r="BU120">
        <v>0</v>
      </c>
      <c r="BV120">
        <v>0</v>
      </c>
      <c r="BW120">
        <v>35</v>
      </c>
      <c r="BX120">
        <v>52</v>
      </c>
      <c r="BY120">
        <v>1773196010</v>
      </c>
      <c r="BZ120" t="s">
        <v>332</v>
      </c>
      <c r="CA120">
        <v>1773196010</v>
      </c>
      <c r="CB120">
        <v>1773196005.5</v>
      </c>
      <c r="CC120">
        <v>2</v>
      </c>
      <c r="CD120">
        <v>-0.279</v>
      </c>
      <c r="CE120">
        <v>-0.021</v>
      </c>
      <c r="CF120">
        <v>6.231</v>
      </c>
      <c r="CG120">
        <v>0.081</v>
      </c>
      <c r="CH120">
        <v>432</v>
      </c>
      <c r="CI120">
        <v>21</v>
      </c>
      <c r="CJ120">
        <v>0.03</v>
      </c>
      <c r="CK120">
        <v>0.06</v>
      </c>
      <c r="CL120">
        <v>422.4266666666666</v>
      </c>
      <c r="CM120">
        <v>0.1516885428264555</v>
      </c>
      <c r="CN120">
        <v>0.04587470859731758</v>
      </c>
      <c r="CO120">
        <v>-1</v>
      </c>
      <c r="CP120">
        <v>499.9966666666667</v>
      </c>
      <c r="CQ120">
        <v>0.6372413793101477</v>
      </c>
      <c r="CR120">
        <v>0.07873090597443645</v>
      </c>
      <c r="CS120">
        <v>-1</v>
      </c>
      <c r="CT120">
        <v>0</v>
      </c>
      <c r="CU120">
        <v>0</v>
      </c>
      <c r="CV120" t="s">
        <v>333</v>
      </c>
      <c r="CW120">
        <v>3.17088</v>
      </c>
      <c r="CX120">
        <v>2.66617</v>
      </c>
      <c r="CY120">
        <v>0.0994582</v>
      </c>
      <c r="CZ120">
        <v>0.100252</v>
      </c>
      <c r="DA120">
        <v>0.0633145</v>
      </c>
      <c r="DB120">
        <v>0.0623038</v>
      </c>
      <c r="DC120">
        <v>21325.6</v>
      </c>
      <c r="DD120">
        <v>21890.9</v>
      </c>
      <c r="DE120">
        <v>22831.6</v>
      </c>
      <c r="DF120">
        <v>22275.4</v>
      </c>
      <c r="DG120">
        <v>32341.7</v>
      </c>
      <c r="DH120">
        <v>29425.3</v>
      </c>
      <c r="DI120">
        <v>40185.8</v>
      </c>
      <c r="DJ120">
        <v>36845.5</v>
      </c>
      <c r="DK120">
        <v>2.02704</v>
      </c>
      <c r="DL120">
        <v>1.50142</v>
      </c>
      <c r="DM120">
        <v>-0.0668705</v>
      </c>
      <c r="DN120">
        <v>0</v>
      </c>
      <c r="DO120">
        <v>32.0928</v>
      </c>
      <c r="DP120">
        <v>999.9</v>
      </c>
      <c r="DQ120">
        <v>23.3</v>
      </c>
      <c r="DR120">
        <v>45.3</v>
      </c>
      <c r="DS120">
        <v>22.768</v>
      </c>
      <c r="DT120">
        <v>30.0391</v>
      </c>
      <c r="DU120">
        <v>14.0946</v>
      </c>
      <c r="DV120">
        <v>1</v>
      </c>
      <c r="DW120">
        <v>0.8772219999999999</v>
      </c>
      <c r="DX120">
        <v>3.54353</v>
      </c>
      <c r="DY120">
        <v>20.3182</v>
      </c>
      <c r="DZ120">
        <v>5.21106</v>
      </c>
      <c r="EA120">
        <v>11.855</v>
      </c>
      <c r="EB120">
        <v>4.96772</v>
      </c>
      <c r="EC120">
        <v>3.293</v>
      </c>
      <c r="ED120">
        <v>879.4</v>
      </c>
      <c r="EE120">
        <v>9999</v>
      </c>
      <c r="EF120">
        <v>9999</v>
      </c>
      <c r="EG120">
        <v>77.7</v>
      </c>
      <c r="EH120">
        <v>4.97157</v>
      </c>
      <c r="EI120">
        <v>1.8721</v>
      </c>
      <c r="EJ120">
        <v>1.86948</v>
      </c>
      <c r="EK120">
        <v>1.8718</v>
      </c>
      <c r="EL120">
        <v>1.86962</v>
      </c>
      <c r="EM120">
        <v>1.86842</v>
      </c>
      <c r="EN120">
        <v>1.87021</v>
      </c>
      <c r="EO120">
        <v>1.87195</v>
      </c>
      <c r="EP120">
        <v>0</v>
      </c>
      <c r="EQ120">
        <v>0</v>
      </c>
      <c r="ER120">
        <v>0</v>
      </c>
      <c r="ES120">
        <v>0</v>
      </c>
      <c r="ET120" t="s">
        <v>334</v>
      </c>
      <c r="EU120" t="s">
        <v>335</v>
      </c>
      <c r="EV120" t="s">
        <v>336</v>
      </c>
      <c r="EW120" t="s">
        <v>336</v>
      </c>
      <c r="EX120" t="s">
        <v>336</v>
      </c>
      <c r="EY120" t="s">
        <v>336</v>
      </c>
      <c r="EZ120">
        <v>0</v>
      </c>
      <c r="FA120">
        <v>100</v>
      </c>
      <c r="FB120">
        <v>100</v>
      </c>
      <c r="FC120">
        <v>6.231</v>
      </c>
      <c r="FD120">
        <v>0.0806</v>
      </c>
      <c r="FE120">
        <v>6.23135000000002</v>
      </c>
      <c r="FF120">
        <v>0</v>
      </c>
      <c r="FG120">
        <v>0</v>
      </c>
      <c r="FH120">
        <v>0</v>
      </c>
      <c r="FI120">
        <v>0.08059047619047632</v>
      </c>
      <c r="FJ120">
        <v>0</v>
      </c>
      <c r="FK120">
        <v>0</v>
      </c>
      <c r="FL120">
        <v>0</v>
      </c>
      <c r="FM120">
        <v>-1</v>
      </c>
      <c r="FN120">
        <v>-1</v>
      </c>
      <c r="FO120">
        <v>-1</v>
      </c>
      <c r="FP120">
        <v>-1</v>
      </c>
      <c r="FQ120">
        <v>104.5</v>
      </c>
      <c r="FR120">
        <v>104.6</v>
      </c>
      <c r="FS120">
        <v>0.141602</v>
      </c>
      <c r="FT120">
        <v>4.99634</v>
      </c>
      <c r="FU120">
        <v>1.5979</v>
      </c>
      <c r="FV120">
        <v>2.10815</v>
      </c>
      <c r="FW120">
        <v>1.54785</v>
      </c>
      <c r="FX120">
        <v>2.44873</v>
      </c>
      <c r="FY120">
        <v>46.9448</v>
      </c>
      <c r="FZ120">
        <v>15.6293</v>
      </c>
      <c r="GA120">
        <v>3</v>
      </c>
      <c r="GB120">
        <v>519.822</v>
      </c>
      <c r="GC120">
        <v>290.799</v>
      </c>
      <c r="GD120">
        <v>27.8313</v>
      </c>
      <c r="GE120">
        <v>37.7679</v>
      </c>
      <c r="GF120">
        <v>30.0002</v>
      </c>
      <c r="GG120">
        <v>37.6671</v>
      </c>
      <c r="GH120">
        <v>37.6586</v>
      </c>
      <c r="GI120">
        <v>-1</v>
      </c>
      <c r="GJ120">
        <v>100</v>
      </c>
      <c r="GK120">
        <v>0</v>
      </c>
      <c r="GL120">
        <v>27.8315</v>
      </c>
      <c r="GM120">
        <v>1200</v>
      </c>
      <c r="GN120">
        <v>19.4378</v>
      </c>
      <c r="GO120">
        <v>101.099</v>
      </c>
      <c r="GP120">
        <v>96.21299999999999</v>
      </c>
    </row>
    <row r="121" spans="1:198">
      <c r="A121">
        <v>105</v>
      </c>
      <c r="B121">
        <v>1773202341</v>
      </c>
      <c r="C121">
        <v>6241</v>
      </c>
      <c r="D121" t="s">
        <v>543</v>
      </c>
      <c r="E121" t="s">
        <v>544</v>
      </c>
      <c r="F121">
        <v>15</v>
      </c>
      <c r="G121">
        <v>1773202333</v>
      </c>
      <c r="H121">
        <f>(I121)/1000</f>
        <v>0</v>
      </c>
      <c r="I121">
        <f>1000*AY121*AG121*(AU121-AV121)/(100*AN121*(1000-AG121*AU121))</f>
        <v>0</v>
      </c>
      <c r="J121">
        <f>AY121*AG121*(AT121-AS121*(1000-AG121*AV121)/(1000-AG121*AU121))/(100*AN121)</f>
        <v>0</v>
      </c>
      <c r="K121">
        <f>AS121 - IF(AG121&gt;1, J121*AN121*100.0/(AI121), 0)</f>
        <v>0</v>
      </c>
      <c r="L121">
        <f>((R121-H121/2)*K121-J121)/(R121+H121/2)</f>
        <v>0</v>
      </c>
      <c r="M121">
        <f>L121*(AZ121+BA121)/1000.0</f>
        <v>0</v>
      </c>
      <c r="N121">
        <f>(AS121 - IF(AG121&gt;1, J121*AN121*100.0/(AI121), 0))*(AZ121+BA121)/1000.0</f>
        <v>0</v>
      </c>
      <c r="O121">
        <f>2.0/((1/Q121-1/P121)+SIGN(Q121)*SQRT((1/Q121-1/P121)*(1/Q121-1/P121) + 4*AO121/((AO121+1)*(AO121+1))*(2*1/Q121*1/P121-1/P121*1/P121)))</f>
        <v>0</v>
      </c>
      <c r="P121">
        <f>IF(LEFT(AP121,1)&lt;&gt;"0",IF(LEFT(AP121,1)="1",3.0,AQ121),$D$5+$E$5*(BG121*AZ121/($K$5*1000))+$F$5*(BG121*AZ121/($K$5*1000))*MAX(MIN(AN121,$J$5),$I$5)*MAX(MIN(AN121,$J$5),$I$5)+$G$5*MAX(MIN(AN121,$J$5),$I$5)*(BG121*AZ121/($K$5*1000))+$H$5*(BG121*AZ121/($K$5*1000))*(BG121*AZ121/($K$5*1000)))</f>
        <v>0</v>
      </c>
      <c r="Q121">
        <f>H121*(1000-(1000*0.61365*exp(17.502*U121/(240.97+U121))/(AZ121+BA121)+AU121)/2)/(1000*0.61365*exp(17.502*U121/(240.97+U121))/(AZ121+BA121)-AU121)</f>
        <v>0</v>
      </c>
      <c r="R121">
        <f>1/((AO121+1)/(O121/1.6)+1/(P121/1.37)) + AO121/((AO121+1)/(O121/1.6) + AO121/(P121/1.37))</f>
        <v>0</v>
      </c>
      <c r="S121">
        <f>(AJ121*AM121)</f>
        <v>0</v>
      </c>
      <c r="T121">
        <f>(BB121+(S121+2*0.95*5.67E-8*(((BB121+$B$7)+273)^4-(BB121+273)^4)-44100*H121)/(1.84*29.3*P121+8*0.95*5.67E-8*(BB121+273)^3))</f>
        <v>0</v>
      </c>
      <c r="U121">
        <f>($C$7*BC121+$D$7*BD121+$E$7*T121)</f>
        <v>0</v>
      </c>
      <c r="V121">
        <f>0.61365*exp(17.502*U121/(240.97+U121))</f>
        <v>0</v>
      </c>
      <c r="W121">
        <f>(X121/Y121*100)</f>
        <v>0</v>
      </c>
      <c r="X121">
        <f>AU121*(AZ121+BA121)/1000</f>
        <v>0</v>
      </c>
      <c r="Y121">
        <f>0.61365*exp(17.502*BB121/(240.97+BB121))</f>
        <v>0</v>
      </c>
      <c r="Z121">
        <f>(V121-AU121*(AZ121+BA121)/1000)</f>
        <v>0</v>
      </c>
      <c r="AA121">
        <f>(-H121*44100)</f>
        <v>0</v>
      </c>
      <c r="AB121">
        <f>2*29.3*P121*0.92*(BB121-U121)</f>
        <v>0</v>
      </c>
      <c r="AC121">
        <f>2*0.95*5.67E-8*(((BB121+$B$7)+273)^4-(U121+273)^4)</f>
        <v>0</v>
      </c>
      <c r="AD121">
        <f>S121+AC121+AA121+AB121</f>
        <v>0</v>
      </c>
      <c r="AE121">
        <v>0</v>
      </c>
      <c r="AF121">
        <v>0</v>
      </c>
      <c r="AG121">
        <f>IF(AE121*$H$13&gt;=AI121,1.0,(AI121/(AI121-AE121*$H$13)))</f>
        <v>0</v>
      </c>
      <c r="AH121">
        <f>(AG121-1)*100</f>
        <v>0</v>
      </c>
      <c r="AI121">
        <f>MAX(0,($B$13+$C$13*BG121)/(1+$D$13*BG121)*AZ121/(BB121+273)*$E$13)</f>
        <v>0</v>
      </c>
      <c r="AJ121">
        <f>$B$11*BH121+$C$11*BI121+$D$11*BT121</f>
        <v>0</v>
      </c>
      <c r="AK121">
        <f>AJ121*AL121</f>
        <v>0</v>
      </c>
      <c r="AL121">
        <f>($B$11*$D$9+$C$11*$D$9+$D$11*(BU121*$E$9+BV121*$G$9))/($B$11+$C$11+$D$11)</f>
        <v>0</v>
      </c>
      <c r="AM121">
        <f>($B$11*$K$9+$C$11*$K$9+$D$11*(BU121*$L$9+BV121*$N$9))/($B$11+$C$11+$D$11)</f>
        <v>0</v>
      </c>
      <c r="AN121">
        <v>3</v>
      </c>
      <c r="AO121">
        <v>0.5</v>
      </c>
      <c r="AP121" t="s">
        <v>331</v>
      </c>
      <c r="AQ121">
        <v>2</v>
      </c>
      <c r="AR121">
        <v>1773202333</v>
      </c>
      <c r="AS121">
        <v>424.3166451612904</v>
      </c>
      <c r="AT121">
        <v>422.2082903225806</v>
      </c>
      <c r="AU121">
        <v>11.11588709677419</v>
      </c>
      <c r="AV121">
        <v>10.88401612903226</v>
      </c>
      <c r="AW121">
        <v>418.0852258064517</v>
      </c>
      <c r="AX121">
        <v>11.03529677419355</v>
      </c>
      <c r="AY121">
        <v>500.0089677419354</v>
      </c>
      <c r="AZ121">
        <v>100.1615806451613</v>
      </c>
      <c r="BA121">
        <v>0.04536739032258064</v>
      </c>
      <c r="BB121">
        <v>30.81589354838709</v>
      </c>
      <c r="BC121">
        <v>31.04021290322581</v>
      </c>
      <c r="BD121">
        <v>999.9000000000003</v>
      </c>
      <c r="BE121">
        <v>0</v>
      </c>
      <c r="BF121">
        <v>0</v>
      </c>
      <c r="BG121">
        <v>5005.064516129032</v>
      </c>
      <c r="BH121">
        <v>1.144849032258064</v>
      </c>
      <c r="BI121">
        <v>2133.554516129032</v>
      </c>
      <c r="BJ121">
        <v>2.10823870967742</v>
      </c>
      <c r="BK121">
        <v>429.0862258064517</v>
      </c>
      <c r="BL121">
        <v>426.8543225806453</v>
      </c>
      <c r="BM121">
        <v>0.2318709032258065</v>
      </c>
      <c r="BN121">
        <v>422.2082903225806</v>
      </c>
      <c r="BO121">
        <v>10.88401612903226</v>
      </c>
      <c r="BP121">
        <v>1.113384516129032</v>
      </c>
      <c r="BQ121">
        <v>1.090160322580645</v>
      </c>
      <c r="BR121">
        <v>8.491186774193547</v>
      </c>
      <c r="BS121">
        <v>8.180526129032259</v>
      </c>
      <c r="BT121">
        <v>0</v>
      </c>
      <c r="BU121">
        <v>0</v>
      </c>
      <c r="BV121">
        <v>0</v>
      </c>
      <c r="BW121">
        <v>35</v>
      </c>
      <c r="BX121">
        <v>51.00645161290323</v>
      </c>
      <c r="BY121">
        <v>1773196010</v>
      </c>
      <c r="BZ121" t="s">
        <v>332</v>
      </c>
      <c r="CA121">
        <v>1773196010</v>
      </c>
      <c r="CB121">
        <v>1773196005.5</v>
      </c>
      <c r="CC121">
        <v>2</v>
      </c>
      <c r="CD121">
        <v>-0.279</v>
      </c>
      <c r="CE121">
        <v>-0.021</v>
      </c>
      <c r="CF121">
        <v>6.231</v>
      </c>
      <c r="CG121">
        <v>0.081</v>
      </c>
      <c r="CH121">
        <v>432</v>
      </c>
      <c r="CI121">
        <v>21</v>
      </c>
      <c r="CJ121">
        <v>0.03</v>
      </c>
      <c r="CK121">
        <v>0.06</v>
      </c>
      <c r="CL121">
        <v>422.2093</v>
      </c>
      <c r="CM121">
        <v>-0.1419443826478681</v>
      </c>
      <c r="CN121">
        <v>0.01469274197237286</v>
      </c>
      <c r="CO121">
        <v>-1</v>
      </c>
      <c r="CP121">
        <v>500.0114</v>
      </c>
      <c r="CQ121">
        <v>-0.210153503895325</v>
      </c>
      <c r="CR121">
        <v>0.039358692390206</v>
      </c>
      <c r="CS121">
        <v>-1</v>
      </c>
      <c r="CT121">
        <v>0</v>
      </c>
      <c r="CU121">
        <v>0</v>
      </c>
      <c r="CV121" t="s">
        <v>333</v>
      </c>
      <c r="CW121">
        <v>3.17077</v>
      </c>
      <c r="CX121">
        <v>2.66669</v>
      </c>
      <c r="CY121">
        <v>0.0994202</v>
      </c>
      <c r="CZ121">
        <v>0.100209</v>
      </c>
      <c r="DA121">
        <v>0.06312909999999999</v>
      </c>
      <c r="DB121">
        <v>0.0621971</v>
      </c>
      <c r="DC121">
        <v>21325.6</v>
      </c>
      <c r="DD121">
        <v>21891.7</v>
      </c>
      <c r="DE121">
        <v>22830.6</v>
      </c>
      <c r="DF121">
        <v>22275.2</v>
      </c>
      <c r="DG121">
        <v>32346.9</v>
      </c>
      <c r="DH121">
        <v>29428</v>
      </c>
      <c r="DI121">
        <v>40184.3</v>
      </c>
      <c r="DJ121">
        <v>36844.8</v>
      </c>
      <c r="DK121">
        <v>2.02706</v>
      </c>
      <c r="DL121">
        <v>1.50154</v>
      </c>
      <c r="DM121">
        <v>-0.0691175</v>
      </c>
      <c r="DN121">
        <v>0</v>
      </c>
      <c r="DO121">
        <v>32.1574</v>
      </c>
      <c r="DP121">
        <v>999.9</v>
      </c>
      <c r="DQ121">
        <v>23.3</v>
      </c>
      <c r="DR121">
        <v>45.3</v>
      </c>
      <c r="DS121">
        <v>22.771</v>
      </c>
      <c r="DT121">
        <v>30.0691</v>
      </c>
      <c r="DU121">
        <v>14.3309</v>
      </c>
      <c r="DV121">
        <v>1</v>
      </c>
      <c r="DW121">
        <v>0.880728</v>
      </c>
      <c r="DX121">
        <v>3.87334</v>
      </c>
      <c r="DY121">
        <v>20.3092</v>
      </c>
      <c r="DZ121">
        <v>5.21082</v>
      </c>
      <c r="EA121">
        <v>11.8554</v>
      </c>
      <c r="EB121">
        <v>4.96744</v>
      </c>
      <c r="EC121">
        <v>3.29298</v>
      </c>
      <c r="ED121">
        <v>879.4</v>
      </c>
      <c r="EE121">
        <v>9999</v>
      </c>
      <c r="EF121">
        <v>9999</v>
      </c>
      <c r="EG121">
        <v>77.8</v>
      </c>
      <c r="EH121">
        <v>4.97159</v>
      </c>
      <c r="EI121">
        <v>1.8721</v>
      </c>
      <c r="EJ121">
        <v>1.86949</v>
      </c>
      <c r="EK121">
        <v>1.8718</v>
      </c>
      <c r="EL121">
        <v>1.86958</v>
      </c>
      <c r="EM121">
        <v>1.8684</v>
      </c>
      <c r="EN121">
        <v>1.87024</v>
      </c>
      <c r="EO121">
        <v>1.87195</v>
      </c>
      <c r="EP121">
        <v>0</v>
      </c>
      <c r="EQ121">
        <v>0</v>
      </c>
      <c r="ER121">
        <v>0</v>
      </c>
      <c r="ES121">
        <v>0</v>
      </c>
      <c r="ET121" t="s">
        <v>334</v>
      </c>
      <c r="EU121" t="s">
        <v>335</v>
      </c>
      <c r="EV121" t="s">
        <v>336</v>
      </c>
      <c r="EW121" t="s">
        <v>336</v>
      </c>
      <c r="EX121" t="s">
        <v>336</v>
      </c>
      <c r="EY121" t="s">
        <v>336</v>
      </c>
      <c r="EZ121">
        <v>0</v>
      </c>
      <c r="FA121">
        <v>100</v>
      </c>
      <c r="FB121">
        <v>100</v>
      </c>
      <c r="FC121">
        <v>6.231</v>
      </c>
      <c r="FD121">
        <v>0.0806</v>
      </c>
      <c r="FE121">
        <v>6.23135000000002</v>
      </c>
      <c r="FF121">
        <v>0</v>
      </c>
      <c r="FG121">
        <v>0</v>
      </c>
      <c r="FH121">
        <v>0</v>
      </c>
      <c r="FI121">
        <v>0.08059047619047632</v>
      </c>
      <c r="FJ121">
        <v>0</v>
      </c>
      <c r="FK121">
        <v>0</v>
      </c>
      <c r="FL121">
        <v>0</v>
      </c>
      <c r="FM121">
        <v>-1</v>
      </c>
      <c r="FN121">
        <v>-1</v>
      </c>
      <c r="FO121">
        <v>-1</v>
      </c>
      <c r="FP121">
        <v>-1</v>
      </c>
      <c r="FQ121">
        <v>105.5</v>
      </c>
      <c r="FR121">
        <v>105.6</v>
      </c>
      <c r="FS121">
        <v>0.141602</v>
      </c>
      <c r="FT121">
        <v>4.99756</v>
      </c>
      <c r="FU121">
        <v>1.5979</v>
      </c>
      <c r="FV121">
        <v>2.10815</v>
      </c>
      <c r="FW121">
        <v>1.54785</v>
      </c>
      <c r="FX121">
        <v>2.47803</v>
      </c>
      <c r="FY121">
        <v>46.9448</v>
      </c>
      <c r="FZ121">
        <v>15.6118</v>
      </c>
      <c r="GA121">
        <v>3</v>
      </c>
      <c r="GB121">
        <v>519.942</v>
      </c>
      <c r="GC121">
        <v>290.922</v>
      </c>
      <c r="GD121">
        <v>27.6477</v>
      </c>
      <c r="GE121">
        <v>37.7823</v>
      </c>
      <c r="GF121">
        <v>30.0005</v>
      </c>
      <c r="GG121">
        <v>37.6824</v>
      </c>
      <c r="GH121">
        <v>37.6758</v>
      </c>
      <c r="GI121">
        <v>-1</v>
      </c>
      <c r="GJ121">
        <v>100</v>
      </c>
      <c r="GK121">
        <v>0</v>
      </c>
      <c r="GL121">
        <v>27.6375</v>
      </c>
      <c r="GM121">
        <v>1200</v>
      </c>
      <c r="GN121">
        <v>19.4378</v>
      </c>
      <c r="GO121">
        <v>101.095</v>
      </c>
      <c r="GP121">
        <v>96.2115</v>
      </c>
    </row>
    <row r="122" spans="1:198">
      <c r="A122">
        <v>106</v>
      </c>
      <c r="B122">
        <v>1773202401</v>
      </c>
      <c r="C122">
        <v>6301</v>
      </c>
      <c r="D122" t="s">
        <v>545</v>
      </c>
      <c r="E122" t="s">
        <v>546</v>
      </c>
      <c r="F122">
        <v>15</v>
      </c>
      <c r="G122">
        <v>1773202393</v>
      </c>
      <c r="H122">
        <f>(I122)/1000</f>
        <v>0</v>
      </c>
      <c r="I122">
        <f>1000*AY122*AG122*(AU122-AV122)/(100*AN122*(1000-AG122*AU122))</f>
        <v>0</v>
      </c>
      <c r="J122">
        <f>AY122*AG122*(AT122-AS122*(1000-AG122*AV122)/(1000-AG122*AU122))/(100*AN122)</f>
        <v>0</v>
      </c>
      <c r="K122">
        <f>AS122 - IF(AG122&gt;1, J122*AN122*100.0/(AI122), 0)</f>
        <v>0</v>
      </c>
      <c r="L122">
        <f>((R122-H122/2)*K122-J122)/(R122+H122/2)</f>
        <v>0</v>
      </c>
      <c r="M122">
        <f>L122*(AZ122+BA122)/1000.0</f>
        <v>0</v>
      </c>
      <c r="N122">
        <f>(AS122 - IF(AG122&gt;1, J122*AN122*100.0/(AI122), 0))*(AZ122+BA122)/1000.0</f>
        <v>0</v>
      </c>
      <c r="O122">
        <f>2.0/((1/Q122-1/P122)+SIGN(Q122)*SQRT((1/Q122-1/P122)*(1/Q122-1/P122) + 4*AO122/((AO122+1)*(AO122+1))*(2*1/Q122*1/P122-1/P122*1/P122)))</f>
        <v>0</v>
      </c>
      <c r="P122">
        <f>IF(LEFT(AP122,1)&lt;&gt;"0",IF(LEFT(AP122,1)="1",3.0,AQ122),$D$5+$E$5*(BG122*AZ122/($K$5*1000))+$F$5*(BG122*AZ122/($K$5*1000))*MAX(MIN(AN122,$J$5),$I$5)*MAX(MIN(AN122,$J$5),$I$5)+$G$5*MAX(MIN(AN122,$J$5),$I$5)*(BG122*AZ122/($K$5*1000))+$H$5*(BG122*AZ122/($K$5*1000))*(BG122*AZ122/($K$5*1000)))</f>
        <v>0</v>
      </c>
      <c r="Q122">
        <f>H122*(1000-(1000*0.61365*exp(17.502*U122/(240.97+U122))/(AZ122+BA122)+AU122)/2)/(1000*0.61365*exp(17.502*U122/(240.97+U122))/(AZ122+BA122)-AU122)</f>
        <v>0</v>
      </c>
      <c r="R122">
        <f>1/((AO122+1)/(O122/1.6)+1/(P122/1.37)) + AO122/((AO122+1)/(O122/1.6) + AO122/(P122/1.37))</f>
        <v>0</v>
      </c>
      <c r="S122">
        <f>(AJ122*AM122)</f>
        <v>0</v>
      </c>
      <c r="T122">
        <f>(BB122+(S122+2*0.95*5.67E-8*(((BB122+$B$7)+273)^4-(BB122+273)^4)-44100*H122)/(1.84*29.3*P122+8*0.95*5.67E-8*(BB122+273)^3))</f>
        <v>0</v>
      </c>
      <c r="U122">
        <f>($C$7*BC122+$D$7*BD122+$E$7*T122)</f>
        <v>0</v>
      </c>
      <c r="V122">
        <f>0.61365*exp(17.502*U122/(240.97+U122))</f>
        <v>0</v>
      </c>
      <c r="W122">
        <f>(X122/Y122*100)</f>
        <v>0</v>
      </c>
      <c r="X122">
        <f>AU122*(AZ122+BA122)/1000</f>
        <v>0</v>
      </c>
      <c r="Y122">
        <f>0.61365*exp(17.502*BB122/(240.97+BB122))</f>
        <v>0</v>
      </c>
      <c r="Z122">
        <f>(V122-AU122*(AZ122+BA122)/1000)</f>
        <v>0</v>
      </c>
      <c r="AA122">
        <f>(-H122*44100)</f>
        <v>0</v>
      </c>
      <c r="AB122">
        <f>2*29.3*P122*0.92*(BB122-U122)</f>
        <v>0</v>
      </c>
      <c r="AC122">
        <f>2*0.95*5.67E-8*(((BB122+$B$7)+273)^4-(U122+273)^4)</f>
        <v>0</v>
      </c>
      <c r="AD122">
        <f>S122+AC122+AA122+AB122</f>
        <v>0</v>
      </c>
      <c r="AE122">
        <v>0</v>
      </c>
      <c r="AF122">
        <v>0</v>
      </c>
      <c r="AG122">
        <f>IF(AE122*$H$13&gt;=AI122,1.0,(AI122/(AI122-AE122*$H$13)))</f>
        <v>0</v>
      </c>
      <c r="AH122">
        <f>(AG122-1)*100</f>
        <v>0</v>
      </c>
      <c r="AI122">
        <f>MAX(0,($B$13+$C$13*BG122)/(1+$D$13*BG122)*AZ122/(BB122+273)*$E$13)</f>
        <v>0</v>
      </c>
      <c r="AJ122">
        <f>$B$11*BH122+$C$11*BI122+$D$11*BT122</f>
        <v>0</v>
      </c>
      <c r="AK122">
        <f>AJ122*AL122</f>
        <v>0</v>
      </c>
      <c r="AL122">
        <f>($B$11*$D$9+$C$11*$D$9+$D$11*(BU122*$E$9+BV122*$G$9))/($B$11+$C$11+$D$11)</f>
        <v>0</v>
      </c>
      <c r="AM122">
        <f>($B$11*$K$9+$C$11*$K$9+$D$11*(BU122*$L$9+BV122*$N$9))/($B$11+$C$11+$D$11)</f>
        <v>0</v>
      </c>
      <c r="AN122">
        <v>3</v>
      </c>
      <c r="AO122">
        <v>0.5</v>
      </c>
      <c r="AP122" t="s">
        <v>331</v>
      </c>
      <c r="AQ122">
        <v>2</v>
      </c>
      <c r="AR122">
        <v>1773202393</v>
      </c>
      <c r="AS122">
        <v>424.5205806451613</v>
      </c>
      <c r="AT122">
        <v>422.5704516129032</v>
      </c>
      <c r="AU122">
        <v>11.13492903225807</v>
      </c>
      <c r="AV122">
        <v>10.92046129032258</v>
      </c>
      <c r="AW122">
        <v>418.2893225806451</v>
      </c>
      <c r="AX122">
        <v>11.05433870967742</v>
      </c>
      <c r="AY122">
        <v>500.0049032258065</v>
      </c>
      <c r="AZ122">
        <v>100.1627419354839</v>
      </c>
      <c r="BA122">
        <v>0.0455003935483871</v>
      </c>
      <c r="BB122">
        <v>30.8209</v>
      </c>
      <c r="BC122">
        <v>31.06362580645161</v>
      </c>
      <c r="BD122">
        <v>999.9000000000003</v>
      </c>
      <c r="BE122">
        <v>0</v>
      </c>
      <c r="BF122">
        <v>0</v>
      </c>
      <c r="BG122">
        <v>5008.193548387097</v>
      </c>
      <c r="BH122">
        <v>1.120157419354839</v>
      </c>
      <c r="BI122">
        <v>2153.56064516129</v>
      </c>
      <c r="BJ122">
        <v>1.950070967741936</v>
      </c>
      <c r="BK122">
        <v>429.300870967742</v>
      </c>
      <c r="BL122">
        <v>427.2361935483871</v>
      </c>
      <c r="BM122">
        <v>0.2144557419354839</v>
      </c>
      <c r="BN122">
        <v>422.5704516129032</v>
      </c>
      <c r="BO122">
        <v>10.92046129032258</v>
      </c>
      <c r="BP122">
        <v>1.115304193548387</v>
      </c>
      <c r="BQ122">
        <v>1.093824838709677</v>
      </c>
      <c r="BR122">
        <v>8.516608709677419</v>
      </c>
      <c r="BS122">
        <v>8.22991935483871</v>
      </c>
      <c r="BT122">
        <v>0</v>
      </c>
      <c r="BU122">
        <v>0</v>
      </c>
      <c r="BV122">
        <v>0</v>
      </c>
      <c r="BW122">
        <v>35</v>
      </c>
      <c r="BX122">
        <v>51.76665483870966</v>
      </c>
      <c r="BY122">
        <v>1773196010</v>
      </c>
      <c r="BZ122" t="s">
        <v>332</v>
      </c>
      <c r="CA122">
        <v>1773196010</v>
      </c>
      <c r="CB122">
        <v>1773196005.5</v>
      </c>
      <c r="CC122">
        <v>2</v>
      </c>
      <c r="CD122">
        <v>-0.279</v>
      </c>
      <c r="CE122">
        <v>-0.021</v>
      </c>
      <c r="CF122">
        <v>6.231</v>
      </c>
      <c r="CG122">
        <v>0.081</v>
      </c>
      <c r="CH122">
        <v>432</v>
      </c>
      <c r="CI122">
        <v>21</v>
      </c>
      <c r="CJ122">
        <v>0.03</v>
      </c>
      <c r="CK122">
        <v>0.06</v>
      </c>
      <c r="CL122">
        <v>422.5704516129032</v>
      </c>
      <c r="CM122">
        <v>0.8194838709664503</v>
      </c>
      <c r="CN122">
        <v>0.06398882901986602</v>
      </c>
      <c r="CO122">
        <v>-1</v>
      </c>
      <c r="CP122">
        <v>500.0049032258065</v>
      </c>
      <c r="CQ122">
        <v>0.01379032258098337</v>
      </c>
      <c r="CR122">
        <v>0.04588298921464582</v>
      </c>
      <c r="CS122">
        <v>-1</v>
      </c>
      <c r="CT122">
        <v>0</v>
      </c>
      <c r="CU122">
        <v>0</v>
      </c>
      <c r="CV122" t="s">
        <v>333</v>
      </c>
      <c r="CW122">
        <v>3.1708</v>
      </c>
      <c r="CX122">
        <v>2.66684</v>
      </c>
      <c r="CY122">
        <v>0.0994704</v>
      </c>
      <c r="CZ122">
        <v>0.100294</v>
      </c>
      <c r="DA122">
        <v>0.0632538</v>
      </c>
      <c r="DB122">
        <v>0.0624183</v>
      </c>
      <c r="DC122">
        <v>21322.8</v>
      </c>
      <c r="DD122">
        <v>21887.7</v>
      </c>
      <c r="DE122">
        <v>22829.1</v>
      </c>
      <c r="DF122">
        <v>22273.4</v>
      </c>
      <c r="DG122">
        <v>32340.8</v>
      </c>
      <c r="DH122">
        <v>29418.6</v>
      </c>
      <c r="DI122">
        <v>40182.2</v>
      </c>
      <c r="DJ122">
        <v>36841.8</v>
      </c>
      <c r="DK122">
        <v>2.0266</v>
      </c>
      <c r="DL122">
        <v>1.50122</v>
      </c>
      <c r="DM122">
        <v>-0.07305150000000001</v>
      </c>
      <c r="DN122">
        <v>0</v>
      </c>
      <c r="DO122">
        <v>32.2514</v>
      </c>
      <c r="DP122">
        <v>999.9</v>
      </c>
      <c r="DQ122">
        <v>23.3</v>
      </c>
      <c r="DR122">
        <v>45.4</v>
      </c>
      <c r="DS122">
        <v>22.8887</v>
      </c>
      <c r="DT122">
        <v>30.0391</v>
      </c>
      <c r="DU122">
        <v>14.2788</v>
      </c>
      <c r="DV122">
        <v>1</v>
      </c>
      <c r="DW122">
        <v>0.884927</v>
      </c>
      <c r="DX122">
        <v>3.98811</v>
      </c>
      <c r="DY122">
        <v>20.3057</v>
      </c>
      <c r="DZ122">
        <v>5.21082</v>
      </c>
      <c r="EA122">
        <v>11.8553</v>
      </c>
      <c r="EB122">
        <v>4.96772</v>
      </c>
      <c r="EC122">
        <v>3.293</v>
      </c>
      <c r="ED122">
        <v>879.4</v>
      </c>
      <c r="EE122">
        <v>9999</v>
      </c>
      <c r="EF122">
        <v>9999</v>
      </c>
      <c r="EG122">
        <v>77.8</v>
      </c>
      <c r="EH122">
        <v>4.97159</v>
      </c>
      <c r="EI122">
        <v>1.8721</v>
      </c>
      <c r="EJ122">
        <v>1.86948</v>
      </c>
      <c r="EK122">
        <v>1.8718</v>
      </c>
      <c r="EL122">
        <v>1.86956</v>
      </c>
      <c r="EM122">
        <v>1.86842</v>
      </c>
      <c r="EN122">
        <v>1.87025</v>
      </c>
      <c r="EO122">
        <v>1.87195</v>
      </c>
      <c r="EP122">
        <v>0</v>
      </c>
      <c r="EQ122">
        <v>0</v>
      </c>
      <c r="ER122">
        <v>0</v>
      </c>
      <c r="ES122">
        <v>0</v>
      </c>
      <c r="ET122" t="s">
        <v>334</v>
      </c>
      <c r="EU122" t="s">
        <v>335</v>
      </c>
      <c r="EV122" t="s">
        <v>336</v>
      </c>
      <c r="EW122" t="s">
        <v>336</v>
      </c>
      <c r="EX122" t="s">
        <v>336</v>
      </c>
      <c r="EY122" t="s">
        <v>336</v>
      </c>
      <c r="EZ122">
        <v>0</v>
      </c>
      <c r="FA122">
        <v>100</v>
      </c>
      <c r="FB122">
        <v>100</v>
      </c>
      <c r="FC122">
        <v>6.231</v>
      </c>
      <c r="FD122">
        <v>0.0806</v>
      </c>
      <c r="FE122">
        <v>6.23135000000002</v>
      </c>
      <c r="FF122">
        <v>0</v>
      </c>
      <c r="FG122">
        <v>0</v>
      </c>
      <c r="FH122">
        <v>0</v>
      </c>
      <c r="FI122">
        <v>0.08059047619047632</v>
      </c>
      <c r="FJ122">
        <v>0</v>
      </c>
      <c r="FK122">
        <v>0</v>
      </c>
      <c r="FL122">
        <v>0</v>
      </c>
      <c r="FM122">
        <v>-1</v>
      </c>
      <c r="FN122">
        <v>-1</v>
      </c>
      <c r="FO122">
        <v>-1</v>
      </c>
      <c r="FP122">
        <v>-1</v>
      </c>
      <c r="FQ122">
        <v>106.5</v>
      </c>
      <c r="FR122">
        <v>106.6</v>
      </c>
      <c r="FS122">
        <v>0.141602</v>
      </c>
      <c r="FT122">
        <v>4.99756</v>
      </c>
      <c r="FU122">
        <v>1.5979</v>
      </c>
      <c r="FV122">
        <v>2.10815</v>
      </c>
      <c r="FW122">
        <v>1.54785</v>
      </c>
      <c r="FX122">
        <v>2.49634</v>
      </c>
      <c r="FY122">
        <v>46.9744</v>
      </c>
      <c r="FZ122">
        <v>15.603</v>
      </c>
      <c r="GA122">
        <v>3</v>
      </c>
      <c r="GB122">
        <v>519.8819999999999</v>
      </c>
      <c r="GC122">
        <v>290.898</v>
      </c>
      <c r="GD122">
        <v>27.6132</v>
      </c>
      <c r="GE122">
        <v>37.82</v>
      </c>
      <c r="GF122">
        <v>30.0007</v>
      </c>
      <c r="GG122">
        <v>37.7146</v>
      </c>
      <c r="GH122">
        <v>37.7085</v>
      </c>
      <c r="GI122">
        <v>-1</v>
      </c>
      <c r="GJ122">
        <v>100</v>
      </c>
      <c r="GK122">
        <v>0</v>
      </c>
      <c r="GL122">
        <v>27.6018</v>
      </c>
      <c r="GM122">
        <v>1200</v>
      </c>
      <c r="GN122">
        <v>19.4378</v>
      </c>
      <c r="GO122">
        <v>101.089</v>
      </c>
      <c r="GP122">
        <v>96.20359999999999</v>
      </c>
    </row>
    <row r="123" spans="1:198">
      <c r="A123">
        <v>107</v>
      </c>
      <c r="B123">
        <v>1773202461</v>
      </c>
      <c r="C123">
        <v>6361</v>
      </c>
      <c r="D123" t="s">
        <v>547</v>
      </c>
      <c r="E123" t="s">
        <v>548</v>
      </c>
      <c r="F123">
        <v>15</v>
      </c>
      <c r="G123">
        <v>1773202453</v>
      </c>
      <c r="H123">
        <f>(I123)/1000</f>
        <v>0</v>
      </c>
      <c r="I123">
        <f>1000*AY123*AG123*(AU123-AV123)/(100*AN123*(1000-AG123*AU123))</f>
        <v>0</v>
      </c>
      <c r="J123">
        <f>AY123*AG123*(AT123-AS123*(1000-AG123*AV123)/(1000-AG123*AU123))/(100*AN123)</f>
        <v>0</v>
      </c>
      <c r="K123">
        <f>AS123 - IF(AG123&gt;1, J123*AN123*100.0/(AI123), 0)</f>
        <v>0</v>
      </c>
      <c r="L123">
        <f>((R123-H123/2)*K123-J123)/(R123+H123/2)</f>
        <v>0</v>
      </c>
      <c r="M123">
        <f>L123*(AZ123+BA123)/1000.0</f>
        <v>0</v>
      </c>
      <c r="N123">
        <f>(AS123 - IF(AG123&gt;1, J123*AN123*100.0/(AI123), 0))*(AZ123+BA123)/1000.0</f>
        <v>0</v>
      </c>
      <c r="O123">
        <f>2.0/((1/Q123-1/P123)+SIGN(Q123)*SQRT((1/Q123-1/P123)*(1/Q123-1/P123) + 4*AO123/((AO123+1)*(AO123+1))*(2*1/Q123*1/P123-1/P123*1/P123)))</f>
        <v>0</v>
      </c>
      <c r="P123">
        <f>IF(LEFT(AP123,1)&lt;&gt;"0",IF(LEFT(AP123,1)="1",3.0,AQ123),$D$5+$E$5*(BG123*AZ123/($K$5*1000))+$F$5*(BG123*AZ123/($K$5*1000))*MAX(MIN(AN123,$J$5),$I$5)*MAX(MIN(AN123,$J$5),$I$5)+$G$5*MAX(MIN(AN123,$J$5),$I$5)*(BG123*AZ123/($K$5*1000))+$H$5*(BG123*AZ123/($K$5*1000))*(BG123*AZ123/($K$5*1000)))</f>
        <v>0</v>
      </c>
      <c r="Q123">
        <f>H123*(1000-(1000*0.61365*exp(17.502*U123/(240.97+U123))/(AZ123+BA123)+AU123)/2)/(1000*0.61365*exp(17.502*U123/(240.97+U123))/(AZ123+BA123)-AU123)</f>
        <v>0</v>
      </c>
      <c r="R123">
        <f>1/((AO123+1)/(O123/1.6)+1/(P123/1.37)) + AO123/((AO123+1)/(O123/1.6) + AO123/(P123/1.37))</f>
        <v>0</v>
      </c>
      <c r="S123">
        <f>(AJ123*AM123)</f>
        <v>0</v>
      </c>
      <c r="T123">
        <f>(BB123+(S123+2*0.95*5.67E-8*(((BB123+$B$7)+273)^4-(BB123+273)^4)-44100*H123)/(1.84*29.3*P123+8*0.95*5.67E-8*(BB123+273)^3))</f>
        <v>0</v>
      </c>
      <c r="U123">
        <f>($C$7*BC123+$D$7*BD123+$E$7*T123)</f>
        <v>0</v>
      </c>
      <c r="V123">
        <f>0.61365*exp(17.502*U123/(240.97+U123))</f>
        <v>0</v>
      </c>
      <c r="W123">
        <f>(X123/Y123*100)</f>
        <v>0</v>
      </c>
      <c r="X123">
        <f>AU123*(AZ123+BA123)/1000</f>
        <v>0</v>
      </c>
      <c r="Y123">
        <f>0.61365*exp(17.502*BB123/(240.97+BB123))</f>
        <v>0</v>
      </c>
      <c r="Z123">
        <f>(V123-AU123*(AZ123+BA123)/1000)</f>
        <v>0</v>
      </c>
      <c r="AA123">
        <f>(-H123*44100)</f>
        <v>0</v>
      </c>
      <c r="AB123">
        <f>2*29.3*P123*0.92*(BB123-U123)</f>
        <v>0</v>
      </c>
      <c r="AC123">
        <f>2*0.95*5.67E-8*(((BB123+$B$7)+273)^4-(U123+273)^4)</f>
        <v>0</v>
      </c>
      <c r="AD123">
        <f>S123+AC123+AA123+AB123</f>
        <v>0</v>
      </c>
      <c r="AE123">
        <v>0</v>
      </c>
      <c r="AF123">
        <v>0</v>
      </c>
      <c r="AG123">
        <f>IF(AE123*$H$13&gt;=AI123,1.0,(AI123/(AI123-AE123*$H$13)))</f>
        <v>0</v>
      </c>
      <c r="AH123">
        <f>(AG123-1)*100</f>
        <v>0</v>
      </c>
      <c r="AI123">
        <f>MAX(0,($B$13+$C$13*BG123)/(1+$D$13*BG123)*AZ123/(BB123+273)*$E$13)</f>
        <v>0</v>
      </c>
      <c r="AJ123">
        <f>$B$11*BH123+$C$11*BI123+$D$11*BT123</f>
        <v>0</v>
      </c>
      <c r="AK123">
        <f>AJ123*AL123</f>
        <v>0</v>
      </c>
      <c r="AL123">
        <f>($B$11*$D$9+$C$11*$D$9+$D$11*(BU123*$E$9+BV123*$G$9))/($B$11+$C$11+$D$11)</f>
        <v>0</v>
      </c>
      <c r="AM123">
        <f>($B$11*$K$9+$C$11*$K$9+$D$11*(BU123*$L$9+BV123*$N$9))/($B$11+$C$11+$D$11)</f>
        <v>0</v>
      </c>
      <c r="AN123">
        <v>3</v>
      </c>
      <c r="AO123">
        <v>0.5</v>
      </c>
      <c r="AP123" t="s">
        <v>331</v>
      </c>
      <c r="AQ123">
        <v>2</v>
      </c>
      <c r="AR123">
        <v>1773202453</v>
      </c>
      <c r="AS123">
        <v>424.4261612903226</v>
      </c>
      <c r="AT123">
        <v>422.3221290322581</v>
      </c>
      <c r="AU123">
        <v>11.15584516129032</v>
      </c>
      <c r="AV123">
        <v>10.93098709677419</v>
      </c>
      <c r="AW123">
        <v>418.1948387096775</v>
      </c>
      <c r="AX123">
        <v>11.07525806451613</v>
      </c>
      <c r="AY123">
        <v>500.0043548387097</v>
      </c>
      <c r="AZ123">
        <v>100.1625806451613</v>
      </c>
      <c r="BA123">
        <v>0.04548675806451612</v>
      </c>
      <c r="BB123">
        <v>30.78963870967742</v>
      </c>
      <c r="BC123">
        <v>31.0112</v>
      </c>
      <c r="BD123">
        <v>999.9000000000003</v>
      </c>
      <c r="BE123">
        <v>0</v>
      </c>
      <c r="BF123">
        <v>0</v>
      </c>
      <c r="BG123">
        <v>5003.532258064516</v>
      </c>
      <c r="BH123">
        <v>1.136186129032258</v>
      </c>
      <c r="BI123">
        <v>2160.498387096774</v>
      </c>
      <c r="BJ123">
        <v>2.103997741935484</v>
      </c>
      <c r="BK123">
        <v>429.2144193548388</v>
      </c>
      <c r="BL123">
        <v>426.9895806451613</v>
      </c>
      <c r="BM123">
        <v>0.2248657419354839</v>
      </c>
      <c r="BN123">
        <v>422.3221290322581</v>
      </c>
      <c r="BO123">
        <v>10.93098709677419</v>
      </c>
      <c r="BP123">
        <v>1.117398709677419</v>
      </c>
      <c r="BQ123">
        <v>1.094875483870968</v>
      </c>
      <c r="BR123">
        <v>8.544296451612905</v>
      </c>
      <c r="BS123">
        <v>8.24406806451613</v>
      </c>
      <c r="BT123">
        <v>0</v>
      </c>
      <c r="BU123">
        <v>0</v>
      </c>
      <c r="BV123">
        <v>0</v>
      </c>
      <c r="BW123">
        <v>35</v>
      </c>
      <c r="BX123">
        <v>52</v>
      </c>
      <c r="BY123">
        <v>1773196010</v>
      </c>
      <c r="BZ123" t="s">
        <v>332</v>
      </c>
      <c r="CA123">
        <v>1773196010</v>
      </c>
      <c r="CB123">
        <v>1773196005.5</v>
      </c>
      <c r="CC123">
        <v>2</v>
      </c>
      <c r="CD123">
        <v>-0.279</v>
      </c>
      <c r="CE123">
        <v>-0.021</v>
      </c>
      <c r="CF123">
        <v>6.231</v>
      </c>
      <c r="CG123">
        <v>0.081</v>
      </c>
      <c r="CH123">
        <v>432</v>
      </c>
      <c r="CI123">
        <v>21</v>
      </c>
      <c r="CJ123">
        <v>0.03</v>
      </c>
      <c r="CK123">
        <v>0.06</v>
      </c>
      <c r="CL123">
        <v>422.3274333333333</v>
      </c>
      <c r="CM123">
        <v>-1.015074527251831</v>
      </c>
      <c r="CN123">
        <v>0.07728893121844609</v>
      </c>
      <c r="CO123">
        <v>-1</v>
      </c>
      <c r="CP123">
        <v>500.0042666666667</v>
      </c>
      <c r="CQ123">
        <v>0.2109010011123278</v>
      </c>
      <c r="CR123">
        <v>0.02697027169969351</v>
      </c>
      <c r="CS123">
        <v>-1</v>
      </c>
      <c r="CT123">
        <v>0</v>
      </c>
      <c r="CU123">
        <v>0</v>
      </c>
      <c r="CV123" t="s">
        <v>333</v>
      </c>
      <c r="CW123">
        <v>3.17081</v>
      </c>
      <c r="CX123">
        <v>2.66674</v>
      </c>
      <c r="CY123">
        <v>0.09942380000000001</v>
      </c>
      <c r="CZ123">
        <v>0.100194</v>
      </c>
      <c r="DA123">
        <v>0.0632762</v>
      </c>
      <c r="DB123">
        <v>0.0623806</v>
      </c>
      <c r="DC123">
        <v>21322.5</v>
      </c>
      <c r="DD123">
        <v>21889.3</v>
      </c>
      <c r="DE123">
        <v>22827.7</v>
      </c>
      <c r="DF123">
        <v>22272.6</v>
      </c>
      <c r="DG123">
        <v>32338</v>
      </c>
      <c r="DH123">
        <v>29418.6</v>
      </c>
      <c r="DI123">
        <v>40179.7</v>
      </c>
      <c r="DJ123">
        <v>36840.4</v>
      </c>
      <c r="DK123">
        <v>2.02618</v>
      </c>
      <c r="DL123">
        <v>1.49992</v>
      </c>
      <c r="DM123">
        <v>-0.0732541</v>
      </c>
      <c r="DN123">
        <v>0</v>
      </c>
      <c r="DO123">
        <v>32.2037</v>
      </c>
      <c r="DP123">
        <v>999.9</v>
      </c>
      <c r="DQ123">
        <v>23.4</v>
      </c>
      <c r="DR123">
        <v>45.4</v>
      </c>
      <c r="DS123">
        <v>22.9854</v>
      </c>
      <c r="DT123">
        <v>30.0691</v>
      </c>
      <c r="DU123">
        <v>14.2829</v>
      </c>
      <c r="DV123">
        <v>1</v>
      </c>
      <c r="DW123">
        <v>0.886055</v>
      </c>
      <c r="DX123">
        <v>3.73981</v>
      </c>
      <c r="DY123">
        <v>20.313</v>
      </c>
      <c r="DZ123">
        <v>5.2107</v>
      </c>
      <c r="EA123">
        <v>11.8564</v>
      </c>
      <c r="EB123">
        <v>4.96744</v>
      </c>
      <c r="EC123">
        <v>3.293</v>
      </c>
      <c r="ED123">
        <v>879.4</v>
      </c>
      <c r="EE123">
        <v>9999</v>
      </c>
      <c r="EF123">
        <v>9999</v>
      </c>
      <c r="EG123">
        <v>77.8</v>
      </c>
      <c r="EH123">
        <v>4.97157</v>
      </c>
      <c r="EI123">
        <v>1.8721</v>
      </c>
      <c r="EJ123">
        <v>1.86949</v>
      </c>
      <c r="EK123">
        <v>1.8718</v>
      </c>
      <c r="EL123">
        <v>1.86959</v>
      </c>
      <c r="EM123">
        <v>1.86842</v>
      </c>
      <c r="EN123">
        <v>1.87021</v>
      </c>
      <c r="EO123">
        <v>1.87195</v>
      </c>
      <c r="EP123">
        <v>0</v>
      </c>
      <c r="EQ123">
        <v>0</v>
      </c>
      <c r="ER123">
        <v>0</v>
      </c>
      <c r="ES123">
        <v>0</v>
      </c>
      <c r="ET123" t="s">
        <v>334</v>
      </c>
      <c r="EU123" t="s">
        <v>335</v>
      </c>
      <c r="EV123" t="s">
        <v>336</v>
      </c>
      <c r="EW123" t="s">
        <v>336</v>
      </c>
      <c r="EX123" t="s">
        <v>336</v>
      </c>
      <c r="EY123" t="s">
        <v>336</v>
      </c>
      <c r="EZ123">
        <v>0</v>
      </c>
      <c r="FA123">
        <v>100</v>
      </c>
      <c r="FB123">
        <v>100</v>
      </c>
      <c r="FC123">
        <v>6.231</v>
      </c>
      <c r="FD123">
        <v>0.0806</v>
      </c>
      <c r="FE123">
        <v>6.23135000000002</v>
      </c>
      <c r="FF123">
        <v>0</v>
      </c>
      <c r="FG123">
        <v>0</v>
      </c>
      <c r="FH123">
        <v>0</v>
      </c>
      <c r="FI123">
        <v>0.08059047619047632</v>
      </c>
      <c r="FJ123">
        <v>0</v>
      </c>
      <c r="FK123">
        <v>0</v>
      </c>
      <c r="FL123">
        <v>0</v>
      </c>
      <c r="FM123">
        <v>-1</v>
      </c>
      <c r="FN123">
        <v>-1</v>
      </c>
      <c r="FO123">
        <v>-1</v>
      </c>
      <c r="FP123">
        <v>-1</v>
      </c>
      <c r="FQ123">
        <v>107.5</v>
      </c>
      <c r="FR123">
        <v>107.6</v>
      </c>
      <c r="FS123">
        <v>0.141602</v>
      </c>
      <c r="FT123">
        <v>4.99634</v>
      </c>
      <c r="FU123">
        <v>1.5979</v>
      </c>
      <c r="FV123">
        <v>2.10938</v>
      </c>
      <c r="FW123">
        <v>1.54785</v>
      </c>
      <c r="FX123">
        <v>2.48779</v>
      </c>
      <c r="FY123">
        <v>47.0041</v>
      </c>
      <c r="FZ123">
        <v>15.603</v>
      </c>
      <c r="GA123">
        <v>3</v>
      </c>
      <c r="GB123">
        <v>519.8150000000001</v>
      </c>
      <c r="GC123">
        <v>290.386</v>
      </c>
      <c r="GD123">
        <v>27.6373</v>
      </c>
      <c r="GE123">
        <v>37.8503</v>
      </c>
      <c r="GF123">
        <v>30.0001</v>
      </c>
      <c r="GG123">
        <v>37.7423</v>
      </c>
      <c r="GH123">
        <v>37.7333</v>
      </c>
      <c r="GI123">
        <v>-1</v>
      </c>
      <c r="GJ123">
        <v>100</v>
      </c>
      <c r="GK123">
        <v>0</v>
      </c>
      <c r="GL123">
        <v>27.64</v>
      </c>
      <c r="GM123">
        <v>1200</v>
      </c>
      <c r="GN123">
        <v>19.4378</v>
      </c>
      <c r="GO123">
        <v>101.083</v>
      </c>
      <c r="GP123">
        <v>96.20010000000001</v>
      </c>
    </row>
    <row r="124" spans="1:198">
      <c r="A124">
        <v>108</v>
      </c>
      <c r="B124">
        <v>1773202521</v>
      </c>
      <c r="C124">
        <v>6421</v>
      </c>
      <c r="D124" t="s">
        <v>549</v>
      </c>
      <c r="E124" t="s">
        <v>550</v>
      </c>
      <c r="F124">
        <v>15</v>
      </c>
      <c r="G124">
        <v>1773202513</v>
      </c>
      <c r="H124">
        <f>(I124)/1000</f>
        <v>0</v>
      </c>
      <c r="I124">
        <f>1000*AY124*AG124*(AU124-AV124)/(100*AN124*(1000-AG124*AU124))</f>
        <v>0</v>
      </c>
      <c r="J124">
        <f>AY124*AG124*(AT124-AS124*(1000-AG124*AV124)/(1000-AG124*AU124))/(100*AN124)</f>
        <v>0</v>
      </c>
      <c r="K124">
        <f>AS124 - IF(AG124&gt;1, J124*AN124*100.0/(AI124), 0)</f>
        <v>0</v>
      </c>
      <c r="L124">
        <f>((R124-H124/2)*K124-J124)/(R124+H124/2)</f>
        <v>0</v>
      </c>
      <c r="M124">
        <f>L124*(AZ124+BA124)/1000.0</f>
        <v>0</v>
      </c>
      <c r="N124">
        <f>(AS124 - IF(AG124&gt;1, J124*AN124*100.0/(AI124), 0))*(AZ124+BA124)/1000.0</f>
        <v>0</v>
      </c>
      <c r="O124">
        <f>2.0/((1/Q124-1/P124)+SIGN(Q124)*SQRT((1/Q124-1/P124)*(1/Q124-1/P124) + 4*AO124/((AO124+1)*(AO124+1))*(2*1/Q124*1/P124-1/P124*1/P124)))</f>
        <v>0</v>
      </c>
      <c r="P124">
        <f>IF(LEFT(AP124,1)&lt;&gt;"0",IF(LEFT(AP124,1)="1",3.0,AQ124),$D$5+$E$5*(BG124*AZ124/($K$5*1000))+$F$5*(BG124*AZ124/($K$5*1000))*MAX(MIN(AN124,$J$5),$I$5)*MAX(MIN(AN124,$J$5),$I$5)+$G$5*MAX(MIN(AN124,$J$5),$I$5)*(BG124*AZ124/($K$5*1000))+$H$5*(BG124*AZ124/($K$5*1000))*(BG124*AZ124/($K$5*1000)))</f>
        <v>0</v>
      </c>
      <c r="Q124">
        <f>H124*(1000-(1000*0.61365*exp(17.502*U124/(240.97+U124))/(AZ124+BA124)+AU124)/2)/(1000*0.61365*exp(17.502*U124/(240.97+U124))/(AZ124+BA124)-AU124)</f>
        <v>0</v>
      </c>
      <c r="R124">
        <f>1/((AO124+1)/(O124/1.6)+1/(P124/1.37)) + AO124/((AO124+1)/(O124/1.6) + AO124/(P124/1.37))</f>
        <v>0</v>
      </c>
      <c r="S124">
        <f>(AJ124*AM124)</f>
        <v>0</v>
      </c>
      <c r="T124">
        <f>(BB124+(S124+2*0.95*5.67E-8*(((BB124+$B$7)+273)^4-(BB124+273)^4)-44100*H124)/(1.84*29.3*P124+8*0.95*5.67E-8*(BB124+273)^3))</f>
        <v>0</v>
      </c>
      <c r="U124">
        <f>($C$7*BC124+$D$7*BD124+$E$7*T124)</f>
        <v>0</v>
      </c>
      <c r="V124">
        <f>0.61365*exp(17.502*U124/(240.97+U124))</f>
        <v>0</v>
      </c>
      <c r="W124">
        <f>(X124/Y124*100)</f>
        <v>0</v>
      </c>
      <c r="X124">
        <f>AU124*(AZ124+BA124)/1000</f>
        <v>0</v>
      </c>
      <c r="Y124">
        <f>0.61365*exp(17.502*BB124/(240.97+BB124))</f>
        <v>0</v>
      </c>
      <c r="Z124">
        <f>(V124-AU124*(AZ124+BA124)/1000)</f>
        <v>0</v>
      </c>
      <c r="AA124">
        <f>(-H124*44100)</f>
        <v>0</v>
      </c>
      <c r="AB124">
        <f>2*29.3*P124*0.92*(BB124-U124)</f>
        <v>0</v>
      </c>
      <c r="AC124">
        <f>2*0.95*5.67E-8*(((BB124+$B$7)+273)^4-(U124+273)^4)</f>
        <v>0</v>
      </c>
      <c r="AD124">
        <f>S124+AC124+AA124+AB124</f>
        <v>0</v>
      </c>
      <c r="AE124">
        <v>0</v>
      </c>
      <c r="AF124">
        <v>0</v>
      </c>
      <c r="AG124">
        <f>IF(AE124*$H$13&gt;=AI124,1.0,(AI124/(AI124-AE124*$H$13)))</f>
        <v>0</v>
      </c>
      <c r="AH124">
        <f>(AG124-1)*100</f>
        <v>0</v>
      </c>
      <c r="AI124">
        <f>MAX(0,($B$13+$C$13*BG124)/(1+$D$13*BG124)*AZ124/(BB124+273)*$E$13)</f>
        <v>0</v>
      </c>
      <c r="AJ124">
        <f>$B$11*BH124+$C$11*BI124+$D$11*BT124</f>
        <v>0</v>
      </c>
      <c r="AK124">
        <f>AJ124*AL124</f>
        <v>0</v>
      </c>
      <c r="AL124">
        <f>($B$11*$D$9+$C$11*$D$9+$D$11*(BU124*$E$9+BV124*$G$9))/($B$11+$C$11+$D$11)</f>
        <v>0</v>
      </c>
      <c r="AM124">
        <f>($B$11*$K$9+$C$11*$K$9+$D$11*(BU124*$L$9+BV124*$N$9))/($B$11+$C$11+$D$11)</f>
        <v>0</v>
      </c>
      <c r="AN124">
        <v>3</v>
      </c>
      <c r="AO124">
        <v>0.5</v>
      </c>
      <c r="AP124" t="s">
        <v>331</v>
      </c>
      <c r="AQ124">
        <v>2</v>
      </c>
      <c r="AR124">
        <v>1773202513</v>
      </c>
      <c r="AS124">
        <v>424.169129032258</v>
      </c>
      <c r="AT124">
        <v>422.173806451613</v>
      </c>
      <c r="AU124">
        <v>11.16072258064516</v>
      </c>
      <c r="AV124">
        <v>10.94987419354839</v>
      </c>
      <c r="AW124">
        <v>417.9377741935484</v>
      </c>
      <c r="AX124">
        <v>11.08012903225806</v>
      </c>
      <c r="AY124">
        <v>499.8759032258064</v>
      </c>
      <c r="AZ124">
        <v>100.1583225806452</v>
      </c>
      <c r="BA124">
        <v>0.04631726774193549</v>
      </c>
      <c r="BB124">
        <v>30.82064516129033</v>
      </c>
      <c r="BC124">
        <v>31.05868387096774</v>
      </c>
      <c r="BD124">
        <v>999.9000000000003</v>
      </c>
      <c r="BE124">
        <v>0</v>
      </c>
      <c r="BF124">
        <v>0</v>
      </c>
      <c r="BG124">
        <v>4995.225806451613</v>
      </c>
      <c r="BH124">
        <v>1.135200967741936</v>
      </c>
      <c r="BI124">
        <v>2182.554838709677</v>
      </c>
      <c r="BJ124">
        <v>1.99532</v>
      </c>
      <c r="BK124">
        <v>428.9565806451613</v>
      </c>
      <c r="BL124">
        <v>426.8477096774194</v>
      </c>
      <c r="BM124">
        <v>0.2108570322580645</v>
      </c>
      <c r="BN124">
        <v>422.173806451613</v>
      </c>
      <c r="BO124">
        <v>10.94987419354839</v>
      </c>
      <c r="BP124">
        <v>1.11784</v>
      </c>
      <c r="BQ124">
        <v>1.09671935483871</v>
      </c>
      <c r="BR124">
        <v>8.550119999999998</v>
      </c>
      <c r="BS124">
        <v>8.268863225806452</v>
      </c>
      <c r="BT124">
        <v>0</v>
      </c>
      <c r="BU124">
        <v>0</v>
      </c>
      <c r="BV124">
        <v>0</v>
      </c>
      <c r="BW124">
        <v>35</v>
      </c>
      <c r="BX124">
        <v>52.3817193548387</v>
      </c>
      <c r="BY124">
        <v>1773196010</v>
      </c>
      <c r="BZ124" t="s">
        <v>332</v>
      </c>
      <c r="CA124">
        <v>1773196010</v>
      </c>
      <c r="CB124">
        <v>1773196005.5</v>
      </c>
      <c r="CC124">
        <v>2</v>
      </c>
      <c r="CD124">
        <v>-0.279</v>
      </c>
      <c r="CE124">
        <v>-0.021</v>
      </c>
      <c r="CF124">
        <v>6.231</v>
      </c>
      <c r="CG124">
        <v>0.081</v>
      </c>
      <c r="CH124">
        <v>432</v>
      </c>
      <c r="CI124">
        <v>21</v>
      </c>
      <c r="CJ124">
        <v>0.03</v>
      </c>
      <c r="CK124">
        <v>0.06</v>
      </c>
      <c r="CL124">
        <v>422.1694333333334</v>
      </c>
      <c r="CM124">
        <v>0.6076351501669166</v>
      </c>
      <c r="CN124">
        <v>0.05523325286656511</v>
      </c>
      <c r="CO124">
        <v>-1</v>
      </c>
      <c r="CP124">
        <v>499.8664</v>
      </c>
      <c r="CQ124">
        <v>2.581962180202103</v>
      </c>
      <c r="CR124">
        <v>0.2398771352171792</v>
      </c>
      <c r="CS124">
        <v>-1</v>
      </c>
      <c r="CT124">
        <v>0</v>
      </c>
      <c r="CU124">
        <v>0</v>
      </c>
      <c r="CV124" t="s">
        <v>333</v>
      </c>
      <c r="CW124">
        <v>3.17106</v>
      </c>
      <c r="CX124">
        <v>2.66889</v>
      </c>
      <c r="CY124">
        <v>0.0993943</v>
      </c>
      <c r="CZ124">
        <v>0.100216</v>
      </c>
      <c r="DA124">
        <v>0.0633518</v>
      </c>
      <c r="DB124">
        <v>0.0625151</v>
      </c>
      <c r="DC124">
        <v>21322.4</v>
      </c>
      <c r="DD124">
        <v>21887.7</v>
      </c>
      <c r="DE124">
        <v>22826.9</v>
      </c>
      <c r="DF124">
        <v>22271.7</v>
      </c>
      <c r="DG124">
        <v>32334.2</v>
      </c>
      <c r="DH124">
        <v>29412.8</v>
      </c>
      <c r="DI124">
        <v>40178.3</v>
      </c>
      <c r="DJ124">
        <v>36838.5</v>
      </c>
      <c r="DK124">
        <v>2.02612</v>
      </c>
      <c r="DL124">
        <v>1.49656</v>
      </c>
      <c r="DM124">
        <v>-0.06983880000000001</v>
      </c>
      <c r="DN124">
        <v>0</v>
      </c>
      <c r="DO124">
        <v>32.2201</v>
      </c>
      <c r="DP124">
        <v>999.9</v>
      </c>
      <c r="DQ124">
        <v>23.4</v>
      </c>
      <c r="DR124">
        <v>45.4</v>
      </c>
      <c r="DS124">
        <v>22.9855</v>
      </c>
      <c r="DT124">
        <v>30.0991</v>
      </c>
      <c r="DU124">
        <v>14.4752</v>
      </c>
      <c r="DV124">
        <v>1</v>
      </c>
      <c r="DW124">
        <v>0.889606</v>
      </c>
      <c r="DX124">
        <v>4.0536</v>
      </c>
      <c r="DY124">
        <v>20.3035</v>
      </c>
      <c r="DZ124">
        <v>5.21082</v>
      </c>
      <c r="EA124">
        <v>11.8559</v>
      </c>
      <c r="EB124">
        <v>4.96756</v>
      </c>
      <c r="EC124">
        <v>3.29296</v>
      </c>
      <c r="ED124">
        <v>879.4</v>
      </c>
      <c r="EE124">
        <v>9999</v>
      </c>
      <c r="EF124">
        <v>9999</v>
      </c>
      <c r="EG124">
        <v>77.8</v>
      </c>
      <c r="EH124">
        <v>4.97158</v>
      </c>
      <c r="EI124">
        <v>1.8721</v>
      </c>
      <c r="EJ124">
        <v>1.8695</v>
      </c>
      <c r="EK124">
        <v>1.8718</v>
      </c>
      <c r="EL124">
        <v>1.86959</v>
      </c>
      <c r="EM124">
        <v>1.86839</v>
      </c>
      <c r="EN124">
        <v>1.87016</v>
      </c>
      <c r="EO124">
        <v>1.87195</v>
      </c>
      <c r="EP124">
        <v>0</v>
      </c>
      <c r="EQ124">
        <v>0</v>
      </c>
      <c r="ER124">
        <v>0</v>
      </c>
      <c r="ES124">
        <v>0</v>
      </c>
      <c r="ET124" t="s">
        <v>334</v>
      </c>
      <c r="EU124" t="s">
        <v>335</v>
      </c>
      <c r="EV124" t="s">
        <v>336</v>
      </c>
      <c r="EW124" t="s">
        <v>336</v>
      </c>
      <c r="EX124" t="s">
        <v>336</v>
      </c>
      <c r="EY124" t="s">
        <v>336</v>
      </c>
      <c r="EZ124">
        <v>0</v>
      </c>
      <c r="FA124">
        <v>100</v>
      </c>
      <c r="FB124">
        <v>100</v>
      </c>
      <c r="FC124">
        <v>6.232</v>
      </c>
      <c r="FD124">
        <v>0.0806</v>
      </c>
      <c r="FE124">
        <v>6.23135000000002</v>
      </c>
      <c r="FF124">
        <v>0</v>
      </c>
      <c r="FG124">
        <v>0</v>
      </c>
      <c r="FH124">
        <v>0</v>
      </c>
      <c r="FI124">
        <v>0.08059047619047632</v>
      </c>
      <c r="FJ124">
        <v>0</v>
      </c>
      <c r="FK124">
        <v>0</v>
      </c>
      <c r="FL124">
        <v>0</v>
      </c>
      <c r="FM124">
        <v>-1</v>
      </c>
      <c r="FN124">
        <v>-1</v>
      </c>
      <c r="FO124">
        <v>-1</v>
      </c>
      <c r="FP124">
        <v>-1</v>
      </c>
      <c r="FQ124">
        <v>108.5</v>
      </c>
      <c r="FR124">
        <v>108.6</v>
      </c>
      <c r="FS124">
        <v>0.141602</v>
      </c>
      <c r="FT124">
        <v>4.99756</v>
      </c>
      <c r="FU124">
        <v>1.5979</v>
      </c>
      <c r="FV124">
        <v>2.10815</v>
      </c>
      <c r="FW124">
        <v>1.54785</v>
      </c>
      <c r="FX124">
        <v>2.49023</v>
      </c>
      <c r="FY124">
        <v>47.0337</v>
      </c>
      <c r="FZ124">
        <v>15.5855</v>
      </c>
      <c r="GA124">
        <v>3</v>
      </c>
      <c r="GB124">
        <v>519.936</v>
      </c>
      <c r="GC124">
        <v>288.9</v>
      </c>
      <c r="GD124">
        <v>27.6712</v>
      </c>
      <c r="GE124">
        <v>37.8687</v>
      </c>
      <c r="GF124">
        <v>30.0014</v>
      </c>
      <c r="GG124">
        <v>37.7638</v>
      </c>
      <c r="GH124">
        <v>37.7547</v>
      </c>
      <c r="GI124">
        <v>-1</v>
      </c>
      <c r="GJ124">
        <v>100</v>
      </c>
      <c r="GK124">
        <v>0</v>
      </c>
      <c r="GL124">
        <v>27.644</v>
      </c>
      <c r="GM124">
        <v>1200</v>
      </c>
      <c r="GN124">
        <v>19.4378</v>
      </c>
      <c r="GO124">
        <v>101.079</v>
      </c>
      <c r="GP124">
        <v>96.19540000000001</v>
      </c>
    </row>
    <row r="125" spans="1:198">
      <c r="A125">
        <v>109</v>
      </c>
      <c r="B125">
        <v>1773202581</v>
      </c>
      <c r="C125">
        <v>6481</v>
      </c>
      <c r="D125" t="s">
        <v>551</v>
      </c>
      <c r="E125" t="s">
        <v>552</v>
      </c>
      <c r="F125">
        <v>15</v>
      </c>
      <c r="G125">
        <v>1773202573</v>
      </c>
      <c r="H125">
        <f>(I125)/1000</f>
        <v>0</v>
      </c>
      <c r="I125">
        <f>1000*AY125*AG125*(AU125-AV125)/(100*AN125*(1000-AG125*AU125))</f>
        <v>0</v>
      </c>
      <c r="J125">
        <f>AY125*AG125*(AT125-AS125*(1000-AG125*AV125)/(1000-AG125*AU125))/(100*AN125)</f>
        <v>0</v>
      </c>
      <c r="K125">
        <f>AS125 - IF(AG125&gt;1, J125*AN125*100.0/(AI125), 0)</f>
        <v>0</v>
      </c>
      <c r="L125">
        <f>((R125-H125/2)*K125-J125)/(R125+H125/2)</f>
        <v>0</v>
      </c>
      <c r="M125">
        <f>L125*(AZ125+BA125)/1000.0</f>
        <v>0</v>
      </c>
      <c r="N125">
        <f>(AS125 - IF(AG125&gt;1, J125*AN125*100.0/(AI125), 0))*(AZ125+BA125)/1000.0</f>
        <v>0</v>
      </c>
      <c r="O125">
        <f>2.0/((1/Q125-1/P125)+SIGN(Q125)*SQRT((1/Q125-1/P125)*(1/Q125-1/P125) + 4*AO125/((AO125+1)*(AO125+1))*(2*1/Q125*1/P125-1/P125*1/P125)))</f>
        <v>0</v>
      </c>
      <c r="P125">
        <f>IF(LEFT(AP125,1)&lt;&gt;"0",IF(LEFT(AP125,1)="1",3.0,AQ125),$D$5+$E$5*(BG125*AZ125/($K$5*1000))+$F$5*(BG125*AZ125/($K$5*1000))*MAX(MIN(AN125,$J$5),$I$5)*MAX(MIN(AN125,$J$5),$I$5)+$G$5*MAX(MIN(AN125,$J$5),$I$5)*(BG125*AZ125/($K$5*1000))+$H$5*(BG125*AZ125/($K$5*1000))*(BG125*AZ125/($K$5*1000)))</f>
        <v>0</v>
      </c>
      <c r="Q125">
        <f>H125*(1000-(1000*0.61365*exp(17.502*U125/(240.97+U125))/(AZ125+BA125)+AU125)/2)/(1000*0.61365*exp(17.502*U125/(240.97+U125))/(AZ125+BA125)-AU125)</f>
        <v>0</v>
      </c>
      <c r="R125">
        <f>1/((AO125+1)/(O125/1.6)+1/(P125/1.37)) + AO125/((AO125+1)/(O125/1.6) + AO125/(P125/1.37))</f>
        <v>0</v>
      </c>
      <c r="S125">
        <f>(AJ125*AM125)</f>
        <v>0</v>
      </c>
      <c r="T125">
        <f>(BB125+(S125+2*0.95*5.67E-8*(((BB125+$B$7)+273)^4-(BB125+273)^4)-44100*H125)/(1.84*29.3*P125+8*0.95*5.67E-8*(BB125+273)^3))</f>
        <v>0</v>
      </c>
      <c r="U125">
        <f>($C$7*BC125+$D$7*BD125+$E$7*T125)</f>
        <v>0</v>
      </c>
      <c r="V125">
        <f>0.61365*exp(17.502*U125/(240.97+U125))</f>
        <v>0</v>
      </c>
      <c r="W125">
        <f>(X125/Y125*100)</f>
        <v>0</v>
      </c>
      <c r="X125">
        <f>AU125*(AZ125+BA125)/1000</f>
        <v>0</v>
      </c>
      <c r="Y125">
        <f>0.61365*exp(17.502*BB125/(240.97+BB125))</f>
        <v>0</v>
      </c>
      <c r="Z125">
        <f>(V125-AU125*(AZ125+BA125)/1000)</f>
        <v>0</v>
      </c>
      <c r="AA125">
        <f>(-H125*44100)</f>
        <v>0</v>
      </c>
      <c r="AB125">
        <f>2*29.3*P125*0.92*(BB125-U125)</f>
        <v>0</v>
      </c>
      <c r="AC125">
        <f>2*0.95*5.67E-8*(((BB125+$B$7)+273)^4-(U125+273)^4)</f>
        <v>0</v>
      </c>
      <c r="AD125">
        <f>S125+AC125+AA125+AB125</f>
        <v>0</v>
      </c>
      <c r="AE125">
        <v>0</v>
      </c>
      <c r="AF125">
        <v>0</v>
      </c>
      <c r="AG125">
        <f>IF(AE125*$H$13&gt;=AI125,1.0,(AI125/(AI125-AE125*$H$13)))</f>
        <v>0</v>
      </c>
      <c r="AH125">
        <f>(AG125-1)*100</f>
        <v>0</v>
      </c>
      <c r="AI125">
        <f>MAX(0,($B$13+$C$13*BG125)/(1+$D$13*BG125)*AZ125/(BB125+273)*$E$13)</f>
        <v>0</v>
      </c>
      <c r="AJ125">
        <f>$B$11*BH125+$C$11*BI125+$D$11*BT125</f>
        <v>0</v>
      </c>
      <c r="AK125">
        <f>AJ125*AL125</f>
        <v>0</v>
      </c>
      <c r="AL125">
        <f>($B$11*$D$9+$C$11*$D$9+$D$11*(BU125*$E$9+BV125*$G$9))/($B$11+$C$11+$D$11)</f>
        <v>0</v>
      </c>
      <c r="AM125">
        <f>($B$11*$K$9+$C$11*$K$9+$D$11*(BU125*$L$9+BV125*$N$9))/($B$11+$C$11+$D$11)</f>
        <v>0</v>
      </c>
      <c r="AN125">
        <v>3</v>
      </c>
      <c r="AO125">
        <v>0.5</v>
      </c>
      <c r="AP125" t="s">
        <v>331</v>
      </c>
      <c r="AQ125">
        <v>2</v>
      </c>
      <c r="AR125">
        <v>1773202573</v>
      </c>
      <c r="AS125">
        <v>424.2986451612904</v>
      </c>
      <c r="AT125">
        <v>422.2081290322581</v>
      </c>
      <c r="AU125">
        <v>11.16957741935484</v>
      </c>
      <c r="AV125">
        <v>10.9603</v>
      </c>
      <c r="AW125">
        <v>418.0672903225806</v>
      </c>
      <c r="AX125">
        <v>11.08898709677419</v>
      </c>
      <c r="AY125">
        <v>499.8584516129032</v>
      </c>
      <c r="AZ125">
        <v>100.159</v>
      </c>
      <c r="BA125">
        <v>0.04584796451612903</v>
      </c>
      <c r="BB125">
        <v>30.80105806451613</v>
      </c>
      <c r="BC125">
        <v>31.02509354838709</v>
      </c>
      <c r="BD125">
        <v>999.9000000000003</v>
      </c>
      <c r="BE125">
        <v>0</v>
      </c>
      <c r="BF125">
        <v>0</v>
      </c>
      <c r="BG125">
        <v>5008.16129032258</v>
      </c>
      <c r="BH125">
        <v>1.147007096774193</v>
      </c>
      <c r="BI125">
        <v>2196.937741935484</v>
      </c>
      <c r="BJ125">
        <v>2.090540967741936</v>
      </c>
      <c r="BK125">
        <v>429.0913870967742</v>
      </c>
      <c r="BL125">
        <v>426.8868709677419</v>
      </c>
      <c r="BM125">
        <v>0.2092794516129032</v>
      </c>
      <c r="BN125">
        <v>422.2081290322581</v>
      </c>
      <c r="BO125">
        <v>10.9603</v>
      </c>
      <c r="BP125">
        <v>1.118734516129033</v>
      </c>
      <c r="BQ125">
        <v>1.097772258064516</v>
      </c>
      <c r="BR125">
        <v>8.561936129032256</v>
      </c>
      <c r="BS125">
        <v>8.282998709677418</v>
      </c>
      <c r="BT125">
        <v>0</v>
      </c>
      <c r="BU125">
        <v>0</v>
      </c>
      <c r="BV125">
        <v>0</v>
      </c>
      <c r="BW125">
        <v>35</v>
      </c>
      <c r="BX125">
        <v>52.90966774193548</v>
      </c>
      <c r="BY125">
        <v>1773196010</v>
      </c>
      <c r="BZ125" t="s">
        <v>332</v>
      </c>
      <c r="CA125">
        <v>1773196010</v>
      </c>
      <c r="CB125">
        <v>1773196005.5</v>
      </c>
      <c r="CC125">
        <v>2</v>
      </c>
      <c r="CD125">
        <v>-0.279</v>
      </c>
      <c r="CE125">
        <v>-0.021</v>
      </c>
      <c r="CF125">
        <v>6.231</v>
      </c>
      <c r="CG125">
        <v>0.081</v>
      </c>
      <c r="CH125">
        <v>432</v>
      </c>
      <c r="CI125">
        <v>21</v>
      </c>
      <c r="CJ125">
        <v>0.03</v>
      </c>
      <c r="CK125">
        <v>0.06</v>
      </c>
      <c r="CL125">
        <v>422.2081666666667</v>
      </c>
      <c r="CM125">
        <v>0.03510567296931407</v>
      </c>
      <c r="CN125">
        <v>0.02542975073063285</v>
      </c>
      <c r="CO125">
        <v>-1</v>
      </c>
      <c r="CP125">
        <v>499.8527666666666</v>
      </c>
      <c r="CQ125">
        <v>-1.026981090100813</v>
      </c>
      <c r="CR125">
        <v>0.1186711656450522</v>
      </c>
      <c r="CS125">
        <v>-1</v>
      </c>
      <c r="CT125">
        <v>0</v>
      </c>
      <c r="CU125">
        <v>0</v>
      </c>
      <c r="CV125" t="s">
        <v>333</v>
      </c>
      <c r="CW125">
        <v>3.17102</v>
      </c>
      <c r="CX125">
        <v>2.66728</v>
      </c>
      <c r="CY125">
        <v>0.09939149999999999</v>
      </c>
      <c r="CZ125">
        <v>0.100185</v>
      </c>
      <c r="DA125">
        <v>0.0633478</v>
      </c>
      <c r="DB125">
        <v>0.0625242</v>
      </c>
      <c r="DC125">
        <v>21322.2</v>
      </c>
      <c r="DD125">
        <v>21889.5</v>
      </c>
      <c r="DE125">
        <v>22826.7</v>
      </c>
      <c r="DF125">
        <v>22272.6</v>
      </c>
      <c r="DG125">
        <v>32334.1</v>
      </c>
      <c r="DH125">
        <v>29414</v>
      </c>
      <c r="DI125">
        <v>40177.9</v>
      </c>
      <c r="DJ125">
        <v>36840.3</v>
      </c>
      <c r="DK125">
        <v>2.0261</v>
      </c>
      <c r="DL125">
        <v>1.49776</v>
      </c>
      <c r="DM125">
        <v>-0.0744581</v>
      </c>
      <c r="DN125">
        <v>0</v>
      </c>
      <c r="DO125">
        <v>32.2259</v>
      </c>
      <c r="DP125">
        <v>999.9</v>
      </c>
      <c r="DQ125">
        <v>23.1</v>
      </c>
      <c r="DR125">
        <v>45.5</v>
      </c>
      <c r="DS125">
        <v>22.813</v>
      </c>
      <c r="DT125">
        <v>30.0691</v>
      </c>
      <c r="DU125">
        <v>14.2468</v>
      </c>
      <c r="DV125">
        <v>1</v>
      </c>
      <c r="DW125">
        <v>0.887661</v>
      </c>
      <c r="DX125">
        <v>3.25366</v>
      </c>
      <c r="DY125">
        <v>20.3252</v>
      </c>
      <c r="DZ125">
        <v>5.21022</v>
      </c>
      <c r="EA125">
        <v>11.8578</v>
      </c>
      <c r="EB125">
        <v>4.96752</v>
      </c>
      <c r="EC125">
        <v>3.29298</v>
      </c>
      <c r="ED125">
        <v>879.4</v>
      </c>
      <c r="EE125">
        <v>9999</v>
      </c>
      <c r="EF125">
        <v>9999</v>
      </c>
      <c r="EG125">
        <v>77.8</v>
      </c>
      <c r="EH125">
        <v>4.97159</v>
      </c>
      <c r="EI125">
        <v>1.8721</v>
      </c>
      <c r="EJ125">
        <v>1.86949</v>
      </c>
      <c r="EK125">
        <v>1.8718</v>
      </c>
      <c r="EL125">
        <v>1.86955</v>
      </c>
      <c r="EM125">
        <v>1.8684</v>
      </c>
      <c r="EN125">
        <v>1.87022</v>
      </c>
      <c r="EO125">
        <v>1.87195</v>
      </c>
      <c r="EP125">
        <v>0</v>
      </c>
      <c r="EQ125">
        <v>0</v>
      </c>
      <c r="ER125">
        <v>0</v>
      </c>
      <c r="ES125">
        <v>0</v>
      </c>
      <c r="ET125" t="s">
        <v>334</v>
      </c>
      <c r="EU125" t="s">
        <v>335</v>
      </c>
      <c r="EV125" t="s">
        <v>336</v>
      </c>
      <c r="EW125" t="s">
        <v>336</v>
      </c>
      <c r="EX125" t="s">
        <v>336</v>
      </c>
      <c r="EY125" t="s">
        <v>336</v>
      </c>
      <c r="EZ125">
        <v>0</v>
      </c>
      <c r="FA125">
        <v>100</v>
      </c>
      <c r="FB125">
        <v>100</v>
      </c>
      <c r="FC125">
        <v>6.231</v>
      </c>
      <c r="FD125">
        <v>0.0806</v>
      </c>
      <c r="FE125">
        <v>6.23135000000002</v>
      </c>
      <c r="FF125">
        <v>0</v>
      </c>
      <c r="FG125">
        <v>0</v>
      </c>
      <c r="FH125">
        <v>0</v>
      </c>
      <c r="FI125">
        <v>0.08059047619047632</v>
      </c>
      <c r="FJ125">
        <v>0</v>
      </c>
      <c r="FK125">
        <v>0</v>
      </c>
      <c r="FL125">
        <v>0</v>
      </c>
      <c r="FM125">
        <v>-1</v>
      </c>
      <c r="FN125">
        <v>-1</v>
      </c>
      <c r="FO125">
        <v>-1</v>
      </c>
      <c r="FP125">
        <v>-1</v>
      </c>
      <c r="FQ125">
        <v>109.5</v>
      </c>
      <c r="FR125">
        <v>109.6</v>
      </c>
      <c r="FS125">
        <v>0.141602</v>
      </c>
      <c r="FT125">
        <v>4.99756</v>
      </c>
      <c r="FU125">
        <v>1.5979</v>
      </c>
      <c r="FV125">
        <v>2.10815</v>
      </c>
      <c r="FW125">
        <v>1.54785</v>
      </c>
      <c r="FX125">
        <v>2.45361</v>
      </c>
      <c r="FY125">
        <v>47.0041</v>
      </c>
      <c r="FZ125">
        <v>15.5855</v>
      </c>
      <c r="GA125">
        <v>3</v>
      </c>
      <c r="GB125">
        <v>519.925</v>
      </c>
      <c r="GC125">
        <v>289.448</v>
      </c>
      <c r="GD125">
        <v>27.2133</v>
      </c>
      <c r="GE125">
        <v>37.8687</v>
      </c>
      <c r="GF125">
        <v>29.9973</v>
      </c>
      <c r="GG125">
        <v>37.7638</v>
      </c>
      <c r="GH125">
        <v>37.7512</v>
      </c>
      <c r="GI125">
        <v>-1</v>
      </c>
      <c r="GJ125">
        <v>100</v>
      </c>
      <c r="GK125">
        <v>0</v>
      </c>
      <c r="GL125">
        <v>27.4181</v>
      </c>
      <c r="GM125">
        <v>1200</v>
      </c>
      <c r="GN125">
        <v>19.4378</v>
      </c>
      <c r="GO125">
        <v>101.078</v>
      </c>
      <c r="GP125">
        <v>96.1999</v>
      </c>
    </row>
    <row r="126" spans="1:198">
      <c r="A126">
        <v>110</v>
      </c>
      <c r="B126">
        <v>1773202641</v>
      </c>
      <c r="C126">
        <v>6541</v>
      </c>
      <c r="D126" t="s">
        <v>553</v>
      </c>
      <c r="E126" t="s">
        <v>554</v>
      </c>
      <c r="F126">
        <v>15</v>
      </c>
      <c r="G126">
        <v>1773202633</v>
      </c>
      <c r="H126">
        <f>(I126)/1000</f>
        <v>0</v>
      </c>
      <c r="I126">
        <f>1000*AY126*AG126*(AU126-AV126)/(100*AN126*(1000-AG126*AU126))</f>
        <v>0</v>
      </c>
      <c r="J126">
        <f>AY126*AG126*(AT126-AS126*(1000-AG126*AV126)/(1000-AG126*AU126))/(100*AN126)</f>
        <v>0</v>
      </c>
      <c r="K126">
        <f>AS126 - IF(AG126&gt;1, J126*AN126*100.0/(AI126), 0)</f>
        <v>0</v>
      </c>
      <c r="L126">
        <f>((R126-H126/2)*K126-J126)/(R126+H126/2)</f>
        <v>0</v>
      </c>
      <c r="M126">
        <f>L126*(AZ126+BA126)/1000.0</f>
        <v>0</v>
      </c>
      <c r="N126">
        <f>(AS126 - IF(AG126&gt;1, J126*AN126*100.0/(AI126), 0))*(AZ126+BA126)/1000.0</f>
        <v>0</v>
      </c>
      <c r="O126">
        <f>2.0/((1/Q126-1/P126)+SIGN(Q126)*SQRT((1/Q126-1/P126)*(1/Q126-1/P126) + 4*AO126/((AO126+1)*(AO126+1))*(2*1/Q126*1/P126-1/P126*1/P126)))</f>
        <v>0</v>
      </c>
      <c r="P126">
        <f>IF(LEFT(AP126,1)&lt;&gt;"0",IF(LEFT(AP126,1)="1",3.0,AQ126),$D$5+$E$5*(BG126*AZ126/($K$5*1000))+$F$5*(BG126*AZ126/($K$5*1000))*MAX(MIN(AN126,$J$5),$I$5)*MAX(MIN(AN126,$J$5),$I$5)+$G$5*MAX(MIN(AN126,$J$5),$I$5)*(BG126*AZ126/($K$5*1000))+$H$5*(BG126*AZ126/($K$5*1000))*(BG126*AZ126/($K$5*1000)))</f>
        <v>0</v>
      </c>
      <c r="Q126">
        <f>H126*(1000-(1000*0.61365*exp(17.502*U126/(240.97+U126))/(AZ126+BA126)+AU126)/2)/(1000*0.61365*exp(17.502*U126/(240.97+U126))/(AZ126+BA126)-AU126)</f>
        <v>0</v>
      </c>
      <c r="R126">
        <f>1/((AO126+1)/(O126/1.6)+1/(P126/1.37)) + AO126/((AO126+1)/(O126/1.6) + AO126/(P126/1.37))</f>
        <v>0</v>
      </c>
      <c r="S126">
        <f>(AJ126*AM126)</f>
        <v>0</v>
      </c>
      <c r="T126">
        <f>(BB126+(S126+2*0.95*5.67E-8*(((BB126+$B$7)+273)^4-(BB126+273)^4)-44100*H126)/(1.84*29.3*P126+8*0.95*5.67E-8*(BB126+273)^3))</f>
        <v>0</v>
      </c>
      <c r="U126">
        <f>($C$7*BC126+$D$7*BD126+$E$7*T126)</f>
        <v>0</v>
      </c>
      <c r="V126">
        <f>0.61365*exp(17.502*U126/(240.97+U126))</f>
        <v>0</v>
      </c>
      <c r="W126">
        <f>(X126/Y126*100)</f>
        <v>0</v>
      </c>
      <c r="X126">
        <f>AU126*(AZ126+BA126)/1000</f>
        <v>0</v>
      </c>
      <c r="Y126">
        <f>0.61365*exp(17.502*BB126/(240.97+BB126))</f>
        <v>0</v>
      </c>
      <c r="Z126">
        <f>(V126-AU126*(AZ126+BA126)/1000)</f>
        <v>0</v>
      </c>
      <c r="AA126">
        <f>(-H126*44100)</f>
        <v>0</v>
      </c>
      <c r="AB126">
        <f>2*29.3*P126*0.92*(BB126-U126)</f>
        <v>0</v>
      </c>
      <c r="AC126">
        <f>2*0.95*5.67E-8*(((BB126+$B$7)+273)^4-(U126+273)^4)</f>
        <v>0</v>
      </c>
      <c r="AD126">
        <f>S126+AC126+AA126+AB126</f>
        <v>0</v>
      </c>
      <c r="AE126">
        <v>0</v>
      </c>
      <c r="AF126">
        <v>0</v>
      </c>
      <c r="AG126">
        <f>IF(AE126*$H$13&gt;=AI126,1.0,(AI126/(AI126-AE126*$H$13)))</f>
        <v>0</v>
      </c>
      <c r="AH126">
        <f>(AG126-1)*100</f>
        <v>0</v>
      </c>
      <c r="AI126">
        <f>MAX(0,($B$13+$C$13*BG126)/(1+$D$13*BG126)*AZ126/(BB126+273)*$E$13)</f>
        <v>0</v>
      </c>
      <c r="AJ126">
        <f>$B$11*BH126+$C$11*BI126+$D$11*BT126</f>
        <v>0</v>
      </c>
      <c r="AK126">
        <f>AJ126*AL126</f>
        <v>0</v>
      </c>
      <c r="AL126">
        <f>($B$11*$D$9+$C$11*$D$9+$D$11*(BU126*$E$9+BV126*$G$9))/($B$11+$C$11+$D$11)</f>
        <v>0</v>
      </c>
      <c r="AM126">
        <f>($B$11*$K$9+$C$11*$K$9+$D$11*(BU126*$L$9+BV126*$N$9))/($B$11+$C$11+$D$11)</f>
        <v>0</v>
      </c>
      <c r="AN126">
        <v>3</v>
      </c>
      <c r="AO126">
        <v>0.5</v>
      </c>
      <c r="AP126" t="s">
        <v>331</v>
      </c>
      <c r="AQ126">
        <v>2</v>
      </c>
      <c r="AR126">
        <v>1773202633</v>
      </c>
      <c r="AS126">
        <v>424.2739677419355</v>
      </c>
      <c r="AT126">
        <v>422.2767096774193</v>
      </c>
      <c r="AU126">
        <v>11.14464516129032</v>
      </c>
      <c r="AV126">
        <v>10.93257096774193</v>
      </c>
      <c r="AW126">
        <v>418.0425161290322</v>
      </c>
      <c r="AX126">
        <v>11.06405483870968</v>
      </c>
      <c r="AY126">
        <v>499.9944193548387</v>
      </c>
      <c r="AZ126">
        <v>100.1608709677419</v>
      </c>
      <c r="BA126">
        <v>0.04554095161290324</v>
      </c>
      <c r="BB126">
        <v>30.78962580645162</v>
      </c>
      <c r="BC126">
        <v>31.01922580645161</v>
      </c>
      <c r="BD126">
        <v>999.9000000000003</v>
      </c>
      <c r="BE126">
        <v>0</v>
      </c>
      <c r="BF126">
        <v>0</v>
      </c>
      <c r="BG126">
        <v>5005.709677419355</v>
      </c>
      <c r="BH126">
        <v>1.148579032258065</v>
      </c>
      <c r="BI126">
        <v>2198.625806451613</v>
      </c>
      <c r="BJ126">
        <v>1.997178064516129</v>
      </c>
      <c r="BK126">
        <v>429.0555483870967</v>
      </c>
      <c r="BL126">
        <v>426.9442903225806</v>
      </c>
      <c r="BM126">
        <v>0.2120660322580645</v>
      </c>
      <c r="BN126">
        <v>422.2767096774193</v>
      </c>
      <c r="BO126">
        <v>10.93257096774193</v>
      </c>
      <c r="BP126">
        <v>1.116256129032258</v>
      </c>
      <c r="BQ126">
        <v>1.095015161290322</v>
      </c>
      <c r="BR126">
        <v>8.529209999999999</v>
      </c>
      <c r="BS126">
        <v>8.245964193548387</v>
      </c>
      <c r="BT126">
        <v>0</v>
      </c>
      <c r="BU126">
        <v>0</v>
      </c>
      <c r="BV126">
        <v>0</v>
      </c>
      <c r="BW126">
        <v>35</v>
      </c>
      <c r="BX126">
        <v>52.8526870967742</v>
      </c>
      <c r="BY126">
        <v>1773196010</v>
      </c>
      <c r="BZ126" t="s">
        <v>332</v>
      </c>
      <c r="CA126">
        <v>1773196010</v>
      </c>
      <c r="CB126">
        <v>1773196005.5</v>
      </c>
      <c r="CC126">
        <v>2</v>
      </c>
      <c r="CD126">
        <v>-0.279</v>
      </c>
      <c r="CE126">
        <v>-0.021</v>
      </c>
      <c r="CF126">
        <v>6.231</v>
      </c>
      <c r="CG126">
        <v>0.081</v>
      </c>
      <c r="CH126">
        <v>432</v>
      </c>
      <c r="CI126">
        <v>21</v>
      </c>
      <c r="CJ126">
        <v>0.03</v>
      </c>
      <c r="CK126">
        <v>0.06</v>
      </c>
      <c r="CL126">
        <v>422.2767096774193</v>
      </c>
      <c r="CM126">
        <v>0.5842258064507198</v>
      </c>
      <c r="CN126">
        <v>0.04463919408192122</v>
      </c>
      <c r="CO126">
        <v>-1</v>
      </c>
      <c r="CP126">
        <v>499.9944193548387</v>
      </c>
      <c r="CQ126">
        <v>0.5930322580624556</v>
      </c>
      <c r="CR126">
        <v>0.08051358298290461</v>
      </c>
      <c r="CS126">
        <v>-1</v>
      </c>
      <c r="CT126">
        <v>0</v>
      </c>
      <c r="CU126">
        <v>0</v>
      </c>
      <c r="CV126" t="s">
        <v>333</v>
      </c>
      <c r="CW126">
        <v>3.17077</v>
      </c>
      <c r="CX126">
        <v>2.66652</v>
      </c>
      <c r="CY126">
        <v>0.099412</v>
      </c>
      <c r="CZ126">
        <v>0.100224</v>
      </c>
      <c r="DA126">
        <v>0.0632421</v>
      </c>
      <c r="DB126">
        <v>0.0624096</v>
      </c>
      <c r="DC126">
        <v>21322.8</v>
      </c>
      <c r="DD126">
        <v>21889.8</v>
      </c>
      <c r="DE126">
        <v>22827.7</v>
      </c>
      <c r="DF126">
        <v>22273.9</v>
      </c>
      <c r="DG126">
        <v>32339</v>
      </c>
      <c r="DH126">
        <v>29419.3</v>
      </c>
      <c r="DI126">
        <v>40179.6</v>
      </c>
      <c r="DJ126">
        <v>36842.4</v>
      </c>
      <c r="DK126">
        <v>2.0264</v>
      </c>
      <c r="DL126">
        <v>1.4998</v>
      </c>
      <c r="DM126">
        <v>-0.0721753</v>
      </c>
      <c r="DN126">
        <v>0</v>
      </c>
      <c r="DO126">
        <v>32.1926</v>
      </c>
      <c r="DP126">
        <v>999.9</v>
      </c>
      <c r="DQ126">
        <v>23.2</v>
      </c>
      <c r="DR126">
        <v>45.5</v>
      </c>
      <c r="DS126">
        <v>22.907</v>
      </c>
      <c r="DT126">
        <v>30.3091</v>
      </c>
      <c r="DU126">
        <v>14.1146</v>
      </c>
      <c r="DV126">
        <v>1</v>
      </c>
      <c r="DW126">
        <v>0.885392</v>
      </c>
      <c r="DX126">
        <v>3.91962</v>
      </c>
      <c r="DY126">
        <v>20.3086</v>
      </c>
      <c r="DZ126">
        <v>5.21034</v>
      </c>
      <c r="EA126">
        <v>11.8572</v>
      </c>
      <c r="EB126">
        <v>4.96752</v>
      </c>
      <c r="EC126">
        <v>3.293</v>
      </c>
      <c r="ED126">
        <v>879.4</v>
      </c>
      <c r="EE126">
        <v>9999</v>
      </c>
      <c r="EF126">
        <v>9999</v>
      </c>
      <c r="EG126">
        <v>77.8</v>
      </c>
      <c r="EH126">
        <v>4.97158</v>
      </c>
      <c r="EI126">
        <v>1.8721</v>
      </c>
      <c r="EJ126">
        <v>1.8695</v>
      </c>
      <c r="EK126">
        <v>1.8718</v>
      </c>
      <c r="EL126">
        <v>1.86954</v>
      </c>
      <c r="EM126">
        <v>1.86838</v>
      </c>
      <c r="EN126">
        <v>1.87024</v>
      </c>
      <c r="EO126">
        <v>1.87195</v>
      </c>
      <c r="EP126">
        <v>0</v>
      </c>
      <c r="EQ126">
        <v>0</v>
      </c>
      <c r="ER126">
        <v>0</v>
      </c>
      <c r="ES126">
        <v>0</v>
      </c>
      <c r="ET126" t="s">
        <v>334</v>
      </c>
      <c r="EU126" t="s">
        <v>335</v>
      </c>
      <c r="EV126" t="s">
        <v>336</v>
      </c>
      <c r="EW126" t="s">
        <v>336</v>
      </c>
      <c r="EX126" t="s">
        <v>336</v>
      </c>
      <c r="EY126" t="s">
        <v>336</v>
      </c>
      <c r="EZ126">
        <v>0</v>
      </c>
      <c r="FA126">
        <v>100</v>
      </c>
      <c r="FB126">
        <v>100</v>
      </c>
      <c r="FC126">
        <v>6.231</v>
      </c>
      <c r="FD126">
        <v>0.0806</v>
      </c>
      <c r="FE126">
        <v>6.23135000000002</v>
      </c>
      <c r="FF126">
        <v>0</v>
      </c>
      <c r="FG126">
        <v>0</v>
      </c>
      <c r="FH126">
        <v>0</v>
      </c>
      <c r="FI126">
        <v>0.08059047619047632</v>
      </c>
      <c r="FJ126">
        <v>0</v>
      </c>
      <c r="FK126">
        <v>0</v>
      </c>
      <c r="FL126">
        <v>0</v>
      </c>
      <c r="FM126">
        <v>-1</v>
      </c>
      <c r="FN126">
        <v>-1</v>
      </c>
      <c r="FO126">
        <v>-1</v>
      </c>
      <c r="FP126">
        <v>-1</v>
      </c>
      <c r="FQ126">
        <v>110.5</v>
      </c>
      <c r="FR126">
        <v>110.6</v>
      </c>
      <c r="FS126">
        <v>0.141602</v>
      </c>
      <c r="FT126">
        <v>4.99756</v>
      </c>
      <c r="FU126">
        <v>1.5979</v>
      </c>
      <c r="FV126">
        <v>2.10815</v>
      </c>
      <c r="FW126">
        <v>1.54785</v>
      </c>
      <c r="FX126">
        <v>2.37549</v>
      </c>
      <c r="FY126">
        <v>46.9448</v>
      </c>
      <c r="FZ126">
        <v>15.5592</v>
      </c>
      <c r="GA126">
        <v>3</v>
      </c>
      <c r="GB126">
        <v>520.004</v>
      </c>
      <c r="GC126">
        <v>290.343</v>
      </c>
      <c r="GD126">
        <v>27.464</v>
      </c>
      <c r="GE126">
        <v>37.8447</v>
      </c>
      <c r="GF126">
        <v>29.9999</v>
      </c>
      <c r="GG126">
        <v>37.7495</v>
      </c>
      <c r="GH126">
        <v>37.7369</v>
      </c>
      <c r="GI126">
        <v>-1</v>
      </c>
      <c r="GJ126">
        <v>100</v>
      </c>
      <c r="GK126">
        <v>0</v>
      </c>
      <c r="GL126">
        <v>27.4683</v>
      </c>
      <c r="GM126">
        <v>1200</v>
      </c>
      <c r="GN126">
        <v>19.4378</v>
      </c>
      <c r="GO126">
        <v>101.083</v>
      </c>
      <c r="GP126">
        <v>96.2054</v>
      </c>
    </row>
    <row r="127" spans="1:198">
      <c r="A127">
        <v>111</v>
      </c>
      <c r="B127">
        <v>1773202701</v>
      </c>
      <c r="C127">
        <v>6601</v>
      </c>
      <c r="D127" t="s">
        <v>555</v>
      </c>
      <c r="E127" t="s">
        <v>556</v>
      </c>
      <c r="F127">
        <v>15</v>
      </c>
      <c r="G127">
        <v>1773202693</v>
      </c>
      <c r="H127">
        <f>(I127)/1000</f>
        <v>0</v>
      </c>
      <c r="I127">
        <f>1000*AY127*AG127*(AU127-AV127)/(100*AN127*(1000-AG127*AU127))</f>
        <v>0</v>
      </c>
      <c r="J127">
        <f>AY127*AG127*(AT127-AS127*(1000-AG127*AV127)/(1000-AG127*AU127))/(100*AN127)</f>
        <v>0</v>
      </c>
      <c r="K127">
        <f>AS127 - IF(AG127&gt;1, J127*AN127*100.0/(AI127), 0)</f>
        <v>0</v>
      </c>
      <c r="L127">
        <f>((R127-H127/2)*K127-J127)/(R127+H127/2)</f>
        <v>0</v>
      </c>
      <c r="M127">
        <f>L127*(AZ127+BA127)/1000.0</f>
        <v>0</v>
      </c>
      <c r="N127">
        <f>(AS127 - IF(AG127&gt;1, J127*AN127*100.0/(AI127), 0))*(AZ127+BA127)/1000.0</f>
        <v>0</v>
      </c>
      <c r="O127">
        <f>2.0/((1/Q127-1/P127)+SIGN(Q127)*SQRT((1/Q127-1/P127)*(1/Q127-1/P127) + 4*AO127/((AO127+1)*(AO127+1))*(2*1/Q127*1/P127-1/P127*1/P127)))</f>
        <v>0</v>
      </c>
      <c r="P127">
        <f>IF(LEFT(AP127,1)&lt;&gt;"0",IF(LEFT(AP127,1)="1",3.0,AQ127),$D$5+$E$5*(BG127*AZ127/($K$5*1000))+$F$5*(BG127*AZ127/($K$5*1000))*MAX(MIN(AN127,$J$5),$I$5)*MAX(MIN(AN127,$J$5),$I$5)+$G$5*MAX(MIN(AN127,$J$5),$I$5)*(BG127*AZ127/($K$5*1000))+$H$5*(BG127*AZ127/($K$5*1000))*(BG127*AZ127/($K$5*1000)))</f>
        <v>0</v>
      </c>
      <c r="Q127">
        <f>H127*(1000-(1000*0.61365*exp(17.502*U127/(240.97+U127))/(AZ127+BA127)+AU127)/2)/(1000*0.61365*exp(17.502*U127/(240.97+U127))/(AZ127+BA127)-AU127)</f>
        <v>0</v>
      </c>
      <c r="R127">
        <f>1/((AO127+1)/(O127/1.6)+1/(P127/1.37)) + AO127/((AO127+1)/(O127/1.6) + AO127/(P127/1.37))</f>
        <v>0</v>
      </c>
      <c r="S127">
        <f>(AJ127*AM127)</f>
        <v>0</v>
      </c>
      <c r="T127">
        <f>(BB127+(S127+2*0.95*5.67E-8*(((BB127+$B$7)+273)^4-(BB127+273)^4)-44100*H127)/(1.84*29.3*P127+8*0.95*5.67E-8*(BB127+273)^3))</f>
        <v>0</v>
      </c>
      <c r="U127">
        <f>($C$7*BC127+$D$7*BD127+$E$7*T127)</f>
        <v>0</v>
      </c>
      <c r="V127">
        <f>0.61365*exp(17.502*U127/(240.97+U127))</f>
        <v>0</v>
      </c>
      <c r="W127">
        <f>(X127/Y127*100)</f>
        <v>0</v>
      </c>
      <c r="X127">
        <f>AU127*(AZ127+BA127)/1000</f>
        <v>0</v>
      </c>
      <c r="Y127">
        <f>0.61365*exp(17.502*BB127/(240.97+BB127))</f>
        <v>0</v>
      </c>
      <c r="Z127">
        <f>(V127-AU127*(AZ127+BA127)/1000)</f>
        <v>0</v>
      </c>
      <c r="AA127">
        <f>(-H127*44100)</f>
        <v>0</v>
      </c>
      <c r="AB127">
        <f>2*29.3*P127*0.92*(BB127-U127)</f>
        <v>0</v>
      </c>
      <c r="AC127">
        <f>2*0.95*5.67E-8*(((BB127+$B$7)+273)^4-(U127+273)^4)</f>
        <v>0</v>
      </c>
      <c r="AD127">
        <f>S127+AC127+AA127+AB127</f>
        <v>0</v>
      </c>
      <c r="AE127">
        <v>0</v>
      </c>
      <c r="AF127">
        <v>0</v>
      </c>
      <c r="AG127">
        <f>IF(AE127*$H$13&gt;=AI127,1.0,(AI127/(AI127-AE127*$H$13)))</f>
        <v>0</v>
      </c>
      <c r="AH127">
        <f>(AG127-1)*100</f>
        <v>0</v>
      </c>
      <c r="AI127">
        <f>MAX(0,($B$13+$C$13*BG127)/(1+$D$13*BG127)*AZ127/(BB127+273)*$E$13)</f>
        <v>0</v>
      </c>
      <c r="AJ127">
        <f>$B$11*BH127+$C$11*BI127+$D$11*BT127</f>
        <v>0</v>
      </c>
      <c r="AK127">
        <f>AJ127*AL127</f>
        <v>0</v>
      </c>
      <c r="AL127">
        <f>($B$11*$D$9+$C$11*$D$9+$D$11*(BU127*$E$9+BV127*$G$9))/($B$11+$C$11+$D$11)</f>
        <v>0</v>
      </c>
      <c r="AM127">
        <f>($B$11*$K$9+$C$11*$K$9+$D$11*(BU127*$L$9+BV127*$N$9))/($B$11+$C$11+$D$11)</f>
        <v>0</v>
      </c>
      <c r="AN127">
        <v>3</v>
      </c>
      <c r="AO127">
        <v>0.5</v>
      </c>
      <c r="AP127" t="s">
        <v>331</v>
      </c>
      <c r="AQ127">
        <v>2</v>
      </c>
      <c r="AR127">
        <v>1773202693</v>
      </c>
      <c r="AS127">
        <v>424.4795161290323</v>
      </c>
      <c r="AT127">
        <v>422.4170645161291</v>
      </c>
      <c r="AU127">
        <v>11.15513870967742</v>
      </c>
      <c r="AV127">
        <v>10.95844193548387</v>
      </c>
      <c r="AW127">
        <v>418.2483548387097</v>
      </c>
      <c r="AX127">
        <v>11.07455483870968</v>
      </c>
      <c r="AY127">
        <v>500.0116129032259</v>
      </c>
      <c r="AZ127">
        <v>100.1648064516129</v>
      </c>
      <c r="BA127">
        <v>0.04515527096774194</v>
      </c>
      <c r="BB127">
        <v>30.80102258064516</v>
      </c>
      <c r="BC127">
        <v>31.0451064516129</v>
      </c>
      <c r="BD127">
        <v>999.9000000000003</v>
      </c>
      <c r="BE127">
        <v>0</v>
      </c>
      <c r="BF127">
        <v>0</v>
      </c>
      <c r="BG127">
        <v>4995.580645161291</v>
      </c>
      <c r="BH127">
        <v>1.091769032258065</v>
      </c>
      <c r="BI127">
        <v>2179.396129032258</v>
      </c>
      <c r="BJ127">
        <v>2.062628064516129</v>
      </c>
      <c r="BK127">
        <v>429.2682580645162</v>
      </c>
      <c r="BL127">
        <v>427.0973225806451</v>
      </c>
      <c r="BM127">
        <v>0.1967003548387097</v>
      </c>
      <c r="BN127">
        <v>422.4170645161291</v>
      </c>
      <c r="BO127">
        <v>10.95844193548387</v>
      </c>
      <c r="BP127">
        <v>1.11735129032258</v>
      </c>
      <c r="BQ127">
        <v>1.097649032258064</v>
      </c>
      <c r="BR127">
        <v>8.543683225806451</v>
      </c>
      <c r="BS127">
        <v>8.28133935483871</v>
      </c>
      <c r="BT127">
        <v>0</v>
      </c>
      <c r="BU127">
        <v>0</v>
      </c>
      <c r="BV127">
        <v>0</v>
      </c>
      <c r="BW127">
        <v>35</v>
      </c>
      <c r="BX127">
        <v>52.00644838709677</v>
      </c>
      <c r="BY127">
        <v>1773196010</v>
      </c>
      <c r="BZ127" t="s">
        <v>332</v>
      </c>
      <c r="CA127">
        <v>1773196010</v>
      </c>
      <c r="CB127">
        <v>1773196005.5</v>
      </c>
      <c r="CC127">
        <v>2</v>
      </c>
      <c r="CD127">
        <v>-0.279</v>
      </c>
      <c r="CE127">
        <v>-0.021</v>
      </c>
      <c r="CF127">
        <v>6.231</v>
      </c>
      <c r="CG127">
        <v>0.081</v>
      </c>
      <c r="CH127">
        <v>432</v>
      </c>
      <c r="CI127">
        <v>21</v>
      </c>
      <c r="CJ127">
        <v>0.03</v>
      </c>
      <c r="CK127">
        <v>0.06</v>
      </c>
      <c r="CL127">
        <v>422.4175000000001</v>
      </c>
      <c r="CM127">
        <v>-0.01476307007673607</v>
      </c>
      <c r="CN127">
        <v>0.00834166250416319</v>
      </c>
      <c r="CO127">
        <v>-1</v>
      </c>
      <c r="CP127">
        <v>500.0104333333334</v>
      </c>
      <c r="CQ127">
        <v>0.194322580645205</v>
      </c>
      <c r="CR127">
        <v>0.0290650802319356</v>
      </c>
      <c r="CS127">
        <v>-1</v>
      </c>
      <c r="CT127">
        <v>0</v>
      </c>
      <c r="CU127">
        <v>0</v>
      </c>
      <c r="CV127" t="s">
        <v>333</v>
      </c>
      <c r="CW127">
        <v>3.17084</v>
      </c>
      <c r="CX127">
        <v>2.66681</v>
      </c>
      <c r="CY127">
        <v>0.0994486</v>
      </c>
      <c r="CZ127">
        <v>0.100238</v>
      </c>
      <c r="DA127">
        <v>0.06332110000000001</v>
      </c>
      <c r="DB127">
        <v>0.0625633</v>
      </c>
      <c r="DC127">
        <v>21322.1</v>
      </c>
      <c r="DD127">
        <v>21890.1</v>
      </c>
      <c r="DE127">
        <v>22827.8</v>
      </c>
      <c r="DF127">
        <v>22274.5</v>
      </c>
      <c r="DG127">
        <v>32336.6</v>
      </c>
      <c r="DH127">
        <v>29415.6</v>
      </c>
      <c r="DI127">
        <v>40179.9</v>
      </c>
      <c r="DJ127">
        <v>36843.7</v>
      </c>
      <c r="DK127">
        <v>2.02618</v>
      </c>
      <c r="DL127">
        <v>1.50072</v>
      </c>
      <c r="DM127">
        <v>-0.0763118</v>
      </c>
      <c r="DN127">
        <v>0</v>
      </c>
      <c r="DO127">
        <v>32.273</v>
      </c>
      <c r="DP127">
        <v>999.9</v>
      </c>
      <c r="DQ127">
        <v>23.3</v>
      </c>
      <c r="DR127">
        <v>45.5</v>
      </c>
      <c r="DS127">
        <v>23.0051</v>
      </c>
      <c r="DT127">
        <v>30.1291</v>
      </c>
      <c r="DU127">
        <v>14.3189</v>
      </c>
      <c r="DV127">
        <v>1</v>
      </c>
      <c r="DW127">
        <v>0.885203</v>
      </c>
      <c r="DX127">
        <v>3.81117</v>
      </c>
      <c r="DY127">
        <v>20.3116</v>
      </c>
      <c r="DZ127">
        <v>5.20759</v>
      </c>
      <c r="EA127">
        <v>11.8549</v>
      </c>
      <c r="EB127">
        <v>4.9664</v>
      </c>
      <c r="EC127">
        <v>3.29288</v>
      </c>
      <c r="ED127">
        <v>879.4</v>
      </c>
      <c r="EE127">
        <v>9999</v>
      </c>
      <c r="EF127">
        <v>9999</v>
      </c>
      <c r="EG127">
        <v>77.90000000000001</v>
      </c>
      <c r="EH127">
        <v>4.97155</v>
      </c>
      <c r="EI127">
        <v>1.8721</v>
      </c>
      <c r="EJ127">
        <v>1.8695</v>
      </c>
      <c r="EK127">
        <v>1.8718</v>
      </c>
      <c r="EL127">
        <v>1.86953</v>
      </c>
      <c r="EM127">
        <v>1.86837</v>
      </c>
      <c r="EN127">
        <v>1.87023</v>
      </c>
      <c r="EO127">
        <v>1.87195</v>
      </c>
      <c r="EP127">
        <v>0</v>
      </c>
      <c r="EQ127">
        <v>0</v>
      </c>
      <c r="ER127">
        <v>0</v>
      </c>
      <c r="ES127">
        <v>0</v>
      </c>
      <c r="ET127" t="s">
        <v>334</v>
      </c>
      <c r="EU127" t="s">
        <v>335</v>
      </c>
      <c r="EV127" t="s">
        <v>336</v>
      </c>
      <c r="EW127" t="s">
        <v>336</v>
      </c>
      <c r="EX127" t="s">
        <v>336</v>
      </c>
      <c r="EY127" t="s">
        <v>336</v>
      </c>
      <c r="EZ127">
        <v>0</v>
      </c>
      <c r="FA127">
        <v>100</v>
      </c>
      <c r="FB127">
        <v>100</v>
      </c>
      <c r="FC127">
        <v>6.231</v>
      </c>
      <c r="FD127">
        <v>0.0806</v>
      </c>
      <c r="FE127">
        <v>6.23135000000002</v>
      </c>
      <c r="FF127">
        <v>0</v>
      </c>
      <c r="FG127">
        <v>0</v>
      </c>
      <c r="FH127">
        <v>0</v>
      </c>
      <c r="FI127">
        <v>0.08059047619047632</v>
      </c>
      <c r="FJ127">
        <v>0</v>
      </c>
      <c r="FK127">
        <v>0</v>
      </c>
      <c r="FL127">
        <v>0</v>
      </c>
      <c r="FM127">
        <v>-1</v>
      </c>
      <c r="FN127">
        <v>-1</v>
      </c>
      <c r="FO127">
        <v>-1</v>
      </c>
      <c r="FP127">
        <v>-1</v>
      </c>
      <c r="FQ127">
        <v>111.5</v>
      </c>
      <c r="FR127">
        <v>111.6</v>
      </c>
      <c r="FS127">
        <v>0.141602</v>
      </c>
      <c r="FT127">
        <v>4.99756</v>
      </c>
      <c r="FU127">
        <v>1.5979</v>
      </c>
      <c r="FV127">
        <v>2.10815</v>
      </c>
      <c r="FW127">
        <v>1.54785</v>
      </c>
      <c r="FX127">
        <v>2.43896</v>
      </c>
      <c r="FY127">
        <v>46.9151</v>
      </c>
      <c r="FZ127">
        <v>15.5505</v>
      </c>
      <c r="GA127">
        <v>3</v>
      </c>
      <c r="GB127">
        <v>519.8150000000001</v>
      </c>
      <c r="GC127">
        <v>290.76</v>
      </c>
      <c r="GD127">
        <v>27.2791</v>
      </c>
      <c r="GE127">
        <v>37.8327</v>
      </c>
      <c r="GF127">
        <v>29.9989</v>
      </c>
      <c r="GG127">
        <v>37.7423</v>
      </c>
      <c r="GH127">
        <v>37.7333</v>
      </c>
      <c r="GI127">
        <v>-1</v>
      </c>
      <c r="GJ127">
        <v>100</v>
      </c>
      <c r="GK127">
        <v>0</v>
      </c>
      <c r="GL127">
        <v>27.3603</v>
      </c>
      <c r="GM127">
        <v>1200</v>
      </c>
      <c r="GN127">
        <v>19.4378</v>
      </c>
      <c r="GO127">
        <v>101.083</v>
      </c>
      <c r="GP127">
        <v>96.2085</v>
      </c>
    </row>
    <row r="128" spans="1:198">
      <c r="A128">
        <v>112</v>
      </c>
      <c r="B128">
        <v>1773202761</v>
      </c>
      <c r="C128">
        <v>6661</v>
      </c>
      <c r="D128" t="s">
        <v>557</v>
      </c>
      <c r="E128" t="s">
        <v>558</v>
      </c>
      <c r="F128">
        <v>15</v>
      </c>
      <c r="G128">
        <v>1773202753</v>
      </c>
      <c r="H128">
        <f>(I128)/1000</f>
        <v>0</v>
      </c>
      <c r="I128">
        <f>1000*AY128*AG128*(AU128-AV128)/(100*AN128*(1000-AG128*AU128))</f>
        <v>0</v>
      </c>
      <c r="J128">
        <f>AY128*AG128*(AT128-AS128*(1000-AG128*AV128)/(1000-AG128*AU128))/(100*AN128)</f>
        <v>0</v>
      </c>
      <c r="K128">
        <f>AS128 - IF(AG128&gt;1, J128*AN128*100.0/(AI128), 0)</f>
        <v>0</v>
      </c>
      <c r="L128">
        <f>((R128-H128/2)*K128-J128)/(R128+H128/2)</f>
        <v>0</v>
      </c>
      <c r="M128">
        <f>L128*(AZ128+BA128)/1000.0</f>
        <v>0</v>
      </c>
      <c r="N128">
        <f>(AS128 - IF(AG128&gt;1, J128*AN128*100.0/(AI128), 0))*(AZ128+BA128)/1000.0</f>
        <v>0</v>
      </c>
      <c r="O128">
        <f>2.0/((1/Q128-1/P128)+SIGN(Q128)*SQRT((1/Q128-1/P128)*(1/Q128-1/P128) + 4*AO128/((AO128+1)*(AO128+1))*(2*1/Q128*1/P128-1/P128*1/P128)))</f>
        <v>0</v>
      </c>
      <c r="P128">
        <f>IF(LEFT(AP128,1)&lt;&gt;"0",IF(LEFT(AP128,1)="1",3.0,AQ128),$D$5+$E$5*(BG128*AZ128/($K$5*1000))+$F$5*(BG128*AZ128/($K$5*1000))*MAX(MIN(AN128,$J$5),$I$5)*MAX(MIN(AN128,$J$5),$I$5)+$G$5*MAX(MIN(AN128,$J$5),$I$5)*(BG128*AZ128/($K$5*1000))+$H$5*(BG128*AZ128/($K$5*1000))*(BG128*AZ128/($K$5*1000)))</f>
        <v>0</v>
      </c>
      <c r="Q128">
        <f>H128*(1000-(1000*0.61365*exp(17.502*U128/(240.97+U128))/(AZ128+BA128)+AU128)/2)/(1000*0.61365*exp(17.502*U128/(240.97+U128))/(AZ128+BA128)-AU128)</f>
        <v>0</v>
      </c>
      <c r="R128">
        <f>1/((AO128+1)/(O128/1.6)+1/(P128/1.37)) + AO128/((AO128+1)/(O128/1.6) + AO128/(P128/1.37))</f>
        <v>0</v>
      </c>
      <c r="S128">
        <f>(AJ128*AM128)</f>
        <v>0</v>
      </c>
      <c r="T128">
        <f>(BB128+(S128+2*0.95*5.67E-8*(((BB128+$B$7)+273)^4-(BB128+273)^4)-44100*H128)/(1.84*29.3*P128+8*0.95*5.67E-8*(BB128+273)^3))</f>
        <v>0</v>
      </c>
      <c r="U128">
        <f>($C$7*BC128+$D$7*BD128+$E$7*T128)</f>
        <v>0</v>
      </c>
      <c r="V128">
        <f>0.61365*exp(17.502*U128/(240.97+U128))</f>
        <v>0</v>
      </c>
      <c r="W128">
        <f>(X128/Y128*100)</f>
        <v>0</v>
      </c>
      <c r="X128">
        <f>AU128*(AZ128+BA128)/1000</f>
        <v>0</v>
      </c>
      <c r="Y128">
        <f>0.61365*exp(17.502*BB128/(240.97+BB128))</f>
        <v>0</v>
      </c>
      <c r="Z128">
        <f>(V128-AU128*(AZ128+BA128)/1000)</f>
        <v>0</v>
      </c>
      <c r="AA128">
        <f>(-H128*44100)</f>
        <v>0</v>
      </c>
      <c r="AB128">
        <f>2*29.3*P128*0.92*(BB128-U128)</f>
        <v>0</v>
      </c>
      <c r="AC128">
        <f>2*0.95*5.67E-8*(((BB128+$B$7)+273)^4-(U128+273)^4)</f>
        <v>0</v>
      </c>
      <c r="AD128">
        <f>S128+AC128+AA128+AB128</f>
        <v>0</v>
      </c>
      <c r="AE128">
        <v>0</v>
      </c>
      <c r="AF128">
        <v>0</v>
      </c>
      <c r="AG128">
        <f>IF(AE128*$H$13&gt;=AI128,1.0,(AI128/(AI128-AE128*$H$13)))</f>
        <v>0</v>
      </c>
      <c r="AH128">
        <f>(AG128-1)*100</f>
        <v>0</v>
      </c>
      <c r="AI128">
        <f>MAX(0,($B$13+$C$13*BG128)/(1+$D$13*BG128)*AZ128/(BB128+273)*$E$13)</f>
        <v>0</v>
      </c>
      <c r="AJ128">
        <f>$B$11*BH128+$C$11*BI128+$D$11*BT128</f>
        <v>0</v>
      </c>
      <c r="AK128">
        <f>AJ128*AL128</f>
        <v>0</v>
      </c>
      <c r="AL128">
        <f>($B$11*$D$9+$C$11*$D$9+$D$11*(BU128*$E$9+BV128*$G$9))/($B$11+$C$11+$D$11)</f>
        <v>0</v>
      </c>
      <c r="AM128">
        <f>($B$11*$K$9+$C$11*$K$9+$D$11*(BU128*$L$9+BV128*$N$9))/($B$11+$C$11+$D$11)</f>
        <v>0</v>
      </c>
      <c r="AN128">
        <v>3</v>
      </c>
      <c r="AO128">
        <v>0.5</v>
      </c>
      <c r="AP128" t="s">
        <v>331</v>
      </c>
      <c r="AQ128">
        <v>2</v>
      </c>
      <c r="AR128">
        <v>1773202753</v>
      </c>
      <c r="AS128">
        <v>424.4317419354839</v>
      </c>
      <c r="AT128">
        <v>422.3866451612902</v>
      </c>
      <c r="AU128">
        <v>11.18904516129032</v>
      </c>
      <c r="AV128">
        <v>10.99611612903226</v>
      </c>
      <c r="AW128">
        <v>418.2004193548388</v>
      </c>
      <c r="AX128">
        <v>11.10845161290323</v>
      </c>
      <c r="AY128">
        <v>500.0024193548387</v>
      </c>
      <c r="AZ128">
        <v>100.1628064516129</v>
      </c>
      <c r="BA128">
        <v>0.04521544193548389</v>
      </c>
      <c r="BB128">
        <v>30.75360322580645</v>
      </c>
      <c r="BC128">
        <v>31.01072580645161</v>
      </c>
      <c r="BD128">
        <v>999.9000000000003</v>
      </c>
      <c r="BE128">
        <v>0</v>
      </c>
      <c r="BF128">
        <v>0</v>
      </c>
      <c r="BG128">
        <v>5005.064516129032</v>
      </c>
      <c r="BH128">
        <v>1.108873548387097</v>
      </c>
      <c r="BI128">
        <v>2198.161612903225</v>
      </c>
      <c r="BJ128">
        <v>2.045014516129033</v>
      </c>
      <c r="BK128">
        <v>429.2344838709679</v>
      </c>
      <c r="BL128">
        <v>427.0829677419355</v>
      </c>
      <c r="BM128">
        <v>0.192925</v>
      </c>
      <c r="BN128">
        <v>422.3866451612902</v>
      </c>
      <c r="BO128">
        <v>10.99611612903226</v>
      </c>
      <c r="BP128">
        <v>1.120726451612903</v>
      </c>
      <c r="BQ128">
        <v>1.101401935483871</v>
      </c>
      <c r="BR128">
        <v>8.588200322580645</v>
      </c>
      <c r="BS128">
        <v>8.331626451612903</v>
      </c>
      <c r="BT128">
        <v>0</v>
      </c>
      <c r="BU128">
        <v>0</v>
      </c>
      <c r="BV128">
        <v>0</v>
      </c>
      <c r="BW128">
        <v>35</v>
      </c>
      <c r="BX128">
        <v>52.0215129032258</v>
      </c>
      <c r="BY128">
        <v>1773196010</v>
      </c>
      <c r="BZ128" t="s">
        <v>332</v>
      </c>
      <c r="CA128">
        <v>1773196010</v>
      </c>
      <c r="CB128">
        <v>1773196005.5</v>
      </c>
      <c r="CC128">
        <v>2</v>
      </c>
      <c r="CD128">
        <v>-0.279</v>
      </c>
      <c r="CE128">
        <v>-0.021</v>
      </c>
      <c r="CF128">
        <v>6.231</v>
      </c>
      <c r="CG128">
        <v>0.081</v>
      </c>
      <c r="CH128">
        <v>432</v>
      </c>
      <c r="CI128">
        <v>21</v>
      </c>
      <c r="CJ128">
        <v>0.03</v>
      </c>
      <c r="CK128">
        <v>0.06</v>
      </c>
      <c r="CL128">
        <v>422.3869333333332</v>
      </c>
      <c r="CM128">
        <v>0.3138420467172049</v>
      </c>
      <c r="CN128">
        <v>0.02641708201566193</v>
      </c>
      <c r="CO128">
        <v>-1</v>
      </c>
      <c r="CP128">
        <v>500.0026666666666</v>
      </c>
      <c r="CQ128">
        <v>-0.02728364849892375</v>
      </c>
      <c r="CR128">
        <v>0.01906538457227495</v>
      </c>
      <c r="CS128">
        <v>-1</v>
      </c>
      <c r="CT128">
        <v>0</v>
      </c>
      <c r="CU128">
        <v>0</v>
      </c>
      <c r="CV128" t="s">
        <v>333</v>
      </c>
      <c r="CW128">
        <v>3.17079</v>
      </c>
      <c r="CX128">
        <v>2.66632</v>
      </c>
      <c r="CY128">
        <v>0.09943829999999999</v>
      </c>
      <c r="CZ128">
        <v>0.100228</v>
      </c>
      <c r="DA128">
        <v>0.0634725</v>
      </c>
      <c r="DB128">
        <v>0.062737</v>
      </c>
      <c r="DC128">
        <v>21321.9</v>
      </c>
      <c r="DD128">
        <v>21890.6</v>
      </c>
      <c r="DE128">
        <v>22827.3</v>
      </c>
      <c r="DF128">
        <v>22274.7</v>
      </c>
      <c r="DG128">
        <v>32330.9</v>
      </c>
      <c r="DH128">
        <v>29410.2</v>
      </c>
      <c r="DI128">
        <v>40179.3</v>
      </c>
      <c r="DJ128">
        <v>36843.8</v>
      </c>
      <c r="DK128">
        <v>2.0262</v>
      </c>
      <c r="DL128">
        <v>1.50094</v>
      </c>
      <c r="DM128">
        <v>-0.0778377</v>
      </c>
      <c r="DN128">
        <v>0</v>
      </c>
      <c r="DO128">
        <v>32.273</v>
      </c>
      <c r="DP128">
        <v>999.9</v>
      </c>
      <c r="DQ128">
        <v>23.2</v>
      </c>
      <c r="DR128">
        <v>45.5</v>
      </c>
      <c r="DS128">
        <v>22.9058</v>
      </c>
      <c r="DT128">
        <v>29.8891</v>
      </c>
      <c r="DU128">
        <v>14.375</v>
      </c>
      <c r="DV128">
        <v>1</v>
      </c>
      <c r="DW128">
        <v>0.882673</v>
      </c>
      <c r="DX128">
        <v>3.63602</v>
      </c>
      <c r="DY128">
        <v>20.3163</v>
      </c>
      <c r="DZ128">
        <v>5.20962</v>
      </c>
      <c r="EA128">
        <v>11.8573</v>
      </c>
      <c r="EB128">
        <v>4.96732</v>
      </c>
      <c r="EC128">
        <v>3.29296</v>
      </c>
      <c r="ED128">
        <v>879.4</v>
      </c>
      <c r="EE128">
        <v>9999</v>
      </c>
      <c r="EF128">
        <v>9999</v>
      </c>
      <c r="EG128">
        <v>77.90000000000001</v>
      </c>
      <c r="EH128">
        <v>4.97157</v>
      </c>
      <c r="EI128">
        <v>1.8721</v>
      </c>
      <c r="EJ128">
        <v>1.86947</v>
      </c>
      <c r="EK128">
        <v>1.8718</v>
      </c>
      <c r="EL128">
        <v>1.86955</v>
      </c>
      <c r="EM128">
        <v>1.86837</v>
      </c>
      <c r="EN128">
        <v>1.87023</v>
      </c>
      <c r="EO128">
        <v>1.87195</v>
      </c>
      <c r="EP128">
        <v>0</v>
      </c>
      <c r="EQ128">
        <v>0</v>
      </c>
      <c r="ER128">
        <v>0</v>
      </c>
      <c r="ES128">
        <v>0</v>
      </c>
      <c r="ET128" t="s">
        <v>334</v>
      </c>
      <c r="EU128" t="s">
        <v>335</v>
      </c>
      <c r="EV128" t="s">
        <v>336</v>
      </c>
      <c r="EW128" t="s">
        <v>336</v>
      </c>
      <c r="EX128" t="s">
        <v>336</v>
      </c>
      <c r="EY128" t="s">
        <v>336</v>
      </c>
      <c r="EZ128">
        <v>0</v>
      </c>
      <c r="FA128">
        <v>100</v>
      </c>
      <c r="FB128">
        <v>100</v>
      </c>
      <c r="FC128">
        <v>6.231</v>
      </c>
      <c r="FD128">
        <v>0.0806</v>
      </c>
      <c r="FE128">
        <v>6.23135000000002</v>
      </c>
      <c r="FF128">
        <v>0</v>
      </c>
      <c r="FG128">
        <v>0</v>
      </c>
      <c r="FH128">
        <v>0</v>
      </c>
      <c r="FI128">
        <v>0.08059047619047632</v>
      </c>
      <c r="FJ128">
        <v>0</v>
      </c>
      <c r="FK128">
        <v>0</v>
      </c>
      <c r="FL128">
        <v>0</v>
      </c>
      <c r="FM128">
        <v>-1</v>
      </c>
      <c r="FN128">
        <v>-1</v>
      </c>
      <c r="FO128">
        <v>-1</v>
      </c>
      <c r="FP128">
        <v>-1</v>
      </c>
      <c r="FQ128">
        <v>112.5</v>
      </c>
      <c r="FR128">
        <v>112.6</v>
      </c>
      <c r="FS128">
        <v>0.141602</v>
      </c>
      <c r="FT128">
        <v>4.99634</v>
      </c>
      <c r="FU128">
        <v>1.5979</v>
      </c>
      <c r="FV128">
        <v>2.10815</v>
      </c>
      <c r="FW128">
        <v>1.54785</v>
      </c>
      <c r="FX128">
        <v>2.48657</v>
      </c>
      <c r="FY128">
        <v>46.9448</v>
      </c>
      <c r="FZ128">
        <v>15.5592</v>
      </c>
      <c r="GA128">
        <v>3</v>
      </c>
      <c r="GB128">
        <v>519.828</v>
      </c>
      <c r="GC128">
        <v>290.876</v>
      </c>
      <c r="GD128">
        <v>27.6314</v>
      </c>
      <c r="GE128">
        <v>37.8366</v>
      </c>
      <c r="GF128">
        <v>29.9999</v>
      </c>
      <c r="GG128">
        <v>37.7423</v>
      </c>
      <c r="GH128">
        <v>37.7369</v>
      </c>
      <c r="GI128">
        <v>-1</v>
      </c>
      <c r="GJ128">
        <v>100</v>
      </c>
      <c r="GK128">
        <v>0</v>
      </c>
      <c r="GL128">
        <v>27.6458</v>
      </c>
      <c r="GM128">
        <v>1200</v>
      </c>
      <c r="GN128">
        <v>19.4378</v>
      </c>
      <c r="GO128">
        <v>101.082</v>
      </c>
      <c r="GP128">
        <v>96.20910000000001</v>
      </c>
    </row>
    <row r="129" spans="1:198">
      <c r="A129">
        <v>113</v>
      </c>
      <c r="B129">
        <v>1773202821</v>
      </c>
      <c r="C129">
        <v>6721</v>
      </c>
      <c r="D129" t="s">
        <v>559</v>
      </c>
      <c r="E129" t="s">
        <v>560</v>
      </c>
      <c r="F129">
        <v>15</v>
      </c>
      <c r="G129">
        <v>1773202813</v>
      </c>
      <c r="H129">
        <f>(I129)/1000</f>
        <v>0</v>
      </c>
      <c r="I129">
        <f>1000*AY129*AG129*(AU129-AV129)/(100*AN129*(1000-AG129*AU129))</f>
        <v>0</v>
      </c>
      <c r="J129">
        <f>AY129*AG129*(AT129-AS129*(1000-AG129*AV129)/(1000-AG129*AU129))/(100*AN129)</f>
        <v>0</v>
      </c>
      <c r="K129">
        <f>AS129 - IF(AG129&gt;1, J129*AN129*100.0/(AI129), 0)</f>
        <v>0</v>
      </c>
      <c r="L129">
        <f>((R129-H129/2)*K129-J129)/(R129+H129/2)</f>
        <v>0</v>
      </c>
      <c r="M129">
        <f>L129*(AZ129+BA129)/1000.0</f>
        <v>0</v>
      </c>
      <c r="N129">
        <f>(AS129 - IF(AG129&gt;1, J129*AN129*100.0/(AI129), 0))*(AZ129+BA129)/1000.0</f>
        <v>0</v>
      </c>
      <c r="O129">
        <f>2.0/((1/Q129-1/P129)+SIGN(Q129)*SQRT((1/Q129-1/P129)*(1/Q129-1/P129) + 4*AO129/((AO129+1)*(AO129+1))*(2*1/Q129*1/P129-1/P129*1/P129)))</f>
        <v>0</v>
      </c>
      <c r="P129">
        <f>IF(LEFT(AP129,1)&lt;&gt;"0",IF(LEFT(AP129,1)="1",3.0,AQ129),$D$5+$E$5*(BG129*AZ129/($K$5*1000))+$F$5*(BG129*AZ129/($K$5*1000))*MAX(MIN(AN129,$J$5),$I$5)*MAX(MIN(AN129,$J$5),$I$5)+$G$5*MAX(MIN(AN129,$J$5),$I$5)*(BG129*AZ129/($K$5*1000))+$H$5*(BG129*AZ129/($K$5*1000))*(BG129*AZ129/($K$5*1000)))</f>
        <v>0</v>
      </c>
      <c r="Q129">
        <f>H129*(1000-(1000*0.61365*exp(17.502*U129/(240.97+U129))/(AZ129+BA129)+AU129)/2)/(1000*0.61365*exp(17.502*U129/(240.97+U129))/(AZ129+BA129)-AU129)</f>
        <v>0</v>
      </c>
      <c r="R129">
        <f>1/((AO129+1)/(O129/1.6)+1/(P129/1.37)) + AO129/((AO129+1)/(O129/1.6) + AO129/(P129/1.37))</f>
        <v>0</v>
      </c>
      <c r="S129">
        <f>(AJ129*AM129)</f>
        <v>0</v>
      </c>
      <c r="T129">
        <f>(BB129+(S129+2*0.95*5.67E-8*(((BB129+$B$7)+273)^4-(BB129+273)^4)-44100*H129)/(1.84*29.3*P129+8*0.95*5.67E-8*(BB129+273)^3))</f>
        <v>0</v>
      </c>
      <c r="U129">
        <f>($C$7*BC129+$D$7*BD129+$E$7*T129)</f>
        <v>0</v>
      </c>
      <c r="V129">
        <f>0.61365*exp(17.502*U129/(240.97+U129))</f>
        <v>0</v>
      </c>
      <c r="W129">
        <f>(X129/Y129*100)</f>
        <v>0</v>
      </c>
      <c r="X129">
        <f>AU129*(AZ129+BA129)/1000</f>
        <v>0</v>
      </c>
      <c r="Y129">
        <f>0.61365*exp(17.502*BB129/(240.97+BB129))</f>
        <v>0</v>
      </c>
      <c r="Z129">
        <f>(V129-AU129*(AZ129+BA129)/1000)</f>
        <v>0</v>
      </c>
      <c r="AA129">
        <f>(-H129*44100)</f>
        <v>0</v>
      </c>
      <c r="AB129">
        <f>2*29.3*P129*0.92*(BB129-U129)</f>
        <v>0</v>
      </c>
      <c r="AC129">
        <f>2*0.95*5.67E-8*(((BB129+$B$7)+273)^4-(U129+273)^4)</f>
        <v>0</v>
      </c>
      <c r="AD129">
        <f>S129+AC129+AA129+AB129</f>
        <v>0</v>
      </c>
      <c r="AE129">
        <v>0</v>
      </c>
      <c r="AF129">
        <v>0</v>
      </c>
      <c r="AG129">
        <f>IF(AE129*$H$13&gt;=AI129,1.0,(AI129/(AI129-AE129*$H$13)))</f>
        <v>0</v>
      </c>
      <c r="AH129">
        <f>(AG129-1)*100</f>
        <v>0</v>
      </c>
      <c r="AI129">
        <f>MAX(0,($B$13+$C$13*BG129)/(1+$D$13*BG129)*AZ129/(BB129+273)*$E$13)</f>
        <v>0</v>
      </c>
      <c r="AJ129">
        <f>$B$11*BH129+$C$11*BI129+$D$11*BT129</f>
        <v>0</v>
      </c>
      <c r="AK129">
        <f>AJ129*AL129</f>
        <v>0</v>
      </c>
      <c r="AL129">
        <f>($B$11*$D$9+$C$11*$D$9+$D$11*(BU129*$E$9+BV129*$G$9))/($B$11+$C$11+$D$11)</f>
        <v>0</v>
      </c>
      <c r="AM129">
        <f>($B$11*$K$9+$C$11*$K$9+$D$11*(BU129*$L$9+BV129*$N$9))/($B$11+$C$11+$D$11)</f>
        <v>0</v>
      </c>
      <c r="AN129">
        <v>3</v>
      </c>
      <c r="AO129">
        <v>0.5</v>
      </c>
      <c r="AP129" t="s">
        <v>331</v>
      </c>
      <c r="AQ129">
        <v>2</v>
      </c>
      <c r="AR129">
        <v>1773202813</v>
      </c>
      <c r="AS129">
        <v>424.2012903225807</v>
      </c>
      <c r="AT129">
        <v>422.0736129032259</v>
      </c>
      <c r="AU129">
        <v>11.24349677419355</v>
      </c>
      <c r="AV129">
        <v>11.05298387096774</v>
      </c>
      <c r="AW129">
        <v>417.9698064516128</v>
      </c>
      <c r="AX129">
        <v>11.16290322580645</v>
      </c>
      <c r="AY129">
        <v>500.0630322580644</v>
      </c>
      <c r="AZ129">
        <v>100.1573225806452</v>
      </c>
      <c r="BA129">
        <v>0.04531358064516128</v>
      </c>
      <c r="BB129">
        <v>30.82507741935484</v>
      </c>
      <c r="BC129">
        <v>31.0901129032258</v>
      </c>
      <c r="BD129">
        <v>999.9000000000003</v>
      </c>
      <c r="BE129">
        <v>0</v>
      </c>
      <c r="BF129">
        <v>0</v>
      </c>
      <c r="BG129">
        <v>5002.564516129032</v>
      </c>
      <c r="BH129">
        <v>1.114733548387097</v>
      </c>
      <c r="BI129">
        <v>2191.82129032258</v>
      </c>
      <c r="BJ129">
        <v>2.127664838709677</v>
      </c>
      <c r="BK129">
        <v>429.0249999999999</v>
      </c>
      <c r="BL129">
        <v>426.7908709677419</v>
      </c>
      <c r="BM129">
        <v>0.1905117741935484</v>
      </c>
      <c r="BN129">
        <v>422.0736129032259</v>
      </c>
      <c r="BO129">
        <v>11.05298387096774</v>
      </c>
      <c r="BP129">
        <v>1.126118709677419</v>
      </c>
      <c r="BQ129">
        <v>1.107038387096774</v>
      </c>
      <c r="BR129">
        <v>8.659109677419353</v>
      </c>
      <c r="BS129">
        <v>8.406861612903228</v>
      </c>
      <c r="BT129">
        <v>0</v>
      </c>
      <c r="BU129">
        <v>0</v>
      </c>
      <c r="BV129">
        <v>0</v>
      </c>
      <c r="BW129">
        <v>35</v>
      </c>
      <c r="BX129">
        <v>52</v>
      </c>
      <c r="BY129">
        <v>1773196010</v>
      </c>
      <c r="BZ129" t="s">
        <v>332</v>
      </c>
      <c r="CA129">
        <v>1773196010</v>
      </c>
      <c r="CB129">
        <v>1773196005.5</v>
      </c>
      <c r="CC129">
        <v>2</v>
      </c>
      <c r="CD129">
        <v>-0.279</v>
      </c>
      <c r="CE129">
        <v>-0.021</v>
      </c>
      <c r="CF129">
        <v>6.231</v>
      </c>
      <c r="CG129">
        <v>0.081</v>
      </c>
      <c r="CH129">
        <v>432</v>
      </c>
      <c r="CI129">
        <v>21</v>
      </c>
      <c r="CJ129">
        <v>0.03</v>
      </c>
      <c r="CK129">
        <v>0.06</v>
      </c>
      <c r="CL129">
        <v>422.0736129032259</v>
      </c>
      <c r="CM129">
        <v>-0.4034516129044761</v>
      </c>
      <c r="CN129">
        <v>0.03159489282877649</v>
      </c>
      <c r="CO129">
        <v>-1</v>
      </c>
      <c r="CP129">
        <v>500.0630322580644</v>
      </c>
      <c r="CQ129">
        <v>-0.6543387096779061</v>
      </c>
      <c r="CR129">
        <v>0.06686022197090126</v>
      </c>
      <c r="CS129">
        <v>-1</v>
      </c>
      <c r="CT129">
        <v>0</v>
      </c>
      <c r="CU129">
        <v>0</v>
      </c>
      <c r="CV129" t="s">
        <v>333</v>
      </c>
      <c r="CW129">
        <v>3.17083</v>
      </c>
      <c r="CX129">
        <v>2.66612</v>
      </c>
      <c r="CY129">
        <v>0.0993709</v>
      </c>
      <c r="CZ129">
        <v>0.100165</v>
      </c>
      <c r="DA129">
        <v>0.06369279999999999</v>
      </c>
      <c r="DB129">
        <v>0.062948</v>
      </c>
      <c r="DC129">
        <v>21322.4</v>
      </c>
      <c r="DD129">
        <v>21890.8</v>
      </c>
      <c r="DE129">
        <v>22826.2</v>
      </c>
      <c r="DF129">
        <v>22273.4</v>
      </c>
      <c r="DG129">
        <v>32321.7</v>
      </c>
      <c r="DH129">
        <v>29401.9</v>
      </c>
      <c r="DI129">
        <v>40177.3</v>
      </c>
      <c r="DJ129">
        <v>36841.6</v>
      </c>
      <c r="DK129">
        <v>2.02612</v>
      </c>
      <c r="DL129">
        <v>1.49962</v>
      </c>
      <c r="DM129">
        <v>-0.0739098</v>
      </c>
      <c r="DN129">
        <v>0</v>
      </c>
      <c r="DO129">
        <v>32.286</v>
      </c>
      <c r="DP129">
        <v>999.9</v>
      </c>
      <c r="DQ129">
        <v>23.1</v>
      </c>
      <c r="DR129">
        <v>45.5</v>
      </c>
      <c r="DS129">
        <v>22.8107</v>
      </c>
      <c r="DT129">
        <v>29.8891</v>
      </c>
      <c r="DU129">
        <v>14.1186</v>
      </c>
      <c r="DV129">
        <v>1</v>
      </c>
      <c r="DW129">
        <v>0.88751</v>
      </c>
      <c r="DX129">
        <v>4.08438</v>
      </c>
      <c r="DY129">
        <v>20.3032</v>
      </c>
      <c r="DZ129">
        <v>5.2089</v>
      </c>
      <c r="EA129">
        <v>11.8548</v>
      </c>
      <c r="EB129">
        <v>4.9672</v>
      </c>
      <c r="EC129">
        <v>3.29298</v>
      </c>
      <c r="ED129">
        <v>879.4</v>
      </c>
      <c r="EE129">
        <v>9999</v>
      </c>
      <c r="EF129">
        <v>9999</v>
      </c>
      <c r="EG129">
        <v>77.90000000000001</v>
      </c>
      <c r="EH129">
        <v>4.97157</v>
      </c>
      <c r="EI129">
        <v>1.8721</v>
      </c>
      <c r="EJ129">
        <v>1.86947</v>
      </c>
      <c r="EK129">
        <v>1.8718</v>
      </c>
      <c r="EL129">
        <v>1.86958</v>
      </c>
      <c r="EM129">
        <v>1.86837</v>
      </c>
      <c r="EN129">
        <v>1.87021</v>
      </c>
      <c r="EO129">
        <v>1.87195</v>
      </c>
      <c r="EP129">
        <v>0</v>
      </c>
      <c r="EQ129">
        <v>0</v>
      </c>
      <c r="ER129">
        <v>0</v>
      </c>
      <c r="ES129">
        <v>0</v>
      </c>
      <c r="ET129" t="s">
        <v>334</v>
      </c>
      <c r="EU129" t="s">
        <v>335</v>
      </c>
      <c r="EV129" t="s">
        <v>336</v>
      </c>
      <c r="EW129" t="s">
        <v>336</v>
      </c>
      <c r="EX129" t="s">
        <v>336</v>
      </c>
      <c r="EY129" t="s">
        <v>336</v>
      </c>
      <c r="EZ129">
        <v>0</v>
      </c>
      <c r="FA129">
        <v>100</v>
      </c>
      <c r="FB129">
        <v>100</v>
      </c>
      <c r="FC129">
        <v>6.231</v>
      </c>
      <c r="FD129">
        <v>0.0806</v>
      </c>
      <c r="FE129">
        <v>6.23135000000002</v>
      </c>
      <c r="FF129">
        <v>0</v>
      </c>
      <c r="FG129">
        <v>0</v>
      </c>
      <c r="FH129">
        <v>0</v>
      </c>
      <c r="FI129">
        <v>0.08059047619047632</v>
      </c>
      <c r="FJ129">
        <v>0</v>
      </c>
      <c r="FK129">
        <v>0</v>
      </c>
      <c r="FL129">
        <v>0</v>
      </c>
      <c r="FM129">
        <v>-1</v>
      </c>
      <c r="FN129">
        <v>-1</v>
      </c>
      <c r="FO129">
        <v>-1</v>
      </c>
      <c r="FP129">
        <v>-1</v>
      </c>
      <c r="FQ129">
        <v>113.5</v>
      </c>
      <c r="FR129">
        <v>113.6</v>
      </c>
      <c r="FS129">
        <v>0.141602</v>
      </c>
      <c r="FT129">
        <v>4.99756</v>
      </c>
      <c r="FU129">
        <v>1.5979</v>
      </c>
      <c r="FV129">
        <v>2.10815</v>
      </c>
      <c r="FW129">
        <v>1.54785</v>
      </c>
      <c r="FX129">
        <v>2.41455</v>
      </c>
      <c r="FY129">
        <v>46.9744</v>
      </c>
      <c r="FZ129">
        <v>15.5417</v>
      </c>
      <c r="GA129">
        <v>3</v>
      </c>
      <c r="GB129">
        <v>519.854</v>
      </c>
      <c r="GC129">
        <v>290.3</v>
      </c>
      <c r="GD129">
        <v>27.4955</v>
      </c>
      <c r="GE129">
        <v>37.8471</v>
      </c>
      <c r="GF129">
        <v>29.9993</v>
      </c>
      <c r="GG129">
        <v>37.7531</v>
      </c>
      <c r="GH129">
        <v>37.7476</v>
      </c>
      <c r="GI129">
        <v>-1</v>
      </c>
      <c r="GJ129">
        <v>100</v>
      </c>
      <c r="GK129">
        <v>0</v>
      </c>
      <c r="GL129">
        <v>27.5168</v>
      </c>
      <c r="GM129">
        <v>1200</v>
      </c>
      <c r="GN129">
        <v>19.4378</v>
      </c>
      <c r="GO129">
        <v>101.077</v>
      </c>
      <c r="GP129">
        <v>96.2034</v>
      </c>
    </row>
    <row r="130" spans="1:198">
      <c r="A130">
        <v>114</v>
      </c>
      <c r="B130">
        <v>1773202881</v>
      </c>
      <c r="C130">
        <v>6781</v>
      </c>
      <c r="D130" t="s">
        <v>561</v>
      </c>
      <c r="E130" t="s">
        <v>562</v>
      </c>
      <c r="F130">
        <v>15</v>
      </c>
      <c r="G130">
        <v>1773202873</v>
      </c>
      <c r="H130">
        <f>(I130)/1000</f>
        <v>0</v>
      </c>
      <c r="I130">
        <f>1000*AY130*AG130*(AU130-AV130)/(100*AN130*(1000-AG130*AU130))</f>
        <v>0</v>
      </c>
      <c r="J130">
        <f>AY130*AG130*(AT130-AS130*(1000-AG130*AV130)/(1000-AG130*AU130))/(100*AN130)</f>
        <v>0</v>
      </c>
      <c r="K130">
        <f>AS130 - IF(AG130&gt;1, J130*AN130*100.0/(AI130), 0)</f>
        <v>0</v>
      </c>
      <c r="L130">
        <f>((R130-H130/2)*K130-J130)/(R130+H130/2)</f>
        <v>0</v>
      </c>
      <c r="M130">
        <f>L130*(AZ130+BA130)/1000.0</f>
        <v>0</v>
      </c>
      <c r="N130">
        <f>(AS130 - IF(AG130&gt;1, J130*AN130*100.0/(AI130), 0))*(AZ130+BA130)/1000.0</f>
        <v>0</v>
      </c>
      <c r="O130">
        <f>2.0/((1/Q130-1/P130)+SIGN(Q130)*SQRT((1/Q130-1/P130)*(1/Q130-1/P130) + 4*AO130/((AO130+1)*(AO130+1))*(2*1/Q130*1/P130-1/P130*1/P130)))</f>
        <v>0</v>
      </c>
      <c r="P130">
        <f>IF(LEFT(AP130,1)&lt;&gt;"0",IF(LEFT(AP130,1)="1",3.0,AQ130),$D$5+$E$5*(BG130*AZ130/($K$5*1000))+$F$5*(BG130*AZ130/($K$5*1000))*MAX(MIN(AN130,$J$5),$I$5)*MAX(MIN(AN130,$J$5),$I$5)+$G$5*MAX(MIN(AN130,$J$5),$I$5)*(BG130*AZ130/($K$5*1000))+$H$5*(BG130*AZ130/($K$5*1000))*(BG130*AZ130/($K$5*1000)))</f>
        <v>0</v>
      </c>
      <c r="Q130">
        <f>H130*(1000-(1000*0.61365*exp(17.502*U130/(240.97+U130))/(AZ130+BA130)+AU130)/2)/(1000*0.61365*exp(17.502*U130/(240.97+U130))/(AZ130+BA130)-AU130)</f>
        <v>0</v>
      </c>
      <c r="R130">
        <f>1/((AO130+1)/(O130/1.6)+1/(P130/1.37)) + AO130/((AO130+1)/(O130/1.6) + AO130/(P130/1.37))</f>
        <v>0</v>
      </c>
      <c r="S130">
        <f>(AJ130*AM130)</f>
        <v>0</v>
      </c>
      <c r="T130">
        <f>(BB130+(S130+2*0.95*5.67E-8*(((BB130+$B$7)+273)^4-(BB130+273)^4)-44100*H130)/(1.84*29.3*P130+8*0.95*5.67E-8*(BB130+273)^3))</f>
        <v>0</v>
      </c>
      <c r="U130">
        <f>($C$7*BC130+$D$7*BD130+$E$7*T130)</f>
        <v>0</v>
      </c>
      <c r="V130">
        <f>0.61365*exp(17.502*U130/(240.97+U130))</f>
        <v>0</v>
      </c>
      <c r="W130">
        <f>(X130/Y130*100)</f>
        <v>0</v>
      </c>
      <c r="X130">
        <f>AU130*(AZ130+BA130)/1000</f>
        <v>0</v>
      </c>
      <c r="Y130">
        <f>0.61365*exp(17.502*BB130/(240.97+BB130))</f>
        <v>0</v>
      </c>
      <c r="Z130">
        <f>(V130-AU130*(AZ130+BA130)/1000)</f>
        <v>0</v>
      </c>
      <c r="AA130">
        <f>(-H130*44100)</f>
        <v>0</v>
      </c>
      <c r="AB130">
        <f>2*29.3*P130*0.92*(BB130-U130)</f>
        <v>0</v>
      </c>
      <c r="AC130">
        <f>2*0.95*5.67E-8*(((BB130+$B$7)+273)^4-(U130+273)^4)</f>
        <v>0</v>
      </c>
      <c r="AD130">
        <f>S130+AC130+AA130+AB130</f>
        <v>0</v>
      </c>
      <c r="AE130">
        <v>0</v>
      </c>
      <c r="AF130">
        <v>0</v>
      </c>
      <c r="AG130">
        <f>IF(AE130*$H$13&gt;=AI130,1.0,(AI130/(AI130-AE130*$H$13)))</f>
        <v>0</v>
      </c>
      <c r="AH130">
        <f>(AG130-1)*100</f>
        <v>0</v>
      </c>
      <c r="AI130">
        <f>MAX(0,($B$13+$C$13*BG130)/(1+$D$13*BG130)*AZ130/(BB130+273)*$E$13)</f>
        <v>0</v>
      </c>
      <c r="AJ130">
        <f>$B$11*BH130+$C$11*BI130+$D$11*BT130</f>
        <v>0</v>
      </c>
      <c r="AK130">
        <f>AJ130*AL130</f>
        <v>0</v>
      </c>
      <c r="AL130">
        <f>($B$11*$D$9+$C$11*$D$9+$D$11*(BU130*$E$9+BV130*$G$9))/($B$11+$C$11+$D$11)</f>
        <v>0</v>
      </c>
      <c r="AM130">
        <f>($B$11*$K$9+$C$11*$K$9+$D$11*(BU130*$L$9+BV130*$N$9))/($B$11+$C$11+$D$11)</f>
        <v>0</v>
      </c>
      <c r="AN130">
        <v>3</v>
      </c>
      <c r="AO130">
        <v>0.5</v>
      </c>
      <c r="AP130" t="s">
        <v>331</v>
      </c>
      <c r="AQ130">
        <v>2</v>
      </c>
      <c r="AR130">
        <v>1773202873</v>
      </c>
      <c r="AS130">
        <v>424.133</v>
      </c>
      <c r="AT130">
        <v>422.0393548387096</v>
      </c>
      <c r="AU130">
        <v>11.26508387096774</v>
      </c>
      <c r="AV130">
        <v>11.08351290322581</v>
      </c>
      <c r="AW130">
        <v>417.9017096774194</v>
      </c>
      <c r="AX130">
        <v>11.18449677419355</v>
      </c>
      <c r="AY130">
        <v>499.9060322580644</v>
      </c>
      <c r="AZ130">
        <v>100.1560967741936</v>
      </c>
      <c r="BA130">
        <v>0.04516476451612902</v>
      </c>
      <c r="BB130">
        <v>30.82727096774193</v>
      </c>
      <c r="BC130">
        <v>31.1011064516129</v>
      </c>
      <c r="BD130">
        <v>999.9000000000003</v>
      </c>
      <c r="BE130">
        <v>0</v>
      </c>
      <c r="BF130">
        <v>0</v>
      </c>
      <c r="BG130">
        <v>5008.403225806452</v>
      </c>
      <c r="BH130">
        <v>1.102248387096775</v>
      </c>
      <c r="BI130">
        <v>2179.169032258065</v>
      </c>
      <c r="BJ130">
        <v>2.093621612903226</v>
      </c>
      <c r="BK130">
        <v>428.9652258064515</v>
      </c>
      <c r="BL130">
        <v>426.7694193548387</v>
      </c>
      <c r="BM130">
        <v>0.1815742903225807</v>
      </c>
      <c r="BN130">
        <v>422.0393548387096</v>
      </c>
      <c r="BO130">
        <v>11.08351290322581</v>
      </c>
      <c r="BP130">
        <v>1.128266129032258</v>
      </c>
      <c r="BQ130">
        <v>1.11008064516129</v>
      </c>
      <c r="BR130">
        <v>8.687260322580645</v>
      </c>
      <c r="BS130">
        <v>8.44734129032258</v>
      </c>
      <c r="BT130">
        <v>0</v>
      </c>
      <c r="BU130">
        <v>0</v>
      </c>
      <c r="BV130">
        <v>0</v>
      </c>
      <c r="BW130">
        <v>35</v>
      </c>
      <c r="BX130">
        <v>52</v>
      </c>
      <c r="BY130">
        <v>1773196010</v>
      </c>
      <c r="BZ130" t="s">
        <v>332</v>
      </c>
      <c r="CA130">
        <v>1773196010</v>
      </c>
      <c r="CB130">
        <v>1773196005.5</v>
      </c>
      <c r="CC130">
        <v>2</v>
      </c>
      <c r="CD130">
        <v>-0.279</v>
      </c>
      <c r="CE130">
        <v>-0.021</v>
      </c>
      <c r="CF130">
        <v>6.231</v>
      </c>
      <c r="CG130">
        <v>0.081</v>
      </c>
      <c r="CH130">
        <v>432</v>
      </c>
      <c r="CI130">
        <v>21</v>
      </c>
      <c r="CJ130">
        <v>0.03</v>
      </c>
      <c r="CK130">
        <v>0.06</v>
      </c>
      <c r="CL130">
        <v>422.0384999999999</v>
      </c>
      <c r="CM130">
        <v>-0.1701890989994154</v>
      </c>
      <c r="CN130">
        <v>0.02330200277515997</v>
      </c>
      <c r="CO130">
        <v>-1</v>
      </c>
      <c r="CP130">
        <v>499.9074333333332</v>
      </c>
      <c r="CQ130">
        <v>-1.369014460511693</v>
      </c>
      <c r="CR130">
        <v>0.1214818733620609</v>
      </c>
      <c r="CS130">
        <v>-1</v>
      </c>
      <c r="CT130">
        <v>0</v>
      </c>
      <c r="CU130">
        <v>0</v>
      </c>
      <c r="CV130" t="s">
        <v>333</v>
      </c>
      <c r="CW130">
        <v>3.17078</v>
      </c>
      <c r="CX130">
        <v>2.6675</v>
      </c>
      <c r="CY130">
        <v>0.0993667</v>
      </c>
      <c r="CZ130">
        <v>0.100165</v>
      </c>
      <c r="DA130">
        <v>0.063804</v>
      </c>
      <c r="DB130">
        <v>0.0631095</v>
      </c>
      <c r="DC130">
        <v>21322.2</v>
      </c>
      <c r="DD130">
        <v>21890.5</v>
      </c>
      <c r="DE130">
        <v>22826</v>
      </c>
      <c r="DF130">
        <v>22273.2</v>
      </c>
      <c r="DG130">
        <v>32317.4</v>
      </c>
      <c r="DH130">
        <v>29396.3</v>
      </c>
      <c r="DI130">
        <v>40176.8</v>
      </c>
      <c r="DJ130">
        <v>36841</v>
      </c>
      <c r="DK130">
        <v>2.0259</v>
      </c>
      <c r="DL130">
        <v>1.4995</v>
      </c>
      <c r="DM130">
        <v>-0.0818282</v>
      </c>
      <c r="DN130">
        <v>0</v>
      </c>
      <c r="DO130">
        <v>32.4279</v>
      </c>
      <c r="DP130">
        <v>999.9</v>
      </c>
      <c r="DQ130">
        <v>23.1</v>
      </c>
      <c r="DR130">
        <v>45.5</v>
      </c>
      <c r="DS130">
        <v>22.8097</v>
      </c>
      <c r="DT130">
        <v>30.1591</v>
      </c>
      <c r="DU130">
        <v>14.4712</v>
      </c>
      <c r="DV130">
        <v>1</v>
      </c>
      <c r="DW130">
        <v>0.892274</v>
      </c>
      <c r="DX130">
        <v>4.6523</v>
      </c>
      <c r="DY130">
        <v>20.2859</v>
      </c>
      <c r="DZ130">
        <v>5.20902</v>
      </c>
      <c r="EA130">
        <v>11.8568</v>
      </c>
      <c r="EB130">
        <v>4.9672</v>
      </c>
      <c r="EC130">
        <v>3.29296</v>
      </c>
      <c r="ED130">
        <v>879.4</v>
      </c>
      <c r="EE130">
        <v>9999</v>
      </c>
      <c r="EF130">
        <v>9999</v>
      </c>
      <c r="EG130">
        <v>77.90000000000001</v>
      </c>
      <c r="EH130">
        <v>4.97158</v>
      </c>
      <c r="EI130">
        <v>1.8721</v>
      </c>
      <c r="EJ130">
        <v>1.8695</v>
      </c>
      <c r="EK130">
        <v>1.8718</v>
      </c>
      <c r="EL130">
        <v>1.86957</v>
      </c>
      <c r="EM130">
        <v>1.86841</v>
      </c>
      <c r="EN130">
        <v>1.87018</v>
      </c>
      <c r="EO130">
        <v>1.87195</v>
      </c>
      <c r="EP130">
        <v>0</v>
      </c>
      <c r="EQ130">
        <v>0</v>
      </c>
      <c r="ER130">
        <v>0</v>
      </c>
      <c r="ES130">
        <v>0</v>
      </c>
      <c r="ET130" t="s">
        <v>334</v>
      </c>
      <c r="EU130" t="s">
        <v>335</v>
      </c>
      <c r="EV130" t="s">
        <v>336</v>
      </c>
      <c r="EW130" t="s">
        <v>336</v>
      </c>
      <c r="EX130" t="s">
        <v>336</v>
      </c>
      <c r="EY130" t="s">
        <v>336</v>
      </c>
      <c r="EZ130">
        <v>0</v>
      </c>
      <c r="FA130">
        <v>100</v>
      </c>
      <c r="FB130">
        <v>100</v>
      </c>
      <c r="FC130">
        <v>6.232</v>
      </c>
      <c r="FD130">
        <v>0.0806</v>
      </c>
      <c r="FE130">
        <v>6.23135000000002</v>
      </c>
      <c r="FF130">
        <v>0</v>
      </c>
      <c r="FG130">
        <v>0</v>
      </c>
      <c r="FH130">
        <v>0</v>
      </c>
      <c r="FI130">
        <v>0.08059047619047632</v>
      </c>
      <c r="FJ130">
        <v>0</v>
      </c>
      <c r="FK130">
        <v>0</v>
      </c>
      <c r="FL130">
        <v>0</v>
      </c>
      <c r="FM130">
        <v>-1</v>
      </c>
      <c r="FN130">
        <v>-1</v>
      </c>
      <c r="FO130">
        <v>-1</v>
      </c>
      <c r="FP130">
        <v>-1</v>
      </c>
      <c r="FQ130">
        <v>114.5</v>
      </c>
      <c r="FR130">
        <v>114.6</v>
      </c>
      <c r="FS130">
        <v>0.141602</v>
      </c>
      <c r="FT130">
        <v>4.99634</v>
      </c>
      <c r="FU130">
        <v>1.5979</v>
      </c>
      <c r="FV130">
        <v>2.10815</v>
      </c>
      <c r="FW130">
        <v>1.54785</v>
      </c>
      <c r="FX130">
        <v>2.41455</v>
      </c>
      <c r="FY130">
        <v>47.0041</v>
      </c>
      <c r="FZ130">
        <v>15.498</v>
      </c>
      <c r="GA130">
        <v>3</v>
      </c>
      <c r="GB130">
        <v>519.821</v>
      </c>
      <c r="GC130">
        <v>290.3</v>
      </c>
      <c r="GD130">
        <v>26.9911</v>
      </c>
      <c r="GE130">
        <v>37.8687</v>
      </c>
      <c r="GF130">
        <v>30.0001</v>
      </c>
      <c r="GG130">
        <v>37.7674</v>
      </c>
      <c r="GH130">
        <v>37.7619</v>
      </c>
      <c r="GI130">
        <v>-1</v>
      </c>
      <c r="GJ130">
        <v>100</v>
      </c>
      <c r="GK130">
        <v>0</v>
      </c>
      <c r="GL130">
        <v>26.9859</v>
      </c>
      <c r="GM130">
        <v>1200</v>
      </c>
      <c r="GN130">
        <v>19.4378</v>
      </c>
      <c r="GO130">
        <v>101.076</v>
      </c>
      <c r="GP130">
        <v>96.202</v>
      </c>
    </row>
    <row r="131" spans="1:198">
      <c r="A131">
        <v>115</v>
      </c>
      <c r="B131">
        <v>1773202941</v>
      </c>
      <c r="C131">
        <v>6841</v>
      </c>
      <c r="D131" t="s">
        <v>563</v>
      </c>
      <c r="E131" t="s">
        <v>564</v>
      </c>
      <c r="F131">
        <v>15</v>
      </c>
      <c r="G131">
        <v>1773202933</v>
      </c>
      <c r="H131">
        <f>(I131)/1000</f>
        <v>0</v>
      </c>
      <c r="I131">
        <f>1000*AY131*AG131*(AU131-AV131)/(100*AN131*(1000-AG131*AU131))</f>
        <v>0</v>
      </c>
      <c r="J131">
        <f>AY131*AG131*(AT131-AS131*(1000-AG131*AV131)/(1000-AG131*AU131))/(100*AN131)</f>
        <v>0</v>
      </c>
      <c r="K131">
        <f>AS131 - IF(AG131&gt;1, J131*AN131*100.0/(AI131), 0)</f>
        <v>0</v>
      </c>
      <c r="L131">
        <f>((R131-H131/2)*K131-J131)/(R131+H131/2)</f>
        <v>0</v>
      </c>
      <c r="M131">
        <f>L131*(AZ131+BA131)/1000.0</f>
        <v>0</v>
      </c>
      <c r="N131">
        <f>(AS131 - IF(AG131&gt;1, J131*AN131*100.0/(AI131), 0))*(AZ131+BA131)/1000.0</f>
        <v>0</v>
      </c>
      <c r="O131">
        <f>2.0/((1/Q131-1/P131)+SIGN(Q131)*SQRT((1/Q131-1/P131)*(1/Q131-1/P131) + 4*AO131/((AO131+1)*(AO131+1))*(2*1/Q131*1/P131-1/P131*1/P131)))</f>
        <v>0</v>
      </c>
      <c r="P131">
        <f>IF(LEFT(AP131,1)&lt;&gt;"0",IF(LEFT(AP131,1)="1",3.0,AQ131),$D$5+$E$5*(BG131*AZ131/($K$5*1000))+$F$5*(BG131*AZ131/($K$5*1000))*MAX(MIN(AN131,$J$5),$I$5)*MAX(MIN(AN131,$J$5),$I$5)+$G$5*MAX(MIN(AN131,$J$5),$I$5)*(BG131*AZ131/($K$5*1000))+$H$5*(BG131*AZ131/($K$5*1000))*(BG131*AZ131/($K$5*1000)))</f>
        <v>0</v>
      </c>
      <c r="Q131">
        <f>H131*(1000-(1000*0.61365*exp(17.502*U131/(240.97+U131))/(AZ131+BA131)+AU131)/2)/(1000*0.61365*exp(17.502*U131/(240.97+U131))/(AZ131+BA131)-AU131)</f>
        <v>0</v>
      </c>
      <c r="R131">
        <f>1/((AO131+1)/(O131/1.6)+1/(P131/1.37)) + AO131/((AO131+1)/(O131/1.6) + AO131/(P131/1.37))</f>
        <v>0</v>
      </c>
      <c r="S131">
        <f>(AJ131*AM131)</f>
        <v>0</v>
      </c>
      <c r="T131">
        <f>(BB131+(S131+2*0.95*5.67E-8*(((BB131+$B$7)+273)^4-(BB131+273)^4)-44100*H131)/(1.84*29.3*P131+8*0.95*5.67E-8*(BB131+273)^3))</f>
        <v>0</v>
      </c>
      <c r="U131">
        <f>($C$7*BC131+$D$7*BD131+$E$7*T131)</f>
        <v>0</v>
      </c>
      <c r="V131">
        <f>0.61365*exp(17.502*U131/(240.97+U131))</f>
        <v>0</v>
      </c>
      <c r="W131">
        <f>(X131/Y131*100)</f>
        <v>0</v>
      </c>
      <c r="X131">
        <f>AU131*(AZ131+BA131)/1000</f>
        <v>0</v>
      </c>
      <c r="Y131">
        <f>0.61365*exp(17.502*BB131/(240.97+BB131))</f>
        <v>0</v>
      </c>
      <c r="Z131">
        <f>(V131-AU131*(AZ131+BA131)/1000)</f>
        <v>0</v>
      </c>
      <c r="AA131">
        <f>(-H131*44100)</f>
        <v>0</v>
      </c>
      <c r="AB131">
        <f>2*29.3*P131*0.92*(BB131-U131)</f>
        <v>0</v>
      </c>
      <c r="AC131">
        <f>2*0.95*5.67E-8*(((BB131+$B$7)+273)^4-(U131+273)^4)</f>
        <v>0</v>
      </c>
      <c r="AD131">
        <f>S131+AC131+AA131+AB131</f>
        <v>0</v>
      </c>
      <c r="AE131">
        <v>0</v>
      </c>
      <c r="AF131">
        <v>0</v>
      </c>
      <c r="AG131">
        <f>IF(AE131*$H$13&gt;=AI131,1.0,(AI131/(AI131-AE131*$H$13)))</f>
        <v>0</v>
      </c>
      <c r="AH131">
        <f>(AG131-1)*100</f>
        <v>0</v>
      </c>
      <c r="AI131">
        <f>MAX(0,($B$13+$C$13*BG131)/(1+$D$13*BG131)*AZ131/(BB131+273)*$E$13)</f>
        <v>0</v>
      </c>
      <c r="AJ131">
        <f>$B$11*BH131+$C$11*BI131+$D$11*BT131</f>
        <v>0</v>
      </c>
      <c r="AK131">
        <f>AJ131*AL131</f>
        <v>0</v>
      </c>
      <c r="AL131">
        <f>($B$11*$D$9+$C$11*$D$9+$D$11*(BU131*$E$9+BV131*$G$9))/($B$11+$C$11+$D$11)</f>
        <v>0</v>
      </c>
      <c r="AM131">
        <f>($B$11*$K$9+$C$11*$K$9+$D$11*(BU131*$L$9+BV131*$N$9))/($B$11+$C$11+$D$11)</f>
        <v>0</v>
      </c>
      <c r="AN131">
        <v>3</v>
      </c>
      <c r="AO131">
        <v>0.5</v>
      </c>
      <c r="AP131" t="s">
        <v>331</v>
      </c>
      <c r="AQ131">
        <v>2</v>
      </c>
      <c r="AR131">
        <v>1773202933</v>
      </c>
      <c r="AS131">
        <v>424.426935483871</v>
      </c>
      <c r="AT131">
        <v>422.4079032258065</v>
      </c>
      <c r="AU131">
        <v>11.31613548387096</v>
      </c>
      <c r="AV131">
        <v>11.13801290322581</v>
      </c>
      <c r="AW131">
        <v>418.1956451612903</v>
      </c>
      <c r="AX131">
        <v>11.23554193548387</v>
      </c>
      <c r="AY131">
        <v>500.0064516129033</v>
      </c>
      <c r="AZ131">
        <v>100.1547741935484</v>
      </c>
      <c r="BA131">
        <v>0.04518790967741935</v>
      </c>
      <c r="BB131">
        <v>30.79616129032258</v>
      </c>
      <c r="BC131">
        <v>31.07417741935484</v>
      </c>
      <c r="BD131">
        <v>999.9000000000003</v>
      </c>
      <c r="BE131">
        <v>0</v>
      </c>
      <c r="BF131">
        <v>0</v>
      </c>
      <c r="BG131">
        <v>5016.451612903225</v>
      </c>
      <c r="BH131">
        <v>1.099844838709678</v>
      </c>
      <c r="BI131">
        <v>2205.755161290323</v>
      </c>
      <c r="BJ131">
        <v>2.019076451612903</v>
      </c>
      <c r="BK131">
        <v>429.2847741935483</v>
      </c>
      <c r="BL131">
        <v>427.1656774193548</v>
      </c>
      <c r="BM131">
        <v>0.1781167419354838</v>
      </c>
      <c r="BN131">
        <v>422.4079032258065</v>
      </c>
      <c r="BO131">
        <v>11.13801290322581</v>
      </c>
      <c r="BP131">
        <v>1.133364516129032</v>
      </c>
      <c r="BQ131">
        <v>1.115525161290322</v>
      </c>
      <c r="BR131">
        <v>8.753899677419353</v>
      </c>
      <c r="BS131">
        <v>8.519527096774194</v>
      </c>
      <c r="BT131">
        <v>0</v>
      </c>
      <c r="BU131">
        <v>0</v>
      </c>
      <c r="BV131">
        <v>0</v>
      </c>
      <c r="BW131">
        <v>35</v>
      </c>
      <c r="BX131">
        <v>52.24839032258065</v>
      </c>
      <c r="BY131">
        <v>1773196010</v>
      </c>
      <c r="BZ131" t="s">
        <v>332</v>
      </c>
      <c r="CA131">
        <v>1773196010</v>
      </c>
      <c r="CB131">
        <v>1773196005.5</v>
      </c>
      <c r="CC131">
        <v>2</v>
      </c>
      <c r="CD131">
        <v>-0.279</v>
      </c>
      <c r="CE131">
        <v>-0.021</v>
      </c>
      <c r="CF131">
        <v>6.231</v>
      </c>
      <c r="CG131">
        <v>0.081</v>
      </c>
      <c r="CH131">
        <v>432</v>
      </c>
      <c r="CI131">
        <v>21</v>
      </c>
      <c r="CJ131">
        <v>0.03</v>
      </c>
      <c r="CK131">
        <v>0.06</v>
      </c>
      <c r="CL131">
        <v>422.4086333333333</v>
      </c>
      <c r="CM131">
        <v>-0.2400266963288047</v>
      </c>
      <c r="CN131">
        <v>0.02449011138307645</v>
      </c>
      <c r="CO131">
        <v>-1</v>
      </c>
      <c r="CP131">
        <v>500.0035666666666</v>
      </c>
      <c r="CQ131">
        <v>0.1092680756409668</v>
      </c>
      <c r="CR131">
        <v>0.04013284883427919</v>
      </c>
      <c r="CS131">
        <v>-1</v>
      </c>
      <c r="CT131">
        <v>0</v>
      </c>
      <c r="CU131">
        <v>0</v>
      </c>
      <c r="CV131" t="s">
        <v>333</v>
      </c>
      <c r="CW131">
        <v>3.17093</v>
      </c>
      <c r="CX131">
        <v>2.66706</v>
      </c>
      <c r="CY131">
        <v>0.0994172</v>
      </c>
      <c r="CZ131">
        <v>0.10022</v>
      </c>
      <c r="DA131">
        <v>0.0640286</v>
      </c>
      <c r="DB131">
        <v>0.0633333</v>
      </c>
      <c r="DC131">
        <v>21320.4</v>
      </c>
      <c r="DD131">
        <v>21889.2</v>
      </c>
      <c r="DE131">
        <v>22825.5</v>
      </c>
      <c r="DF131">
        <v>22273.4</v>
      </c>
      <c r="DG131">
        <v>32309.2</v>
      </c>
      <c r="DH131">
        <v>29389.6</v>
      </c>
      <c r="DI131">
        <v>40176.2</v>
      </c>
      <c r="DJ131">
        <v>36841.5</v>
      </c>
      <c r="DK131">
        <v>2.02614</v>
      </c>
      <c r="DL131">
        <v>1.49906</v>
      </c>
      <c r="DM131">
        <v>-0.0868917</v>
      </c>
      <c r="DN131">
        <v>0</v>
      </c>
      <c r="DO131">
        <v>32.4887</v>
      </c>
      <c r="DP131">
        <v>999.9</v>
      </c>
      <c r="DQ131">
        <v>23.3</v>
      </c>
      <c r="DR131">
        <v>45.6</v>
      </c>
      <c r="DS131">
        <v>23.1269</v>
      </c>
      <c r="DT131">
        <v>30.0391</v>
      </c>
      <c r="DU131">
        <v>14.2308</v>
      </c>
      <c r="DV131">
        <v>1</v>
      </c>
      <c r="DW131">
        <v>0.890626</v>
      </c>
      <c r="DX131">
        <v>4.23902</v>
      </c>
      <c r="DY131">
        <v>20.2998</v>
      </c>
      <c r="DZ131">
        <v>5.20555</v>
      </c>
      <c r="EA131">
        <v>11.8559</v>
      </c>
      <c r="EB131">
        <v>4.967</v>
      </c>
      <c r="EC131">
        <v>3.29298</v>
      </c>
      <c r="ED131">
        <v>879.4</v>
      </c>
      <c r="EE131">
        <v>9999</v>
      </c>
      <c r="EF131">
        <v>9999</v>
      </c>
      <c r="EG131">
        <v>77.90000000000001</v>
      </c>
      <c r="EH131">
        <v>4.97156</v>
      </c>
      <c r="EI131">
        <v>1.8721</v>
      </c>
      <c r="EJ131">
        <v>1.86947</v>
      </c>
      <c r="EK131">
        <v>1.8718</v>
      </c>
      <c r="EL131">
        <v>1.86955</v>
      </c>
      <c r="EM131">
        <v>1.86842</v>
      </c>
      <c r="EN131">
        <v>1.87021</v>
      </c>
      <c r="EO131">
        <v>1.87195</v>
      </c>
      <c r="EP131">
        <v>0</v>
      </c>
      <c r="EQ131">
        <v>0</v>
      </c>
      <c r="ER131">
        <v>0</v>
      </c>
      <c r="ES131">
        <v>0</v>
      </c>
      <c r="ET131" t="s">
        <v>334</v>
      </c>
      <c r="EU131" t="s">
        <v>335</v>
      </c>
      <c r="EV131" t="s">
        <v>336</v>
      </c>
      <c r="EW131" t="s">
        <v>336</v>
      </c>
      <c r="EX131" t="s">
        <v>336</v>
      </c>
      <c r="EY131" t="s">
        <v>336</v>
      </c>
      <c r="EZ131">
        <v>0</v>
      </c>
      <c r="FA131">
        <v>100</v>
      </c>
      <c r="FB131">
        <v>100</v>
      </c>
      <c r="FC131">
        <v>6.231</v>
      </c>
      <c r="FD131">
        <v>0.0805</v>
      </c>
      <c r="FE131">
        <v>6.23135000000002</v>
      </c>
      <c r="FF131">
        <v>0</v>
      </c>
      <c r="FG131">
        <v>0</v>
      </c>
      <c r="FH131">
        <v>0</v>
      </c>
      <c r="FI131">
        <v>0.08059047619047632</v>
      </c>
      <c r="FJ131">
        <v>0</v>
      </c>
      <c r="FK131">
        <v>0</v>
      </c>
      <c r="FL131">
        <v>0</v>
      </c>
      <c r="FM131">
        <v>-1</v>
      </c>
      <c r="FN131">
        <v>-1</v>
      </c>
      <c r="FO131">
        <v>-1</v>
      </c>
      <c r="FP131">
        <v>-1</v>
      </c>
      <c r="FQ131">
        <v>115.5</v>
      </c>
      <c r="FR131">
        <v>115.6</v>
      </c>
      <c r="FS131">
        <v>0.141602</v>
      </c>
      <c r="FT131">
        <v>4.99756</v>
      </c>
      <c r="FU131">
        <v>1.5979</v>
      </c>
      <c r="FV131">
        <v>2.10938</v>
      </c>
      <c r="FW131">
        <v>1.54785</v>
      </c>
      <c r="FX131">
        <v>2.4231</v>
      </c>
      <c r="FY131">
        <v>47.0634</v>
      </c>
      <c r="FZ131">
        <v>15.5067</v>
      </c>
      <c r="GA131">
        <v>3</v>
      </c>
      <c r="GB131">
        <v>520.117</v>
      </c>
      <c r="GC131">
        <v>290.154</v>
      </c>
      <c r="GD131">
        <v>27.2652</v>
      </c>
      <c r="GE131">
        <v>37.9015</v>
      </c>
      <c r="GF131">
        <v>30.0017</v>
      </c>
      <c r="GG131">
        <v>37.7885</v>
      </c>
      <c r="GH131">
        <v>37.7777</v>
      </c>
      <c r="GI131">
        <v>-1</v>
      </c>
      <c r="GJ131">
        <v>100</v>
      </c>
      <c r="GK131">
        <v>0</v>
      </c>
      <c r="GL131">
        <v>27.2353</v>
      </c>
      <c r="GM131">
        <v>1200</v>
      </c>
      <c r="GN131">
        <v>19.4378</v>
      </c>
      <c r="GO131">
        <v>101.074</v>
      </c>
      <c r="GP131">
        <v>96.20310000000001</v>
      </c>
    </row>
    <row r="132" spans="1:198">
      <c r="A132">
        <v>116</v>
      </c>
      <c r="B132">
        <v>1773203001</v>
      </c>
      <c r="C132">
        <v>6901</v>
      </c>
      <c r="D132" t="s">
        <v>565</v>
      </c>
      <c r="E132" t="s">
        <v>566</v>
      </c>
      <c r="F132">
        <v>15</v>
      </c>
      <c r="G132">
        <v>1773202993</v>
      </c>
      <c r="H132">
        <f>(I132)/1000</f>
        <v>0</v>
      </c>
      <c r="I132">
        <f>1000*AY132*AG132*(AU132-AV132)/(100*AN132*(1000-AG132*AU132))</f>
        <v>0</v>
      </c>
      <c r="J132">
        <f>AY132*AG132*(AT132-AS132*(1000-AG132*AV132)/(1000-AG132*AU132))/(100*AN132)</f>
        <v>0</v>
      </c>
      <c r="K132">
        <f>AS132 - IF(AG132&gt;1, J132*AN132*100.0/(AI132), 0)</f>
        <v>0</v>
      </c>
      <c r="L132">
        <f>((R132-H132/2)*K132-J132)/(R132+H132/2)</f>
        <v>0</v>
      </c>
      <c r="M132">
        <f>L132*(AZ132+BA132)/1000.0</f>
        <v>0</v>
      </c>
      <c r="N132">
        <f>(AS132 - IF(AG132&gt;1, J132*AN132*100.0/(AI132), 0))*(AZ132+BA132)/1000.0</f>
        <v>0</v>
      </c>
      <c r="O132">
        <f>2.0/((1/Q132-1/P132)+SIGN(Q132)*SQRT((1/Q132-1/P132)*(1/Q132-1/P132) + 4*AO132/((AO132+1)*(AO132+1))*(2*1/Q132*1/P132-1/P132*1/P132)))</f>
        <v>0</v>
      </c>
      <c r="P132">
        <f>IF(LEFT(AP132,1)&lt;&gt;"0",IF(LEFT(AP132,1)="1",3.0,AQ132),$D$5+$E$5*(BG132*AZ132/($K$5*1000))+$F$5*(BG132*AZ132/($K$5*1000))*MAX(MIN(AN132,$J$5),$I$5)*MAX(MIN(AN132,$J$5),$I$5)+$G$5*MAX(MIN(AN132,$J$5),$I$5)*(BG132*AZ132/($K$5*1000))+$H$5*(BG132*AZ132/($K$5*1000))*(BG132*AZ132/($K$5*1000)))</f>
        <v>0</v>
      </c>
      <c r="Q132">
        <f>H132*(1000-(1000*0.61365*exp(17.502*U132/(240.97+U132))/(AZ132+BA132)+AU132)/2)/(1000*0.61365*exp(17.502*U132/(240.97+U132))/(AZ132+BA132)-AU132)</f>
        <v>0</v>
      </c>
      <c r="R132">
        <f>1/((AO132+1)/(O132/1.6)+1/(P132/1.37)) + AO132/((AO132+1)/(O132/1.6) + AO132/(P132/1.37))</f>
        <v>0</v>
      </c>
      <c r="S132">
        <f>(AJ132*AM132)</f>
        <v>0</v>
      </c>
      <c r="T132">
        <f>(BB132+(S132+2*0.95*5.67E-8*(((BB132+$B$7)+273)^4-(BB132+273)^4)-44100*H132)/(1.84*29.3*P132+8*0.95*5.67E-8*(BB132+273)^3))</f>
        <v>0</v>
      </c>
      <c r="U132">
        <f>($C$7*BC132+$D$7*BD132+$E$7*T132)</f>
        <v>0</v>
      </c>
      <c r="V132">
        <f>0.61365*exp(17.502*U132/(240.97+U132))</f>
        <v>0</v>
      </c>
      <c r="W132">
        <f>(X132/Y132*100)</f>
        <v>0</v>
      </c>
      <c r="X132">
        <f>AU132*(AZ132+BA132)/1000</f>
        <v>0</v>
      </c>
      <c r="Y132">
        <f>0.61365*exp(17.502*BB132/(240.97+BB132))</f>
        <v>0</v>
      </c>
      <c r="Z132">
        <f>(V132-AU132*(AZ132+BA132)/1000)</f>
        <v>0</v>
      </c>
      <c r="AA132">
        <f>(-H132*44100)</f>
        <v>0</v>
      </c>
      <c r="AB132">
        <f>2*29.3*P132*0.92*(BB132-U132)</f>
        <v>0</v>
      </c>
      <c r="AC132">
        <f>2*0.95*5.67E-8*(((BB132+$B$7)+273)^4-(U132+273)^4)</f>
        <v>0</v>
      </c>
      <c r="AD132">
        <f>S132+AC132+AA132+AB132</f>
        <v>0</v>
      </c>
      <c r="AE132">
        <v>0</v>
      </c>
      <c r="AF132">
        <v>0</v>
      </c>
      <c r="AG132">
        <f>IF(AE132*$H$13&gt;=AI132,1.0,(AI132/(AI132-AE132*$H$13)))</f>
        <v>0</v>
      </c>
      <c r="AH132">
        <f>(AG132-1)*100</f>
        <v>0</v>
      </c>
      <c r="AI132">
        <f>MAX(0,($B$13+$C$13*BG132)/(1+$D$13*BG132)*AZ132/(BB132+273)*$E$13)</f>
        <v>0</v>
      </c>
      <c r="AJ132">
        <f>$B$11*BH132+$C$11*BI132+$D$11*BT132</f>
        <v>0</v>
      </c>
      <c r="AK132">
        <f>AJ132*AL132</f>
        <v>0</v>
      </c>
      <c r="AL132">
        <f>($B$11*$D$9+$C$11*$D$9+$D$11*(BU132*$E$9+BV132*$G$9))/($B$11+$C$11+$D$11)</f>
        <v>0</v>
      </c>
      <c r="AM132">
        <f>($B$11*$K$9+$C$11*$K$9+$D$11*(BU132*$L$9+BV132*$N$9))/($B$11+$C$11+$D$11)</f>
        <v>0</v>
      </c>
      <c r="AN132">
        <v>3</v>
      </c>
      <c r="AO132">
        <v>0.5</v>
      </c>
      <c r="AP132" t="s">
        <v>331</v>
      </c>
      <c r="AQ132">
        <v>2</v>
      </c>
      <c r="AR132">
        <v>1773202993</v>
      </c>
      <c r="AS132">
        <v>424.4864193548386</v>
      </c>
      <c r="AT132">
        <v>422.6240645161291</v>
      </c>
      <c r="AU132">
        <v>11.34784838709678</v>
      </c>
      <c r="AV132">
        <v>11.17143548387097</v>
      </c>
      <c r="AW132">
        <v>418.2550645161289</v>
      </c>
      <c r="AX132">
        <v>11.26725161290323</v>
      </c>
      <c r="AY132">
        <v>499.9697741935483</v>
      </c>
      <c r="AZ132">
        <v>100.1531935483871</v>
      </c>
      <c r="BA132">
        <v>0.04517571290322581</v>
      </c>
      <c r="BB132">
        <v>30.79271290322581</v>
      </c>
      <c r="BC132">
        <v>31.08759677419355</v>
      </c>
      <c r="BD132">
        <v>999.9000000000003</v>
      </c>
      <c r="BE132">
        <v>0</v>
      </c>
      <c r="BF132">
        <v>0</v>
      </c>
      <c r="BG132">
        <v>5003</v>
      </c>
      <c r="BH132">
        <v>1.065810967741936</v>
      </c>
      <c r="BI132">
        <v>2108.034193548388</v>
      </c>
      <c r="BJ132">
        <v>1.86234064516129</v>
      </c>
      <c r="BK132">
        <v>429.3586451612903</v>
      </c>
      <c r="BL132">
        <v>427.3987419354839</v>
      </c>
      <c r="BM132">
        <v>0.1764193548387097</v>
      </c>
      <c r="BN132">
        <v>422.6240645161291</v>
      </c>
      <c r="BO132">
        <v>11.17143548387097</v>
      </c>
      <c r="BP132">
        <v>1.136523548387097</v>
      </c>
      <c r="BQ132">
        <v>1.118854193548387</v>
      </c>
      <c r="BR132">
        <v>8.795064838709676</v>
      </c>
      <c r="BS132">
        <v>8.563516451612903</v>
      </c>
      <c r="BT132">
        <v>0</v>
      </c>
      <c r="BU132">
        <v>0</v>
      </c>
      <c r="BV132">
        <v>0</v>
      </c>
      <c r="BW132">
        <v>35</v>
      </c>
      <c r="BX132">
        <v>51</v>
      </c>
      <c r="BY132">
        <v>1773196010</v>
      </c>
      <c r="BZ132" t="s">
        <v>332</v>
      </c>
      <c r="CA132">
        <v>1773196010</v>
      </c>
      <c r="CB132">
        <v>1773196005.5</v>
      </c>
      <c r="CC132">
        <v>2</v>
      </c>
      <c r="CD132">
        <v>-0.279</v>
      </c>
      <c r="CE132">
        <v>-0.021</v>
      </c>
      <c r="CF132">
        <v>6.231</v>
      </c>
      <c r="CG132">
        <v>0.081</v>
      </c>
      <c r="CH132">
        <v>432</v>
      </c>
      <c r="CI132">
        <v>21</v>
      </c>
      <c r="CJ132">
        <v>0.03</v>
      </c>
      <c r="CK132">
        <v>0.06</v>
      </c>
      <c r="CL132">
        <v>422.6240645161291</v>
      </c>
      <c r="CM132">
        <v>2.854258064515202</v>
      </c>
      <c r="CN132">
        <v>0.2138519137135733</v>
      </c>
      <c r="CO132">
        <v>-1</v>
      </c>
      <c r="CP132">
        <v>499.9697741935483</v>
      </c>
      <c r="CQ132">
        <v>-0.05448387096920616</v>
      </c>
      <c r="CR132">
        <v>0.03306173080322306</v>
      </c>
      <c r="CS132">
        <v>-1</v>
      </c>
      <c r="CT132">
        <v>0</v>
      </c>
      <c r="CU132">
        <v>0</v>
      </c>
      <c r="CV132" t="s">
        <v>333</v>
      </c>
      <c r="CW132">
        <v>3.17093</v>
      </c>
      <c r="CX132">
        <v>2.66671</v>
      </c>
      <c r="CY132">
        <v>0.0994622</v>
      </c>
      <c r="CZ132">
        <v>0.10032</v>
      </c>
      <c r="DA132">
        <v>0.0641695</v>
      </c>
      <c r="DB132">
        <v>0.06349539999999999</v>
      </c>
      <c r="DC132">
        <v>21317.5</v>
      </c>
      <c r="DD132">
        <v>21885.4</v>
      </c>
      <c r="DE132">
        <v>22823.6</v>
      </c>
      <c r="DF132">
        <v>22272</v>
      </c>
      <c r="DG132">
        <v>32301.8</v>
      </c>
      <c r="DH132">
        <v>29382.6</v>
      </c>
      <c r="DI132">
        <v>40173.2</v>
      </c>
      <c r="DJ132">
        <v>36839.1</v>
      </c>
      <c r="DK132">
        <v>2.0256</v>
      </c>
      <c r="DL132">
        <v>1.49804</v>
      </c>
      <c r="DM132">
        <v>-0.0888258</v>
      </c>
      <c r="DN132">
        <v>0</v>
      </c>
      <c r="DO132">
        <v>32.545</v>
      </c>
      <c r="DP132">
        <v>999.9</v>
      </c>
      <c r="DQ132">
        <v>23.5</v>
      </c>
      <c r="DR132">
        <v>45.6</v>
      </c>
      <c r="DS132">
        <v>23.3235</v>
      </c>
      <c r="DT132">
        <v>30.1591</v>
      </c>
      <c r="DU132">
        <v>14.1106</v>
      </c>
      <c r="DV132">
        <v>1</v>
      </c>
      <c r="DW132">
        <v>0.893685</v>
      </c>
      <c r="DX132">
        <v>4.23792</v>
      </c>
      <c r="DY132">
        <v>20.2996</v>
      </c>
      <c r="DZ132">
        <v>5.20974</v>
      </c>
      <c r="EA132">
        <v>11.856</v>
      </c>
      <c r="EB132">
        <v>4.96724</v>
      </c>
      <c r="EC132">
        <v>3.293</v>
      </c>
      <c r="ED132">
        <v>879.4</v>
      </c>
      <c r="EE132">
        <v>9999</v>
      </c>
      <c r="EF132">
        <v>9999</v>
      </c>
      <c r="EG132">
        <v>77.90000000000001</v>
      </c>
      <c r="EH132">
        <v>4.97157</v>
      </c>
      <c r="EI132">
        <v>1.8721</v>
      </c>
      <c r="EJ132">
        <v>1.86948</v>
      </c>
      <c r="EK132">
        <v>1.8718</v>
      </c>
      <c r="EL132">
        <v>1.86955</v>
      </c>
      <c r="EM132">
        <v>1.86841</v>
      </c>
      <c r="EN132">
        <v>1.87019</v>
      </c>
      <c r="EO132">
        <v>1.87195</v>
      </c>
      <c r="EP132">
        <v>0</v>
      </c>
      <c r="EQ132">
        <v>0</v>
      </c>
      <c r="ER132">
        <v>0</v>
      </c>
      <c r="ES132">
        <v>0</v>
      </c>
      <c r="ET132" t="s">
        <v>334</v>
      </c>
      <c r="EU132" t="s">
        <v>335</v>
      </c>
      <c r="EV132" t="s">
        <v>336</v>
      </c>
      <c r="EW132" t="s">
        <v>336</v>
      </c>
      <c r="EX132" t="s">
        <v>336</v>
      </c>
      <c r="EY132" t="s">
        <v>336</v>
      </c>
      <c r="EZ132">
        <v>0</v>
      </c>
      <c r="FA132">
        <v>100</v>
      </c>
      <c r="FB132">
        <v>100</v>
      </c>
      <c r="FC132">
        <v>6.231</v>
      </c>
      <c r="FD132">
        <v>0.0805</v>
      </c>
      <c r="FE132">
        <v>6.23135000000002</v>
      </c>
      <c r="FF132">
        <v>0</v>
      </c>
      <c r="FG132">
        <v>0</v>
      </c>
      <c r="FH132">
        <v>0</v>
      </c>
      <c r="FI132">
        <v>0.08059047619047632</v>
      </c>
      <c r="FJ132">
        <v>0</v>
      </c>
      <c r="FK132">
        <v>0</v>
      </c>
      <c r="FL132">
        <v>0</v>
      </c>
      <c r="FM132">
        <v>-1</v>
      </c>
      <c r="FN132">
        <v>-1</v>
      </c>
      <c r="FO132">
        <v>-1</v>
      </c>
      <c r="FP132">
        <v>-1</v>
      </c>
      <c r="FQ132">
        <v>116.5</v>
      </c>
      <c r="FR132">
        <v>116.6</v>
      </c>
      <c r="FS132">
        <v>0.141602</v>
      </c>
      <c r="FT132">
        <v>4.99634</v>
      </c>
      <c r="FU132">
        <v>1.5979</v>
      </c>
      <c r="FV132">
        <v>2.10938</v>
      </c>
      <c r="FW132">
        <v>1.54785</v>
      </c>
      <c r="FX132">
        <v>2.36084</v>
      </c>
      <c r="FY132">
        <v>47.0932</v>
      </c>
      <c r="FZ132">
        <v>15.498</v>
      </c>
      <c r="GA132">
        <v>3</v>
      </c>
      <c r="GB132">
        <v>519.9299999999999</v>
      </c>
      <c r="GC132">
        <v>289.762</v>
      </c>
      <c r="GD132">
        <v>27.2928</v>
      </c>
      <c r="GE132">
        <v>37.9305</v>
      </c>
      <c r="GF132">
        <v>30.0004</v>
      </c>
      <c r="GG132">
        <v>37.81</v>
      </c>
      <c r="GH132">
        <v>37.7998</v>
      </c>
      <c r="GI132">
        <v>-1</v>
      </c>
      <c r="GJ132">
        <v>100</v>
      </c>
      <c r="GK132">
        <v>0</v>
      </c>
      <c r="GL132">
        <v>27.2912</v>
      </c>
      <c r="GM132">
        <v>1200</v>
      </c>
      <c r="GN132">
        <v>19.4378</v>
      </c>
      <c r="GO132">
        <v>101.066</v>
      </c>
      <c r="GP132">
        <v>96.1969</v>
      </c>
    </row>
    <row r="133" spans="1:198">
      <c r="A133">
        <v>117</v>
      </c>
      <c r="B133">
        <v>1773203061</v>
      </c>
      <c r="C133">
        <v>6961</v>
      </c>
      <c r="D133" t="s">
        <v>567</v>
      </c>
      <c r="E133" t="s">
        <v>568</v>
      </c>
      <c r="F133">
        <v>15</v>
      </c>
      <c r="G133">
        <v>1773203053</v>
      </c>
      <c r="H133">
        <f>(I133)/1000</f>
        <v>0</v>
      </c>
      <c r="I133">
        <f>1000*AY133*AG133*(AU133-AV133)/(100*AN133*(1000-AG133*AU133))</f>
        <v>0</v>
      </c>
      <c r="J133">
        <f>AY133*AG133*(AT133-AS133*(1000-AG133*AV133)/(1000-AG133*AU133))/(100*AN133)</f>
        <v>0</v>
      </c>
      <c r="K133">
        <f>AS133 - IF(AG133&gt;1, J133*AN133*100.0/(AI133), 0)</f>
        <v>0</v>
      </c>
      <c r="L133">
        <f>((R133-H133/2)*K133-J133)/(R133+H133/2)</f>
        <v>0</v>
      </c>
      <c r="M133">
        <f>L133*(AZ133+BA133)/1000.0</f>
        <v>0</v>
      </c>
      <c r="N133">
        <f>(AS133 - IF(AG133&gt;1, J133*AN133*100.0/(AI133), 0))*(AZ133+BA133)/1000.0</f>
        <v>0</v>
      </c>
      <c r="O133">
        <f>2.0/((1/Q133-1/P133)+SIGN(Q133)*SQRT((1/Q133-1/P133)*(1/Q133-1/P133) + 4*AO133/((AO133+1)*(AO133+1))*(2*1/Q133*1/P133-1/P133*1/P133)))</f>
        <v>0</v>
      </c>
      <c r="P133">
        <f>IF(LEFT(AP133,1)&lt;&gt;"0",IF(LEFT(AP133,1)="1",3.0,AQ133),$D$5+$E$5*(BG133*AZ133/($K$5*1000))+$F$5*(BG133*AZ133/($K$5*1000))*MAX(MIN(AN133,$J$5),$I$5)*MAX(MIN(AN133,$J$5),$I$5)+$G$5*MAX(MIN(AN133,$J$5),$I$5)*(BG133*AZ133/($K$5*1000))+$H$5*(BG133*AZ133/($K$5*1000))*(BG133*AZ133/($K$5*1000)))</f>
        <v>0</v>
      </c>
      <c r="Q133">
        <f>H133*(1000-(1000*0.61365*exp(17.502*U133/(240.97+U133))/(AZ133+BA133)+AU133)/2)/(1000*0.61365*exp(17.502*U133/(240.97+U133))/(AZ133+BA133)-AU133)</f>
        <v>0</v>
      </c>
      <c r="R133">
        <f>1/((AO133+1)/(O133/1.6)+1/(P133/1.37)) + AO133/((AO133+1)/(O133/1.6) + AO133/(P133/1.37))</f>
        <v>0</v>
      </c>
      <c r="S133">
        <f>(AJ133*AM133)</f>
        <v>0</v>
      </c>
      <c r="T133">
        <f>(BB133+(S133+2*0.95*5.67E-8*(((BB133+$B$7)+273)^4-(BB133+273)^4)-44100*H133)/(1.84*29.3*P133+8*0.95*5.67E-8*(BB133+273)^3))</f>
        <v>0</v>
      </c>
      <c r="U133">
        <f>($C$7*BC133+$D$7*BD133+$E$7*T133)</f>
        <v>0</v>
      </c>
      <c r="V133">
        <f>0.61365*exp(17.502*U133/(240.97+U133))</f>
        <v>0</v>
      </c>
      <c r="W133">
        <f>(X133/Y133*100)</f>
        <v>0</v>
      </c>
      <c r="X133">
        <f>AU133*(AZ133+BA133)/1000</f>
        <v>0</v>
      </c>
      <c r="Y133">
        <f>0.61365*exp(17.502*BB133/(240.97+BB133))</f>
        <v>0</v>
      </c>
      <c r="Z133">
        <f>(V133-AU133*(AZ133+BA133)/1000)</f>
        <v>0</v>
      </c>
      <c r="AA133">
        <f>(-H133*44100)</f>
        <v>0</v>
      </c>
      <c r="AB133">
        <f>2*29.3*P133*0.92*(BB133-U133)</f>
        <v>0</v>
      </c>
      <c r="AC133">
        <f>2*0.95*5.67E-8*(((BB133+$B$7)+273)^4-(U133+273)^4)</f>
        <v>0</v>
      </c>
      <c r="AD133">
        <f>S133+AC133+AA133+AB133</f>
        <v>0</v>
      </c>
      <c r="AE133">
        <v>0</v>
      </c>
      <c r="AF133">
        <v>0</v>
      </c>
      <c r="AG133">
        <f>IF(AE133*$H$13&gt;=AI133,1.0,(AI133/(AI133-AE133*$H$13)))</f>
        <v>0</v>
      </c>
      <c r="AH133">
        <f>(AG133-1)*100</f>
        <v>0</v>
      </c>
      <c r="AI133">
        <f>MAX(0,($B$13+$C$13*BG133)/(1+$D$13*BG133)*AZ133/(BB133+273)*$E$13)</f>
        <v>0</v>
      </c>
      <c r="AJ133">
        <f>$B$11*BH133+$C$11*BI133+$D$11*BT133</f>
        <v>0</v>
      </c>
      <c r="AK133">
        <f>AJ133*AL133</f>
        <v>0</v>
      </c>
      <c r="AL133">
        <f>($B$11*$D$9+$C$11*$D$9+$D$11*(BU133*$E$9+BV133*$G$9))/($B$11+$C$11+$D$11)</f>
        <v>0</v>
      </c>
      <c r="AM133">
        <f>($B$11*$K$9+$C$11*$K$9+$D$11*(BU133*$L$9+BV133*$N$9))/($B$11+$C$11+$D$11)</f>
        <v>0</v>
      </c>
      <c r="AN133">
        <v>3</v>
      </c>
      <c r="AO133">
        <v>0.5</v>
      </c>
      <c r="AP133" t="s">
        <v>331</v>
      </c>
      <c r="AQ133">
        <v>2</v>
      </c>
      <c r="AR133">
        <v>1773203053</v>
      </c>
      <c r="AS133">
        <v>424.4867096774194</v>
      </c>
      <c r="AT133">
        <v>422.3743548387097</v>
      </c>
      <c r="AU133">
        <v>11.41459677419355</v>
      </c>
      <c r="AV133">
        <v>11.24654838709677</v>
      </c>
      <c r="AW133">
        <v>418.2552903225807</v>
      </c>
      <c r="AX133">
        <v>11.33400322580645</v>
      </c>
      <c r="AY133">
        <v>500.0191935483871</v>
      </c>
      <c r="AZ133">
        <v>100.1521612903226</v>
      </c>
      <c r="BA133">
        <v>0.04540858709677419</v>
      </c>
      <c r="BB133">
        <v>30.79607096774193</v>
      </c>
      <c r="BC133">
        <v>31.11336129032258</v>
      </c>
      <c r="BD133">
        <v>999.9000000000003</v>
      </c>
      <c r="BE133">
        <v>0</v>
      </c>
      <c r="BF133">
        <v>0</v>
      </c>
      <c r="BG133">
        <v>4993.919354838709</v>
      </c>
      <c r="BH133">
        <v>1.097253870967742</v>
      </c>
      <c r="BI133">
        <v>2123.811290322581</v>
      </c>
      <c r="BJ133">
        <v>2.112298387096774</v>
      </c>
      <c r="BK133">
        <v>429.387935483871</v>
      </c>
      <c r="BL133">
        <v>427.1786451612903</v>
      </c>
      <c r="BM133">
        <v>0.1680447741935484</v>
      </c>
      <c r="BN133">
        <v>422.3743548387097</v>
      </c>
      <c r="BO133">
        <v>11.24654838709677</v>
      </c>
      <c r="BP133">
        <v>1.143197096774194</v>
      </c>
      <c r="BQ133">
        <v>1.126366774193549</v>
      </c>
      <c r="BR133">
        <v>8.881698387096776</v>
      </c>
      <c r="BS133">
        <v>8.662360967741938</v>
      </c>
      <c r="BT133">
        <v>0</v>
      </c>
      <c r="BU133">
        <v>0</v>
      </c>
      <c r="BV133">
        <v>0</v>
      </c>
      <c r="BW133">
        <v>35.71613225806451</v>
      </c>
      <c r="BX133">
        <v>50.97742258064517</v>
      </c>
      <c r="BY133">
        <v>1773196010</v>
      </c>
      <c r="BZ133" t="s">
        <v>332</v>
      </c>
      <c r="CA133">
        <v>1773196010</v>
      </c>
      <c r="CB133">
        <v>1773196005.5</v>
      </c>
      <c r="CC133">
        <v>2</v>
      </c>
      <c r="CD133">
        <v>-0.279</v>
      </c>
      <c r="CE133">
        <v>-0.021</v>
      </c>
      <c r="CF133">
        <v>6.231</v>
      </c>
      <c r="CG133">
        <v>0.081</v>
      </c>
      <c r="CH133">
        <v>432</v>
      </c>
      <c r="CI133">
        <v>21</v>
      </c>
      <c r="CJ133">
        <v>0.03</v>
      </c>
      <c r="CK133">
        <v>0.06</v>
      </c>
      <c r="CL133">
        <v>422.3743548387097</v>
      </c>
      <c r="CM133">
        <v>-0.5158064516142803</v>
      </c>
      <c r="CN133">
        <v>0.03940816059837943</v>
      </c>
      <c r="CO133">
        <v>-1</v>
      </c>
      <c r="CP133">
        <v>500.0191935483871</v>
      </c>
      <c r="CQ133">
        <v>0.05385483870867956</v>
      </c>
      <c r="CR133">
        <v>0.01925787539756656</v>
      </c>
      <c r="CS133">
        <v>-1</v>
      </c>
      <c r="CT133">
        <v>0</v>
      </c>
      <c r="CU133">
        <v>0</v>
      </c>
      <c r="CV133" t="s">
        <v>333</v>
      </c>
      <c r="CW133">
        <v>3.17091</v>
      </c>
      <c r="CX133">
        <v>2.66609</v>
      </c>
      <c r="CY133">
        <v>0.0993957</v>
      </c>
      <c r="CZ133">
        <v>0.10019</v>
      </c>
      <c r="DA133">
        <v>0.0644545</v>
      </c>
      <c r="DB133">
        <v>0.0638204</v>
      </c>
      <c r="DC133">
        <v>21316.7</v>
      </c>
      <c r="DD133">
        <v>21886.8</v>
      </c>
      <c r="DE133">
        <v>22821.3</v>
      </c>
      <c r="DF133">
        <v>22270.3</v>
      </c>
      <c r="DG133">
        <v>32289</v>
      </c>
      <c r="DH133">
        <v>29369.9</v>
      </c>
      <c r="DI133">
        <v>40169.6</v>
      </c>
      <c r="DJ133">
        <v>36836.1</v>
      </c>
      <c r="DK133">
        <v>2.02488</v>
      </c>
      <c r="DL133">
        <v>1.49778</v>
      </c>
      <c r="DM133">
        <v>-0.0947982</v>
      </c>
      <c r="DN133">
        <v>0</v>
      </c>
      <c r="DO133">
        <v>32.6316</v>
      </c>
      <c r="DP133">
        <v>999.9</v>
      </c>
      <c r="DQ133">
        <v>23.6</v>
      </c>
      <c r="DR133">
        <v>45.6</v>
      </c>
      <c r="DS133">
        <v>23.4227</v>
      </c>
      <c r="DT133">
        <v>30.0091</v>
      </c>
      <c r="DU133">
        <v>14.2628</v>
      </c>
      <c r="DV133">
        <v>1</v>
      </c>
      <c r="DW133">
        <v>0.898878</v>
      </c>
      <c r="DX133">
        <v>4.22837</v>
      </c>
      <c r="DY133">
        <v>20.2991</v>
      </c>
      <c r="DZ133">
        <v>5.20639</v>
      </c>
      <c r="EA133">
        <v>11.8578</v>
      </c>
      <c r="EB133">
        <v>4.96668</v>
      </c>
      <c r="EC133">
        <v>3.29226</v>
      </c>
      <c r="ED133">
        <v>879.4</v>
      </c>
      <c r="EE133">
        <v>9999</v>
      </c>
      <c r="EF133">
        <v>9999</v>
      </c>
      <c r="EG133">
        <v>78</v>
      </c>
      <c r="EH133">
        <v>4.97158</v>
      </c>
      <c r="EI133">
        <v>1.8721</v>
      </c>
      <c r="EJ133">
        <v>1.86949</v>
      </c>
      <c r="EK133">
        <v>1.8718</v>
      </c>
      <c r="EL133">
        <v>1.86954</v>
      </c>
      <c r="EM133">
        <v>1.86842</v>
      </c>
      <c r="EN133">
        <v>1.87022</v>
      </c>
      <c r="EO133">
        <v>1.87195</v>
      </c>
      <c r="EP133">
        <v>0</v>
      </c>
      <c r="EQ133">
        <v>0</v>
      </c>
      <c r="ER133">
        <v>0</v>
      </c>
      <c r="ES133">
        <v>0</v>
      </c>
      <c r="ET133" t="s">
        <v>334</v>
      </c>
      <c r="EU133" t="s">
        <v>335</v>
      </c>
      <c r="EV133" t="s">
        <v>336</v>
      </c>
      <c r="EW133" t="s">
        <v>336</v>
      </c>
      <c r="EX133" t="s">
        <v>336</v>
      </c>
      <c r="EY133" t="s">
        <v>336</v>
      </c>
      <c r="EZ133">
        <v>0</v>
      </c>
      <c r="FA133">
        <v>100</v>
      </c>
      <c r="FB133">
        <v>100</v>
      </c>
      <c r="FC133">
        <v>6.231</v>
      </c>
      <c r="FD133">
        <v>0.0806</v>
      </c>
      <c r="FE133">
        <v>6.23135000000002</v>
      </c>
      <c r="FF133">
        <v>0</v>
      </c>
      <c r="FG133">
        <v>0</v>
      </c>
      <c r="FH133">
        <v>0</v>
      </c>
      <c r="FI133">
        <v>0.08059047619047632</v>
      </c>
      <c r="FJ133">
        <v>0</v>
      </c>
      <c r="FK133">
        <v>0</v>
      </c>
      <c r="FL133">
        <v>0</v>
      </c>
      <c r="FM133">
        <v>-1</v>
      </c>
      <c r="FN133">
        <v>-1</v>
      </c>
      <c r="FO133">
        <v>-1</v>
      </c>
      <c r="FP133">
        <v>-1</v>
      </c>
      <c r="FQ133">
        <v>117.5</v>
      </c>
      <c r="FR133">
        <v>117.6</v>
      </c>
      <c r="FS133">
        <v>0.141602</v>
      </c>
      <c r="FT133">
        <v>4.99756</v>
      </c>
      <c r="FU133">
        <v>1.5979</v>
      </c>
      <c r="FV133">
        <v>2.10938</v>
      </c>
      <c r="FW133">
        <v>1.54785</v>
      </c>
      <c r="FX133">
        <v>2.48169</v>
      </c>
      <c r="FY133">
        <v>47.1825</v>
      </c>
      <c r="FZ133">
        <v>15.4892</v>
      </c>
      <c r="GA133">
        <v>3</v>
      </c>
      <c r="GB133">
        <v>519.758</v>
      </c>
      <c r="GC133">
        <v>289.788</v>
      </c>
      <c r="GD133">
        <v>27.1848</v>
      </c>
      <c r="GE133">
        <v>37.9789</v>
      </c>
      <c r="GF133">
        <v>30</v>
      </c>
      <c r="GG133">
        <v>37.8496</v>
      </c>
      <c r="GH133">
        <v>37.8384</v>
      </c>
      <c r="GI133">
        <v>-1</v>
      </c>
      <c r="GJ133">
        <v>100</v>
      </c>
      <c r="GK133">
        <v>0</v>
      </c>
      <c r="GL133">
        <v>27.2225</v>
      </c>
      <c r="GM133">
        <v>1200</v>
      </c>
      <c r="GN133">
        <v>19.4378</v>
      </c>
      <c r="GO133">
        <v>101.056</v>
      </c>
      <c r="GP133">
        <v>96.1893</v>
      </c>
    </row>
    <row r="134" spans="1:198">
      <c r="A134">
        <v>118</v>
      </c>
      <c r="B134">
        <v>1773203121</v>
      </c>
      <c r="C134">
        <v>7021</v>
      </c>
      <c r="D134" t="s">
        <v>569</v>
      </c>
      <c r="E134" t="s">
        <v>570</v>
      </c>
      <c r="F134">
        <v>15</v>
      </c>
      <c r="G134">
        <v>1773203113</v>
      </c>
      <c r="H134">
        <f>(I134)/1000</f>
        <v>0</v>
      </c>
      <c r="I134">
        <f>1000*AY134*AG134*(AU134-AV134)/(100*AN134*(1000-AG134*AU134))</f>
        <v>0</v>
      </c>
      <c r="J134">
        <f>AY134*AG134*(AT134-AS134*(1000-AG134*AV134)/(1000-AG134*AU134))/(100*AN134)</f>
        <v>0</v>
      </c>
      <c r="K134">
        <f>AS134 - IF(AG134&gt;1, J134*AN134*100.0/(AI134), 0)</f>
        <v>0</v>
      </c>
      <c r="L134">
        <f>((R134-H134/2)*K134-J134)/(R134+H134/2)</f>
        <v>0</v>
      </c>
      <c r="M134">
        <f>L134*(AZ134+BA134)/1000.0</f>
        <v>0</v>
      </c>
      <c r="N134">
        <f>(AS134 - IF(AG134&gt;1, J134*AN134*100.0/(AI134), 0))*(AZ134+BA134)/1000.0</f>
        <v>0</v>
      </c>
      <c r="O134">
        <f>2.0/((1/Q134-1/P134)+SIGN(Q134)*SQRT((1/Q134-1/P134)*(1/Q134-1/P134) + 4*AO134/((AO134+1)*(AO134+1))*(2*1/Q134*1/P134-1/P134*1/P134)))</f>
        <v>0</v>
      </c>
      <c r="P134">
        <f>IF(LEFT(AP134,1)&lt;&gt;"0",IF(LEFT(AP134,1)="1",3.0,AQ134),$D$5+$E$5*(BG134*AZ134/($K$5*1000))+$F$5*(BG134*AZ134/($K$5*1000))*MAX(MIN(AN134,$J$5),$I$5)*MAX(MIN(AN134,$J$5),$I$5)+$G$5*MAX(MIN(AN134,$J$5),$I$5)*(BG134*AZ134/($K$5*1000))+$H$5*(BG134*AZ134/($K$5*1000))*(BG134*AZ134/($K$5*1000)))</f>
        <v>0</v>
      </c>
      <c r="Q134">
        <f>H134*(1000-(1000*0.61365*exp(17.502*U134/(240.97+U134))/(AZ134+BA134)+AU134)/2)/(1000*0.61365*exp(17.502*U134/(240.97+U134))/(AZ134+BA134)-AU134)</f>
        <v>0</v>
      </c>
      <c r="R134">
        <f>1/((AO134+1)/(O134/1.6)+1/(P134/1.37)) + AO134/((AO134+1)/(O134/1.6) + AO134/(P134/1.37))</f>
        <v>0</v>
      </c>
      <c r="S134">
        <f>(AJ134*AM134)</f>
        <v>0</v>
      </c>
      <c r="T134">
        <f>(BB134+(S134+2*0.95*5.67E-8*(((BB134+$B$7)+273)^4-(BB134+273)^4)-44100*H134)/(1.84*29.3*P134+8*0.95*5.67E-8*(BB134+273)^3))</f>
        <v>0</v>
      </c>
      <c r="U134">
        <f>($C$7*BC134+$D$7*BD134+$E$7*T134)</f>
        <v>0</v>
      </c>
      <c r="V134">
        <f>0.61365*exp(17.502*U134/(240.97+U134))</f>
        <v>0</v>
      </c>
      <c r="W134">
        <f>(X134/Y134*100)</f>
        <v>0</v>
      </c>
      <c r="X134">
        <f>AU134*(AZ134+BA134)/1000</f>
        <v>0</v>
      </c>
      <c r="Y134">
        <f>0.61365*exp(17.502*BB134/(240.97+BB134))</f>
        <v>0</v>
      </c>
      <c r="Z134">
        <f>(V134-AU134*(AZ134+BA134)/1000)</f>
        <v>0</v>
      </c>
      <c r="AA134">
        <f>(-H134*44100)</f>
        <v>0</v>
      </c>
      <c r="AB134">
        <f>2*29.3*P134*0.92*(BB134-U134)</f>
        <v>0</v>
      </c>
      <c r="AC134">
        <f>2*0.95*5.67E-8*(((BB134+$B$7)+273)^4-(U134+273)^4)</f>
        <v>0</v>
      </c>
      <c r="AD134">
        <f>S134+AC134+AA134+AB134</f>
        <v>0</v>
      </c>
      <c r="AE134">
        <v>0</v>
      </c>
      <c r="AF134">
        <v>0</v>
      </c>
      <c r="AG134">
        <f>IF(AE134*$H$13&gt;=AI134,1.0,(AI134/(AI134-AE134*$H$13)))</f>
        <v>0</v>
      </c>
      <c r="AH134">
        <f>(AG134-1)*100</f>
        <v>0</v>
      </c>
      <c r="AI134">
        <f>MAX(0,($B$13+$C$13*BG134)/(1+$D$13*BG134)*AZ134/(BB134+273)*$E$13)</f>
        <v>0</v>
      </c>
      <c r="AJ134">
        <f>$B$11*BH134+$C$11*BI134+$D$11*BT134</f>
        <v>0</v>
      </c>
      <c r="AK134">
        <f>AJ134*AL134</f>
        <v>0</v>
      </c>
      <c r="AL134">
        <f>($B$11*$D$9+$C$11*$D$9+$D$11*(BU134*$E$9+BV134*$G$9))/($B$11+$C$11+$D$11)</f>
        <v>0</v>
      </c>
      <c r="AM134">
        <f>($B$11*$K$9+$C$11*$K$9+$D$11*(BU134*$L$9+BV134*$N$9))/($B$11+$C$11+$D$11)</f>
        <v>0</v>
      </c>
      <c r="AN134">
        <v>3</v>
      </c>
      <c r="AO134">
        <v>0.5</v>
      </c>
      <c r="AP134" t="s">
        <v>331</v>
      </c>
      <c r="AQ134">
        <v>2</v>
      </c>
      <c r="AR134">
        <v>1773203113</v>
      </c>
      <c r="AS134">
        <v>424.4336451612903</v>
      </c>
      <c r="AT134">
        <v>422.4682903225806</v>
      </c>
      <c r="AU134">
        <v>11.47018709677419</v>
      </c>
      <c r="AV134">
        <v>11.30436129032258</v>
      </c>
      <c r="AW134">
        <v>418.2023225806452</v>
      </c>
      <c r="AX134">
        <v>11.3895935483871</v>
      </c>
      <c r="AY134">
        <v>500.0067741935484</v>
      </c>
      <c r="AZ134">
        <v>100.1495806451613</v>
      </c>
      <c r="BA134">
        <v>0.04611928709677418</v>
      </c>
      <c r="BB134">
        <v>30.78400322580645</v>
      </c>
      <c r="BC134">
        <v>31.07517419354839</v>
      </c>
      <c r="BD134">
        <v>999.9000000000003</v>
      </c>
      <c r="BE134">
        <v>0</v>
      </c>
      <c r="BF134">
        <v>0</v>
      </c>
      <c r="BG134">
        <v>5008.354838709677</v>
      </c>
      <c r="BH134">
        <v>1.087483870967742</v>
      </c>
      <c r="BI134">
        <v>2175.112580645161</v>
      </c>
      <c r="BJ134">
        <v>1.965362903225807</v>
      </c>
      <c r="BK134">
        <v>429.3583870967743</v>
      </c>
      <c r="BL134">
        <v>427.2986451612903</v>
      </c>
      <c r="BM134">
        <v>0.1658295483870968</v>
      </c>
      <c r="BN134">
        <v>422.4682903225806</v>
      </c>
      <c r="BO134">
        <v>11.30436129032258</v>
      </c>
      <c r="BP134">
        <v>1.148733870967742</v>
      </c>
      <c r="BQ134">
        <v>1.132126129032258</v>
      </c>
      <c r="BR134">
        <v>8.95324290322581</v>
      </c>
      <c r="BS134">
        <v>8.737748064516129</v>
      </c>
      <c r="BT134">
        <v>0</v>
      </c>
      <c r="BU134">
        <v>0</v>
      </c>
      <c r="BV134">
        <v>0</v>
      </c>
      <c r="BW134">
        <v>35.42903225806452</v>
      </c>
      <c r="BX134">
        <v>51</v>
      </c>
      <c r="BY134">
        <v>1773196010</v>
      </c>
      <c r="BZ134" t="s">
        <v>332</v>
      </c>
      <c r="CA134">
        <v>1773196010</v>
      </c>
      <c r="CB134">
        <v>1773196005.5</v>
      </c>
      <c r="CC134">
        <v>2</v>
      </c>
      <c r="CD134">
        <v>-0.279</v>
      </c>
      <c r="CE134">
        <v>-0.021</v>
      </c>
      <c r="CF134">
        <v>6.231</v>
      </c>
      <c r="CG134">
        <v>0.081</v>
      </c>
      <c r="CH134">
        <v>432</v>
      </c>
      <c r="CI134">
        <v>21</v>
      </c>
      <c r="CJ134">
        <v>0.03</v>
      </c>
      <c r="CK134">
        <v>0.06</v>
      </c>
      <c r="CL134">
        <v>422.4682903225806</v>
      </c>
      <c r="CM134">
        <v>1.141935483869974</v>
      </c>
      <c r="CN134">
        <v>0.08551030632030673</v>
      </c>
      <c r="CO134">
        <v>-1</v>
      </c>
      <c r="CP134">
        <v>500.0067741935484</v>
      </c>
      <c r="CQ134">
        <v>0.03895161290187229</v>
      </c>
      <c r="CR134">
        <v>0.039881849438967</v>
      </c>
      <c r="CS134">
        <v>-1</v>
      </c>
      <c r="CT134">
        <v>0</v>
      </c>
      <c r="CU134">
        <v>0</v>
      </c>
      <c r="CV134" t="s">
        <v>333</v>
      </c>
      <c r="CW134">
        <v>3.17087</v>
      </c>
      <c r="CX134">
        <v>2.6675</v>
      </c>
      <c r="CY134">
        <v>0.0994149</v>
      </c>
      <c r="CZ134">
        <v>0.10023</v>
      </c>
      <c r="DA134">
        <v>0.0646809</v>
      </c>
      <c r="DB134">
        <v>0.0640559</v>
      </c>
      <c r="DC134">
        <v>21314</v>
      </c>
      <c r="DD134">
        <v>21883.8</v>
      </c>
      <c r="DE134">
        <v>22819.1</v>
      </c>
      <c r="DF134">
        <v>22268.4</v>
      </c>
      <c r="DG134">
        <v>32278.1</v>
      </c>
      <c r="DH134">
        <v>29359.8</v>
      </c>
      <c r="DI134">
        <v>40165.8</v>
      </c>
      <c r="DJ134">
        <v>36832.7</v>
      </c>
      <c r="DK134">
        <v>2.02472</v>
      </c>
      <c r="DL134">
        <v>1.49632</v>
      </c>
      <c r="DM134">
        <v>-0.091368</v>
      </c>
      <c r="DN134">
        <v>0</v>
      </c>
      <c r="DO134">
        <v>32.5502</v>
      </c>
      <c r="DP134">
        <v>999.9</v>
      </c>
      <c r="DQ134">
        <v>23.7</v>
      </c>
      <c r="DR134">
        <v>45.6</v>
      </c>
      <c r="DS134">
        <v>23.5239</v>
      </c>
      <c r="DT134">
        <v>29.9791</v>
      </c>
      <c r="DU134">
        <v>14.4431</v>
      </c>
      <c r="DV134">
        <v>1</v>
      </c>
      <c r="DW134">
        <v>0.902191</v>
      </c>
      <c r="DX134">
        <v>4.08403</v>
      </c>
      <c r="DY134">
        <v>20.3033</v>
      </c>
      <c r="DZ134">
        <v>5.20687</v>
      </c>
      <c r="EA134">
        <v>11.8573</v>
      </c>
      <c r="EB134">
        <v>4.96724</v>
      </c>
      <c r="EC134">
        <v>3.293</v>
      </c>
      <c r="ED134">
        <v>879.4</v>
      </c>
      <c r="EE134">
        <v>9999</v>
      </c>
      <c r="EF134">
        <v>9999</v>
      </c>
      <c r="EG134">
        <v>78</v>
      </c>
      <c r="EH134">
        <v>4.9716</v>
      </c>
      <c r="EI134">
        <v>1.8721</v>
      </c>
      <c r="EJ134">
        <v>1.86951</v>
      </c>
      <c r="EK134">
        <v>1.8718</v>
      </c>
      <c r="EL134">
        <v>1.86964</v>
      </c>
      <c r="EM134">
        <v>1.86837</v>
      </c>
      <c r="EN134">
        <v>1.87024</v>
      </c>
      <c r="EO134">
        <v>1.87195</v>
      </c>
      <c r="EP134">
        <v>0</v>
      </c>
      <c r="EQ134">
        <v>0</v>
      </c>
      <c r="ER134">
        <v>0</v>
      </c>
      <c r="ES134">
        <v>0</v>
      </c>
      <c r="ET134" t="s">
        <v>334</v>
      </c>
      <c r="EU134" t="s">
        <v>335</v>
      </c>
      <c r="EV134" t="s">
        <v>336</v>
      </c>
      <c r="EW134" t="s">
        <v>336</v>
      </c>
      <c r="EX134" t="s">
        <v>336</v>
      </c>
      <c r="EY134" t="s">
        <v>336</v>
      </c>
      <c r="EZ134">
        <v>0</v>
      </c>
      <c r="FA134">
        <v>100</v>
      </c>
      <c r="FB134">
        <v>100</v>
      </c>
      <c r="FC134">
        <v>6.232</v>
      </c>
      <c r="FD134">
        <v>0.0806</v>
      </c>
      <c r="FE134">
        <v>6.23135000000002</v>
      </c>
      <c r="FF134">
        <v>0</v>
      </c>
      <c r="FG134">
        <v>0</v>
      </c>
      <c r="FH134">
        <v>0</v>
      </c>
      <c r="FI134">
        <v>0.08059047619047632</v>
      </c>
      <c r="FJ134">
        <v>0</v>
      </c>
      <c r="FK134">
        <v>0</v>
      </c>
      <c r="FL134">
        <v>0</v>
      </c>
      <c r="FM134">
        <v>-1</v>
      </c>
      <c r="FN134">
        <v>-1</v>
      </c>
      <c r="FO134">
        <v>-1</v>
      </c>
      <c r="FP134">
        <v>-1</v>
      </c>
      <c r="FQ134">
        <v>118.5</v>
      </c>
      <c r="FR134">
        <v>118.6</v>
      </c>
      <c r="FS134">
        <v>0.141602</v>
      </c>
      <c r="FT134">
        <v>4.99756</v>
      </c>
      <c r="FU134">
        <v>1.5979</v>
      </c>
      <c r="FV134">
        <v>2.10938</v>
      </c>
      <c r="FW134">
        <v>1.54785</v>
      </c>
      <c r="FX134">
        <v>2.48901</v>
      </c>
      <c r="FY134">
        <v>47.2123</v>
      </c>
      <c r="FZ134">
        <v>15.4892</v>
      </c>
      <c r="GA134">
        <v>3</v>
      </c>
      <c r="GB134">
        <v>519.9690000000001</v>
      </c>
      <c r="GC134">
        <v>289.271</v>
      </c>
      <c r="GD134">
        <v>27.3993</v>
      </c>
      <c r="GE134">
        <v>38.0275</v>
      </c>
      <c r="GF134">
        <v>30.0005</v>
      </c>
      <c r="GG134">
        <v>37.8936</v>
      </c>
      <c r="GH134">
        <v>37.8815</v>
      </c>
      <c r="GI134">
        <v>-1</v>
      </c>
      <c r="GJ134">
        <v>100</v>
      </c>
      <c r="GK134">
        <v>0</v>
      </c>
      <c r="GL134">
        <v>27.4025</v>
      </c>
      <c r="GM134">
        <v>1200</v>
      </c>
      <c r="GN134">
        <v>19.4378</v>
      </c>
      <c r="GO134">
        <v>101.047</v>
      </c>
      <c r="GP134">
        <v>96.1807</v>
      </c>
    </row>
    <row r="135" spans="1:198">
      <c r="A135">
        <v>119</v>
      </c>
      <c r="B135">
        <v>1773203181</v>
      </c>
      <c r="C135">
        <v>7081</v>
      </c>
      <c r="D135" t="s">
        <v>571</v>
      </c>
      <c r="E135" t="s">
        <v>572</v>
      </c>
      <c r="F135">
        <v>15</v>
      </c>
      <c r="G135">
        <v>1773203173</v>
      </c>
      <c r="H135">
        <f>(I135)/1000</f>
        <v>0</v>
      </c>
      <c r="I135">
        <f>1000*AY135*AG135*(AU135-AV135)/(100*AN135*(1000-AG135*AU135))</f>
        <v>0</v>
      </c>
      <c r="J135">
        <f>AY135*AG135*(AT135-AS135*(1000-AG135*AV135)/(1000-AG135*AU135))/(100*AN135)</f>
        <v>0</v>
      </c>
      <c r="K135">
        <f>AS135 - IF(AG135&gt;1, J135*AN135*100.0/(AI135), 0)</f>
        <v>0</v>
      </c>
      <c r="L135">
        <f>((R135-H135/2)*K135-J135)/(R135+H135/2)</f>
        <v>0</v>
      </c>
      <c r="M135">
        <f>L135*(AZ135+BA135)/1000.0</f>
        <v>0</v>
      </c>
      <c r="N135">
        <f>(AS135 - IF(AG135&gt;1, J135*AN135*100.0/(AI135), 0))*(AZ135+BA135)/1000.0</f>
        <v>0</v>
      </c>
      <c r="O135">
        <f>2.0/((1/Q135-1/P135)+SIGN(Q135)*SQRT((1/Q135-1/P135)*(1/Q135-1/P135) + 4*AO135/((AO135+1)*(AO135+1))*(2*1/Q135*1/P135-1/P135*1/P135)))</f>
        <v>0</v>
      </c>
      <c r="P135">
        <f>IF(LEFT(AP135,1)&lt;&gt;"0",IF(LEFT(AP135,1)="1",3.0,AQ135),$D$5+$E$5*(BG135*AZ135/($K$5*1000))+$F$5*(BG135*AZ135/($K$5*1000))*MAX(MIN(AN135,$J$5),$I$5)*MAX(MIN(AN135,$J$5),$I$5)+$G$5*MAX(MIN(AN135,$J$5),$I$5)*(BG135*AZ135/($K$5*1000))+$H$5*(BG135*AZ135/($K$5*1000))*(BG135*AZ135/($K$5*1000)))</f>
        <v>0</v>
      </c>
      <c r="Q135">
        <f>H135*(1000-(1000*0.61365*exp(17.502*U135/(240.97+U135))/(AZ135+BA135)+AU135)/2)/(1000*0.61365*exp(17.502*U135/(240.97+U135))/(AZ135+BA135)-AU135)</f>
        <v>0</v>
      </c>
      <c r="R135">
        <f>1/((AO135+1)/(O135/1.6)+1/(P135/1.37)) + AO135/((AO135+1)/(O135/1.6) + AO135/(P135/1.37))</f>
        <v>0</v>
      </c>
      <c r="S135">
        <f>(AJ135*AM135)</f>
        <v>0</v>
      </c>
      <c r="T135">
        <f>(BB135+(S135+2*0.95*5.67E-8*(((BB135+$B$7)+273)^4-(BB135+273)^4)-44100*H135)/(1.84*29.3*P135+8*0.95*5.67E-8*(BB135+273)^3))</f>
        <v>0</v>
      </c>
      <c r="U135">
        <f>($C$7*BC135+$D$7*BD135+$E$7*T135)</f>
        <v>0</v>
      </c>
      <c r="V135">
        <f>0.61365*exp(17.502*U135/(240.97+U135))</f>
        <v>0</v>
      </c>
      <c r="W135">
        <f>(X135/Y135*100)</f>
        <v>0</v>
      </c>
      <c r="X135">
        <f>AU135*(AZ135+BA135)/1000</f>
        <v>0</v>
      </c>
      <c r="Y135">
        <f>0.61365*exp(17.502*BB135/(240.97+BB135))</f>
        <v>0</v>
      </c>
      <c r="Z135">
        <f>(V135-AU135*(AZ135+BA135)/1000)</f>
        <v>0</v>
      </c>
      <c r="AA135">
        <f>(-H135*44100)</f>
        <v>0</v>
      </c>
      <c r="AB135">
        <f>2*29.3*P135*0.92*(BB135-U135)</f>
        <v>0</v>
      </c>
      <c r="AC135">
        <f>2*0.95*5.67E-8*(((BB135+$B$7)+273)^4-(U135+273)^4)</f>
        <v>0</v>
      </c>
      <c r="AD135">
        <f>S135+AC135+AA135+AB135</f>
        <v>0</v>
      </c>
      <c r="AE135">
        <v>0</v>
      </c>
      <c r="AF135">
        <v>0</v>
      </c>
      <c r="AG135">
        <f>IF(AE135*$H$13&gt;=AI135,1.0,(AI135/(AI135-AE135*$H$13)))</f>
        <v>0</v>
      </c>
      <c r="AH135">
        <f>(AG135-1)*100</f>
        <v>0</v>
      </c>
      <c r="AI135">
        <f>MAX(0,($B$13+$C$13*BG135)/(1+$D$13*BG135)*AZ135/(BB135+273)*$E$13)</f>
        <v>0</v>
      </c>
      <c r="AJ135">
        <f>$B$11*BH135+$C$11*BI135+$D$11*BT135</f>
        <v>0</v>
      </c>
      <c r="AK135">
        <f>AJ135*AL135</f>
        <v>0</v>
      </c>
      <c r="AL135">
        <f>($B$11*$D$9+$C$11*$D$9+$D$11*(BU135*$E$9+BV135*$G$9))/($B$11+$C$11+$D$11)</f>
        <v>0</v>
      </c>
      <c r="AM135">
        <f>($B$11*$K$9+$C$11*$K$9+$D$11*(BU135*$L$9+BV135*$N$9))/($B$11+$C$11+$D$11)</f>
        <v>0</v>
      </c>
      <c r="AN135">
        <v>3</v>
      </c>
      <c r="AO135">
        <v>0.5</v>
      </c>
      <c r="AP135" t="s">
        <v>331</v>
      </c>
      <c r="AQ135">
        <v>2</v>
      </c>
      <c r="AR135">
        <v>1773203173</v>
      </c>
      <c r="AS135">
        <v>424.6806774193549</v>
      </c>
      <c r="AT135">
        <v>422.5905806451614</v>
      </c>
      <c r="AU135">
        <v>11.4476</v>
      </c>
      <c r="AV135">
        <v>11.25873870967742</v>
      </c>
      <c r="AW135">
        <v>418.4492580645162</v>
      </c>
      <c r="AX135">
        <v>11.36700967741935</v>
      </c>
      <c r="AY135">
        <v>500.0040322580645</v>
      </c>
      <c r="AZ135">
        <v>100.1484193548387</v>
      </c>
      <c r="BA135">
        <v>0.04545464516129032</v>
      </c>
      <c r="BB135">
        <v>30.76780645161289</v>
      </c>
      <c r="BC135">
        <v>31.0362</v>
      </c>
      <c r="BD135">
        <v>999.9000000000003</v>
      </c>
      <c r="BE135">
        <v>0</v>
      </c>
      <c r="BF135">
        <v>0</v>
      </c>
      <c r="BG135">
        <v>4994.306451612903</v>
      </c>
      <c r="BH135">
        <v>1.090256129032258</v>
      </c>
      <c r="BI135">
        <v>2142.545806451613</v>
      </c>
      <c r="BJ135">
        <v>2.090070322580645</v>
      </c>
      <c r="BK135">
        <v>429.5984838709677</v>
      </c>
      <c r="BL135">
        <v>427.4026774193548</v>
      </c>
      <c r="BM135">
        <v>0.1888579354838709</v>
      </c>
      <c r="BN135">
        <v>422.5905806451614</v>
      </c>
      <c r="BO135">
        <v>11.25873870967742</v>
      </c>
      <c r="BP135">
        <v>1.146458709677419</v>
      </c>
      <c r="BQ135">
        <v>1.127544838709677</v>
      </c>
      <c r="BR135">
        <v>8.923878709677417</v>
      </c>
      <c r="BS135">
        <v>8.677807419354838</v>
      </c>
      <c r="BT135">
        <v>0</v>
      </c>
      <c r="BU135">
        <v>0</v>
      </c>
      <c r="BV135">
        <v>0</v>
      </c>
      <c r="BW135">
        <v>35</v>
      </c>
      <c r="BX135">
        <v>50.08064193548386</v>
      </c>
      <c r="BY135">
        <v>1773196010</v>
      </c>
      <c r="BZ135" t="s">
        <v>332</v>
      </c>
      <c r="CA135">
        <v>1773196010</v>
      </c>
      <c r="CB135">
        <v>1773196005.5</v>
      </c>
      <c r="CC135">
        <v>2</v>
      </c>
      <c r="CD135">
        <v>-0.279</v>
      </c>
      <c r="CE135">
        <v>-0.021</v>
      </c>
      <c r="CF135">
        <v>6.231</v>
      </c>
      <c r="CG135">
        <v>0.081</v>
      </c>
      <c r="CH135">
        <v>432</v>
      </c>
      <c r="CI135">
        <v>21</v>
      </c>
      <c r="CJ135">
        <v>0.03</v>
      </c>
      <c r="CK135">
        <v>0.06</v>
      </c>
      <c r="CL135">
        <v>422.5927000000001</v>
      </c>
      <c r="CM135">
        <v>-0.7015528364836328</v>
      </c>
      <c r="CN135">
        <v>0.05178040169793889</v>
      </c>
      <c r="CO135">
        <v>-1</v>
      </c>
      <c r="CP135">
        <v>500.0051666666666</v>
      </c>
      <c r="CQ135">
        <v>-0.02036929922151435</v>
      </c>
      <c r="CR135">
        <v>0.02588317772007206</v>
      </c>
      <c r="CS135">
        <v>-1</v>
      </c>
      <c r="CT135">
        <v>0</v>
      </c>
      <c r="CU135">
        <v>0</v>
      </c>
      <c r="CV135" t="s">
        <v>333</v>
      </c>
      <c r="CW135">
        <v>3.17088</v>
      </c>
      <c r="CX135">
        <v>2.66679</v>
      </c>
      <c r="CY135">
        <v>0.0994246</v>
      </c>
      <c r="CZ135">
        <v>0.100206</v>
      </c>
      <c r="DA135">
        <v>0.0644994</v>
      </c>
      <c r="DB135">
        <v>0.0637765</v>
      </c>
      <c r="DC135">
        <v>21312.2</v>
      </c>
      <c r="DD135">
        <v>21883.7</v>
      </c>
      <c r="DE135">
        <v>22817.5</v>
      </c>
      <c r="DF135">
        <v>22267.8</v>
      </c>
      <c r="DG135">
        <v>32282.3</v>
      </c>
      <c r="DH135">
        <v>29367.5</v>
      </c>
      <c r="DI135">
        <v>40163.3</v>
      </c>
      <c r="DJ135">
        <v>36831.5</v>
      </c>
      <c r="DK135">
        <v>2.02462</v>
      </c>
      <c r="DL135">
        <v>1.49588</v>
      </c>
      <c r="DM135">
        <v>-0.08412600000000001</v>
      </c>
      <c r="DN135">
        <v>0</v>
      </c>
      <c r="DO135">
        <v>32.3971</v>
      </c>
      <c r="DP135">
        <v>999.9</v>
      </c>
      <c r="DQ135">
        <v>23.8</v>
      </c>
      <c r="DR135">
        <v>45.7</v>
      </c>
      <c r="DS135">
        <v>23.746</v>
      </c>
      <c r="DT135">
        <v>30.0391</v>
      </c>
      <c r="DU135">
        <v>14.0825</v>
      </c>
      <c r="DV135">
        <v>1</v>
      </c>
      <c r="DW135">
        <v>0.901957</v>
      </c>
      <c r="DX135">
        <v>3.73172</v>
      </c>
      <c r="DY135">
        <v>20.3129</v>
      </c>
      <c r="DZ135">
        <v>5.20854</v>
      </c>
      <c r="EA135">
        <v>11.856</v>
      </c>
      <c r="EB135">
        <v>4.96624</v>
      </c>
      <c r="EC135">
        <v>3.29298</v>
      </c>
      <c r="ED135">
        <v>879.4</v>
      </c>
      <c r="EE135">
        <v>9999</v>
      </c>
      <c r="EF135">
        <v>9999</v>
      </c>
      <c r="EG135">
        <v>78</v>
      </c>
      <c r="EH135">
        <v>4.97157</v>
      </c>
      <c r="EI135">
        <v>1.8721</v>
      </c>
      <c r="EJ135">
        <v>1.86949</v>
      </c>
      <c r="EK135">
        <v>1.8718</v>
      </c>
      <c r="EL135">
        <v>1.86957</v>
      </c>
      <c r="EM135">
        <v>1.8684</v>
      </c>
      <c r="EN135">
        <v>1.87023</v>
      </c>
      <c r="EO135">
        <v>1.87195</v>
      </c>
      <c r="EP135">
        <v>0</v>
      </c>
      <c r="EQ135">
        <v>0</v>
      </c>
      <c r="ER135">
        <v>0</v>
      </c>
      <c r="ES135">
        <v>0</v>
      </c>
      <c r="ET135" t="s">
        <v>334</v>
      </c>
      <c r="EU135" t="s">
        <v>335</v>
      </c>
      <c r="EV135" t="s">
        <v>336</v>
      </c>
      <c r="EW135" t="s">
        <v>336</v>
      </c>
      <c r="EX135" t="s">
        <v>336</v>
      </c>
      <c r="EY135" t="s">
        <v>336</v>
      </c>
      <c r="EZ135">
        <v>0</v>
      </c>
      <c r="FA135">
        <v>100</v>
      </c>
      <c r="FB135">
        <v>100</v>
      </c>
      <c r="FC135">
        <v>6.232</v>
      </c>
      <c r="FD135">
        <v>0.0806</v>
      </c>
      <c r="FE135">
        <v>6.23135000000002</v>
      </c>
      <c r="FF135">
        <v>0</v>
      </c>
      <c r="FG135">
        <v>0</v>
      </c>
      <c r="FH135">
        <v>0</v>
      </c>
      <c r="FI135">
        <v>0.08059047619047632</v>
      </c>
      <c r="FJ135">
        <v>0</v>
      </c>
      <c r="FK135">
        <v>0</v>
      </c>
      <c r="FL135">
        <v>0</v>
      </c>
      <c r="FM135">
        <v>-1</v>
      </c>
      <c r="FN135">
        <v>-1</v>
      </c>
      <c r="FO135">
        <v>-1</v>
      </c>
      <c r="FP135">
        <v>-1</v>
      </c>
      <c r="FQ135">
        <v>119.5</v>
      </c>
      <c r="FR135">
        <v>119.6</v>
      </c>
      <c r="FS135">
        <v>0.141602</v>
      </c>
      <c r="FT135">
        <v>4.99756</v>
      </c>
      <c r="FU135">
        <v>1.5979</v>
      </c>
      <c r="FV135">
        <v>2.10938</v>
      </c>
      <c r="FW135">
        <v>1.54785</v>
      </c>
      <c r="FX135">
        <v>2.39502</v>
      </c>
      <c r="FY135">
        <v>47.2123</v>
      </c>
      <c r="FZ135">
        <v>15.4804</v>
      </c>
      <c r="GA135">
        <v>3</v>
      </c>
      <c r="GB135">
        <v>520.0839999999999</v>
      </c>
      <c r="GC135">
        <v>289.145</v>
      </c>
      <c r="GD135">
        <v>27.6149</v>
      </c>
      <c r="GE135">
        <v>38.0463</v>
      </c>
      <c r="GF135">
        <v>30</v>
      </c>
      <c r="GG135">
        <v>37.9187</v>
      </c>
      <c r="GH135">
        <v>37.9023</v>
      </c>
      <c r="GI135">
        <v>-1</v>
      </c>
      <c r="GJ135">
        <v>100</v>
      </c>
      <c r="GK135">
        <v>0</v>
      </c>
      <c r="GL135">
        <v>27.6273</v>
      </c>
      <c r="GM135">
        <v>1200</v>
      </c>
      <c r="GN135">
        <v>19.4378</v>
      </c>
      <c r="GO135">
        <v>101.04</v>
      </c>
      <c r="GP135">
        <v>96.1777</v>
      </c>
    </row>
    <row r="136" spans="1:198">
      <c r="A136">
        <v>120</v>
      </c>
      <c r="B136">
        <v>1773203241</v>
      </c>
      <c r="C136">
        <v>7141</v>
      </c>
      <c r="D136" t="s">
        <v>573</v>
      </c>
      <c r="E136" t="s">
        <v>574</v>
      </c>
      <c r="F136">
        <v>15</v>
      </c>
      <c r="G136">
        <v>1773203233</v>
      </c>
      <c r="H136">
        <f>(I136)/1000</f>
        <v>0</v>
      </c>
      <c r="I136">
        <f>1000*AY136*AG136*(AU136-AV136)/(100*AN136*(1000-AG136*AU136))</f>
        <v>0</v>
      </c>
      <c r="J136">
        <f>AY136*AG136*(AT136-AS136*(1000-AG136*AV136)/(1000-AG136*AU136))/(100*AN136)</f>
        <v>0</v>
      </c>
      <c r="K136">
        <f>AS136 - IF(AG136&gt;1, J136*AN136*100.0/(AI136), 0)</f>
        <v>0</v>
      </c>
      <c r="L136">
        <f>((R136-H136/2)*K136-J136)/(R136+H136/2)</f>
        <v>0</v>
      </c>
      <c r="M136">
        <f>L136*(AZ136+BA136)/1000.0</f>
        <v>0</v>
      </c>
      <c r="N136">
        <f>(AS136 - IF(AG136&gt;1, J136*AN136*100.0/(AI136), 0))*(AZ136+BA136)/1000.0</f>
        <v>0</v>
      </c>
      <c r="O136">
        <f>2.0/((1/Q136-1/P136)+SIGN(Q136)*SQRT((1/Q136-1/P136)*(1/Q136-1/P136) + 4*AO136/((AO136+1)*(AO136+1))*(2*1/Q136*1/P136-1/P136*1/P136)))</f>
        <v>0</v>
      </c>
      <c r="P136">
        <f>IF(LEFT(AP136,1)&lt;&gt;"0",IF(LEFT(AP136,1)="1",3.0,AQ136),$D$5+$E$5*(BG136*AZ136/($K$5*1000))+$F$5*(BG136*AZ136/($K$5*1000))*MAX(MIN(AN136,$J$5),$I$5)*MAX(MIN(AN136,$J$5),$I$5)+$G$5*MAX(MIN(AN136,$J$5),$I$5)*(BG136*AZ136/($K$5*1000))+$H$5*(BG136*AZ136/($K$5*1000))*(BG136*AZ136/($K$5*1000)))</f>
        <v>0</v>
      </c>
      <c r="Q136">
        <f>H136*(1000-(1000*0.61365*exp(17.502*U136/(240.97+U136))/(AZ136+BA136)+AU136)/2)/(1000*0.61365*exp(17.502*U136/(240.97+U136))/(AZ136+BA136)-AU136)</f>
        <v>0</v>
      </c>
      <c r="R136">
        <f>1/((AO136+1)/(O136/1.6)+1/(P136/1.37)) + AO136/((AO136+1)/(O136/1.6) + AO136/(P136/1.37))</f>
        <v>0</v>
      </c>
      <c r="S136">
        <f>(AJ136*AM136)</f>
        <v>0</v>
      </c>
      <c r="T136">
        <f>(BB136+(S136+2*0.95*5.67E-8*(((BB136+$B$7)+273)^4-(BB136+273)^4)-44100*H136)/(1.84*29.3*P136+8*0.95*5.67E-8*(BB136+273)^3))</f>
        <v>0</v>
      </c>
      <c r="U136">
        <f>($C$7*BC136+$D$7*BD136+$E$7*T136)</f>
        <v>0</v>
      </c>
      <c r="V136">
        <f>0.61365*exp(17.502*U136/(240.97+U136))</f>
        <v>0</v>
      </c>
      <c r="W136">
        <f>(X136/Y136*100)</f>
        <v>0</v>
      </c>
      <c r="X136">
        <f>AU136*(AZ136+BA136)/1000</f>
        <v>0</v>
      </c>
      <c r="Y136">
        <f>0.61365*exp(17.502*BB136/(240.97+BB136))</f>
        <v>0</v>
      </c>
      <c r="Z136">
        <f>(V136-AU136*(AZ136+BA136)/1000)</f>
        <v>0</v>
      </c>
      <c r="AA136">
        <f>(-H136*44100)</f>
        <v>0</v>
      </c>
      <c r="AB136">
        <f>2*29.3*P136*0.92*(BB136-U136)</f>
        <v>0</v>
      </c>
      <c r="AC136">
        <f>2*0.95*5.67E-8*(((BB136+$B$7)+273)^4-(U136+273)^4)</f>
        <v>0</v>
      </c>
      <c r="AD136">
        <f>S136+AC136+AA136+AB136</f>
        <v>0</v>
      </c>
      <c r="AE136">
        <v>0</v>
      </c>
      <c r="AF136">
        <v>0</v>
      </c>
      <c r="AG136">
        <f>IF(AE136*$H$13&gt;=AI136,1.0,(AI136/(AI136-AE136*$H$13)))</f>
        <v>0</v>
      </c>
      <c r="AH136">
        <f>(AG136-1)*100</f>
        <v>0</v>
      </c>
      <c r="AI136">
        <f>MAX(0,($B$13+$C$13*BG136)/(1+$D$13*BG136)*AZ136/(BB136+273)*$E$13)</f>
        <v>0</v>
      </c>
      <c r="AJ136">
        <f>$B$11*BH136+$C$11*BI136+$D$11*BT136</f>
        <v>0</v>
      </c>
      <c r="AK136">
        <f>AJ136*AL136</f>
        <v>0</v>
      </c>
      <c r="AL136">
        <f>($B$11*$D$9+$C$11*$D$9+$D$11*(BU136*$E$9+BV136*$G$9))/($B$11+$C$11+$D$11)</f>
        <v>0</v>
      </c>
      <c r="AM136">
        <f>($B$11*$K$9+$C$11*$K$9+$D$11*(BU136*$L$9+BV136*$N$9))/($B$11+$C$11+$D$11)</f>
        <v>0</v>
      </c>
      <c r="AN136">
        <v>3</v>
      </c>
      <c r="AO136">
        <v>0.5</v>
      </c>
      <c r="AP136" t="s">
        <v>331</v>
      </c>
      <c r="AQ136">
        <v>2</v>
      </c>
      <c r="AR136">
        <v>1773203233</v>
      </c>
      <c r="AS136">
        <v>424.4783225806452</v>
      </c>
      <c r="AT136">
        <v>422.456</v>
      </c>
      <c r="AU136">
        <v>11.43464516129032</v>
      </c>
      <c r="AV136">
        <v>11.26558387096774</v>
      </c>
      <c r="AW136">
        <v>418.2471290322581</v>
      </c>
      <c r="AX136">
        <v>11.35405161290323</v>
      </c>
      <c r="AY136">
        <v>499.972741935484</v>
      </c>
      <c r="AZ136">
        <v>100.1460322580645</v>
      </c>
      <c r="BA136">
        <v>0.04636320000000001</v>
      </c>
      <c r="BB136">
        <v>30.80526129032258</v>
      </c>
      <c r="BC136">
        <v>31.07716129032258</v>
      </c>
      <c r="BD136">
        <v>999.9000000000003</v>
      </c>
      <c r="BE136">
        <v>0</v>
      </c>
      <c r="BF136">
        <v>0</v>
      </c>
      <c r="BG136">
        <v>4993.870967741936</v>
      </c>
      <c r="BH136">
        <v>1.093953870967742</v>
      </c>
      <c r="BI136">
        <v>2152.148709677419</v>
      </c>
      <c r="BJ136">
        <v>2.022310967741936</v>
      </c>
      <c r="BK136">
        <v>429.3883548387096</v>
      </c>
      <c r="BL136">
        <v>427.2694193548387</v>
      </c>
      <c r="BM136">
        <v>0.1690680322580645</v>
      </c>
      <c r="BN136">
        <v>422.456</v>
      </c>
      <c r="BO136">
        <v>11.26558387096774</v>
      </c>
      <c r="BP136">
        <v>1.145134193548387</v>
      </c>
      <c r="BQ136">
        <v>1.128203548387097</v>
      </c>
      <c r="BR136">
        <v>8.906766451612903</v>
      </c>
      <c r="BS136">
        <v>8.686429354838708</v>
      </c>
      <c r="BT136">
        <v>0</v>
      </c>
      <c r="BU136">
        <v>0</v>
      </c>
      <c r="BV136">
        <v>0</v>
      </c>
      <c r="BW136">
        <v>35</v>
      </c>
      <c r="BX136">
        <v>50</v>
      </c>
      <c r="BY136">
        <v>1773196010</v>
      </c>
      <c r="BZ136" t="s">
        <v>332</v>
      </c>
      <c r="CA136">
        <v>1773196010</v>
      </c>
      <c r="CB136">
        <v>1773196005.5</v>
      </c>
      <c r="CC136">
        <v>2</v>
      </c>
      <c r="CD136">
        <v>-0.279</v>
      </c>
      <c r="CE136">
        <v>-0.021</v>
      </c>
      <c r="CF136">
        <v>6.231</v>
      </c>
      <c r="CG136">
        <v>0.081</v>
      </c>
      <c r="CH136">
        <v>432</v>
      </c>
      <c r="CI136">
        <v>21</v>
      </c>
      <c r="CJ136">
        <v>0.03</v>
      </c>
      <c r="CK136">
        <v>0.06</v>
      </c>
      <c r="CL136">
        <v>422.4508666666666</v>
      </c>
      <c r="CM136">
        <v>0.852146829811308</v>
      </c>
      <c r="CN136">
        <v>0.06387839140811873</v>
      </c>
      <c r="CO136">
        <v>-1</v>
      </c>
      <c r="CP136">
        <v>499.9708000000001</v>
      </c>
      <c r="CQ136">
        <v>-0.2267052280305615</v>
      </c>
      <c r="CR136">
        <v>0.03453153148452424</v>
      </c>
      <c r="CS136">
        <v>-1</v>
      </c>
      <c r="CT136">
        <v>0</v>
      </c>
      <c r="CU136">
        <v>0</v>
      </c>
      <c r="CV136" t="s">
        <v>333</v>
      </c>
      <c r="CW136">
        <v>3.17094</v>
      </c>
      <c r="CX136">
        <v>2.66797</v>
      </c>
      <c r="CY136">
        <v>0.09939389999999999</v>
      </c>
      <c r="CZ136">
        <v>0.100217</v>
      </c>
      <c r="DA136">
        <v>0.0645013</v>
      </c>
      <c r="DB136">
        <v>0.06386</v>
      </c>
      <c r="DC136">
        <v>21311.3</v>
      </c>
      <c r="DD136">
        <v>21881.9</v>
      </c>
      <c r="DE136">
        <v>22815.9</v>
      </c>
      <c r="DF136">
        <v>22266.3</v>
      </c>
      <c r="DG136">
        <v>32280.3</v>
      </c>
      <c r="DH136">
        <v>29363.1</v>
      </c>
      <c r="DI136">
        <v>40160.9</v>
      </c>
      <c r="DJ136">
        <v>36829.2</v>
      </c>
      <c r="DK136">
        <v>2.02432</v>
      </c>
      <c r="DL136">
        <v>1.49412</v>
      </c>
      <c r="DM136">
        <v>-0.0788122</v>
      </c>
      <c r="DN136">
        <v>0</v>
      </c>
      <c r="DO136">
        <v>32.3385</v>
      </c>
      <c r="DP136">
        <v>999.9</v>
      </c>
      <c r="DQ136">
        <v>23.9</v>
      </c>
      <c r="DR136">
        <v>45.7</v>
      </c>
      <c r="DS136">
        <v>23.8489</v>
      </c>
      <c r="DT136">
        <v>30.0391</v>
      </c>
      <c r="DU136">
        <v>14.387</v>
      </c>
      <c r="DV136">
        <v>1</v>
      </c>
      <c r="DW136">
        <v>0.91265</v>
      </c>
      <c r="DX136">
        <v>4.63629</v>
      </c>
      <c r="DY136">
        <v>20.2833</v>
      </c>
      <c r="DZ136">
        <v>5.20998</v>
      </c>
      <c r="EA136">
        <v>11.8579</v>
      </c>
      <c r="EB136">
        <v>4.96732</v>
      </c>
      <c r="EC136">
        <v>3.29296</v>
      </c>
      <c r="ED136">
        <v>879.4</v>
      </c>
      <c r="EE136">
        <v>9999</v>
      </c>
      <c r="EF136">
        <v>9999</v>
      </c>
      <c r="EG136">
        <v>78</v>
      </c>
      <c r="EH136">
        <v>4.97154</v>
      </c>
      <c r="EI136">
        <v>1.8721</v>
      </c>
      <c r="EJ136">
        <v>1.8695</v>
      </c>
      <c r="EK136">
        <v>1.8718</v>
      </c>
      <c r="EL136">
        <v>1.86955</v>
      </c>
      <c r="EM136">
        <v>1.86837</v>
      </c>
      <c r="EN136">
        <v>1.87025</v>
      </c>
      <c r="EO136">
        <v>1.87195</v>
      </c>
      <c r="EP136">
        <v>0</v>
      </c>
      <c r="EQ136">
        <v>0</v>
      </c>
      <c r="ER136">
        <v>0</v>
      </c>
      <c r="ES136">
        <v>0</v>
      </c>
      <c r="ET136" t="s">
        <v>334</v>
      </c>
      <c r="EU136" t="s">
        <v>335</v>
      </c>
      <c r="EV136" t="s">
        <v>336</v>
      </c>
      <c r="EW136" t="s">
        <v>336</v>
      </c>
      <c r="EX136" t="s">
        <v>336</v>
      </c>
      <c r="EY136" t="s">
        <v>336</v>
      </c>
      <c r="EZ136">
        <v>0</v>
      </c>
      <c r="FA136">
        <v>100</v>
      </c>
      <c r="FB136">
        <v>100</v>
      </c>
      <c r="FC136">
        <v>6.232</v>
      </c>
      <c r="FD136">
        <v>0.0805</v>
      </c>
      <c r="FE136">
        <v>6.23135000000002</v>
      </c>
      <c r="FF136">
        <v>0</v>
      </c>
      <c r="FG136">
        <v>0</v>
      </c>
      <c r="FH136">
        <v>0</v>
      </c>
      <c r="FI136">
        <v>0.08059047619047632</v>
      </c>
      <c r="FJ136">
        <v>0</v>
      </c>
      <c r="FK136">
        <v>0</v>
      </c>
      <c r="FL136">
        <v>0</v>
      </c>
      <c r="FM136">
        <v>-1</v>
      </c>
      <c r="FN136">
        <v>-1</v>
      </c>
      <c r="FO136">
        <v>-1</v>
      </c>
      <c r="FP136">
        <v>-1</v>
      </c>
      <c r="FQ136">
        <v>120.5</v>
      </c>
      <c r="FR136">
        <v>120.6</v>
      </c>
      <c r="FS136">
        <v>0.141602</v>
      </c>
      <c r="FT136">
        <v>4.99756</v>
      </c>
      <c r="FU136">
        <v>1.5979</v>
      </c>
      <c r="FV136">
        <v>2.10815</v>
      </c>
      <c r="FW136">
        <v>1.54785</v>
      </c>
      <c r="FX136">
        <v>2.4707</v>
      </c>
      <c r="FY136">
        <v>47.272</v>
      </c>
      <c r="FZ136">
        <v>15.4629</v>
      </c>
      <c r="GA136">
        <v>3</v>
      </c>
      <c r="GB136">
        <v>520.074</v>
      </c>
      <c r="GC136">
        <v>288.432</v>
      </c>
      <c r="GD136">
        <v>27.5212</v>
      </c>
      <c r="GE136">
        <v>38.0644</v>
      </c>
      <c r="GF136">
        <v>30.0036</v>
      </c>
      <c r="GG136">
        <v>37.944</v>
      </c>
      <c r="GH136">
        <v>37.9303</v>
      </c>
      <c r="GI136">
        <v>-1</v>
      </c>
      <c r="GJ136">
        <v>100</v>
      </c>
      <c r="GK136">
        <v>0</v>
      </c>
      <c r="GL136">
        <v>27.5127</v>
      </c>
      <c r="GM136">
        <v>1200</v>
      </c>
      <c r="GN136">
        <v>19.4378</v>
      </c>
      <c r="GO136">
        <v>101.034</v>
      </c>
      <c r="GP136">
        <v>96.1716</v>
      </c>
    </row>
    <row r="137" spans="1:198">
      <c r="A137">
        <v>121</v>
      </c>
      <c r="B137">
        <v>1773203301</v>
      </c>
      <c r="C137">
        <v>7201</v>
      </c>
      <c r="D137" t="s">
        <v>575</v>
      </c>
      <c r="E137" t="s">
        <v>576</v>
      </c>
      <c r="F137">
        <v>15</v>
      </c>
      <c r="G137">
        <v>1773203293</v>
      </c>
      <c r="H137">
        <f>(I137)/1000</f>
        <v>0</v>
      </c>
      <c r="I137">
        <f>1000*AY137*AG137*(AU137-AV137)/(100*AN137*(1000-AG137*AU137))</f>
        <v>0</v>
      </c>
      <c r="J137">
        <f>AY137*AG137*(AT137-AS137*(1000-AG137*AV137)/(1000-AG137*AU137))/(100*AN137)</f>
        <v>0</v>
      </c>
      <c r="K137">
        <f>AS137 - IF(AG137&gt;1, J137*AN137*100.0/(AI137), 0)</f>
        <v>0</v>
      </c>
      <c r="L137">
        <f>((R137-H137/2)*K137-J137)/(R137+H137/2)</f>
        <v>0</v>
      </c>
      <c r="M137">
        <f>L137*(AZ137+BA137)/1000.0</f>
        <v>0</v>
      </c>
      <c r="N137">
        <f>(AS137 - IF(AG137&gt;1, J137*AN137*100.0/(AI137), 0))*(AZ137+BA137)/1000.0</f>
        <v>0</v>
      </c>
      <c r="O137">
        <f>2.0/((1/Q137-1/P137)+SIGN(Q137)*SQRT((1/Q137-1/P137)*(1/Q137-1/P137) + 4*AO137/((AO137+1)*(AO137+1))*(2*1/Q137*1/P137-1/P137*1/P137)))</f>
        <v>0</v>
      </c>
      <c r="P137">
        <f>IF(LEFT(AP137,1)&lt;&gt;"0",IF(LEFT(AP137,1)="1",3.0,AQ137),$D$5+$E$5*(BG137*AZ137/($K$5*1000))+$F$5*(BG137*AZ137/($K$5*1000))*MAX(MIN(AN137,$J$5),$I$5)*MAX(MIN(AN137,$J$5),$I$5)+$G$5*MAX(MIN(AN137,$J$5),$I$5)*(BG137*AZ137/($K$5*1000))+$H$5*(BG137*AZ137/($K$5*1000))*(BG137*AZ137/($K$5*1000)))</f>
        <v>0</v>
      </c>
      <c r="Q137">
        <f>H137*(1000-(1000*0.61365*exp(17.502*U137/(240.97+U137))/(AZ137+BA137)+AU137)/2)/(1000*0.61365*exp(17.502*U137/(240.97+U137))/(AZ137+BA137)-AU137)</f>
        <v>0</v>
      </c>
      <c r="R137">
        <f>1/((AO137+1)/(O137/1.6)+1/(P137/1.37)) + AO137/((AO137+1)/(O137/1.6) + AO137/(P137/1.37))</f>
        <v>0</v>
      </c>
      <c r="S137">
        <f>(AJ137*AM137)</f>
        <v>0</v>
      </c>
      <c r="T137">
        <f>(BB137+(S137+2*0.95*5.67E-8*(((BB137+$B$7)+273)^4-(BB137+273)^4)-44100*H137)/(1.84*29.3*P137+8*0.95*5.67E-8*(BB137+273)^3))</f>
        <v>0</v>
      </c>
      <c r="U137">
        <f>($C$7*BC137+$D$7*BD137+$E$7*T137)</f>
        <v>0</v>
      </c>
      <c r="V137">
        <f>0.61365*exp(17.502*U137/(240.97+U137))</f>
        <v>0</v>
      </c>
      <c r="W137">
        <f>(X137/Y137*100)</f>
        <v>0</v>
      </c>
      <c r="X137">
        <f>AU137*(AZ137+BA137)/1000</f>
        <v>0</v>
      </c>
      <c r="Y137">
        <f>0.61365*exp(17.502*BB137/(240.97+BB137))</f>
        <v>0</v>
      </c>
      <c r="Z137">
        <f>(V137-AU137*(AZ137+BA137)/1000)</f>
        <v>0</v>
      </c>
      <c r="AA137">
        <f>(-H137*44100)</f>
        <v>0</v>
      </c>
      <c r="AB137">
        <f>2*29.3*P137*0.92*(BB137-U137)</f>
        <v>0</v>
      </c>
      <c r="AC137">
        <f>2*0.95*5.67E-8*(((BB137+$B$7)+273)^4-(U137+273)^4)</f>
        <v>0</v>
      </c>
      <c r="AD137">
        <f>S137+AC137+AA137+AB137</f>
        <v>0</v>
      </c>
      <c r="AE137">
        <v>0</v>
      </c>
      <c r="AF137">
        <v>0</v>
      </c>
      <c r="AG137">
        <f>IF(AE137*$H$13&gt;=AI137,1.0,(AI137/(AI137-AE137*$H$13)))</f>
        <v>0</v>
      </c>
      <c r="AH137">
        <f>(AG137-1)*100</f>
        <v>0</v>
      </c>
      <c r="AI137">
        <f>MAX(0,($B$13+$C$13*BG137)/(1+$D$13*BG137)*AZ137/(BB137+273)*$E$13)</f>
        <v>0</v>
      </c>
      <c r="AJ137">
        <f>$B$11*BH137+$C$11*BI137+$D$11*BT137</f>
        <v>0</v>
      </c>
      <c r="AK137">
        <f>AJ137*AL137</f>
        <v>0</v>
      </c>
      <c r="AL137">
        <f>($B$11*$D$9+$C$11*$D$9+$D$11*(BU137*$E$9+BV137*$G$9))/($B$11+$C$11+$D$11)</f>
        <v>0</v>
      </c>
      <c r="AM137">
        <f>($B$11*$K$9+$C$11*$K$9+$D$11*(BU137*$L$9+BV137*$N$9))/($B$11+$C$11+$D$11)</f>
        <v>0</v>
      </c>
      <c r="AN137">
        <v>3</v>
      </c>
      <c r="AO137">
        <v>0.5</v>
      </c>
      <c r="AP137" t="s">
        <v>331</v>
      </c>
      <c r="AQ137">
        <v>2</v>
      </c>
      <c r="AR137">
        <v>1773203293</v>
      </c>
      <c r="AS137">
        <v>424.6226774193549</v>
      </c>
      <c r="AT137">
        <v>422.472064516129</v>
      </c>
      <c r="AU137">
        <v>11.35575483870968</v>
      </c>
      <c r="AV137">
        <v>11.16087419354839</v>
      </c>
      <c r="AW137">
        <v>418.3913225806452</v>
      </c>
      <c r="AX137">
        <v>11.27515483870968</v>
      </c>
      <c r="AY137">
        <v>500.0260967741935</v>
      </c>
      <c r="AZ137">
        <v>100.1453870967742</v>
      </c>
      <c r="BA137">
        <v>0.04559877419354839</v>
      </c>
      <c r="BB137">
        <v>30.77876451612903</v>
      </c>
      <c r="BC137">
        <v>31.00183225806452</v>
      </c>
      <c r="BD137">
        <v>999.9000000000003</v>
      </c>
      <c r="BE137">
        <v>0</v>
      </c>
      <c r="BF137">
        <v>0</v>
      </c>
      <c r="BG137">
        <v>5002.919354838709</v>
      </c>
      <c r="BH137">
        <v>1.099441612903226</v>
      </c>
      <c r="BI137">
        <v>2161.237096774194</v>
      </c>
      <c r="BJ137">
        <v>2.150627419354839</v>
      </c>
      <c r="BK137">
        <v>429.4999354838709</v>
      </c>
      <c r="BL137">
        <v>427.2404516129033</v>
      </c>
      <c r="BM137">
        <v>0.1948661935483871</v>
      </c>
      <c r="BN137">
        <v>422.472064516129</v>
      </c>
      <c r="BO137">
        <v>11.16087419354839</v>
      </c>
      <c r="BP137">
        <v>1.137224838709677</v>
      </c>
      <c r="BQ137">
        <v>1.117709677419355</v>
      </c>
      <c r="BR137">
        <v>8.804191935483869</v>
      </c>
      <c r="BS137">
        <v>8.54840741935484</v>
      </c>
      <c r="BT137">
        <v>0</v>
      </c>
      <c r="BU137">
        <v>0</v>
      </c>
      <c r="BV137">
        <v>0</v>
      </c>
      <c r="BW137">
        <v>35</v>
      </c>
      <c r="BX137">
        <v>50</v>
      </c>
      <c r="BY137">
        <v>1773196010</v>
      </c>
      <c r="BZ137" t="s">
        <v>332</v>
      </c>
      <c r="CA137">
        <v>1773196010</v>
      </c>
      <c r="CB137">
        <v>1773196005.5</v>
      </c>
      <c r="CC137">
        <v>2</v>
      </c>
      <c r="CD137">
        <v>-0.279</v>
      </c>
      <c r="CE137">
        <v>-0.021</v>
      </c>
      <c r="CF137">
        <v>6.231</v>
      </c>
      <c r="CG137">
        <v>0.081</v>
      </c>
      <c r="CH137">
        <v>432</v>
      </c>
      <c r="CI137">
        <v>21</v>
      </c>
      <c r="CJ137">
        <v>0.03</v>
      </c>
      <c r="CK137">
        <v>0.06</v>
      </c>
      <c r="CL137">
        <v>422.472064516129</v>
      </c>
      <c r="CM137">
        <v>-0.7535806451617347</v>
      </c>
      <c r="CN137">
        <v>0.05747646670391139</v>
      </c>
      <c r="CO137">
        <v>-1</v>
      </c>
      <c r="CP137">
        <v>500.0260967741935</v>
      </c>
      <c r="CQ137">
        <v>-0.5280967741942275</v>
      </c>
      <c r="CR137">
        <v>0.05813352529984311</v>
      </c>
      <c r="CS137">
        <v>-1</v>
      </c>
      <c r="CT137">
        <v>0</v>
      </c>
      <c r="CU137">
        <v>0</v>
      </c>
      <c r="CV137" t="s">
        <v>333</v>
      </c>
      <c r="CW137">
        <v>3.17079</v>
      </c>
      <c r="CX137">
        <v>2.66656</v>
      </c>
      <c r="CY137">
        <v>0.09938279999999999</v>
      </c>
      <c r="CZ137">
        <v>0.100169</v>
      </c>
      <c r="DA137">
        <v>0.06407259999999999</v>
      </c>
      <c r="DB137">
        <v>0.0633242</v>
      </c>
      <c r="DC137">
        <v>21312.1</v>
      </c>
      <c r="DD137">
        <v>21884.5</v>
      </c>
      <c r="DE137">
        <v>22816.3</v>
      </c>
      <c r="DF137">
        <v>22267.7</v>
      </c>
      <c r="DG137">
        <v>32295.8</v>
      </c>
      <c r="DH137">
        <v>29381.5</v>
      </c>
      <c r="DI137">
        <v>40161.8</v>
      </c>
      <c r="DJ137">
        <v>36831.4</v>
      </c>
      <c r="DK137">
        <v>2.02452</v>
      </c>
      <c r="DL137">
        <v>1.4945</v>
      </c>
      <c r="DM137">
        <v>-0.0730962</v>
      </c>
      <c r="DN137">
        <v>0</v>
      </c>
      <c r="DO137">
        <v>32.1958</v>
      </c>
      <c r="DP137">
        <v>999.9</v>
      </c>
      <c r="DQ137">
        <v>24</v>
      </c>
      <c r="DR137">
        <v>45.7</v>
      </c>
      <c r="DS137">
        <v>23.9477</v>
      </c>
      <c r="DT137">
        <v>30.0991</v>
      </c>
      <c r="DU137">
        <v>14.2548</v>
      </c>
      <c r="DV137">
        <v>1</v>
      </c>
      <c r="DW137">
        <v>0.902451</v>
      </c>
      <c r="DX137">
        <v>3.66608</v>
      </c>
      <c r="DY137">
        <v>20.3147</v>
      </c>
      <c r="DZ137">
        <v>5.21034</v>
      </c>
      <c r="EA137">
        <v>11.857</v>
      </c>
      <c r="EB137">
        <v>4.96728</v>
      </c>
      <c r="EC137">
        <v>3.29298</v>
      </c>
      <c r="ED137">
        <v>879.4</v>
      </c>
      <c r="EE137">
        <v>9999</v>
      </c>
      <c r="EF137">
        <v>9999</v>
      </c>
      <c r="EG137">
        <v>78</v>
      </c>
      <c r="EH137">
        <v>4.9716</v>
      </c>
      <c r="EI137">
        <v>1.8721</v>
      </c>
      <c r="EJ137">
        <v>1.8695</v>
      </c>
      <c r="EK137">
        <v>1.8718</v>
      </c>
      <c r="EL137">
        <v>1.86959</v>
      </c>
      <c r="EM137">
        <v>1.8684</v>
      </c>
      <c r="EN137">
        <v>1.87025</v>
      </c>
      <c r="EO137">
        <v>1.87195</v>
      </c>
      <c r="EP137">
        <v>0</v>
      </c>
      <c r="EQ137">
        <v>0</v>
      </c>
      <c r="ER137">
        <v>0</v>
      </c>
      <c r="ES137">
        <v>0</v>
      </c>
      <c r="ET137" t="s">
        <v>334</v>
      </c>
      <c r="EU137" t="s">
        <v>335</v>
      </c>
      <c r="EV137" t="s">
        <v>336</v>
      </c>
      <c r="EW137" t="s">
        <v>336</v>
      </c>
      <c r="EX137" t="s">
        <v>336</v>
      </c>
      <c r="EY137" t="s">
        <v>336</v>
      </c>
      <c r="EZ137">
        <v>0</v>
      </c>
      <c r="FA137">
        <v>100</v>
      </c>
      <c r="FB137">
        <v>100</v>
      </c>
      <c r="FC137">
        <v>6.231</v>
      </c>
      <c r="FD137">
        <v>0.0806</v>
      </c>
      <c r="FE137">
        <v>6.23135000000002</v>
      </c>
      <c r="FF137">
        <v>0</v>
      </c>
      <c r="FG137">
        <v>0</v>
      </c>
      <c r="FH137">
        <v>0</v>
      </c>
      <c r="FI137">
        <v>0.08059047619047632</v>
      </c>
      <c r="FJ137">
        <v>0</v>
      </c>
      <c r="FK137">
        <v>0</v>
      </c>
      <c r="FL137">
        <v>0</v>
      </c>
      <c r="FM137">
        <v>-1</v>
      </c>
      <c r="FN137">
        <v>-1</v>
      </c>
      <c r="FO137">
        <v>-1</v>
      </c>
      <c r="FP137">
        <v>-1</v>
      </c>
      <c r="FQ137">
        <v>121.5</v>
      </c>
      <c r="FR137">
        <v>121.6</v>
      </c>
      <c r="FS137">
        <v>0.140381</v>
      </c>
      <c r="FT137">
        <v>4.99756</v>
      </c>
      <c r="FU137">
        <v>1.5979</v>
      </c>
      <c r="FV137">
        <v>2.10815</v>
      </c>
      <c r="FW137">
        <v>1.54785</v>
      </c>
      <c r="FX137">
        <v>2.42065</v>
      </c>
      <c r="FY137">
        <v>47.2123</v>
      </c>
      <c r="FZ137">
        <v>15.4717</v>
      </c>
      <c r="GA137">
        <v>3</v>
      </c>
      <c r="GB137">
        <v>520.194</v>
      </c>
      <c r="GC137">
        <v>288.595</v>
      </c>
      <c r="GD137">
        <v>27.665</v>
      </c>
      <c r="GE137">
        <v>38.0463</v>
      </c>
      <c r="GF137">
        <v>29.9999</v>
      </c>
      <c r="GG137">
        <v>37.943</v>
      </c>
      <c r="GH137">
        <v>37.9266</v>
      </c>
      <c r="GI137">
        <v>-1</v>
      </c>
      <c r="GJ137">
        <v>100</v>
      </c>
      <c r="GK137">
        <v>0</v>
      </c>
      <c r="GL137">
        <v>27.6703</v>
      </c>
      <c r="GM137">
        <v>1200</v>
      </c>
      <c r="GN137">
        <v>19.4378</v>
      </c>
      <c r="GO137">
        <v>101.036</v>
      </c>
      <c r="GP137">
        <v>96.17740000000001</v>
      </c>
    </row>
    <row r="138" spans="1:198">
      <c r="A138">
        <v>122</v>
      </c>
      <c r="B138">
        <v>1773203361</v>
      </c>
      <c r="C138">
        <v>7261</v>
      </c>
      <c r="D138" t="s">
        <v>577</v>
      </c>
      <c r="E138" t="s">
        <v>578</v>
      </c>
      <c r="F138">
        <v>15</v>
      </c>
      <c r="G138">
        <v>1773203353</v>
      </c>
      <c r="H138">
        <f>(I138)/1000</f>
        <v>0</v>
      </c>
      <c r="I138">
        <f>1000*AY138*AG138*(AU138-AV138)/(100*AN138*(1000-AG138*AU138))</f>
        <v>0</v>
      </c>
      <c r="J138">
        <f>AY138*AG138*(AT138-AS138*(1000-AG138*AV138)/(1000-AG138*AU138))/(100*AN138)</f>
        <v>0</v>
      </c>
      <c r="K138">
        <f>AS138 - IF(AG138&gt;1, J138*AN138*100.0/(AI138), 0)</f>
        <v>0</v>
      </c>
      <c r="L138">
        <f>((R138-H138/2)*K138-J138)/(R138+H138/2)</f>
        <v>0</v>
      </c>
      <c r="M138">
        <f>L138*(AZ138+BA138)/1000.0</f>
        <v>0</v>
      </c>
      <c r="N138">
        <f>(AS138 - IF(AG138&gt;1, J138*AN138*100.0/(AI138), 0))*(AZ138+BA138)/1000.0</f>
        <v>0</v>
      </c>
      <c r="O138">
        <f>2.0/((1/Q138-1/P138)+SIGN(Q138)*SQRT((1/Q138-1/P138)*(1/Q138-1/P138) + 4*AO138/((AO138+1)*(AO138+1))*(2*1/Q138*1/P138-1/P138*1/P138)))</f>
        <v>0</v>
      </c>
      <c r="P138">
        <f>IF(LEFT(AP138,1)&lt;&gt;"0",IF(LEFT(AP138,1)="1",3.0,AQ138),$D$5+$E$5*(BG138*AZ138/($K$5*1000))+$F$5*(BG138*AZ138/($K$5*1000))*MAX(MIN(AN138,$J$5),$I$5)*MAX(MIN(AN138,$J$5),$I$5)+$G$5*MAX(MIN(AN138,$J$5),$I$5)*(BG138*AZ138/($K$5*1000))+$H$5*(BG138*AZ138/($K$5*1000))*(BG138*AZ138/($K$5*1000)))</f>
        <v>0</v>
      </c>
      <c r="Q138">
        <f>H138*(1000-(1000*0.61365*exp(17.502*U138/(240.97+U138))/(AZ138+BA138)+AU138)/2)/(1000*0.61365*exp(17.502*U138/(240.97+U138))/(AZ138+BA138)-AU138)</f>
        <v>0</v>
      </c>
      <c r="R138">
        <f>1/((AO138+1)/(O138/1.6)+1/(P138/1.37)) + AO138/((AO138+1)/(O138/1.6) + AO138/(P138/1.37))</f>
        <v>0</v>
      </c>
      <c r="S138">
        <f>(AJ138*AM138)</f>
        <v>0</v>
      </c>
      <c r="T138">
        <f>(BB138+(S138+2*0.95*5.67E-8*(((BB138+$B$7)+273)^4-(BB138+273)^4)-44100*H138)/(1.84*29.3*P138+8*0.95*5.67E-8*(BB138+273)^3))</f>
        <v>0</v>
      </c>
      <c r="U138">
        <f>($C$7*BC138+$D$7*BD138+$E$7*T138)</f>
        <v>0</v>
      </c>
      <c r="V138">
        <f>0.61365*exp(17.502*U138/(240.97+U138))</f>
        <v>0</v>
      </c>
      <c r="W138">
        <f>(X138/Y138*100)</f>
        <v>0</v>
      </c>
      <c r="X138">
        <f>AU138*(AZ138+BA138)/1000</f>
        <v>0</v>
      </c>
      <c r="Y138">
        <f>0.61365*exp(17.502*BB138/(240.97+BB138))</f>
        <v>0</v>
      </c>
      <c r="Z138">
        <f>(V138-AU138*(AZ138+BA138)/1000)</f>
        <v>0</v>
      </c>
      <c r="AA138">
        <f>(-H138*44100)</f>
        <v>0</v>
      </c>
      <c r="AB138">
        <f>2*29.3*P138*0.92*(BB138-U138)</f>
        <v>0</v>
      </c>
      <c r="AC138">
        <f>2*0.95*5.67E-8*(((BB138+$B$7)+273)^4-(U138+273)^4)</f>
        <v>0</v>
      </c>
      <c r="AD138">
        <f>S138+AC138+AA138+AB138</f>
        <v>0</v>
      </c>
      <c r="AE138">
        <v>0</v>
      </c>
      <c r="AF138">
        <v>0</v>
      </c>
      <c r="AG138">
        <f>IF(AE138*$H$13&gt;=AI138,1.0,(AI138/(AI138-AE138*$H$13)))</f>
        <v>0</v>
      </c>
      <c r="AH138">
        <f>(AG138-1)*100</f>
        <v>0</v>
      </c>
      <c r="AI138">
        <f>MAX(0,($B$13+$C$13*BG138)/(1+$D$13*BG138)*AZ138/(BB138+273)*$E$13)</f>
        <v>0</v>
      </c>
      <c r="AJ138">
        <f>$B$11*BH138+$C$11*BI138+$D$11*BT138</f>
        <v>0</v>
      </c>
      <c r="AK138">
        <f>AJ138*AL138</f>
        <v>0</v>
      </c>
      <c r="AL138">
        <f>($B$11*$D$9+$C$11*$D$9+$D$11*(BU138*$E$9+BV138*$G$9))/($B$11+$C$11+$D$11)</f>
        <v>0</v>
      </c>
      <c r="AM138">
        <f>($B$11*$K$9+$C$11*$K$9+$D$11*(BU138*$L$9+BV138*$N$9))/($B$11+$C$11+$D$11)</f>
        <v>0</v>
      </c>
      <c r="AN138">
        <v>3</v>
      </c>
      <c r="AO138">
        <v>0.5</v>
      </c>
      <c r="AP138" t="s">
        <v>331</v>
      </c>
      <c r="AQ138">
        <v>2</v>
      </c>
      <c r="AR138">
        <v>1773203353</v>
      </c>
      <c r="AS138">
        <v>424.4746451612903</v>
      </c>
      <c r="AT138">
        <v>422.4867096774193</v>
      </c>
      <c r="AU138">
        <v>11.32553870967742</v>
      </c>
      <c r="AV138">
        <v>11.15635483870967</v>
      </c>
      <c r="AW138">
        <v>418.2432903225805</v>
      </c>
      <c r="AX138">
        <v>11.24494516129032</v>
      </c>
      <c r="AY138">
        <v>499.9787096774194</v>
      </c>
      <c r="AZ138">
        <v>100.1430322580645</v>
      </c>
      <c r="BA138">
        <v>0.04660823548387098</v>
      </c>
      <c r="BB138">
        <v>30.79465483870968</v>
      </c>
      <c r="BC138">
        <v>31.03081290322581</v>
      </c>
      <c r="BD138">
        <v>999.9000000000003</v>
      </c>
      <c r="BE138">
        <v>0</v>
      </c>
      <c r="BF138">
        <v>0</v>
      </c>
      <c r="BG138">
        <v>4997.66129032258</v>
      </c>
      <c r="BH138">
        <v>1.067567741935484</v>
      </c>
      <c r="BI138">
        <v>2170.626774193548</v>
      </c>
      <c r="BJ138">
        <v>1.987911290322581</v>
      </c>
      <c r="BK138">
        <v>429.3371612903226</v>
      </c>
      <c r="BL138">
        <v>427.2533225806451</v>
      </c>
      <c r="BM138">
        <v>0.1691866129032258</v>
      </c>
      <c r="BN138">
        <v>422.4867096774193</v>
      </c>
      <c r="BO138">
        <v>11.15635483870967</v>
      </c>
      <c r="BP138">
        <v>1.134175483870968</v>
      </c>
      <c r="BQ138">
        <v>1.117232258064516</v>
      </c>
      <c r="BR138">
        <v>8.764486451612905</v>
      </c>
      <c r="BS138">
        <v>8.54210870967742</v>
      </c>
      <c r="BT138">
        <v>0</v>
      </c>
      <c r="BU138">
        <v>0</v>
      </c>
      <c r="BV138">
        <v>0</v>
      </c>
      <c r="BW138">
        <v>35</v>
      </c>
      <c r="BX138">
        <v>50</v>
      </c>
      <c r="BY138">
        <v>1773196010</v>
      </c>
      <c r="BZ138" t="s">
        <v>332</v>
      </c>
      <c r="CA138">
        <v>1773196010</v>
      </c>
      <c r="CB138">
        <v>1773196005.5</v>
      </c>
      <c r="CC138">
        <v>2</v>
      </c>
      <c r="CD138">
        <v>-0.279</v>
      </c>
      <c r="CE138">
        <v>-0.021</v>
      </c>
      <c r="CF138">
        <v>6.231</v>
      </c>
      <c r="CG138">
        <v>0.081</v>
      </c>
      <c r="CH138">
        <v>432</v>
      </c>
      <c r="CI138">
        <v>21</v>
      </c>
      <c r="CJ138">
        <v>0.03</v>
      </c>
      <c r="CK138">
        <v>0.06</v>
      </c>
      <c r="CL138">
        <v>422.4854193548387</v>
      </c>
      <c r="CM138">
        <v>0.09512903225789679</v>
      </c>
      <c r="CN138">
        <v>0.01327324301852583</v>
      </c>
      <c r="CO138">
        <v>-1</v>
      </c>
      <c r="CP138">
        <v>499.981806451613</v>
      </c>
      <c r="CQ138">
        <v>-0.6268064516149103</v>
      </c>
      <c r="CR138">
        <v>0.05812301712460649</v>
      </c>
      <c r="CS138">
        <v>-1</v>
      </c>
      <c r="CT138">
        <v>0</v>
      </c>
      <c r="CU138">
        <v>0</v>
      </c>
      <c r="CV138" t="s">
        <v>333</v>
      </c>
      <c r="CW138">
        <v>3.17097</v>
      </c>
      <c r="CX138">
        <v>2.66892</v>
      </c>
      <c r="CY138">
        <v>0.09938279999999999</v>
      </c>
      <c r="CZ138">
        <v>0.10018</v>
      </c>
      <c r="DA138">
        <v>0.0640187</v>
      </c>
      <c r="DB138">
        <v>0.0633812</v>
      </c>
      <c r="DC138">
        <v>21312.3</v>
      </c>
      <c r="DD138">
        <v>21884.4</v>
      </c>
      <c r="DE138">
        <v>22816.5</v>
      </c>
      <c r="DF138">
        <v>22267.8</v>
      </c>
      <c r="DG138">
        <v>32297.9</v>
      </c>
      <c r="DH138">
        <v>29380</v>
      </c>
      <c r="DI138">
        <v>40162.1</v>
      </c>
      <c r="DJ138">
        <v>36831.6</v>
      </c>
      <c r="DK138">
        <v>2.02492</v>
      </c>
      <c r="DL138">
        <v>1.49376</v>
      </c>
      <c r="DM138">
        <v>-0.07274750000000001</v>
      </c>
      <c r="DN138">
        <v>0</v>
      </c>
      <c r="DO138">
        <v>32.2129</v>
      </c>
      <c r="DP138">
        <v>999.9</v>
      </c>
      <c r="DQ138">
        <v>24.2</v>
      </c>
      <c r="DR138">
        <v>45.8</v>
      </c>
      <c r="DS138">
        <v>24.2694</v>
      </c>
      <c r="DT138">
        <v>30.0091</v>
      </c>
      <c r="DU138">
        <v>14.4391</v>
      </c>
      <c r="DV138">
        <v>1</v>
      </c>
      <c r="DW138">
        <v>0.902382</v>
      </c>
      <c r="DX138">
        <v>3.79341</v>
      </c>
      <c r="DY138">
        <v>20.3113</v>
      </c>
      <c r="DZ138">
        <v>5.20795</v>
      </c>
      <c r="EA138">
        <v>11.856</v>
      </c>
      <c r="EB138">
        <v>4.967</v>
      </c>
      <c r="EC138">
        <v>3.2929</v>
      </c>
      <c r="ED138">
        <v>879.4</v>
      </c>
      <c r="EE138">
        <v>9999</v>
      </c>
      <c r="EF138">
        <v>9999</v>
      </c>
      <c r="EG138">
        <v>78</v>
      </c>
      <c r="EH138">
        <v>4.9716</v>
      </c>
      <c r="EI138">
        <v>1.8721</v>
      </c>
      <c r="EJ138">
        <v>1.86951</v>
      </c>
      <c r="EK138">
        <v>1.8718</v>
      </c>
      <c r="EL138">
        <v>1.8696</v>
      </c>
      <c r="EM138">
        <v>1.86835</v>
      </c>
      <c r="EN138">
        <v>1.87023</v>
      </c>
      <c r="EO138">
        <v>1.87195</v>
      </c>
      <c r="EP138">
        <v>0</v>
      </c>
      <c r="EQ138">
        <v>0</v>
      </c>
      <c r="ER138">
        <v>0</v>
      </c>
      <c r="ES138">
        <v>0</v>
      </c>
      <c r="ET138" t="s">
        <v>334</v>
      </c>
      <c r="EU138" t="s">
        <v>335</v>
      </c>
      <c r="EV138" t="s">
        <v>336</v>
      </c>
      <c r="EW138" t="s">
        <v>336</v>
      </c>
      <c r="EX138" t="s">
        <v>336</v>
      </c>
      <c r="EY138" t="s">
        <v>336</v>
      </c>
      <c r="EZ138">
        <v>0</v>
      </c>
      <c r="FA138">
        <v>100</v>
      </c>
      <c r="FB138">
        <v>100</v>
      </c>
      <c r="FC138">
        <v>6.231</v>
      </c>
      <c r="FD138">
        <v>0.0806</v>
      </c>
      <c r="FE138">
        <v>6.23135000000002</v>
      </c>
      <c r="FF138">
        <v>0</v>
      </c>
      <c r="FG138">
        <v>0</v>
      </c>
      <c r="FH138">
        <v>0</v>
      </c>
      <c r="FI138">
        <v>0.08059047619047632</v>
      </c>
      <c r="FJ138">
        <v>0</v>
      </c>
      <c r="FK138">
        <v>0</v>
      </c>
      <c r="FL138">
        <v>0</v>
      </c>
      <c r="FM138">
        <v>-1</v>
      </c>
      <c r="FN138">
        <v>-1</v>
      </c>
      <c r="FO138">
        <v>-1</v>
      </c>
      <c r="FP138">
        <v>-1</v>
      </c>
      <c r="FQ138">
        <v>122.5</v>
      </c>
      <c r="FR138">
        <v>122.6</v>
      </c>
      <c r="FS138">
        <v>0.141602</v>
      </c>
      <c r="FT138">
        <v>4.99756</v>
      </c>
      <c r="FU138">
        <v>1.5979</v>
      </c>
      <c r="FV138">
        <v>2.10693</v>
      </c>
      <c r="FW138">
        <v>1.54785</v>
      </c>
      <c r="FX138">
        <v>2.42798</v>
      </c>
      <c r="FY138">
        <v>47.1825</v>
      </c>
      <c r="FZ138">
        <v>15.4629</v>
      </c>
      <c r="GA138">
        <v>3</v>
      </c>
      <c r="GB138">
        <v>520.426</v>
      </c>
      <c r="GC138">
        <v>288.264</v>
      </c>
      <c r="GD138">
        <v>27.6002</v>
      </c>
      <c r="GE138">
        <v>38.0353</v>
      </c>
      <c r="GF138">
        <v>29.9998</v>
      </c>
      <c r="GG138">
        <v>37.9404</v>
      </c>
      <c r="GH138">
        <v>37.9303</v>
      </c>
      <c r="GI138">
        <v>-1</v>
      </c>
      <c r="GJ138">
        <v>100</v>
      </c>
      <c r="GK138">
        <v>0</v>
      </c>
      <c r="GL138">
        <v>27.6045</v>
      </c>
      <c r="GM138">
        <v>1200</v>
      </c>
      <c r="GN138">
        <v>19.4378</v>
      </c>
      <c r="GO138">
        <v>101.037</v>
      </c>
      <c r="GP138">
        <v>96.178</v>
      </c>
    </row>
    <row r="139" spans="1:198">
      <c r="A139">
        <v>123</v>
      </c>
      <c r="B139">
        <v>1773203421</v>
      </c>
      <c r="C139">
        <v>7321</v>
      </c>
      <c r="D139" t="s">
        <v>579</v>
      </c>
      <c r="E139" t="s">
        <v>580</v>
      </c>
      <c r="F139">
        <v>15</v>
      </c>
      <c r="G139">
        <v>1773203413</v>
      </c>
      <c r="H139">
        <f>(I139)/1000</f>
        <v>0</v>
      </c>
      <c r="I139">
        <f>1000*AY139*AG139*(AU139-AV139)/(100*AN139*(1000-AG139*AU139))</f>
        <v>0</v>
      </c>
      <c r="J139">
        <f>AY139*AG139*(AT139-AS139*(1000-AG139*AV139)/(1000-AG139*AU139))/(100*AN139)</f>
        <v>0</v>
      </c>
      <c r="K139">
        <f>AS139 - IF(AG139&gt;1, J139*AN139*100.0/(AI139), 0)</f>
        <v>0</v>
      </c>
      <c r="L139">
        <f>((R139-H139/2)*K139-J139)/(R139+H139/2)</f>
        <v>0</v>
      </c>
      <c r="M139">
        <f>L139*(AZ139+BA139)/1000.0</f>
        <v>0</v>
      </c>
      <c r="N139">
        <f>(AS139 - IF(AG139&gt;1, J139*AN139*100.0/(AI139), 0))*(AZ139+BA139)/1000.0</f>
        <v>0</v>
      </c>
      <c r="O139">
        <f>2.0/((1/Q139-1/P139)+SIGN(Q139)*SQRT((1/Q139-1/P139)*(1/Q139-1/P139) + 4*AO139/((AO139+1)*(AO139+1))*(2*1/Q139*1/P139-1/P139*1/P139)))</f>
        <v>0</v>
      </c>
      <c r="P139">
        <f>IF(LEFT(AP139,1)&lt;&gt;"0",IF(LEFT(AP139,1)="1",3.0,AQ139),$D$5+$E$5*(BG139*AZ139/($K$5*1000))+$F$5*(BG139*AZ139/($K$5*1000))*MAX(MIN(AN139,$J$5),$I$5)*MAX(MIN(AN139,$J$5),$I$5)+$G$5*MAX(MIN(AN139,$J$5),$I$5)*(BG139*AZ139/($K$5*1000))+$H$5*(BG139*AZ139/($K$5*1000))*(BG139*AZ139/($K$5*1000)))</f>
        <v>0</v>
      </c>
      <c r="Q139">
        <f>H139*(1000-(1000*0.61365*exp(17.502*U139/(240.97+U139))/(AZ139+BA139)+AU139)/2)/(1000*0.61365*exp(17.502*U139/(240.97+U139))/(AZ139+BA139)-AU139)</f>
        <v>0</v>
      </c>
      <c r="R139">
        <f>1/((AO139+1)/(O139/1.6)+1/(P139/1.37)) + AO139/((AO139+1)/(O139/1.6) + AO139/(P139/1.37))</f>
        <v>0</v>
      </c>
      <c r="S139">
        <f>(AJ139*AM139)</f>
        <v>0</v>
      </c>
      <c r="T139">
        <f>(BB139+(S139+2*0.95*5.67E-8*(((BB139+$B$7)+273)^4-(BB139+273)^4)-44100*H139)/(1.84*29.3*P139+8*0.95*5.67E-8*(BB139+273)^3))</f>
        <v>0</v>
      </c>
      <c r="U139">
        <f>($C$7*BC139+$D$7*BD139+$E$7*T139)</f>
        <v>0</v>
      </c>
      <c r="V139">
        <f>0.61365*exp(17.502*U139/(240.97+U139))</f>
        <v>0</v>
      </c>
      <c r="W139">
        <f>(X139/Y139*100)</f>
        <v>0</v>
      </c>
      <c r="X139">
        <f>AU139*(AZ139+BA139)/1000</f>
        <v>0</v>
      </c>
      <c r="Y139">
        <f>0.61365*exp(17.502*BB139/(240.97+BB139))</f>
        <v>0</v>
      </c>
      <c r="Z139">
        <f>(V139-AU139*(AZ139+BA139)/1000)</f>
        <v>0</v>
      </c>
      <c r="AA139">
        <f>(-H139*44100)</f>
        <v>0</v>
      </c>
      <c r="AB139">
        <f>2*29.3*P139*0.92*(BB139-U139)</f>
        <v>0</v>
      </c>
      <c r="AC139">
        <f>2*0.95*5.67E-8*(((BB139+$B$7)+273)^4-(U139+273)^4)</f>
        <v>0</v>
      </c>
      <c r="AD139">
        <f>S139+AC139+AA139+AB139</f>
        <v>0</v>
      </c>
      <c r="AE139">
        <v>0</v>
      </c>
      <c r="AF139">
        <v>0</v>
      </c>
      <c r="AG139">
        <f>IF(AE139*$H$13&gt;=AI139,1.0,(AI139/(AI139-AE139*$H$13)))</f>
        <v>0</v>
      </c>
      <c r="AH139">
        <f>(AG139-1)*100</f>
        <v>0</v>
      </c>
      <c r="AI139">
        <f>MAX(0,($B$13+$C$13*BG139)/(1+$D$13*BG139)*AZ139/(BB139+273)*$E$13)</f>
        <v>0</v>
      </c>
      <c r="AJ139">
        <f>$B$11*BH139+$C$11*BI139+$D$11*BT139</f>
        <v>0</v>
      </c>
      <c r="AK139">
        <f>AJ139*AL139</f>
        <v>0</v>
      </c>
      <c r="AL139">
        <f>($B$11*$D$9+$C$11*$D$9+$D$11*(BU139*$E$9+BV139*$G$9))/($B$11+$C$11+$D$11)</f>
        <v>0</v>
      </c>
      <c r="AM139">
        <f>($B$11*$K$9+$C$11*$K$9+$D$11*(BU139*$L$9+BV139*$N$9))/($B$11+$C$11+$D$11)</f>
        <v>0</v>
      </c>
      <c r="AN139">
        <v>3</v>
      </c>
      <c r="AO139">
        <v>0.5</v>
      </c>
      <c r="AP139" t="s">
        <v>331</v>
      </c>
      <c r="AQ139">
        <v>2</v>
      </c>
      <c r="AR139">
        <v>1773203413</v>
      </c>
      <c r="AS139">
        <v>423.9646129032258</v>
      </c>
      <c r="AT139">
        <v>421.8190322580646</v>
      </c>
      <c r="AU139">
        <v>11.29890967741936</v>
      </c>
      <c r="AV139">
        <v>11.11741612903226</v>
      </c>
      <c r="AW139">
        <v>417.733064516129</v>
      </c>
      <c r="AX139">
        <v>11.21832258064516</v>
      </c>
      <c r="AY139">
        <v>500.0076451612903</v>
      </c>
      <c r="AZ139">
        <v>100.134935483871</v>
      </c>
      <c r="BA139">
        <v>0.04628284838709677</v>
      </c>
      <c r="BB139">
        <v>30.82904516129032</v>
      </c>
      <c r="BC139">
        <v>31.04926129032258</v>
      </c>
      <c r="BD139">
        <v>999.9000000000003</v>
      </c>
      <c r="BE139">
        <v>0</v>
      </c>
      <c r="BF139">
        <v>0</v>
      </c>
      <c r="BG139">
        <v>4996.548387096775</v>
      </c>
      <c r="BH139">
        <v>1.057116451612903</v>
      </c>
      <c r="BI139">
        <v>2180.418064516129</v>
      </c>
      <c r="BJ139">
        <v>2.145440322580645</v>
      </c>
      <c r="BK139">
        <v>428.8095806451614</v>
      </c>
      <c r="BL139">
        <v>426.5613225806451</v>
      </c>
      <c r="BM139">
        <v>0.1814981290322581</v>
      </c>
      <c r="BN139">
        <v>421.8190322580646</v>
      </c>
      <c r="BO139">
        <v>11.11741612903226</v>
      </c>
      <c r="BP139">
        <v>1.131416129032258</v>
      </c>
      <c r="BQ139">
        <v>1.113242903225806</v>
      </c>
      <c r="BR139">
        <v>8.728477096774194</v>
      </c>
      <c r="BS139">
        <v>8.489305161290321</v>
      </c>
      <c r="BT139">
        <v>0</v>
      </c>
      <c r="BU139">
        <v>0</v>
      </c>
      <c r="BV139">
        <v>0</v>
      </c>
      <c r="BW139">
        <v>35</v>
      </c>
      <c r="BX139">
        <v>50</v>
      </c>
      <c r="BY139">
        <v>1773196010</v>
      </c>
      <c r="BZ139" t="s">
        <v>332</v>
      </c>
      <c r="CA139">
        <v>1773196010</v>
      </c>
      <c r="CB139">
        <v>1773196005.5</v>
      </c>
      <c r="CC139">
        <v>2</v>
      </c>
      <c r="CD139">
        <v>-0.279</v>
      </c>
      <c r="CE139">
        <v>-0.021</v>
      </c>
      <c r="CF139">
        <v>6.231</v>
      </c>
      <c r="CG139">
        <v>0.081</v>
      </c>
      <c r="CH139">
        <v>432</v>
      </c>
      <c r="CI139">
        <v>21</v>
      </c>
      <c r="CJ139">
        <v>0.03</v>
      </c>
      <c r="CK139">
        <v>0.06</v>
      </c>
      <c r="CL139">
        <v>421.8190322580646</v>
      </c>
      <c r="CM139">
        <v>0.1464193548384067</v>
      </c>
      <c r="CN139">
        <v>0.02602664127757031</v>
      </c>
      <c r="CO139">
        <v>-1</v>
      </c>
      <c r="CP139">
        <v>500.0076451612903</v>
      </c>
      <c r="CQ139">
        <v>0.5421290322551937</v>
      </c>
      <c r="CR139">
        <v>0.1427692811422556</v>
      </c>
      <c r="CS139">
        <v>-1</v>
      </c>
      <c r="CT139">
        <v>0</v>
      </c>
      <c r="CU139">
        <v>0</v>
      </c>
      <c r="CV139" t="s">
        <v>333</v>
      </c>
      <c r="CW139">
        <v>3.17096</v>
      </c>
      <c r="CX139">
        <v>2.66666</v>
      </c>
      <c r="CY139">
        <v>0.09926790000000001</v>
      </c>
      <c r="CZ139">
        <v>0.100075</v>
      </c>
      <c r="DA139">
        <v>0.0638542</v>
      </c>
      <c r="DB139">
        <v>0.0631685</v>
      </c>
      <c r="DC139">
        <v>21315.3</v>
      </c>
      <c r="DD139">
        <v>21887.6</v>
      </c>
      <c r="DE139">
        <v>22816.7</v>
      </c>
      <c r="DF139">
        <v>22268.4</v>
      </c>
      <c r="DG139">
        <v>32303.6</v>
      </c>
      <c r="DH139">
        <v>29387.6</v>
      </c>
      <c r="DI139">
        <v>40162.1</v>
      </c>
      <c r="DJ139">
        <v>36832.8</v>
      </c>
      <c r="DK139">
        <v>2.02482</v>
      </c>
      <c r="DL139">
        <v>1.494</v>
      </c>
      <c r="DM139">
        <v>-0.0691324</v>
      </c>
      <c r="DN139">
        <v>0</v>
      </c>
      <c r="DO139">
        <v>32.1863</v>
      </c>
      <c r="DP139">
        <v>999.9</v>
      </c>
      <c r="DQ139">
        <v>23.8</v>
      </c>
      <c r="DR139">
        <v>45.8</v>
      </c>
      <c r="DS139">
        <v>23.871</v>
      </c>
      <c r="DT139">
        <v>30.1891</v>
      </c>
      <c r="DU139">
        <v>14.1306</v>
      </c>
      <c r="DV139">
        <v>1</v>
      </c>
      <c r="DW139">
        <v>0.903142</v>
      </c>
      <c r="DX139">
        <v>4.18508</v>
      </c>
      <c r="DY139">
        <v>20.3004</v>
      </c>
      <c r="DZ139">
        <v>5.20926</v>
      </c>
      <c r="EA139">
        <v>11.8547</v>
      </c>
      <c r="EB139">
        <v>4.96696</v>
      </c>
      <c r="EC139">
        <v>3.29298</v>
      </c>
      <c r="ED139">
        <v>879.4</v>
      </c>
      <c r="EE139">
        <v>9999</v>
      </c>
      <c r="EF139">
        <v>9999</v>
      </c>
      <c r="EG139">
        <v>78.09999999999999</v>
      </c>
      <c r="EH139">
        <v>4.97156</v>
      </c>
      <c r="EI139">
        <v>1.8721</v>
      </c>
      <c r="EJ139">
        <v>1.86951</v>
      </c>
      <c r="EK139">
        <v>1.8718</v>
      </c>
      <c r="EL139">
        <v>1.8696</v>
      </c>
      <c r="EM139">
        <v>1.86837</v>
      </c>
      <c r="EN139">
        <v>1.87024</v>
      </c>
      <c r="EO139">
        <v>1.87195</v>
      </c>
      <c r="EP139">
        <v>0</v>
      </c>
      <c r="EQ139">
        <v>0</v>
      </c>
      <c r="ER139">
        <v>0</v>
      </c>
      <c r="ES139">
        <v>0</v>
      </c>
      <c r="ET139" t="s">
        <v>334</v>
      </c>
      <c r="EU139" t="s">
        <v>335</v>
      </c>
      <c r="EV139" t="s">
        <v>336</v>
      </c>
      <c r="EW139" t="s">
        <v>336</v>
      </c>
      <c r="EX139" t="s">
        <v>336</v>
      </c>
      <c r="EY139" t="s">
        <v>336</v>
      </c>
      <c r="EZ139">
        <v>0</v>
      </c>
      <c r="FA139">
        <v>100</v>
      </c>
      <c r="FB139">
        <v>100</v>
      </c>
      <c r="FC139">
        <v>6.231</v>
      </c>
      <c r="FD139">
        <v>0.0806</v>
      </c>
      <c r="FE139">
        <v>6.23135000000002</v>
      </c>
      <c r="FF139">
        <v>0</v>
      </c>
      <c r="FG139">
        <v>0</v>
      </c>
      <c r="FH139">
        <v>0</v>
      </c>
      <c r="FI139">
        <v>0.08059047619047632</v>
      </c>
      <c r="FJ139">
        <v>0</v>
      </c>
      <c r="FK139">
        <v>0</v>
      </c>
      <c r="FL139">
        <v>0</v>
      </c>
      <c r="FM139">
        <v>-1</v>
      </c>
      <c r="FN139">
        <v>-1</v>
      </c>
      <c r="FO139">
        <v>-1</v>
      </c>
      <c r="FP139">
        <v>-1</v>
      </c>
      <c r="FQ139">
        <v>123.5</v>
      </c>
      <c r="FR139">
        <v>123.6</v>
      </c>
      <c r="FS139">
        <v>0.141602</v>
      </c>
      <c r="FT139">
        <v>4.99756</v>
      </c>
      <c r="FU139">
        <v>1.5979</v>
      </c>
      <c r="FV139">
        <v>2.10815</v>
      </c>
      <c r="FW139">
        <v>1.54785</v>
      </c>
      <c r="FX139">
        <v>2.3938</v>
      </c>
      <c r="FY139">
        <v>47.0932</v>
      </c>
      <c r="FZ139">
        <v>15.4367</v>
      </c>
      <c r="GA139">
        <v>3</v>
      </c>
      <c r="GB139">
        <v>520.261</v>
      </c>
      <c r="GC139">
        <v>288.321</v>
      </c>
      <c r="GD139">
        <v>27.4092</v>
      </c>
      <c r="GE139">
        <v>38.0099</v>
      </c>
      <c r="GF139">
        <v>30.0002</v>
      </c>
      <c r="GG139">
        <v>37.9259</v>
      </c>
      <c r="GH139">
        <v>37.9159</v>
      </c>
      <c r="GI139">
        <v>-1</v>
      </c>
      <c r="GJ139">
        <v>100</v>
      </c>
      <c r="GK139">
        <v>0</v>
      </c>
      <c r="GL139">
        <v>27.3907</v>
      </c>
      <c r="GM139">
        <v>1200</v>
      </c>
      <c r="GN139">
        <v>19.4378</v>
      </c>
      <c r="GO139">
        <v>101.037</v>
      </c>
      <c r="GP139">
        <v>96.18089999999999</v>
      </c>
    </row>
    <row r="140" spans="1:198">
      <c r="A140">
        <v>124</v>
      </c>
      <c r="B140">
        <v>1773203481</v>
      </c>
      <c r="C140">
        <v>7381</v>
      </c>
      <c r="D140" t="s">
        <v>581</v>
      </c>
      <c r="E140" t="s">
        <v>582</v>
      </c>
      <c r="F140">
        <v>15</v>
      </c>
      <c r="G140">
        <v>1773203473</v>
      </c>
      <c r="H140">
        <f>(I140)/1000</f>
        <v>0</v>
      </c>
      <c r="I140">
        <f>1000*AY140*AG140*(AU140-AV140)/(100*AN140*(1000-AG140*AU140))</f>
        <v>0</v>
      </c>
      <c r="J140">
        <f>AY140*AG140*(AT140-AS140*(1000-AG140*AV140)/(1000-AG140*AU140))/(100*AN140)</f>
        <v>0</v>
      </c>
      <c r="K140">
        <f>AS140 - IF(AG140&gt;1, J140*AN140*100.0/(AI140), 0)</f>
        <v>0</v>
      </c>
      <c r="L140">
        <f>((R140-H140/2)*K140-J140)/(R140+H140/2)</f>
        <v>0</v>
      </c>
      <c r="M140">
        <f>L140*(AZ140+BA140)/1000.0</f>
        <v>0</v>
      </c>
      <c r="N140">
        <f>(AS140 - IF(AG140&gt;1, J140*AN140*100.0/(AI140), 0))*(AZ140+BA140)/1000.0</f>
        <v>0</v>
      </c>
      <c r="O140">
        <f>2.0/((1/Q140-1/P140)+SIGN(Q140)*SQRT((1/Q140-1/P140)*(1/Q140-1/P140) + 4*AO140/((AO140+1)*(AO140+1))*(2*1/Q140*1/P140-1/P140*1/P140)))</f>
        <v>0</v>
      </c>
      <c r="P140">
        <f>IF(LEFT(AP140,1)&lt;&gt;"0",IF(LEFT(AP140,1)="1",3.0,AQ140),$D$5+$E$5*(BG140*AZ140/($K$5*1000))+$F$5*(BG140*AZ140/($K$5*1000))*MAX(MIN(AN140,$J$5),$I$5)*MAX(MIN(AN140,$J$5),$I$5)+$G$5*MAX(MIN(AN140,$J$5),$I$5)*(BG140*AZ140/($K$5*1000))+$H$5*(BG140*AZ140/($K$5*1000))*(BG140*AZ140/($K$5*1000)))</f>
        <v>0</v>
      </c>
      <c r="Q140">
        <f>H140*(1000-(1000*0.61365*exp(17.502*U140/(240.97+U140))/(AZ140+BA140)+AU140)/2)/(1000*0.61365*exp(17.502*U140/(240.97+U140))/(AZ140+BA140)-AU140)</f>
        <v>0</v>
      </c>
      <c r="R140">
        <f>1/((AO140+1)/(O140/1.6)+1/(P140/1.37)) + AO140/((AO140+1)/(O140/1.6) + AO140/(P140/1.37))</f>
        <v>0</v>
      </c>
      <c r="S140">
        <f>(AJ140*AM140)</f>
        <v>0</v>
      </c>
      <c r="T140">
        <f>(BB140+(S140+2*0.95*5.67E-8*(((BB140+$B$7)+273)^4-(BB140+273)^4)-44100*H140)/(1.84*29.3*P140+8*0.95*5.67E-8*(BB140+273)^3))</f>
        <v>0</v>
      </c>
      <c r="U140">
        <f>($C$7*BC140+$D$7*BD140+$E$7*T140)</f>
        <v>0</v>
      </c>
      <c r="V140">
        <f>0.61365*exp(17.502*U140/(240.97+U140))</f>
        <v>0</v>
      </c>
      <c r="W140">
        <f>(X140/Y140*100)</f>
        <v>0</v>
      </c>
      <c r="X140">
        <f>AU140*(AZ140+BA140)/1000</f>
        <v>0</v>
      </c>
      <c r="Y140">
        <f>0.61365*exp(17.502*BB140/(240.97+BB140))</f>
        <v>0</v>
      </c>
      <c r="Z140">
        <f>(V140-AU140*(AZ140+BA140)/1000)</f>
        <v>0</v>
      </c>
      <c r="AA140">
        <f>(-H140*44100)</f>
        <v>0</v>
      </c>
      <c r="AB140">
        <f>2*29.3*P140*0.92*(BB140-U140)</f>
        <v>0</v>
      </c>
      <c r="AC140">
        <f>2*0.95*5.67E-8*(((BB140+$B$7)+273)^4-(U140+273)^4)</f>
        <v>0</v>
      </c>
      <c r="AD140">
        <f>S140+AC140+AA140+AB140</f>
        <v>0</v>
      </c>
      <c r="AE140">
        <v>0</v>
      </c>
      <c r="AF140">
        <v>0</v>
      </c>
      <c r="AG140">
        <f>IF(AE140*$H$13&gt;=AI140,1.0,(AI140/(AI140-AE140*$H$13)))</f>
        <v>0</v>
      </c>
      <c r="AH140">
        <f>(AG140-1)*100</f>
        <v>0</v>
      </c>
      <c r="AI140">
        <f>MAX(0,($B$13+$C$13*BG140)/(1+$D$13*BG140)*AZ140/(BB140+273)*$E$13)</f>
        <v>0</v>
      </c>
      <c r="AJ140">
        <f>$B$11*BH140+$C$11*BI140+$D$11*BT140</f>
        <v>0</v>
      </c>
      <c r="AK140">
        <f>AJ140*AL140</f>
        <v>0</v>
      </c>
      <c r="AL140">
        <f>($B$11*$D$9+$C$11*$D$9+$D$11*(BU140*$E$9+BV140*$G$9))/($B$11+$C$11+$D$11)</f>
        <v>0</v>
      </c>
      <c r="AM140">
        <f>($B$11*$K$9+$C$11*$K$9+$D$11*(BU140*$L$9+BV140*$N$9))/($B$11+$C$11+$D$11)</f>
        <v>0</v>
      </c>
      <c r="AN140">
        <v>3</v>
      </c>
      <c r="AO140">
        <v>0.5</v>
      </c>
      <c r="AP140" t="s">
        <v>331</v>
      </c>
      <c r="AQ140">
        <v>2</v>
      </c>
      <c r="AR140">
        <v>1773203473</v>
      </c>
      <c r="AS140">
        <v>423.9757096774193</v>
      </c>
      <c r="AT140">
        <v>421.8789032258064</v>
      </c>
      <c r="AU140">
        <v>11.29715806451613</v>
      </c>
      <c r="AV140">
        <v>11.13240322580645</v>
      </c>
      <c r="AW140">
        <v>417.7444193548386</v>
      </c>
      <c r="AX140">
        <v>11.21657096774194</v>
      </c>
      <c r="AY140">
        <v>499.9958064516129</v>
      </c>
      <c r="AZ140">
        <v>100.1354193548387</v>
      </c>
      <c r="BA140">
        <v>0.04717604838709678</v>
      </c>
      <c r="BB140">
        <v>30.79992258064516</v>
      </c>
      <c r="BC140">
        <v>31.01885806451613</v>
      </c>
      <c r="BD140">
        <v>999.9000000000003</v>
      </c>
      <c r="BE140">
        <v>0</v>
      </c>
      <c r="BF140">
        <v>0</v>
      </c>
      <c r="BG140">
        <v>5008.048387096775</v>
      </c>
      <c r="BH140">
        <v>1.078541612903226</v>
      </c>
      <c r="BI140">
        <v>2173.055161290323</v>
      </c>
      <c r="BJ140">
        <v>2.096836774193548</v>
      </c>
      <c r="BK140">
        <v>428.8201290322581</v>
      </c>
      <c r="BL140">
        <v>426.6282580645162</v>
      </c>
      <c r="BM140">
        <v>0.1647474193548387</v>
      </c>
      <c r="BN140">
        <v>421.8789032258064</v>
      </c>
      <c r="BO140">
        <v>11.13240322580645</v>
      </c>
      <c r="BP140">
        <v>1.131245806451613</v>
      </c>
      <c r="BQ140">
        <v>1.11474935483871</v>
      </c>
      <c r="BR140">
        <v>8.726242903225806</v>
      </c>
      <c r="BS140">
        <v>8.509255806451613</v>
      </c>
      <c r="BT140">
        <v>0</v>
      </c>
      <c r="BU140">
        <v>0</v>
      </c>
      <c r="BV140">
        <v>0</v>
      </c>
      <c r="BW140">
        <v>35</v>
      </c>
      <c r="BX140">
        <v>48.90645161290323</v>
      </c>
      <c r="BY140">
        <v>1773196010</v>
      </c>
      <c r="BZ140" t="s">
        <v>332</v>
      </c>
      <c r="CA140">
        <v>1773196010</v>
      </c>
      <c r="CB140">
        <v>1773196005.5</v>
      </c>
      <c r="CC140">
        <v>2</v>
      </c>
      <c r="CD140">
        <v>-0.279</v>
      </c>
      <c r="CE140">
        <v>-0.021</v>
      </c>
      <c r="CF140">
        <v>6.231</v>
      </c>
      <c r="CG140">
        <v>0.081</v>
      </c>
      <c r="CH140">
        <v>432</v>
      </c>
      <c r="CI140">
        <v>21</v>
      </c>
      <c r="CJ140">
        <v>0.03</v>
      </c>
      <c r="CK140">
        <v>0.06</v>
      </c>
      <c r="CL140">
        <v>421.8820666666666</v>
      </c>
      <c r="CM140">
        <v>-0.9093303670750077</v>
      </c>
      <c r="CN140">
        <v>0.07005232964640702</v>
      </c>
      <c r="CO140">
        <v>-1</v>
      </c>
      <c r="CP140">
        <v>499.9937333333334</v>
      </c>
      <c r="CQ140">
        <v>0.1328943270295908</v>
      </c>
      <c r="CR140">
        <v>0.04849256529499409</v>
      </c>
      <c r="CS140">
        <v>-1</v>
      </c>
      <c r="CT140">
        <v>0</v>
      </c>
      <c r="CU140">
        <v>0</v>
      </c>
      <c r="CV140" t="s">
        <v>333</v>
      </c>
      <c r="CW140">
        <v>3.17096</v>
      </c>
      <c r="CX140">
        <v>2.66733</v>
      </c>
      <c r="CY140">
        <v>0.0992772</v>
      </c>
      <c r="CZ140">
        <v>0.100061</v>
      </c>
      <c r="DA140">
        <v>0.0638807</v>
      </c>
      <c r="DB140">
        <v>0.0632332</v>
      </c>
      <c r="DC140">
        <v>21315.9</v>
      </c>
      <c r="DD140">
        <v>21889.2</v>
      </c>
      <c r="DE140">
        <v>22817.5</v>
      </c>
      <c r="DF140">
        <v>22269.7</v>
      </c>
      <c r="DG140">
        <v>32303.8</v>
      </c>
      <c r="DH140">
        <v>29387.2</v>
      </c>
      <c r="DI140">
        <v>40163.4</v>
      </c>
      <c r="DJ140">
        <v>36834.8</v>
      </c>
      <c r="DK140">
        <v>2.0252</v>
      </c>
      <c r="DL140">
        <v>1.4943</v>
      </c>
      <c r="DM140">
        <v>-0.0741363</v>
      </c>
      <c r="DN140">
        <v>0</v>
      </c>
      <c r="DO140">
        <v>32.2214</v>
      </c>
      <c r="DP140">
        <v>999.9</v>
      </c>
      <c r="DQ140">
        <v>23.8</v>
      </c>
      <c r="DR140">
        <v>45.8</v>
      </c>
      <c r="DS140">
        <v>23.8728</v>
      </c>
      <c r="DT140">
        <v>29.8291</v>
      </c>
      <c r="DU140">
        <v>14.0825</v>
      </c>
      <c r="DV140">
        <v>1</v>
      </c>
      <c r="DW140">
        <v>0.899567</v>
      </c>
      <c r="DX140">
        <v>3.95788</v>
      </c>
      <c r="DY140">
        <v>20.3079</v>
      </c>
      <c r="DZ140">
        <v>5.21022</v>
      </c>
      <c r="EA140">
        <v>11.8554</v>
      </c>
      <c r="EB140">
        <v>4.96728</v>
      </c>
      <c r="EC140">
        <v>3.29288</v>
      </c>
      <c r="ED140">
        <v>879.4</v>
      </c>
      <c r="EE140">
        <v>9999</v>
      </c>
      <c r="EF140">
        <v>9999</v>
      </c>
      <c r="EG140">
        <v>78.09999999999999</v>
      </c>
      <c r="EH140">
        <v>4.97156</v>
      </c>
      <c r="EI140">
        <v>1.8721</v>
      </c>
      <c r="EJ140">
        <v>1.86948</v>
      </c>
      <c r="EK140">
        <v>1.8718</v>
      </c>
      <c r="EL140">
        <v>1.86957</v>
      </c>
      <c r="EM140">
        <v>1.8683</v>
      </c>
      <c r="EN140">
        <v>1.87021</v>
      </c>
      <c r="EO140">
        <v>1.87195</v>
      </c>
      <c r="EP140">
        <v>0</v>
      </c>
      <c r="EQ140">
        <v>0</v>
      </c>
      <c r="ER140">
        <v>0</v>
      </c>
      <c r="ES140">
        <v>0</v>
      </c>
      <c r="ET140" t="s">
        <v>334</v>
      </c>
      <c r="EU140" t="s">
        <v>335</v>
      </c>
      <c r="EV140" t="s">
        <v>336</v>
      </c>
      <c r="EW140" t="s">
        <v>336</v>
      </c>
      <c r="EX140" t="s">
        <v>336</v>
      </c>
      <c r="EY140" t="s">
        <v>336</v>
      </c>
      <c r="EZ140">
        <v>0</v>
      </c>
      <c r="FA140">
        <v>100</v>
      </c>
      <c r="FB140">
        <v>100</v>
      </c>
      <c r="FC140">
        <v>6.231</v>
      </c>
      <c r="FD140">
        <v>0.0805</v>
      </c>
      <c r="FE140">
        <v>6.23135000000002</v>
      </c>
      <c r="FF140">
        <v>0</v>
      </c>
      <c r="FG140">
        <v>0</v>
      </c>
      <c r="FH140">
        <v>0</v>
      </c>
      <c r="FI140">
        <v>0.08059047619047632</v>
      </c>
      <c r="FJ140">
        <v>0</v>
      </c>
      <c r="FK140">
        <v>0</v>
      </c>
      <c r="FL140">
        <v>0</v>
      </c>
      <c r="FM140">
        <v>-1</v>
      </c>
      <c r="FN140">
        <v>-1</v>
      </c>
      <c r="FO140">
        <v>-1</v>
      </c>
      <c r="FP140">
        <v>-1</v>
      </c>
      <c r="FQ140">
        <v>124.5</v>
      </c>
      <c r="FR140">
        <v>124.6</v>
      </c>
      <c r="FS140">
        <v>0.141602</v>
      </c>
      <c r="FT140">
        <v>4.99756</v>
      </c>
      <c r="FU140">
        <v>1.5979</v>
      </c>
      <c r="FV140">
        <v>2.10815</v>
      </c>
      <c r="FW140">
        <v>1.54785</v>
      </c>
      <c r="FX140">
        <v>2.3645</v>
      </c>
      <c r="FY140">
        <v>47.0634</v>
      </c>
      <c r="FZ140">
        <v>15.4367</v>
      </c>
      <c r="GA140">
        <v>3</v>
      </c>
      <c r="GB140">
        <v>520.423</v>
      </c>
      <c r="GC140">
        <v>288.433</v>
      </c>
      <c r="GD140">
        <v>27.445</v>
      </c>
      <c r="GE140">
        <v>37.9954</v>
      </c>
      <c r="GF140">
        <v>30.0008</v>
      </c>
      <c r="GG140">
        <v>37.9151</v>
      </c>
      <c r="GH140">
        <v>37.9087</v>
      </c>
      <c r="GI140">
        <v>-1</v>
      </c>
      <c r="GJ140">
        <v>100</v>
      </c>
      <c r="GK140">
        <v>0</v>
      </c>
      <c r="GL140">
        <v>27.432</v>
      </c>
      <c r="GM140">
        <v>1200</v>
      </c>
      <c r="GN140">
        <v>19.4378</v>
      </c>
      <c r="GO140">
        <v>101.04</v>
      </c>
      <c r="GP140">
        <v>96.1861</v>
      </c>
    </row>
    <row r="141" spans="1:198">
      <c r="A141">
        <v>125</v>
      </c>
      <c r="B141">
        <v>1773203541</v>
      </c>
      <c r="C141">
        <v>7441</v>
      </c>
      <c r="D141" t="s">
        <v>583</v>
      </c>
      <c r="E141" t="s">
        <v>584</v>
      </c>
      <c r="F141">
        <v>15</v>
      </c>
      <c r="G141">
        <v>1773203533</v>
      </c>
      <c r="H141">
        <f>(I141)/1000</f>
        <v>0</v>
      </c>
      <c r="I141">
        <f>1000*AY141*AG141*(AU141-AV141)/(100*AN141*(1000-AG141*AU141))</f>
        <v>0</v>
      </c>
      <c r="J141">
        <f>AY141*AG141*(AT141-AS141*(1000-AG141*AV141)/(1000-AG141*AU141))/(100*AN141)</f>
        <v>0</v>
      </c>
      <c r="K141">
        <f>AS141 - IF(AG141&gt;1, J141*AN141*100.0/(AI141), 0)</f>
        <v>0</v>
      </c>
      <c r="L141">
        <f>((R141-H141/2)*K141-J141)/(R141+H141/2)</f>
        <v>0</v>
      </c>
      <c r="M141">
        <f>L141*(AZ141+BA141)/1000.0</f>
        <v>0</v>
      </c>
      <c r="N141">
        <f>(AS141 - IF(AG141&gt;1, J141*AN141*100.0/(AI141), 0))*(AZ141+BA141)/1000.0</f>
        <v>0</v>
      </c>
      <c r="O141">
        <f>2.0/((1/Q141-1/P141)+SIGN(Q141)*SQRT((1/Q141-1/P141)*(1/Q141-1/P141) + 4*AO141/((AO141+1)*(AO141+1))*(2*1/Q141*1/P141-1/P141*1/P141)))</f>
        <v>0</v>
      </c>
      <c r="P141">
        <f>IF(LEFT(AP141,1)&lt;&gt;"0",IF(LEFT(AP141,1)="1",3.0,AQ141),$D$5+$E$5*(BG141*AZ141/($K$5*1000))+$F$5*(BG141*AZ141/($K$5*1000))*MAX(MIN(AN141,$J$5),$I$5)*MAX(MIN(AN141,$J$5),$I$5)+$G$5*MAX(MIN(AN141,$J$5),$I$5)*(BG141*AZ141/($K$5*1000))+$H$5*(BG141*AZ141/($K$5*1000))*(BG141*AZ141/($K$5*1000)))</f>
        <v>0</v>
      </c>
      <c r="Q141">
        <f>H141*(1000-(1000*0.61365*exp(17.502*U141/(240.97+U141))/(AZ141+BA141)+AU141)/2)/(1000*0.61365*exp(17.502*U141/(240.97+U141))/(AZ141+BA141)-AU141)</f>
        <v>0</v>
      </c>
      <c r="R141">
        <f>1/((AO141+1)/(O141/1.6)+1/(P141/1.37)) + AO141/((AO141+1)/(O141/1.6) + AO141/(P141/1.37))</f>
        <v>0</v>
      </c>
      <c r="S141">
        <f>(AJ141*AM141)</f>
        <v>0</v>
      </c>
      <c r="T141">
        <f>(BB141+(S141+2*0.95*5.67E-8*(((BB141+$B$7)+273)^4-(BB141+273)^4)-44100*H141)/(1.84*29.3*P141+8*0.95*5.67E-8*(BB141+273)^3))</f>
        <v>0</v>
      </c>
      <c r="U141">
        <f>($C$7*BC141+$D$7*BD141+$E$7*T141)</f>
        <v>0</v>
      </c>
      <c r="V141">
        <f>0.61365*exp(17.502*U141/(240.97+U141))</f>
        <v>0</v>
      </c>
      <c r="W141">
        <f>(X141/Y141*100)</f>
        <v>0</v>
      </c>
      <c r="X141">
        <f>AU141*(AZ141+BA141)/1000</f>
        <v>0</v>
      </c>
      <c r="Y141">
        <f>0.61365*exp(17.502*BB141/(240.97+BB141))</f>
        <v>0</v>
      </c>
      <c r="Z141">
        <f>(V141-AU141*(AZ141+BA141)/1000)</f>
        <v>0</v>
      </c>
      <c r="AA141">
        <f>(-H141*44100)</f>
        <v>0</v>
      </c>
      <c r="AB141">
        <f>2*29.3*P141*0.92*(BB141-U141)</f>
        <v>0</v>
      </c>
      <c r="AC141">
        <f>2*0.95*5.67E-8*(((BB141+$B$7)+273)^4-(U141+273)^4)</f>
        <v>0</v>
      </c>
      <c r="AD141">
        <f>S141+AC141+AA141+AB141</f>
        <v>0</v>
      </c>
      <c r="AE141">
        <v>0</v>
      </c>
      <c r="AF141">
        <v>0</v>
      </c>
      <c r="AG141">
        <f>IF(AE141*$H$13&gt;=AI141,1.0,(AI141/(AI141-AE141*$H$13)))</f>
        <v>0</v>
      </c>
      <c r="AH141">
        <f>(AG141-1)*100</f>
        <v>0</v>
      </c>
      <c r="AI141">
        <f>MAX(0,($B$13+$C$13*BG141)/(1+$D$13*BG141)*AZ141/(BB141+273)*$E$13)</f>
        <v>0</v>
      </c>
      <c r="AJ141">
        <f>$B$11*BH141+$C$11*BI141+$D$11*BT141</f>
        <v>0</v>
      </c>
      <c r="AK141">
        <f>AJ141*AL141</f>
        <v>0</v>
      </c>
      <c r="AL141">
        <f>($B$11*$D$9+$C$11*$D$9+$D$11*(BU141*$E$9+BV141*$G$9))/($B$11+$C$11+$D$11)</f>
        <v>0</v>
      </c>
      <c r="AM141">
        <f>($B$11*$K$9+$C$11*$K$9+$D$11*(BU141*$L$9+BV141*$N$9))/($B$11+$C$11+$D$11)</f>
        <v>0</v>
      </c>
      <c r="AN141">
        <v>3</v>
      </c>
      <c r="AO141">
        <v>0.5</v>
      </c>
      <c r="AP141" t="s">
        <v>331</v>
      </c>
      <c r="AQ141">
        <v>2</v>
      </c>
      <c r="AR141">
        <v>1773203533</v>
      </c>
      <c r="AS141">
        <v>423.9719032258065</v>
      </c>
      <c r="AT141">
        <v>421.9971935483871</v>
      </c>
      <c r="AU141">
        <v>11.27892258064516</v>
      </c>
      <c r="AV141">
        <v>11.11531935483871</v>
      </c>
      <c r="AW141">
        <v>417.7405806451613</v>
      </c>
      <c r="AX141">
        <v>11.19832903225806</v>
      </c>
      <c r="AY141">
        <v>500.0381935483871</v>
      </c>
      <c r="AZ141">
        <v>100.1355483870968</v>
      </c>
      <c r="BA141">
        <v>0.04541942580645161</v>
      </c>
      <c r="BB141">
        <v>30.82540967741935</v>
      </c>
      <c r="BC141">
        <v>31.07273870967742</v>
      </c>
      <c r="BD141">
        <v>999.9000000000003</v>
      </c>
      <c r="BE141">
        <v>0</v>
      </c>
      <c r="BF141">
        <v>0</v>
      </c>
      <c r="BG141">
        <v>5002.370967741936</v>
      </c>
      <c r="BH141">
        <v>1.083506774193549</v>
      </c>
      <c r="BI141">
        <v>2167.368064516129</v>
      </c>
      <c r="BJ141">
        <v>1.974743870967742</v>
      </c>
      <c r="BK141">
        <v>428.8083225806452</v>
      </c>
      <c r="BL141">
        <v>426.7405806451612</v>
      </c>
      <c r="BM141">
        <v>0.1635885483870968</v>
      </c>
      <c r="BN141">
        <v>421.9971935483871</v>
      </c>
      <c r="BO141">
        <v>11.11531935483871</v>
      </c>
      <c r="BP141">
        <v>1.129421612903226</v>
      </c>
      <c r="BQ141">
        <v>1.113040322580645</v>
      </c>
      <c r="BR141">
        <v>8.702389032258065</v>
      </c>
      <c r="BS141">
        <v>8.48663</v>
      </c>
      <c r="BT141">
        <v>0</v>
      </c>
      <c r="BU141">
        <v>0</v>
      </c>
      <c r="BV141">
        <v>0</v>
      </c>
      <c r="BW141">
        <v>35</v>
      </c>
      <c r="BX141">
        <v>48.68709677419354</v>
      </c>
      <c r="BY141">
        <v>1773196010</v>
      </c>
      <c r="BZ141" t="s">
        <v>332</v>
      </c>
      <c r="CA141">
        <v>1773196010</v>
      </c>
      <c r="CB141">
        <v>1773196005.5</v>
      </c>
      <c r="CC141">
        <v>2</v>
      </c>
      <c r="CD141">
        <v>-0.279</v>
      </c>
      <c r="CE141">
        <v>-0.021</v>
      </c>
      <c r="CF141">
        <v>6.231</v>
      </c>
      <c r="CG141">
        <v>0.081</v>
      </c>
      <c r="CH141">
        <v>432</v>
      </c>
      <c r="CI141">
        <v>21</v>
      </c>
      <c r="CJ141">
        <v>0.03</v>
      </c>
      <c r="CK141">
        <v>0.06</v>
      </c>
      <c r="CL141">
        <v>421.9909666666667</v>
      </c>
      <c r="CM141">
        <v>1.15891434927719</v>
      </c>
      <c r="CN141">
        <v>0.08996054073253133</v>
      </c>
      <c r="CO141">
        <v>-1</v>
      </c>
      <c r="CP141">
        <v>500.0407</v>
      </c>
      <c r="CQ141">
        <v>-0.05069632925428694</v>
      </c>
      <c r="CR141">
        <v>0.06153435354878597</v>
      </c>
      <c r="CS141">
        <v>-1</v>
      </c>
      <c r="CT141">
        <v>0</v>
      </c>
      <c r="CU141">
        <v>0</v>
      </c>
      <c r="CV141" t="s">
        <v>333</v>
      </c>
      <c r="CW141">
        <v>3.17083</v>
      </c>
      <c r="CX141">
        <v>2.66701</v>
      </c>
      <c r="CY141">
        <v>0.0993006</v>
      </c>
      <c r="CZ141">
        <v>0.100133</v>
      </c>
      <c r="DA141">
        <v>0.063823</v>
      </c>
      <c r="DB141">
        <v>0.0632112</v>
      </c>
      <c r="DC141">
        <v>21315.1</v>
      </c>
      <c r="DD141">
        <v>21887.3</v>
      </c>
      <c r="DE141">
        <v>22817.2</v>
      </c>
      <c r="DF141">
        <v>22269.5</v>
      </c>
      <c r="DG141">
        <v>32305.4</v>
      </c>
      <c r="DH141">
        <v>29387.6</v>
      </c>
      <c r="DI141">
        <v>40163</v>
      </c>
      <c r="DJ141">
        <v>36834.4</v>
      </c>
      <c r="DK141">
        <v>2.02518</v>
      </c>
      <c r="DL141">
        <v>1.49478</v>
      </c>
      <c r="DM141">
        <v>-0.0748008</v>
      </c>
      <c r="DN141">
        <v>0</v>
      </c>
      <c r="DO141">
        <v>32.3002</v>
      </c>
      <c r="DP141">
        <v>999.9</v>
      </c>
      <c r="DQ141">
        <v>24</v>
      </c>
      <c r="DR141">
        <v>45.8</v>
      </c>
      <c r="DS141">
        <v>24.0713</v>
      </c>
      <c r="DT141">
        <v>30.2791</v>
      </c>
      <c r="DU141">
        <v>14.0785</v>
      </c>
      <c r="DV141">
        <v>1</v>
      </c>
      <c r="DW141">
        <v>0.901282</v>
      </c>
      <c r="DX141">
        <v>4.26174</v>
      </c>
      <c r="DY141">
        <v>20.2985</v>
      </c>
      <c r="DZ141">
        <v>5.2107</v>
      </c>
      <c r="EA141">
        <v>11.8565</v>
      </c>
      <c r="EB141">
        <v>4.9674</v>
      </c>
      <c r="EC141">
        <v>3.29294</v>
      </c>
      <c r="ED141">
        <v>879.4</v>
      </c>
      <c r="EE141">
        <v>9999</v>
      </c>
      <c r="EF141">
        <v>9999</v>
      </c>
      <c r="EG141">
        <v>78.09999999999999</v>
      </c>
      <c r="EH141">
        <v>4.97158</v>
      </c>
      <c r="EI141">
        <v>1.8721</v>
      </c>
      <c r="EJ141">
        <v>1.86949</v>
      </c>
      <c r="EK141">
        <v>1.87179</v>
      </c>
      <c r="EL141">
        <v>1.86953</v>
      </c>
      <c r="EM141">
        <v>1.86835</v>
      </c>
      <c r="EN141">
        <v>1.87024</v>
      </c>
      <c r="EO141">
        <v>1.87195</v>
      </c>
      <c r="EP141">
        <v>0</v>
      </c>
      <c r="EQ141">
        <v>0</v>
      </c>
      <c r="ER141">
        <v>0</v>
      </c>
      <c r="ES141">
        <v>0</v>
      </c>
      <c r="ET141" t="s">
        <v>334</v>
      </c>
      <c r="EU141" t="s">
        <v>335</v>
      </c>
      <c r="EV141" t="s">
        <v>336</v>
      </c>
      <c r="EW141" t="s">
        <v>336</v>
      </c>
      <c r="EX141" t="s">
        <v>336</v>
      </c>
      <c r="EY141" t="s">
        <v>336</v>
      </c>
      <c r="EZ141">
        <v>0</v>
      </c>
      <c r="FA141">
        <v>100</v>
      </c>
      <c r="FB141">
        <v>100</v>
      </c>
      <c r="FC141">
        <v>6.231</v>
      </c>
      <c r="FD141">
        <v>0.0806</v>
      </c>
      <c r="FE141">
        <v>6.23135000000002</v>
      </c>
      <c r="FF141">
        <v>0</v>
      </c>
      <c r="FG141">
        <v>0</v>
      </c>
      <c r="FH141">
        <v>0</v>
      </c>
      <c r="FI141">
        <v>0.08059047619047632</v>
      </c>
      <c r="FJ141">
        <v>0</v>
      </c>
      <c r="FK141">
        <v>0</v>
      </c>
      <c r="FL141">
        <v>0</v>
      </c>
      <c r="FM141">
        <v>-1</v>
      </c>
      <c r="FN141">
        <v>-1</v>
      </c>
      <c r="FO141">
        <v>-1</v>
      </c>
      <c r="FP141">
        <v>-1</v>
      </c>
      <c r="FQ141">
        <v>125.5</v>
      </c>
      <c r="FR141">
        <v>125.6</v>
      </c>
      <c r="FS141">
        <v>0.141602</v>
      </c>
      <c r="FT141">
        <v>4.99756</v>
      </c>
      <c r="FU141">
        <v>1.5979</v>
      </c>
      <c r="FV141">
        <v>2.10815</v>
      </c>
      <c r="FW141">
        <v>1.54785</v>
      </c>
      <c r="FX141">
        <v>2.37671</v>
      </c>
      <c r="FY141">
        <v>47.0041</v>
      </c>
      <c r="FZ141">
        <v>15.4192</v>
      </c>
      <c r="GA141">
        <v>3</v>
      </c>
      <c r="GB141">
        <v>520.385</v>
      </c>
      <c r="GC141">
        <v>288.643</v>
      </c>
      <c r="GD141">
        <v>27.3863</v>
      </c>
      <c r="GE141">
        <v>37.9918</v>
      </c>
      <c r="GF141">
        <v>30.0007</v>
      </c>
      <c r="GG141">
        <v>37.9114</v>
      </c>
      <c r="GH141">
        <v>37.9051</v>
      </c>
      <c r="GI141">
        <v>-1</v>
      </c>
      <c r="GJ141">
        <v>100</v>
      </c>
      <c r="GK141">
        <v>0</v>
      </c>
      <c r="GL141">
        <v>27.3634</v>
      </c>
      <c r="GM141">
        <v>1200</v>
      </c>
      <c r="GN141">
        <v>19.4378</v>
      </c>
      <c r="GO141">
        <v>101.039</v>
      </c>
      <c r="GP141">
        <v>96.18519999999999</v>
      </c>
    </row>
    <row r="142" spans="1:198">
      <c r="A142">
        <v>126</v>
      </c>
      <c r="B142">
        <v>1773203601</v>
      </c>
      <c r="C142">
        <v>7501</v>
      </c>
      <c r="D142" t="s">
        <v>585</v>
      </c>
      <c r="E142" t="s">
        <v>586</v>
      </c>
      <c r="F142">
        <v>15</v>
      </c>
      <c r="G142">
        <v>1773203593</v>
      </c>
      <c r="H142">
        <f>(I142)/1000</f>
        <v>0</v>
      </c>
      <c r="I142">
        <f>1000*AY142*AG142*(AU142-AV142)/(100*AN142*(1000-AG142*AU142))</f>
        <v>0</v>
      </c>
      <c r="J142">
        <f>AY142*AG142*(AT142-AS142*(1000-AG142*AV142)/(1000-AG142*AU142))/(100*AN142)</f>
        <v>0</v>
      </c>
      <c r="K142">
        <f>AS142 - IF(AG142&gt;1, J142*AN142*100.0/(AI142), 0)</f>
        <v>0</v>
      </c>
      <c r="L142">
        <f>((R142-H142/2)*K142-J142)/(R142+H142/2)</f>
        <v>0</v>
      </c>
      <c r="M142">
        <f>L142*(AZ142+BA142)/1000.0</f>
        <v>0</v>
      </c>
      <c r="N142">
        <f>(AS142 - IF(AG142&gt;1, J142*AN142*100.0/(AI142), 0))*(AZ142+BA142)/1000.0</f>
        <v>0</v>
      </c>
      <c r="O142">
        <f>2.0/((1/Q142-1/P142)+SIGN(Q142)*SQRT((1/Q142-1/P142)*(1/Q142-1/P142) + 4*AO142/((AO142+1)*(AO142+1))*(2*1/Q142*1/P142-1/P142*1/P142)))</f>
        <v>0</v>
      </c>
      <c r="P142">
        <f>IF(LEFT(AP142,1)&lt;&gt;"0",IF(LEFT(AP142,1)="1",3.0,AQ142),$D$5+$E$5*(BG142*AZ142/($K$5*1000))+$F$5*(BG142*AZ142/($K$5*1000))*MAX(MIN(AN142,$J$5),$I$5)*MAX(MIN(AN142,$J$5),$I$5)+$G$5*MAX(MIN(AN142,$J$5),$I$5)*(BG142*AZ142/($K$5*1000))+$H$5*(BG142*AZ142/($K$5*1000))*(BG142*AZ142/($K$5*1000)))</f>
        <v>0</v>
      </c>
      <c r="Q142">
        <f>H142*(1000-(1000*0.61365*exp(17.502*U142/(240.97+U142))/(AZ142+BA142)+AU142)/2)/(1000*0.61365*exp(17.502*U142/(240.97+U142))/(AZ142+BA142)-AU142)</f>
        <v>0</v>
      </c>
      <c r="R142">
        <f>1/((AO142+1)/(O142/1.6)+1/(P142/1.37)) + AO142/((AO142+1)/(O142/1.6) + AO142/(P142/1.37))</f>
        <v>0</v>
      </c>
      <c r="S142">
        <f>(AJ142*AM142)</f>
        <v>0</v>
      </c>
      <c r="T142">
        <f>(BB142+(S142+2*0.95*5.67E-8*(((BB142+$B$7)+273)^4-(BB142+273)^4)-44100*H142)/(1.84*29.3*P142+8*0.95*5.67E-8*(BB142+273)^3))</f>
        <v>0</v>
      </c>
      <c r="U142">
        <f>($C$7*BC142+$D$7*BD142+$E$7*T142)</f>
        <v>0</v>
      </c>
      <c r="V142">
        <f>0.61365*exp(17.502*U142/(240.97+U142))</f>
        <v>0</v>
      </c>
      <c r="W142">
        <f>(X142/Y142*100)</f>
        <v>0</v>
      </c>
      <c r="X142">
        <f>AU142*(AZ142+BA142)/1000</f>
        <v>0</v>
      </c>
      <c r="Y142">
        <f>0.61365*exp(17.502*BB142/(240.97+BB142))</f>
        <v>0</v>
      </c>
      <c r="Z142">
        <f>(V142-AU142*(AZ142+BA142)/1000)</f>
        <v>0</v>
      </c>
      <c r="AA142">
        <f>(-H142*44100)</f>
        <v>0</v>
      </c>
      <c r="AB142">
        <f>2*29.3*P142*0.92*(BB142-U142)</f>
        <v>0</v>
      </c>
      <c r="AC142">
        <f>2*0.95*5.67E-8*(((BB142+$B$7)+273)^4-(U142+273)^4)</f>
        <v>0</v>
      </c>
      <c r="AD142">
        <f>S142+AC142+AA142+AB142</f>
        <v>0</v>
      </c>
      <c r="AE142">
        <v>0</v>
      </c>
      <c r="AF142">
        <v>0</v>
      </c>
      <c r="AG142">
        <f>IF(AE142*$H$13&gt;=AI142,1.0,(AI142/(AI142-AE142*$H$13)))</f>
        <v>0</v>
      </c>
      <c r="AH142">
        <f>(AG142-1)*100</f>
        <v>0</v>
      </c>
      <c r="AI142">
        <f>MAX(0,($B$13+$C$13*BG142)/(1+$D$13*BG142)*AZ142/(BB142+273)*$E$13)</f>
        <v>0</v>
      </c>
      <c r="AJ142">
        <f>$B$11*BH142+$C$11*BI142+$D$11*BT142</f>
        <v>0</v>
      </c>
      <c r="AK142">
        <f>AJ142*AL142</f>
        <v>0</v>
      </c>
      <c r="AL142">
        <f>($B$11*$D$9+$C$11*$D$9+$D$11*(BU142*$E$9+BV142*$G$9))/($B$11+$C$11+$D$11)</f>
        <v>0</v>
      </c>
      <c r="AM142">
        <f>($B$11*$K$9+$C$11*$K$9+$D$11*(BU142*$L$9+BV142*$N$9))/($B$11+$C$11+$D$11)</f>
        <v>0</v>
      </c>
      <c r="AN142">
        <v>3</v>
      </c>
      <c r="AO142">
        <v>0.5</v>
      </c>
      <c r="AP142" t="s">
        <v>331</v>
      </c>
      <c r="AQ142">
        <v>2</v>
      </c>
      <c r="AR142">
        <v>1773203593</v>
      </c>
      <c r="AS142">
        <v>424.2294516129032</v>
      </c>
      <c r="AT142">
        <v>422.0703548387096</v>
      </c>
      <c r="AU142">
        <v>11.3249935483871</v>
      </c>
      <c r="AV142">
        <v>11.17352580645161</v>
      </c>
      <c r="AW142">
        <v>417.9981612903225</v>
      </c>
      <c r="AX142">
        <v>11.2444064516129</v>
      </c>
      <c r="AY142">
        <v>500.1064838709678</v>
      </c>
      <c r="AZ142">
        <v>100.1347741935484</v>
      </c>
      <c r="BA142">
        <v>0.04520672903225807</v>
      </c>
      <c r="BB142">
        <v>30.80976774193549</v>
      </c>
      <c r="BC142">
        <v>31.06650967741936</v>
      </c>
      <c r="BD142">
        <v>999.9000000000003</v>
      </c>
      <c r="BE142">
        <v>0</v>
      </c>
      <c r="BF142">
        <v>0</v>
      </c>
      <c r="BG142">
        <v>5005.66129032258</v>
      </c>
      <c r="BH142">
        <v>1.065472580645162</v>
      </c>
      <c r="BI142">
        <v>2164.595483870968</v>
      </c>
      <c r="BJ142">
        <v>2.15920064516129</v>
      </c>
      <c r="BK142">
        <v>429.0890322580646</v>
      </c>
      <c r="BL142">
        <v>426.8394838709677</v>
      </c>
      <c r="BM142">
        <v>0.1514650967741936</v>
      </c>
      <c r="BN142">
        <v>422.0703548387096</v>
      </c>
      <c r="BO142">
        <v>11.17352580645161</v>
      </c>
      <c r="BP142">
        <v>1.134026774193549</v>
      </c>
      <c r="BQ142">
        <v>1.118859677419355</v>
      </c>
      <c r="BR142">
        <v>8.762542903225803</v>
      </c>
      <c r="BS142">
        <v>8.563590645161293</v>
      </c>
      <c r="BT142">
        <v>0</v>
      </c>
      <c r="BU142">
        <v>0</v>
      </c>
      <c r="BV142">
        <v>0</v>
      </c>
      <c r="BW142">
        <v>35</v>
      </c>
      <c r="BX142">
        <v>48</v>
      </c>
      <c r="BY142">
        <v>1773196010</v>
      </c>
      <c r="BZ142" t="s">
        <v>332</v>
      </c>
      <c r="CA142">
        <v>1773196010</v>
      </c>
      <c r="CB142">
        <v>1773196005.5</v>
      </c>
      <c r="CC142">
        <v>2</v>
      </c>
      <c r="CD142">
        <v>-0.279</v>
      </c>
      <c r="CE142">
        <v>-0.021</v>
      </c>
      <c r="CF142">
        <v>6.231</v>
      </c>
      <c r="CG142">
        <v>0.081</v>
      </c>
      <c r="CH142">
        <v>432</v>
      </c>
      <c r="CI142">
        <v>21</v>
      </c>
      <c r="CJ142">
        <v>0.03</v>
      </c>
      <c r="CK142">
        <v>0.06</v>
      </c>
      <c r="CL142">
        <v>422.0703548387096</v>
      </c>
      <c r="CM142">
        <v>-1.52999999999982</v>
      </c>
      <c r="CN142">
        <v>0.1217468416195192</v>
      </c>
      <c r="CO142">
        <v>-1</v>
      </c>
      <c r="CP142">
        <v>500.1064838709678</v>
      </c>
      <c r="CQ142">
        <v>0.1611290322580287</v>
      </c>
      <c r="CR142">
        <v>0.1197642498674225</v>
      </c>
      <c r="CS142">
        <v>-1</v>
      </c>
      <c r="CT142">
        <v>0</v>
      </c>
      <c r="CU142">
        <v>0</v>
      </c>
      <c r="CV142" t="s">
        <v>333</v>
      </c>
      <c r="CW142">
        <v>3.17082</v>
      </c>
      <c r="CX142">
        <v>2.66522</v>
      </c>
      <c r="CY142">
        <v>0.0993106</v>
      </c>
      <c r="CZ142">
        <v>0.100068</v>
      </c>
      <c r="DA142">
        <v>0.0640285</v>
      </c>
      <c r="DB142">
        <v>0.0634612</v>
      </c>
      <c r="DC142">
        <v>21314.3</v>
      </c>
      <c r="DD142">
        <v>21888.8</v>
      </c>
      <c r="DE142">
        <v>22816.7</v>
      </c>
      <c r="DF142">
        <v>22269.5</v>
      </c>
      <c r="DG142">
        <v>32297.6</v>
      </c>
      <c r="DH142">
        <v>29379.9</v>
      </c>
      <c r="DI142">
        <v>40162</v>
      </c>
      <c r="DJ142">
        <v>36834.6</v>
      </c>
      <c r="DK142">
        <v>2.02464</v>
      </c>
      <c r="DL142">
        <v>1.4956</v>
      </c>
      <c r="DM142">
        <v>-0.0801355</v>
      </c>
      <c r="DN142">
        <v>0</v>
      </c>
      <c r="DO142">
        <v>32.3483</v>
      </c>
      <c r="DP142">
        <v>999.9</v>
      </c>
      <c r="DQ142">
        <v>23.9</v>
      </c>
      <c r="DR142">
        <v>45.8</v>
      </c>
      <c r="DS142">
        <v>23.9692</v>
      </c>
      <c r="DT142">
        <v>30.0391</v>
      </c>
      <c r="DU142">
        <v>14.1787</v>
      </c>
      <c r="DV142">
        <v>1</v>
      </c>
      <c r="DW142">
        <v>0.903724</v>
      </c>
      <c r="DX142">
        <v>4.43087</v>
      </c>
      <c r="DY142">
        <v>20.2933</v>
      </c>
      <c r="DZ142">
        <v>5.2113</v>
      </c>
      <c r="EA142">
        <v>11.8574</v>
      </c>
      <c r="EB142">
        <v>4.96764</v>
      </c>
      <c r="EC142">
        <v>3.293</v>
      </c>
      <c r="ED142">
        <v>879.4</v>
      </c>
      <c r="EE142">
        <v>9999</v>
      </c>
      <c r="EF142">
        <v>9999</v>
      </c>
      <c r="EG142">
        <v>78.09999999999999</v>
      </c>
      <c r="EH142">
        <v>4.97156</v>
      </c>
      <c r="EI142">
        <v>1.8721</v>
      </c>
      <c r="EJ142">
        <v>1.8695</v>
      </c>
      <c r="EK142">
        <v>1.87179</v>
      </c>
      <c r="EL142">
        <v>1.86955</v>
      </c>
      <c r="EM142">
        <v>1.86836</v>
      </c>
      <c r="EN142">
        <v>1.8702</v>
      </c>
      <c r="EO142">
        <v>1.87195</v>
      </c>
      <c r="EP142">
        <v>0</v>
      </c>
      <c r="EQ142">
        <v>0</v>
      </c>
      <c r="ER142">
        <v>0</v>
      </c>
      <c r="ES142">
        <v>0</v>
      </c>
      <c r="ET142" t="s">
        <v>334</v>
      </c>
      <c r="EU142" t="s">
        <v>335</v>
      </c>
      <c r="EV142" t="s">
        <v>336</v>
      </c>
      <c r="EW142" t="s">
        <v>336</v>
      </c>
      <c r="EX142" t="s">
        <v>336</v>
      </c>
      <c r="EY142" t="s">
        <v>336</v>
      </c>
      <c r="EZ142">
        <v>0</v>
      </c>
      <c r="FA142">
        <v>100</v>
      </c>
      <c r="FB142">
        <v>100</v>
      </c>
      <c r="FC142">
        <v>6.232</v>
      </c>
      <c r="FD142">
        <v>0.0806</v>
      </c>
      <c r="FE142">
        <v>6.23135000000002</v>
      </c>
      <c r="FF142">
        <v>0</v>
      </c>
      <c r="FG142">
        <v>0</v>
      </c>
      <c r="FH142">
        <v>0</v>
      </c>
      <c r="FI142">
        <v>0.08059047619047632</v>
      </c>
      <c r="FJ142">
        <v>0</v>
      </c>
      <c r="FK142">
        <v>0</v>
      </c>
      <c r="FL142">
        <v>0</v>
      </c>
      <c r="FM142">
        <v>-1</v>
      </c>
      <c r="FN142">
        <v>-1</v>
      </c>
      <c r="FO142">
        <v>-1</v>
      </c>
      <c r="FP142">
        <v>-1</v>
      </c>
      <c r="FQ142">
        <v>126.5</v>
      </c>
      <c r="FR142">
        <v>126.6</v>
      </c>
      <c r="FS142">
        <v>0.141602</v>
      </c>
      <c r="FT142">
        <v>4.99756</v>
      </c>
      <c r="FU142">
        <v>1.5979</v>
      </c>
      <c r="FV142">
        <v>2.10815</v>
      </c>
      <c r="FW142">
        <v>1.54785</v>
      </c>
      <c r="FX142">
        <v>2.44873</v>
      </c>
      <c r="FY142">
        <v>46.9744</v>
      </c>
      <c r="FZ142">
        <v>15.4104</v>
      </c>
      <c r="GA142">
        <v>3</v>
      </c>
      <c r="GB142">
        <v>520.071</v>
      </c>
      <c r="GC142">
        <v>289.028</v>
      </c>
      <c r="GD142">
        <v>27.1075</v>
      </c>
      <c r="GE142">
        <v>38.006</v>
      </c>
      <c r="GF142">
        <v>30</v>
      </c>
      <c r="GG142">
        <v>37.9151</v>
      </c>
      <c r="GH142">
        <v>37.9057</v>
      </c>
      <c r="GI142">
        <v>-1</v>
      </c>
      <c r="GJ142">
        <v>100</v>
      </c>
      <c r="GK142">
        <v>0</v>
      </c>
      <c r="GL142">
        <v>27.1105</v>
      </c>
      <c r="GM142">
        <v>1200</v>
      </c>
      <c r="GN142">
        <v>19.4378</v>
      </c>
      <c r="GO142">
        <v>101.037</v>
      </c>
      <c r="GP142">
        <v>96.18559999999999</v>
      </c>
    </row>
    <row r="143" spans="1:198">
      <c r="A143">
        <v>127</v>
      </c>
      <c r="B143">
        <v>1773203661</v>
      </c>
      <c r="C143">
        <v>7561</v>
      </c>
      <c r="D143" t="s">
        <v>587</v>
      </c>
      <c r="E143" t="s">
        <v>588</v>
      </c>
      <c r="F143">
        <v>15</v>
      </c>
      <c r="G143">
        <v>1773203653</v>
      </c>
      <c r="H143">
        <f>(I143)/1000</f>
        <v>0</v>
      </c>
      <c r="I143">
        <f>1000*AY143*AG143*(AU143-AV143)/(100*AN143*(1000-AG143*AU143))</f>
        <v>0</v>
      </c>
      <c r="J143">
        <f>AY143*AG143*(AT143-AS143*(1000-AG143*AV143)/(1000-AG143*AU143))/(100*AN143)</f>
        <v>0</v>
      </c>
      <c r="K143">
        <f>AS143 - IF(AG143&gt;1, J143*AN143*100.0/(AI143), 0)</f>
        <v>0</v>
      </c>
      <c r="L143">
        <f>((R143-H143/2)*K143-J143)/(R143+H143/2)</f>
        <v>0</v>
      </c>
      <c r="M143">
        <f>L143*(AZ143+BA143)/1000.0</f>
        <v>0</v>
      </c>
      <c r="N143">
        <f>(AS143 - IF(AG143&gt;1, J143*AN143*100.0/(AI143), 0))*(AZ143+BA143)/1000.0</f>
        <v>0</v>
      </c>
      <c r="O143">
        <f>2.0/((1/Q143-1/P143)+SIGN(Q143)*SQRT((1/Q143-1/P143)*(1/Q143-1/P143) + 4*AO143/((AO143+1)*(AO143+1))*(2*1/Q143*1/P143-1/P143*1/P143)))</f>
        <v>0</v>
      </c>
      <c r="P143">
        <f>IF(LEFT(AP143,1)&lt;&gt;"0",IF(LEFT(AP143,1)="1",3.0,AQ143),$D$5+$E$5*(BG143*AZ143/($K$5*1000))+$F$5*(BG143*AZ143/($K$5*1000))*MAX(MIN(AN143,$J$5),$I$5)*MAX(MIN(AN143,$J$5),$I$5)+$G$5*MAX(MIN(AN143,$J$5),$I$5)*(BG143*AZ143/($K$5*1000))+$H$5*(BG143*AZ143/($K$5*1000))*(BG143*AZ143/($K$5*1000)))</f>
        <v>0</v>
      </c>
      <c r="Q143">
        <f>H143*(1000-(1000*0.61365*exp(17.502*U143/(240.97+U143))/(AZ143+BA143)+AU143)/2)/(1000*0.61365*exp(17.502*U143/(240.97+U143))/(AZ143+BA143)-AU143)</f>
        <v>0</v>
      </c>
      <c r="R143">
        <f>1/((AO143+1)/(O143/1.6)+1/(P143/1.37)) + AO143/((AO143+1)/(O143/1.6) + AO143/(P143/1.37))</f>
        <v>0</v>
      </c>
      <c r="S143">
        <f>(AJ143*AM143)</f>
        <v>0</v>
      </c>
      <c r="T143">
        <f>(BB143+(S143+2*0.95*5.67E-8*(((BB143+$B$7)+273)^4-(BB143+273)^4)-44100*H143)/(1.84*29.3*P143+8*0.95*5.67E-8*(BB143+273)^3))</f>
        <v>0</v>
      </c>
      <c r="U143">
        <f>($C$7*BC143+$D$7*BD143+$E$7*T143)</f>
        <v>0</v>
      </c>
      <c r="V143">
        <f>0.61365*exp(17.502*U143/(240.97+U143))</f>
        <v>0</v>
      </c>
      <c r="W143">
        <f>(X143/Y143*100)</f>
        <v>0</v>
      </c>
      <c r="X143">
        <f>AU143*(AZ143+BA143)/1000</f>
        <v>0</v>
      </c>
      <c r="Y143">
        <f>0.61365*exp(17.502*BB143/(240.97+BB143))</f>
        <v>0</v>
      </c>
      <c r="Z143">
        <f>(V143-AU143*(AZ143+BA143)/1000)</f>
        <v>0</v>
      </c>
      <c r="AA143">
        <f>(-H143*44100)</f>
        <v>0</v>
      </c>
      <c r="AB143">
        <f>2*29.3*P143*0.92*(BB143-U143)</f>
        <v>0</v>
      </c>
      <c r="AC143">
        <f>2*0.95*5.67E-8*(((BB143+$B$7)+273)^4-(U143+273)^4)</f>
        <v>0</v>
      </c>
      <c r="AD143">
        <f>S143+AC143+AA143+AB143</f>
        <v>0</v>
      </c>
      <c r="AE143">
        <v>0</v>
      </c>
      <c r="AF143">
        <v>0</v>
      </c>
      <c r="AG143">
        <f>IF(AE143*$H$13&gt;=AI143,1.0,(AI143/(AI143-AE143*$H$13)))</f>
        <v>0</v>
      </c>
      <c r="AH143">
        <f>(AG143-1)*100</f>
        <v>0</v>
      </c>
      <c r="AI143">
        <f>MAX(0,($B$13+$C$13*BG143)/(1+$D$13*BG143)*AZ143/(BB143+273)*$E$13)</f>
        <v>0</v>
      </c>
      <c r="AJ143">
        <f>$B$11*BH143+$C$11*BI143+$D$11*BT143</f>
        <v>0</v>
      </c>
      <c r="AK143">
        <f>AJ143*AL143</f>
        <v>0</v>
      </c>
      <c r="AL143">
        <f>($B$11*$D$9+$C$11*$D$9+$D$11*(BU143*$E$9+BV143*$G$9))/($B$11+$C$11+$D$11)</f>
        <v>0</v>
      </c>
      <c r="AM143">
        <f>($B$11*$K$9+$C$11*$K$9+$D$11*(BU143*$L$9+BV143*$N$9))/($B$11+$C$11+$D$11)</f>
        <v>0</v>
      </c>
      <c r="AN143">
        <v>3</v>
      </c>
      <c r="AO143">
        <v>0.5</v>
      </c>
      <c r="AP143" t="s">
        <v>331</v>
      </c>
      <c r="AQ143">
        <v>2</v>
      </c>
      <c r="AR143">
        <v>1773203653</v>
      </c>
      <c r="AS143">
        <v>423.640935483871</v>
      </c>
      <c r="AT143">
        <v>421.4774193548387</v>
      </c>
      <c r="AU143">
        <v>11.36411290322581</v>
      </c>
      <c r="AV143">
        <v>11.21248709677419</v>
      </c>
      <c r="AW143">
        <v>417.4094838709677</v>
      </c>
      <c r="AX143">
        <v>11.28351935483871</v>
      </c>
      <c r="AY143">
        <v>499.9924516129032</v>
      </c>
      <c r="AZ143">
        <v>100.1331290322581</v>
      </c>
      <c r="BA143">
        <v>0.04573314193548387</v>
      </c>
      <c r="BB143">
        <v>30.80425161290323</v>
      </c>
      <c r="BC143">
        <v>31.05696451612904</v>
      </c>
      <c r="BD143">
        <v>999.9000000000003</v>
      </c>
      <c r="BE143">
        <v>0</v>
      </c>
      <c r="BF143">
        <v>0</v>
      </c>
      <c r="BG143">
        <v>4997.322580645161</v>
      </c>
      <c r="BH143">
        <v>1.050520322580645</v>
      </c>
      <c r="BI143">
        <v>2174.72129032258</v>
      </c>
      <c r="BJ143">
        <v>2.163504193548388</v>
      </c>
      <c r="BK143">
        <v>428.5105806451612</v>
      </c>
      <c r="BL143">
        <v>426.2567096774193</v>
      </c>
      <c r="BM143">
        <v>0.1516246129032258</v>
      </c>
      <c r="BN143">
        <v>421.4774193548387</v>
      </c>
      <c r="BO143">
        <v>11.21248709677419</v>
      </c>
      <c r="BP143">
        <v>1.137923870967742</v>
      </c>
      <c r="BQ143">
        <v>1.122741612903226</v>
      </c>
      <c r="BR143">
        <v>8.813284838709679</v>
      </c>
      <c r="BS143">
        <v>8.614730967741936</v>
      </c>
      <c r="BT143">
        <v>0</v>
      </c>
      <c r="BU143">
        <v>0</v>
      </c>
      <c r="BV143">
        <v>0</v>
      </c>
      <c r="BW143">
        <v>35</v>
      </c>
      <c r="BX143">
        <v>47.81612258064516</v>
      </c>
      <c r="BY143">
        <v>1773196010</v>
      </c>
      <c r="BZ143" t="s">
        <v>332</v>
      </c>
      <c r="CA143">
        <v>1773196010</v>
      </c>
      <c r="CB143">
        <v>1773196005.5</v>
      </c>
      <c r="CC143">
        <v>2</v>
      </c>
      <c r="CD143">
        <v>-0.279</v>
      </c>
      <c r="CE143">
        <v>-0.021</v>
      </c>
      <c r="CF143">
        <v>6.231</v>
      </c>
      <c r="CG143">
        <v>0.081</v>
      </c>
      <c r="CH143">
        <v>432</v>
      </c>
      <c r="CI143">
        <v>21</v>
      </c>
      <c r="CJ143">
        <v>0.03</v>
      </c>
      <c r="CK143">
        <v>0.06</v>
      </c>
      <c r="CL143">
        <v>421.4809999999999</v>
      </c>
      <c r="CM143">
        <v>-0.7707764182430609</v>
      </c>
      <c r="CN143">
        <v>0.05647359264884082</v>
      </c>
      <c r="CO143">
        <v>-1</v>
      </c>
      <c r="CP143">
        <v>499.9921333333333</v>
      </c>
      <c r="CQ143">
        <v>-0.01137263626228972</v>
      </c>
      <c r="CR143">
        <v>0.1184341542330181</v>
      </c>
      <c r="CS143">
        <v>-1</v>
      </c>
      <c r="CT143">
        <v>0</v>
      </c>
      <c r="CU143">
        <v>0</v>
      </c>
      <c r="CV143" t="s">
        <v>333</v>
      </c>
      <c r="CW143">
        <v>3.17089</v>
      </c>
      <c r="CX143">
        <v>2.66709</v>
      </c>
      <c r="CY143">
        <v>0.09921679999999999</v>
      </c>
      <c r="CZ143">
        <v>0.0999867</v>
      </c>
      <c r="DA143">
        <v>0.06419850000000001</v>
      </c>
      <c r="DB143">
        <v>0.063633</v>
      </c>
      <c r="DC143">
        <v>21317.9</v>
      </c>
      <c r="DD143">
        <v>21892.3</v>
      </c>
      <c r="DE143">
        <v>22818.1</v>
      </c>
      <c r="DF143">
        <v>22270.9</v>
      </c>
      <c r="DG143">
        <v>32293.4</v>
      </c>
      <c r="DH143">
        <v>29376.6</v>
      </c>
      <c r="DI143">
        <v>40164.1</v>
      </c>
      <c r="DJ143">
        <v>36837.1</v>
      </c>
      <c r="DK143">
        <v>2.0251</v>
      </c>
      <c r="DL143">
        <v>1.49532</v>
      </c>
      <c r="DM143">
        <v>-0.077796</v>
      </c>
      <c r="DN143">
        <v>0</v>
      </c>
      <c r="DO143">
        <v>32.318</v>
      </c>
      <c r="DP143">
        <v>999.9</v>
      </c>
      <c r="DQ143">
        <v>23.7</v>
      </c>
      <c r="DR143">
        <v>45.8</v>
      </c>
      <c r="DS143">
        <v>23.7729</v>
      </c>
      <c r="DT143">
        <v>29.7691</v>
      </c>
      <c r="DU143">
        <v>14.6314</v>
      </c>
      <c r="DV143">
        <v>1</v>
      </c>
      <c r="DW143">
        <v>0.89889</v>
      </c>
      <c r="DX143">
        <v>4.2344</v>
      </c>
      <c r="DY143">
        <v>20.3</v>
      </c>
      <c r="DZ143">
        <v>5.20938</v>
      </c>
      <c r="EA143">
        <v>11.857</v>
      </c>
      <c r="EB143">
        <v>4.96764</v>
      </c>
      <c r="EC143">
        <v>3.29298</v>
      </c>
      <c r="ED143">
        <v>879.4</v>
      </c>
      <c r="EE143">
        <v>9999</v>
      </c>
      <c r="EF143">
        <v>9999</v>
      </c>
      <c r="EG143">
        <v>78.09999999999999</v>
      </c>
      <c r="EH143">
        <v>4.97158</v>
      </c>
      <c r="EI143">
        <v>1.8721</v>
      </c>
      <c r="EJ143">
        <v>1.86949</v>
      </c>
      <c r="EK143">
        <v>1.8718</v>
      </c>
      <c r="EL143">
        <v>1.86958</v>
      </c>
      <c r="EM143">
        <v>1.86837</v>
      </c>
      <c r="EN143">
        <v>1.87022</v>
      </c>
      <c r="EO143">
        <v>1.87195</v>
      </c>
      <c r="EP143">
        <v>0</v>
      </c>
      <c r="EQ143">
        <v>0</v>
      </c>
      <c r="ER143">
        <v>0</v>
      </c>
      <c r="ES143">
        <v>0</v>
      </c>
      <c r="ET143" t="s">
        <v>334</v>
      </c>
      <c r="EU143" t="s">
        <v>335</v>
      </c>
      <c r="EV143" t="s">
        <v>336</v>
      </c>
      <c r="EW143" t="s">
        <v>336</v>
      </c>
      <c r="EX143" t="s">
        <v>336</v>
      </c>
      <c r="EY143" t="s">
        <v>336</v>
      </c>
      <c r="EZ143">
        <v>0</v>
      </c>
      <c r="FA143">
        <v>100</v>
      </c>
      <c r="FB143">
        <v>100</v>
      </c>
      <c r="FC143">
        <v>6.232</v>
      </c>
      <c r="FD143">
        <v>0.0806</v>
      </c>
      <c r="FE143">
        <v>6.23135000000002</v>
      </c>
      <c r="FF143">
        <v>0</v>
      </c>
      <c r="FG143">
        <v>0</v>
      </c>
      <c r="FH143">
        <v>0</v>
      </c>
      <c r="FI143">
        <v>0.08059047619047632</v>
      </c>
      <c r="FJ143">
        <v>0</v>
      </c>
      <c r="FK143">
        <v>0</v>
      </c>
      <c r="FL143">
        <v>0</v>
      </c>
      <c r="FM143">
        <v>-1</v>
      </c>
      <c r="FN143">
        <v>-1</v>
      </c>
      <c r="FO143">
        <v>-1</v>
      </c>
      <c r="FP143">
        <v>-1</v>
      </c>
      <c r="FQ143">
        <v>127.5</v>
      </c>
      <c r="FR143">
        <v>127.6</v>
      </c>
      <c r="FS143">
        <v>0.141602</v>
      </c>
      <c r="FT143">
        <v>4.99756</v>
      </c>
      <c r="FU143">
        <v>1.5979</v>
      </c>
      <c r="FV143">
        <v>2.10815</v>
      </c>
      <c r="FW143">
        <v>1.54785</v>
      </c>
      <c r="FX143">
        <v>2.48047</v>
      </c>
      <c r="FY143">
        <v>46.9448</v>
      </c>
      <c r="FZ143">
        <v>15.4192</v>
      </c>
      <c r="GA143">
        <v>3</v>
      </c>
      <c r="GB143">
        <v>520.206</v>
      </c>
      <c r="GC143">
        <v>288.811</v>
      </c>
      <c r="GD143">
        <v>27.2661</v>
      </c>
      <c r="GE143">
        <v>37.9809</v>
      </c>
      <c r="GF143">
        <v>29.9997</v>
      </c>
      <c r="GG143">
        <v>37.8931</v>
      </c>
      <c r="GH143">
        <v>37.8828</v>
      </c>
      <c r="GI143">
        <v>-1</v>
      </c>
      <c r="GJ143">
        <v>100</v>
      </c>
      <c r="GK143">
        <v>0</v>
      </c>
      <c r="GL143">
        <v>27.2647</v>
      </c>
      <c r="GM143">
        <v>1200</v>
      </c>
      <c r="GN143">
        <v>19.4378</v>
      </c>
      <c r="GO143">
        <v>101.043</v>
      </c>
      <c r="GP143">
        <v>96.1919</v>
      </c>
    </row>
    <row r="144" spans="1:198">
      <c r="A144">
        <v>128</v>
      </c>
      <c r="B144">
        <v>1773203721</v>
      </c>
      <c r="C144">
        <v>7621</v>
      </c>
      <c r="D144" t="s">
        <v>589</v>
      </c>
      <c r="E144" t="s">
        <v>590</v>
      </c>
      <c r="F144">
        <v>15</v>
      </c>
      <c r="G144">
        <v>1773203713</v>
      </c>
      <c r="H144">
        <f>(I144)/1000</f>
        <v>0</v>
      </c>
      <c r="I144">
        <f>1000*AY144*AG144*(AU144-AV144)/(100*AN144*(1000-AG144*AU144))</f>
        <v>0</v>
      </c>
      <c r="J144">
        <f>AY144*AG144*(AT144-AS144*(1000-AG144*AV144)/(1000-AG144*AU144))/(100*AN144)</f>
        <v>0</v>
      </c>
      <c r="K144">
        <f>AS144 - IF(AG144&gt;1, J144*AN144*100.0/(AI144), 0)</f>
        <v>0</v>
      </c>
      <c r="L144">
        <f>((R144-H144/2)*K144-J144)/(R144+H144/2)</f>
        <v>0</v>
      </c>
      <c r="M144">
        <f>L144*(AZ144+BA144)/1000.0</f>
        <v>0</v>
      </c>
      <c r="N144">
        <f>(AS144 - IF(AG144&gt;1, J144*AN144*100.0/(AI144), 0))*(AZ144+BA144)/1000.0</f>
        <v>0</v>
      </c>
      <c r="O144">
        <f>2.0/((1/Q144-1/P144)+SIGN(Q144)*SQRT((1/Q144-1/P144)*(1/Q144-1/P144) + 4*AO144/((AO144+1)*(AO144+1))*(2*1/Q144*1/P144-1/P144*1/P144)))</f>
        <v>0</v>
      </c>
      <c r="P144">
        <f>IF(LEFT(AP144,1)&lt;&gt;"0",IF(LEFT(AP144,1)="1",3.0,AQ144),$D$5+$E$5*(BG144*AZ144/($K$5*1000))+$F$5*(BG144*AZ144/($K$5*1000))*MAX(MIN(AN144,$J$5),$I$5)*MAX(MIN(AN144,$J$5),$I$5)+$G$5*MAX(MIN(AN144,$J$5),$I$5)*(BG144*AZ144/($K$5*1000))+$H$5*(BG144*AZ144/($K$5*1000))*(BG144*AZ144/($K$5*1000)))</f>
        <v>0</v>
      </c>
      <c r="Q144">
        <f>H144*(1000-(1000*0.61365*exp(17.502*U144/(240.97+U144))/(AZ144+BA144)+AU144)/2)/(1000*0.61365*exp(17.502*U144/(240.97+U144))/(AZ144+BA144)-AU144)</f>
        <v>0</v>
      </c>
      <c r="R144">
        <f>1/((AO144+1)/(O144/1.6)+1/(P144/1.37)) + AO144/((AO144+1)/(O144/1.6) + AO144/(P144/1.37))</f>
        <v>0</v>
      </c>
      <c r="S144">
        <f>(AJ144*AM144)</f>
        <v>0</v>
      </c>
      <c r="T144">
        <f>(BB144+(S144+2*0.95*5.67E-8*(((BB144+$B$7)+273)^4-(BB144+273)^4)-44100*H144)/(1.84*29.3*P144+8*0.95*5.67E-8*(BB144+273)^3))</f>
        <v>0</v>
      </c>
      <c r="U144">
        <f>($C$7*BC144+$D$7*BD144+$E$7*T144)</f>
        <v>0</v>
      </c>
      <c r="V144">
        <f>0.61365*exp(17.502*U144/(240.97+U144))</f>
        <v>0</v>
      </c>
      <c r="W144">
        <f>(X144/Y144*100)</f>
        <v>0</v>
      </c>
      <c r="X144">
        <f>AU144*(AZ144+BA144)/1000</f>
        <v>0</v>
      </c>
      <c r="Y144">
        <f>0.61365*exp(17.502*BB144/(240.97+BB144))</f>
        <v>0</v>
      </c>
      <c r="Z144">
        <f>(V144-AU144*(AZ144+BA144)/1000)</f>
        <v>0</v>
      </c>
      <c r="AA144">
        <f>(-H144*44100)</f>
        <v>0</v>
      </c>
      <c r="AB144">
        <f>2*29.3*P144*0.92*(BB144-U144)</f>
        <v>0</v>
      </c>
      <c r="AC144">
        <f>2*0.95*5.67E-8*(((BB144+$B$7)+273)^4-(U144+273)^4)</f>
        <v>0</v>
      </c>
      <c r="AD144">
        <f>S144+AC144+AA144+AB144</f>
        <v>0</v>
      </c>
      <c r="AE144">
        <v>0</v>
      </c>
      <c r="AF144">
        <v>0</v>
      </c>
      <c r="AG144">
        <f>IF(AE144*$H$13&gt;=AI144,1.0,(AI144/(AI144-AE144*$H$13)))</f>
        <v>0</v>
      </c>
      <c r="AH144">
        <f>(AG144-1)*100</f>
        <v>0</v>
      </c>
      <c r="AI144">
        <f>MAX(0,($B$13+$C$13*BG144)/(1+$D$13*BG144)*AZ144/(BB144+273)*$E$13)</f>
        <v>0</v>
      </c>
      <c r="AJ144">
        <f>$B$11*BH144+$C$11*BI144+$D$11*BT144</f>
        <v>0</v>
      </c>
      <c r="AK144">
        <f>AJ144*AL144</f>
        <v>0</v>
      </c>
      <c r="AL144">
        <f>($B$11*$D$9+$C$11*$D$9+$D$11*(BU144*$E$9+BV144*$G$9))/($B$11+$C$11+$D$11)</f>
        <v>0</v>
      </c>
      <c r="AM144">
        <f>($B$11*$K$9+$C$11*$K$9+$D$11*(BU144*$L$9+BV144*$N$9))/($B$11+$C$11+$D$11)</f>
        <v>0</v>
      </c>
      <c r="AN144">
        <v>3</v>
      </c>
      <c r="AO144">
        <v>0.5</v>
      </c>
      <c r="AP144" t="s">
        <v>331</v>
      </c>
      <c r="AQ144">
        <v>2</v>
      </c>
      <c r="AR144">
        <v>1773203713</v>
      </c>
      <c r="AS144">
        <v>422.9564516129033</v>
      </c>
      <c r="AT144">
        <v>420.7612580645161</v>
      </c>
      <c r="AU144">
        <v>11.38676774193548</v>
      </c>
      <c r="AV144">
        <v>11.23724838709677</v>
      </c>
      <c r="AW144">
        <v>416.7251612903226</v>
      </c>
      <c r="AX144">
        <v>11.30617419354839</v>
      </c>
      <c r="AY144">
        <v>499.981193548387</v>
      </c>
      <c r="AZ144">
        <v>100.133129032258</v>
      </c>
      <c r="BA144">
        <v>0.04501223870967742</v>
      </c>
      <c r="BB144">
        <v>30.78485161290322</v>
      </c>
      <c r="BC144">
        <v>31.04297419354839</v>
      </c>
      <c r="BD144">
        <v>999.9000000000003</v>
      </c>
      <c r="BE144">
        <v>0</v>
      </c>
      <c r="BF144">
        <v>0</v>
      </c>
      <c r="BG144">
        <v>5000.274193548387</v>
      </c>
      <c r="BH144">
        <v>1.086218387096774</v>
      </c>
      <c r="BI144">
        <v>2171.907419354839</v>
      </c>
      <c r="BJ144">
        <v>2.195247096774194</v>
      </c>
      <c r="BK144">
        <v>427.8280967741935</v>
      </c>
      <c r="BL144">
        <v>425.5430967741935</v>
      </c>
      <c r="BM144">
        <v>0.1495176774193548</v>
      </c>
      <c r="BN144">
        <v>420.7612580645161</v>
      </c>
      <c r="BO144">
        <v>11.23724838709677</v>
      </c>
      <c r="BP144">
        <v>1.140191935483871</v>
      </c>
      <c r="BQ144">
        <v>1.125220322580645</v>
      </c>
      <c r="BR144">
        <v>8.842751935483872</v>
      </c>
      <c r="BS144">
        <v>8.647317741935485</v>
      </c>
      <c r="BT144">
        <v>0</v>
      </c>
      <c r="BU144">
        <v>0</v>
      </c>
      <c r="BV144">
        <v>0</v>
      </c>
      <c r="BW144">
        <v>35</v>
      </c>
      <c r="BX144">
        <v>46.86129677419355</v>
      </c>
      <c r="BY144">
        <v>1773196010</v>
      </c>
      <c r="BZ144" t="s">
        <v>332</v>
      </c>
      <c r="CA144">
        <v>1773196010</v>
      </c>
      <c r="CB144">
        <v>1773196005.5</v>
      </c>
      <c r="CC144">
        <v>2</v>
      </c>
      <c r="CD144">
        <v>-0.279</v>
      </c>
      <c r="CE144">
        <v>-0.021</v>
      </c>
      <c r="CF144">
        <v>6.231</v>
      </c>
      <c r="CG144">
        <v>0.081</v>
      </c>
      <c r="CH144">
        <v>432</v>
      </c>
      <c r="CI144">
        <v>21</v>
      </c>
      <c r="CJ144">
        <v>0.03</v>
      </c>
      <c r="CK144">
        <v>0.06</v>
      </c>
      <c r="CL144">
        <v>420.7612580645161</v>
      </c>
      <c r="CM144">
        <v>-0.437467741936633</v>
      </c>
      <c r="CN144">
        <v>0.03388592603649215</v>
      </c>
      <c r="CO144">
        <v>-1</v>
      </c>
      <c r="CP144">
        <v>499.981193548387</v>
      </c>
      <c r="CQ144">
        <v>-0.3550645161300607</v>
      </c>
      <c r="CR144">
        <v>0.04936396710860737</v>
      </c>
      <c r="CS144">
        <v>-1</v>
      </c>
      <c r="CT144">
        <v>0</v>
      </c>
      <c r="CU144">
        <v>0</v>
      </c>
      <c r="CV144" t="s">
        <v>333</v>
      </c>
      <c r="CW144">
        <v>3.17082</v>
      </c>
      <c r="CX144">
        <v>2.66601</v>
      </c>
      <c r="CY144">
        <v>0.09908550000000001</v>
      </c>
      <c r="CZ144">
        <v>0.0998708</v>
      </c>
      <c r="DA144">
        <v>0.06430619999999999</v>
      </c>
      <c r="DB144">
        <v>0.0637506</v>
      </c>
      <c r="DC144">
        <v>21323.3</v>
      </c>
      <c r="DD144">
        <v>21897.7</v>
      </c>
      <c r="DE144">
        <v>22820.4</v>
      </c>
      <c r="DF144">
        <v>22273.4</v>
      </c>
      <c r="DG144">
        <v>32293</v>
      </c>
      <c r="DH144">
        <v>29376.2</v>
      </c>
      <c r="DI144">
        <v>40168.1</v>
      </c>
      <c r="DJ144">
        <v>36841.1</v>
      </c>
      <c r="DK144">
        <v>2.02542</v>
      </c>
      <c r="DL144">
        <v>1.4985</v>
      </c>
      <c r="DM144">
        <v>-0.07856489999999999</v>
      </c>
      <c r="DN144">
        <v>0</v>
      </c>
      <c r="DO144">
        <v>32.3183</v>
      </c>
      <c r="DP144">
        <v>999.9</v>
      </c>
      <c r="DQ144">
        <v>23.5</v>
      </c>
      <c r="DR144">
        <v>45.8</v>
      </c>
      <c r="DS144">
        <v>23.5716</v>
      </c>
      <c r="DT144">
        <v>29.9191</v>
      </c>
      <c r="DU144">
        <v>14.0865</v>
      </c>
      <c r="DV144">
        <v>1</v>
      </c>
      <c r="DW144">
        <v>0.893482</v>
      </c>
      <c r="DX144">
        <v>4.098</v>
      </c>
      <c r="DY144">
        <v>20.3041</v>
      </c>
      <c r="DZ144">
        <v>5.21118</v>
      </c>
      <c r="EA144">
        <v>11.856</v>
      </c>
      <c r="EB144">
        <v>4.96756</v>
      </c>
      <c r="EC144">
        <v>3.29296</v>
      </c>
      <c r="ED144">
        <v>879.4</v>
      </c>
      <c r="EE144">
        <v>9999</v>
      </c>
      <c r="EF144">
        <v>9999</v>
      </c>
      <c r="EG144">
        <v>78.09999999999999</v>
      </c>
      <c r="EH144">
        <v>4.97157</v>
      </c>
      <c r="EI144">
        <v>1.8721</v>
      </c>
      <c r="EJ144">
        <v>1.86949</v>
      </c>
      <c r="EK144">
        <v>1.8718</v>
      </c>
      <c r="EL144">
        <v>1.86955</v>
      </c>
      <c r="EM144">
        <v>1.86838</v>
      </c>
      <c r="EN144">
        <v>1.87018</v>
      </c>
      <c r="EO144">
        <v>1.87195</v>
      </c>
      <c r="EP144">
        <v>0</v>
      </c>
      <c r="EQ144">
        <v>0</v>
      </c>
      <c r="ER144">
        <v>0</v>
      </c>
      <c r="ES144">
        <v>0</v>
      </c>
      <c r="ET144" t="s">
        <v>334</v>
      </c>
      <c r="EU144" t="s">
        <v>335</v>
      </c>
      <c r="EV144" t="s">
        <v>336</v>
      </c>
      <c r="EW144" t="s">
        <v>336</v>
      </c>
      <c r="EX144" t="s">
        <v>336</v>
      </c>
      <c r="EY144" t="s">
        <v>336</v>
      </c>
      <c r="EZ144">
        <v>0</v>
      </c>
      <c r="FA144">
        <v>100</v>
      </c>
      <c r="FB144">
        <v>100</v>
      </c>
      <c r="FC144">
        <v>6.232</v>
      </c>
      <c r="FD144">
        <v>0.0806</v>
      </c>
      <c r="FE144">
        <v>6.23135000000002</v>
      </c>
      <c r="FF144">
        <v>0</v>
      </c>
      <c r="FG144">
        <v>0</v>
      </c>
      <c r="FH144">
        <v>0</v>
      </c>
      <c r="FI144">
        <v>0.08059047619047632</v>
      </c>
      <c r="FJ144">
        <v>0</v>
      </c>
      <c r="FK144">
        <v>0</v>
      </c>
      <c r="FL144">
        <v>0</v>
      </c>
      <c r="FM144">
        <v>-1</v>
      </c>
      <c r="FN144">
        <v>-1</v>
      </c>
      <c r="FO144">
        <v>-1</v>
      </c>
      <c r="FP144">
        <v>-1</v>
      </c>
      <c r="FQ144">
        <v>128.5</v>
      </c>
      <c r="FR144">
        <v>128.6</v>
      </c>
      <c r="FS144">
        <v>0.141602</v>
      </c>
      <c r="FT144">
        <v>4.99756</v>
      </c>
      <c r="FU144">
        <v>1.5979</v>
      </c>
      <c r="FV144">
        <v>2.10815</v>
      </c>
      <c r="FW144">
        <v>1.54785</v>
      </c>
      <c r="FX144">
        <v>2.40356</v>
      </c>
      <c r="FY144">
        <v>46.8855</v>
      </c>
      <c r="FZ144">
        <v>15.3929</v>
      </c>
      <c r="GA144">
        <v>3</v>
      </c>
      <c r="GB144">
        <v>520.177</v>
      </c>
      <c r="GC144">
        <v>290.174</v>
      </c>
      <c r="GD144">
        <v>27.3115</v>
      </c>
      <c r="GE144">
        <v>37.9411</v>
      </c>
      <c r="GF144">
        <v>29.9997</v>
      </c>
      <c r="GG144">
        <v>37.8607</v>
      </c>
      <c r="GH144">
        <v>37.8513</v>
      </c>
      <c r="GI144">
        <v>-1</v>
      </c>
      <c r="GJ144">
        <v>100</v>
      </c>
      <c r="GK144">
        <v>0</v>
      </c>
      <c r="GL144">
        <v>27.319</v>
      </c>
      <c r="GM144">
        <v>1200</v>
      </c>
      <c r="GN144">
        <v>19.4378</v>
      </c>
      <c r="GO144">
        <v>101.053</v>
      </c>
      <c r="GP144">
        <v>96.2026</v>
      </c>
    </row>
    <row r="145" spans="1:198">
      <c r="A145">
        <v>129</v>
      </c>
      <c r="B145">
        <v>1773203781</v>
      </c>
      <c r="C145">
        <v>7681</v>
      </c>
      <c r="D145" t="s">
        <v>591</v>
      </c>
      <c r="E145" t="s">
        <v>592</v>
      </c>
      <c r="F145">
        <v>15</v>
      </c>
      <c r="G145">
        <v>1773203773</v>
      </c>
      <c r="H145">
        <f>(I145)/1000</f>
        <v>0</v>
      </c>
      <c r="I145">
        <f>1000*AY145*AG145*(AU145-AV145)/(100*AN145*(1000-AG145*AU145))</f>
        <v>0</v>
      </c>
      <c r="J145">
        <f>AY145*AG145*(AT145-AS145*(1000-AG145*AV145)/(1000-AG145*AU145))/(100*AN145)</f>
        <v>0</v>
      </c>
      <c r="K145">
        <f>AS145 - IF(AG145&gt;1, J145*AN145*100.0/(AI145), 0)</f>
        <v>0</v>
      </c>
      <c r="L145">
        <f>((R145-H145/2)*K145-J145)/(R145+H145/2)</f>
        <v>0</v>
      </c>
      <c r="M145">
        <f>L145*(AZ145+BA145)/1000.0</f>
        <v>0</v>
      </c>
      <c r="N145">
        <f>(AS145 - IF(AG145&gt;1, J145*AN145*100.0/(AI145), 0))*(AZ145+BA145)/1000.0</f>
        <v>0</v>
      </c>
      <c r="O145">
        <f>2.0/((1/Q145-1/P145)+SIGN(Q145)*SQRT((1/Q145-1/P145)*(1/Q145-1/P145) + 4*AO145/((AO145+1)*(AO145+1))*(2*1/Q145*1/P145-1/P145*1/P145)))</f>
        <v>0</v>
      </c>
      <c r="P145">
        <f>IF(LEFT(AP145,1)&lt;&gt;"0",IF(LEFT(AP145,1)="1",3.0,AQ145),$D$5+$E$5*(BG145*AZ145/($K$5*1000))+$F$5*(BG145*AZ145/($K$5*1000))*MAX(MIN(AN145,$J$5),$I$5)*MAX(MIN(AN145,$J$5),$I$5)+$G$5*MAX(MIN(AN145,$J$5),$I$5)*(BG145*AZ145/($K$5*1000))+$H$5*(BG145*AZ145/($K$5*1000))*(BG145*AZ145/($K$5*1000)))</f>
        <v>0</v>
      </c>
      <c r="Q145">
        <f>H145*(1000-(1000*0.61365*exp(17.502*U145/(240.97+U145))/(AZ145+BA145)+AU145)/2)/(1000*0.61365*exp(17.502*U145/(240.97+U145))/(AZ145+BA145)-AU145)</f>
        <v>0</v>
      </c>
      <c r="R145">
        <f>1/((AO145+1)/(O145/1.6)+1/(P145/1.37)) + AO145/((AO145+1)/(O145/1.6) + AO145/(P145/1.37))</f>
        <v>0</v>
      </c>
      <c r="S145">
        <f>(AJ145*AM145)</f>
        <v>0</v>
      </c>
      <c r="T145">
        <f>(BB145+(S145+2*0.95*5.67E-8*(((BB145+$B$7)+273)^4-(BB145+273)^4)-44100*H145)/(1.84*29.3*P145+8*0.95*5.67E-8*(BB145+273)^3))</f>
        <v>0</v>
      </c>
      <c r="U145">
        <f>($C$7*BC145+$D$7*BD145+$E$7*T145)</f>
        <v>0</v>
      </c>
      <c r="V145">
        <f>0.61365*exp(17.502*U145/(240.97+U145))</f>
        <v>0</v>
      </c>
      <c r="W145">
        <f>(X145/Y145*100)</f>
        <v>0</v>
      </c>
      <c r="X145">
        <f>AU145*(AZ145+BA145)/1000</f>
        <v>0</v>
      </c>
      <c r="Y145">
        <f>0.61365*exp(17.502*BB145/(240.97+BB145))</f>
        <v>0</v>
      </c>
      <c r="Z145">
        <f>(V145-AU145*(AZ145+BA145)/1000)</f>
        <v>0</v>
      </c>
      <c r="AA145">
        <f>(-H145*44100)</f>
        <v>0</v>
      </c>
      <c r="AB145">
        <f>2*29.3*P145*0.92*(BB145-U145)</f>
        <v>0</v>
      </c>
      <c r="AC145">
        <f>2*0.95*5.67E-8*(((BB145+$B$7)+273)^4-(U145+273)^4)</f>
        <v>0</v>
      </c>
      <c r="AD145">
        <f>S145+AC145+AA145+AB145</f>
        <v>0</v>
      </c>
      <c r="AE145">
        <v>0</v>
      </c>
      <c r="AF145">
        <v>0</v>
      </c>
      <c r="AG145">
        <f>IF(AE145*$H$13&gt;=AI145,1.0,(AI145/(AI145-AE145*$H$13)))</f>
        <v>0</v>
      </c>
      <c r="AH145">
        <f>(AG145-1)*100</f>
        <v>0</v>
      </c>
      <c r="AI145">
        <f>MAX(0,($B$13+$C$13*BG145)/(1+$D$13*BG145)*AZ145/(BB145+273)*$E$13)</f>
        <v>0</v>
      </c>
      <c r="AJ145">
        <f>$B$11*BH145+$C$11*BI145+$D$11*BT145</f>
        <v>0</v>
      </c>
      <c r="AK145">
        <f>AJ145*AL145</f>
        <v>0</v>
      </c>
      <c r="AL145">
        <f>($B$11*$D$9+$C$11*$D$9+$D$11*(BU145*$E$9+BV145*$G$9))/($B$11+$C$11+$D$11)</f>
        <v>0</v>
      </c>
      <c r="AM145">
        <f>($B$11*$K$9+$C$11*$K$9+$D$11*(BU145*$L$9+BV145*$N$9))/($B$11+$C$11+$D$11)</f>
        <v>0</v>
      </c>
      <c r="AN145">
        <v>3</v>
      </c>
      <c r="AO145">
        <v>0.5</v>
      </c>
      <c r="AP145" t="s">
        <v>331</v>
      </c>
      <c r="AQ145">
        <v>2</v>
      </c>
      <c r="AR145">
        <v>1773203773</v>
      </c>
      <c r="AS145">
        <v>422.3728387096774</v>
      </c>
      <c r="AT145">
        <v>420.1781935483871</v>
      </c>
      <c r="AU145">
        <v>11.42290967741936</v>
      </c>
      <c r="AV145">
        <v>11.26822580645161</v>
      </c>
      <c r="AW145">
        <v>416.1414838709677</v>
      </c>
      <c r="AX145">
        <v>11.34232903225806</v>
      </c>
      <c r="AY145">
        <v>500.0183870967741</v>
      </c>
      <c r="AZ145">
        <v>100.1240322580645</v>
      </c>
      <c r="BA145">
        <v>0.04651728064516129</v>
      </c>
      <c r="BB145">
        <v>30.75882903225807</v>
      </c>
      <c r="BC145">
        <v>31.01235806451613</v>
      </c>
      <c r="BD145">
        <v>999.9000000000003</v>
      </c>
      <c r="BE145">
        <v>0</v>
      </c>
      <c r="BF145">
        <v>0</v>
      </c>
      <c r="BG145">
        <v>4997.16129032258</v>
      </c>
      <c r="BH145">
        <v>1.008383322580645</v>
      </c>
      <c r="BI145">
        <v>2154.159032258065</v>
      </c>
      <c r="BJ145">
        <v>2.194674193548388</v>
      </c>
      <c r="BK145">
        <v>427.2532580645162</v>
      </c>
      <c r="BL145">
        <v>424.9667419354839</v>
      </c>
      <c r="BM145">
        <v>0.154686064516129</v>
      </c>
      <c r="BN145">
        <v>420.1781935483871</v>
      </c>
      <c r="BO145">
        <v>11.26822580645161</v>
      </c>
      <c r="BP145">
        <v>1.143708387096774</v>
      </c>
      <c r="BQ145">
        <v>1.128220322580645</v>
      </c>
      <c r="BR145">
        <v>8.888310322580645</v>
      </c>
      <c r="BS145">
        <v>8.686651612903226</v>
      </c>
      <c r="BT145">
        <v>0</v>
      </c>
      <c r="BU145">
        <v>0</v>
      </c>
      <c r="BV145">
        <v>0</v>
      </c>
      <c r="BW145">
        <v>35</v>
      </c>
      <c r="BX145">
        <v>45.00429677419355</v>
      </c>
      <c r="BY145">
        <v>1773196010</v>
      </c>
      <c r="BZ145" t="s">
        <v>332</v>
      </c>
      <c r="CA145">
        <v>1773196010</v>
      </c>
      <c r="CB145">
        <v>1773196005.5</v>
      </c>
      <c r="CC145">
        <v>2</v>
      </c>
      <c r="CD145">
        <v>-0.279</v>
      </c>
      <c r="CE145">
        <v>-0.021</v>
      </c>
      <c r="CF145">
        <v>6.231</v>
      </c>
      <c r="CG145">
        <v>0.081</v>
      </c>
      <c r="CH145">
        <v>432</v>
      </c>
      <c r="CI145">
        <v>21</v>
      </c>
      <c r="CJ145">
        <v>0.03</v>
      </c>
      <c r="CK145">
        <v>0.06</v>
      </c>
      <c r="CL145">
        <v>420.1781935483871</v>
      </c>
      <c r="CM145">
        <v>-1.207596774193303</v>
      </c>
      <c r="CN145">
        <v>0.09539372379260909</v>
      </c>
      <c r="CO145">
        <v>-1</v>
      </c>
      <c r="CP145">
        <v>500.0183870967741</v>
      </c>
      <c r="CQ145">
        <v>0.02298387096793148</v>
      </c>
      <c r="CR145">
        <v>0.05318602619009582</v>
      </c>
      <c r="CS145">
        <v>-1</v>
      </c>
      <c r="CT145">
        <v>0</v>
      </c>
      <c r="CU145">
        <v>0</v>
      </c>
      <c r="CV145" t="s">
        <v>333</v>
      </c>
      <c r="CW145">
        <v>3.17085</v>
      </c>
      <c r="CX145">
        <v>2.66795</v>
      </c>
      <c r="CY145">
        <v>0.0989743</v>
      </c>
      <c r="CZ145">
        <v>0.0997329</v>
      </c>
      <c r="DA145">
        <v>0.0644185</v>
      </c>
      <c r="DB145">
        <v>0.0638209</v>
      </c>
      <c r="DC145">
        <v>21326.2</v>
      </c>
      <c r="DD145">
        <v>21901.6</v>
      </c>
      <c r="DE145">
        <v>22820.5</v>
      </c>
      <c r="DF145">
        <v>22273.9</v>
      </c>
      <c r="DG145">
        <v>32289.2</v>
      </c>
      <c r="DH145">
        <v>29374.6</v>
      </c>
      <c r="DI145">
        <v>40168.1</v>
      </c>
      <c r="DJ145">
        <v>36841.9</v>
      </c>
      <c r="DK145">
        <v>2.02536</v>
      </c>
      <c r="DL145">
        <v>1.4975</v>
      </c>
      <c r="DM145">
        <v>-0.0782728</v>
      </c>
      <c r="DN145">
        <v>0</v>
      </c>
      <c r="DO145">
        <v>32.2686</v>
      </c>
      <c r="DP145">
        <v>999.9</v>
      </c>
      <c r="DQ145">
        <v>23.2</v>
      </c>
      <c r="DR145">
        <v>45.8</v>
      </c>
      <c r="DS145">
        <v>23.2741</v>
      </c>
      <c r="DT145">
        <v>30.0691</v>
      </c>
      <c r="DU145">
        <v>14.4071</v>
      </c>
      <c r="DV145">
        <v>1</v>
      </c>
      <c r="DW145">
        <v>0.889833</v>
      </c>
      <c r="DX145">
        <v>3.70918</v>
      </c>
      <c r="DY145">
        <v>20.3148</v>
      </c>
      <c r="DZ145">
        <v>5.21118</v>
      </c>
      <c r="EA145">
        <v>11.8564</v>
      </c>
      <c r="EB145">
        <v>4.96768</v>
      </c>
      <c r="EC145">
        <v>3.29298</v>
      </c>
      <c r="ED145">
        <v>879.4</v>
      </c>
      <c r="EE145">
        <v>9999</v>
      </c>
      <c r="EF145">
        <v>9999</v>
      </c>
      <c r="EG145">
        <v>78.2</v>
      </c>
      <c r="EH145">
        <v>4.97161</v>
      </c>
      <c r="EI145">
        <v>1.8721</v>
      </c>
      <c r="EJ145">
        <v>1.86949</v>
      </c>
      <c r="EK145">
        <v>1.8718</v>
      </c>
      <c r="EL145">
        <v>1.86961</v>
      </c>
      <c r="EM145">
        <v>1.86841</v>
      </c>
      <c r="EN145">
        <v>1.87024</v>
      </c>
      <c r="EO145">
        <v>1.87195</v>
      </c>
      <c r="EP145">
        <v>0</v>
      </c>
      <c r="EQ145">
        <v>0</v>
      </c>
      <c r="ER145">
        <v>0</v>
      </c>
      <c r="ES145">
        <v>0</v>
      </c>
      <c r="ET145" t="s">
        <v>334</v>
      </c>
      <c r="EU145" t="s">
        <v>335</v>
      </c>
      <c r="EV145" t="s">
        <v>336</v>
      </c>
      <c r="EW145" t="s">
        <v>336</v>
      </c>
      <c r="EX145" t="s">
        <v>336</v>
      </c>
      <c r="EY145" t="s">
        <v>336</v>
      </c>
      <c r="EZ145">
        <v>0</v>
      </c>
      <c r="FA145">
        <v>100</v>
      </c>
      <c r="FB145">
        <v>100</v>
      </c>
      <c r="FC145">
        <v>6.231</v>
      </c>
      <c r="FD145">
        <v>0.0806</v>
      </c>
      <c r="FE145">
        <v>6.23135000000002</v>
      </c>
      <c r="FF145">
        <v>0</v>
      </c>
      <c r="FG145">
        <v>0</v>
      </c>
      <c r="FH145">
        <v>0</v>
      </c>
      <c r="FI145">
        <v>0.08059047619047632</v>
      </c>
      <c r="FJ145">
        <v>0</v>
      </c>
      <c r="FK145">
        <v>0</v>
      </c>
      <c r="FL145">
        <v>0</v>
      </c>
      <c r="FM145">
        <v>-1</v>
      </c>
      <c r="FN145">
        <v>-1</v>
      </c>
      <c r="FO145">
        <v>-1</v>
      </c>
      <c r="FP145">
        <v>-1</v>
      </c>
      <c r="FQ145">
        <v>129.5</v>
      </c>
      <c r="FR145">
        <v>129.6</v>
      </c>
      <c r="FS145">
        <v>0.141602</v>
      </c>
      <c r="FT145">
        <v>4.99756</v>
      </c>
      <c r="FU145">
        <v>1.5979</v>
      </c>
      <c r="FV145">
        <v>2.10815</v>
      </c>
      <c r="FW145">
        <v>1.54785</v>
      </c>
      <c r="FX145">
        <v>2.49634</v>
      </c>
      <c r="FY145">
        <v>46.856</v>
      </c>
      <c r="FZ145">
        <v>15.4016</v>
      </c>
      <c r="GA145">
        <v>3</v>
      </c>
      <c r="GB145">
        <v>520.028</v>
      </c>
      <c r="GC145">
        <v>289.658</v>
      </c>
      <c r="GD145">
        <v>27.5544</v>
      </c>
      <c r="GE145">
        <v>37.9184</v>
      </c>
      <c r="GF145">
        <v>29.9996</v>
      </c>
      <c r="GG145">
        <v>37.8449</v>
      </c>
      <c r="GH145">
        <v>37.8383</v>
      </c>
      <c r="GI145">
        <v>-1</v>
      </c>
      <c r="GJ145">
        <v>100</v>
      </c>
      <c r="GK145">
        <v>0</v>
      </c>
      <c r="GL145">
        <v>27.5709</v>
      </c>
      <c r="GM145">
        <v>1200</v>
      </c>
      <c r="GN145">
        <v>19.4378</v>
      </c>
      <c r="GO145">
        <v>101.053</v>
      </c>
      <c r="GP145">
        <v>96.2045</v>
      </c>
    </row>
    <row r="146" spans="1:198">
      <c r="A146">
        <v>130</v>
      </c>
      <c r="B146">
        <v>1773203841</v>
      </c>
      <c r="C146">
        <v>7741</v>
      </c>
      <c r="D146" t="s">
        <v>593</v>
      </c>
      <c r="E146" t="s">
        <v>594</v>
      </c>
      <c r="F146">
        <v>15</v>
      </c>
      <c r="G146">
        <v>1773203833</v>
      </c>
      <c r="H146">
        <f>(I146)/1000</f>
        <v>0</v>
      </c>
      <c r="I146">
        <f>1000*AY146*AG146*(AU146-AV146)/(100*AN146*(1000-AG146*AU146))</f>
        <v>0</v>
      </c>
      <c r="J146">
        <f>AY146*AG146*(AT146-AS146*(1000-AG146*AV146)/(1000-AG146*AU146))/(100*AN146)</f>
        <v>0</v>
      </c>
      <c r="K146">
        <f>AS146 - IF(AG146&gt;1, J146*AN146*100.0/(AI146), 0)</f>
        <v>0</v>
      </c>
      <c r="L146">
        <f>((R146-H146/2)*K146-J146)/(R146+H146/2)</f>
        <v>0</v>
      </c>
      <c r="M146">
        <f>L146*(AZ146+BA146)/1000.0</f>
        <v>0</v>
      </c>
      <c r="N146">
        <f>(AS146 - IF(AG146&gt;1, J146*AN146*100.0/(AI146), 0))*(AZ146+BA146)/1000.0</f>
        <v>0</v>
      </c>
      <c r="O146">
        <f>2.0/((1/Q146-1/P146)+SIGN(Q146)*SQRT((1/Q146-1/P146)*(1/Q146-1/P146) + 4*AO146/((AO146+1)*(AO146+1))*(2*1/Q146*1/P146-1/P146*1/P146)))</f>
        <v>0</v>
      </c>
      <c r="P146">
        <f>IF(LEFT(AP146,1)&lt;&gt;"0",IF(LEFT(AP146,1)="1",3.0,AQ146),$D$5+$E$5*(BG146*AZ146/($K$5*1000))+$F$5*(BG146*AZ146/($K$5*1000))*MAX(MIN(AN146,$J$5),$I$5)*MAX(MIN(AN146,$J$5),$I$5)+$G$5*MAX(MIN(AN146,$J$5),$I$5)*(BG146*AZ146/($K$5*1000))+$H$5*(BG146*AZ146/($K$5*1000))*(BG146*AZ146/($K$5*1000)))</f>
        <v>0</v>
      </c>
      <c r="Q146">
        <f>H146*(1000-(1000*0.61365*exp(17.502*U146/(240.97+U146))/(AZ146+BA146)+AU146)/2)/(1000*0.61365*exp(17.502*U146/(240.97+U146))/(AZ146+BA146)-AU146)</f>
        <v>0</v>
      </c>
      <c r="R146">
        <f>1/((AO146+1)/(O146/1.6)+1/(P146/1.37)) + AO146/((AO146+1)/(O146/1.6) + AO146/(P146/1.37))</f>
        <v>0</v>
      </c>
      <c r="S146">
        <f>(AJ146*AM146)</f>
        <v>0</v>
      </c>
      <c r="T146">
        <f>(BB146+(S146+2*0.95*5.67E-8*(((BB146+$B$7)+273)^4-(BB146+273)^4)-44100*H146)/(1.84*29.3*P146+8*0.95*5.67E-8*(BB146+273)^3))</f>
        <v>0</v>
      </c>
      <c r="U146">
        <f>($C$7*BC146+$D$7*BD146+$E$7*T146)</f>
        <v>0</v>
      </c>
      <c r="V146">
        <f>0.61365*exp(17.502*U146/(240.97+U146))</f>
        <v>0</v>
      </c>
      <c r="W146">
        <f>(X146/Y146*100)</f>
        <v>0</v>
      </c>
      <c r="X146">
        <f>AU146*(AZ146+BA146)/1000</f>
        <v>0</v>
      </c>
      <c r="Y146">
        <f>0.61365*exp(17.502*BB146/(240.97+BB146))</f>
        <v>0</v>
      </c>
      <c r="Z146">
        <f>(V146-AU146*(AZ146+BA146)/1000)</f>
        <v>0</v>
      </c>
      <c r="AA146">
        <f>(-H146*44100)</f>
        <v>0</v>
      </c>
      <c r="AB146">
        <f>2*29.3*P146*0.92*(BB146-U146)</f>
        <v>0</v>
      </c>
      <c r="AC146">
        <f>2*0.95*5.67E-8*(((BB146+$B$7)+273)^4-(U146+273)^4)</f>
        <v>0</v>
      </c>
      <c r="AD146">
        <f>S146+AC146+AA146+AB146</f>
        <v>0</v>
      </c>
      <c r="AE146">
        <v>0</v>
      </c>
      <c r="AF146">
        <v>0</v>
      </c>
      <c r="AG146">
        <f>IF(AE146*$H$13&gt;=AI146,1.0,(AI146/(AI146-AE146*$H$13)))</f>
        <v>0</v>
      </c>
      <c r="AH146">
        <f>(AG146-1)*100</f>
        <v>0</v>
      </c>
      <c r="AI146">
        <f>MAX(0,($B$13+$C$13*BG146)/(1+$D$13*BG146)*AZ146/(BB146+273)*$E$13)</f>
        <v>0</v>
      </c>
      <c r="AJ146">
        <f>$B$11*BH146+$C$11*BI146+$D$11*BT146</f>
        <v>0</v>
      </c>
      <c r="AK146">
        <f>AJ146*AL146</f>
        <v>0</v>
      </c>
      <c r="AL146">
        <f>($B$11*$D$9+$C$11*$D$9+$D$11*(BU146*$E$9+BV146*$G$9))/($B$11+$C$11+$D$11)</f>
        <v>0</v>
      </c>
      <c r="AM146">
        <f>($B$11*$K$9+$C$11*$K$9+$D$11*(BU146*$L$9+BV146*$N$9))/($B$11+$C$11+$D$11)</f>
        <v>0</v>
      </c>
      <c r="AN146">
        <v>3</v>
      </c>
      <c r="AO146">
        <v>0.5</v>
      </c>
      <c r="AP146" t="s">
        <v>331</v>
      </c>
      <c r="AQ146">
        <v>2</v>
      </c>
      <c r="AR146">
        <v>1773203833</v>
      </c>
      <c r="AS146">
        <v>421.4667096774193</v>
      </c>
      <c r="AT146">
        <v>419.2412258064517</v>
      </c>
      <c r="AU146">
        <v>11.34478064516129</v>
      </c>
      <c r="AV146">
        <v>11.17394516129032</v>
      </c>
      <c r="AW146">
        <v>415.2353548387096</v>
      </c>
      <c r="AX146">
        <v>11.26418387096774</v>
      </c>
      <c r="AY146">
        <v>499.9737419354839</v>
      </c>
      <c r="AZ146">
        <v>100.1278709677419</v>
      </c>
      <c r="BA146">
        <v>0.04512401935483871</v>
      </c>
      <c r="BB146">
        <v>30.77471935483871</v>
      </c>
      <c r="BC146">
        <v>31.00119677419355</v>
      </c>
      <c r="BD146">
        <v>999.9000000000003</v>
      </c>
      <c r="BE146">
        <v>0</v>
      </c>
      <c r="BF146">
        <v>0</v>
      </c>
      <c r="BG146">
        <v>4993.677419354839</v>
      </c>
      <c r="BH146">
        <v>1.071390096774193</v>
      </c>
      <c r="BI146">
        <v>2148.499677419355</v>
      </c>
      <c r="BJ146">
        <v>2.225517096774194</v>
      </c>
      <c r="BK146">
        <v>426.3031612903225</v>
      </c>
      <c r="BL146">
        <v>423.9787741935484</v>
      </c>
      <c r="BM146">
        <v>0.1708256774193548</v>
      </c>
      <c r="BN146">
        <v>419.2412258064517</v>
      </c>
      <c r="BO146">
        <v>11.17394516129032</v>
      </c>
      <c r="BP146">
        <v>1.135926451612903</v>
      </c>
      <c r="BQ146">
        <v>1.118821612903226</v>
      </c>
      <c r="BR146">
        <v>8.787299354838709</v>
      </c>
      <c r="BS146">
        <v>8.563094838709677</v>
      </c>
      <c r="BT146">
        <v>0</v>
      </c>
      <c r="BU146">
        <v>0</v>
      </c>
      <c r="BV146">
        <v>0</v>
      </c>
      <c r="BW146">
        <v>34.39031935483871</v>
      </c>
      <c r="BX146">
        <v>44</v>
      </c>
      <c r="BY146">
        <v>1773196010</v>
      </c>
      <c r="BZ146" t="s">
        <v>332</v>
      </c>
      <c r="CA146">
        <v>1773196010</v>
      </c>
      <c r="CB146">
        <v>1773196005.5</v>
      </c>
      <c r="CC146">
        <v>2</v>
      </c>
      <c r="CD146">
        <v>-0.279</v>
      </c>
      <c r="CE146">
        <v>-0.021</v>
      </c>
      <c r="CF146">
        <v>6.231</v>
      </c>
      <c r="CG146">
        <v>0.081</v>
      </c>
      <c r="CH146">
        <v>432</v>
      </c>
      <c r="CI146">
        <v>21</v>
      </c>
      <c r="CJ146">
        <v>0.03</v>
      </c>
      <c r="CK146">
        <v>0.06</v>
      </c>
      <c r="CL146">
        <v>419.2412258064517</v>
      </c>
      <c r="CM146">
        <v>-0.9805161290346746</v>
      </c>
      <c r="CN146">
        <v>0.07910862669708049</v>
      </c>
      <c r="CO146">
        <v>-1</v>
      </c>
      <c r="CP146">
        <v>499.9737419354839</v>
      </c>
      <c r="CQ146">
        <v>-0.3863225806457404</v>
      </c>
      <c r="CR146">
        <v>0.07059378010704347</v>
      </c>
      <c r="CS146">
        <v>-1</v>
      </c>
      <c r="CT146">
        <v>0</v>
      </c>
      <c r="CU146">
        <v>0</v>
      </c>
      <c r="CV146" t="s">
        <v>333</v>
      </c>
      <c r="CW146">
        <v>3.17042</v>
      </c>
      <c r="CX146">
        <v>2.66731</v>
      </c>
      <c r="CY146">
        <v>0.09882050000000001</v>
      </c>
      <c r="CZ146">
        <v>0.09959659999999999</v>
      </c>
      <c r="DA146">
        <v>0.06405909999999999</v>
      </c>
      <c r="DB146">
        <v>0.06340700000000001</v>
      </c>
      <c r="DC146">
        <v>21331.4</v>
      </c>
      <c r="DD146">
        <v>21906.3</v>
      </c>
      <c r="DE146">
        <v>22822</v>
      </c>
      <c r="DF146">
        <v>22275.1</v>
      </c>
      <c r="DG146">
        <v>32303.7</v>
      </c>
      <c r="DH146">
        <v>29389.6</v>
      </c>
      <c r="DI146">
        <v>40170.6</v>
      </c>
      <c r="DJ146">
        <v>36844.2</v>
      </c>
      <c r="DK146">
        <v>2.0258</v>
      </c>
      <c r="DL146">
        <v>1.49956</v>
      </c>
      <c r="DM146">
        <v>-0.0691235</v>
      </c>
      <c r="DN146">
        <v>0</v>
      </c>
      <c r="DO146">
        <v>32.127</v>
      </c>
      <c r="DP146">
        <v>999.9</v>
      </c>
      <c r="DQ146">
        <v>23.3</v>
      </c>
      <c r="DR146">
        <v>45.7</v>
      </c>
      <c r="DS146">
        <v>23.2524</v>
      </c>
      <c r="DT146">
        <v>30.1591</v>
      </c>
      <c r="DU146">
        <v>14.2909</v>
      </c>
      <c r="DV146">
        <v>1</v>
      </c>
      <c r="DW146">
        <v>0.883591</v>
      </c>
      <c r="DX146">
        <v>3.3899</v>
      </c>
      <c r="DY146">
        <v>20.3229</v>
      </c>
      <c r="DZ146">
        <v>5.20567</v>
      </c>
      <c r="EA146">
        <v>11.8558</v>
      </c>
      <c r="EB146">
        <v>4.9676</v>
      </c>
      <c r="EC146">
        <v>3.293</v>
      </c>
      <c r="ED146">
        <v>879.4</v>
      </c>
      <c r="EE146">
        <v>9999</v>
      </c>
      <c r="EF146">
        <v>9999</v>
      </c>
      <c r="EG146">
        <v>78.2</v>
      </c>
      <c r="EH146">
        <v>4.97159</v>
      </c>
      <c r="EI146">
        <v>1.8721</v>
      </c>
      <c r="EJ146">
        <v>1.86948</v>
      </c>
      <c r="EK146">
        <v>1.8718</v>
      </c>
      <c r="EL146">
        <v>1.86955</v>
      </c>
      <c r="EM146">
        <v>1.86838</v>
      </c>
      <c r="EN146">
        <v>1.87024</v>
      </c>
      <c r="EO146">
        <v>1.87195</v>
      </c>
      <c r="EP146">
        <v>0</v>
      </c>
      <c r="EQ146">
        <v>0</v>
      </c>
      <c r="ER146">
        <v>0</v>
      </c>
      <c r="ES146">
        <v>0</v>
      </c>
      <c r="ET146" t="s">
        <v>334</v>
      </c>
      <c r="EU146" t="s">
        <v>335</v>
      </c>
      <c r="EV146" t="s">
        <v>336</v>
      </c>
      <c r="EW146" t="s">
        <v>336</v>
      </c>
      <c r="EX146" t="s">
        <v>336</v>
      </c>
      <c r="EY146" t="s">
        <v>336</v>
      </c>
      <c r="EZ146">
        <v>0</v>
      </c>
      <c r="FA146">
        <v>100</v>
      </c>
      <c r="FB146">
        <v>100</v>
      </c>
      <c r="FC146">
        <v>6.231</v>
      </c>
      <c r="FD146">
        <v>0.0806</v>
      </c>
      <c r="FE146">
        <v>6.23135000000002</v>
      </c>
      <c r="FF146">
        <v>0</v>
      </c>
      <c r="FG146">
        <v>0</v>
      </c>
      <c r="FH146">
        <v>0</v>
      </c>
      <c r="FI146">
        <v>0.08059047619047632</v>
      </c>
      <c r="FJ146">
        <v>0</v>
      </c>
      <c r="FK146">
        <v>0</v>
      </c>
      <c r="FL146">
        <v>0</v>
      </c>
      <c r="FM146">
        <v>-1</v>
      </c>
      <c r="FN146">
        <v>-1</v>
      </c>
      <c r="FO146">
        <v>-1</v>
      </c>
      <c r="FP146">
        <v>-1</v>
      </c>
      <c r="FQ146">
        <v>130.5</v>
      </c>
      <c r="FR146">
        <v>130.6</v>
      </c>
      <c r="FS146">
        <v>0.141602</v>
      </c>
      <c r="FT146">
        <v>4.99756</v>
      </c>
      <c r="FU146">
        <v>1.5979</v>
      </c>
      <c r="FV146">
        <v>2.10815</v>
      </c>
      <c r="FW146">
        <v>1.54785</v>
      </c>
      <c r="FX146">
        <v>2.36206</v>
      </c>
      <c r="FY146">
        <v>46.7674</v>
      </c>
      <c r="FZ146">
        <v>15.4016</v>
      </c>
      <c r="GA146">
        <v>3</v>
      </c>
      <c r="GB146">
        <v>520.047</v>
      </c>
      <c r="GC146">
        <v>290.487</v>
      </c>
      <c r="GD146">
        <v>27.9464</v>
      </c>
      <c r="GE146">
        <v>37.8671</v>
      </c>
      <c r="GF146">
        <v>29.9998</v>
      </c>
      <c r="GG146">
        <v>37.8082</v>
      </c>
      <c r="GH146">
        <v>37.8032</v>
      </c>
      <c r="GI146">
        <v>-1</v>
      </c>
      <c r="GJ146">
        <v>100</v>
      </c>
      <c r="GK146">
        <v>0</v>
      </c>
      <c r="GL146">
        <v>27.9487</v>
      </c>
      <c r="GM146">
        <v>1200</v>
      </c>
      <c r="GN146">
        <v>19.4378</v>
      </c>
      <c r="GO146">
        <v>101.059</v>
      </c>
      <c r="GP146">
        <v>96.21040000000001</v>
      </c>
    </row>
    <row r="147" spans="1:198">
      <c r="A147">
        <v>131</v>
      </c>
      <c r="B147">
        <v>1773203901.1</v>
      </c>
      <c r="C147">
        <v>7801.099999904633</v>
      </c>
      <c r="D147" t="s">
        <v>595</v>
      </c>
      <c r="E147" t="s">
        <v>596</v>
      </c>
      <c r="F147">
        <v>15</v>
      </c>
      <c r="G147">
        <v>1773203893.099999</v>
      </c>
      <c r="H147">
        <f>(I147)/1000</f>
        <v>0</v>
      </c>
      <c r="I147">
        <f>1000*AY147*AG147*(AU147-AV147)/(100*AN147*(1000-AG147*AU147))</f>
        <v>0</v>
      </c>
      <c r="J147">
        <f>AY147*AG147*(AT147-AS147*(1000-AG147*AV147)/(1000-AG147*AU147))/(100*AN147)</f>
        <v>0</v>
      </c>
      <c r="K147">
        <f>AS147 - IF(AG147&gt;1, J147*AN147*100.0/(AI147), 0)</f>
        <v>0</v>
      </c>
      <c r="L147">
        <f>((R147-H147/2)*K147-J147)/(R147+H147/2)</f>
        <v>0</v>
      </c>
      <c r="M147">
        <f>L147*(AZ147+BA147)/1000.0</f>
        <v>0</v>
      </c>
      <c r="N147">
        <f>(AS147 - IF(AG147&gt;1, J147*AN147*100.0/(AI147), 0))*(AZ147+BA147)/1000.0</f>
        <v>0</v>
      </c>
      <c r="O147">
        <f>2.0/((1/Q147-1/P147)+SIGN(Q147)*SQRT((1/Q147-1/P147)*(1/Q147-1/P147) + 4*AO147/((AO147+1)*(AO147+1))*(2*1/Q147*1/P147-1/P147*1/P147)))</f>
        <v>0</v>
      </c>
      <c r="P147">
        <f>IF(LEFT(AP147,1)&lt;&gt;"0",IF(LEFT(AP147,1)="1",3.0,AQ147),$D$5+$E$5*(BG147*AZ147/($K$5*1000))+$F$5*(BG147*AZ147/($K$5*1000))*MAX(MIN(AN147,$J$5),$I$5)*MAX(MIN(AN147,$J$5),$I$5)+$G$5*MAX(MIN(AN147,$J$5),$I$5)*(BG147*AZ147/($K$5*1000))+$H$5*(BG147*AZ147/($K$5*1000))*(BG147*AZ147/($K$5*1000)))</f>
        <v>0</v>
      </c>
      <c r="Q147">
        <f>H147*(1000-(1000*0.61365*exp(17.502*U147/(240.97+U147))/(AZ147+BA147)+AU147)/2)/(1000*0.61365*exp(17.502*U147/(240.97+U147))/(AZ147+BA147)-AU147)</f>
        <v>0</v>
      </c>
      <c r="R147">
        <f>1/((AO147+1)/(O147/1.6)+1/(P147/1.37)) + AO147/((AO147+1)/(O147/1.6) + AO147/(P147/1.37))</f>
        <v>0</v>
      </c>
      <c r="S147">
        <f>(AJ147*AM147)</f>
        <v>0</v>
      </c>
      <c r="T147">
        <f>(BB147+(S147+2*0.95*5.67E-8*(((BB147+$B$7)+273)^4-(BB147+273)^4)-44100*H147)/(1.84*29.3*P147+8*0.95*5.67E-8*(BB147+273)^3))</f>
        <v>0</v>
      </c>
      <c r="U147">
        <f>($C$7*BC147+$D$7*BD147+$E$7*T147)</f>
        <v>0</v>
      </c>
      <c r="V147">
        <f>0.61365*exp(17.502*U147/(240.97+U147))</f>
        <v>0</v>
      </c>
      <c r="W147">
        <f>(X147/Y147*100)</f>
        <v>0</v>
      </c>
      <c r="X147">
        <f>AU147*(AZ147+BA147)/1000</f>
        <v>0</v>
      </c>
      <c r="Y147">
        <f>0.61365*exp(17.502*BB147/(240.97+BB147))</f>
        <v>0</v>
      </c>
      <c r="Z147">
        <f>(V147-AU147*(AZ147+BA147)/1000)</f>
        <v>0</v>
      </c>
      <c r="AA147">
        <f>(-H147*44100)</f>
        <v>0</v>
      </c>
      <c r="AB147">
        <f>2*29.3*P147*0.92*(BB147-U147)</f>
        <v>0</v>
      </c>
      <c r="AC147">
        <f>2*0.95*5.67E-8*(((BB147+$B$7)+273)^4-(U147+273)^4)</f>
        <v>0</v>
      </c>
      <c r="AD147">
        <f>S147+AC147+AA147+AB147</f>
        <v>0</v>
      </c>
      <c r="AE147">
        <v>0</v>
      </c>
      <c r="AF147">
        <v>0</v>
      </c>
      <c r="AG147">
        <f>IF(AE147*$H$13&gt;=AI147,1.0,(AI147/(AI147-AE147*$H$13)))</f>
        <v>0</v>
      </c>
      <c r="AH147">
        <f>(AG147-1)*100</f>
        <v>0</v>
      </c>
      <c r="AI147">
        <f>MAX(0,($B$13+$C$13*BG147)/(1+$D$13*BG147)*AZ147/(BB147+273)*$E$13)</f>
        <v>0</v>
      </c>
      <c r="AJ147">
        <f>$B$11*BH147+$C$11*BI147+$D$11*BT147</f>
        <v>0</v>
      </c>
      <c r="AK147">
        <f>AJ147*AL147</f>
        <v>0</v>
      </c>
      <c r="AL147">
        <f>($B$11*$D$9+$C$11*$D$9+$D$11*(BU147*$E$9+BV147*$G$9))/($B$11+$C$11+$D$11)</f>
        <v>0</v>
      </c>
      <c r="AM147">
        <f>($B$11*$K$9+$C$11*$K$9+$D$11*(BU147*$L$9+BV147*$N$9))/($B$11+$C$11+$D$11)</f>
        <v>0</v>
      </c>
      <c r="AN147">
        <v>3</v>
      </c>
      <c r="AO147">
        <v>0.5</v>
      </c>
      <c r="AP147" t="s">
        <v>331</v>
      </c>
      <c r="AQ147">
        <v>2</v>
      </c>
      <c r="AR147">
        <v>1773203893.099999</v>
      </c>
      <c r="AS147">
        <v>421.448806451613</v>
      </c>
      <c r="AT147">
        <v>419.3685483870968</v>
      </c>
      <c r="AU147">
        <v>11.33265806451613</v>
      </c>
      <c r="AV147">
        <v>11.18337419354839</v>
      </c>
      <c r="AW147">
        <v>415.2174516129033</v>
      </c>
      <c r="AX147">
        <v>11.25206774193548</v>
      </c>
      <c r="AY147">
        <v>500.0110645161291</v>
      </c>
      <c r="AZ147">
        <v>100.1284838709677</v>
      </c>
      <c r="BA147">
        <v>0.04526857096774192</v>
      </c>
      <c r="BB147">
        <v>30.84156451612904</v>
      </c>
      <c r="BC147">
        <v>31.09271612903226</v>
      </c>
      <c r="BD147">
        <v>999.9000000000003</v>
      </c>
      <c r="BE147">
        <v>0</v>
      </c>
      <c r="BF147">
        <v>0</v>
      </c>
      <c r="BG147">
        <v>4998.612903225807</v>
      </c>
      <c r="BH147">
        <v>1.058659677419355</v>
      </c>
      <c r="BI147">
        <v>2147.647096774194</v>
      </c>
      <c r="BJ147">
        <v>2.080353548387096</v>
      </c>
      <c r="BK147">
        <v>426.2797419354839</v>
      </c>
      <c r="BL147">
        <v>424.1115161290323</v>
      </c>
      <c r="BM147">
        <v>0.1492831612903226</v>
      </c>
      <c r="BN147">
        <v>419.3685483870968</v>
      </c>
      <c r="BO147">
        <v>11.18337419354839</v>
      </c>
      <c r="BP147">
        <v>1.134721612903226</v>
      </c>
      <c r="BQ147">
        <v>1.119774516129032</v>
      </c>
      <c r="BR147">
        <v>8.771606129032259</v>
      </c>
      <c r="BS147">
        <v>8.575655806451612</v>
      </c>
      <c r="BT147">
        <v>0</v>
      </c>
      <c r="BU147">
        <v>0</v>
      </c>
      <c r="BV147">
        <v>0</v>
      </c>
      <c r="BW147">
        <v>35</v>
      </c>
      <c r="BX147">
        <v>43.98925806451613</v>
      </c>
      <c r="BY147">
        <v>1773196010</v>
      </c>
      <c r="BZ147" t="s">
        <v>332</v>
      </c>
      <c r="CA147">
        <v>1773196010</v>
      </c>
      <c r="CB147">
        <v>1773196005.5</v>
      </c>
      <c r="CC147">
        <v>2</v>
      </c>
      <c r="CD147">
        <v>-0.279</v>
      </c>
      <c r="CE147">
        <v>-0.021</v>
      </c>
      <c r="CF147">
        <v>6.231</v>
      </c>
      <c r="CG147">
        <v>0.081</v>
      </c>
      <c r="CH147">
        <v>432</v>
      </c>
      <c r="CI147">
        <v>21</v>
      </c>
      <c r="CJ147">
        <v>0.03</v>
      </c>
      <c r="CK147">
        <v>0.06</v>
      </c>
      <c r="CL147">
        <v>419.3680333333334</v>
      </c>
      <c r="CM147">
        <v>0.2548164627356571</v>
      </c>
      <c r="CN147">
        <v>0.02295573034245481</v>
      </c>
      <c r="CO147">
        <v>-1</v>
      </c>
      <c r="CP147">
        <v>500.0100333333334</v>
      </c>
      <c r="CQ147">
        <v>1.255982202447041</v>
      </c>
      <c r="CR147">
        <v>0.1263973848182306</v>
      </c>
      <c r="CS147">
        <v>-1</v>
      </c>
      <c r="CT147">
        <v>0</v>
      </c>
      <c r="CU147">
        <v>0</v>
      </c>
      <c r="CV147" t="s">
        <v>333</v>
      </c>
      <c r="CW147">
        <v>3.17095</v>
      </c>
      <c r="CX147">
        <v>2.66641</v>
      </c>
      <c r="CY147">
        <v>0.0988482</v>
      </c>
      <c r="CZ147">
        <v>0.0996447</v>
      </c>
      <c r="DA147">
        <v>0.06408179999999999</v>
      </c>
      <c r="DB147">
        <v>0.063531</v>
      </c>
      <c r="DC147">
        <v>21331.3</v>
      </c>
      <c r="DD147">
        <v>21906</v>
      </c>
      <c r="DE147">
        <v>22822.5</v>
      </c>
      <c r="DF147">
        <v>22276</v>
      </c>
      <c r="DG147">
        <v>32303.4</v>
      </c>
      <c r="DH147">
        <v>29386.9</v>
      </c>
      <c r="DI147">
        <v>40171.2</v>
      </c>
      <c r="DJ147">
        <v>36845.7</v>
      </c>
      <c r="DK147">
        <v>2.0263</v>
      </c>
      <c r="DL147">
        <v>1.49934</v>
      </c>
      <c r="DM147">
        <v>-0.0702441</v>
      </c>
      <c r="DN147">
        <v>0</v>
      </c>
      <c r="DO147">
        <v>32.2485</v>
      </c>
      <c r="DP147">
        <v>999.9</v>
      </c>
      <c r="DQ147">
        <v>23.1</v>
      </c>
      <c r="DR147">
        <v>45.7</v>
      </c>
      <c r="DS147">
        <v>23.0551</v>
      </c>
      <c r="DT147">
        <v>30.3064</v>
      </c>
      <c r="DU147">
        <v>14.2027</v>
      </c>
      <c r="DV147">
        <v>1</v>
      </c>
      <c r="DW147">
        <v>0.888057</v>
      </c>
      <c r="DX147">
        <v>4.39384</v>
      </c>
      <c r="DY147">
        <v>20.2944</v>
      </c>
      <c r="DZ147">
        <v>5.21082</v>
      </c>
      <c r="EA147">
        <v>11.8549</v>
      </c>
      <c r="EB147">
        <v>4.96756</v>
      </c>
      <c r="EC147">
        <v>3.29298</v>
      </c>
      <c r="ED147">
        <v>879.4</v>
      </c>
      <c r="EE147">
        <v>9999</v>
      </c>
      <c r="EF147">
        <v>9999</v>
      </c>
      <c r="EG147">
        <v>78.2</v>
      </c>
      <c r="EH147">
        <v>4.97157</v>
      </c>
      <c r="EI147">
        <v>1.8721</v>
      </c>
      <c r="EJ147">
        <v>1.86949</v>
      </c>
      <c r="EK147">
        <v>1.87178</v>
      </c>
      <c r="EL147">
        <v>1.86953</v>
      </c>
      <c r="EM147">
        <v>1.86837</v>
      </c>
      <c r="EN147">
        <v>1.8702</v>
      </c>
      <c r="EO147">
        <v>1.87195</v>
      </c>
      <c r="EP147">
        <v>0</v>
      </c>
      <c r="EQ147">
        <v>0</v>
      </c>
      <c r="ER147">
        <v>0</v>
      </c>
      <c r="ES147">
        <v>0</v>
      </c>
      <c r="ET147" t="s">
        <v>334</v>
      </c>
      <c r="EU147" t="s">
        <v>335</v>
      </c>
      <c r="EV147" t="s">
        <v>336</v>
      </c>
      <c r="EW147" t="s">
        <v>336</v>
      </c>
      <c r="EX147" t="s">
        <v>336</v>
      </c>
      <c r="EY147" t="s">
        <v>336</v>
      </c>
      <c r="EZ147">
        <v>0</v>
      </c>
      <c r="FA147">
        <v>100</v>
      </c>
      <c r="FB147">
        <v>100</v>
      </c>
      <c r="FC147">
        <v>6.232</v>
      </c>
      <c r="FD147">
        <v>0.0806</v>
      </c>
      <c r="FE147">
        <v>6.23135000000002</v>
      </c>
      <c r="FF147">
        <v>0</v>
      </c>
      <c r="FG147">
        <v>0</v>
      </c>
      <c r="FH147">
        <v>0</v>
      </c>
      <c r="FI147">
        <v>0.08059047619047632</v>
      </c>
      <c r="FJ147">
        <v>0</v>
      </c>
      <c r="FK147">
        <v>0</v>
      </c>
      <c r="FL147">
        <v>0</v>
      </c>
      <c r="FM147">
        <v>-1</v>
      </c>
      <c r="FN147">
        <v>-1</v>
      </c>
      <c r="FO147">
        <v>-1</v>
      </c>
      <c r="FP147">
        <v>-1</v>
      </c>
      <c r="FQ147">
        <v>131.5</v>
      </c>
      <c r="FR147">
        <v>131.6</v>
      </c>
      <c r="FS147">
        <v>0.140381</v>
      </c>
      <c r="FT147">
        <v>4.99756</v>
      </c>
      <c r="FU147">
        <v>1.5979</v>
      </c>
      <c r="FV147">
        <v>2.10815</v>
      </c>
      <c r="FW147">
        <v>1.54785</v>
      </c>
      <c r="FX147">
        <v>2.44019</v>
      </c>
      <c r="FY147">
        <v>46.7379</v>
      </c>
      <c r="FZ147">
        <v>15.3754</v>
      </c>
      <c r="GA147">
        <v>3</v>
      </c>
      <c r="GB147">
        <v>520.196</v>
      </c>
      <c r="GC147">
        <v>290.307</v>
      </c>
      <c r="GD147">
        <v>27.3534</v>
      </c>
      <c r="GE147">
        <v>37.8435</v>
      </c>
      <c r="GF147">
        <v>30.0007</v>
      </c>
      <c r="GG147">
        <v>37.7854</v>
      </c>
      <c r="GH147">
        <v>37.7833</v>
      </c>
      <c r="GI147">
        <v>-1</v>
      </c>
      <c r="GJ147">
        <v>100</v>
      </c>
      <c r="GK147">
        <v>0</v>
      </c>
      <c r="GL147">
        <v>27.3232</v>
      </c>
      <c r="GM147">
        <v>1200</v>
      </c>
      <c r="GN147">
        <v>19.4378</v>
      </c>
      <c r="GO147">
        <v>101.061</v>
      </c>
      <c r="GP147">
        <v>96.2141</v>
      </c>
    </row>
    <row r="148" spans="1:198">
      <c r="A148">
        <v>132</v>
      </c>
      <c r="B148">
        <v>1773203961.1</v>
      </c>
      <c r="C148">
        <v>7861.099999904633</v>
      </c>
      <c r="D148" t="s">
        <v>597</v>
      </c>
      <c r="E148" t="s">
        <v>598</v>
      </c>
      <c r="F148">
        <v>15</v>
      </c>
      <c r="G148">
        <v>1773203953.099999</v>
      </c>
      <c r="H148">
        <f>(I148)/1000</f>
        <v>0</v>
      </c>
      <c r="I148">
        <f>1000*AY148*AG148*(AU148-AV148)/(100*AN148*(1000-AG148*AU148))</f>
        <v>0</v>
      </c>
      <c r="J148">
        <f>AY148*AG148*(AT148-AS148*(1000-AG148*AV148)/(1000-AG148*AU148))/(100*AN148)</f>
        <v>0</v>
      </c>
      <c r="K148">
        <f>AS148 - IF(AG148&gt;1, J148*AN148*100.0/(AI148), 0)</f>
        <v>0</v>
      </c>
      <c r="L148">
        <f>((R148-H148/2)*K148-J148)/(R148+H148/2)</f>
        <v>0</v>
      </c>
      <c r="M148">
        <f>L148*(AZ148+BA148)/1000.0</f>
        <v>0</v>
      </c>
      <c r="N148">
        <f>(AS148 - IF(AG148&gt;1, J148*AN148*100.0/(AI148), 0))*(AZ148+BA148)/1000.0</f>
        <v>0</v>
      </c>
      <c r="O148">
        <f>2.0/((1/Q148-1/P148)+SIGN(Q148)*SQRT((1/Q148-1/P148)*(1/Q148-1/P148) + 4*AO148/((AO148+1)*(AO148+1))*(2*1/Q148*1/P148-1/P148*1/P148)))</f>
        <v>0</v>
      </c>
      <c r="P148">
        <f>IF(LEFT(AP148,1)&lt;&gt;"0",IF(LEFT(AP148,1)="1",3.0,AQ148),$D$5+$E$5*(BG148*AZ148/($K$5*1000))+$F$5*(BG148*AZ148/($K$5*1000))*MAX(MIN(AN148,$J$5),$I$5)*MAX(MIN(AN148,$J$5),$I$5)+$G$5*MAX(MIN(AN148,$J$5),$I$5)*(BG148*AZ148/($K$5*1000))+$H$5*(BG148*AZ148/($K$5*1000))*(BG148*AZ148/($K$5*1000)))</f>
        <v>0</v>
      </c>
      <c r="Q148">
        <f>H148*(1000-(1000*0.61365*exp(17.502*U148/(240.97+U148))/(AZ148+BA148)+AU148)/2)/(1000*0.61365*exp(17.502*U148/(240.97+U148))/(AZ148+BA148)-AU148)</f>
        <v>0</v>
      </c>
      <c r="R148">
        <f>1/((AO148+1)/(O148/1.6)+1/(P148/1.37)) + AO148/((AO148+1)/(O148/1.6) + AO148/(P148/1.37))</f>
        <v>0</v>
      </c>
      <c r="S148">
        <f>(AJ148*AM148)</f>
        <v>0</v>
      </c>
      <c r="T148">
        <f>(BB148+(S148+2*0.95*5.67E-8*(((BB148+$B$7)+273)^4-(BB148+273)^4)-44100*H148)/(1.84*29.3*P148+8*0.95*5.67E-8*(BB148+273)^3))</f>
        <v>0</v>
      </c>
      <c r="U148">
        <f>($C$7*BC148+$D$7*BD148+$E$7*T148)</f>
        <v>0</v>
      </c>
      <c r="V148">
        <f>0.61365*exp(17.502*U148/(240.97+U148))</f>
        <v>0</v>
      </c>
      <c r="W148">
        <f>(X148/Y148*100)</f>
        <v>0</v>
      </c>
      <c r="X148">
        <f>AU148*(AZ148+BA148)/1000</f>
        <v>0</v>
      </c>
      <c r="Y148">
        <f>0.61365*exp(17.502*BB148/(240.97+BB148))</f>
        <v>0</v>
      </c>
      <c r="Z148">
        <f>(V148-AU148*(AZ148+BA148)/1000)</f>
        <v>0</v>
      </c>
      <c r="AA148">
        <f>(-H148*44100)</f>
        <v>0</v>
      </c>
      <c r="AB148">
        <f>2*29.3*P148*0.92*(BB148-U148)</f>
        <v>0</v>
      </c>
      <c r="AC148">
        <f>2*0.95*5.67E-8*(((BB148+$B$7)+273)^4-(U148+273)^4)</f>
        <v>0</v>
      </c>
      <c r="AD148">
        <f>S148+AC148+AA148+AB148</f>
        <v>0</v>
      </c>
      <c r="AE148">
        <v>0</v>
      </c>
      <c r="AF148">
        <v>0</v>
      </c>
      <c r="AG148">
        <f>IF(AE148*$H$13&gt;=AI148,1.0,(AI148/(AI148-AE148*$H$13)))</f>
        <v>0</v>
      </c>
      <c r="AH148">
        <f>(AG148-1)*100</f>
        <v>0</v>
      </c>
      <c r="AI148">
        <f>MAX(0,($B$13+$C$13*BG148)/(1+$D$13*BG148)*AZ148/(BB148+273)*$E$13)</f>
        <v>0</v>
      </c>
      <c r="AJ148">
        <f>$B$11*BH148+$C$11*BI148+$D$11*BT148</f>
        <v>0</v>
      </c>
      <c r="AK148">
        <f>AJ148*AL148</f>
        <v>0</v>
      </c>
      <c r="AL148">
        <f>($B$11*$D$9+$C$11*$D$9+$D$11*(BU148*$E$9+BV148*$G$9))/($B$11+$C$11+$D$11)</f>
        <v>0</v>
      </c>
      <c r="AM148">
        <f>($B$11*$K$9+$C$11*$K$9+$D$11*(BU148*$L$9+BV148*$N$9))/($B$11+$C$11+$D$11)</f>
        <v>0</v>
      </c>
      <c r="AN148">
        <v>3</v>
      </c>
      <c r="AO148">
        <v>0.5</v>
      </c>
      <c r="AP148" t="s">
        <v>331</v>
      </c>
      <c r="AQ148">
        <v>2</v>
      </c>
      <c r="AR148">
        <v>1773203953.099999</v>
      </c>
      <c r="AS148">
        <v>421.1940322580645</v>
      </c>
      <c r="AT148">
        <v>419.0699032258065</v>
      </c>
      <c r="AU148">
        <v>11.39289032258064</v>
      </c>
      <c r="AV148">
        <v>11.25352580645161</v>
      </c>
      <c r="AW148">
        <v>414.9627419354839</v>
      </c>
      <c r="AX148">
        <v>11.3123</v>
      </c>
      <c r="AY148">
        <v>500.0274838709678</v>
      </c>
      <c r="AZ148">
        <v>100.1232258064516</v>
      </c>
      <c r="BA148">
        <v>0.0458266935483871</v>
      </c>
      <c r="BB148">
        <v>30.79190322580645</v>
      </c>
      <c r="BC148">
        <v>31.0518064516129</v>
      </c>
      <c r="BD148">
        <v>999.9000000000003</v>
      </c>
      <c r="BE148">
        <v>0</v>
      </c>
      <c r="BF148">
        <v>0</v>
      </c>
      <c r="BG148">
        <v>5008.758064516129</v>
      </c>
      <c r="BH148">
        <v>1.045681935483871</v>
      </c>
      <c r="BI148">
        <v>2154.571612903226</v>
      </c>
      <c r="BJ148">
        <v>2.124294193548387</v>
      </c>
      <c r="BK148">
        <v>426.0480322580645</v>
      </c>
      <c r="BL148">
        <v>423.8395483870968</v>
      </c>
      <c r="BM148">
        <v>0.1393615483870968</v>
      </c>
      <c r="BN148">
        <v>419.0699032258065</v>
      </c>
      <c r="BO148">
        <v>11.25352580645161</v>
      </c>
      <c r="BP148">
        <v>1.140693225806452</v>
      </c>
      <c r="BQ148">
        <v>1.12673935483871</v>
      </c>
      <c r="BR148">
        <v>8.849251612903227</v>
      </c>
      <c r="BS148">
        <v>8.667255483870967</v>
      </c>
      <c r="BT148">
        <v>0</v>
      </c>
      <c r="BU148">
        <v>0</v>
      </c>
      <c r="BV148">
        <v>0</v>
      </c>
      <c r="BW148">
        <v>35</v>
      </c>
      <c r="BX148">
        <v>43</v>
      </c>
      <c r="BY148">
        <v>1773196010</v>
      </c>
      <c r="BZ148" t="s">
        <v>332</v>
      </c>
      <c r="CA148">
        <v>1773196010</v>
      </c>
      <c r="CB148">
        <v>1773196005.5</v>
      </c>
      <c r="CC148">
        <v>2</v>
      </c>
      <c r="CD148">
        <v>-0.279</v>
      </c>
      <c r="CE148">
        <v>-0.021</v>
      </c>
      <c r="CF148">
        <v>6.231</v>
      </c>
      <c r="CG148">
        <v>0.081</v>
      </c>
      <c r="CH148">
        <v>432</v>
      </c>
      <c r="CI148">
        <v>21</v>
      </c>
      <c r="CJ148">
        <v>0.03</v>
      </c>
      <c r="CK148">
        <v>0.06</v>
      </c>
      <c r="CL148">
        <v>419.0669677419355</v>
      </c>
      <c r="CM148">
        <v>0.4022419354823938</v>
      </c>
      <c r="CN148">
        <v>0.05766727918368647</v>
      </c>
      <c r="CO148">
        <v>-1</v>
      </c>
      <c r="CP148">
        <v>500.0301612903226</v>
      </c>
      <c r="CQ148">
        <v>0.2489999999991459</v>
      </c>
      <c r="CR148">
        <v>0.0554041437685122</v>
      </c>
      <c r="CS148">
        <v>-1</v>
      </c>
      <c r="CT148">
        <v>0</v>
      </c>
      <c r="CU148">
        <v>0</v>
      </c>
      <c r="CV148" t="s">
        <v>333</v>
      </c>
      <c r="CW148">
        <v>3.17067</v>
      </c>
      <c r="CX148">
        <v>2.66659</v>
      </c>
      <c r="CY148">
        <v>0.0988001</v>
      </c>
      <c r="CZ148">
        <v>0.0995929</v>
      </c>
      <c r="DA148">
        <v>0.06436</v>
      </c>
      <c r="DB148">
        <v>0.0638425</v>
      </c>
      <c r="DC148">
        <v>21332.7</v>
      </c>
      <c r="DD148">
        <v>21907.4</v>
      </c>
      <c r="DE148">
        <v>22822.8</v>
      </c>
      <c r="DF148">
        <v>22276.1</v>
      </c>
      <c r="DG148">
        <v>32294.3</v>
      </c>
      <c r="DH148">
        <v>29377.1</v>
      </c>
      <c r="DI148">
        <v>40171.9</v>
      </c>
      <c r="DJ148">
        <v>36845.7</v>
      </c>
      <c r="DK148">
        <v>2.02608</v>
      </c>
      <c r="DL148">
        <v>1.50072</v>
      </c>
      <c r="DM148">
        <v>-0.07928010000000001</v>
      </c>
      <c r="DN148">
        <v>0</v>
      </c>
      <c r="DO148">
        <v>32.3561</v>
      </c>
      <c r="DP148">
        <v>999.9</v>
      </c>
      <c r="DQ148">
        <v>22.8</v>
      </c>
      <c r="DR148">
        <v>45.7</v>
      </c>
      <c r="DS148">
        <v>22.7559</v>
      </c>
      <c r="DT148">
        <v>29.9464</v>
      </c>
      <c r="DU148">
        <v>14.0865</v>
      </c>
      <c r="DV148">
        <v>1</v>
      </c>
      <c r="DW148">
        <v>0.88652</v>
      </c>
      <c r="DX148">
        <v>4.14179</v>
      </c>
      <c r="DY148">
        <v>20.3024</v>
      </c>
      <c r="DZ148">
        <v>5.20723</v>
      </c>
      <c r="EA148">
        <v>11.8547</v>
      </c>
      <c r="EB148">
        <v>4.96684</v>
      </c>
      <c r="EC148">
        <v>3.2923</v>
      </c>
      <c r="ED148">
        <v>879.4</v>
      </c>
      <c r="EE148">
        <v>9999</v>
      </c>
      <c r="EF148">
        <v>9999</v>
      </c>
      <c r="EG148">
        <v>78.2</v>
      </c>
      <c r="EH148">
        <v>4.97159</v>
      </c>
      <c r="EI148">
        <v>1.8721</v>
      </c>
      <c r="EJ148">
        <v>1.86949</v>
      </c>
      <c r="EK148">
        <v>1.8718</v>
      </c>
      <c r="EL148">
        <v>1.86957</v>
      </c>
      <c r="EM148">
        <v>1.86841</v>
      </c>
      <c r="EN148">
        <v>1.87019</v>
      </c>
      <c r="EO148">
        <v>1.87195</v>
      </c>
      <c r="EP148">
        <v>0</v>
      </c>
      <c r="EQ148">
        <v>0</v>
      </c>
      <c r="ER148">
        <v>0</v>
      </c>
      <c r="ES148">
        <v>0</v>
      </c>
      <c r="ET148" t="s">
        <v>334</v>
      </c>
      <c r="EU148" t="s">
        <v>335</v>
      </c>
      <c r="EV148" t="s">
        <v>336</v>
      </c>
      <c r="EW148" t="s">
        <v>336</v>
      </c>
      <c r="EX148" t="s">
        <v>336</v>
      </c>
      <c r="EY148" t="s">
        <v>336</v>
      </c>
      <c r="EZ148">
        <v>0</v>
      </c>
      <c r="FA148">
        <v>100</v>
      </c>
      <c r="FB148">
        <v>100</v>
      </c>
      <c r="FC148">
        <v>6.231</v>
      </c>
      <c r="FD148">
        <v>0.0806</v>
      </c>
      <c r="FE148">
        <v>6.23135000000002</v>
      </c>
      <c r="FF148">
        <v>0</v>
      </c>
      <c r="FG148">
        <v>0</v>
      </c>
      <c r="FH148">
        <v>0</v>
      </c>
      <c r="FI148">
        <v>0.08059047619047632</v>
      </c>
      <c r="FJ148">
        <v>0</v>
      </c>
      <c r="FK148">
        <v>0</v>
      </c>
      <c r="FL148">
        <v>0</v>
      </c>
      <c r="FM148">
        <v>-1</v>
      </c>
      <c r="FN148">
        <v>-1</v>
      </c>
      <c r="FO148">
        <v>-1</v>
      </c>
      <c r="FP148">
        <v>-1</v>
      </c>
      <c r="FQ148">
        <v>132.5</v>
      </c>
      <c r="FR148">
        <v>132.6</v>
      </c>
      <c r="FS148">
        <v>0.140381</v>
      </c>
      <c r="FT148">
        <v>4.99756</v>
      </c>
      <c r="FU148">
        <v>1.5979</v>
      </c>
      <c r="FV148">
        <v>2.10693</v>
      </c>
      <c r="FW148">
        <v>1.54785</v>
      </c>
      <c r="FX148">
        <v>2.4707</v>
      </c>
      <c r="FY148">
        <v>46.7084</v>
      </c>
      <c r="FZ148">
        <v>15.3754</v>
      </c>
      <c r="GA148">
        <v>3</v>
      </c>
      <c r="GB148">
        <v>520.083</v>
      </c>
      <c r="GC148">
        <v>290.966</v>
      </c>
      <c r="GD148">
        <v>27.3915</v>
      </c>
      <c r="GE148">
        <v>37.8575</v>
      </c>
      <c r="GF148">
        <v>30.0016</v>
      </c>
      <c r="GG148">
        <v>37.789</v>
      </c>
      <c r="GH148">
        <v>37.7869</v>
      </c>
      <c r="GI148">
        <v>-1</v>
      </c>
      <c r="GJ148">
        <v>100</v>
      </c>
      <c r="GK148">
        <v>0</v>
      </c>
      <c r="GL148">
        <v>27.3519</v>
      </c>
      <c r="GM148">
        <v>1200</v>
      </c>
      <c r="GN148">
        <v>19.4378</v>
      </c>
      <c r="GO148">
        <v>101.062</v>
      </c>
      <c r="GP148">
        <v>96.2144</v>
      </c>
    </row>
    <row r="149" spans="1:198">
      <c r="A149">
        <v>133</v>
      </c>
      <c r="B149">
        <v>1773204021.1</v>
      </c>
      <c r="C149">
        <v>7921.099999904633</v>
      </c>
      <c r="D149" t="s">
        <v>599</v>
      </c>
      <c r="E149" t="s">
        <v>600</v>
      </c>
      <c r="F149">
        <v>15</v>
      </c>
      <c r="G149">
        <v>1773204013.099999</v>
      </c>
      <c r="H149">
        <f>(I149)/1000</f>
        <v>0</v>
      </c>
      <c r="I149">
        <f>1000*AY149*AG149*(AU149-AV149)/(100*AN149*(1000-AG149*AU149))</f>
        <v>0</v>
      </c>
      <c r="J149">
        <f>AY149*AG149*(AT149-AS149*(1000-AG149*AV149)/(1000-AG149*AU149))/(100*AN149)</f>
        <v>0</v>
      </c>
      <c r="K149">
        <f>AS149 - IF(AG149&gt;1, J149*AN149*100.0/(AI149), 0)</f>
        <v>0</v>
      </c>
      <c r="L149">
        <f>((R149-H149/2)*K149-J149)/(R149+H149/2)</f>
        <v>0</v>
      </c>
      <c r="M149">
        <f>L149*(AZ149+BA149)/1000.0</f>
        <v>0</v>
      </c>
      <c r="N149">
        <f>(AS149 - IF(AG149&gt;1, J149*AN149*100.0/(AI149), 0))*(AZ149+BA149)/1000.0</f>
        <v>0</v>
      </c>
      <c r="O149">
        <f>2.0/((1/Q149-1/P149)+SIGN(Q149)*SQRT((1/Q149-1/P149)*(1/Q149-1/P149) + 4*AO149/((AO149+1)*(AO149+1))*(2*1/Q149*1/P149-1/P149*1/P149)))</f>
        <v>0</v>
      </c>
      <c r="P149">
        <f>IF(LEFT(AP149,1)&lt;&gt;"0",IF(LEFT(AP149,1)="1",3.0,AQ149),$D$5+$E$5*(BG149*AZ149/($K$5*1000))+$F$5*(BG149*AZ149/($K$5*1000))*MAX(MIN(AN149,$J$5),$I$5)*MAX(MIN(AN149,$J$5),$I$5)+$G$5*MAX(MIN(AN149,$J$5),$I$5)*(BG149*AZ149/($K$5*1000))+$H$5*(BG149*AZ149/($K$5*1000))*(BG149*AZ149/($K$5*1000)))</f>
        <v>0</v>
      </c>
      <c r="Q149">
        <f>H149*(1000-(1000*0.61365*exp(17.502*U149/(240.97+U149))/(AZ149+BA149)+AU149)/2)/(1000*0.61365*exp(17.502*U149/(240.97+U149))/(AZ149+BA149)-AU149)</f>
        <v>0</v>
      </c>
      <c r="R149">
        <f>1/((AO149+1)/(O149/1.6)+1/(P149/1.37)) + AO149/((AO149+1)/(O149/1.6) + AO149/(P149/1.37))</f>
        <v>0</v>
      </c>
      <c r="S149">
        <f>(AJ149*AM149)</f>
        <v>0</v>
      </c>
      <c r="T149">
        <f>(BB149+(S149+2*0.95*5.67E-8*(((BB149+$B$7)+273)^4-(BB149+273)^4)-44100*H149)/(1.84*29.3*P149+8*0.95*5.67E-8*(BB149+273)^3))</f>
        <v>0</v>
      </c>
      <c r="U149">
        <f>($C$7*BC149+$D$7*BD149+$E$7*T149)</f>
        <v>0</v>
      </c>
      <c r="V149">
        <f>0.61365*exp(17.502*U149/(240.97+U149))</f>
        <v>0</v>
      </c>
      <c r="W149">
        <f>(X149/Y149*100)</f>
        <v>0</v>
      </c>
      <c r="X149">
        <f>AU149*(AZ149+BA149)/1000</f>
        <v>0</v>
      </c>
      <c r="Y149">
        <f>0.61365*exp(17.502*BB149/(240.97+BB149))</f>
        <v>0</v>
      </c>
      <c r="Z149">
        <f>(V149-AU149*(AZ149+BA149)/1000)</f>
        <v>0</v>
      </c>
      <c r="AA149">
        <f>(-H149*44100)</f>
        <v>0</v>
      </c>
      <c r="AB149">
        <f>2*29.3*P149*0.92*(BB149-U149)</f>
        <v>0</v>
      </c>
      <c r="AC149">
        <f>2*0.95*5.67E-8*(((BB149+$B$7)+273)^4-(U149+273)^4)</f>
        <v>0</v>
      </c>
      <c r="AD149">
        <f>S149+AC149+AA149+AB149</f>
        <v>0</v>
      </c>
      <c r="AE149">
        <v>0</v>
      </c>
      <c r="AF149">
        <v>0</v>
      </c>
      <c r="AG149">
        <f>IF(AE149*$H$13&gt;=AI149,1.0,(AI149/(AI149-AE149*$H$13)))</f>
        <v>0</v>
      </c>
      <c r="AH149">
        <f>(AG149-1)*100</f>
        <v>0</v>
      </c>
      <c r="AI149">
        <f>MAX(0,($B$13+$C$13*BG149)/(1+$D$13*BG149)*AZ149/(BB149+273)*$E$13)</f>
        <v>0</v>
      </c>
      <c r="AJ149">
        <f>$B$11*BH149+$C$11*BI149+$D$11*BT149</f>
        <v>0</v>
      </c>
      <c r="AK149">
        <f>AJ149*AL149</f>
        <v>0</v>
      </c>
      <c r="AL149">
        <f>($B$11*$D$9+$C$11*$D$9+$D$11*(BU149*$E$9+BV149*$G$9))/($B$11+$C$11+$D$11)</f>
        <v>0</v>
      </c>
      <c r="AM149">
        <f>($B$11*$K$9+$C$11*$K$9+$D$11*(BU149*$L$9+BV149*$N$9))/($B$11+$C$11+$D$11)</f>
        <v>0</v>
      </c>
      <c r="AN149">
        <v>3</v>
      </c>
      <c r="AO149">
        <v>0.5</v>
      </c>
      <c r="AP149" t="s">
        <v>331</v>
      </c>
      <c r="AQ149">
        <v>2</v>
      </c>
      <c r="AR149">
        <v>1773204013.099999</v>
      </c>
      <c r="AS149">
        <v>420.9550967741936</v>
      </c>
      <c r="AT149">
        <v>418.7718709677418</v>
      </c>
      <c r="AU149">
        <v>11.41823548387097</v>
      </c>
      <c r="AV149">
        <v>11.27563225806452</v>
      </c>
      <c r="AW149">
        <v>414.7237419354839</v>
      </c>
      <c r="AX149">
        <v>11.33764193548387</v>
      </c>
      <c r="AY149">
        <v>500.0131935483871</v>
      </c>
      <c r="AZ149">
        <v>100.1237741935484</v>
      </c>
      <c r="BA149">
        <v>0.04638882580645162</v>
      </c>
      <c r="BB149">
        <v>30.77206451612903</v>
      </c>
      <c r="BC149">
        <v>31.0224870967742</v>
      </c>
      <c r="BD149">
        <v>999.9000000000003</v>
      </c>
      <c r="BE149">
        <v>0</v>
      </c>
      <c r="BF149">
        <v>0</v>
      </c>
      <c r="BG149">
        <v>5004.16129032258</v>
      </c>
      <c r="BH149">
        <v>1.020650322580645</v>
      </c>
      <c r="BI149">
        <v>2144.209677419355</v>
      </c>
      <c r="BJ149">
        <v>2.183316451612903</v>
      </c>
      <c r="BK149">
        <v>425.8172580645162</v>
      </c>
      <c r="BL149">
        <v>423.5474838709677</v>
      </c>
      <c r="BM149">
        <v>0.1426137419354839</v>
      </c>
      <c r="BN149">
        <v>418.7718709677418</v>
      </c>
      <c r="BO149">
        <v>11.27563225806452</v>
      </c>
      <c r="BP149">
        <v>1.143236129032258</v>
      </c>
      <c r="BQ149">
        <v>1.128957096774194</v>
      </c>
      <c r="BR149">
        <v>8.882200322580646</v>
      </c>
      <c r="BS149">
        <v>8.69629806451613</v>
      </c>
      <c r="BT149">
        <v>0</v>
      </c>
      <c r="BU149">
        <v>0</v>
      </c>
      <c r="BV149">
        <v>0</v>
      </c>
      <c r="BW149">
        <v>35</v>
      </c>
      <c r="BX149">
        <v>42</v>
      </c>
      <c r="BY149">
        <v>1773196010</v>
      </c>
      <c r="BZ149" t="s">
        <v>332</v>
      </c>
      <c r="CA149">
        <v>1773196010</v>
      </c>
      <c r="CB149">
        <v>1773196005.5</v>
      </c>
      <c r="CC149">
        <v>2</v>
      </c>
      <c r="CD149">
        <v>-0.279</v>
      </c>
      <c r="CE149">
        <v>-0.021</v>
      </c>
      <c r="CF149">
        <v>6.231</v>
      </c>
      <c r="CG149">
        <v>0.081</v>
      </c>
      <c r="CH149">
        <v>432</v>
      </c>
      <c r="CI149">
        <v>21</v>
      </c>
      <c r="CJ149">
        <v>0.03</v>
      </c>
      <c r="CK149">
        <v>0.06</v>
      </c>
      <c r="CL149">
        <v>418.7787741935483</v>
      </c>
      <c r="CM149">
        <v>-0.45430645161417</v>
      </c>
      <c r="CN149">
        <v>0.03567208150000339</v>
      </c>
      <c r="CO149">
        <v>-1</v>
      </c>
      <c r="CP149">
        <v>500.014064516129</v>
      </c>
      <c r="CQ149">
        <v>0.01016129032259356</v>
      </c>
      <c r="CR149">
        <v>0.03504829431574469</v>
      </c>
      <c r="CS149">
        <v>-1</v>
      </c>
      <c r="CT149">
        <v>0</v>
      </c>
      <c r="CU149">
        <v>0</v>
      </c>
      <c r="CV149" t="s">
        <v>333</v>
      </c>
      <c r="CW149">
        <v>3.1708</v>
      </c>
      <c r="CX149">
        <v>2.66729</v>
      </c>
      <c r="CY149">
        <v>0.0987358</v>
      </c>
      <c r="CZ149">
        <v>0.0995182</v>
      </c>
      <c r="DA149">
        <v>0.06444469999999999</v>
      </c>
      <c r="DB149">
        <v>0.0639253</v>
      </c>
      <c r="DC149">
        <v>21332.4</v>
      </c>
      <c r="DD149">
        <v>21907.7</v>
      </c>
      <c r="DE149">
        <v>22820.9</v>
      </c>
      <c r="DF149">
        <v>22274.7</v>
      </c>
      <c r="DG149">
        <v>32289.1</v>
      </c>
      <c r="DH149">
        <v>29372.4</v>
      </c>
      <c r="DI149">
        <v>40169</v>
      </c>
      <c r="DJ149">
        <v>36843</v>
      </c>
      <c r="DK149">
        <v>2.02584</v>
      </c>
      <c r="DL149">
        <v>1.50066</v>
      </c>
      <c r="DM149">
        <v>-0.0804782</v>
      </c>
      <c r="DN149">
        <v>0</v>
      </c>
      <c r="DO149">
        <v>32.3236</v>
      </c>
      <c r="DP149">
        <v>999.9</v>
      </c>
      <c r="DQ149">
        <v>22.7</v>
      </c>
      <c r="DR149">
        <v>45.7</v>
      </c>
      <c r="DS149">
        <v>22.654</v>
      </c>
      <c r="DT149">
        <v>30.1564</v>
      </c>
      <c r="DU149">
        <v>14.0024</v>
      </c>
      <c r="DV149">
        <v>1</v>
      </c>
      <c r="DW149">
        <v>0.888864</v>
      </c>
      <c r="DX149">
        <v>3.95701</v>
      </c>
      <c r="DY149">
        <v>20.3081</v>
      </c>
      <c r="DZ149">
        <v>5.20639</v>
      </c>
      <c r="EA149">
        <v>11.8552</v>
      </c>
      <c r="EB149">
        <v>4.96752</v>
      </c>
      <c r="EC149">
        <v>3.29292</v>
      </c>
      <c r="ED149">
        <v>879.4</v>
      </c>
      <c r="EE149">
        <v>9999</v>
      </c>
      <c r="EF149">
        <v>9999</v>
      </c>
      <c r="EG149">
        <v>78.2</v>
      </c>
      <c r="EH149">
        <v>4.97157</v>
      </c>
      <c r="EI149">
        <v>1.8721</v>
      </c>
      <c r="EJ149">
        <v>1.86948</v>
      </c>
      <c r="EK149">
        <v>1.8718</v>
      </c>
      <c r="EL149">
        <v>1.86953</v>
      </c>
      <c r="EM149">
        <v>1.86837</v>
      </c>
      <c r="EN149">
        <v>1.87016</v>
      </c>
      <c r="EO149">
        <v>1.87195</v>
      </c>
      <c r="EP149">
        <v>0</v>
      </c>
      <c r="EQ149">
        <v>0</v>
      </c>
      <c r="ER149">
        <v>0</v>
      </c>
      <c r="ES149">
        <v>0</v>
      </c>
      <c r="ET149" t="s">
        <v>334</v>
      </c>
      <c r="EU149" t="s">
        <v>335</v>
      </c>
      <c r="EV149" t="s">
        <v>336</v>
      </c>
      <c r="EW149" t="s">
        <v>336</v>
      </c>
      <c r="EX149" t="s">
        <v>336</v>
      </c>
      <c r="EY149" t="s">
        <v>336</v>
      </c>
      <c r="EZ149">
        <v>0</v>
      </c>
      <c r="FA149">
        <v>100</v>
      </c>
      <c r="FB149">
        <v>100</v>
      </c>
      <c r="FC149">
        <v>6.231</v>
      </c>
      <c r="FD149">
        <v>0.0806</v>
      </c>
      <c r="FE149">
        <v>6.23135000000002</v>
      </c>
      <c r="FF149">
        <v>0</v>
      </c>
      <c r="FG149">
        <v>0</v>
      </c>
      <c r="FH149">
        <v>0</v>
      </c>
      <c r="FI149">
        <v>0.08059047619047632</v>
      </c>
      <c r="FJ149">
        <v>0</v>
      </c>
      <c r="FK149">
        <v>0</v>
      </c>
      <c r="FL149">
        <v>0</v>
      </c>
      <c r="FM149">
        <v>-1</v>
      </c>
      <c r="FN149">
        <v>-1</v>
      </c>
      <c r="FO149">
        <v>-1</v>
      </c>
      <c r="FP149">
        <v>-1</v>
      </c>
      <c r="FQ149">
        <v>133.5</v>
      </c>
      <c r="FR149">
        <v>133.6</v>
      </c>
      <c r="FS149">
        <v>0.141602</v>
      </c>
      <c r="FT149">
        <v>4.99756</v>
      </c>
      <c r="FU149">
        <v>1.5979</v>
      </c>
      <c r="FV149">
        <v>2.10815</v>
      </c>
      <c r="FW149">
        <v>1.54785</v>
      </c>
      <c r="FX149">
        <v>2.45605</v>
      </c>
      <c r="FY149">
        <v>46.7084</v>
      </c>
      <c r="FZ149">
        <v>15.3666</v>
      </c>
      <c r="GA149">
        <v>3</v>
      </c>
      <c r="GB149">
        <v>520.011</v>
      </c>
      <c r="GC149">
        <v>290.979</v>
      </c>
      <c r="GD149">
        <v>27.393</v>
      </c>
      <c r="GE149">
        <v>37.8806</v>
      </c>
      <c r="GF149">
        <v>30</v>
      </c>
      <c r="GG149">
        <v>37.8001</v>
      </c>
      <c r="GH149">
        <v>37.7976</v>
      </c>
      <c r="GI149">
        <v>-1</v>
      </c>
      <c r="GJ149">
        <v>100</v>
      </c>
      <c r="GK149">
        <v>0</v>
      </c>
      <c r="GL149">
        <v>27.4026</v>
      </c>
      <c r="GM149">
        <v>1200</v>
      </c>
      <c r="GN149">
        <v>19.4378</v>
      </c>
      <c r="GO149">
        <v>101.055</v>
      </c>
      <c r="GP149">
        <v>96.20780000000001</v>
      </c>
    </row>
    <row r="150" spans="1:198">
      <c r="A150">
        <v>134</v>
      </c>
      <c r="B150">
        <v>1773204081.1</v>
      </c>
      <c r="C150">
        <v>7981.099999904633</v>
      </c>
      <c r="D150" t="s">
        <v>601</v>
      </c>
      <c r="E150" t="s">
        <v>602</v>
      </c>
      <c r="F150">
        <v>15</v>
      </c>
      <c r="G150">
        <v>1773204073.099999</v>
      </c>
      <c r="H150">
        <f>(I150)/1000</f>
        <v>0</v>
      </c>
      <c r="I150">
        <f>1000*AY150*AG150*(AU150-AV150)/(100*AN150*(1000-AG150*AU150))</f>
        <v>0</v>
      </c>
      <c r="J150">
        <f>AY150*AG150*(AT150-AS150*(1000-AG150*AV150)/(1000-AG150*AU150))/(100*AN150)</f>
        <v>0</v>
      </c>
      <c r="K150">
        <f>AS150 - IF(AG150&gt;1, J150*AN150*100.0/(AI150), 0)</f>
        <v>0</v>
      </c>
      <c r="L150">
        <f>((R150-H150/2)*K150-J150)/(R150+H150/2)</f>
        <v>0</v>
      </c>
      <c r="M150">
        <f>L150*(AZ150+BA150)/1000.0</f>
        <v>0</v>
      </c>
      <c r="N150">
        <f>(AS150 - IF(AG150&gt;1, J150*AN150*100.0/(AI150), 0))*(AZ150+BA150)/1000.0</f>
        <v>0</v>
      </c>
      <c r="O150">
        <f>2.0/((1/Q150-1/P150)+SIGN(Q150)*SQRT((1/Q150-1/P150)*(1/Q150-1/P150) + 4*AO150/((AO150+1)*(AO150+1))*(2*1/Q150*1/P150-1/P150*1/P150)))</f>
        <v>0</v>
      </c>
      <c r="P150">
        <f>IF(LEFT(AP150,1)&lt;&gt;"0",IF(LEFT(AP150,1)="1",3.0,AQ150),$D$5+$E$5*(BG150*AZ150/($K$5*1000))+$F$5*(BG150*AZ150/($K$5*1000))*MAX(MIN(AN150,$J$5),$I$5)*MAX(MIN(AN150,$J$5),$I$5)+$G$5*MAX(MIN(AN150,$J$5),$I$5)*(BG150*AZ150/($K$5*1000))+$H$5*(BG150*AZ150/($K$5*1000))*(BG150*AZ150/($K$5*1000)))</f>
        <v>0</v>
      </c>
      <c r="Q150">
        <f>H150*(1000-(1000*0.61365*exp(17.502*U150/(240.97+U150))/(AZ150+BA150)+AU150)/2)/(1000*0.61365*exp(17.502*U150/(240.97+U150))/(AZ150+BA150)-AU150)</f>
        <v>0</v>
      </c>
      <c r="R150">
        <f>1/((AO150+1)/(O150/1.6)+1/(P150/1.37)) + AO150/((AO150+1)/(O150/1.6) + AO150/(P150/1.37))</f>
        <v>0</v>
      </c>
      <c r="S150">
        <f>(AJ150*AM150)</f>
        <v>0</v>
      </c>
      <c r="T150">
        <f>(BB150+(S150+2*0.95*5.67E-8*(((BB150+$B$7)+273)^4-(BB150+273)^4)-44100*H150)/(1.84*29.3*P150+8*0.95*5.67E-8*(BB150+273)^3))</f>
        <v>0</v>
      </c>
      <c r="U150">
        <f>($C$7*BC150+$D$7*BD150+$E$7*T150)</f>
        <v>0</v>
      </c>
      <c r="V150">
        <f>0.61365*exp(17.502*U150/(240.97+U150))</f>
        <v>0</v>
      </c>
      <c r="W150">
        <f>(X150/Y150*100)</f>
        <v>0</v>
      </c>
      <c r="X150">
        <f>AU150*(AZ150+BA150)/1000</f>
        <v>0</v>
      </c>
      <c r="Y150">
        <f>0.61365*exp(17.502*BB150/(240.97+BB150))</f>
        <v>0</v>
      </c>
      <c r="Z150">
        <f>(V150-AU150*(AZ150+BA150)/1000)</f>
        <v>0</v>
      </c>
      <c r="AA150">
        <f>(-H150*44100)</f>
        <v>0</v>
      </c>
      <c r="AB150">
        <f>2*29.3*P150*0.92*(BB150-U150)</f>
        <v>0</v>
      </c>
      <c r="AC150">
        <f>2*0.95*5.67E-8*(((BB150+$B$7)+273)^4-(U150+273)^4)</f>
        <v>0</v>
      </c>
      <c r="AD150">
        <f>S150+AC150+AA150+AB150</f>
        <v>0</v>
      </c>
      <c r="AE150">
        <v>0</v>
      </c>
      <c r="AF150">
        <v>0</v>
      </c>
      <c r="AG150">
        <f>IF(AE150*$H$13&gt;=AI150,1.0,(AI150/(AI150-AE150*$H$13)))</f>
        <v>0</v>
      </c>
      <c r="AH150">
        <f>(AG150-1)*100</f>
        <v>0</v>
      </c>
      <c r="AI150">
        <f>MAX(0,($B$13+$C$13*BG150)/(1+$D$13*BG150)*AZ150/(BB150+273)*$E$13)</f>
        <v>0</v>
      </c>
      <c r="AJ150">
        <f>$B$11*BH150+$C$11*BI150+$D$11*BT150</f>
        <v>0</v>
      </c>
      <c r="AK150">
        <f>AJ150*AL150</f>
        <v>0</v>
      </c>
      <c r="AL150">
        <f>($B$11*$D$9+$C$11*$D$9+$D$11*(BU150*$E$9+BV150*$G$9))/($B$11+$C$11+$D$11)</f>
        <v>0</v>
      </c>
      <c r="AM150">
        <f>($B$11*$K$9+$C$11*$K$9+$D$11*(BU150*$L$9+BV150*$N$9))/($B$11+$C$11+$D$11)</f>
        <v>0</v>
      </c>
      <c r="AN150">
        <v>3</v>
      </c>
      <c r="AO150">
        <v>0.5</v>
      </c>
      <c r="AP150" t="s">
        <v>331</v>
      </c>
      <c r="AQ150">
        <v>2</v>
      </c>
      <c r="AR150">
        <v>1773204073.099999</v>
      </c>
      <c r="AS150">
        <v>420.7286774193548</v>
      </c>
      <c r="AT150">
        <v>418.6334193548388</v>
      </c>
      <c r="AU150">
        <v>11.45859032258064</v>
      </c>
      <c r="AV150">
        <v>11.31808064516129</v>
      </c>
      <c r="AW150">
        <v>414.4973225806452</v>
      </c>
      <c r="AX150">
        <v>11.37799354838709</v>
      </c>
      <c r="AY150">
        <v>500.0300645161291</v>
      </c>
      <c r="AZ150">
        <v>100.1302903225806</v>
      </c>
      <c r="BA150">
        <v>0.04528209677419354</v>
      </c>
      <c r="BB150">
        <v>30.81277096774194</v>
      </c>
      <c r="BC150">
        <v>31.0714935483871</v>
      </c>
      <c r="BD150">
        <v>999.9000000000003</v>
      </c>
      <c r="BE150">
        <v>0</v>
      </c>
      <c r="BF150">
        <v>0</v>
      </c>
      <c r="BG150">
        <v>5001.129032258064</v>
      </c>
      <c r="BH150">
        <v>1.008752258064516</v>
      </c>
      <c r="BI150">
        <v>2151.668387096774</v>
      </c>
      <c r="BJ150">
        <v>2.095176129032258</v>
      </c>
      <c r="BK150">
        <v>425.6054838709678</v>
      </c>
      <c r="BL150">
        <v>423.4258387096775</v>
      </c>
      <c r="BM150">
        <v>0.1404986774193548</v>
      </c>
      <c r="BN150">
        <v>418.6334193548388</v>
      </c>
      <c r="BO150">
        <v>11.31808064516129</v>
      </c>
      <c r="BP150">
        <v>1.147350967741935</v>
      </c>
      <c r="BQ150">
        <v>1.133282258064516</v>
      </c>
      <c r="BR150">
        <v>8.935398709677418</v>
      </c>
      <c r="BS150">
        <v>8.752840645161292</v>
      </c>
      <c r="BT150">
        <v>0</v>
      </c>
      <c r="BU150">
        <v>0</v>
      </c>
      <c r="BV150">
        <v>0</v>
      </c>
      <c r="BW150">
        <v>35</v>
      </c>
      <c r="BX150">
        <v>41.0043</v>
      </c>
      <c r="BY150">
        <v>1773196010</v>
      </c>
      <c r="BZ150" t="s">
        <v>332</v>
      </c>
      <c r="CA150">
        <v>1773196010</v>
      </c>
      <c r="CB150">
        <v>1773196005.5</v>
      </c>
      <c r="CC150">
        <v>2</v>
      </c>
      <c r="CD150">
        <v>-0.279</v>
      </c>
      <c r="CE150">
        <v>-0.021</v>
      </c>
      <c r="CF150">
        <v>6.231</v>
      </c>
      <c r="CG150">
        <v>0.081</v>
      </c>
      <c r="CH150">
        <v>432</v>
      </c>
      <c r="CI150">
        <v>21</v>
      </c>
      <c r="CJ150">
        <v>0.03</v>
      </c>
      <c r="CK150">
        <v>0.06</v>
      </c>
      <c r="CL150">
        <v>418.6266129032259</v>
      </c>
      <c r="CM150">
        <v>0.397693548387049</v>
      </c>
      <c r="CN150">
        <v>0.03577860003694694</v>
      </c>
      <c r="CO150">
        <v>-1</v>
      </c>
      <c r="CP150">
        <v>500.0222258064517</v>
      </c>
      <c r="CQ150">
        <v>1.078887096773784</v>
      </c>
      <c r="CR150">
        <v>0.1111731313784007</v>
      </c>
      <c r="CS150">
        <v>-1</v>
      </c>
      <c r="CT150">
        <v>0</v>
      </c>
      <c r="CU150">
        <v>0</v>
      </c>
      <c r="CV150" t="s">
        <v>333</v>
      </c>
      <c r="CW150">
        <v>3.17087</v>
      </c>
      <c r="CX150">
        <v>2.66674</v>
      </c>
      <c r="CY150">
        <v>0.09871679999999999</v>
      </c>
      <c r="CZ150">
        <v>0.0995127</v>
      </c>
      <c r="DA150">
        <v>0.0646294</v>
      </c>
      <c r="DB150">
        <v>0.06411219999999999</v>
      </c>
      <c r="DC150">
        <v>21330.8</v>
      </c>
      <c r="DD150">
        <v>21906.2</v>
      </c>
      <c r="DE150">
        <v>22818.8</v>
      </c>
      <c r="DF150">
        <v>22273.1</v>
      </c>
      <c r="DG150">
        <v>32279.8</v>
      </c>
      <c r="DH150">
        <v>29364.6</v>
      </c>
      <c r="DI150">
        <v>40165.4</v>
      </c>
      <c r="DJ150">
        <v>36840.7</v>
      </c>
      <c r="DK150">
        <v>2.02566</v>
      </c>
      <c r="DL150">
        <v>1.50054</v>
      </c>
      <c r="DM150">
        <v>-0.0769734</v>
      </c>
      <c r="DN150">
        <v>0</v>
      </c>
      <c r="DO150">
        <v>32.3275</v>
      </c>
      <c r="DP150">
        <v>999.9</v>
      </c>
      <c r="DQ150">
        <v>22.5</v>
      </c>
      <c r="DR150">
        <v>45.7</v>
      </c>
      <c r="DS150">
        <v>22.4528</v>
      </c>
      <c r="DT150">
        <v>30.2464</v>
      </c>
      <c r="DU150">
        <v>14.0224</v>
      </c>
      <c r="DV150">
        <v>1</v>
      </c>
      <c r="DW150">
        <v>0.893435</v>
      </c>
      <c r="DX150">
        <v>4.2368</v>
      </c>
      <c r="DY150">
        <v>20.2998</v>
      </c>
      <c r="DZ150">
        <v>5.21058</v>
      </c>
      <c r="EA150">
        <v>11.8554</v>
      </c>
      <c r="EB150">
        <v>4.96708</v>
      </c>
      <c r="EC150">
        <v>3.2929</v>
      </c>
      <c r="ED150">
        <v>879.4</v>
      </c>
      <c r="EE150">
        <v>9999</v>
      </c>
      <c r="EF150">
        <v>9999</v>
      </c>
      <c r="EG150">
        <v>78.2</v>
      </c>
      <c r="EH150">
        <v>4.97158</v>
      </c>
      <c r="EI150">
        <v>1.8721</v>
      </c>
      <c r="EJ150">
        <v>1.86947</v>
      </c>
      <c r="EK150">
        <v>1.87179</v>
      </c>
      <c r="EL150">
        <v>1.86953</v>
      </c>
      <c r="EM150">
        <v>1.86834</v>
      </c>
      <c r="EN150">
        <v>1.87014</v>
      </c>
      <c r="EO150">
        <v>1.87195</v>
      </c>
      <c r="EP150">
        <v>0</v>
      </c>
      <c r="EQ150">
        <v>0</v>
      </c>
      <c r="ER150">
        <v>0</v>
      </c>
      <c r="ES150">
        <v>0</v>
      </c>
      <c r="ET150" t="s">
        <v>334</v>
      </c>
      <c r="EU150" t="s">
        <v>335</v>
      </c>
      <c r="EV150" t="s">
        <v>336</v>
      </c>
      <c r="EW150" t="s">
        <v>336</v>
      </c>
      <c r="EX150" t="s">
        <v>336</v>
      </c>
      <c r="EY150" t="s">
        <v>336</v>
      </c>
      <c r="EZ150">
        <v>0</v>
      </c>
      <c r="FA150">
        <v>100</v>
      </c>
      <c r="FB150">
        <v>100</v>
      </c>
      <c r="FC150">
        <v>6.231</v>
      </c>
      <c r="FD150">
        <v>0.0806</v>
      </c>
      <c r="FE150">
        <v>6.23135000000002</v>
      </c>
      <c r="FF150">
        <v>0</v>
      </c>
      <c r="FG150">
        <v>0</v>
      </c>
      <c r="FH150">
        <v>0</v>
      </c>
      <c r="FI150">
        <v>0.08059047619047632</v>
      </c>
      <c r="FJ150">
        <v>0</v>
      </c>
      <c r="FK150">
        <v>0</v>
      </c>
      <c r="FL150">
        <v>0</v>
      </c>
      <c r="FM150">
        <v>-1</v>
      </c>
      <c r="FN150">
        <v>-1</v>
      </c>
      <c r="FO150">
        <v>-1</v>
      </c>
      <c r="FP150">
        <v>-1</v>
      </c>
      <c r="FQ150">
        <v>134.5</v>
      </c>
      <c r="FR150">
        <v>134.6</v>
      </c>
      <c r="FS150">
        <v>0.140381</v>
      </c>
      <c r="FT150">
        <v>4.99756</v>
      </c>
      <c r="FU150">
        <v>1.5979</v>
      </c>
      <c r="FV150">
        <v>2.10693</v>
      </c>
      <c r="FW150">
        <v>1.54785</v>
      </c>
      <c r="FX150">
        <v>2.45117</v>
      </c>
      <c r="FY150">
        <v>46.7084</v>
      </c>
      <c r="FZ150">
        <v>15.3579</v>
      </c>
      <c r="GA150">
        <v>3</v>
      </c>
      <c r="GB150">
        <v>519.998</v>
      </c>
      <c r="GC150">
        <v>290.964</v>
      </c>
      <c r="GD150">
        <v>27.3461</v>
      </c>
      <c r="GE150">
        <v>37.9049</v>
      </c>
      <c r="GF150">
        <v>30.0001</v>
      </c>
      <c r="GG150">
        <v>37.8142</v>
      </c>
      <c r="GH150">
        <v>37.8083</v>
      </c>
      <c r="GI150">
        <v>-1</v>
      </c>
      <c r="GJ150">
        <v>100</v>
      </c>
      <c r="GK150">
        <v>0</v>
      </c>
      <c r="GL150">
        <v>27.3387</v>
      </c>
      <c r="GM150">
        <v>1200</v>
      </c>
      <c r="GN150">
        <v>19.4378</v>
      </c>
      <c r="GO150">
        <v>101.046</v>
      </c>
      <c r="GP150">
        <v>96.2013</v>
      </c>
    </row>
    <row r="151" spans="1:198">
      <c r="A151">
        <v>135</v>
      </c>
      <c r="B151">
        <v>1773204141.1</v>
      </c>
      <c r="C151">
        <v>8041.099999904633</v>
      </c>
      <c r="D151" t="s">
        <v>603</v>
      </c>
      <c r="E151" t="s">
        <v>604</v>
      </c>
      <c r="F151">
        <v>15</v>
      </c>
      <c r="G151">
        <v>1773204133.099999</v>
      </c>
      <c r="H151">
        <f>(I151)/1000</f>
        <v>0</v>
      </c>
      <c r="I151">
        <f>1000*AY151*AG151*(AU151-AV151)/(100*AN151*(1000-AG151*AU151))</f>
        <v>0</v>
      </c>
      <c r="J151">
        <f>AY151*AG151*(AT151-AS151*(1000-AG151*AV151)/(1000-AG151*AU151))/(100*AN151)</f>
        <v>0</v>
      </c>
      <c r="K151">
        <f>AS151 - IF(AG151&gt;1, J151*AN151*100.0/(AI151), 0)</f>
        <v>0</v>
      </c>
      <c r="L151">
        <f>((R151-H151/2)*K151-J151)/(R151+H151/2)</f>
        <v>0</v>
      </c>
      <c r="M151">
        <f>L151*(AZ151+BA151)/1000.0</f>
        <v>0</v>
      </c>
      <c r="N151">
        <f>(AS151 - IF(AG151&gt;1, J151*AN151*100.0/(AI151), 0))*(AZ151+BA151)/1000.0</f>
        <v>0</v>
      </c>
      <c r="O151">
        <f>2.0/((1/Q151-1/P151)+SIGN(Q151)*SQRT((1/Q151-1/P151)*(1/Q151-1/P151) + 4*AO151/((AO151+1)*(AO151+1))*(2*1/Q151*1/P151-1/P151*1/P151)))</f>
        <v>0</v>
      </c>
      <c r="P151">
        <f>IF(LEFT(AP151,1)&lt;&gt;"0",IF(LEFT(AP151,1)="1",3.0,AQ151),$D$5+$E$5*(BG151*AZ151/($K$5*1000))+$F$5*(BG151*AZ151/($K$5*1000))*MAX(MIN(AN151,$J$5),$I$5)*MAX(MIN(AN151,$J$5),$I$5)+$G$5*MAX(MIN(AN151,$J$5),$I$5)*(BG151*AZ151/($K$5*1000))+$H$5*(BG151*AZ151/($K$5*1000))*(BG151*AZ151/($K$5*1000)))</f>
        <v>0</v>
      </c>
      <c r="Q151">
        <f>H151*(1000-(1000*0.61365*exp(17.502*U151/(240.97+U151))/(AZ151+BA151)+AU151)/2)/(1000*0.61365*exp(17.502*U151/(240.97+U151))/(AZ151+BA151)-AU151)</f>
        <v>0</v>
      </c>
      <c r="R151">
        <f>1/((AO151+1)/(O151/1.6)+1/(P151/1.37)) + AO151/((AO151+1)/(O151/1.6) + AO151/(P151/1.37))</f>
        <v>0</v>
      </c>
      <c r="S151">
        <f>(AJ151*AM151)</f>
        <v>0</v>
      </c>
      <c r="T151">
        <f>(BB151+(S151+2*0.95*5.67E-8*(((BB151+$B$7)+273)^4-(BB151+273)^4)-44100*H151)/(1.84*29.3*P151+8*0.95*5.67E-8*(BB151+273)^3))</f>
        <v>0</v>
      </c>
      <c r="U151">
        <f>($C$7*BC151+$D$7*BD151+$E$7*T151)</f>
        <v>0</v>
      </c>
      <c r="V151">
        <f>0.61365*exp(17.502*U151/(240.97+U151))</f>
        <v>0</v>
      </c>
      <c r="W151">
        <f>(X151/Y151*100)</f>
        <v>0</v>
      </c>
      <c r="X151">
        <f>AU151*(AZ151+BA151)/1000</f>
        <v>0</v>
      </c>
      <c r="Y151">
        <f>0.61365*exp(17.502*BB151/(240.97+BB151))</f>
        <v>0</v>
      </c>
      <c r="Z151">
        <f>(V151-AU151*(AZ151+BA151)/1000)</f>
        <v>0</v>
      </c>
      <c r="AA151">
        <f>(-H151*44100)</f>
        <v>0</v>
      </c>
      <c r="AB151">
        <f>2*29.3*P151*0.92*(BB151-U151)</f>
        <v>0</v>
      </c>
      <c r="AC151">
        <f>2*0.95*5.67E-8*(((BB151+$B$7)+273)^4-(U151+273)^4)</f>
        <v>0</v>
      </c>
      <c r="AD151">
        <f>S151+AC151+AA151+AB151</f>
        <v>0</v>
      </c>
      <c r="AE151">
        <v>0</v>
      </c>
      <c r="AF151">
        <v>0</v>
      </c>
      <c r="AG151">
        <f>IF(AE151*$H$13&gt;=AI151,1.0,(AI151/(AI151-AE151*$H$13)))</f>
        <v>0</v>
      </c>
      <c r="AH151">
        <f>(AG151-1)*100</f>
        <v>0</v>
      </c>
      <c r="AI151">
        <f>MAX(0,($B$13+$C$13*BG151)/(1+$D$13*BG151)*AZ151/(BB151+273)*$E$13)</f>
        <v>0</v>
      </c>
      <c r="AJ151">
        <f>$B$11*BH151+$C$11*BI151+$D$11*BT151</f>
        <v>0</v>
      </c>
      <c r="AK151">
        <f>AJ151*AL151</f>
        <v>0</v>
      </c>
      <c r="AL151">
        <f>($B$11*$D$9+$C$11*$D$9+$D$11*(BU151*$E$9+BV151*$G$9))/($B$11+$C$11+$D$11)</f>
        <v>0</v>
      </c>
      <c r="AM151">
        <f>($B$11*$K$9+$C$11*$K$9+$D$11*(BU151*$L$9+BV151*$N$9))/($B$11+$C$11+$D$11)</f>
        <v>0</v>
      </c>
      <c r="AN151">
        <v>3</v>
      </c>
      <c r="AO151">
        <v>0.5</v>
      </c>
      <c r="AP151" t="s">
        <v>331</v>
      </c>
      <c r="AQ151">
        <v>2</v>
      </c>
      <c r="AR151">
        <v>1773204133.099999</v>
      </c>
      <c r="AS151">
        <v>420.9122903225806</v>
      </c>
      <c r="AT151">
        <v>418.777</v>
      </c>
      <c r="AU151">
        <v>11.51428387096774</v>
      </c>
      <c r="AV151">
        <v>11.38394838709677</v>
      </c>
      <c r="AW151">
        <v>414.6809677419354</v>
      </c>
      <c r="AX151">
        <v>11.43369032258065</v>
      </c>
      <c r="AY151">
        <v>500.0173548387098</v>
      </c>
      <c r="AZ151">
        <v>100.1246129032258</v>
      </c>
      <c r="BA151">
        <v>0.0451329870967742</v>
      </c>
      <c r="BB151">
        <v>30.785</v>
      </c>
      <c r="BC151">
        <v>31.0608935483871</v>
      </c>
      <c r="BD151">
        <v>999.9000000000003</v>
      </c>
      <c r="BE151">
        <v>0</v>
      </c>
      <c r="BF151">
        <v>0</v>
      </c>
      <c r="BG151">
        <v>4992.790322580645</v>
      </c>
      <c r="BH151">
        <v>1.016829709677419</v>
      </c>
      <c r="BI151">
        <v>2150.151935483871</v>
      </c>
      <c r="BJ151">
        <v>2.135346129032258</v>
      </c>
      <c r="BK151">
        <v>425.8152580645162</v>
      </c>
      <c r="BL151">
        <v>423.5992580645161</v>
      </c>
      <c r="BM151">
        <v>0.1303294838709678</v>
      </c>
      <c r="BN151">
        <v>418.777</v>
      </c>
      <c r="BO151">
        <v>11.38394838709677</v>
      </c>
      <c r="BP151">
        <v>1.152862580645161</v>
      </c>
      <c r="BQ151">
        <v>1.139813548387097</v>
      </c>
      <c r="BR151">
        <v>9.006386451612903</v>
      </c>
      <c r="BS151">
        <v>8.837834838709679</v>
      </c>
      <c r="BT151">
        <v>0</v>
      </c>
      <c r="BU151">
        <v>0</v>
      </c>
      <c r="BV151">
        <v>0</v>
      </c>
      <c r="BW151">
        <v>35</v>
      </c>
      <c r="BX151">
        <v>40.47849032258065</v>
      </c>
      <c r="BY151">
        <v>1773196010</v>
      </c>
      <c r="BZ151" t="s">
        <v>332</v>
      </c>
      <c r="CA151">
        <v>1773196010</v>
      </c>
      <c r="CB151">
        <v>1773196005.5</v>
      </c>
      <c r="CC151">
        <v>2</v>
      </c>
      <c r="CD151">
        <v>-0.279</v>
      </c>
      <c r="CE151">
        <v>-0.021</v>
      </c>
      <c r="CF151">
        <v>6.231</v>
      </c>
      <c r="CG151">
        <v>0.081</v>
      </c>
      <c r="CH151">
        <v>432</v>
      </c>
      <c r="CI151">
        <v>21</v>
      </c>
      <c r="CJ151">
        <v>0.03</v>
      </c>
      <c r="CK151">
        <v>0.06</v>
      </c>
      <c r="CL151">
        <v>418.7794838709676</v>
      </c>
      <c r="CM151">
        <v>-0.05995161290347036</v>
      </c>
      <c r="CN151">
        <v>0.01608419574482112</v>
      </c>
      <c r="CO151">
        <v>-1</v>
      </c>
      <c r="CP151">
        <v>500.0147741935484</v>
      </c>
      <c r="CQ151">
        <v>0.1778709677404298</v>
      </c>
      <c r="CR151">
        <v>0.02989736171057841</v>
      </c>
      <c r="CS151">
        <v>-1</v>
      </c>
      <c r="CT151">
        <v>0</v>
      </c>
      <c r="CU151">
        <v>0</v>
      </c>
      <c r="CV151" t="s">
        <v>333</v>
      </c>
      <c r="CW151">
        <v>3.1709</v>
      </c>
      <c r="CX151">
        <v>2.66649</v>
      </c>
      <c r="CY151">
        <v>0.0987323</v>
      </c>
      <c r="CZ151">
        <v>0.099522</v>
      </c>
      <c r="DA151">
        <v>0.0648884</v>
      </c>
      <c r="DB151">
        <v>0.06442589999999999</v>
      </c>
      <c r="DC151">
        <v>21329.4</v>
      </c>
      <c r="DD151">
        <v>21905.4</v>
      </c>
      <c r="DE151">
        <v>22817.9</v>
      </c>
      <c r="DF151">
        <v>22272.6</v>
      </c>
      <c r="DG151">
        <v>32269.9</v>
      </c>
      <c r="DH151">
        <v>29354.1</v>
      </c>
      <c r="DI151">
        <v>40164.3</v>
      </c>
      <c r="DJ151">
        <v>36839.8</v>
      </c>
      <c r="DK151">
        <v>2.02538</v>
      </c>
      <c r="DL151">
        <v>1.50082</v>
      </c>
      <c r="DM151">
        <v>-0.0834823</v>
      </c>
      <c r="DN151">
        <v>0</v>
      </c>
      <c r="DO151">
        <v>32.4059</v>
      </c>
      <c r="DP151">
        <v>999.9</v>
      </c>
      <c r="DQ151">
        <v>22.6</v>
      </c>
      <c r="DR151">
        <v>45.7</v>
      </c>
      <c r="DS151">
        <v>22.5526</v>
      </c>
      <c r="DT151">
        <v>30.1564</v>
      </c>
      <c r="DU151">
        <v>14.1787</v>
      </c>
      <c r="DV151">
        <v>1</v>
      </c>
      <c r="DW151">
        <v>0.895057</v>
      </c>
      <c r="DX151">
        <v>4.11362</v>
      </c>
      <c r="DY151">
        <v>20.3038</v>
      </c>
      <c r="DZ151">
        <v>5.20926</v>
      </c>
      <c r="EA151">
        <v>11.8553</v>
      </c>
      <c r="EB151">
        <v>4.96724</v>
      </c>
      <c r="EC151">
        <v>3.293</v>
      </c>
      <c r="ED151">
        <v>879.4</v>
      </c>
      <c r="EE151">
        <v>9999</v>
      </c>
      <c r="EF151">
        <v>9999</v>
      </c>
      <c r="EG151">
        <v>78.3</v>
      </c>
      <c r="EH151">
        <v>4.97157</v>
      </c>
      <c r="EI151">
        <v>1.8721</v>
      </c>
      <c r="EJ151">
        <v>1.86945</v>
      </c>
      <c r="EK151">
        <v>1.87179</v>
      </c>
      <c r="EL151">
        <v>1.86953</v>
      </c>
      <c r="EM151">
        <v>1.8683</v>
      </c>
      <c r="EN151">
        <v>1.87013</v>
      </c>
      <c r="EO151">
        <v>1.87195</v>
      </c>
      <c r="EP151">
        <v>0</v>
      </c>
      <c r="EQ151">
        <v>0</v>
      </c>
      <c r="ER151">
        <v>0</v>
      </c>
      <c r="ES151">
        <v>0</v>
      </c>
      <c r="ET151" t="s">
        <v>334</v>
      </c>
      <c r="EU151" t="s">
        <v>335</v>
      </c>
      <c r="EV151" t="s">
        <v>336</v>
      </c>
      <c r="EW151" t="s">
        <v>336</v>
      </c>
      <c r="EX151" t="s">
        <v>336</v>
      </c>
      <c r="EY151" t="s">
        <v>336</v>
      </c>
      <c r="EZ151">
        <v>0</v>
      </c>
      <c r="FA151">
        <v>100</v>
      </c>
      <c r="FB151">
        <v>100</v>
      </c>
      <c r="FC151">
        <v>6.232</v>
      </c>
      <c r="FD151">
        <v>0.0806</v>
      </c>
      <c r="FE151">
        <v>6.23135000000002</v>
      </c>
      <c r="FF151">
        <v>0</v>
      </c>
      <c r="FG151">
        <v>0</v>
      </c>
      <c r="FH151">
        <v>0</v>
      </c>
      <c r="FI151">
        <v>0.08059047619047632</v>
      </c>
      <c r="FJ151">
        <v>0</v>
      </c>
      <c r="FK151">
        <v>0</v>
      </c>
      <c r="FL151">
        <v>0</v>
      </c>
      <c r="FM151">
        <v>-1</v>
      </c>
      <c r="FN151">
        <v>-1</v>
      </c>
      <c r="FO151">
        <v>-1</v>
      </c>
      <c r="FP151">
        <v>-1</v>
      </c>
      <c r="FQ151">
        <v>135.5</v>
      </c>
      <c r="FR151">
        <v>135.6</v>
      </c>
      <c r="FS151">
        <v>0.141602</v>
      </c>
      <c r="FT151">
        <v>4.99756</v>
      </c>
      <c r="FU151">
        <v>1.5979</v>
      </c>
      <c r="FV151">
        <v>2.10693</v>
      </c>
      <c r="FW151">
        <v>1.54785</v>
      </c>
      <c r="FX151">
        <v>2.40479</v>
      </c>
      <c r="FY151">
        <v>46.7084</v>
      </c>
      <c r="FZ151">
        <v>15.3491</v>
      </c>
      <c r="GA151">
        <v>3</v>
      </c>
      <c r="GB151">
        <v>519.991</v>
      </c>
      <c r="GC151">
        <v>291.192</v>
      </c>
      <c r="GD151">
        <v>27.3907</v>
      </c>
      <c r="GE151">
        <v>37.9391</v>
      </c>
      <c r="GF151">
        <v>30.0004</v>
      </c>
      <c r="GG151">
        <v>37.8381</v>
      </c>
      <c r="GH151">
        <v>37.8335</v>
      </c>
      <c r="GI151">
        <v>-1</v>
      </c>
      <c r="GJ151">
        <v>100</v>
      </c>
      <c r="GK151">
        <v>0</v>
      </c>
      <c r="GL151">
        <v>27.396</v>
      </c>
      <c r="GM151">
        <v>1200</v>
      </c>
      <c r="GN151">
        <v>19.4378</v>
      </c>
      <c r="GO151">
        <v>101.042</v>
      </c>
      <c r="GP151">
        <v>96.1992</v>
      </c>
    </row>
    <row r="152" spans="1:198">
      <c r="A152">
        <v>136</v>
      </c>
      <c r="B152">
        <v>1773204201.1</v>
      </c>
      <c r="C152">
        <v>8101.099999904633</v>
      </c>
      <c r="D152" t="s">
        <v>605</v>
      </c>
      <c r="E152" t="s">
        <v>606</v>
      </c>
      <c r="F152">
        <v>15</v>
      </c>
      <c r="G152">
        <v>1773204193.099999</v>
      </c>
      <c r="H152">
        <f>(I152)/1000</f>
        <v>0</v>
      </c>
      <c r="I152">
        <f>1000*AY152*AG152*(AU152-AV152)/(100*AN152*(1000-AG152*AU152))</f>
        <v>0</v>
      </c>
      <c r="J152">
        <f>AY152*AG152*(AT152-AS152*(1000-AG152*AV152)/(1000-AG152*AU152))/(100*AN152)</f>
        <v>0</v>
      </c>
      <c r="K152">
        <f>AS152 - IF(AG152&gt;1, J152*AN152*100.0/(AI152), 0)</f>
        <v>0</v>
      </c>
      <c r="L152">
        <f>((R152-H152/2)*K152-J152)/(R152+H152/2)</f>
        <v>0</v>
      </c>
      <c r="M152">
        <f>L152*(AZ152+BA152)/1000.0</f>
        <v>0</v>
      </c>
      <c r="N152">
        <f>(AS152 - IF(AG152&gt;1, J152*AN152*100.0/(AI152), 0))*(AZ152+BA152)/1000.0</f>
        <v>0</v>
      </c>
      <c r="O152">
        <f>2.0/((1/Q152-1/P152)+SIGN(Q152)*SQRT((1/Q152-1/P152)*(1/Q152-1/P152) + 4*AO152/((AO152+1)*(AO152+1))*(2*1/Q152*1/P152-1/P152*1/P152)))</f>
        <v>0</v>
      </c>
      <c r="P152">
        <f>IF(LEFT(AP152,1)&lt;&gt;"0",IF(LEFT(AP152,1)="1",3.0,AQ152),$D$5+$E$5*(BG152*AZ152/($K$5*1000))+$F$5*(BG152*AZ152/($K$5*1000))*MAX(MIN(AN152,$J$5),$I$5)*MAX(MIN(AN152,$J$5),$I$5)+$G$5*MAX(MIN(AN152,$J$5),$I$5)*(BG152*AZ152/($K$5*1000))+$H$5*(BG152*AZ152/($K$5*1000))*(BG152*AZ152/($K$5*1000)))</f>
        <v>0</v>
      </c>
      <c r="Q152">
        <f>H152*(1000-(1000*0.61365*exp(17.502*U152/(240.97+U152))/(AZ152+BA152)+AU152)/2)/(1000*0.61365*exp(17.502*U152/(240.97+U152))/(AZ152+BA152)-AU152)</f>
        <v>0</v>
      </c>
      <c r="R152">
        <f>1/((AO152+1)/(O152/1.6)+1/(P152/1.37)) + AO152/((AO152+1)/(O152/1.6) + AO152/(P152/1.37))</f>
        <v>0</v>
      </c>
      <c r="S152">
        <f>(AJ152*AM152)</f>
        <v>0</v>
      </c>
      <c r="T152">
        <f>(BB152+(S152+2*0.95*5.67E-8*(((BB152+$B$7)+273)^4-(BB152+273)^4)-44100*H152)/(1.84*29.3*P152+8*0.95*5.67E-8*(BB152+273)^3))</f>
        <v>0</v>
      </c>
      <c r="U152">
        <f>($C$7*BC152+$D$7*BD152+$E$7*T152)</f>
        <v>0</v>
      </c>
      <c r="V152">
        <f>0.61365*exp(17.502*U152/(240.97+U152))</f>
        <v>0</v>
      </c>
      <c r="W152">
        <f>(X152/Y152*100)</f>
        <v>0</v>
      </c>
      <c r="X152">
        <f>AU152*(AZ152+BA152)/1000</f>
        <v>0</v>
      </c>
      <c r="Y152">
        <f>0.61365*exp(17.502*BB152/(240.97+BB152))</f>
        <v>0</v>
      </c>
      <c r="Z152">
        <f>(V152-AU152*(AZ152+BA152)/1000)</f>
        <v>0</v>
      </c>
      <c r="AA152">
        <f>(-H152*44100)</f>
        <v>0</v>
      </c>
      <c r="AB152">
        <f>2*29.3*P152*0.92*(BB152-U152)</f>
        <v>0</v>
      </c>
      <c r="AC152">
        <f>2*0.95*5.67E-8*(((BB152+$B$7)+273)^4-(U152+273)^4)</f>
        <v>0</v>
      </c>
      <c r="AD152">
        <f>S152+AC152+AA152+AB152</f>
        <v>0</v>
      </c>
      <c r="AE152">
        <v>0</v>
      </c>
      <c r="AF152">
        <v>0</v>
      </c>
      <c r="AG152">
        <f>IF(AE152*$H$13&gt;=AI152,1.0,(AI152/(AI152-AE152*$H$13)))</f>
        <v>0</v>
      </c>
      <c r="AH152">
        <f>(AG152-1)*100</f>
        <v>0</v>
      </c>
      <c r="AI152">
        <f>MAX(0,($B$13+$C$13*BG152)/(1+$D$13*BG152)*AZ152/(BB152+273)*$E$13)</f>
        <v>0</v>
      </c>
      <c r="AJ152">
        <f>$B$11*BH152+$C$11*BI152+$D$11*BT152</f>
        <v>0</v>
      </c>
      <c r="AK152">
        <f>AJ152*AL152</f>
        <v>0</v>
      </c>
      <c r="AL152">
        <f>($B$11*$D$9+$C$11*$D$9+$D$11*(BU152*$E$9+BV152*$G$9))/($B$11+$C$11+$D$11)</f>
        <v>0</v>
      </c>
      <c r="AM152">
        <f>($B$11*$K$9+$C$11*$K$9+$D$11*(BU152*$L$9+BV152*$N$9))/($B$11+$C$11+$D$11)</f>
        <v>0</v>
      </c>
      <c r="AN152">
        <v>3</v>
      </c>
      <c r="AO152">
        <v>0.5</v>
      </c>
      <c r="AP152" t="s">
        <v>331</v>
      </c>
      <c r="AQ152">
        <v>2</v>
      </c>
      <c r="AR152">
        <v>1773204193.099999</v>
      </c>
      <c r="AS152">
        <v>420.729258064516</v>
      </c>
      <c r="AT152">
        <v>418.5466774193549</v>
      </c>
      <c r="AU152">
        <v>11.61870322580645</v>
      </c>
      <c r="AV152">
        <v>11.49770967741935</v>
      </c>
      <c r="AW152">
        <v>414.4980322580645</v>
      </c>
      <c r="AX152">
        <v>11.53811935483871</v>
      </c>
      <c r="AY152">
        <v>499.9926129032258</v>
      </c>
      <c r="AZ152">
        <v>100.1256774193548</v>
      </c>
      <c r="BA152">
        <v>0.04535788709677418</v>
      </c>
      <c r="BB152">
        <v>30.77714516129032</v>
      </c>
      <c r="BC152">
        <v>31.0598935483871</v>
      </c>
      <c r="BD152">
        <v>999.9000000000003</v>
      </c>
      <c r="BE152">
        <v>0</v>
      </c>
      <c r="BF152">
        <v>0</v>
      </c>
      <c r="BG152">
        <v>4997.612903225807</v>
      </c>
      <c r="BH152">
        <v>1.004590677419355</v>
      </c>
      <c r="BI152">
        <v>2142.655161290323</v>
      </c>
      <c r="BJ152">
        <v>2.182664838709678</v>
      </c>
      <c r="BK152">
        <v>425.6750645161291</v>
      </c>
      <c r="BL152">
        <v>423.4149677419355</v>
      </c>
      <c r="BM152">
        <v>0.120991935483871</v>
      </c>
      <c r="BN152">
        <v>418.5466774193549</v>
      </c>
      <c r="BO152">
        <v>11.49770967741935</v>
      </c>
      <c r="BP152">
        <v>1.16332935483871</v>
      </c>
      <c r="BQ152">
        <v>1.151216129032258</v>
      </c>
      <c r="BR152">
        <v>9.140373548387096</v>
      </c>
      <c r="BS152">
        <v>8.98520129032258</v>
      </c>
      <c r="BT152">
        <v>0</v>
      </c>
      <c r="BU152">
        <v>0</v>
      </c>
      <c r="BV152">
        <v>0</v>
      </c>
      <c r="BW152">
        <v>35</v>
      </c>
      <c r="BX152">
        <v>40</v>
      </c>
      <c r="BY152">
        <v>1773196010</v>
      </c>
      <c r="BZ152" t="s">
        <v>332</v>
      </c>
      <c r="CA152">
        <v>1773196010</v>
      </c>
      <c r="CB152">
        <v>1773196005.5</v>
      </c>
      <c r="CC152">
        <v>2</v>
      </c>
      <c r="CD152">
        <v>-0.279</v>
      </c>
      <c r="CE152">
        <v>-0.021</v>
      </c>
      <c r="CF152">
        <v>6.231</v>
      </c>
      <c r="CG152">
        <v>0.081</v>
      </c>
      <c r="CH152">
        <v>432</v>
      </c>
      <c r="CI152">
        <v>21</v>
      </c>
      <c r="CJ152">
        <v>0.03</v>
      </c>
      <c r="CK152">
        <v>0.06</v>
      </c>
      <c r="CL152">
        <v>418.5482</v>
      </c>
      <c r="CM152">
        <v>-0.3934505005558879</v>
      </c>
      <c r="CN152">
        <v>0.02978075441175859</v>
      </c>
      <c r="CO152">
        <v>-1</v>
      </c>
      <c r="CP152">
        <v>499.991</v>
      </c>
      <c r="CQ152">
        <v>-0.1248320355952333</v>
      </c>
      <c r="CR152">
        <v>0.03399019466454028</v>
      </c>
      <c r="CS152">
        <v>-1</v>
      </c>
      <c r="CT152">
        <v>0</v>
      </c>
      <c r="CU152">
        <v>0</v>
      </c>
      <c r="CV152" t="s">
        <v>333</v>
      </c>
      <c r="CW152">
        <v>3.17102</v>
      </c>
      <c r="CX152">
        <v>2.66653</v>
      </c>
      <c r="CY152">
        <v>0.0986764</v>
      </c>
      <c r="CZ152">
        <v>0.0994568</v>
      </c>
      <c r="DA152">
        <v>0.0653508</v>
      </c>
      <c r="DB152">
        <v>0.064913</v>
      </c>
      <c r="DC152">
        <v>21327.5</v>
      </c>
      <c r="DD152">
        <v>21904</v>
      </c>
      <c r="DE152">
        <v>22814.8</v>
      </c>
      <c r="DF152">
        <v>22269.8</v>
      </c>
      <c r="DG152">
        <v>32249.6</v>
      </c>
      <c r="DH152">
        <v>29334.6</v>
      </c>
      <c r="DI152">
        <v>40158.9</v>
      </c>
      <c r="DJ152">
        <v>36834.7</v>
      </c>
      <c r="DK152">
        <v>2.025</v>
      </c>
      <c r="DL152">
        <v>1.49898</v>
      </c>
      <c r="DM152">
        <v>-0.0838935</v>
      </c>
      <c r="DN152">
        <v>0</v>
      </c>
      <c r="DO152">
        <v>32.4259</v>
      </c>
      <c r="DP152">
        <v>999.9</v>
      </c>
      <c r="DQ152">
        <v>22.7</v>
      </c>
      <c r="DR152">
        <v>45.7</v>
      </c>
      <c r="DS152">
        <v>22.6528</v>
      </c>
      <c r="DT152">
        <v>30.0064</v>
      </c>
      <c r="DU152">
        <v>14.0986</v>
      </c>
      <c r="DV152">
        <v>1</v>
      </c>
      <c r="DW152">
        <v>0.900608</v>
      </c>
      <c r="DX152">
        <v>3.88759</v>
      </c>
      <c r="DY152">
        <v>20.3089</v>
      </c>
      <c r="DZ152">
        <v>5.20974</v>
      </c>
      <c r="EA152">
        <v>11.856</v>
      </c>
      <c r="EB152">
        <v>4.96736</v>
      </c>
      <c r="EC152">
        <v>3.29296</v>
      </c>
      <c r="ED152">
        <v>879.4</v>
      </c>
      <c r="EE152">
        <v>9999</v>
      </c>
      <c r="EF152">
        <v>9999</v>
      </c>
      <c r="EG152">
        <v>78.3</v>
      </c>
      <c r="EH152">
        <v>4.97158</v>
      </c>
      <c r="EI152">
        <v>1.8721</v>
      </c>
      <c r="EJ152">
        <v>1.86948</v>
      </c>
      <c r="EK152">
        <v>1.8718</v>
      </c>
      <c r="EL152">
        <v>1.8696</v>
      </c>
      <c r="EM152">
        <v>1.86834</v>
      </c>
      <c r="EN152">
        <v>1.87019</v>
      </c>
      <c r="EO152">
        <v>1.87195</v>
      </c>
      <c r="EP152">
        <v>0</v>
      </c>
      <c r="EQ152">
        <v>0</v>
      </c>
      <c r="ER152">
        <v>0</v>
      </c>
      <c r="ES152">
        <v>0</v>
      </c>
      <c r="ET152" t="s">
        <v>334</v>
      </c>
      <c r="EU152" t="s">
        <v>335</v>
      </c>
      <c r="EV152" t="s">
        <v>336</v>
      </c>
      <c r="EW152" t="s">
        <v>336</v>
      </c>
      <c r="EX152" t="s">
        <v>336</v>
      </c>
      <c r="EY152" t="s">
        <v>336</v>
      </c>
      <c r="EZ152">
        <v>0</v>
      </c>
      <c r="FA152">
        <v>100</v>
      </c>
      <c r="FB152">
        <v>100</v>
      </c>
      <c r="FC152">
        <v>6.231</v>
      </c>
      <c r="FD152">
        <v>0.0806</v>
      </c>
      <c r="FE152">
        <v>6.23135000000002</v>
      </c>
      <c r="FF152">
        <v>0</v>
      </c>
      <c r="FG152">
        <v>0</v>
      </c>
      <c r="FH152">
        <v>0</v>
      </c>
      <c r="FI152">
        <v>0.08059047619047632</v>
      </c>
      <c r="FJ152">
        <v>0</v>
      </c>
      <c r="FK152">
        <v>0</v>
      </c>
      <c r="FL152">
        <v>0</v>
      </c>
      <c r="FM152">
        <v>-1</v>
      </c>
      <c r="FN152">
        <v>-1</v>
      </c>
      <c r="FO152">
        <v>-1</v>
      </c>
      <c r="FP152">
        <v>-1</v>
      </c>
      <c r="FQ152">
        <v>136.5</v>
      </c>
      <c r="FR152">
        <v>136.6</v>
      </c>
      <c r="FS152">
        <v>0.141602</v>
      </c>
      <c r="FT152">
        <v>4.99756</v>
      </c>
      <c r="FU152">
        <v>1.5979</v>
      </c>
      <c r="FV152">
        <v>2.10815</v>
      </c>
      <c r="FW152">
        <v>1.54785</v>
      </c>
      <c r="FX152">
        <v>2.39014</v>
      </c>
      <c r="FY152">
        <v>46.7969</v>
      </c>
      <c r="FZ152">
        <v>15.3404</v>
      </c>
      <c r="GA152">
        <v>3</v>
      </c>
      <c r="GB152">
        <v>520.187</v>
      </c>
      <c r="GC152">
        <v>290.558</v>
      </c>
      <c r="GD152">
        <v>27.651</v>
      </c>
      <c r="GE152">
        <v>38.0154</v>
      </c>
      <c r="GF152">
        <v>30.0006</v>
      </c>
      <c r="GG152">
        <v>37.8996</v>
      </c>
      <c r="GH152">
        <v>37.893</v>
      </c>
      <c r="GI152">
        <v>-1</v>
      </c>
      <c r="GJ152">
        <v>100</v>
      </c>
      <c r="GK152">
        <v>0</v>
      </c>
      <c r="GL152">
        <v>27.6552</v>
      </c>
      <c r="GM152">
        <v>1200</v>
      </c>
      <c r="GN152">
        <v>19.4378</v>
      </c>
      <c r="GO152">
        <v>101.029</v>
      </c>
      <c r="GP152">
        <v>96.1863</v>
      </c>
    </row>
    <row r="153" spans="1:198">
      <c r="A153">
        <v>137</v>
      </c>
      <c r="B153">
        <v>1773204261.1</v>
      </c>
      <c r="C153">
        <v>8161.099999904633</v>
      </c>
      <c r="D153" t="s">
        <v>607</v>
      </c>
      <c r="E153" t="s">
        <v>608</v>
      </c>
      <c r="F153">
        <v>15</v>
      </c>
      <c r="G153">
        <v>1773204253.099999</v>
      </c>
      <c r="H153">
        <f>(I153)/1000</f>
        <v>0</v>
      </c>
      <c r="I153">
        <f>1000*AY153*AG153*(AU153-AV153)/(100*AN153*(1000-AG153*AU153))</f>
        <v>0</v>
      </c>
      <c r="J153">
        <f>AY153*AG153*(AT153-AS153*(1000-AG153*AV153)/(1000-AG153*AU153))/(100*AN153)</f>
        <v>0</v>
      </c>
      <c r="K153">
        <f>AS153 - IF(AG153&gt;1, J153*AN153*100.0/(AI153), 0)</f>
        <v>0</v>
      </c>
      <c r="L153">
        <f>((R153-H153/2)*K153-J153)/(R153+H153/2)</f>
        <v>0</v>
      </c>
      <c r="M153">
        <f>L153*(AZ153+BA153)/1000.0</f>
        <v>0</v>
      </c>
      <c r="N153">
        <f>(AS153 - IF(AG153&gt;1, J153*AN153*100.0/(AI153), 0))*(AZ153+BA153)/1000.0</f>
        <v>0</v>
      </c>
      <c r="O153">
        <f>2.0/((1/Q153-1/P153)+SIGN(Q153)*SQRT((1/Q153-1/P153)*(1/Q153-1/P153) + 4*AO153/((AO153+1)*(AO153+1))*(2*1/Q153*1/P153-1/P153*1/P153)))</f>
        <v>0</v>
      </c>
      <c r="P153">
        <f>IF(LEFT(AP153,1)&lt;&gt;"0",IF(LEFT(AP153,1)="1",3.0,AQ153),$D$5+$E$5*(BG153*AZ153/($K$5*1000))+$F$5*(BG153*AZ153/($K$5*1000))*MAX(MIN(AN153,$J$5),$I$5)*MAX(MIN(AN153,$J$5),$I$5)+$G$5*MAX(MIN(AN153,$J$5),$I$5)*(BG153*AZ153/($K$5*1000))+$H$5*(BG153*AZ153/($K$5*1000))*(BG153*AZ153/($K$5*1000)))</f>
        <v>0</v>
      </c>
      <c r="Q153">
        <f>H153*(1000-(1000*0.61365*exp(17.502*U153/(240.97+U153))/(AZ153+BA153)+AU153)/2)/(1000*0.61365*exp(17.502*U153/(240.97+U153))/(AZ153+BA153)-AU153)</f>
        <v>0</v>
      </c>
      <c r="R153">
        <f>1/((AO153+1)/(O153/1.6)+1/(P153/1.37)) + AO153/((AO153+1)/(O153/1.6) + AO153/(P153/1.37))</f>
        <v>0</v>
      </c>
      <c r="S153">
        <f>(AJ153*AM153)</f>
        <v>0</v>
      </c>
      <c r="T153">
        <f>(BB153+(S153+2*0.95*5.67E-8*(((BB153+$B$7)+273)^4-(BB153+273)^4)-44100*H153)/(1.84*29.3*P153+8*0.95*5.67E-8*(BB153+273)^3))</f>
        <v>0</v>
      </c>
      <c r="U153">
        <f>($C$7*BC153+$D$7*BD153+$E$7*T153)</f>
        <v>0</v>
      </c>
      <c r="V153">
        <f>0.61365*exp(17.502*U153/(240.97+U153))</f>
        <v>0</v>
      </c>
      <c r="W153">
        <f>(X153/Y153*100)</f>
        <v>0</v>
      </c>
      <c r="X153">
        <f>AU153*(AZ153+BA153)/1000</f>
        <v>0</v>
      </c>
      <c r="Y153">
        <f>0.61365*exp(17.502*BB153/(240.97+BB153))</f>
        <v>0</v>
      </c>
      <c r="Z153">
        <f>(V153-AU153*(AZ153+BA153)/1000)</f>
        <v>0</v>
      </c>
      <c r="AA153">
        <f>(-H153*44100)</f>
        <v>0</v>
      </c>
      <c r="AB153">
        <f>2*29.3*P153*0.92*(BB153-U153)</f>
        <v>0</v>
      </c>
      <c r="AC153">
        <f>2*0.95*5.67E-8*(((BB153+$B$7)+273)^4-(U153+273)^4)</f>
        <v>0</v>
      </c>
      <c r="AD153">
        <f>S153+AC153+AA153+AB153</f>
        <v>0</v>
      </c>
      <c r="AE153">
        <v>0</v>
      </c>
      <c r="AF153">
        <v>0</v>
      </c>
      <c r="AG153">
        <f>IF(AE153*$H$13&gt;=AI153,1.0,(AI153/(AI153-AE153*$H$13)))</f>
        <v>0</v>
      </c>
      <c r="AH153">
        <f>(AG153-1)*100</f>
        <v>0</v>
      </c>
      <c r="AI153">
        <f>MAX(0,($B$13+$C$13*BG153)/(1+$D$13*BG153)*AZ153/(BB153+273)*$E$13)</f>
        <v>0</v>
      </c>
      <c r="AJ153">
        <f>$B$11*BH153+$C$11*BI153+$D$11*BT153</f>
        <v>0</v>
      </c>
      <c r="AK153">
        <f>AJ153*AL153</f>
        <v>0</v>
      </c>
      <c r="AL153">
        <f>($B$11*$D$9+$C$11*$D$9+$D$11*(BU153*$E$9+BV153*$G$9))/($B$11+$C$11+$D$11)</f>
        <v>0</v>
      </c>
      <c r="AM153">
        <f>($B$11*$K$9+$C$11*$K$9+$D$11*(BU153*$L$9+BV153*$N$9))/($B$11+$C$11+$D$11)</f>
        <v>0</v>
      </c>
      <c r="AN153">
        <v>3</v>
      </c>
      <c r="AO153">
        <v>0.5</v>
      </c>
      <c r="AP153" t="s">
        <v>331</v>
      </c>
      <c r="AQ153">
        <v>2</v>
      </c>
      <c r="AR153">
        <v>1773204253.099999</v>
      </c>
      <c r="AS153">
        <v>420.7145483870968</v>
      </c>
      <c r="AT153">
        <v>418.5661290322581</v>
      </c>
      <c r="AU153">
        <v>11.71376774193549</v>
      </c>
      <c r="AV153">
        <v>11.59283548387097</v>
      </c>
      <c r="AW153">
        <v>414.483129032258</v>
      </c>
      <c r="AX153">
        <v>11.63317419354838</v>
      </c>
      <c r="AY153">
        <v>500.0063548387097</v>
      </c>
      <c r="AZ153">
        <v>100.122935483871</v>
      </c>
      <c r="BA153">
        <v>0.04519871612903226</v>
      </c>
      <c r="BB153">
        <v>30.78827741935484</v>
      </c>
      <c r="BC153">
        <v>31.07043225806451</v>
      </c>
      <c r="BD153">
        <v>999.9000000000003</v>
      </c>
      <c r="BE153">
        <v>0</v>
      </c>
      <c r="BF153">
        <v>0</v>
      </c>
      <c r="BG153">
        <v>5010.080645161291</v>
      </c>
      <c r="BH153">
        <v>1.017045838709677</v>
      </c>
      <c r="BI153">
        <v>2147.668709677419</v>
      </c>
      <c r="BJ153">
        <v>2.14846</v>
      </c>
      <c r="BK153">
        <v>425.7011290322582</v>
      </c>
      <c r="BL153">
        <v>423.4753548387097</v>
      </c>
      <c r="BM153">
        <v>0.1209341612903226</v>
      </c>
      <c r="BN153">
        <v>418.5661290322581</v>
      </c>
      <c r="BO153">
        <v>11.59283548387097</v>
      </c>
      <c r="BP153">
        <v>1.172816774193548</v>
      </c>
      <c r="BQ153">
        <v>1.160708064516129</v>
      </c>
      <c r="BR153">
        <v>9.260895161290323</v>
      </c>
      <c r="BS153">
        <v>9.10691258064516</v>
      </c>
      <c r="BT153">
        <v>0</v>
      </c>
      <c r="BU153">
        <v>0</v>
      </c>
      <c r="BV153">
        <v>0</v>
      </c>
      <c r="BW153">
        <v>35.21075161290322</v>
      </c>
      <c r="BX153">
        <v>39.95806774193549</v>
      </c>
      <c r="BY153">
        <v>1773196010</v>
      </c>
      <c r="BZ153" t="s">
        <v>332</v>
      </c>
      <c r="CA153">
        <v>1773196010</v>
      </c>
      <c r="CB153">
        <v>1773196005.5</v>
      </c>
      <c r="CC153">
        <v>2</v>
      </c>
      <c r="CD153">
        <v>-0.279</v>
      </c>
      <c r="CE153">
        <v>-0.021</v>
      </c>
      <c r="CF153">
        <v>6.231</v>
      </c>
      <c r="CG153">
        <v>0.081</v>
      </c>
      <c r="CH153">
        <v>432</v>
      </c>
      <c r="CI153">
        <v>21</v>
      </c>
      <c r="CJ153">
        <v>0.03</v>
      </c>
      <c r="CK153">
        <v>0.06</v>
      </c>
      <c r="CL153">
        <v>418.5661290322581</v>
      </c>
      <c r="CM153">
        <v>-0.4097903225806528</v>
      </c>
      <c r="CN153">
        <v>0.0440613516079006</v>
      </c>
      <c r="CO153">
        <v>-1</v>
      </c>
      <c r="CP153">
        <v>500.0063548387097</v>
      </c>
      <c r="CQ153">
        <v>-0.1424516129040562</v>
      </c>
      <c r="CR153">
        <v>0.03345439687298698</v>
      </c>
      <c r="CS153">
        <v>-1</v>
      </c>
      <c r="CT153">
        <v>0</v>
      </c>
      <c r="CU153">
        <v>0</v>
      </c>
      <c r="CV153" t="s">
        <v>333</v>
      </c>
      <c r="CW153">
        <v>3.17104</v>
      </c>
      <c r="CX153">
        <v>2.66645</v>
      </c>
      <c r="CY153">
        <v>0.0986583</v>
      </c>
      <c r="CZ153">
        <v>0.09943150000000001</v>
      </c>
      <c r="DA153">
        <v>0.0657412</v>
      </c>
      <c r="DB153">
        <v>0.06532010000000001</v>
      </c>
      <c r="DC153">
        <v>21324.4</v>
      </c>
      <c r="DD153">
        <v>21902.1</v>
      </c>
      <c r="DE153">
        <v>22811.3</v>
      </c>
      <c r="DF153">
        <v>22267.5</v>
      </c>
      <c r="DG153">
        <v>32231.5</v>
      </c>
      <c r="DH153">
        <v>29318.6</v>
      </c>
      <c r="DI153">
        <v>40153.4</v>
      </c>
      <c r="DJ153">
        <v>36830.8</v>
      </c>
      <c r="DK153">
        <v>2.02432</v>
      </c>
      <c r="DL153">
        <v>1.4975</v>
      </c>
      <c r="DM153">
        <v>-0.08473990000000001</v>
      </c>
      <c r="DN153">
        <v>0</v>
      </c>
      <c r="DO153">
        <v>32.4387</v>
      </c>
      <c r="DP153">
        <v>999.9</v>
      </c>
      <c r="DQ153">
        <v>22.9</v>
      </c>
      <c r="DR153">
        <v>45.7</v>
      </c>
      <c r="DS153">
        <v>22.8528</v>
      </c>
      <c r="DT153">
        <v>30.1264</v>
      </c>
      <c r="DU153">
        <v>13.9583</v>
      </c>
      <c r="DV153">
        <v>1</v>
      </c>
      <c r="DW153">
        <v>0.909226</v>
      </c>
      <c r="DX153">
        <v>4.09068</v>
      </c>
      <c r="DY153">
        <v>20.3032</v>
      </c>
      <c r="DZ153">
        <v>5.20878</v>
      </c>
      <c r="EA153">
        <v>11.856</v>
      </c>
      <c r="EB153">
        <v>4.9672</v>
      </c>
      <c r="EC153">
        <v>3.29294</v>
      </c>
      <c r="ED153">
        <v>879.4</v>
      </c>
      <c r="EE153">
        <v>9999</v>
      </c>
      <c r="EF153">
        <v>9999</v>
      </c>
      <c r="EG153">
        <v>78.3</v>
      </c>
      <c r="EH153">
        <v>4.97157</v>
      </c>
      <c r="EI153">
        <v>1.8721</v>
      </c>
      <c r="EJ153">
        <v>1.86948</v>
      </c>
      <c r="EK153">
        <v>1.8718</v>
      </c>
      <c r="EL153">
        <v>1.86955</v>
      </c>
      <c r="EM153">
        <v>1.86835</v>
      </c>
      <c r="EN153">
        <v>1.87018</v>
      </c>
      <c r="EO153">
        <v>1.87195</v>
      </c>
      <c r="EP153">
        <v>0</v>
      </c>
      <c r="EQ153">
        <v>0</v>
      </c>
      <c r="ER153">
        <v>0</v>
      </c>
      <c r="ES153">
        <v>0</v>
      </c>
      <c r="ET153" t="s">
        <v>334</v>
      </c>
      <c r="EU153" t="s">
        <v>335</v>
      </c>
      <c r="EV153" t="s">
        <v>336</v>
      </c>
      <c r="EW153" t="s">
        <v>336</v>
      </c>
      <c r="EX153" t="s">
        <v>336</v>
      </c>
      <c r="EY153" t="s">
        <v>336</v>
      </c>
      <c r="EZ153">
        <v>0</v>
      </c>
      <c r="FA153">
        <v>100</v>
      </c>
      <c r="FB153">
        <v>100</v>
      </c>
      <c r="FC153">
        <v>6.231</v>
      </c>
      <c r="FD153">
        <v>0.0806</v>
      </c>
      <c r="FE153">
        <v>6.23135000000002</v>
      </c>
      <c r="FF153">
        <v>0</v>
      </c>
      <c r="FG153">
        <v>0</v>
      </c>
      <c r="FH153">
        <v>0</v>
      </c>
      <c r="FI153">
        <v>0.08059047619047632</v>
      </c>
      <c r="FJ153">
        <v>0</v>
      </c>
      <c r="FK153">
        <v>0</v>
      </c>
      <c r="FL153">
        <v>0</v>
      </c>
      <c r="FM153">
        <v>-1</v>
      </c>
      <c r="FN153">
        <v>-1</v>
      </c>
      <c r="FO153">
        <v>-1</v>
      </c>
      <c r="FP153">
        <v>-1</v>
      </c>
      <c r="FQ153">
        <v>137.5</v>
      </c>
      <c r="FR153">
        <v>137.6</v>
      </c>
      <c r="FS153">
        <v>0.141602</v>
      </c>
      <c r="FT153">
        <v>4.99756</v>
      </c>
      <c r="FU153">
        <v>1.5979</v>
      </c>
      <c r="FV153">
        <v>2.10815</v>
      </c>
      <c r="FW153">
        <v>1.54785</v>
      </c>
      <c r="FX153">
        <v>2.50122</v>
      </c>
      <c r="FY153">
        <v>46.9151</v>
      </c>
      <c r="FZ153">
        <v>15.3404</v>
      </c>
      <c r="GA153">
        <v>3</v>
      </c>
      <c r="GB153">
        <v>520.24</v>
      </c>
      <c r="GC153">
        <v>290.119</v>
      </c>
      <c r="GD153">
        <v>27.5032</v>
      </c>
      <c r="GE153">
        <v>38.0969</v>
      </c>
      <c r="GF153">
        <v>30</v>
      </c>
      <c r="GG153">
        <v>37.9676</v>
      </c>
      <c r="GH153">
        <v>37.9591</v>
      </c>
      <c r="GI153">
        <v>-1</v>
      </c>
      <c r="GJ153">
        <v>100</v>
      </c>
      <c r="GK153">
        <v>0</v>
      </c>
      <c r="GL153">
        <v>27.5224</v>
      </c>
      <c r="GM153">
        <v>1200</v>
      </c>
      <c r="GN153">
        <v>19.4378</v>
      </c>
      <c r="GO153">
        <v>101.014</v>
      </c>
      <c r="GP153">
        <v>96.176</v>
      </c>
    </row>
    <row r="154" spans="1:198">
      <c r="A154">
        <v>138</v>
      </c>
      <c r="B154">
        <v>1773204321.1</v>
      </c>
      <c r="C154">
        <v>8221.099999904633</v>
      </c>
      <c r="D154" t="s">
        <v>609</v>
      </c>
      <c r="E154" t="s">
        <v>610</v>
      </c>
      <c r="F154">
        <v>15</v>
      </c>
      <c r="G154">
        <v>1773204313.099999</v>
      </c>
      <c r="H154">
        <f>(I154)/1000</f>
        <v>0</v>
      </c>
      <c r="I154">
        <f>1000*AY154*AG154*(AU154-AV154)/(100*AN154*(1000-AG154*AU154))</f>
        <v>0</v>
      </c>
      <c r="J154">
        <f>AY154*AG154*(AT154-AS154*(1000-AG154*AV154)/(1000-AG154*AU154))/(100*AN154)</f>
        <v>0</v>
      </c>
      <c r="K154">
        <f>AS154 - IF(AG154&gt;1, J154*AN154*100.0/(AI154), 0)</f>
        <v>0</v>
      </c>
      <c r="L154">
        <f>((R154-H154/2)*K154-J154)/(R154+H154/2)</f>
        <v>0</v>
      </c>
      <c r="M154">
        <f>L154*(AZ154+BA154)/1000.0</f>
        <v>0</v>
      </c>
      <c r="N154">
        <f>(AS154 - IF(AG154&gt;1, J154*AN154*100.0/(AI154), 0))*(AZ154+BA154)/1000.0</f>
        <v>0</v>
      </c>
      <c r="O154">
        <f>2.0/((1/Q154-1/P154)+SIGN(Q154)*SQRT((1/Q154-1/P154)*(1/Q154-1/P154) + 4*AO154/((AO154+1)*(AO154+1))*(2*1/Q154*1/P154-1/P154*1/P154)))</f>
        <v>0</v>
      </c>
      <c r="P154">
        <f>IF(LEFT(AP154,1)&lt;&gt;"0",IF(LEFT(AP154,1)="1",3.0,AQ154),$D$5+$E$5*(BG154*AZ154/($K$5*1000))+$F$5*(BG154*AZ154/($K$5*1000))*MAX(MIN(AN154,$J$5),$I$5)*MAX(MIN(AN154,$J$5),$I$5)+$G$5*MAX(MIN(AN154,$J$5),$I$5)*(BG154*AZ154/($K$5*1000))+$H$5*(BG154*AZ154/($K$5*1000))*(BG154*AZ154/($K$5*1000)))</f>
        <v>0</v>
      </c>
      <c r="Q154">
        <f>H154*(1000-(1000*0.61365*exp(17.502*U154/(240.97+U154))/(AZ154+BA154)+AU154)/2)/(1000*0.61365*exp(17.502*U154/(240.97+U154))/(AZ154+BA154)-AU154)</f>
        <v>0</v>
      </c>
      <c r="R154">
        <f>1/((AO154+1)/(O154/1.6)+1/(P154/1.37)) + AO154/((AO154+1)/(O154/1.6) + AO154/(P154/1.37))</f>
        <v>0</v>
      </c>
      <c r="S154">
        <f>(AJ154*AM154)</f>
        <v>0</v>
      </c>
      <c r="T154">
        <f>(BB154+(S154+2*0.95*5.67E-8*(((BB154+$B$7)+273)^4-(BB154+273)^4)-44100*H154)/(1.84*29.3*P154+8*0.95*5.67E-8*(BB154+273)^3))</f>
        <v>0</v>
      </c>
      <c r="U154">
        <f>($C$7*BC154+$D$7*BD154+$E$7*T154)</f>
        <v>0</v>
      </c>
      <c r="V154">
        <f>0.61365*exp(17.502*U154/(240.97+U154))</f>
        <v>0</v>
      </c>
      <c r="W154">
        <f>(X154/Y154*100)</f>
        <v>0</v>
      </c>
      <c r="X154">
        <f>AU154*(AZ154+BA154)/1000</f>
        <v>0</v>
      </c>
      <c r="Y154">
        <f>0.61365*exp(17.502*BB154/(240.97+BB154))</f>
        <v>0</v>
      </c>
      <c r="Z154">
        <f>(V154-AU154*(AZ154+BA154)/1000)</f>
        <v>0</v>
      </c>
      <c r="AA154">
        <f>(-H154*44100)</f>
        <v>0</v>
      </c>
      <c r="AB154">
        <f>2*29.3*P154*0.92*(BB154-U154)</f>
        <v>0</v>
      </c>
      <c r="AC154">
        <f>2*0.95*5.67E-8*(((BB154+$B$7)+273)^4-(U154+273)^4)</f>
        <v>0</v>
      </c>
      <c r="AD154">
        <f>S154+AC154+AA154+AB154</f>
        <v>0</v>
      </c>
      <c r="AE154">
        <v>0</v>
      </c>
      <c r="AF154">
        <v>0</v>
      </c>
      <c r="AG154">
        <f>IF(AE154*$H$13&gt;=AI154,1.0,(AI154/(AI154-AE154*$H$13)))</f>
        <v>0</v>
      </c>
      <c r="AH154">
        <f>(AG154-1)*100</f>
        <v>0</v>
      </c>
      <c r="AI154">
        <f>MAX(0,($B$13+$C$13*BG154)/(1+$D$13*BG154)*AZ154/(BB154+273)*$E$13)</f>
        <v>0</v>
      </c>
      <c r="AJ154">
        <f>$B$11*BH154+$C$11*BI154+$D$11*BT154</f>
        <v>0</v>
      </c>
      <c r="AK154">
        <f>AJ154*AL154</f>
        <v>0</v>
      </c>
      <c r="AL154">
        <f>($B$11*$D$9+$C$11*$D$9+$D$11*(BU154*$E$9+BV154*$G$9))/($B$11+$C$11+$D$11)</f>
        <v>0</v>
      </c>
      <c r="AM154">
        <f>($B$11*$K$9+$C$11*$K$9+$D$11*(BU154*$L$9+BV154*$N$9))/($B$11+$C$11+$D$11)</f>
        <v>0</v>
      </c>
      <c r="AN154">
        <v>3</v>
      </c>
      <c r="AO154">
        <v>0.5</v>
      </c>
      <c r="AP154" t="s">
        <v>331</v>
      </c>
      <c r="AQ154">
        <v>2</v>
      </c>
      <c r="AR154">
        <v>1773204313.099999</v>
      </c>
      <c r="AS154">
        <v>420.8899032258065</v>
      </c>
      <c r="AT154">
        <v>418.7766451612902</v>
      </c>
      <c r="AU154">
        <v>11.83887741935484</v>
      </c>
      <c r="AV154">
        <v>11.72271612903226</v>
      </c>
      <c r="AW154">
        <v>414.6585483870968</v>
      </c>
      <c r="AX154">
        <v>11.75829032258065</v>
      </c>
      <c r="AY154">
        <v>500.0000322580647</v>
      </c>
      <c r="AZ154">
        <v>100.1172903225806</v>
      </c>
      <c r="BA154">
        <v>0.04512823548387096</v>
      </c>
      <c r="BB154">
        <v>30.82034516129032</v>
      </c>
      <c r="BC154">
        <v>31.10870322580645</v>
      </c>
      <c r="BD154">
        <v>999.9000000000003</v>
      </c>
      <c r="BE154">
        <v>0</v>
      </c>
      <c r="BF154">
        <v>0</v>
      </c>
      <c r="BG154">
        <v>4994.919354838709</v>
      </c>
      <c r="BH154">
        <v>0.9774034516129031</v>
      </c>
      <c r="BI154">
        <v>2119.54</v>
      </c>
      <c r="BJ154">
        <v>2.11329129032258</v>
      </c>
      <c r="BK154">
        <v>425.9324838709677</v>
      </c>
      <c r="BL154">
        <v>423.7440645161291</v>
      </c>
      <c r="BM154">
        <v>0.1161584516129033</v>
      </c>
      <c r="BN154">
        <v>418.7766451612902</v>
      </c>
      <c r="BO154">
        <v>11.72271612903226</v>
      </c>
      <c r="BP154">
        <v>1.185275806451613</v>
      </c>
      <c r="BQ154">
        <v>1.173646774193549</v>
      </c>
      <c r="BR154">
        <v>9.417888064516131</v>
      </c>
      <c r="BS154">
        <v>9.271402258064516</v>
      </c>
      <c r="BT154">
        <v>0</v>
      </c>
      <c r="BU154">
        <v>0</v>
      </c>
      <c r="BV154">
        <v>0</v>
      </c>
      <c r="BW154">
        <v>36</v>
      </c>
      <c r="BX154">
        <v>38.9957</v>
      </c>
      <c r="BY154">
        <v>1773196010</v>
      </c>
      <c r="BZ154" t="s">
        <v>332</v>
      </c>
      <c r="CA154">
        <v>1773196010</v>
      </c>
      <c r="CB154">
        <v>1773196005.5</v>
      </c>
      <c r="CC154">
        <v>2</v>
      </c>
      <c r="CD154">
        <v>-0.279</v>
      </c>
      <c r="CE154">
        <v>-0.021</v>
      </c>
      <c r="CF154">
        <v>6.231</v>
      </c>
      <c r="CG154">
        <v>0.081</v>
      </c>
      <c r="CH154">
        <v>432</v>
      </c>
      <c r="CI154">
        <v>21</v>
      </c>
      <c r="CJ154">
        <v>0.03</v>
      </c>
      <c r="CK154">
        <v>0.06</v>
      </c>
      <c r="CL154">
        <v>418.7766451612902</v>
      </c>
      <c r="CM154">
        <v>0.2373870967742066</v>
      </c>
      <c r="CN154">
        <v>0.01951764856787756</v>
      </c>
      <c r="CO154">
        <v>-1</v>
      </c>
      <c r="CP154">
        <v>500.0000322580647</v>
      </c>
      <c r="CQ154">
        <v>-0.08322580645231994</v>
      </c>
      <c r="CR154">
        <v>0.01824118677337362</v>
      </c>
      <c r="CS154">
        <v>-1</v>
      </c>
      <c r="CT154">
        <v>0</v>
      </c>
      <c r="CU154">
        <v>0</v>
      </c>
      <c r="CV154" t="s">
        <v>333</v>
      </c>
      <c r="CW154">
        <v>3.17108</v>
      </c>
      <c r="CX154">
        <v>2.66687</v>
      </c>
      <c r="CY154">
        <v>0.09867869999999999</v>
      </c>
      <c r="CZ154">
        <v>0.0994756</v>
      </c>
      <c r="DA154">
        <v>0.0662765</v>
      </c>
      <c r="DB154">
        <v>0.0658591</v>
      </c>
      <c r="DC154">
        <v>21320</v>
      </c>
      <c r="DD154">
        <v>21897.8</v>
      </c>
      <c r="DE154">
        <v>22807.6</v>
      </c>
      <c r="DF154">
        <v>22264.4</v>
      </c>
      <c r="DG154">
        <v>32208.2</v>
      </c>
      <c r="DH154">
        <v>29297.1</v>
      </c>
      <c r="DI154">
        <v>40147.4</v>
      </c>
      <c r="DJ154">
        <v>36825.1</v>
      </c>
      <c r="DK154">
        <v>2.02338</v>
      </c>
      <c r="DL154">
        <v>1.49702</v>
      </c>
      <c r="DM154">
        <v>-0.0852913</v>
      </c>
      <c r="DN154">
        <v>0</v>
      </c>
      <c r="DO154">
        <v>32.4899</v>
      </c>
      <c r="DP154">
        <v>999.9</v>
      </c>
      <c r="DQ154">
        <v>22.7</v>
      </c>
      <c r="DR154">
        <v>45.7</v>
      </c>
      <c r="DS154">
        <v>22.6554</v>
      </c>
      <c r="DT154">
        <v>29.7664</v>
      </c>
      <c r="DU154">
        <v>14.3069</v>
      </c>
      <c r="DV154">
        <v>1</v>
      </c>
      <c r="DW154">
        <v>0.918675</v>
      </c>
      <c r="DX154">
        <v>4.34139</v>
      </c>
      <c r="DY154">
        <v>20.2953</v>
      </c>
      <c r="DZ154">
        <v>5.2095</v>
      </c>
      <c r="EA154">
        <v>11.8553</v>
      </c>
      <c r="EB154">
        <v>4.9672</v>
      </c>
      <c r="EC154">
        <v>3.293</v>
      </c>
      <c r="ED154">
        <v>879.4</v>
      </c>
      <c r="EE154">
        <v>9999</v>
      </c>
      <c r="EF154">
        <v>9999</v>
      </c>
      <c r="EG154">
        <v>78.3</v>
      </c>
      <c r="EH154">
        <v>4.97157</v>
      </c>
      <c r="EI154">
        <v>1.8721</v>
      </c>
      <c r="EJ154">
        <v>1.8695</v>
      </c>
      <c r="EK154">
        <v>1.8718</v>
      </c>
      <c r="EL154">
        <v>1.86952</v>
      </c>
      <c r="EM154">
        <v>1.86836</v>
      </c>
      <c r="EN154">
        <v>1.87019</v>
      </c>
      <c r="EO154">
        <v>1.87195</v>
      </c>
      <c r="EP154">
        <v>0</v>
      </c>
      <c r="EQ154">
        <v>0</v>
      </c>
      <c r="ER154">
        <v>0</v>
      </c>
      <c r="ES154">
        <v>0</v>
      </c>
      <c r="ET154" t="s">
        <v>334</v>
      </c>
      <c r="EU154" t="s">
        <v>335</v>
      </c>
      <c r="EV154" t="s">
        <v>336</v>
      </c>
      <c r="EW154" t="s">
        <v>336</v>
      </c>
      <c r="EX154" t="s">
        <v>336</v>
      </c>
      <c r="EY154" t="s">
        <v>336</v>
      </c>
      <c r="EZ154">
        <v>0</v>
      </c>
      <c r="FA154">
        <v>100</v>
      </c>
      <c r="FB154">
        <v>100</v>
      </c>
      <c r="FC154">
        <v>6.232</v>
      </c>
      <c r="FD154">
        <v>0.0806</v>
      </c>
      <c r="FE154">
        <v>6.23135000000002</v>
      </c>
      <c r="FF154">
        <v>0</v>
      </c>
      <c r="FG154">
        <v>0</v>
      </c>
      <c r="FH154">
        <v>0</v>
      </c>
      <c r="FI154">
        <v>0.08059047619047632</v>
      </c>
      <c r="FJ154">
        <v>0</v>
      </c>
      <c r="FK154">
        <v>0</v>
      </c>
      <c r="FL154">
        <v>0</v>
      </c>
      <c r="FM154">
        <v>-1</v>
      </c>
      <c r="FN154">
        <v>-1</v>
      </c>
      <c r="FO154">
        <v>-1</v>
      </c>
      <c r="FP154">
        <v>-1</v>
      </c>
      <c r="FQ154">
        <v>138.5</v>
      </c>
      <c r="FR154">
        <v>138.6</v>
      </c>
      <c r="FS154">
        <v>0.141602</v>
      </c>
      <c r="FT154">
        <v>4.99756</v>
      </c>
      <c r="FU154">
        <v>1.5979</v>
      </c>
      <c r="FV154">
        <v>2.10938</v>
      </c>
      <c r="FW154">
        <v>1.54785</v>
      </c>
      <c r="FX154">
        <v>2.40479</v>
      </c>
      <c r="FY154">
        <v>47.0634</v>
      </c>
      <c r="FZ154">
        <v>15.3141</v>
      </c>
      <c r="GA154">
        <v>3</v>
      </c>
      <c r="GB154">
        <v>520.216</v>
      </c>
      <c r="GC154">
        <v>290.189</v>
      </c>
      <c r="GD154">
        <v>27.5022</v>
      </c>
      <c r="GE154">
        <v>38.1962</v>
      </c>
      <c r="GF154">
        <v>30.0008</v>
      </c>
      <c r="GG154">
        <v>38.0478</v>
      </c>
      <c r="GH154">
        <v>38.0362</v>
      </c>
      <c r="GI154">
        <v>-1</v>
      </c>
      <c r="GJ154">
        <v>100</v>
      </c>
      <c r="GK154">
        <v>0</v>
      </c>
      <c r="GL154">
        <v>27.4904</v>
      </c>
      <c r="GM154">
        <v>1200</v>
      </c>
      <c r="GN154">
        <v>19.4378</v>
      </c>
      <c r="GO154">
        <v>100.999</v>
      </c>
      <c r="GP154">
        <v>96.1618</v>
      </c>
    </row>
    <row r="155" spans="1:198">
      <c r="A155">
        <v>139</v>
      </c>
      <c r="B155">
        <v>1773204381.1</v>
      </c>
      <c r="C155">
        <v>8281.099999904633</v>
      </c>
      <c r="D155" t="s">
        <v>611</v>
      </c>
      <c r="E155" t="s">
        <v>612</v>
      </c>
      <c r="F155">
        <v>15</v>
      </c>
      <c r="G155">
        <v>1773204373.099999</v>
      </c>
      <c r="H155">
        <f>(I155)/1000</f>
        <v>0</v>
      </c>
      <c r="I155">
        <f>1000*AY155*AG155*(AU155-AV155)/(100*AN155*(1000-AG155*AU155))</f>
        <v>0</v>
      </c>
      <c r="J155">
        <f>AY155*AG155*(AT155-AS155*(1000-AG155*AV155)/(1000-AG155*AU155))/(100*AN155)</f>
        <v>0</v>
      </c>
      <c r="K155">
        <f>AS155 - IF(AG155&gt;1, J155*AN155*100.0/(AI155), 0)</f>
        <v>0</v>
      </c>
      <c r="L155">
        <f>((R155-H155/2)*K155-J155)/(R155+H155/2)</f>
        <v>0</v>
      </c>
      <c r="M155">
        <f>L155*(AZ155+BA155)/1000.0</f>
        <v>0</v>
      </c>
      <c r="N155">
        <f>(AS155 - IF(AG155&gt;1, J155*AN155*100.0/(AI155), 0))*(AZ155+BA155)/1000.0</f>
        <v>0</v>
      </c>
      <c r="O155">
        <f>2.0/((1/Q155-1/P155)+SIGN(Q155)*SQRT((1/Q155-1/P155)*(1/Q155-1/P155) + 4*AO155/((AO155+1)*(AO155+1))*(2*1/Q155*1/P155-1/P155*1/P155)))</f>
        <v>0</v>
      </c>
      <c r="P155">
        <f>IF(LEFT(AP155,1)&lt;&gt;"0",IF(LEFT(AP155,1)="1",3.0,AQ155),$D$5+$E$5*(BG155*AZ155/($K$5*1000))+$F$5*(BG155*AZ155/($K$5*1000))*MAX(MIN(AN155,$J$5),$I$5)*MAX(MIN(AN155,$J$5),$I$5)+$G$5*MAX(MIN(AN155,$J$5),$I$5)*(BG155*AZ155/($K$5*1000))+$H$5*(BG155*AZ155/($K$5*1000))*(BG155*AZ155/($K$5*1000)))</f>
        <v>0</v>
      </c>
      <c r="Q155">
        <f>H155*(1000-(1000*0.61365*exp(17.502*U155/(240.97+U155))/(AZ155+BA155)+AU155)/2)/(1000*0.61365*exp(17.502*U155/(240.97+U155))/(AZ155+BA155)-AU155)</f>
        <v>0</v>
      </c>
      <c r="R155">
        <f>1/((AO155+1)/(O155/1.6)+1/(P155/1.37)) + AO155/((AO155+1)/(O155/1.6) + AO155/(P155/1.37))</f>
        <v>0</v>
      </c>
      <c r="S155">
        <f>(AJ155*AM155)</f>
        <v>0</v>
      </c>
      <c r="T155">
        <f>(BB155+(S155+2*0.95*5.67E-8*(((BB155+$B$7)+273)^4-(BB155+273)^4)-44100*H155)/(1.84*29.3*P155+8*0.95*5.67E-8*(BB155+273)^3))</f>
        <v>0</v>
      </c>
      <c r="U155">
        <f>($C$7*BC155+$D$7*BD155+$E$7*T155)</f>
        <v>0</v>
      </c>
      <c r="V155">
        <f>0.61365*exp(17.502*U155/(240.97+U155))</f>
        <v>0</v>
      </c>
      <c r="W155">
        <f>(X155/Y155*100)</f>
        <v>0</v>
      </c>
      <c r="X155">
        <f>AU155*(AZ155+BA155)/1000</f>
        <v>0</v>
      </c>
      <c r="Y155">
        <f>0.61365*exp(17.502*BB155/(240.97+BB155))</f>
        <v>0</v>
      </c>
      <c r="Z155">
        <f>(V155-AU155*(AZ155+BA155)/1000)</f>
        <v>0</v>
      </c>
      <c r="AA155">
        <f>(-H155*44100)</f>
        <v>0</v>
      </c>
      <c r="AB155">
        <f>2*29.3*P155*0.92*(BB155-U155)</f>
        <v>0</v>
      </c>
      <c r="AC155">
        <f>2*0.95*5.67E-8*(((BB155+$B$7)+273)^4-(U155+273)^4)</f>
        <v>0</v>
      </c>
      <c r="AD155">
        <f>S155+AC155+AA155+AB155</f>
        <v>0</v>
      </c>
      <c r="AE155">
        <v>0</v>
      </c>
      <c r="AF155">
        <v>0</v>
      </c>
      <c r="AG155">
        <f>IF(AE155*$H$13&gt;=AI155,1.0,(AI155/(AI155-AE155*$H$13)))</f>
        <v>0</v>
      </c>
      <c r="AH155">
        <f>(AG155-1)*100</f>
        <v>0</v>
      </c>
      <c r="AI155">
        <f>MAX(0,($B$13+$C$13*BG155)/(1+$D$13*BG155)*AZ155/(BB155+273)*$E$13)</f>
        <v>0</v>
      </c>
      <c r="AJ155">
        <f>$B$11*BH155+$C$11*BI155+$D$11*BT155</f>
        <v>0</v>
      </c>
      <c r="AK155">
        <f>AJ155*AL155</f>
        <v>0</v>
      </c>
      <c r="AL155">
        <f>($B$11*$D$9+$C$11*$D$9+$D$11*(BU155*$E$9+BV155*$G$9))/($B$11+$C$11+$D$11)</f>
        <v>0</v>
      </c>
      <c r="AM155">
        <f>($B$11*$K$9+$C$11*$K$9+$D$11*(BU155*$L$9+BV155*$N$9))/($B$11+$C$11+$D$11)</f>
        <v>0</v>
      </c>
      <c r="AN155">
        <v>3</v>
      </c>
      <c r="AO155">
        <v>0.5</v>
      </c>
      <c r="AP155" t="s">
        <v>331</v>
      </c>
      <c r="AQ155">
        <v>2</v>
      </c>
      <c r="AR155">
        <v>1773204373.099999</v>
      </c>
      <c r="AS155">
        <v>420.9053225806451</v>
      </c>
      <c r="AT155">
        <v>418.661193548387</v>
      </c>
      <c r="AU155">
        <v>11.90683225806452</v>
      </c>
      <c r="AV155">
        <v>11.78061612903226</v>
      </c>
      <c r="AW155">
        <v>414.6740322580645</v>
      </c>
      <c r="AX155">
        <v>11.82624193548387</v>
      </c>
      <c r="AY155">
        <v>500.0019032258064</v>
      </c>
      <c r="AZ155">
        <v>100.1111612903226</v>
      </c>
      <c r="BA155">
        <v>0.04622955483870968</v>
      </c>
      <c r="BB155">
        <v>30.84184838709678</v>
      </c>
      <c r="BC155">
        <v>31.11325161290323</v>
      </c>
      <c r="BD155">
        <v>999.9000000000003</v>
      </c>
      <c r="BE155">
        <v>0</v>
      </c>
      <c r="BF155">
        <v>0</v>
      </c>
      <c r="BG155">
        <v>4997.822580645161</v>
      </c>
      <c r="BH155">
        <v>0.9948175483870967</v>
      </c>
      <c r="BI155">
        <v>2107.166451612904</v>
      </c>
      <c r="BJ155">
        <v>2.244143225806452</v>
      </c>
      <c r="BK155">
        <v>425.9773870967742</v>
      </c>
      <c r="BL155">
        <v>423.6520967741936</v>
      </c>
      <c r="BM155">
        <v>0.1262101935483871</v>
      </c>
      <c r="BN155">
        <v>418.661193548387</v>
      </c>
      <c r="BO155">
        <v>11.78061612903226</v>
      </c>
      <c r="BP155">
        <v>1.192008064516129</v>
      </c>
      <c r="BQ155">
        <v>1.179372903225806</v>
      </c>
      <c r="BR155">
        <v>9.502101612903225</v>
      </c>
      <c r="BS155">
        <v>9.343684838709677</v>
      </c>
      <c r="BT155">
        <v>0</v>
      </c>
      <c r="BU155">
        <v>0</v>
      </c>
      <c r="BV155">
        <v>0</v>
      </c>
      <c r="BW155">
        <v>35</v>
      </c>
      <c r="BX155">
        <v>38</v>
      </c>
      <c r="BY155">
        <v>1773196010</v>
      </c>
      <c r="BZ155" t="s">
        <v>332</v>
      </c>
      <c r="CA155">
        <v>1773196010</v>
      </c>
      <c r="CB155">
        <v>1773196005.5</v>
      </c>
      <c r="CC155">
        <v>2</v>
      </c>
      <c r="CD155">
        <v>-0.279</v>
      </c>
      <c r="CE155">
        <v>-0.021</v>
      </c>
      <c r="CF155">
        <v>6.231</v>
      </c>
      <c r="CG155">
        <v>0.081</v>
      </c>
      <c r="CH155">
        <v>432</v>
      </c>
      <c r="CI155">
        <v>21</v>
      </c>
      <c r="CJ155">
        <v>0.03</v>
      </c>
      <c r="CK155">
        <v>0.06</v>
      </c>
      <c r="CL155">
        <v>418.661193548387</v>
      </c>
      <c r="CM155">
        <v>0.1374193548386438</v>
      </c>
      <c r="CN155">
        <v>0.02544370047498249</v>
      </c>
      <c r="CO155">
        <v>-1</v>
      </c>
      <c r="CP155">
        <v>500.0019032258064</v>
      </c>
      <c r="CQ155">
        <v>-0.2116935483873658</v>
      </c>
      <c r="CR155">
        <v>0.06050665377365275</v>
      </c>
      <c r="CS155">
        <v>-1</v>
      </c>
      <c r="CT155">
        <v>0</v>
      </c>
      <c r="CU155">
        <v>0</v>
      </c>
      <c r="CV155" t="s">
        <v>333</v>
      </c>
      <c r="CW155">
        <v>3.17088</v>
      </c>
      <c r="CX155">
        <v>2.66719</v>
      </c>
      <c r="CY155">
        <v>0.09866080000000001</v>
      </c>
      <c r="CZ155">
        <v>0.0994245</v>
      </c>
      <c r="DA155">
        <v>0.0665128</v>
      </c>
      <c r="DB155">
        <v>0.06606819999999999</v>
      </c>
      <c r="DC155">
        <v>21318.4</v>
      </c>
      <c r="DD155">
        <v>21896.9</v>
      </c>
      <c r="DE155">
        <v>22805.6</v>
      </c>
      <c r="DF155">
        <v>22262.5</v>
      </c>
      <c r="DG155">
        <v>32197.3</v>
      </c>
      <c r="DH155">
        <v>29288</v>
      </c>
      <c r="DI155">
        <v>40144.2</v>
      </c>
      <c r="DJ155">
        <v>36822</v>
      </c>
      <c r="DK155">
        <v>2.02238</v>
      </c>
      <c r="DL155">
        <v>1.49558</v>
      </c>
      <c r="DM155">
        <v>-0.0854224</v>
      </c>
      <c r="DN155">
        <v>0</v>
      </c>
      <c r="DO155">
        <v>32.4783</v>
      </c>
      <c r="DP155">
        <v>999.9</v>
      </c>
      <c r="DQ155">
        <v>22.7</v>
      </c>
      <c r="DR155">
        <v>45.7</v>
      </c>
      <c r="DS155">
        <v>22.6567</v>
      </c>
      <c r="DT155">
        <v>30.2764</v>
      </c>
      <c r="DU155">
        <v>14.4671</v>
      </c>
      <c r="DV155">
        <v>1</v>
      </c>
      <c r="DW155">
        <v>0.926904</v>
      </c>
      <c r="DX155">
        <v>4.84461</v>
      </c>
      <c r="DY155">
        <v>20.2787</v>
      </c>
      <c r="DZ155">
        <v>5.20747</v>
      </c>
      <c r="EA155">
        <v>11.8556</v>
      </c>
      <c r="EB155">
        <v>4.9672</v>
      </c>
      <c r="EC155">
        <v>3.293</v>
      </c>
      <c r="ED155">
        <v>879.4</v>
      </c>
      <c r="EE155">
        <v>9999</v>
      </c>
      <c r="EF155">
        <v>9999</v>
      </c>
      <c r="EG155">
        <v>78.3</v>
      </c>
      <c r="EH155">
        <v>4.97158</v>
      </c>
      <c r="EI155">
        <v>1.8721</v>
      </c>
      <c r="EJ155">
        <v>1.86949</v>
      </c>
      <c r="EK155">
        <v>1.8718</v>
      </c>
      <c r="EL155">
        <v>1.86956</v>
      </c>
      <c r="EM155">
        <v>1.86838</v>
      </c>
      <c r="EN155">
        <v>1.87021</v>
      </c>
      <c r="EO155">
        <v>1.87195</v>
      </c>
      <c r="EP155">
        <v>0</v>
      </c>
      <c r="EQ155">
        <v>0</v>
      </c>
      <c r="ER155">
        <v>0</v>
      </c>
      <c r="ES155">
        <v>0</v>
      </c>
      <c r="ET155" t="s">
        <v>334</v>
      </c>
      <c r="EU155" t="s">
        <v>335</v>
      </c>
      <c r="EV155" t="s">
        <v>336</v>
      </c>
      <c r="EW155" t="s">
        <v>336</v>
      </c>
      <c r="EX155" t="s">
        <v>336</v>
      </c>
      <c r="EY155" t="s">
        <v>336</v>
      </c>
      <c r="EZ155">
        <v>0</v>
      </c>
      <c r="FA155">
        <v>100</v>
      </c>
      <c r="FB155">
        <v>100</v>
      </c>
      <c r="FC155">
        <v>6.231</v>
      </c>
      <c r="FD155">
        <v>0.0806</v>
      </c>
      <c r="FE155">
        <v>6.23135000000002</v>
      </c>
      <c r="FF155">
        <v>0</v>
      </c>
      <c r="FG155">
        <v>0</v>
      </c>
      <c r="FH155">
        <v>0</v>
      </c>
      <c r="FI155">
        <v>0.08059047619047632</v>
      </c>
      <c r="FJ155">
        <v>0</v>
      </c>
      <c r="FK155">
        <v>0</v>
      </c>
      <c r="FL155">
        <v>0</v>
      </c>
      <c r="FM155">
        <v>-1</v>
      </c>
      <c r="FN155">
        <v>-1</v>
      </c>
      <c r="FO155">
        <v>-1</v>
      </c>
      <c r="FP155">
        <v>-1</v>
      </c>
      <c r="FQ155">
        <v>139.5</v>
      </c>
      <c r="FR155">
        <v>139.6</v>
      </c>
      <c r="FS155">
        <v>0.141602</v>
      </c>
      <c r="FT155">
        <v>4.99756</v>
      </c>
      <c r="FU155">
        <v>1.5979</v>
      </c>
      <c r="FV155">
        <v>2.10938</v>
      </c>
      <c r="FW155">
        <v>1.54785</v>
      </c>
      <c r="FX155">
        <v>2.44873</v>
      </c>
      <c r="FY155">
        <v>47.1527</v>
      </c>
      <c r="FZ155">
        <v>15.2966</v>
      </c>
      <c r="GA155">
        <v>3</v>
      </c>
      <c r="GB155">
        <v>519.952</v>
      </c>
      <c r="GC155">
        <v>289.684</v>
      </c>
      <c r="GD155">
        <v>27.0793</v>
      </c>
      <c r="GE155">
        <v>38.2538</v>
      </c>
      <c r="GF155">
        <v>30.0003</v>
      </c>
      <c r="GG155">
        <v>38.0995</v>
      </c>
      <c r="GH155">
        <v>38.0803</v>
      </c>
      <c r="GI155">
        <v>-1</v>
      </c>
      <c r="GJ155">
        <v>100</v>
      </c>
      <c r="GK155">
        <v>0</v>
      </c>
      <c r="GL155">
        <v>27.0689</v>
      </c>
      <c r="GM155">
        <v>1200</v>
      </c>
      <c r="GN155">
        <v>19.4378</v>
      </c>
      <c r="GO155">
        <v>100.991</v>
      </c>
      <c r="GP155">
        <v>96.15349999999999</v>
      </c>
    </row>
    <row r="156" spans="1:198">
      <c r="A156">
        <v>140</v>
      </c>
      <c r="B156">
        <v>1773204441.1</v>
      </c>
      <c r="C156">
        <v>8341.099999904633</v>
      </c>
      <c r="D156" t="s">
        <v>613</v>
      </c>
      <c r="E156" t="s">
        <v>614</v>
      </c>
      <c r="F156">
        <v>15</v>
      </c>
      <c r="G156">
        <v>1773204433.099999</v>
      </c>
      <c r="H156">
        <f>(I156)/1000</f>
        <v>0</v>
      </c>
      <c r="I156">
        <f>1000*AY156*AG156*(AU156-AV156)/(100*AN156*(1000-AG156*AU156))</f>
        <v>0</v>
      </c>
      <c r="J156">
        <f>AY156*AG156*(AT156-AS156*(1000-AG156*AV156)/(1000-AG156*AU156))/(100*AN156)</f>
        <v>0</v>
      </c>
      <c r="K156">
        <f>AS156 - IF(AG156&gt;1, J156*AN156*100.0/(AI156), 0)</f>
        <v>0</v>
      </c>
      <c r="L156">
        <f>((R156-H156/2)*K156-J156)/(R156+H156/2)</f>
        <v>0</v>
      </c>
      <c r="M156">
        <f>L156*(AZ156+BA156)/1000.0</f>
        <v>0</v>
      </c>
      <c r="N156">
        <f>(AS156 - IF(AG156&gt;1, J156*AN156*100.0/(AI156), 0))*(AZ156+BA156)/1000.0</f>
        <v>0</v>
      </c>
      <c r="O156">
        <f>2.0/((1/Q156-1/P156)+SIGN(Q156)*SQRT((1/Q156-1/P156)*(1/Q156-1/P156) + 4*AO156/((AO156+1)*(AO156+1))*(2*1/Q156*1/P156-1/P156*1/P156)))</f>
        <v>0</v>
      </c>
      <c r="P156">
        <f>IF(LEFT(AP156,1)&lt;&gt;"0",IF(LEFT(AP156,1)="1",3.0,AQ156),$D$5+$E$5*(BG156*AZ156/($K$5*1000))+$F$5*(BG156*AZ156/($K$5*1000))*MAX(MIN(AN156,$J$5),$I$5)*MAX(MIN(AN156,$J$5),$I$5)+$G$5*MAX(MIN(AN156,$J$5),$I$5)*(BG156*AZ156/($K$5*1000))+$H$5*(BG156*AZ156/($K$5*1000))*(BG156*AZ156/($K$5*1000)))</f>
        <v>0</v>
      </c>
      <c r="Q156">
        <f>H156*(1000-(1000*0.61365*exp(17.502*U156/(240.97+U156))/(AZ156+BA156)+AU156)/2)/(1000*0.61365*exp(17.502*U156/(240.97+U156))/(AZ156+BA156)-AU156)</f>
        <v>0</v>
      </c>
      <c r="R156">
        <f>1/((AO156+1)/(O156/1.6)+1/(P156/1.37)) + AO156/((AO156+1)/(O156/1.6) + AO156/(P156/1.37))</f>
        <v>0</v>
      </c>
      <c r="S156">
        <f>(AJ156*AM156)</f>
        <v>0</v>
      </c>
      <c r="T156">
        <f>(BB156+(S156+2*0.95*5.67E-8*(((BB156+$B$7)+273)^4-(BB156+273)^4)-44100*H156)/(1.84*29.3*P156+8*0.95*5.67E-8*(BB156+273)^3))</f>
        <v>0</v>
      </c>
      <c r="U156">
        <f>($C$7*BC156+$D$7*BD156+$E$7*T156)</f>
        <v>0</v>
      </c>
      <c r="V156">
        <f>0.61365*exp(17.502*U156/(240.97+U156))</f>
        <v>0</v>
      </c>
      <c r="W156">
        <f>(X156/Y156*100)</f>
        <v>0</v>
      </c>
      <c r="X156">
        <f>AU156*(AZ156+BA156)/1000</f>
        <v>0</v>
      </c>
      <c r="Y156">
        <f>0.61365*exp(17.502*BB156/(240.97+BB156))</f>
        <v>0</v>
      </c>
      <c r="Z156">
        <f>(V156-AU156*(AZ156+BA156)/1000)</f>
        <v>0</v>
      </c>
      <c r="AA156">
        <f>(-H156*44100)</f>
        <v>0</v>
      </c>
      <c r="AB156">
        <f>2*29.3*P156*0.92*(BB156-U156)</f>
        <v>0</v>
      </c>
      <c r="AC156">
        <f>2*0.95*5.67E-8*(((BB156+$B$7)+273)^4-(U156+273)^4)</f>
        <v>0</v>
      </c>
      <c r="AD156">
        <f>S156+AC156+AA156+AB156</f>
        <v>0</v>
      </c>
      <c r="AE156">
        <v>0</v>
      </c>
      <c r="AF156">
        <v>0</v>
      </c>
      <c r="AG156">
        <f>IF(AE156*$H$13&gt;=AI156,1.0,(AI156/(AI156-AE156*$H$13)))</f>
        <v>0</v>
      </c>
      <c r="AH156">
        <f>(AG156-1)*100</f>
        <v>0</v>
      </c>
      <c r="AI156">
        <f>MAX(0,($B$13+$C$13*BG156)/(1+$D$13*BG156)*AZ156/(BB156+273)*$E$13)</f>
        <v>0</v>
      </c>
      <c r="AJ156">
        <f>$B$11*BH156+$C$11*BI156+$D$11*BT156</f>
        <v>0</v>
      </c>
      <c r="AK156">
        <f>AJ156*AL156</f>
        <v>0</v>
      </c>
      <c r="AL156">
        <f>($B$11*$D$9+$C$11*$D$9+$D$11*(BU156*$E$9+BV156*$G$9))/($B$11+$C$11+$D$11)</f>
        <v>0</v>
      </c>
      <c r="AM156">
        <f>($B$11*$K$9+$C$11*$K$9+$D$11*(BU156*$L$9+BV156*$N$9))/($B$11+$C$11+$D$11)</f>
        <v>0</v>
      </c>
      <c r="AN156">
        <v>3</v>
      </c>
      <c r="AO156">
        <v>0.5</v>
      </c>
      <c r="AP156" t="s">
        <v>331</v>
      </c>
      <c r="AQ156">
        <v>2</v>
      </c>
      <c r="AR156">
        <v>1773204433.099999</v>
      </c>
      <c r="AS156">
        <v>420.7427741935484</v>
      </c>
      <c r="AT156">
        <v>418.496064516129</v>
      </c>
      <c r="AU156">
        <v>11.93091935483871</v>
      </c>
      <c r="AV156">
        <v>11.79851290322581</v>
      </c>
      <c r="AW156">
        <v>414.5115483870968</v>
      </c>
      <c r="AX156">
        <v>11.85032903225806</v>
      </c>
      <c r="AY156">
        <v>500.0095806451613</v>
      </c>
      <c r="AZ156">
        <v>100.1133548387097</v>
      </c>
      <c r="BA156">
        <v>0.04546075161290323</v>
      </c>
      <c r="BB156">
        <v>30.79674838709677</v>
      </c>
      <c r="BC156">
        <v>31.06159032258065</v>
      </c>
      <c r="BD156">
        <v>999.9000000000003</v>
      </c>
      <c r="BE156">
        <v>0</v>
      </c>
      <c r="BF156">
        <v>0</v>
      </c>
      <c r="BG156">
        <v>4994.903225806452</v>
      </c>
      <c r="BH156">
        <v>1.034613483870968</v>
      </c>
      <c r="BI156">
        <v>2130.887096774194</v>
      </c>
      <c r="BJ156">
        <v>2.246776451612903</v>
      </c>
      <c r="BK156">
        <v>425.8232903225806</v>
      </c>
      <c r="BL156">
        <v>423.4926774193548</v>
      </c>
      <c r="BM156">
        <v>0.1324170967741935</v>
      </c>
      <c r="BN156">
        <v>418.496064516129</v>
      </c>
      <c r="BO156">
        <v>11.79851290322581</v>
      </c>
      <c r="BP156">
        <v>1.194444516129032</v>
      </c>
      <c r="BQ156">
        <v>1.181188064516129</v>
      </c>
      <c r="BR156">
        <v>9.532492580645163</v>
      </c>
      <c r="BS156">
        <v>9.366540967741935</v>
      </c>
      <c r="BT156">
        <v>0</v>
      </c>
      <c r="BU156">
        <v>0</v>
      </c>
      <c r="BV156">
        <v>0</v>
      </c>
      <c r="BW156">
        <v>35</v>
      </c>
      <c r="BX156">
        <v>37.99892580645161</v>
      </c>
      <c r="BY156">
        <v>1773196010</v>
      </c>
      <c r="BZ156" t="s">
        <v>332</v>
      </c>
      <c r="CA156">
        <v>1773196010</v>
      </c>
      <c r="CB156">
        <v>1773196005.5</v>
      </c>
      <c r="CC156">
        <v>2</v>
      </c>
      <c r="CD156">
        <v>-0.279</v>
      </c>
      <c r="CE156">
        <v>-0.021</v>
      </c>
      <c r="CF156">
        <v>6.231</v>
      </c>
      <c r="CG156">
        <v>0.081</v>
      </c>
      <c r="CH156">
        <v>432</v>
      </c>
      <c r="CI156">
        <v>21</v>
      </c>
      <c r="CJ156">
        <v>0.03</v>
      </c>
      <c r="CK156">
        <v>0.06</v>
      </c>
      <c r="CL156">
        <v>418.4962666666667</v>
      </c>
      <c r="CM156">
        <v>-0.2076440489437432</v>
      </c>
      <c r="CN156">
        <v>0.02171164562062112</v>
      </c>
      <c r="CO156">
        <v>-1</v>
      </c>
      <c r="CP156">
        <v>500.0106666666667</v>
      </c>
      <c r="CQ156">
        <v>-0.06076084538365054</v>
      </c>
      <c r="CR156">
        <v>0.02908875307667669</v>
      </c>
      <c r="CS156">
        <v>-1</v>
      </c>
      <c r="CT156">
        <v>0</v>
      </c>
      <c r="CU156">
        <v>0</v>
      </c>
      <c r="CV156" t="s">
        <v>333</v>
      </c>
      <c r="CW156">
        <v>3.17104</v>
      </c>
      <c r="CX156">
        <v>2.66699</v>
      </c>
      <c r="CY156">
        <v>0.09862369999999999</v>
      </c>
      <c r="CZ156">
        <v>0.0993961</v>
      </c>
      <c r="DA156">
        <v>0.0666007</v>
      </c>
      <c r="DB156">
        <v>0.0661269</v>
      </c>
      <c r="DC156">
        <v>21319.8</v>
      </c>
      <c r="DD156">
        <v>21898.6</v>
      </c>
      <c r="DE156">
        <v>22806.3</v>
      </c>
      <c r="DF156">
        <v>22263.6</v>
      </c>
      <c r="DG156">
        <v>32195.2</v>
      </c>
      <c r="DH156">
        <v>29287.4</v>
      </c>
      <c r="DI156">
        <v>40145.4</v>
      </c>
      <c r="DJ156">
        <v>36823.6</v>
      </c>
      <c r="DK156">
        <v>2.0225</v>
      </c>
      <c r="DL156">
        <v>1.49476</v>
      </c>
      <c r="DM156">
        <v>-0.08557140000000001</v>
      </c>
      <c r="DN156">
        <v>0</v>
      </c>
      <c r="DO156">
        <v>32.4438</v>
      </c>
      <c r="DP156">
        <v>999.9</v>
      </c>
      <c r="DQ156">
        <v>22.9</v>
      </c>
      <c r="DR156">
        <v>45.8</v>
      </c>
      <c r="DS156">
        <v>22.9744</v>
      </c>
      <c r="DT156">
        <v>29.9764</v>
      </c>
      <c r="DU156">
        <v>14.355</v>
      </c>
      <c r="DV156">
        <v>1</v>
      </c>
      <c r="DW156">
        <v>0.92339</v>
      </c>
      <c r="DX156">
        <v>4.35282</v>
      </c>
      <c r="DY156">
        <v>20.2957</v>
      </c>
      <c r="DZ156">
        <v>5.20723</v>
      </c>
      <c r="EA156">
        <v>11.8559</v>
      </c>
      <c r="EB156">
        <v>4.96644</v>
      </c>
      <c r="EC156">
        <v>3.293</v>
      </c>
      <c r="ED156">
        <v>879.4</v>
      </c>
      <c r="EE156">
        <v>9999</v>
      </c>
      <c r="EF156">
        <v>9999</v>
      </c>
      <c r="EG156">
        <v>78.3</v>
      </c>
      <c r="EH156">
        <v>4.97158</v>
      </c>
      <c r="EI156">
        <v>1.8721</v>
      </c>
      <c r="EJ156">
        <v>1.86946</v>
      </c>
      <c r="EK156">
        <v>1.8718</v>
      </c>
      <c r="EL156">
        <v>1.86955</v>
      </c>
      <c r="EM156">
        <v>1.86838</v>
      </c>
      <c r="EN156">
        <v>1.87017</v>
      </c>
      <c r="EO156">
        <v>1.87195</v>
      </c>
      <c r="EP156">
        <v>0</v>
      </c>
      <c r="EQ156">
        <v>0</v>
      </c>
      <c r="ER156">
        <v>0</v>
      </c>
      <c r="ES156">
        <v>0</v>
      </c>
      <c r="ET156" t="s">
        <v>334</v>
      </c>
      <c r="EU156" t="s">
        <v>335</v>
      </c>
      <c r="EV156" t="s">
        <v>336</v>
      </c>
      <c r="EW156" t="s">
        <v>336</v>
      </c>
      <c r="EX156" t="s">
        <v>336</v>
      </c>
      <c r="EY156" t="s">
        <v>336</v>
      </c>
      <c r="EZ156">
        <v>0</v>
      </c>
      <c r="FA156">
        <v>100</v>
      </c>
      <c r="FB156">
        <v>100</v>
      </c>
      <c r="FC156">
        <v>6.231</v>
      </c>
      <c r="FD156">
        <v>0.0806</v>
      </c>
      <c r="FE156">
        <v>6.23135000000002</v>
      </c>
      <c r="FF156">
        <v>0</v>
      </c>
      <c r="FG156">
        <v>0</v>
      </c>
      <c r="FH156">
        <v>0</v>
      </c>
      <c r="FI156">
        <v>0.08059047619047632</v>
      </c>
      <c r="FJ156">
        <v>0</v>
      </c>
      <c r="FK156">
        <v>0</v>
      </c>
      <c r="FL156">
        <v>0</v>
      </c>
      <c r="FM156">
        <v>-1</v>
      </c>
      <c r="FN156">
        <v>-1</v>
      </c>
      <c r="FO156">
        <v>-1</v>
      </c>
      <c r="FP156">
        <v>-1</v>
      </c>
      <c r="FQ156">
        <v>140.5</v>
      </c>
      <c r="FR156">
        <v>140.6</v>
      </c>
      <c r="FS156">
        <v>0.141602</v>
      </c>
      <c r="FT156">
        <v>4.99756</v>
      </c>
      <c r="FU156">
        <v>1.5979</v>
      </c>
      <c r="FV156">
        <v>2.10815</v>
      </c>
      <c r="FW156">
        <v>1.54785</v>
      </c>
      <c r="FX156">
        <v>2.40967</v>
      </c>
      <c r="FY156">
        <v>47.2123</v>
      </c>
      <c r="FZ156">
        <v>15.2966</v>
      </c>
      <c r="GA156">
        <v>3</v>
      </c>
      <c r="GB156">
        <v>520.1849999999999</v>
      </c>
      <c r="GC156">
        <v>289.377</v>
      </c>
      <c r="GD156">
        <v>27.2919</v>
      </c>
      <c r="GE156">
        <v>38.2692</v>
      </c>
      <c r="GF156">
        <v>30.0002</v>
      </c>
      <c r="GG156">
        <v>38.1218</v>
      </c>
      <c r="GH156">
        <v>38.1006</v>
      </c>
      <c r="GI156">
        <v>-1</v>
      </c>
      <c r="GJ156">
        <v>100</v>
      </c>
      <c r="GK156">
        <v>0</v>
      </c>
      <c r="GL156">
        <v>27.2938</v>
      </c>
      <c r="GM156">
        <v>1200</v>
      </c>
      <c r="GN156">
        <v>19.4378</v>
      </c>
      <c r="GO156">
        <v>100.993</v>
      </c>
      <c r="GP156">
        <v>96.1579</v>
      </c>
    </row>
    <row r="157" spans="1:198">
      <c r="A157">
        <v>141</v>
      </c>
      <c r="B157">
        <v>1773204501.1</v>
      </c>
      <c r="C157">
        <v>8401.099999904633</v>
      </c>
      <c r="D157" t="s">
        <v>615</v>
      </c>
      <c r="E157" t="s">
        <v>616</v>
      </c>
      <c r="F157">
        <v>15</v>
      </c>
      <c r="G157">
        <v>1773204493.099999</v>
      </c>
      <c r="H157">
        <f>(I157)/1000</f>
        <v>0</v>
      </c>
      <c r="I157">
        <f>1000*AY157*AG157*(AU157-AV157)/(100*AN157*(1000-AG157*AU157))</f>
        <v>0</v>
      </c>
      <c r="J157">
        <f>AY157*AG157*(AT157-AS157*(1000-AG157*AV157)/(1000-AG157*AU157))/(100*AN157)</f>
        <v>0</v>
      </c>
      <c r="K157">
        <f>AS157 - IF(AG157&gt;1, J157*AN157*100.0/(AI157), 0)</f>
        <v>0</v>
      </c>
      <c r="L157">
        <f>((R157-H157/2)*K157-J157)/(R157+H157/2)</f>
        <v>0</v>
      </c>
      <c r="M157">
        <f>L157*(AZ157+BA157)/1000.0</f>
        <v>0</v>
      </c>
      <c r="N157">
        <f>(AS157 - IF(AG157&gt;1, J157*AN157*100.0/(AI157), 0))*(AZ157+BA157)/1000.0</f>
        <v>0</v>
      </c>
      <c r="O157">
        <f>2.0/((1/Q157-1/P157)+SIGN(Q157)*SQRT((1/Q157-1/P157)*(1/Q157-1/P157) + 4*AO157/((AO157+1)*(AO157+1))*(2*1/Q157*1/P157-1/P157*1/P157)))</f>
        <v>0</v>
      </c>
      <c r="P157">
        <f>IF(LEFT(AP157,1)&lt;&gt;"0",IF(LEFT(AP157,1)="1",3.0,AQ157),$D$5+$E$5*(BG157*AZ157/($K$5*1000))+$F$5*(BG157*AZ157/($K$5*1000))*MAX(MIN(AN157,$J$5),$I$5)*MAX(MIN(AN157,$J$5),$I$5)+$G$5*MAX(MIN(AN157,$J$5),$I$5)*(BG157*AZ157/($K$5*1000))+$H$5*(BG157*AZ157/($K$5*1000))*(BG157*AZ157/($K$5*1000)))</f>
        <v>0</v>
      </c>
      <c r="Q157">
        <f>H157*(1000-(1000*0.61365*exp(17.502*U157/(240.97+U157))/(AZ157+BA157)+AU157)/2)/(1000*0.61365*exp(17.502*U157/(240.97+U157))/(AZ157+BA157)-AU157)</f>
        <v>0</v>
      </c>
      <c r="R157">
        <f>1/((AO157+1)/(O157/1.6)+1/(P157/1.37)) + AO157/((AO157+1)/(O157/1.6) + AO157/(P157/1.37))</f>
        <v>0</v>
      </c>
      <c r="S157">
        <f>(AJ157*AM157)</f>
        <v>0</v>
      </c>
      <c r="T157">
        <f>(BB157+(S157+2*0.95*5.67E-8*(((BB157+$B$7)+273)^4-(BB157+273)^4)-44100*H157)/(1.84*29.3*P157+8*0.95*5.67E-8*(BB157+273)^3))</f>
        <v>0</v>
      </c>
      <c r="U157">
        <f>($C$7*BC157+$D$7*BD157+$E$7*T157)</f>
        <v>0</v>
      </c>
      <c r="V157">
        <f>0.61365*exp(17.502*U157/(240.97+U157))</f>
        <v>0</v>
      </c>
      <c r="W157">
        <f>(X157/Y157*100)</f>
        <v>0</v>
      </c>
      <c r="X157">
        <f>AU157*(AZ157+BA157)/1000</f>
        <v>0</v>
      </c>
      <c r="Y157">
        <f>0.61365*exp(17.502*BB157/(240.97+BB157))</f>
        <v>0</v>
      </c>
      <c r="Z157">
        <f>(V157-AU157*(AZ157+BA157)/1000)</f>
        <v>0</v>
      </c>
      <c r="AA157">
        <f>(-H157*44100)</f>
        <v>0</v>
      </c>
      <c r="AB157">
        <f>2*29.3*P157*0.92*(BB157-U157)</f>
        <v>0</v>
      </c>
      <c r="AC157">
        <f>2*0.95*5.67E-8*(((BB157+$B$7)+273)^4-(U157+273)^4)</f>
        <v>0</v>
      </c>
      <c r="AD157">
        <f>S157+AC157+AA157+AB157</f>
        <v>0</v>
      </c>
      <c r="AE157">
        <v>0</v>
      </c>
      <c r="AF157">
        <v>0</v>
      </c>
      <c r="AG157">
        <f>IF(AE157*$H$13&gt;=AI157,1.0,(AI157/(AI157-AE157*$H$13)))</f>
        <v>0</v>
      </c>
      <c r="AH157">
        <f>(AG157-1)*100</f>
        <v>0</v>
      </c>
      <c r="AI157">
        <f>MAX(0,($B$13+$C$13*BG157)/(1+$D$13*BG157)*AZ157/(BB157+273)*$E$13)</f>
        <v>0</v>
      </c>
      <c r="AJ157">
        <f>$B$11*BH157+$C$11*BI157+$D$11*BT157</f>
        <v>0</v>
      </c>
      <c r="AK157">
        <f>AJ157*AL157</f>
        <v>0</v>
      </c>
      <c r="AL157">
        <f>($B$11*$D$9+$C$11*$D$9+$D$11*(BU157*$E$9+BV157*$G$9))/($B$11+$C$11+$D$11)</f>
        <v>0</v>
      </c>
      <c r="AM157">
        <f>($B$11*$K$9+$C$11*$K$9+$D$11*(BU157*$L$9+BV157*$N$9))/($B$11+$C$11+$D$11)</f>
        <v>0</v>
      </c>
      <c r="AN157">
        <v>3</v>
      </c>
      <c r="AO157">
        <v>0.5</v>
      </c>
      <c r="AP157" t="s">
        <v>331</v>
      </c>
      <c r="AQ157">
        <v>2</v>
      </c>
      <c r="AR157">
        <v>1773204493.099999</v>
      </c>
      <c r="AS157">
        <v>420.7954838709678</v>
      </c>
      <c r="AT157">
        <v>418.5820000000001</v>
      </c>
      <c r="AU157">
        <v>11.98127741935484</v>
      </c>
      <c r="AV157">
        <v>11.86210645161291</v>
      </c>
      <c r="AW157">
        <v>414.5641612903225</v>
      </c>
      <c r="AX157">
        <v>11.90068387096774</v>
      </c>
      <c r="AY157">
        <v>499.9921290322581</v>
      </c>
      <c r="AZ157">
        <v>100.1087096774194</v>
      </c>
      <c r="BA157">
        <v>0.04570456774193548</v>
      </c>
      <c r="BB157">
        <v>30.80189677419355</v>
      </c>
      <c r="BC157">
        <v>31.09468709677419</v>
      </c>
      <c r="BD157">
        <v>999.9000000000003</v>
      </c>
      <c r="BE157">
        <v>0</v>
      </c>
      <c r="BF157">
        <v>0</v>
      </c>
      <c r="BG157">
        <v>5009.193548387097</v>
      </c>
      <c r="BH157">
        <v>0.9986425483870968</v>
      </c>
      <c r="BI157">
        <v>2108.281935483871</v>
      </c>
      <c r="BJ157">
        <v>2.213470322580645</v>
      </c>
      <c r="BK157">
        <v>425.8982903225806</v>
      </c>
      <c r="BL157">
        <v>423.606806451613</v>
      </c>
      <c r="BM157">
        <v>0.1191783548387097</v>
      </c>
      <c r="BN157">
        <v>418.5820000000001</v>
      </c>
      <c r="BO157">
        <v>11.86210645161291</v>
      </c>
      <c r="BP157">
        <v>1.199430967741935</v>
      </c>
      <c r="BQ157">
        <v>1.187499677419355</v>
      </c>
      <c r="BR157">
        <v>9.594488709677419</v>
      </c>
      <c r="BS157">
        <v>9.445761612903228</v>
      </c>
      <c r="BT157">
        <v>0</v>
      </c>
      <c r="BU157">
        <v>0</v>
      </c>
      <c r="BV157">
        <v>0</v>
      </c>
      <c r="BW157">
        <v>35.62472903225807</v>
      </c>
      <c r="BX157">
        <v>37</v>
      </c>
      <c r="BY157">
        <v>1773196010</v>
      </c>
      <c r="BZ157" t="s">
        <v>332</v>
      </c>
      <c r="CA157">
        <v>1773196010</v>
      </c>
      <c r="CB157">
        <v>1773196005.5</v>
      </c>
      <c r="CC157">
        <v>2</v>
      </c>
      <c r="CD157">
        <v>-0.279</v>
      </c>
      <c r="CE157">
        <v>-0.021</v>
      </c>
      <c r="CF157">
        <v>6.231</v>
      </c>
      <c r="CG157">
        <v>0.081</v>
      </c>
      <c r="CH157">
        <v>432</v>
      </c>
      <c r="CI157">
        <v>21</v>
      </c>
      <c r="CJ157">
        <v>0.03</v>
      </c>
      <c r="CK157">
        <v>0.06</v>
      </c>
      <c r="CL157">
        <v>418.5815483870967</v>
      </c>
      <c r="CM157">
        <v>0.04611290322519962</v>
      </c>
      <c r="CN157">
        <v>0.01783407161311426</v>
      </c>
      <c r="CO157">
        <v>-1</v>
      </c>
      <c r="CP157">
        <v>499.992806451613</v>
      </c>
      <c r="CQ157">
        <v>-0.05912903225800336</v>
      </c>
      <c r="CR157">
        <v>0.02874517558942306</v>
      </c>
      <c r="CS157">
        <v>-1</v>
      </c>
      <c r="CT157">
        <v>0</v>
      </c>
      <c r="CU157">
        <v>0</v>
      </c>
      <c r="CV157" t="s">
        <v>333</v>
      </c>
      <c r="CW157">
        <v>3.17109</v>
      </c>
      <c r="CX157">
        <v>2.66716</v>
      </c>
      <c r="CY157">
        <v>0.0986297</v>
      </c>
      <c r="CZ157">
        <v>0.0993941</v>
      </c>
      <c r="DA157">
        <v>0.0668464</v>
      </c>
      <c r="DB157">
        <v>0.0664286</v>
      </c>
      <c r="DC157">
        <v>21318.1</v>
      </c>
      <c r="DD157">
        <v>21897.6</v>
      </c>
      <c r="DE157">
        <v>22804.8</v>
      </c>
      <c r="DF157">
        <v>22262.6</v>
      </c>
      <c r="DG157">
        <v>32184.8</v>
      </c>
      <c r="DH157">
        <v>29276.6</v>
      </c>
      <c r="DI157">
        <v>40143</v>
      </c>
      <c r="DJ157">
        <v>36822</v>
      </c>
      <c r="DK157">
        <v>2.02242</v>
      </c>
      <c r="DL157">
        <v>1.49394</v>
      </c>
      <c r="DM157">
        <v>-0.0892371</v>
      </c>
      <c r="DN157">
        <v>0</v>
      </c>
      <c r="DO157">
        <v>32.5361</v>
      </c>
      <c r="DP157">
        <v>999.9</v>
      </c>
      <c r="DQ157">
        <v>23</v>
      </c>
      <c r="DR157">
        <v>45.8</v>
      </c>
      <c r="DS157">
        <v>23.0716</v>
      </c>
      <c r="DT157">
        <v>29.9164</v>
      </c>
      <c r="DU157">
        <v>14.1947</v>
      </c>
      <c r="DV157">
        <v>1</v>
      </c>
      <c r="DW157">
        <v>0.926291</v>
      </c>
      <c r="DX157">
        <v>4.33187</v>
      </c>
      <c r="DY157">
        <v>20.2964</v>
      </c>
      <c r="DZ157">
        <v>5.20974</v>
      </c>
      <c r="EA157">
        <v>11.8566</v>
      </c>
      <c r="EB157">
        <v>4.96724</v>
      </c>
      <c r="EC157">
        <v>3.29298</v>
      </c>
      <c r="ED157">
        <v>879.4</v>
      </c>
      <c r="EE157">
        <v>9999</v>
      </c>
      <c r="EF157">
        <v>9999</v>
      </c>
      <c r="EG157">
        <v>78.40000000000001</v>
      </c>
      <c r="EH157">
        <v>4.9716</v>
      </c>
      <c r="EI157">
        <v>1.8721</v>
      </c>
      <c r="EJ157">
        <v>1.86948</v>
      </c>
      <c r="EK157">
        <v>1.8718</v>
      </c>
      <c r="EL157">
        <v>1.8696</v>
      </c>
      <c r="EM157">
        <v>1.86842</v>
      </c>
      <c r="EN157">
        <v>1.87024</v>
      </c>
      <c r="EO157">
        <v>1.87195</v>
      </c>
      <c r="EP157">
        <v>0</v>
      </c>
      <c r="EQ157">
        <v>0</v>
      </c>
      <c r="ER157">
        <v>0</v>
      </c>
      <c r="ES157">
        <v>0</v>
      </c>
      <c r="ET157" t="s">
        <v>334</v>
      </c>
      <c r="EU157" t="s">
        <v>335</v>
      </c>
      <c r="EV157" t="s">
        <v>336</v>
      </c>
      <c r="EW157" t="s">
        <v>336</v>
      </c>
      <c r="EX157" t="s">
        <v>336</v>
      </c>
      <c r="EY157" t="s">
        <v>336</v>
      </c>
      <c r="EZ157">
        <v>0</v>
      </c>
      <c r="FA157">
        <v>100</v>
      </c>
      <c r="FB157">
        <v>100</v>
      </c>
      <c r="FC157">
        <v>6.231</v>
      </c>
      <c r="FD157">
        <v>0.0806</v>
      </c>
      <c r="FE157">
        <v>6.23135000000002</v>
      </c>
      <c r="FF157">
        <v>0</v>
      </c>
      <c r="FG157">
        <v>0</v>
      </c>
      <c r="FH157">
        <v>0</v>
      </c>
      <c r="FI157">
        <v>0.08059047619047632</v>
      </c>
      <c r="FJ157">
        <v>0</v>
      </c>
      <c r="FK157">
        <v>0</v>
      </c>
      <c r="FL157">
        <v>0</v>
      </c>
      <c r="FM157">
        <v>-1</v>
      </c>
      <c r="FN157">
        <v>-1</v>
      </c>
      <c r="FO157">
        <v>-1</v>
      </c>
      <c r="FP157">
        <v>-1</v>
      </c>
      <c r="FQ157">
        <v>141.5</v>
      </c>
      <c r="FR157">
        <v>141.6</v>
      </c>
      <c r="FS157">
        <v>0.141602</v>
      </c>
      <c r="FT157">
        <v>4.99756</v>
      </c>
      <c r="FU157">
        <v>1.5979</v>
      </c>
      <c r="FV157">
        <v>2.10938</v>
      </c>
      <c r="FW157">
        <v>1.54785</v>
      </c>
      <c r="FX157">
        <v>2.46704</v>
      </c>
      <c r="FY157">
        <v>47.272</v>
      </c>
      <c r="FZ157">
        <v>15.2878</v>
      </c>
      <c r="GA157">
        <v>3</v>
      </c>
      <c r="GB157">
        <v>520.3819999999999</v>
      </c>
      <c r="GC157">
        <v>289.145</v>
      </c>
      <c r="GD157">
        <v>27.2834</v>
      </c>
      <c r="GE157">
        <v>38.3021</v>
      </c>
      <c r="GF157">
        <v>30</v>
      </c>
      <c r="GG157">
        <v>38.1571</v>
      </c>
      <c r="GH157">
        <v>38.1404</v>
      </c>
      <c r="GI157">
        <v>-1</v>
      </c>
      <c r="GJ157">
        <v>100</v>
      </c>
      <c r="GK157">
        <v>0</v>
      </c>
      <c r="GL157">
        <v>27.3054</v>
      </c>
      <c r="GM157">
        <v>1200</v>
      </c>
      <c r="GN157">
        <v>19.4378</v>
      </c>
      <c r="GO157">
        <v>100.987</v>
      </c>
      <c r="GP157">
        <v>96.1538</v>
      </c>
    </row>
    <row r="158" spans="1:198">
      <c r="A158">
        <v>142</v>
      </c>
      <c r="B158">
        <v>1773204561.1</v>
      </c>
      <c r="C158">
        <v>8461.099999904633</v>
      </c>
      <c r="D158" t="s">
        <v>617</v>
      </c>
      <c r="E158" t="s">
        <v>618</v>
      </c>
      <c r="F158">
        <v>15</v>
      </c>
      <c r="G158">
        <v>1773204553.099999</v>
      </c>
      <c r="H158">
        <f>(I158)/1000</f>
        <v>0</v>
      </c>
      <c r="I158">
        <f>1000*AY158*AG158*(AU158-AV158)/(100*AN158*(1000-AG158*AU158))</f>
        <v>0</v>
      </c>
      <c r="J158">
        <f>AY158*AG158*(AT158-AS158*(1000-AG158*AV158)/(1000-AG158*AU158))/(100*AN158)</f>
        <v>0</v>
      </c>
      <c r="K158">
        <f>AS158 - IF(AG158&gt;1, J158*AN158*100.0/(AI158), 0)</f>
        <v>0</v>
      </c>
      <c r="L158">
        <f>((R158-H158/2)*K158-J158)/(R158+H158/2)</f>
        <v>0</v>
      </c>
      <c r="M158">
        <f>L158*(AZ158+BA158)/1000.0</f>
        <v>0</v>
      </c>
      <c r="N158">
        <f>(AS158 - IF(AG158&gt;1, J158*AN158*100.0/(AI158), 0))*(AZ158+BA158)/1000.0</f>
        <v>0</v>
      </c>
      <c r="O158">
        <f>2.0/((1/Q158-1/P158)+SIGN(Q158)*SQRT((1/Q158-1/P158)*(1/Q158-1/P158) + 4*AO158/((AO158+1)*(AO158+1))*(2*1/Q158*1/P158-1/P158*1/P158)))</f>
        <v>0</v>
      </c>
      <c r="P158">
        <f>IF(LEFT(AP158,1)&lt;&gt;"0",IF(LEFT(AP158,1)="1",3.0,AQ158),$D$5+$E$5*(BG158*AZ158/($K$5*1000))+$F$5*(BG158*AZ158/($K$5*1000))*MAX(MIN(AN158,$J$5),$I$5)*MAX(MIN(AN158,$J$5),$I$5)+$G$5*MAX(MIN(AN158,$J$5),$I$5)*(BG158*AZ158/($K$5*1000))+$H$5*(BG158*AZ158/($K$5*1000))*(BG158*AZ158/($K$5*1000)))</f>
        <v>0</v>
      </c>
      <c r="Q158">
        <f>H158*(1000-(1000*0.61365*exp(17.502*U158/(240.97+U158))/(AZ158+BA158)+AU158)/2)/(1000*0.61365*exp(17.502*U158/(240.97+U158))/(AZ158+BA158)-AU158)</f>
        <v>0</v>
      </c>
      <c r="R158">
        <f>1/((AO158+1)/(O158/1.6)+1/(P158/1.37)) + AO158/((AO158+1)/(O158/1.6) + AO158/(P158/1.37))</f>
        <v>0</v>
      </c>
      <c r="S158">
        <f>(AJ158*AM158)</f>
        <v>0</v>
      </c>
      <c r="T158">
        <f>(BB158+(S158+2*0.95*5.67E-8*(((BB158+$B$7)+273)^4-(BB158+273)^4)-44100*H158)/(1.84*29.3*P158+8*0.95*5.67E-8*(BB158+273)^3))</f>
        <v>0</v>
      </c>
      <c r="U158">
        <f>($C$7*BC158+$D$7*BD158+$E$7*T158)</f>
        <v>0</v>
      </c>
      <c r="V158">
        <f>0.61365*exp(17.502*U158/(240.97+U158))</f>
        <v>0</v>
      </c>
      <c r="W158">
        <f>(X158/Y158*100)</f>
        <v>0</v>
      </c>
      <c r="X158">
        <f>AU158*(AZ158+BA158)/1000</f>
        <v>0</v>
      </c>
      <c r="Y158">
        <f>0.61365*exp(17.502*BB158/(240.97+BB158))</f>
        <v>0</v>
      </c>
      <c r="Z158">
        <f>(V158-AU158*(AZ158+BA158)/1000)</f>
        <v>0</v>
      </c>
      <c r="AA158">
        <f>(-H158*44100)</f>
        <v>0</v>
      </c>
      <c r="AB158">
        <f>2*29.3*P158*0.92*(BB158-U158)</f>
        <v>0</v>
      </c>
      <c r="AC158">
        <f>2*0.95*5.67E-8*(((BB158+$B$7)+273)^4-(U158+273)^4)</f>
        <v>0</v>
      </c>
      <c r="AD158">
        <f>S158+AC158+AA158+AB158</f>
        <v>0</v>
      </c>
      <c r="AE158">
        <v>0</v>
      </c>
      <c r="AF158">
        <v>0</v>
      </c>
      <c r="AG158">
        <f>IF(AE158*$H$13&gt;=AI158,1.0,(AI158/(AI158-AE158*$H$13)))</f>
        <v>0</v>
      </c>
      <c r="AH158">
        <f>(AG158-1)*100</f>
        <v>0</v>
      </c>
      <c r="AI158">
        <f>MAX(0,($B$13+$C$13*BG158)/(1+$D$13*BG158)*AZ158/(BB158+273)*$E$13)</f>
        <v>0</v>
      </c>
      <c r="AJ158">
        <f>$B$11*BH158+$C$11*BI158+$D$11*BT158</f>
        <v>0</v>
      </c>
      <c r="AK158">
        <f>AJ158*AL158</f>
        <v>0</v>
      </c>
      <c r="AL158">
        <f>($B$11*$D$9+$C$11*$D$9+$D$11*(BU158*$E$9+BV158*$G$9))/($B$11+$C$11+$D$11)</f>
        <v>0</v>
      </c>
      <c r="AM158">
        <f>($B$11*$K$9+$C$11*$K$9+$D$11*(BU158*$L$9+BV158*$N$9))/($B$11+$C$11+$D$11)</f>
        <v>0</v>
      </c>
      <c r="AN158">
        <v>3</v>
      </c>
      <c r="AO158">
        <v>0.5</v>
      </c>
      <c r="AP158" t="s">
        <v>331</v>
      </c>
      <c r="AQ158">
        <v>2</v>
      </c>
      <c r="AR158">
        <v>1773204553.099999</v>
      </c>
      <c r="AS158">
        <v>420.6262258064516</v>
      </c>
      <c r="AT158">
        <v>418.3543548387096</v>
      </c>
      <c r="AU158">
        <v>12.02842580645161</v>
      </c>
      <c r="AV158">
        <v>11.90471935483871</v>
      </c>
      <c r="AW158">
        <v>414.3948387096775</v>
      </c>
      <c r="AX158">
        <v>11.94783225806452</v>
      </c>
      <c r="AY158">
        <v>499.9984838709678</v>
      </c>
      <c r="AZ158">
        <v>100.1054838709677</v>
      </c>
      <c r="BA158">
        <v>0.04540235806451613</v>
      </c>
      <c r="BB158">
        <v>30.75642258064516</v>
      </c>
      <c r="BC158">
        <v>31.03264193548387</v>
      </c>
      <c r="BD158">
        <v>999.9000000000003</v>
      </c>
      <c r="BE158">
        <v>0</v>
      </c>
      <c r="BF158">
        <v>0</v>
      </c>
      <c r="BG158">
        <v>5008.758064516129</v>
      </c>
      <c r="BH158">
        <v>0.9694818387096775</v>
      </c>
      <c r="BI158">
        <v>2108.014516129032</v>
      </c>
      <c r="BJ158">
        <v>2.27181870967742</v>
      </c>
      <c r="BK158">
        <v>425.7472258064516</v>
      </c>
      <c r="BL158">
        <v>423.3947741935484</v>
      </c>
      <c r="BM158">
        <v>0.1236934193548387</v>
      </c>
      <c r="BN158">
        <v>418.3543548387096</v>
      </c>
      <c r="BO158">
        <v>11.90471935483871</v>
      </c>
      <c r="BP158">
        <v>1.204111612903226</v>
      </c>
      <c r="BQ158">
        <v>1.191728064516129</v>
      </c>
      <c r="BR158">
        <v>9.652469677419354</v>
      </c>
      <c r="BS158">
        <v>9.498618064516128</v>
      </c>
      <c r="BT158">
        <v>0</v>
      </c>
      <c r="BU158">
        <v>0</v>
      </c>
      <c r="BV158">
        <v>0</v>
      </c>
      <c r="BW158">
        <v>35.00752258064517</v>
      </c>
      <c r="BX158">
        <v>37</v>
      </c>
      <c r="BY158">
        <v>1773196010</v>
      </c>
      <c r="BZ158" t="s">
        <v>332</v>
      </c>
      <c r="CA158">
        <v>1773196010</v>
      </c>
      <c r="CB158">
        <v>1773196005.5</v>
      </c>
      <c r="CC158">
        <v>2</v>
      </c>
      <c r="CD158">
        <v>-0.279</v>
      </c>
      <c r="CE158">
        <v>-0.021</v>
      </c>
      <c r="CF158">
        <v>6.231</v>
      </c>
      <c r="CG158">
        <v>0.081</v>
      </c>
      <c r="CH158">
        <v>432</v>
      </c>
      <c r="CI158">
        <v>21</v>
      </c>
      <c r="CJ158">
        <v>0.03</v>
      </c>
      <c r="CK158">
        <v>0.06</v>
      </c>
      <c r="CL158">
        <v>418.3548333333333</v>
      </c>
      <c r="CM158">
        <v>-0.5133971078976542</v>
      </c>
      <c r="CN158">
        <v>0.04051426360623947</v>
      </c>
      <c r="CO158">
        <v>-1</v>
      </c>
      <c r="CP158">
        <v>499.9974</v>
      </c>
      <c r="CQ158">
        <v>0.2838887652933762</v>
      </c>
      <c r="CR158">
        <v>0.04213597038161628</v>
      </c>
      <c r="CS158">
        <v>-1</v>
      </c>
      <c r="CT158">
        <v>0</v>
      </c>
      <c r="CU158">
        <v>0</v>
      </c>
      <c r="CV158" t="s">
        <v>333</v>
      </c>
      <c r="CW158">
        <v>3.17109</v>
      </c>
      <c r="CX158">
        <v>2.66537</v>
      </c>
      <c r="CY158">
        <v>0.0985738</v>
      </c>
      <c r="CZ158">
        <v>0.09935049999999999</v>
      </c>
      <c r="DA158">
        <v>0.0670192</v>
      </c>
      <c r="DB158">
        <v>0.06657349999999999</v>
      </c>
      <c r="DC158">
        <v>21318.2</v>
      </c>
      <c r="DD158">
        <v>21898</v>
      </c>
      <c r="DE158">
        <v>22803.5</v>
      </c>
      <c r="DF158">
        <v>22262</v>
      </c>
      <c r="DG158">
        <v>32177.3</v>
      </c>
      <c r="DH158">
        <v>29271.2</v>
      </c>
      <c r="DI158">
        <v>40141.1</v>
      </c>
      <c r="DJ158">
        <v>36820.8</v>
      </c>
      <c r="DK158">
        <v>2.02192</v>
      </c>
      <c r="DL158">
        <v>1.49304</v>
      </c>
      <c r="DM158">
        <v>-0.0882506</v>
      </c>
      <c r="DN158">
        <v>0</v>
      </c>
      <c r="DO158">
        <v>32.4522</v>
      </c>
      <c r="DP158">
        <v>999.9</v>
      </c>
      <c r="DQ158">
        <v>23</v>
      </c>
      <c r="DR158">
        <v>45.8</v>
      </c>
      <c r="DS158">
        <v>23.0775</v>
      </c>
      <c r="DT158">
        <v>29.7964</v>
      </c>
      <c r="DU158">
        <v>14.0625</v>
      </c>
      <c r="DV158">
        <v>1</v>
      </c>
      <c r="DW158">
        <v>0.92577</v>
      </c>
      <c r="DX158">
        <v>3.95814</v>
      </c>
      <c r="DY158">
        <v>20.3071</v>
      </c>
      <c r="DZ158">
        <v>5.20962</v>
      </c>
      <c r="EA158">
        <v>11.8554</v>
      </c>
      <c r="EB158">
        <v>4.96712</v>
      </c>
      <c r="EC158">
        <v>3.29292</v>
      </c>
      <c r="ED158">
        <v>879.4</v>
      </c>
      <c r="EE158">
        <v>9999</v>
      </c>
      <c r="EF158">
        <v>9999</v>
      </c>
      <c r="EG158">
        <v>78.40000000000001</v>
      </c>
      <c r="EH158">
        <v>4.97157</v>
      </c>
      <c r="EI158">
        <v>1.8721</v>
      </c>
      <c r="EJ158">
        <v>1.86951</v>
      </c>
      <c r="EK158">
        <v>1.8718</v>
      </c>
      <c r="EL158">
        <v>1.86961</v>
      </c>
      <c r="EM158">
        <v>1.86839</v>
      </c>
      <c r="EN158">
        <v>1.87022</v>
      </c>
      <c r="EO158">
        <v>1.87195</v>
      </c>
      <c r="EP158">
        <v>0</v>
      </c>
      <c r="EQ158">
        <v>0</v>
      </c>
      <c r="ER158">
        <v>0</v>
      </c>
      <c r="ES158">
        <v>0</v>
      </c>
      <c r="ET158" t="s">
        <v>334</v>
      </c>
      <c r="EU158" t="s">
        <v>335</v>
      </c>
      <c r="EV158" t="s">
        <v>336</v>
      </c>
      <c r="EW158" t="s">
        <v>336</v>
      </c>
      <c r="EX158" t="s">
        <v>336</v>
      </c>
      <c r="EY158" t="s">
        <v>336</v>
      </c>
      <c r="EZ158">
        <v>0</v>
      </c>
      <c r="FA158">
        <v>100</v>
      </c>
      <c r="FB158">
        <v>100</v>
      </c>
      <c r="FC158">
        <v>6.231</v>
      </c>
      <c r="FD158">
        <v>0.0806</v>
      </c>
      <c r="FE158">
        <v>6.23135000000002</v>
      </c>
      <c r="FF158">
        <v>0</v>
      </c>
      <c r="FG158">
        <v>0</v>
      </c>
      <c r="FH158">
        <v>0</v>
      </c>
      <c r="FI158">
        <v>0.08059047619047632</v>
      </c>
      <c r="FJ158">
        <v>0</v>
      </c>
      <c r="FK158">
        <v>0</v>
      </c>
      <c r="FL158">
        <v>0</v>
      </c>
      <c r="FM158">
        <v>-1</v>
      </c>
      <c r="FN158">
        <v>-1</v>
      </c>
      <c r="FO158">
        <v>-1</v>
      </c>
      <c r="FP158">
        <v>-1</v>
      </c>
      <c r="FQ158">
        <v>142.5</v>
      </c>
      <c r="FR158">
        <v>142.6</v>
      </c>
      <c r="FS158">
        <v>0.141602</v>
      </c>
      <c r="FT158">
        <v>4.99756</v>
      </c>
      <c r="FU158">
        <v>1.5979</v>
      </c>
      <c r="FV158">
        <v>2.10938</v>
      </c>
      <c r="FW158">
        <v>1.54785</v>
      </c>
      <c r="FX158">
        <v>2.38159</v>
      </c>
      <c r="FY158">
        <v>47.3617</v>
      </c>
      <c r="FZ158">
        <v>15.2878</v>
      </c>
      <c r="GA158">
        <v>3</v>
      </c>
      <c r="GB158">
        <v>520.282</v>
      </c>
      <c r="GC158">
        <v>288.846</v>
      </c>
      <c r="GD158">
        <v>27.4572</v>
      </c>
      <c r="GE158">
        <v>38.3278</v>
      </c>
      <c r="GF158">
        <v>29.9997</v>
      </c>
      <c r="GG158">
        <v>38.1875</v>
      </c>
      <c r="GH158">
        <v>38.1723</v>
      </c>
      <c r="GI158">
        <v>-1</v>
      </c>
      <c r="GJ158">
        <v>100</v>
      </c>
      <c r="GK158">
        <v>0</v>
      </c>
      <c r="GL158">
        <v>27.4747</v>
      </c>
      <c r="GM158">
        <v>1200</v>
      </c>
      <c r="GN158">
        <v>19.4378</v>
      </c>
      <c r="GO158">
        <v>100.982</v>
      </c>
      <c r="GP158">
        <v>96.15089999999999</v>
      </c>
    </row>
    <row r="159" spans="1:198">
      <c r="A159">
        <v>143</v>
      </c>
      <c r="B159">
        <v>1773204621.1</v>
      </c>
      <c r="C159">
        <v>8521.099999904633</v>
      </c>
      <c r="D159" t="s">
        <v>619</v>
      </c>
      <c r="E159" t="s">
        <v>620</v>
      </c>
      <c r="F159">
        <v>15</v>
      </c>
      <c r="G159">
        <v>1773204613.099999</v>
      </c>
      <c r="H159">
        <f>(I159)/1000</f>
        <v>0</v>
      </c>
      <c r="I159">
        <f>1000*AY159*AG159*(AU159-AV159)/(100*AN159*(1000-AG159*AU159))</f>
        <v>0</v>
      </c>
      <c r="J159">
        <f>AY159*AG159*(AT159-AS159*(1000-AG159*AV159)/(1000-AG159*AU159))/(100*AN159)</f>
        <v>0</v>
      </c>
      <c r="K159">
        <f>AS159 - IF(AG159&gt;1, J159*AN159*100.0/(AI159), 0)</f>
        <v>0</v>
      </c>
      <c r="L159">
        <f>((R159-H159/2)*K159-J159)/(R159+H159/2)</f>
        <v>0</v>
      </c>
      <c r="M159">
        <f>L159*(AZ159+BA159)/1000.0</f>
        <v>0</v>
      </c>
      <c r="N159">
        <f>(AS159 - IF(AG159&gt;1, J159*AN159*100.0/(AI159), 0))*(AZ159+BA159)/1000.0</f>
        <v>0</v>
      </c>
      <c r="O159">
        <f>2.0/((1/Q159-1/P159)+SIGN(Q159)*SQRT((1/Q159-1/P159)*(1/Q159-1/P159) + 4*AO159/((AO159+1)*(AO159+1))*(2*1/Q159*1/P159-1/P159*1/P159)))</f>
        <v>0</v>
      </c>
      <c r="P159">
        <f>IF(LEFT(AP159,1)&lt;&gt;"0",IF(LEFT(AP159,1)="1",3.0,AQ159),$D$5+$E$5*(BG159*AZ159/($K$5*1000))+$F$5*(BG159*AZ159/($K$5*1000))*MAX(MIN(AN159,$J$5),$I$5)*MAX(MIN(AN159,$J$5),$I$5)+$G$5*MAX(MIN(AN159,$J$5),$I$5)*(BG159*AZ159/($K$5*1000))+$H$5*(BG159*AZ159/($K$5*1000))*(BG159*AZ159/($K$5*1000)))</f>
        <v>0</v>
      </c>
      <c r="Q159">
        <f>H159*(1000-(1000*0.61365*exp(17.502*U159/(240.97+U159))/(AZ159+BA159)+AU159)/2)/(1000*0.61365*exp(17.502*U159/(240.97+U159))/(AZ159+BA159)-AU159)</f>
        <v>0</v>
      </c>
      <c r="R159">
        <f>1/((AO159+1)/(O159/1.6)+1/(P159/1.37)) + AO159/((AO159+1)/(O159/1.6) + AO159/(P159/1.37))</f>
        <v>0</v>
      </c>
      <c r="S159">
        <f>(AJ159*AM159)</f>
        <v>0</v>
      </c>
      <c r="T159">
        <f>(BB159+(S159+2*0.95*5.67E-8*(((BB159+$B$7)+273)^4-(BB159+273)^4)-44100*H159)/(1.84*29.3*P159+8*0.95*5.67E-8*(BB159+273)^3))</f>
        <v>0</v>
      </c>
      <c r="U159">
        <f>($C$7*BC159+$D$7*BD159+$E$7*T159)</f>
        <v>0</v>
      </c>
      <c r="V159">
        <f>0.61365*exp(17.502*U159/(240.97+U159))</f>
        <v>0</v>
      </c>
      <c r="W159">
        <f>(X159/Y159*100)</f>
        <v>0</v>
      </c>
      <c r="X159">
        <f>AU159*(AZ159+BA159)/1000</f>
        <v>0</v>
      </c>
      <c r="Y159">
        <f>0.61365*exp(17.502*BB159/(240.97+BB159))</f>
        <v>0</v>
      </c>
      <c r="Z159">
        <f>(V159-AU159*(AZ159+BA159)/1000)</f>
        <v>0</v>
      </c>
      <c r="AA159">
        <f>(-H159*44100)</f>
        <v>0</v>
      </c>
      <c r="AB159">
        <f>2*29.3*P159*0.92*(BB159-U159)</f>
        <v>0</v>
      </c>
      <c r="AC159">
        <f>2*0.95*5.67E-8*(((BB159+$B$7)+273)^4-(U159+273)^4)</f>
        <v>0</v>
      </c>
      <c r="AD159">
        <f>S159+AC159+AA159+AB159</f>
        <v>0</v>
      </c>
      <c r="AE159">
        <v>0</v>
      </c>
      <c r="AF159">
        <v>0</v>
      </c>
      <c r="AG159">
        <f>IF(AE159*$H$13&gt;=AI159,1.0,(AI159/(AI159-AE159*$H$13)))</f>
        <v>0</v>
      </c>
      <c r="AH159">
        <f>(AG159-1)*100</f>
        <v>0</v>
      </c>
      <c r="AI159">
        <f>MAX(0,($B$13+$C$13*BG159)/(1+$D$13*BG159)*AZ159/(BB159+273)*$E$13)</f>
        <v>0</v>
      </c>
      <c r="AJ159">
        <f>$B$11*BH159+$C$11*BI159+$D$11*BT159</f>
        <v>0</v>
      </c>
      <c r="AK159">
        <f>AJ159*AL159</f>
        <v>0</v>
      </c>
      <c r="AL159">
        <f>($B$11*$D$9+$C$11*$D$9+$D$11*(BU159*$E$9+BV159*$G$9))/($B$11+$C$11+$D$11)</f>
        <v>0</v>
      </c>
      <c r="AM159">
        <f>($B$11*$K$9+$C$11*$K$9+$D$11*(BU159*$L$9+BV159*$N$9))/($B$11+$C$11+$D$11)</f>
        <v>0</v>
      </c>
      <c r="AN159">
        <v>3</v>
      </c>
      <c r="AO159">
        <v>0.5</v>
      </c>
      <c r="AP159" t="s">
        <v>331</v>
      </c>
      <c r="AQ159">
        <v>2</v>
      </c>
      <c r="AR159">
        <v>1773204613.099999</v>
      </c>
      <c r="AS159">
        <v>420.4746774193548</v>
      </c>
      <c r="AT159">
        <v>418.2576129032258</v>
      </c>
      <c r="AU159">
        <v>12.05131612903226</v>
      </c>
      <c r="AV159">
        <v>11.92631612903226</v>
      </c>
      <c r="AW159">
        <v>414.2432258064516</v>
      </c>
      <c r="AX159">
        <v>11.97072258064516</v>
      </c>
      <c r="AY159">
        <v>500.0154193548386</v>
      </c>
      <c r="AZ159">
        <v>100.1063225806452</v>
      </c>
      <c r="BA159">
        <v>0.04582182903225807</v>
      </c>
      <c r="BB159">
        <v>30.75033548387097</v>
      </c>
      <c r="BC159">
        <v>31.01313870967742</v>
      </c>
      <c r="BD159">
        <v>999.9000000000003</v>
      </c>
      <c r="BE159">
        <v>0</v>
      </c>
      <c r="BF159">
        <v>0</v>
      </c>
      <c r="BG159">
        <v>5002.790322580645</v>
      </c>
      <c r="BH159">
        <v>1.023485451612903</v>
      </c>
      <c r="BI159">
        <v>2096.001935483871</v>
      </c>
      <c r="BJ159">
        <v>2.216981612903226</v>
      </c>
      <c r="BK159">
        <v>425.6038064516129</v>
      </c>
      <c r="BL159">
        <v>423.3061612903226</v>
      </c>
      <c r="BM159">
        <v>0.1250001935483871</v>
      </c>
      <c r="BN159">
        <v>418.2576129032258</v>
      </c>
      <c r="BO159">
        <v>11.92631612903226</v>
      </c>
      <c r="BP159">
        <v>1.206413870967742</v>
      </c>
      <c r="BQ159">
        <v>1.1939</v>
      </c>
      <c r="BR159">
        <v>9.680928064516129</v>
      </c>
      <c r="BS159">
        <v>9.525703548387096</v>
      </c>
      <c r="BT159">
        <v>0</v>
      </c>
      <c r="BU159">
        <v>0</v>
      </c>
      <c r="BV159">
        <v>0</v>
      </c>
      <c r="BW159">
        <v>35.0215129032258</v>
      </c>
      <c r="BX159">
        <v>36.7000064516129</v>
      </c>
      <c r="BY159">
        <v>1773196010</v>
      </c>
      <c r="BZ159" t="s">
        <v>332</v>
      </c>
      <c r="CA159">
        <v>1773196010</v>
      </c>
      <c r="CB159">
        <v>1773196005.5</v>
      </c>
      <c r="CC159">
        <v>2</v>
      </c>
      <c r="CD159">
        <v>-0.279</v>
      </c>
      <c r="CE159">
        <v>-0.021</v>
      </c>
      <c r="CF159">
        <v>6.231</v>
      </c>
      <c r="CG159">
        <v>0.081</v>
      </c>
      <c r="CH159">
        <v>432</v>
      </c>
      <c r="CI159">
        <v>21</v>
      </c>
      <c r="CJ159">
        <v>0.03</v>
      </c>
      <c r="CK159">
        <v>0.06</v>
      </c>
      <c r="CL159">
        <v>418.2561290322581</v>
      </c>
      <c r="CM159">
        <v>0.0268064516129453</v>
      </c>
      <c r="CN159">
        <v>0.01057001826678849</v>
      </c>
      <c r="CO159">
        <v>-1</v>
      </c>
      <c r="CP159">
        <v>500.013129032258</v>
      </c>
      <c r="CQ159">
        <v>0.1157903225776415</v>
      </c>
      <c r="CR159">
        <v>0.0228751759175099</v>
      </c>
      <c r="CS159">
        <v>-1</v>
      </c>
      <c r="CT159">
        <v>0</v>
      </c>
      <c r="CU159">
        <v>0</v>
      </c>
      <c r="CV159" t="s">
        <v>333</v>
      </c>
      <c r="CW159">
        <v>3.17112</v>
      </c>
      <c r="CX159">
        <v>2.66731</v>
      </c>
      <c r="CY159">
        <v>0.0985557</v>
      </c>
      <c r="CZ159">
        <v>0.09933210000000001</v>
      </c>
      <c r="DA159">
        <v>0.0671257</v>
      </c>
      <c r="DB159">
        <v>0.0666737</v>
      </c>
      <c r="DC159">
        <v>21318.7</v>
      </c>
      <c r="DD159">
        <v>21898.9</v>
      </c>
      <c r="DE159">
        <v>22803.6</v>
      </c>
      <c r="DF159">
        <v>22262.4</v>
      </c>
      <c r="DG159">
        <v>32173.7</v>
      </c>
      <c r="DH159">
        <v>29268.7</v>
      </c>
      <c r="DI159">
        <v>40141.1</v>
      </c>
      <c r="DJ159">
        <v>36821.7</v>
      </c>
      <c r="DK159">
        <v>2.02206</v>
      </c>
      <c r="DL159">
        <v>1.49388</v>
      </c>
      <c r="DM159">
        <v>-0.0817657</v>
      </c>
      <c r="DN159">
        <v>0</v>
      </c>
      <c r="DO159">
        <v>32.3375</v>
      </c>
      <c r="DP159">
        <v>999.9</v>
      </c>
      <c r="DQ159">
        <v>23.1</v>
      </c>
      <c r="DR159">
        <v>45.9</v>
      </c>
      <c r="DS159">
        <v>23.2942</v>
      </c>
      <c r="DT159">
        <v>29.9464</v>
      </c>
      <c r="DU159">
        <v>13.9543</v>
      </c>
      <c r="DV159">
        <v>1</v>
      </c>
      <c r="DW159">
        <v>0.921431</v>
      </c>
      <c r="DX159">
        <v>3.52244</v>
      </c>
      <c r="DY159">
        <v>20.3185</v>
      </c>
      <c r="DZ159">
        <v>5.20998</v>
      </c>
      <c r="EA159">
        <v>11.857</v>
      </c>
      <c r="EB159">
        <v>4.96724</v>
      </c>
      <c r="EC159">
        <v>3.29296</v>
      </c>
      <c r="ED159">
        <v>879.4</v>
      </c>
      <c r="EE159">
        <v>9999</v>
      </c>
      <c r="EF159">
        <v>9999</v>
      </c>
      <c r="EG159">
        <v>78.40000000000001</v>
      </c>
      <c r="EH159">
        <v>4.97159</v>
      </c>
      <c r="EI159">
        <v>1.8721</v>
      </c>
      <c r="EJ159">
        <v>1.8695</v>
      </c>
      <c r="EK159">
        <v>1.8718</v>
      </c>
      <c r="EL159">
        <v>1.86962</v>
      </c>
      <c r="EM159">
        <v>1.86842</v>
      </c>
      <c r="EN159">
        <v>1.87026</v>
      </c>
      <c r="EO159">
        <v>1.87195</v>
      </c>
      <c r="EP159">
        <v>0</v>
      </c>
      <c r="EQ159">
        <v>0</v>
      </c>
      <c r="ER159">
        <v>0</v>
      </c>
      <c r="ES159">
        <v>0</v>
      </c>
      <c r="ET159" t="s">
        <v>334</v>
      </c>
      <c r="EU159" t="s">
        <v>335</v>
      </c>
      <c r="EV159" t="s">
        <v>336</v>
      </c>
      <c r="EW159" t="s">
        <v>336</v>
      </c>
      <c r="EX159" t="s">
        <v>336</v>
      </c>
      <c r="EY159" t="s">
        <v>336</v>
      </c>
      <c r="EZ159">
        <v>0</v>
      </c>
      <c r="FA159">
        <v>100</v>
      </c>
      <c r="FB159">
        <v>100</v>
      </c>
      <c r="FC159">
        <v>6.232</v>
      </c>
      <c r="FD159">
        <v>0.0806</v>
      </c>
      <c r="FE159">
        <v>6.23135000000002</v>
      </c>
      <c r="FF159">
        <v>0</v>
      </c>
      <c r="FG159">
        <v>0</v>
      </c>
      <c r="FH159">
        <v>0</v>
      </c>
      <c r="FI159">
        <v>0.08059047619047632</v>
      </c>
      <c r="FJ159">
        <v>0</v>
      </c>
      <c r="FK159">
        <v>0</v>
      </c>
      <c r="FL159">
        <v>0</v>
      </c>
      <c r="FM159">
        <v>-1</v>
      </c>
      <c r="FN159">
        <v>-1</v>
      </c>
      <c r="FO159">
        <v>-1</v>
      </c>
      <c r="FP159">
        <v>-1</v>
      </c>
      <c r="FQ159">
        <v>143.5</v>
      </c>
      <c r="FR159">
        <v>143.6</v>
      </c>
      <c r="FS159">
        <v>0.141602</v>
      </c>
      <c r="FT159">
        <v>4.99756</v>
      </c>
      <c r="FU159">
        <v>1.5979</v>
      </c>
      <c r="FV159">
        <v>2.10938</v>
      </c>
      <c r="FW159">
        <v>1.54785</v>
      </c>
      <c r="FX159">
        <v>2.4292</v>
      </c>
      <c r="FY159">
        <v>47.4216</v>
      </c>
      <c r="FZ159">
        <v>15.2791</v>
      </c>
      <c r="GA159">
        <v>3</v>
      </c>
      <c r="GB159">
        <v>520.422</v>
      </c>
      <c r="GC159">
        <v>289.266</v>
      </c>
      <c r="GD159">
        <v>27.915</v>
      </c>
      <c r="GE159">
        <v>38.3204</v>
      </c>
      <c r="GF159">
        <v>30</v>
      </c>
      <c r="GG159">
        <v>38.1948</v>
      </c>
      <c r="GH159">
        <v>38.1795</v>
      </c>
      <c r="GI159">
        <v>-1</v>
      </c>
      <c r="GJ159">
        <v>100</v>
      </c>
      <c r="GK159">
        <v>0</v>
      </c>
      <c r="GL159">
        <v>27.9254</v>
      </c>
      <c r="GM159">
        <v>1200</v>
      </c>
      <c r="GN159">
        <v>19.4378</v>
      </c>
      <c r="GO159">
        <v>100.982</v>
      </c>
      <c r="GP159">
        <v>96.15300000000001</v>
      </c>
    </row>
    <row r="160" spans="1:198">
      <c r="A160">
        <v>144</v>
      </c>
      <c r="B160">
        <v>1773204681.1</v>
      </c>
      <c r="C160">
        <v>8581.099999904633</v>
      </c>
      <c r="D160" t="s">
        <v>621</v>
      </c>
      <c r="E160" t="s">
        <v>622</v>
      </c>
      <c r="F160">
        <v>15</v>
      </c>
      <c r="G160">
        <v>1773204673.099999</v>
      </c>
      <c r="H160">
        <f>(I160)/1000</f>
        <v>0</v>
      </c>
      <c r="I160">
        <f>1000*AY160*AG160*(AU160-AV160)/(100*AN160*(1000-AG160*AU160))</f>
        <v>0</v>
      </c>
      <c r="J160">
        <f>AY160*AG160*(AT160-AS160*(1000-AG160*AV160)/(1000-AG160*AU160))/(100*AN160)</f>
        <v>0</v>
      </c>
      <c r="K160">
        <f>AS160 - IF(AG160&gt;1, J160*AN160*100.0/(AI160), 0)</f>
        <v>0</v>
      </c>
      <c r="L160">
        <f>((R160-H160/2)*K160-J160)/(R160+H160/2)</f>
        <v>0</v>
      </c>
      <c r="M160">
        <f>L160*(AZ160+BA160)/1000.0</f>
        <v>0</v>
      </c>
      <c r="N160">
        <f>(AS160 - IF(AG160&gt;1, J160*AN160*100.0/(AI160), 0))*(AZ160+BA160)/1000.0</f>
        <v>0</v>
      </c>
      <c r="O160">
        <f>2.0/((1/Q160-1/P160)+SIGN(Q160)*SQRT((1/Q160-1/P160)*(1/Q160-1/P160) + 4*AO160/((AO160+1)*(AO160+1))*(2*1/Q160*1/P160-1/P160*1/P160)))</f>
        <v>0</v>
      </c>
      <c r="P160">
        <f>IF(LEFT(AP160,1)&lt;&gt;"0",IF(LEFT(AP160,1)="1",3.0,AQ160),$D$5+$E$5*(BG160*AZ160/($K$5*1000))+$F$5*(BG160*AZ160/($K$5*1000))*MAX(MIN(AN160,$J$5),$I$5)*MAX(MIN(AN160,$J$5),$I$5)+$G$5*MAX(MIN(AN160,$J$5),$I$5)*(BG160*AZ160/($K$5*1000))+$H$5*(BG160*AZ160/($K$5*1000))*(BG160*AZ160/($K$5*1000)))</f>
        <v>0</v>
      </c>
      <c r="Q160">
        <f>H160*(1000-(1000*0.61365*exp(17.502*U160/(240.97+U160))/(AZ160+BA160)+AU160)/2)/(1000*0.61365*exp(17.502*U160/(240.97+U160))/(AZ160+BA160)-AU160)</f>
        <v>0</v>
      </c>
      <c r="R160">
        <f>1/((AO160+1)/(O160/1.6)+1/(P160/1.37)) + AO160/((AO160+1)/(O160/1.6) + AO160/(P160/1.37))</f>
        <v>0</v>
      </c>
      <c r="S160">
        <f>(AJ160*AM160)</f>
        <v>0</v>
      </c>
      <c r="T160">
        <f>(BB160+(S160+2*0.95*5.67E-8*(((BB160+$B$7)+273)^4-(BB160+273)^4)-44100*H160)/(1.84*29.3*P160+8*0.95*5.67E-8*(BB160+273)^3))</f>
        <v>0</v>
      </c>
      <c r="U160">
        <f>($C$7*BC160+$D$7*BD160+$E$7*T160)</f>
        <v>0</v>
      </c>
      <c r="V160">
        <f>0.61365*exp(17.502*U160/(240.97+U160))</f>
        <v>0</v>
      </c>
      <c r="W160">
        <f>(X160/Y160*100)</f>
        <v>0</v>
      </c>
      <c r="X160">
        <f>AU160*(AZ160+BA160)/1000</f>
        <v>0</v>
      </c>
      <c r="Y160">
        <f>0.61365*exp(17.502*BB160/(240.97+BB160))</f>
        <v>0</v>
      </c>
      <c r="Z160">
        <f>(V160-AU160*(AZ160+BA160)/1000)</f>
        <v>0</v>
      </c>
      <c r="AA160">
        <f>(-H160*44100)</f>
        <v>0</v>
      </c>
      <c r="AB160">
        <f>2*29.3*P160*0.92*(BB160-U160)</f>
        <v>0</v>
      </c>
      <c r="AC160">
        <f>2*0.95*5.67E-8*(((BB160+$B$7)+273)^4-(U160+273)^4)</f>
        <v>0</v>
      </c>
      <c r="AD160">
        <f>S160+AC160+AA160+AB160</f>
        <v>0</v>
      </c>
      <c r="AE160">
        <v>0</v>
      </c>
      <c r="AF160">
        <v>0</v>
      </c>
      <c r="AG160">
        <f>IF(AE160*$H$13&gt;=AI160,1.0,(AI160/(AI160-AE160*$H$13)))</f>
        <v>0</v>
      </c>
      <c r="AH160">
        <f>(AG160-1)*100</f>
        <v>0</v>
      </c>
      <c r="AI160">
        <f>MAX(0,($B$13+$C$13*BG160)/(1+$D$13*BG160)*AZ160/(BB160+273)*$E$13)</f>
        <v>0</v>
      </c>
      <c r="AJ160">
        <f>$B$11*BH160+$C$11*BI160+$D$11*BT160</f>
        <v>0</v>
      </c>
      <c r="AK160">
        <f>AJ160*AL160</f>
        <v>0</v>
      </c>
      <c r="AL160">
        <f>($B$11*$D$9+$C$11*$D$9+$D$11*(BU160*$E$9+BV160*$G$9))/($B$11+$C$11+$D$11)</f>
        <v>0</v>
      </c>
      <c r="AM160">
        <f>($B$11*$K$9+$C$11*$K$9+$D$11*(BU160*$L$9+BV160*$N$9))/($B$11+$C$11+$D$11)</f>
        <v>0</v>
      </c>
      <c r="AN160">
        <v>3</v>
      </c>
      <c r="AO160">
        <v>0.5</v>
      </c>
      <c r="AP160" t="s">
        <v>331</v>
      </c>
      <c r="AQ160">
        <v>2</v>
      </c>
      <c r="AR160">
        <v>1773204673.099999</v>
      </c>
      <c r="AS160">
        <v>420.5235806451614</v>
      </c>
      <c r="AT160">
        <v>418.2758709677419</v>
      </c>
      <c r="AU160">
        <v>12.06780322580645</v>
      </c>
      <c r="AV160">
        <v>11.94159032258064</v>
      </c>
      <c r="AW160">
        <v>414.2922580645161</v>
      </c>
      <c r="AX160">
        <v>11.98720967741935</v>
      </c>
      <c r="AY160">
        <v>499.9712580645161</v>
      </c>
      <c r="AZ160">
        <v>100.1029677419355</v>
      </c>
      <c r="BA160">
        <v>0.04586210322580645</v>
      </c>
      <c r="BB160">
        <v>30.80161290322581</v>
      </c>
      <c r="BC160">
        <v>31.05434193548387</v>
      </c>
      <c r="BD160">
        <v>999.9000000000003</v>
      </c>
      <c r="BE160">
        <v>0</v>
      </c>
      <c r="BF160">
        <v>0</v>
      </c>
      <c r="BG160">
        <v>4996.629032258064</v>
      </c>
      <c r="BH160">
        <v>0.9553330967741936</v>
      </c>
      <c r="BI160">
        <v>2085.176451612903</v>
      </c>
      <c r="BJ160">
        <v>2.247799354838709</v>
      </c>
      <c r="BK160">
        <v>425.6602903225807</v>
      </c>
      <c r="BL160">
        <v>423.3309677419354</v>
      </c>
      <c r="BM160">
        <v>0.1262083225806451</v>
      </c>
      <c r="BN160">
        <v>418.2758709677419</v>
      </c>
      <c r="BO160">
        <v>11.94159032258064</v>
      </c>
      <c r="BP160">
        <v>1.208023870967742</v>
      </c>
      <c r="BQ160">
        <v>1.195389032258064</v>
      </c>
      <c r="BR160">
        <v>9.700792903225805</v>
      </c>
      <c r="BS160">
        <v>9.544251935483873</v>
      </c>
      <c r="BT160">
        <v>0</v>
      </c>
      <c r="BU160">
        <v>0</v>
      </c>
      <c r="BV160">
        <v>0</v>
      </c>
      <c r="BW160">
        <v>35</v>
      </c>
      <c r="BX160">
        <v>36</v>
      </c>
      <c r="BY160">
        <v>1773196010</v>
      </c>
      <c r="BZ160" t="s">
        <v>332</v>
      </c>
      <c r="CA160">
        <v>1773196010</v>
      </c>
      <c r="CB160">
        <v>1773196005.5</v>
      </c>
      <c r="CC160">
        <v>2</v>
      </c>
      <c r="CD160">
        <v>-0.279</v>
      </c>
      <c r="CE160">
        <v>-0.021</v>
      </c>
      <c r="CF160">
        <v>6.231</v>
      </c>
      <c r="CG160">
        <v>0.081</v>
      </c>
      <c r="CH160">
        <v>432</v>
      </c>
      <c r="CI160">
        <v>21</v>
      </c>
      <c r="CJ160">
        <v>0.03</v>
      </c>
      <c r="CK160">
        <v>0.06</v>
      </c>
      <c r="CL160">
        <v>418.2752666666667</v>
      </c>
      <c r="CM160">
        <v>-0.1713904338145312</v>
      </c>
      <c r="CN160">
        <v>0.01931654443446988</v>
      </c>
      <c r="CO160">
        <v>-1</v>
      </c>
      <c r="CP160">
        <v>499.9696333333333</v>
      </c>
      <c r="CQ160">
        <v>0.3818909899883887</v>
      </c>
      <c r="CR160">
        <v>0.03853698079622186</v>
      </c>
      <c r="CS160">
        <v>-1</v>
      </c>
      <c r="CT160">
        <v>0</v>
      </c>
      <c r="CU160">
        <v>0</v>
      </c>
      <c r="CV160" t="s">
        <v>333</v>
      </c>
      <c r="CW160">
        <v>3.17112</v>
      </c>
      <c r="CX160">
        <v>2.66692</v>
      </c>
      <c r="CY160">
        <v>0.09855410000000001</v>
      </c>
      <c r="CZ160">
        <v>0.0993313</v>
      </c>
      <c r="DA160">
        <v>0.0671769</v>
      </c>
      <c r="DB160">
        <v>0.06675250000000001</v>
      </c>
      <c r="DC160">
        <v>21318</v>
      </c>
      <c r="DD160">
        <v>21898</v>
      </c>
      <c r="DE160">
        <v>22802.8</v>
      </c>
      <c r="DF160">
        <v>22261.5</v>
      </c>
      <c r="DG160">
        <v>32171.1</v>
      </c>
      <c r="DH160">
        <v>29264.9</v>
      </c>
      <c r="DI160">
        <v>40140</v>
      </c>
      <c r="DJ160">
        <v>36819.9</v>
      </c>
      <c r="DK160">
        <v>2.02206</v>
      </c>
      <c r="DL160">
        <v>1.49286</v>
      </c>
      <c r="DM160">
        <v>-0.07543270000000001</v>
      </c>
      <c r="DN160">
        <v>0</v>
      </c>
      <c r="DO160">
        <v>32.2574</v>
      </c>
      <c r="DP160">
        <v>999.9</v>
      </c>
      <c r="DQ160">
        <v>23.2</v>
      </c>
      <c r="DR160">
        <v>45.9</v>
      </c>
      <c r="DS160">
        <v>23.3985</v>
      </c>
      <c r="DT160">
        <v>30.3364</v>
      </c>
      <c r="DU160">
        <v>14.1386</v>
      </c>
      <c r="DV160">
        <v>1</v>
      </c>
      <c r="DW160">
        <v>0.92911</v>
      </c>
      <c r="DX160">
        <v>4.10428</v>
      </c>
      <c r="DY160">
        <v>20.301</v>
      </c>
      <c r="DZ160">
        <v>5.20986</v>
      </c>
      <c r="EA160">
        <v>11.8572</v>
      </c>
      <c r="EB160">
        <v>4.9672</v>
      </c>
      <c r="EC160">
        <v>3.29298</v>
      </c>
      <c r="ED160">
        <v>879.4</v>
      </c>
      <c r="EE160">
        <v>9999</v>
      </c>
      <c r="EF160">
        <v>9999</v>
      </c>
      <c r="EG160">
        <v>78.40000000000001</v>
      </c>
      <c r="EH160">
        <v>4.97155</v>
      </c>
      <c r="EI160">
        <v>1.8721</v>
      </c>
      <c r="EJ160">
        <v>1.86951</v>
      </c>
      <c r="EK160">
        <v>1.8718</v>
      </c>
      <c r="EL160">
        <v>1.86956</v>
      </c>
      <c r="EM160">
        <v>1.86841</v>
      </c>
      <c r="EN160">
        <v>1.87023</v>
      </c>
      <c r="EO160">
        <v>1.87195</v>
      </c>
      <c r="EP160">
        <v>0</v>
      </c>
      <c r="EQ160">
        <v>0</v>
      </c>
      <c r="ER160">
        <v>0</v>
      </c>
      <c r="ES160">
        <v>0</v>
      </c>
      <c r="ET160" t="s">
        <v>334</v>
      </c>
      <c r="EU160" t="s">
        <v>335</v>
      </c>
      <c r="EV160" t="s">
        <v>336</v>
      </c>
      <c r="EW160" t="s">
        <v>336</v>
      </c>
      <c r="EX160" t="s">
        <v>336</v>
      </c>
      <c r="EY160" t="s">
        <v>336</v>
      </c>
      <c r="EZ160">
        <v>0</v>
      </c>
      <c r="FA160">
        <v>100</v>
      </c>
      <c r="FB160">
        <v>100</v>
      </c>
      <c r="FC160">
        <v>6.231</v>
      </c>
      <c r="FD160">
        <v>0.0806</v>
      </c>
      <c r="FE160">
        <v>6.23135000000002</v>
      </c>
      <c r="FF160">
        <v>0</v>
      </c>
      <c r="FG160">
        <v>0</v>
      </c>
      <c r="FH160">
        <v>0</v>
      </c>
      <c r="FI160">
        <v>0.08059047619047632</v>
      </c>
      <c r="FJ160">
        <v>0</v>
      </c>
      <c r="FK160">
        <v>0</v>
      </c>
      <c r="FL160">
        <v>0</v>
      </c>
      <c r="FM160">
        <v>-1</v>
      </c>
      <c r="FN160">
        <v>-1</v>
      </c>
      <c r="FO160">
        <v>-1</v>
      </c>
      <c r="FP160">
        <v>-1</v>
      </c>
      <c r="FQ160">
        <v>144.5</v>
      </c>
      <c r="FR160">
        <v>144.6</v>
      </c>
      <c r="FS160">
        <v>0.141602</v>
      </c>
      <c r="FT160">
        <v>4.99756</v>
      </c>
      <c r="FU160">
        <v>1.5979</v>
      </c>
      <c r="FV160">
        <v>2.10938</v>
      </c>
      <c r="FW160">
        <v>1.54785</v>
      </c>
      <c r="FX160">
        <v>2.45117</v>
      </c>
      <c r="FY160">
        <v>47.4816</v>
      </c>
      <c r="FZ160">
        <v>15.2703</v>
      </c>
      <c r="GA160">
        <v>3</v>
      </c>
      <c r="GB160">
        <v>520.499</v>
      </c>
      <c r="GC160">
        <v>288.845</v>
      </c>
      <c r="GD160">
        <v>27.6047</v>
      </c>
      <c r="GE160">
        <v>38.3131</v>
      </c>
      <c r="GF160">
        <v>29.999</v>
      </c>
      <c r="GG160">
        <v>38.2058</v>
      </c>
      <c r="GH160">
        <v>38.1941</v>
      </c>
      <c r="GI160">
        <v>-1</v>
      </c>
      <c r="GJ160">
        <v>100</v>
      </c>
      <c r="GK160">
        <v>0</v>
      </c>
      <c r="GL160">
        <v>27.688</v>
      </c>
      <c r="GM160">
        <v>1200</v>
      </c>
      <c r="GN160">
        <v>19.4378</v>
      </c>
      <c r="GO160">
        <v>100.979</v>
      </c>
      <c r="GP160">
        <v>96.1485</v>
      </c>
    </row>
    <row r="161" spans="1:198">
      <c r="A161">
        <v>145</v>
      </c>
      <c r="B161">
        <v>1773204741.1</v>
      </c>
      <c r="C161">
        <v>8641.099999904633</v>
      </c>
      <c r="D161" t="s">
        <v>623</v>
      </c>
      <c r="E161" t="s">
        <v>624</v>
      </c>
      <c r="F161">
        <v>15</v>
      </c>
      <c r="G161">
        <v>1773204733.099999</v>
      </c>
      <c r="H161">
        <f>(I161)/1000</f>
        <v>0</v>
      </c>
      <c r="I161">
        <f>1000*AY161*AG161*(AU161-AV161)/(100*AN161*(1000-AG161*AU161))</f>
        <v>0</v>
      </c>
      <c r="J161">
        <f>AY161*AG161*(AT161-AS161*(1000-AG161*AV161)/(1000-AG161*AU161))/(100*AN161)</f>
        <v>0</v>
      </c>
      <c r="K161">
        <f>AS161 - IF(AG161&gt;1, J161*AN161*100.0/(AI161), 0)</f>
        <v>0</v>
      </c>
      <c r="L161">
        <f>((R161-H161/2)*K161-J161)/(R161+H161/2)</f>
        <v>0</v>
      </c>
      <c r="M161">
        <f>L161*(AZ161+BA161)/1000.0</f>
        <v>0</v>
      </c>
      <c r="N161">
        <f>(AS161 - IF(AG161&gt;1, J161*AN161*100.0/(AI161), 0))*(AZ161+BA161)/1000.0</f>
        <v>0</v>
      </c>
      <c r="O161">
        <f>2.0/((1/Q161-1/P161)+SIGN(Q161)*SQRT((1/Q161-1/P161)*(1/Q161-1/P161) + 4*AO161/((AO161+1)*(AO161+1))*(2*1/Q161*1/P161-1/P161*1/P161)))</f>
        <v>0</v>
      </c>
      <c r="P161">
        <f>IF(LEFT(AP161,1)&lt;&gt;"0",IF(LEFT(AP161,1)="1",3.0,AQ161),$D$5+$E$5*(BG161*AZ161/($K$5*1000))+$F$5*(BG161*AZ161/($K$5*1000))*MAX(MIN(AN161,$J$5),$I$5)*MAX(MIN(AN161,$J$5),$I$5)+$G$5*MAX(MIN(AN161,$J$5),$I$5)*(BG161*AZ161/($K$5*1000))+$H$5*(BG161*AZ161/($K$5*1000))*(BG161*AZ161/($K$5*1000)))</f>
        <v>0</v>
      </c>
      <c r="Q161">
        <f>H161*(1000-(1000*0.61365*exp(17.502*U161/(240.97+U161))/(AZ161+BA161)+AU161)/2)/(1000*0.61365*exp(17.502*U161/(240.97+U161))/(AZ161+BA161)-AU161)</f>
        <v>0</v>
      </c>
      <c r="R161">
        <f>1/((AO161+1)/(O161/1.6)+1/(P161/1.37)) + AO161/((AO161+1)/(O161/1.6) + AO161/(P161/1.37))</f>
        <v>0</v>
      </c>
      <c r="S161">
        <f>(AJ161*AM161)</f>
        <v>0</v>
      </c>
      <c r="T161">
        <f>(BB161+(S161+2*0.95*5.67E-8*(((BB161+$B$7)+273)^4-(BB161+273)^4)-44100*H161)/(1.84*29.3*P161+8*0.95*5.67E-8*(BB161+273)^3))</f>
        <v>0</v>
      </c>
      <c r="U161">
        <f>($C$7*BC161+$D$7*BD161+$E$7*T161)</f>
        <v>0</v>
      </c>
      <c r="V161">
        <f>0.61365*exp(17.502*U161/(240.97+U161))</f>
        <v>0</v>
      </c>
      <c r="W161">
        <f>(X161/Y161*100)</f>
        <v>0</v>
      </c>
      <c r="X161">
        <f>AU161*(AZ161+BA161)/1000</f>
        <v>0</v>
      </c>
      <c r="Y161">
        <f>0.61365*exp(17.502*BB161/(240.97+BB161))</f>
        <v>0</v>
      </c>
      <c r="Z161">
        <f>(V161-AU161*(AZ161+BA161)/1000)</f>
        <v>0</v>
      </c>
      <c r="AA161">
        <f>(-H161*44100)</f>
        <v>0</v>
      </c>
      <c r="AB161">
        <f>2*29.3*P161*0.92*(BB161-U161)</f>
        <v>0</v>
      </c>
      <c r="AC161">
        <f>2*0.95*5.67E-8*(((BB161+$B$7)+273)^4-(U161+273)^4)</f>
        <v>0</v>
      </c>
      <c r="AD161">
        <f>S161+AC161+AA161+AB161</f>
        <v>0</v>
      </c>
      <c r="AE161">
        <v>0</v>
      </c>
      <c r="AF161">
        <v>0</v>
      </c>
      <c r="AG161">
        <f>IF(AE161*$H$13&gt;=AI161,1.0,(AI161/(AI161-AE161*$H$13)))</f>
        <v>0</v>
      </c>
      <c r="AH161">
        <f>(AG161-1)*100</f>
        <v>0</v>
      </c>
      <c r="AI161">
        <f>MAX(0,($B$13+$C$13*BG161)/(1+$D$13*BG161)*AZ161/(BB161+273)*$E$13)</f>
        <v>0</v>
      </c>
      <c r="AJ161">
        <f>$B$11*BH161+$C$11*BI161+$D$11*BT161</f>
        <v>0</v>
      </c>
      <c r="AK161">
        <f>AJ161*AL161</f>
        <v>0</v>
      </c>
      <c r="AL161">
        <f>($B$11*$D$9+$C$11*$D$9+$D$11*(BU161*$E$9+BV161*$G$9))/($B$11+$C$11+$D$11)</f>
        <v>0</v>
      </c>
      <c r="AM161">
        <f>($B$11*$K$9+$C$11*$K$9+$D$11*(BU161*$L$9+BV161*$N$9))/($B$11+$C$11+$D$11)</f>
        <v>0</v>
      </c>
      <c r="AN161">
        <v>3</v>
      </c>
      <c r="AO161">
        <v>0.5</v>
      </c>
      <c r="AP161" t="s">
        <v>331</v>
      </c>
      <c r="AQ161">
        <v>2</v>
      </c>
      <c r="AR161">
        <v>1773204733.099999</v>
      </c>
      <c r="AS161">
        <v>420.5099032258065</v>
      </c>
      <c r="AT161">
        <v>418.2598709677419</v>
      </c>
      <c r="AU161">
        <v>12.15270645161291</v>
      </c>
      <c r="AV161">
        <v>12.04444838709678</v>
      </c>
      <c r="AW161">
        <v>414.2785483870968</v>
      </c>
      <c r="AX161">
        <v>12.07210967741936</v>
      </c>
      <c r="AY161">
        <v>499.9934516129032</v>
      </c>
      <c r="AZ161">
        <v>100.0979677419355</v>
      </c>
      <c r="BA161">
        <v>0.04569635161290321</v>
      </c>
      <c r="BB161">
        <v>30.80999677419355</v>
      </c>
      <c r="BC161">
        <v>31.0769129032258</v>
      </c>
      <c r="BD161">
        <v>999.9000000000003</v>
      </c>
      <c r="BE161">
        <v>0</v>
      </c>
      <c r="BF161">
        <v>0</v>
      </c>
      <c r="BG161">
        <v>5005.758064516129</v>
      </c>
      <c r="BH161">
        <v>1.006778741935484</v>
      </c>
      <c r="BI161">
        <v>2113.845806451613</v>
      </c>
      <c r="BJ161">
        <v>2.250009677419355</v>
      </c>
      <c r="BK161">
        <v>425.6830645161291</v>
      </c>
      <c r="BL161">
        <v>423.3589677419355</v>
      </c>
      <c r="BM161">
        <v>0.1082430322580645</v>
      </c>
      <c r="BN161">
        <v>418.2598709677419</v>
      </c>
      <c r="BO161">
        <v>12.04444838709678</v>
      </c>
      <c r="BP161">
        <v>1.216459677419355</v>
      </c>
      <c r="BQ161">
        <v>1.205625483870968</v>
      </c>
      <c r="BR161">
        <v>9.804525161290321</v>
      </c>
      <c r="BS161">
        <v>9.67118806451613</v>
      </c>
      <c r="BT161">
        <v>0</v>
      </c>
      <c r="BU161">
        <v>0</v>
      </c>
      <c r="BV161">
        <v>0</v>
      </c>
      <c r="BW161">
        <v>35.41074516129033</v>
      </c>
      <c r="BX161">
        <v>36.03225806451613</v>
      </c>
      <c r="BY161">
        <v>1773196010</v>
      </c>
      <c r="BZ161" t="s">
        <v>332</v>
      </c>
      <c r="CA161">
        <v>1773196010</v>
      </c>
      <c r="CB161">
        <v>1773196005.5</v>
      </c>
      <c r="CC161">
        <v>2</v>
      </c>
      <c r="CD161">
        <v>-0.279</v>
      </c>
      <c r="CE161">
        <v>-0.021</v>
      </c>
      <c r="CF161">
        <v>6.231</v>
      </c>
      <c r="CG161">
        <v>0.081</v>
      </c>
      <c r="CH161">
        <v>432</v>
      </c>
      <c r="CI161">
        <v>21</v>
      </c>
      <c r="CJ161">
        <v>0.03</v>
      </c>
      <c r="CK161">
        <v>0.06</v>
      </c>
      <c r="CL161">
        <v>418.2598709677419</v>
      </c>
      <c r="CM161">
        <v>-0.3321774193550203</v>
      </c>
      <c r="CN161">
        <v>0.02688055051217243</v>
      </c>
      <c r="CO161">
        <v>-1</v>
      </c>
      <c r="CP161">
        <v>499.9934516129032</v>
      </c>
      <c r="CQ161">
        <v>0.3779516129003309</v>
      </c>
      <c r="CR161">
        <v>0.03847901708026028</v>
      </c>
      <c r="CS161">
        <v>-1</v>
      </c>
      <c r="CT161">
        <v>0</v>
      </c>
      <c r="CU161">
        <v>0</v>
      </c>
      <c r="CV161" t="s">
        <v>333</v>
      </c>
      <c r="CW161">
        <v>3.17115</v>
      </c>
      <c r="CX161">
        <v>2.66667</v>
      </c>
      <c r="CY161">
        <v>0.09854309999999999</v>
      </c>
      <c r="CZ161">
        <v>0.09930849999999999</v>
      </c>
      <c r="DA161">
        <v>0.0675931</v>
      </c>
      <c r="DB161">
        <v>0.0672119</v>
      </c>
      <c r="DC161">
        <v>21318.4</v>
      </c>
      <c r="DD161">
        <v>21898.9</v>
      </c>
      <c r="DE161">
        <v>22802.9</v>
      </c>
      <c r="DF161">
        <v>22261.8</v>
      </c>
      <c r="DG161">
        <v>32156.8</v>
      </c>
      <c r="DH161">
        <v>29250.9</v>
      </c>
      <c r="DI161">
        <v>40140.1</v>
      </c>
      <c r="DJ161">
        <v>36820.4</v>
      </c>
      <c r="DK161">
        <v>2.02194</v>
      </c>
      <c r="DL161">
        <v>1.49128</v>
      </c>
      <c r="DM161">
        <v>-0.0788182</v>
      </c>
      <c r="DN161">
        <v>0</v>
      </c>
      <c r="DO161">
        <v>32.3549</v>
      </c>
      <c r="DP161">
        <v>999.9</v>
      </c>
      <c r="DQ161">
        <v>23.4</v>
      </c>
      <c r="DR161">
        <v>46</v>
      </c>
      <c r="DS161">
        <v>23.7219</v>
      </c>
      <c r="DT161">
        <v>29.6464</v>
      </c>
      <c r="DU161">
        <v>14.1066</v>
      </c>
      <c r="DV161">
        <v>1</v>
      </c>
      <c r="DW161">
        <v>0.926661</v>
      </c>
      <c r="DX161">
        <v>4.09322</v>
      </c>
      <c r="DY161">
        <v>20.3021</v>
      </c>
      <c r="DZ161">
        <v>5.2095</v>
      </c>
      <c r="EA161">
        <v>11.856</v>
      </c>
      <c r="EB161">
        <v>4.96724</v>
      </c>
      <c r="EC161">
        <v>3.29296</v>
      </c>
      <c r="ED161">
        <v>879.4</v>
      </c>
      <c r="EE161">
        <v>9999</v>
      </c>
      <c r="EF161">
        <v>9999</v>
      </c>
      <c r="EG161">
        <v>78.40000000000001</v>
      </c>
      <c r="EH161">
        <v>4.97157</v>
      </c>
      <c r="EI161">
        <v>1.8721</v>
      </c>
      <c r="EJ161">
        <v>1.86949</v>
      </c>
      <c r="EK161">
        <v>1.8718</v>
      </c>
      <c r="EL161">
        <v>1.86959</v>
      </c>
      <c r="EM161">
        <v>1.86838</v>
      </c>
      <c r="EN161">
        <v>1.87016</v>
      </c>
      <c r="EO161">
        <v>1.87195</v>
      </c>
      <c r="EP161">
        <v>0</v>
      </c>
      <c r="EQ161">
        <v>0</v>
      </c>
      <c r="ER161">
        <v>0</v>
      </c>
      <c r="ES161">
        <v>0</v>
      </c>
      <c r="ET161" t="s">
        <v>334</v>
      </c>
      <c r="EU161" t="s">
        <v>335</v>
      </c>
      <c r="EV161" t="s">
        <v>336</v>
      </c>
      <c r="EW161" t="s">
        <v>336</v>
      </c>
      <c r="EX161" t="s">
        <v>336</v>
      </c>
      <c r="EY161" t="s">
        <v>336</v>
      </c>
      <c r="EZ161">
        <v>0</v>
      </c>
      <c r="FA161">
        <v>100</v>
      </c>
      <c r="FB161">
        <v>100</v>
      </c>
      <c r="FC161">
        <v>6.231</v>
      </c>
      <c r="FD161">
        <v>0.0805</v>
      </c>
      <c r="FE161">
        <v>6.23135000000002</v>
      </c>
      <c r="FF161">
        <v>0</v>
      </c>
      <c r="FG161">
        <v>0</v>
      </c>
      <c r="FH161">
        <v>0</v>
      </c>
      <c r="FI161">
        <v>0.08059047619047632</v>
      </c>
      <c r="FJ161">
        <v>0</v>
      </c>
      <c r="FK161">
        <v>0</v>
      </c>
      <c r="FL161">
        <v>0</v>
      </c>
      <c r="FM161">
        <v>-1</v>
      </c>
      <c r="FN161">
        <v>-1</v>
      </c>
      <c r="FO161">
        <v>-1</v>
      </c>
      <c r="FP161">
        <v>-1</v>
      </c>
      <c r="FQ161">
        <v>145.5</v>
      </c>
      <c r="FR161">
        <v>145.6</v>
      </c>
      <c r="FS161">
        <v>0.140381</v>
      </c>
      <c r="FT161">
        <v>4.99756</v>
      </c>
      <c r="FU161">
        <v>1.5979</v>
      </c>
      <c r="FV161">
        <v>2.10938</v>
      </c>
      <c r="FW161">
        <v>1.54785</v>
      </c>
      <c r="FX161">
        <v>2.44263</v>
      </c>
      <c r="FY161">
        <v>47.5718</v>
      </c>
      <c r="FZ161">
        <v>15.2615</v>
      </c>
      <c r="GA161">
        <v>3</v>
      </c>
      <c r="GB161">
        <v>520.553</v>
      </c>
      <c r="GC161">
        <v>288.193</v>
      </c>
      <c r="GD161">
        <v>27.6301</v>
      </c>
      <c r="GE161">
        <v>38.328</v>
      </c>
      <c r="GF161">
        <v>30.0003</v>
      </c>
      <c r="GG161">
        <v>38.2241</v>
      </c>
      <c r="GH161">
        <v>38.2167</v>
      </c>
      <c r="GI161">
        <v>-1</v>
      </c>
      <c r="GJ161">
        <v>100</v>
      </c>
      <c r="GK161">
        <v>0</v>
      </c>
      <c r="GL161">
        <v>27.6272</v>
      </c>
      <c r="GM161">
        <v>1200</v>
      </c>
      <c r="GN161">
        <v>19.4378</v>
      </c>
      <c r="GO161">
        <v>100.98</v>
      </c>
      <c r="GP161">
        <v>96.15000000000001</v>
      </c>
    </row>
    <row r="162" spans="1:198">
      <c r="A162">
        <v>146</v>
      </c>
      <c r="B162">
        <v>1773204801.1</v>
      </c>
      <c r="C162">
        <v>8701.099999904633</v>
      </c>
      <c r="D162" t="s">
        <v>625</v>
      </c>
      <c r="E162" t="s">
        <v>626</v>
      </c>
      <c r="F162">
        <v>15</v>
      </c>
      <c r="G162">
        <v>1773204793.099999</v>
      </c>
      <c r="H162">
        <f>(I162)/1000</f>
        <v>0</v>
      </c>
      <c r="I162">
        <f>1000*AY162*AG162*(AU162-AV162)/(100*AN162*(1000-AG162*AU162))</f>
        <v>0</v>
      </c>
      <c r="J162">
        <f>AY162*AG162*(AT162-AS162*(1000-AG162*AV162)/(1000-AG162*AU162))/(100*AN162)</f>
        <v>0</v>
      </c>
      <c r="K162">
        <f>AS162 - IF(AG162&gt;1, J162*AN162*100.0/(AI162), 0)</f>
        <v>0</v>
      </c>
      <c r="L162">
        <f>((R162-H162/2)*K162-J162)/(R162+H162/2)</f>
        <v>0</v>
      </c>
      <c r="M162">
        <f>L162*(AZ162+BA162)/1000.0</f>
        <v>0</v>
      </c>
      <c r="N162">
        <f>(AS162 - IF(AG162&gt;1, J162*AN162*100.0/(AI162), 0))*(AZ162+BA162)/1000.0</f>
        <v>0</v>
      </c>
      <c r="O162">
        <f>2.0/((1/Q162-1/P162)+SIGN(Q162)*SQRT((1/Q162-1/P162)*(1/Q162-1/P162) + 4*AO162/((AO162+1)*(AO162+1))*(2*1/Q162*1/P162-1/P162*1/P162)))</f>
        <v>0</v>
      </c>
      <c r="P162">
        <f>IF(LEFT(AP162,1)&lt;&gt;"0",IF(LEFT(AP162,1)="1",3.0,AQ162),$D$5+$E$5*(BG162*AZ162/($K$5*1000))+$F$5*(BG162*AZ162/($K$5*1000))*MAX(MIN(AN162,$J$5),$I$5)*MAX(MIN(AN162,$J$5),$I$5)+$G$5*MAX(MIN(AN162,$J$5),$I$5)*(BG162*AZ162/($K$5*1000))+$H$5*(BG162*AZ162/($K$5*1000))*(BG162*AZ162/($K$5*1000)))</f>
        <v>0</v>
      </c>
      <c r="Q162">
        <f>H162*(1000-(1000*0.61365*exp(17.502*U162/(240.97+U162))/(AZ162+BA162)+AU162)/2)/(1000*0.61365*exp(17.502*U162/(240.97+U162))/(AZ162+BA162)-AU162)</f>
        <v>0</v>
      </c>
      <c r="R162">
        <f>1/((AO162+1)/(O162/1.6)+1/(P162/1.37)) + AO162/((AO162+1)/(O162/1.6) + AO162/(P162/1.37))</f>
        <v>0</v>
      </c>
      <c r="S162">
        <f>(AJ162*AM162)</f>
        <v>0</v>
      </c>
      <c r="T162">
        <f>(BB162+(S162+2*0.95*5.67E-8*(((BB162+$B$7)+273)^4-(BB162+273)^4)-44100*H162)/(1.84*29.3*P162+8*0.95*5.67E-8*(BB162+273)^3))</f>
        <v>0</v>
      </c>
      <c r="U162">
        <f>($C$7*BC162+$D$7*BD162+$E$7*T162)</f>
        <v>0</v>
      </c>
      <c r="V162">
        <f>0.61365*exp(17.502*U162/(240.97+U162))</f>
        <v>0</v>
      </c>
      <c r="W162">
        <f>(X162/Y162*100)</f>
        <v>0</v>
      </c>
      <c r="X162">
        <f>AU162*(AZ162+BA162)/1000</f>
        <v>0</v>
      </c>
      <c r="Y162">
        <f>0.61365*exp(17.502*BB162/(240.97+BB162))</f>
        <v>0</v>
      </c>
      <c r="Z162">
        <f>(V162-AU162*(AZ162+BA162)/1000)</f>
        <v>0</v>
      </c>
      <c r="AA162">
        <f>(-H162*44100)</f>
        <v>0</v>
      </c>
      <c r="AB162">
        <f>2*29.3*P162*0.92*(BB162-U162)</f>
        <v>0</v>
      </c>
      <c r="AC162">
        <f>2*0.95*5.67E-8*(((BB162+$B$7)+273)^4-(U162+273)^4)</f>
        <v>0</v>
      </c>
      <c r="AD162">
        <f>S162+AC162+AA162+AB162</f>
        <v>0</v>
      </c>
      <c r="AE162">
        <v>0</v>
      </c>
      <c r="AF162">
        <v>0</v>
      </c>
      <c r="AG162">
        <f>IF(AE162*$H$13&gt;=AI162,1.0,(AI162/(AI162-AE162*$H$13)))</f>
        <v>0</v>
      </c>
      <c r="AH162">
        <f>(AG162-1)*100</f>
        <v>0</v>
      </c>
      <c r="AI162">
        <f>MAX(0,($B$13+$C$13*BG162)/(1+$D$13*BG162)*AZ162/(BB162+273)*$E$13)</f>
        <v>0</v>
      </c>
      <c r="AJ162">
        <f>$B$11*BH162+$C$11*BI162+$D$11*BT162</f>
        <v>0</v>
      </c>
      <c r="AK162">
        <f>AJ162*AL162</f>
        <v>0</v>
      </c>
      <c r="AL162">
        <f>($B$11*$D$9+$C$11*$D$9+$D$11*(BU162*$E$9+BV162*$G$9))/($B$11+$C$11+$D$11)</f>
        <v>0</v>
      </c>
      <c r="AM162">
        <f>($B$11*$K$9+$C$11*$K$9+$D$11*(BU162*$L$9+BV162*$N$9))/($B$11+$C$11+$D$11)</f>
        <v>0</v>
      </c>
      <c r="AN162">
        <v>3</v>
      </c>
      <c r="AO162">
        <v>0.5</v>
      </c>
      <c r="AP162" t="s">
        <v>331</v>
      </c>
      <c r="AQ162">
        <v>2</v>
      </c>
      <c r="AR162">
        <v>1773204793.099999</v>
      </c>
      <c r="AS162">
        <v>420.7236451612904</v>
      </c>
      <c r="AT162">
        <v>418.4923870967742</v>
      </c>
      <c r="AU162">
        <v>12.24092903225806</v>
      </c>
      <c r="AV162">
        <v>12.12690322580645</v>
      </c>
      <c r="AW162">
        <v>414.4923225806451</v>
      </c>
      <c r="AX162">
        <v>12.16033548387097</v>
      </c>
      <c r="AY162">
        <v>499.9457741935483</v>
      </c>
      <c r="AZ162">
        <v>100.0901612903226</v>
      </c>
      <c r="BA162">
        <v>0.04817027419354839</v>
      </c>
      <c r="BB162">
        <v>30.87914193548387</v>
      </c>
      <c r="BC162">
        <v>31.15023870967742</v>
      </c>
      <c r="BD162">
        <v>999.9000000000003</v>
      </c>
      <c r="BE162">
        <v>0</v>
      </c>
      <c r="BF162">
        <v>0</v>
      </c>
      <c r="BG162">
        <v>4988.016129032259</v>
      </c>
      <c r="BH162">
        <v>0.9884383225806453</v>
      </c>
      <c r="BI162">
        <v>2135.346451612903</v>
      </c>
      <c r="BJ162">
        <v>2.231367419354839</v>
      </c>
      <c r="BK162">
        <v>425.9375806451612</v>
      </c>
      <c r="BL162">
        <v>423.6296129032258</v>
      </c>
      <c r="BM162">
        <v>0.1140138387096774</v>
      </c>
      <c r="BN162">
        <v>418.4923870967742</v>
      </c>
      <c r="BO162">
        <v>12.12690322580645</v>
      </c>
      <c r="BP162">
        <v>1.225196129032258</v>
      </c>
      <c r="BQ162">
        <v>1.213784516129032</v>
      </c>
      <c r="BR162">
        <v>9.911275483870968</v>
      </c>
      <c r="BS162">
        <v>9.771696774193549</v>
      </c>
      <c r="BT162">
        <v>0</v>
      </c>
      <c r="BU162">
        <v>0</v>
      </c>
      <c r="BV162">
        <v>0</v>
      </c>
      <c r="BW162">
        <v>35.3612870967742</v>
      </c>
      <c r="BX162">
        <v>37.0225806451613</v>
      </c>
      <c r="BY162">
        <v>1773196010</v>
      </c>
      <c r="BZ162" t="s">
        <v>332</v>
      </c>
      <c r="CA162">
        <v>1773196010</v>
      </c>
      <c r="CB162">
        <v>1773196005.5</v>
      </c>
      <c r="CC162">
        <v>2</v>
      </c>
      <c r="CD162">
        <v>-0.279</v>
      </c>
      <c r="CE162">
        <v>-0.021</v>
      </c>
      <c r="CF162">
        <v>6.231</v>
      </c>
      <c r="CG162">
        <v>0.081</v>
      </c>
      <c r="CH162">
        <v>432</v>
      </c>
      <c r="CI162">
        <v>21</v>
      </c>
      <c r="CJ162">
        <v>0.03</v>
      </c>
      <c r="CK162">
        <v>0.06</v>
      </c>
      <c r="CL162">
        <v>418.4947</v>
      </c>
      <c r="CM162">
        <v>-0.127101223581963</v>
      </c>
      <c r="CN162">
        <v>0.02595913455157273</v>
      </c>
      <c r="CO162">
        <v>-1</v>
      </c>
      <c r="CP162">
        <v>499.9506333333333</v>
      </c>
      <c r="CQ162">
        <v>1.698981090100268</v>
      </c>
      <c r="CR162">
        <v>0.2762090371841983</v>
      </c>
      <c r="CS162">
        <v>-1</v>
      </c>
      <c r="CT162">
        <v>0</v>
      </c>
      <c r="CU162">
        <v>0</v>
      </c>
      <c r="CV162" t="s">
        <v>333</v>
      </c>
      <c r="CW162">
        <v>3.17101</v>
      </c>
      <c r="CX162">
        <v>2.66856</v>
      </c>
      <c r="CY162">
        <v>0.098576</v>
      </c>
      <c r="CZ162">
        <v>0.0993247</v>
      </c>
      <c r="DA162">
        <v>0.06792819999999999</v>
      </c>
      <c r="DB162">
        <v>0.0675294</v>
      </c>
      <c r="DC162">
        <v>21315.5</v>
      </c>
      <c r="DD162">
        <v>21896.7</v>
      </c>
      <c r="DE162">
        <v>22800.9</v>
      </c>
      <c r="DF162">
        <v>22260.2</v>
      </c>
      <c r="DG162">
        <v>32142.5</v>
      </c>
      <c r="DH162">
        <v>29239</v>
      </c>
      <c r="DI162">
        <v>40136.7</v>
      </c>
      <c r="DJ162">
        <v>36817.9</v>
      </c>
      <c r="DK162">
        <v>2.02196</v>
      </c>
      <c r="DL162">
        <v>1.48906</v>
      </c>
      <c r="DM162">
        <v>-0.07982549999999999</v>
      </c>
      <c r="DN162">
        <v>0</v>
      </c>
      <c r="DO162">
        <v>32.4485</v>
      </c>
      <c r="DP162">
        <v>999.9</v>
      </c>
      <c r="DQ162">
        <v>23.5</v>
      </c>
      <c r="DR162">
        <v>46</v>
      </c>
      <c r="DS162">
        <v>23.8244</v>
      </c>
      <c r="DT162">
        <v>30.6664</v>
      </c>
      <c r="DU162">
        <v>14.3029</v>
      </c>
      <c r="DV162">
        <v>1</v>
      </c>
      <c r="DW162">
        <v>0.9368109999999999</v>
      </c>
      <c r="DX162">
        <v>5.05033</v>
      </c>
      <c r="DY162">
        <v>20.2703</v>
      </c>
      <c r="DZ162">
        <v>5.20938</v>
      </c>
      <c r="EA162">
        <v>11.8562</v>
      </c>
      <c r="EB162">
        <v>4.96704</v>
      </c>
      <c r="EC162">
        <v>3.293</v>
      </c>
      <c r="ED162">
        <v>879.4</v>
      </c>
      <c r="EE162">
        <v>9999</v>
      </c>
      <c r="EF162">
        <v>9999</v>
      </c>
      <c r="EG162">
        <v>78.40000000000001</v>
      </c>
      <c r="EH162">
        <v>4.97155</v>
      </c>
      <c r="EI162">
        <v>1.8721</v>
      </c>
      <c r="EJ162">
        <v>1.86951</v>
      </c>
      <c r="EK162">
        <v>1.8718</v>
      </c>
      <c r="EL162">
        <v>1.86954</v>
      </c>
      <c r="EM162">
        <v>1.86833</v>
      </c>
      <c r="EN162">
        <v>1.87019</v>
      </c>
      <c r="EO162">
        <v>1.87195</v>
      </c>
      <c r="EP162">
        <v>0</v>
      </c>
      <c r="EQ162">
        <v>0</v>
      </c>
      <c r="ER162">
        <v>0</v>
      </c>
      <c r="ES162">
        <v>0</v>
      </c>
      <c r="ET162" t="s">
        <v>334</v>
      </c>
      <c r="EU162" t="s">
        <v>335</v>
      </c>
      <c r="EV162" t="s">
        <v>336</v>
      </c>
      <c r="EW162" t="s">
        <v>336</v>
      </c>
      <c r="EX162" t="s">
        <v>336</v>
      </c>
      <c r="EY162" t="s">
        <v>336</v>
      </c>
      <c r="EZ162">
        <v>0</v>
      </c>
      <c r="FA162">
        <v>100</v>
      </c>
      <c r="FB162">
        <v>100</v>
      </c>
      <c r="FC162">
        <v>6.232</v>
      </c>
      <c r="FD162">
        <v>0.0806</v>
      </c>
      <c r="FE162">
        <v>6.23135000000002</v>
      </c>
      <c r="FF162">
        <v>0</v>
      </c>
      <c r="FG162">
        <v>0</v>
      </c>
      <c r="FH162">
        <v>0</v>
      </c>
      <c r="FI162">
        <v>0.08059047619047632</v>
      </c>
      <c r="FJ162">
        <v>0</v>
      </c>
      <c r="FK162">
        <v>0</v>
      </c>
      <c r="FL162">
        <v>0</v>
      </c>
      <c r="FM162">
        <v>-1</v>
      </c>
      <c r="FN162">
        <v>-1</v>
      </c>
      <c r="FO162">
        <v>-1</v>
      </c>
      <c r="FP162">
        <v>-1</v>
      </c>
      <c r="FQ162">
        <v>146.5</v>
      </c>
      <c r="FR162">
        <v>146.6</v>
      </c>
      <c r="FS162">
        <v>0.140381</v>
      </c>
      <c r="FT162">
        <v>4.99756</v>
      </c>
      <c r="FU162">
        <v>1.5979</v>
      </c>
      <c r="FV162">
        <v>2.10938</v>
      </c>
      <c r="FW162">
        <v>1.54785</v>
      </c>
      <c r="FX162">
        <v>2.38403</v>
      </c>
      <c r="FY162">
        <v>47.6622</v>
      </c>
      <c r="FZ162">
        <v>15.2265</v>
      </c>
      <c r="GA162">
        <v>3</v>
      </c>
      <c r="GB162">
        <v>520.807</v>
      </c>
      <c r="GC162">
        <v>287.281</v>
      </c>
      <c r="GD162">
        <v>27.1742</v>
      </c>
      <c r="GE162">
        <v>38.367</v>
      </c>
      <c r="GF162">
        <v>30.0013</v>
      </c>
      <c r="GG162">
        <v>38.257</v>
      </c>
      <c r="GH162">
        <v>38.2487</v>
      </c>
      <c r="GI162">
        <v>-1</v>
      </c>
      <c r="GJ162">
        <v>100</v>
      </c>
      <c r="GK162">
        <v>0</v>
      </c>
      <c r="GL162">
        <v>27.1301</v>
      </c>
      <c r="GM162">
        <v>1200</v>
      </c>
      <c r="GN162">
        <v>19.4378</v>
      </c>
      <c r="GO162">
        <v>100.971</v>
      </c>
      <c r="GP162">
        <v>96.14319999999999</v>
      </c>
    </row>
    <row r="163" spans="1:198">
      <c r="A163">
        <v>147</v>
      </c>
      <c r="B163">
        <v>1773204861.1</v>
      </c>
      <c r="C163">
        <v>8761.099999904633</v>
      </c>
      <c r="D163" t="s">
        <v>627</v>
      </c>
      <c r="E163" t="s">
        <v>628</v>
      </c>
      <c r="F163">
        <v>15</v>
      </c>
      <c r="G163">
        <v>1773204853.099999</v>
      </c>
      <c r="H163">
        <f>(I163)/1000</f>
        <v>0</v>
      </c>
      <c r="I163">
        <f>1000*AY163*AG163*(AU163-AV163)/(100*AN163*(1000-AG163*AU163))</f>
        <v>0</v>
      </c>
      <c r="J163">
        <f>AY163*AG163*(AT163-AS163*(1000-AG163*AV163)/(1000-AG163*AU163))/(100*AN163)</f>
        <v>0</v>
      </c>
      <c r="K163">
        <f>AS163 - IF(AG163&gt;1, J163*AN163*100.0/(AI163), 0)</f>
        <v>0</v>
      </c>
      <c r="L163">
        <f>((R163-H163/2)*K163-J163)/(R163+H163/2)</f>
        <v>0</v>
      </c>
      <c r="M163">
        <f>L163*(AZ163+BA163)/1000.0</f>
        <v>0</v>
      </c>
      <c r="N163">
        <f>(AS163 - IF(AG163&gt;1, J163*AN163*100.0/(AI163), 0))*(AZ163+BA163)/1000.0</f>
        <v>0</v>
      </c>
      <c r="O163">
        <f>2.0/((1/Q163-1/P163)+SIGN(Q163)*SQRT((1/Q163-1/P163)*(1/Q163-1/P163) + 4*AO163/((AO163+1)*(AO163+1))*(2*1/Q163*1/P163-1/P163*1/P163)))</f>
        <v>0</v>
      </c>
      <c r="P163">
        <f>IF(LEFT(AP163,1)&lt;&gt;"0",IF(LEFT(AP163,1)="1",3.0,AQ163),$D$5+$E$5*(BG163*AZ163/($K$5*1000))+$F$5*(BG163*AZ163/($K$5*1000))*MAX(MIN(AN163,$J$5),$I$5)*MAX(MIN(AN163,$J$5),$I$5)+$G$5*MAX(MIN(AN163,$J$5),$I$5)*(BG163*AZ163/($K$5*1000))+$H$5*(BG163*AZ163/($K$5*1000))*(BG163*AZ163/($K$5*1000)))</f>
        <v>0</v>
      </c>
      <c r="Q163">
        <f>H163*(1000-(1000*0.61365*exp(17.502*U163/(240.97+U163))/(AZ163+BA163)+AU163)/2)/(1000*0.61365*exp(17.502*U163/(240.97+U163))/(AZ163+BA163)-AU163)</f>
        <v>0</v>
      </c>
      <c r="R163">
        <f>1/((AO163+1)/(O163/1.6)+1/(P163/1.37)) + AO163/((AO163+1)/(O163/1.6) + AO163/(P163/1.37))</f>
        <v>0</v>
      </c>
      <c r="S163">
        <f>(AJ163*AM163)</f>
        <v>0</v>
      </c>
      <c r="T163">
        <f>(BB163+(S163+2*0.95*5.67E-8*(((BB163+$B$7)+273)^4-(BB163+273)^4)-44100*H163)/(1.84*29.3*P163+8*0.95*5.67E-8*(BB163+273)^3))</f>
        <v>0</v>
      </c>
      <c r="U163">
        <f>($C$7*BC163+$D$7*BD163+$E$7*T163)</f>
        <v>0</v>
      </c>
      <c r="V163">
        <f>0.61365*exp(17.502*U163/(240.97+U163))</f>
        <v>0</v>
      </c>
      <c r="W163">
        <f>(X163/Y163*100)</f>
        <v>0</v>
      </c>
      <c r="X163">
        <f>AU163*(AZ163+BA163)/1000</f>
        <v>0</v>
      </c>
      <c r="Y163">
        <f>0.61365*exp(17.502*BB163/(240.97+BB163))</f>
        <v>0</v>
      </c>
      <c r="Z163">
        <f>(V163-AU163*(AZ163+BA163)/1000)</f>
        <v>0</v>
      </c>
      <c r="AA163">
        <f>(-H163*44100)</f>
        <v>0</v>
      </c>
      <c r="AB163">
        <f>2*29.3*P163*0.92*(BB163-U163)</f>
        <v>0</v>
      </c>
      <c r="AC163">
        <f>2*0.95*5.67E-8*(((BB163+$B$7)+273)^4-(U163+273)^4)</f>
        <v>0</v>
      </c>
      <c r="AD163">
        <f>S163+AC163+AA163+AB163</f>
        <v>0</v>
      </c>
      <c r="AE163">
        <v>0</v>
      </c>
      <c r="AF163">
        <v>0</v>
      </c>
      <c r="AG163">
        <f>IF(AE163*$H$13&gt;=AI163,1.0,(AI163/(AI163-AE163*$H$13)))</f>
        <v>0</v>
      </c>
      <c r="AH163">
        <f>(AG163-1)*100</f>
        <v>0</v>
      </c>
      <c r="AI163">
        <f>MAX(0,($B$13+$C$13*BG163)/(1+$D$13*BG163)*AZ163/(BB163+273)*$E$13)</f>
        <v>0</v>
      </c>
      <c r="AJ163">
        <f>$B$11*BH163+$C$11*BI163+$D$11*BT163</f>
        <v>0</v>
      </c>
      <c r="AK163">
        <f>AJ163*AL163</f>
        <v>0</v>
      </c>
      <c r="AL163">
        <f>($B$11*$D$9+$C$11*$D$9+$D$11*(BU163*$E$9+BV163*$G$9))/($B$11+$C$11+$D$11)</f>
        <v>0</v>
      </c>
      <c r="AM163">
        <f>($B$11*$K$9+$C$11*$K$9+$D$11*(BU163*$L$9+BV163*$N$9))/($B$11+$C$11+$D$11)</f>
        <v>0</v>
      </c>
      <c r="AN163">
        <v>3</v>
      </c>
      <c r="AO163">
        <v>0.5</v>
      </c>
      <c r="AP163" t="s">
        <v>331</v>
      </c>
      <c r="AQ163">
        <v>2</v>
      </c>
      <c r="AR163">
        <v>1773204853.099999</v>
      </c>
      <c r="AS163">
        <v>420.3411612903225</v>
      </c>
      <c r="AT163">
        <v>418.0271290322581</v>
      </c>
      <c r="AU163">
        <v>12.25081612903226</v>
      </c>
      <c r="AV163">
        <v>12.12850322580645</v>
      </c>
      <c r="AW163">
        <v>414.1099032258064</v>
      </c>
      <c r="AX163">
        <v>12.17021935483871</v>
      </c>
      <c r="AY163">
        <v>499.9652903225806</v>
      </c>
      <c r="AZ163">
        <v>100.0905161290322</v>
      </c>
      <c r="BA163">
        <v>0.04565800967741935</v>
      </c>
      <c r="BB163">
        <v>30.76577741935484</v>
      </c>
      <c r="BC163">
        <v>31.01469354838709</v>
      </c>
      <c r="BD163">
        <v>999.9000000000003</v>
      </c>
      <c r="BE163">
        <v>0</v>
      </c>
      <c r="BF163">
        <v>0</v>
      </c>
      <c r="BG163">
        <v>5018.709677419355</v>
      </c>
      <c r="BH163">
        <v>0.9753409354838709</v>
      </c>
      <c r="BI163">
        <v>2129.390322580645</v>
      </c>
      <c r="BJ163">
        <v>2.314133548387096</v>
      </c>
      <c r="BK163">
        <v>425.5545806451612</v>
      </c>
      <c r="BL163">
        <v>423.1593225806452</v>
      </c>
      <c r="BM163">
        <v>0.1223042580645161</v>
      </c>
      <c r="BN163">
        <v>418.0271290322581</v>
      </c>
      <c r="BO163">
        <v>12.12850322580645</v>
      </c>
      <c r="BP163">
        <v>1.22619</v>
      </c>
      <c r="BQ163">
        <v>1.213947741935484</v>
      </c>
      <c r="BR163">
        <v>9.923380645161291</v>
      </c>
      <c r="BS163">
        <v>9.773714193548388</v>
      </c>
      <c r="BT163">
        <v>0</v>
      </c>
      <c r="BU163">
        <v>0</v>
      </c>
      <c r="BV163">
        <v>0</v>
      </c>
      <c r="BW163">
        <v>35</v>
      </c>
      <c r="BX163">
        <v>37.01074193548387</v>
      </c>
      <c r="BY163">
        <v>1773196010</v>
      </c>
      <c r="BZ163" t="s">
        <v>332</v>
      </c>
      <c r="CA163">
        <v>1773196010</v>
      </c>
      <c r="CB163">
        <v>1773196005.5</v>
      </c>
      <c r="CC163">
        <v>2</v>
      </c>
      <c r="CD163">
        <v>-0.279</v>
      </c>
      <c r="CE163">
        <v>-0.021</v>
      </c>
      <c r="CF163">
        <v>6.231</v>
      </c>
      <c r="CG163">
        <v>0.081</v>
      </c>
      <c r="CH163">
        <v>432</v>
      </c>
      <c r="CI163">
        <v>21</v>
      </c>
      <c r="CJ163">
        <v>0.03</v>
      </c>
      <c r="CK163">
        <v>0.06</v>
      </c>
      <c r="CL163">
        <v>418.0302666666666</v>
      </c>
      <c r="CM163">
        <v>-0.7886095661837621</v>
      </c>
      <c r="CN163">
        <v>0.05862020887790142</v>
      </c>
      <c r="CO163">
        <v>-1</v>
      </c>
      <c r="CP163">
        <v>499.9657999999999</v>
      </c>
      <c r="CQ163">
        <v>0.5249032258087557</v>
      </c>
      <c r="CR163">
        <v>0.05640590985585845</v>
      </c>
      <c r="CS163">
        <v>-1</v>
      </c>
      <c r="CT163">
        <v>0</v>
      </c>
      <c r="CU163">
        <v>0</v>
      </c>
      <c r="CV163" t="s">
        <v>333</v>
      </c>
      <c r="CW163">
        <v>3.17099</v>
      </c>
      <c r="CX163">
        <v>2.66754</v>
      </c>
      <c r="CY163">
        <v>0.0984906</v>
      </c>
      <c r="CZ163">
        <v>0.09924139999999999</v>
      </c>
      <c r="DA163">
        <v>0.06794260000000001</v>
      </c>
      <c r="DB163">
        <v>0.0674888</v>
      </c>
      <c r="DC163">
        <v>21319.1</v>
      </c>
      <c r="DD163">
        <v>21900.8</v>
      </c>
      <c r="DE163">
        <v>22802.5</v>
      </c>
      <c r="DF163">
        <v>22262.3</v>
      </c>
      <c r="DG163">
        <v>32144</v>
      </c>
      <c r="DH163">
        <v>29243</v>
      </c>
      <c r="DI163">
        <v>40139.2</v>
      </c>
      <c r="DJ163">
        <v>36821.4</v>
      </c>
      <c r="DK163">
        <v>2.02168</v>
      </c>
      <c r="DL163">
        <v>1.48904</v>
      </c>
      <c r="DM163">
        <v>-0.08477270000000001</v>
      </c>
      <c r="DN163">
        <v>0</v>
      </c>
      <c r="DO163">
        <v>32.3918</v>
      </c>
      <c r="DP163">
        <v>999.9</v>
      </c>
      <c r="DQ163">
        <v>23.1</v>
      </c>
      <c r="DR163">
        <v>46.1</v>
      </c>
      <c r="DS163">
        <v>23.5374</v>
      </c>
      <c r="DT163">
        <v>30.0364</v>
      </c>
      <c r="DU163">
        <v>14.5673</v>
      </c>
      <c r="DV163">
        <v>1</v>
      </c>
      <c r="DW163">
        <v>0.925598</v>
      </c>
      <c r="DX163">
        <v>4.12772</v>
      </c>
      <c r="DY163">
        <v>20.3037</v>
      </c>
      <c r="DZ163">
        <v>5.20519</v>
      </c>
      <c r="EA163">
        <v>11.8572</v>
      </c>
      <c r="EB163">
        <v>4.96644</v>
      </c>
      <c r="EC163">
        <v>3.29232</v>
      </c>
      <c r="ED163">
        <v>879.4</v>
      </c>
      <c r="EE163">
        <v>9999</v>
      </c>
      <c r="EF163">
        <v>9999</v>
      </c>
      <c r="EG163">
        <v>78.5</v>
      </c>
      <c r="EH163">
        <v>4.9716</v>
      </c>
      <c r="EI163">
        <v>1.8721</v>
      </c>
      <c r="EJ163">
        <v>1.86951</v>
      </c>
      <c r="EK163">
        <v>1.8718</v>
      </c>
      <c r="EL163">
        <v>1.86958</v>
      </c>
      <c r="EM163">
        <v>1.86841</v>
      </c>
      <c r="EN163">
        <v>1.87023</v>
      </c>
      <c r="EO163">
        <v>1.87195</v>
      </c>
      <c r="EP163">
        <v>0</v>
      </c>
      <c r="EQ163">
        <v>0</v>
      </c>
      <c r="ER163">
        <v>0</v>
      </c>
      <c r="ES163">
        <v>0</v>
      </c>
      <c r="ET163" t="s">
        <v>334</v>
      </c>
      <c r="EU163" t="s">
        <v>335</v>
      </c>
      <c r="EV163" t="s">
        <v>336</v>
      </c>
      <c r="EW163" t="s">
        <v>336</v>
      </c>
      <c r="EX163" t="s">
        <v>336</v>
      </c>
      <c r="EY163" t="s">
        <v>336</v>
      </c>
      <c r="EZ163">
        <v>0</v>
      </c>
      <c r="FA163">
        <v>100</v>
      </c>
      <c r="FB163">
        <v>100</v>
      </c>
      <c r="FC163">
        <v>6.232</v>
      </c>
      <c r="FD163">
        <v>0.0806</v>
      </c>
      <c r="FE163">
        <v>6.23135000000002</v>
      </c>
      <c r="FF163">
        <v>0</v>
      </c>
      <c r="FG163">
        <v>0</v>
      </c>
      <c r="FH163">
        <v>0</v>
      </c>
      <c r="FI163">
        <v>0.08059047619047632</v>
      </c>
      <c r="FJ163">
        <v>0</v>
      </c>
      <c r="FK163">
        <v>0</v>
      </c>
      <c r="FL163">
        <v>0</v>
      </c>
      <c r="FM163">
        <v>-1</v>
      </c>
      <c r="FN163">
        <v>-1</v>
      </c>
      <c r="FO163">
        <v>-1</v>
      </c>
      <c r="FP163">
        <v>-1</v>
      </c>
      <c r="FQ163">
        <v>147.5</v>
      </c>
      <c r="FR163">
        <v>147.6</v>
      </c>
      <c r="FS163">
        <v>0.140381</v>
      </c>
      <c r="FT163">
        <v>4.99756</v>
      </c>
      <c r="FU163">
        <v>1.5979</v>
      </c>
      <c r="FV163">
        <v>2.10938</v>
      </c>
      <c r="FW163">
        <v>1.54785</v>
      </c>
      <c r="FX163">
        <v>2.43896</v>
      </c>
      <c r="FY163">
        <v>47.6622</v>
      </c>
      <c r="FZ163">
        <v>15.2353</v>
      </c>
      <c r="GA163">
        <v>3</v>
      </c>
      <c r="GB163">
        <v>520.582</v>
      </c>
      <c r="GC163">
        <v>287.218</v>
      </c>
      <c r="GD163">
        <v>27.2827</v>
      </c>
      <c r="GE163">
        <v>38.3644</v>
      </c>
      <c r="GF163">
        <v>30.0002</v>
      </c>
      <c r="GG163">
        <v>38.2509</v>
      </c>
      <c r="GH163">
        <v>38.2348</v>
      </c>
      <c r="GI163">
        <v>-1</v>
      </c>
      <c r="GJ163">
        <v>100</v>
      </c>
      <c r="GK163">
        <v>0</v>
      </c>
      <c r="GL163">
        <v>27.2006</v>
      </c>
      <c r="GM163">
        <v>1200</v>
      </c>
      <c r="GN163">
        <v>19.4378</v>
      </c>
      <c r="GO163">
        <v>100.978</v>
      </c>
      <c r="GP163">
        <v>96.1523</v>
      </c>
    </row>
    <row r="164" spans="1:198">
      <c r="A164">
        <v>148</v>
      </c>
      <c r="B164">
        <v>1773204921.1</v>
      </c>
      <c r="C164">
        <v>8821.099999904633</v>
      </c>
      <c r="D164" t="s">
        <v>629</v>
      </c>
      <c r="E164" t="s">
        <v>630</v>
      </c>
      <c r="F164">
        <v>15</v>
      </c>
      <c r="G164">
        <v>1773204913.099999</v>
      </c>
      <c r="H164">
        <f>(I164)/1000</f>
        <v>0</v>
      </c>
      <c r="I164">
        <f>1000*AY164*AG164*(AU164-AV164)/(100*AN164*(1000-AG164*AU164))</f>
        <v>0</v>
      </c>
      <c r="J164">
        <f>AY164*AG164*(AT164-AS164*(1000-AG164*AV164)/(1000-AG164*AU164))/(100*AN164)</f>
        <v>0</v>
      </c>
      <c r="K164">
        <f>AS164 - IF(AG164&gt;1, J164*AN164*100.0/(AI164), 0)</f>
        <v>0</v>
      </c>
      <c r="L164">
        <f>((R164-H164/2)*K164-J164)/(R164+H164/2)</f>
        <v>0</v>
      </c>
      <c r="M164">
        <f>L164*(AZ164+BA164)/1000.0</f>
        <v>0</v>
      </c>
      <c r="N164">
        <f>(AS164 - IF(AG164&gt;1, J164*AN164*100.0/(AI164), 0))*(AZ164+BA164)/1000.0</f>
        <v>0</v>
      </c>
      <c r="O164">
        <f>2.0/((1/Q164-1/P164)+SIGN(Q164)*SQRT((1/Q164-1/P164)*(1/Q164-1/P164) + 4*AO164/((AO164+1)*(AO164+1))*(2*1/Q164*1/P164-1/P164*1/P164)))</f>
        <v>0</v>
      </c>
      <c r="P164">
        <f>IF(LEFT(AP164,1)&lt;&gt;"0",IF(LEFT(AP164,1)="1",3.0,AQ164),$D$5+$E$5*(BG164*AZ164/($K$5*1000))+$F$5*(BG164*AZ164/($K$5*1000))*MAX(MIN(AN164,$J$5),$I$5)*MAX(MIN(AN164,$J$5),$I$5)+$G$5*MAX(MIN(AN164,$J$5),$I$5)*(BG164*AZ164/($K$5*1000))+$H$5*(BG164*AZ164/($K$5*1000))*(BG164*AZ164/($K$5*1000)))</f>
        <v>0</v>
      </c>
      <c r="Q164">
        <f>H164*(1000-(1000*0.61365*exp(17.502*U164/(240.97+U164))/(AZ164+BA164)+AU164)/2)/(1000*0.61365*exp(17.502*U164/(240.97+U164))/(AZ164+BA164)-AU164)</f>
        <v>0</v>
      </c>
      <c r="R164">
        <f>1/((AO164+1)/(O164/1.6)+1/(P164/1.37)) + AO164/((AO164+1)/(O164/1.6) + AO164/(P164/1.37))</f>
        <v>0</v>
      </c>
      <c r="S164">
        <f>(AJ164*AM164)</f>
        <v>0</v>
      </c>
      <c r="T164">
        <f>(BB164+(S164+2*0.95*5.67E-8*(((BB164+$B$7)+273)^4-(BB164+273)^4)-44100*H164)/(1.84*29.3*P164+8*0.95*5.67E-8*(BB164+273)^3))</f>
        <v>0</v>
      </c>
      <c r="U164">
        <f>($C$7*BC164+$D$7*BD164+$E$7*T164)</f>
        <v>0</v>
      </c>
      <c r="V164">
        <f>0.61365*exp(17.502*U164/(240.97+U164))</f>
        <v>0</v>
      </c>
      <c r="W164">
        <f>(X164/Y164*100)</f>
        <v>0</v>
      </c>
      <c r="X164">
        <f>AU164*(AZ164+BA164)/1000</f>
        <v>0</v>
      </c>
      <c r="Y164">
        <f>0.61365*exp(17.502*BB164/(240.97+BB164))</f>
        <v>0</v>
      </c>
      <c r="Z164">
        <f>(V164-AU164*(AZ164+BA164)/1000)</f>
        <v>0</v>
      </c>
      <c r="AA164">
        <f>(-H164*44100)</f>
        <v>0</v>
      </c>
      <c r="AB164">
        <f>2*29.3*P164*0.92*(BB164-U164)</f>
        <v>0</v>
      </c>
      <c r="AC164">
        <f>2*0.95*5.67E-8*(((BB164+$B$7)+273)^4-(U164+273)^4)</f>
        <v>0</v>
      </c>
      <c r="AD164">
        <f>S164+AC164+AA164+AB164</f>
        <v>0</v>
      </c>
      <c r="AE164">
        <v>0</v>
      </c>
      <c r="AF164">
        <v>0</v>
      </c>
      <c r="AG164">
        <f>IF(AE164*$H$13&gt;=AI164,1.0,(AI164/(AI164-AE164*$H$13)))</f>
        <v>0</v>
      </c>
      <c r="AH164">
        <f>(AG164-1)*100</f>
        <v>0</v>
      </c>
      <c r="AI164">
        <f>MAX(0,($B$13+$C$13*BG164)/(1+$D$13*BG164)*AZ164/(BB164+273)*$E$13)</f>
        <v>0</v>
      </c>
      <c r="AJ164">
        <f>$B$11*BH164+$C$11*BI164+$D$11*BT164</f>
        <v>0</v>
      </c>
      <c r="AK164">
        <f>AJ164*AL164</f>
        <v>0</v>
      </c>
      <c r="AL164">
        <f>($B$11*$D$9+$C$11*$D$9+$D$11*(BU164*$E$9+BV164*$G$9))/($B$11+$C$11+$D$11)</f>
        <v>0</v>
      </c>
      <c r="AM164">
        <f>($B$11*$K$9+$C$11*$K$9+$D$11*(BU164*$L$9+BV164*$N$9))/($B$11+$C$11+$D$11)</f>
        <v>0</v>
      </c>
      <c r="AN164">
        <v>3</v>
      </c>
      <c r="AO164">
        <v>0.5</v>
      </c>
      <c r="AP164" t="s">
        <v>331</v>
      </c>
      <c r="AQ164">
        <v>2</v>
      </c>
      <c r="AR164">
        <v>1773204913.099999</v>
      </c>
      <c r="AS164">
        <v>420.4285161290323</v>
      </c>
      <c r="AT164">
        <v>418.148870967742</v>
      </c>
      <c r="AU164">
        <v>12.23047096774193</v>
      </c>
      <c r="AV164">
        <v>12.10096451612903</v>
      </c>
      <c r="AW164">
        <v>414.1971612903226</v>
      </c>
      <c r="AX164">
        <v>12.14987741935484</v>
      </c>
      <c r="AY164">
        <v>499.9573225806452</v>
      </c>
      <c r="AZ164">
        <v>100.0911290322581</v>
      </c>
      <c r="BA164">
        <v>0.04568109999999999</v>
      </c>
      <c r="BB164">
        <v>30.79028387096774</v>
      </c>
      <c r="BC164">
        <v>31.04767096774194</v>
      </c>
      <c r="BD164">
        <v>999.9000000000003</v>
      </c>
      <c r="BE164">
        <v>0</v>
      </c>
      <c r="BF164">
        <v>0</v>
      </c>
      <c r="BG164">
        <v>5001.83870967742</v>
      </c>
      <c r="BH164">
        <v>0.9963607096774194</v>
      </c>
      <c r="BI164">
        <v>2120.819032258064</v>
      </c>
      <c r="BJ164">
        <v>2.279675161290323</v>
      </c>
      <c r="BK164">
        <v>425.6343548387097</v>
      </c>
      <c r="BL164">
        <v>423.2708064516129</v>
      </c>
      <c r="BM164">
        <v>0.1294910967741936</v>
      </c>
      <c r="BN164">
        <v>418.148870967742</v>
      </c>
      <c r="BO164">
        <v>12.10096451612903</v>
      </c>
      <c r="BP164">
        <v>1.224161612903226</v>
      </c>
      <c r="BQ164">
        <v>1.211200322580646</v>
      </c>
      <c r="BR164">
        <v>9.898669677419356</v>
      </c>
      <c r="BS164">
        <v>9.739936129032261</v>
      </c>
      <c r="BT164">
        <v>0</v>
      </c>
      <c r="BU164">
        <v>0</v>
      </c>
      <c r="BV164">
        <v>0</v>
      </c>
      <c r="BW164">
        <v>35</v>
      </c>
      <c r="BX164">
        <v>37.99462258064516</v>
      </c>
      <c r="BY164">
        <v>1773196010</v>
      </c>
      <c r="BZ164" t="s">
        <v>332</v>
      </c>
      <c r="CA164">
        <v>1773196010</v>
      </c>
      <c r="CB164">
        <v>1773196005.5</v>
      </c>
      <c r="CC164">
        <v>2</v>
      </c>
      <c r="CD164">
        <v>-0.279</v>
      </c>
      <c r="CE164">
        <v>-0.021</v>
      </c>
      <c r="CF164">
        <v>6.231</v>
      </c>
      <c r="CG164">
        <v>0.081</v>
      </c>
      <c r="CH164">
        <v>432</v>
      </c>
      <c r="CI164">
        <v>21</v>
      </c>
      <c r="CJ164">
        <v>0.03</v>
      </c>
      <c r="CK164">
        <v>0.06</v>
      </c>
      <c r="CL164">
        <v>418.1551612903226</v>
      </c>
      <c r="CM164">
        <v>-0.2990806451612214</v>
      </c>
      <c r="CN164">
        <v>0.02459753039556604</v>
      </c>
      <c r="CO164">
        <v>-1</v>
      </c>
      <c r="CP164">
        <v>499.9655483870968</v>
      </c>
      <c r="CQ164">
        <v>-1.260677419354925</v>
      </c>
      <c r="CR164">
        <v>0.1181554030571287</v>
      </c>
      <c r="CS164">
        <v>-1</v>
      </c>
      <c r="CT164">
        <v>0</v>
      </c>
      <c r="CU164">
        <v>0</v>
      </c>
      <c r="CV164" t="s">
        <v>333</v>
      </c>
      <c r="CW164">
        <v>3.17138</v>
      </c>
      <c r="CX164">
        <v>2.66761</v>
      </c>
      <c r="CY164">
        <v>0.09852859999999999</v>
      </c>
      <c r="CZ164">
        <v>0.0992879</v>
      </c>
      <c r="DA164">
        <v>0.06785190000000001</v>
      </c>
      <c r="DB164">
        <v>0.0673868</v>
      </c>
      <c r="DC164">
        <v>21319.7</v>
      </c>
      <c r="DD164">
        <v>21901.6</v>
      </c>
      <c r="DE164">
        <v>22803.9</v>
      </c>
      <c r="DF164">
        <v>22264.1</v>
      </c>
      <c r="DG164">
        <v>32149.3</v>
      </c>
      <c r="DH164">
        <v>29248.6</v>
      </c>
      <c r="DI164">
        <v>40141.8</v>
      </c>
      <c r="DJ164">
        <v>36824.3</v>
      </c>
      <c r="DK164">
        <v>2.02238</v>
      </c>
      <c r="DL164">
        <v>1.4889</v>
      </c>
      <c r="DM164">
        <v>-0.0785947</v>
      </c>
      <c r="DN164">
        <v>0</v>
      </c>
      <c r="DO164">
        <v>32.336</v>
      </c>
      <c r="DP164">
        <v>999.9</v>
      </c>
      <c r="DQ164">
        <v>23.3</v>
      </c>
      <c r="DR164">
        <v>46.1</v>
      </c>
      <c r="DS164">
        <v>23.741</v>
      </c>
      <c r="DT164">
        <v>29.9464</v>
      </c>
      <c r="DU164">
        <v>14.399</v>
      </c>
      <c r="DV164">
        <v>1</v>
      </c>
      <c r="DW164">
        <v>0.92436</v>
      </c>
      <c r="DX164">
        <v>4.25846</v>
      </c>
      <c r="DY164">
        <v>20.2989</v>
      </c>
      <c r="DZ164">
        <v>5.2113</v>
      </c>
      <c r="EA164">
        <v>11.856</v>
      </c>
      <c r="EB164">
        <v>4.96772</v>
      </c>
      <c r="EC164">
        <v>3.29296</v>
      </c>
      <c r="ED164">
        <v>879.4</v>
      </c>
      <c r="EE164">
        <v>9999</v>
      </c>
      <c r="EF164">
        <v>9999</v>
      </c>
      <c r="EG164">
        <v>78.5</v>
      </c>
      <c r="EH164">
        <v>4.97159</v>
      </c>
      <c r="EI164">
        <v>1.8721</v>
      </c>
      <c r="EJ164">
        <v>1.8695</v>
      </c>
      <c r="EK164">
        <v>1.8718</v>
      </c>
      <c r="EL164">
        <v>1.86959</v>
      </c>
      <c r="EM164">
        <v>1.86838</v>
      </c>
      <c r="EN164">
        <v>1.87015</v>
      </c>
      <c r="EO164">
        <v>1.87195</v>
      </c>
      <c r="EP164">
        <v>0</v>
      </c>
      <c r="EQ164">
        <v>0</v>
      </c>
      <c r="ER164">
        <v>0</v>
      </c>
      <c r="ES164">
        <v>0</v>
      </c>
      <c r="ET164" t="s">
        <v>334</v>
      </c>
      <c r="EU164" t="s">
        <v>335</v>
      </c>
      <c r="EV164" t="s">
        <v>336</v>
      </c>
      <c r="EW164" t="s">
        <v>336</v>
      </c>
      <c r="EX164" t="s">
        <v>336</v>
      </c>
      <c r="EY164" t="s">
        <v>336</v>
      </c>
      <c r="EZ164">
        <v>0</v>
      </c>
      <c r="FA164">
        <v>100</v>
      </c>
      <c r="FB164">
        <v>100</v>
      </c>
      <c r="FC164">
        <v>6.231</v>
      </c>
      <c r="FD164">
        <v>0.0806</v>
      </c>
      <c r="FE164">
        <v>6.23135000000002</v>
      </c>
      <c r="FF164">
        <v>0</v>
      </c>
      <c r="FG164">
        <v>0</v>
      </c>
      <c r="FH164">
        <v>0</v>
      </c>
      <c r="FI164">
        <v>0.08059047619047632</v>
      </c>
      <c r="FJ164">
        <v>0</v>
      </c>
      <c r="FK164">
        <v>0</v>
      </c>
      <c r="FL164">
        <v>0</v>
      </c>
      <c r="FM164">
        <v>-1</v>
      </c>
      <c r="FN164">
        <v>-1</v>
      </c>
      <c r="FO164">
        <v>-1</v>
      </c>
      <c r="FP164">
        <v>-1</v>
      </c>
      <c r="FQ164">
        <v>148.5</v>
      </c>
      <c r="FR164">
        <v>148.6</v>
      </c>
      <c r="FS164">
        <v>0.140381</v>
      </c>
      <c r="FT164">
        <v>4.99756</v>
      </c>
      <c r="FU164">
        <v>1.5979</v>
      </c>
      <c r="FV164">
        <v>2.10938</v>
      </c>
      <c r="FW164">
        <v>1.54785</v>
      </c>
      <c r="FX164">
        <v>2.48291</v>
      </c>
      <c r="FY164">
        <v>47.5718</v>
      </c>
      <c r="FZ164">
        <v>15.2353</v>
      </c>
      <c r="GA164">
        <v>3</v>
      </c>
      <c r="GB164">
        <v>520.747</v>
      </c>
      <c r="GC164">
        <v>287.013</v>
      </c>
      <c r="GD164">
        <v>27.3182</v>
      </c>
      <c r="GE164">
        <v>38.3097</v>
      </c>
      <c r="GF164">
        <v>29.9996</v>
      </c>
      <c r="GG164">
        <v>38.2121</v>
      </c>
      <c r="GH164">
        <v>38.1977</v>
      </c>
      <c r="GI164">
        <v>-1</v>
      </c>
      <c r="GJ164">
        <v>100</v>
      </c>
      <c r="GK164">
        <v>0</v>
      </c>
      <c r="GL164">
        <v>27.3208</v>
      </c>
      <c r="GM164">
        <v>1200</v>
      </c>
      <c r="GN164">
        <v>19.4378</v>
      </c>
      <c r="GO164">
        <v>100.984</v>
      </c>
      <c r="GP164">
        <v>96.16</v>
      </c>
    </row>
    <row r="165" spans="1:198">
      <c r="A165">
        <v>149</v>
      </c>
      <c r="B165">
        <v>1773204981.1</v>
      </c>
      <c r="C165">
        <v>8881.099999904633</v>
      </c>
      <c r="D165" t="s">
        <v>631</v>
      </c>
      <c r="E165" t="s">
        <v>632</v>
      </c>
      <c r="F165">
        <v>15</v>
      </c>
      <c r="G165">
        <v>1773204973.099999</v>
      </c>
      <c r="H165">
        <f>(I165)/1000</f>
        <v>0</v>
      </c>
      <c r="I165">
        <f>1000*AY165*AG165*(AU165-AV165)/(100*AN165*(1000-AG165*AU165))</f>
        <v>0</v>
      </c>
      <c r="J165">
        <f>AY165*AG165*(AT165-AS165*(1000-AG165*AV165)/(1000-AG165*AU165))/(100*AN165)</f>
        <v>0</v>
      </c>
      <c r="K165">
        <f>AS165 - IF(AG165&gt;1, J165*AN165*100.0/(AI165), 0)</f>
        <v>0</v>
      </c>
      <c r="L165">
        <f>((R165-H165/2)*K165-J165)/(R165+H165/2)</f>
        <v>0</v>
      </c>
      <c r="M165">
        <f>L165*(AZ165+BA165)/1000.0</f>
        <v>0</v>
      </c>
      <c r="N165">
        <f>(AS165 - IF(AG165&gt;1, J165*AN165*100.0/(AI165), 0))*(AZ165+BA165)/1000.0</f>
        <v>0</v>
      </c>
      <c r="O165">
        <f>2.0/((1/Q165-1/P165)+SIGN(Q165)*SQRT((1/Q165-1/P165)*(1/Q165-1/P165) + 4*AO165/((AO165+1)*(AO165+1))*(2*1/Q165*1/P165-1/P165*1/P165)))</f>
        <v>0</v>
      </c>
      <c r="P165">
        <f>IF(LEFT(AP165,1)&lt;&gt;"0",IF(LEFT(AP165,1)="1",3.0,AQ165),$D$5+$E$5*(BG165*AZ165/($K$5*1000))+$F$5*(BG165*AZ165/($K$5*1000))*MAX(MIN(AN165,$J$5),$I$5)*MAX(MIN(AN165,$J$5),$I$5)+$G$5*MAX(MIN(AN165,$J$5),$I$5)*(BG165*AZ165/($K$5*1000))+$H$5*(BG165*AZ165/($K$5*1000))*(BG165*AZ165/($K$5*1000)))</f>
        <v>0</v>
      </c>
      <c r="Q165">
        <f>H165*(1000-(1000*0.61365*exp(17.502*U165/(240.97+U165))/(AZ165+BA165)+AU165)/2)/(1000*0.61365*exp(17.502*U165/(240.97+U165))/(AZ165+BA165)-AU165)</f>
        <v>0</v>
      </c>
      <c r="R165">
        <f>1/((AO165+1)/(O165/1.6)+1/(P165/1.37)) + AO165/((AO165+1)/(O165/1.6) + AO165/(P165/1.37))</f>
        <v>0</v>
      </c>
      <c r="S165">
        <f>(AJ165*AM165)</f>
        <v>0</v>
      </c>
      <c r="T165">
        <f>(BB165+(S165+2*0.95*5.67E-8*(((BB165+$B$7)+273)^4-(BB165+273)^4)-44100*H165)/(1.84*29.3*P165+8*0.95*5.67E-8*(BB165+273)^3))</f>
        <v>0</v>
      </c>
      <c r="U165">
        <f>($C$7*BC165+$D$7*BD165+$E$7*T165)</f>
        <v>0</v>
      </c>
      <c r="V165">
        <f>0.61365*exp(17.502*U165/(240.97+U165))</f>
        <v>0</v>
      </c>
      <c r="W165">
        <f>(X165/Y165*100)</f>
        <v>0</v>
      </c>
      <c r="X165">
        <f>AU165*(AZ165+BA165)/1000</f>
        <v>0</v>
      </c>
      <c r="Y165">
        <f>0.61365*exp(17.502*BB165/(240.97+BB165))</f>
        <v>0</v>
      </c>
      <c r="Z165">
        <f>(V165-AU165*(AZ165+BA165)/1000)</f>
        <v>0</v>
      </c>
      <c r="AA165">
        <f>(-H165*44100)</f>
        <v>0</v>
      </c>
      <c r="AB165">
        <f>2*29.3*P165*0.92*(BB165-U165)</f>
        <v>0</v>
      </c>
      <c r="AC165">
        <f>2*0.95*5.67E-8*(((BB165+$B$7)+273)^4-(U165+273)^4)</f>
        <v>0</v>
      </c>
      <c r="AD165">
        <f>S165+AC165+AA165+AB165</f>
        <v>0</v>
      </c>
      <c r="AE165">
        <v>0</v>
      </c>
      <c r="AF165">
        <v>0</v>
      </c>
      <c r="AG165">
        <f>IF(AE165*$H$13&gt;=AI165,1.0,(AI165/(AI165-AE165*$H$13)))</f>
        <v>0</v>
      </c>
      <c r="AH165">
        <f>(AG165-1)*100</f>
        <v>0</v>
      </c>
      <c r="AI165">
        <f>MAX(0,($B$13+$C$13*BG165)/(1+$D$13*BG165)*AZ165/(BB165+273)*$E$13)</f>
        <v>0</v>
      </c>
      <c r="AJ165">
        <f>$B$11*BH165+$C$11*BI165+$D$11*BT165</f>
        <v>0</v>
      </c>
      <c r="AK165">
        <f>AJ165*AL165</f>
        <v>0</v>
      </c>
      <c r="AL165">
        <f>($B$11*$D$9+$C$11*$D$9+$D$11*(BU165*$E$9+BV165*$G$9))/($B$11+$C$11+$D$11)</f>
        <v>0</v>
      </c>
      <c r="AM165">
        <f>($B$11*$K$9+$C$11*$K$9+$D$11*(BU165*$L$9+BV165*$N$9))/($B$11+$C$11+$D$11)</f>
        <v>0</v>
      </c>
      <c r="AN165">
        <v>3</v>
      </c>
      <c r="AO165">
        <v>0.5</v>
      </c>
      <c r="AP165" t="s">
        <v>331</v>
      </c>
      <c r="AQ165">
        <v>2</v>
      </c>
      <c r="AR165">
        <v>1773204973.099999</v>
      </c>
      <c r="AS165">
        <v>420.2258387096774</v>
      </c>
      <c r="AT165">
        <v>418.0261612903226</v>
      </c>
      <c r="AU165">
        <v>12.21497096774194</v>
      </c>
      <c r="AV165">
        <v>12.08478387096774</v>
      </c>
      <c r="AW165">
        <v>413.9946451612903</v>
      </c>
      <c r="AX165">
        <v>12.13437419354839</v>
      </c>
      <c r="AY165">
        <v>500.0120967741935</v>
      </c>
      <c r="AZ165">
        <v>100.0900967741936</v>
      </c>
      <c r="BA165">
        <v>0.04477044838709677</v>
      </c>
      <c r="BB165">
        <v>30.76975161290322</v>
      </c>
      <c r="BC165">
        <v>31.02856451612903</v>
      </c>
      <c r="BD165">
        <v>999.9000000000003</v>
      </c>
      <c r="BE165">
        <v>0</v>
      </c>
      <c r="BF165">
        <v>0</v>
      </c>
      <c r="BG165">
        <v>5000.870967741936</v>
      </c>
      <c r="BH165">
        <v>0.9644891935483869</v>
      </c>
      <c r="BI165">
        <v>2118.406451612903</v>
      </c>
      <c r="BJ165">
        <v>2.199695483870968</v>
      </c>
      <c r="BK165">
        <v>425.4224838709677</v>
      </c>
      <c r="BL165">
        <v>423.1396774193548</v>
      </c>
      <c r="BM165">
        <v>0.1301820967741936</v>
      </c>
      <c r="BN165">
        <v>418.0261612903226</v>
      </c>
      <c r="BO165">
        <v>12.08478387096774</v>
      </c>
      <c r="BP165">
        <v>1.222598387096774</v>
      </c>
      <c r="BQ165">
        <v>1.209569032258065</v>
      </c>
      <c r="BR165">
        <v>9.879610967741934</v>
      </c>
      <c r="BS165">
        <v>9.719845806451612</v>
      </c>
      <c r="BT165">
        <v>0</v>
      </c>
      <c r="BU165">
        <v>0</v>
      </c>
      <c r="BV165">
        <v>0</v>
      </c>
      <c r="BW165">
        <v>35</v>
      </c>
      <c r="BX165">
        <v>38.02688064516129</v>
      </c>
      <c r="BY165">
        <v>1773196010</v>
      </c>
      <c r="BZ165" t="s">
        <v>332</v>
      </c>
      <c r="CA165">
        <v>1773196010</v>
      </c>
      <c r="CB165">
        <v>1773196005.5</v>
      </c>
      <c r="CC165">
        <v>2</v>
      </c>
      <c r="CD165">
        <v>-0.279</v>
      </c>
      <c r="CE165">
        <v>-0.021</v>
      </c>
      <c r="CF165">
        <v>6.231</v>
      </c>
      <c r="CG165">
        <v>0.081</v>
      </c>
      <c r="CH165">
        <v>432</v>
      </c>
      <c r="CI165">
        <v>21</v>
      </c>
      <c r="CJ165">
        <v>0.03</v>
      </c>
      <c r="CK165">
        <v>0.06</v>
      </c>
      <c r="CL165">
        <v>418.0261612903226</v>
      </c>
      <c r="CM165">
        <v>0.3438870967728507</v>
      </c>
      <c r="CN165">
        <v>0.03032096769904276</v>
      </c>
      <c r="CO165">
        <v>-1</v>
      </c>
      <c r="CP165">
        <v>500.0120967741935</v>
      </c>
      <c r="CQ165">
        <v>-0.6147580645163491</v>
      </c>
      <c r="CR165">
        <v>0.06087393363374771</v>
      </c>
      <c r="CS165">
        <v>-1</v>
      </c>
      <c r="CT165">
        <v>0</v>
      </c>
      <c r="CU165">
        <v>0</v>
      </c>
      <c r="CV165" t="s">
        <v>333</v>
      </c>
      <c r="CW165">
        <v>3.17101</v>
      </c>
      <c r="CX165">
        <v>2.66607</v>
      </c>
      <c r="CY165">
        <v>0.09850639999999999</v>
      </c>
      <c r="CZ165">
        <v>0.0992821</v>
      </c>
      <c r="DA165">
        <v>0.0677852</v>
      </c>
      <c r="DB165">
        <v>0.0673111</v>
      </c>
      <c r="DC165">
        <v>21322.4</v>
      </c>
      <c r="DD165">
        <v>21903.8</v>
      </c>
      <c r="DE165">
        <v>22806.1</v>
      </c>
      <c r="DF165">
        <v>22266</v>
      </c>
      <c r="DG165">
        <v>32154.5</v>
      </c>
      <c r="DH165">
        <v>29253.9</v>
      </c>
      <c r="DI165">
        <v>40145.3</v>
      </c>
      <c r="DJ165">
        <v>36827.9</v>
      </c>
      <c r="DK165">
        <v>2.02216</v>
      </c>
      <c r="DL165">
        <v>1.4903</v>
      </c>
      <c r="DM165">
        <v>-0.08121730000000001</v>
      </c>
      <c r="DN165">
        <v>0</v>
      </c>
      <c r="DO165">
        <v>32.3519</v>
      </c>
      <c r="DP165">
        <v>999.9</v>
      </c>
      <c r="DQ165">
        <v>23.3</v>
      </c>
      <c r="DR165">
        <v>46.1</v>
      </c>
      <c r="DS165">
        <v>23.7417</v>
      </c>
      <c r="DT165">
        <v>29.9464</v>
      </c>
      <c r="DU165">
        <v>14.1146</v>
      </c>
      <c r="DV165">
        <v>1</v>
      </c>
      <c r="DW165">
        <v>0.918961</v>
      </c>
      <c r="DX165">
        <v>4.11976</v>
      </c>
      <c r="DY165">
        <v>20.3033</v>
      </c>
      <c r="DZ165">
        <v>5.21046</v>
      </c>
      <c r="EA165">
        <v>11.856</v>
      </c>
      <c r="EB165">
        <v>4.96748</v>
      </c>
      <c r="EC165">
        <v>3.293</v>
      </c>
      <c r="ED165">
        <v>879.4</v>
      </c>
      <c r="EE165">
        <v>9999</v>
      </c>
      <c r="EF165">
        <v>9999</v>
      </c>
      <c r="EG165">
        <v>78.5</v>
      </c>
      <c r="EH165">
        <v>4.97156</v>
      </c>
      <c r="EI165">
        <v>1.8721</v>
      </c>
      <c r="EJ165">
        <v>1.86948</v>
      </c>
      <c r="EK165">
        <v>1.8718</v>
      </c>
      <c r="EL165">
        <v>1.86951</v>
      </c>
      <c r="EM165">
        <v>1.86835</v>
      </c>
      <c r="EN165">
        <v>1.87017</v>
      </c>
      <c r="EO165">
        <v>1.87195</v>
      </c>
      <c r="EP165">
        <v>0</v>
      </c>
      <c r="EQ165">
        <v>0</v>
      </c>
      <c r="ER165">
        <v>0</v>
      </c>
      <c r="ES165">
        <v>0</v>
      </c>
      <c r="ET165" t="s">
        <v>334</v>
      </c>
      <c r="EU165" t="s">
        <v>335</v>
      </c>
      <c r="EV165" t="s">
        <v>336</v>
      </c>
      <c r="EW165" t="s">
        <v>336</v>
      </c>
      <c r="EX165" t="s">
        <v>336</v>
      </c>
      <c r="EY165" t="s">
        <v>336</v>
      </c>
      <c r="EZ165">
        <v>0</v>
      </c>
      <c r="FA165">
        <v>100</v>
      </c>
      <c r="FB165">
        <v>100</v>
      </c>
      <c r="FC165">
        <v>6.232</v>
      </c>
      <c r="FD165">
        <v>0.0806</v>
      </c>
      <c r="FE165">
        <v>6.23135000000002</v>
      </c>
      <c r="FF165">
        <v>0</v>
      </c>
      <c r="FG165">
        <v>0</v>
      </c>
      <c r="FH165">
        <v>0</v>
      </c>
      <c r="FI165">
        <v>0.08059047619047632</v>
      </c>
      <c r="FJ165">
        <v>0</v>
      </c>
      <c r="FK165">
        <v>0</v>
      </c>
      <c r="FL165">
        <v>0</v>
      </c>
      <c r="FM165">
        <v>-1</v>
      </c>
      <c r="FN165">
        <v>-1</v>
      </c>
      <c r="FO165">
        <v>-1</v>
      </c>
      <c r="FP165">
        <v>-1</v>
      </c>
      <c r="FQ165">
        <v>149.5</v>
      </c>
      <c r="FR165">
        <v>149.6</v>
      </c>
      <c r="FS165">
        <v>0.140381</v>
      </c>
      <c r="FT165">
        <v>4.99756</v>
      </c>
      <c r="FU165">
        <v>1.5979</v>
      </c>
      <c r="FV165">
        <v>2.10938</v>
      </c>
      <c r="FW165">
        <v>1.54785</v>
      </c>
      <c r="FX165">
        <v>2.42676</v>
      </c>
      <c r="FY165">
        <v>47.4816</v>
      </c>
      <c r="FZ165">
        <v>15.2265</v>
      </c>
      <c r="GA165">
        <v>3</v>
      </c>
      <c r="GB165">
        <v>520.351</v>
      </c>
      <c r="GC165">
        <v>287.541</v>
      </c>
      <c r="GD165">
        <v>27.3401</v>
      </c>
      <c r="GE165">
        <v>38.2615</v>
      </c>
      <c r="GF165">
        <v>29.9995</v>
      </c>
      <c r="GG165">
        <v>38.1756</v>
      </c>
      <c r="GH165">
        <v>38.165</v>
      </c>
      <c r="GI165">
        <v>-1</v>
      </c>
      <c r="GJ165">
        <v>100</v>
      </c>
      <c r="GK165">
        <v>0</v>
      </c>
      <c r="GL165">
        <v>27.3511</v>
      </c>
      <c r="GM165">
        <v>1200</v>
      </c>
      <c r="GN165">
        <v>19.4378</v>
      </c>
      <c r="GO165">
        <v>100.993</v>
      </c>
      <c r="GP165">
        <v>96.169</v>
      </c>
    </row>
    <row r="166" spans="1:198">
      <c r="A166">
        <v>150</v>
      </c>
      <c r="B166">
        <v>1773205041.1</v>
      </c>
      <c r="C166">
        <v>8941.099999904633</v>
      </c>
      <c r="D166" t="s">
        <v>633</v>
      </c>
      <c r="E166" t="s">
        <v>634</v>
      </c>
      <c r="F166">
        <v>15</v>
      </c>
      <c r="G166">
        <v>1773205033.099999</v>
      </c>
      <c r="H166">
        <f>(I166)/1000</f>
        <v>0</v>
      </c>
      <c r="I166">
        <f>1000*AY166*AG166*(AU166-AV166)/(100*AN166*(1000-AG166*AU166))</f>
        <v>0</v>
      </c>
      <c r="J166">
        <f>AY166*AG166*(AT166-AS166*(1000-AG166*AV166)/(1000-AG166*AU166))/(100*AN166)</f>
        <v>0</v>
      </c>
      <c r="K166">
        <f>AS166 - IF(AG166&gt;1, J166*AN166*100.0/(AI166), 0)</f>
        <v>0</v>
      </c>
      <c r="L166">
        <f>((R166-H166/2)*K166-J166)/(R166+H166/2)</f>
        <v>0</v>
      </c>
      <c r="M166">
        <f>L166*(AZ166+BA166)/1000.0</f>
        <v>0</v>
      </c>
      <c r="N166">
        <f>(AS166 - IF(AG166&gt;1, J166*AN166*100.0/(AI166), 0))*(AZ166+BA166)/1000.0</f>
        <v>0</v>
      </c>
      <c r="O166">
        <f>2.0/((1/Q166-1/P166)+SIGN(Q166)*SQRT((1/Q166-1/P166)*(1/Q166-1/P166) + 4*AO166/((AO166+1)*(AO166+1))*(2*1/Q166*1/P166-1/P166*1/P166)))</f>
        <v>0</v>
      </c>
      <c r="P166">
        <f>IF(LEFT(AP166,1)&lt;&gt;"0",IF(LEFT(AP166,1)="1",3.0,AQ166),$D$5+$E$5*(BG166*AZ166/($K$5*1000))+$F$5*(BG166*AZ166/($K$5*1000))*MAX(MIN(AN166,$J$5),$I$5)*MAX(MIN(AN166,$J$5),$I$5)+$G$5*MAX(MIN(AN166,$J$5),$I$5)*(BG166*AZ166/($K$5*1000))+$H$5*(BG166*AZ166/($K$5*1000))*(BG166*AZ166/($K$5*1000)))</f>
        <v>0</v>
      </c>
      <c r="Q166">
        <f>H166*(1000-(1000*0.61365*exp(17.502*U166/(240.97+U166))/(AZ166+BA166)+AU166)/2)/(1000*0.61365*exp(17.502*U166/(240.97+U166))/(AZ166+BA166)-AU166)</f>
        <v>0</v>
      </c>
      <c r="R166">
        <f>1/((AO166+1)/(O166/1.6)+1/(P166/1.37)) + AO166/((AO166+1)/(O166/1.6) + AO166/(P166/1.37))</f>
        <v>0</v>
      </c>
      <c r="S166">
        <f>(AJ166*AM166)</f>
        <v>0</v>
      </c>
      <c r="T166">
        <f>(BB166+(S166+2*0.95*5.67E-8*(((BB166+$B$7)+273)^4-(BB166+273)^4)-44100*H166)/(1.84*29.3*P166+8*0.95*5.67E-8*(BB166+273)^3))</f>
        <v>0</v>
      </c>
      <c r="U166">
        <f>($C$7*BC166+$D$7*BD166+$E$7*T166)</f>
        <v>0</v>
      </c>
      <c r="V166">
        <f>0.61365*exp(17.502*U166/(240.97+U166))</f>
        <v>0</v>
      </c>
      <c r="W166">
        <f>(X166/Y166*100)</f>
        <v>0</v>
      </c>
      <c r="X166">
        <f>AU166*(AZ166+BA166)/1000</f>
        <v>0</v>
      </c>
      <c r="Y166">
        <f>0.61365*exp(17.502*BB166/(240.97+BB166))</f>
        <v>0</v>
      </c>
      <c r="Z166">
        <f>(V166-AU166*(AZ166+BA166)/1000)</f>
        <v>0</v>
      </c>
      <c r="AA166">
        <f>(-H166*44100)</f>
        <v>0</v>
      </c>
      <c r="AB166">
        <f>2*29.3*P166*0.92*(BB166-U166)</f>
        <v>0</v>
      </c>
      <c r="AC166">
        <f>2*0.95*5.67E-8*(((BB166+$B$7)+273)^4-(U166+273)^4)</f>
        <v>0</v>
      </c>
      <c r="AD166">
        <f>S166+AC166+AA166+AB166</f>
        <v>0</v>
      </c>
      <c r="AE166">
        <v>0</v>
      </c>
      <c r="AF166">
        <v>0</v>
      </c>
      <c r="AG166">
        <f>IF(AE166*$H$13&gt;=AI166,1.0,(AI166/(AI166-AE166*$H$13)))</f>
        <v>0</v>
      </c>
      <c r="AH166">
        <f>(AG166-1)*100</f>
        <v>0</v>
      </c>
      <c r="AI166">
        <f>MAX(0,($B$13+$C$13*BG166)/(1+$D$13*BG166)*AZ166/(BB166+273)*$E$13)</f>
        <v>0</v>
      </c>
      <c r="AJ166">
        <f>$B$11*BH166+$C$11*BI166+$D$11*BT166</f>
        <v>0</v>
      </c>
      <c r="AK166">
        <f>AJ166*AL166</f>
        <v>0</v>
      </c>
      <c r="AL166">
        <f>($B$11*$D$9+$C$11*$D$9+$D$11*(BU166*$E$9+BV166*$G$9))/($B$11+$C$11+$D$11)</f>
        <v>0</v>
      </c>
      <c r="AM166">
        <f>($B$11*$K$9+$C$11*$K$9+$D$11*(BU166*$L$9+BV166*$N$9))/($B$11+$C$11+$D$11)</f>
        <v>0</v>
      </c>
      <c r="AN166">
        <v>3</v>
      </c>
      <c r="AO166">
        <v>0.5</v>
      </c>
      <c r="AP166" t="s">
        <v>331</v>
      </c>
      <c r="AQ166">
        <v>2</v>
      </c>
      <c r="AR166">
        <v>1773205033.099999</v>
      </c>
      <c r="AS166">
        <v>420.3254838709677</v>
      </c>
      <c r="AT166">
        <v>418.1276774193548</v>
      </c>
      <c r="AU166">
        <v>12.20152903225807</v>
      </c>
      <c r="AV166">
        <v>12.07181612903226</v>
      </c>
      <c r="AW166">
        <v>414.0941612903225</v>
      </c>
      <c r="AX166">
        <v>12.12093225806452</v>
      </c>
      <c r="AY166">
        <v>500.0493870967742</v>
      </c>
      <c r="AZ166">
        <v>100.0971612903226</v>
      </c>
      <c r="BA166">
        <v>0.04589669354838709</v>
      </c>
      <c r="BB166">
        <v>30.81972580645161</v>
      </c>
      <c r="BC166">
        <v>31.08988387096774</v>
      </c>
      <c r="BD166">
        <v>999.9000000000003</v>
      </c>
      <c r="BE166">
        <v>0</v>
      </c>
      <c r="BF166">
        <v>0</v>
      </c>
      <c r="BG166">
        <v>4994.741935483871</v>
      </c>
      <c r="BH166">
        <v>0.9795898709677421</v>
      </c>
      <c r="BI166">
        <v>2119.768387096774</v>
      </c>
      <c r="BJ166">
        <v>2.197864516129032</v>
      </c>
      <c r="BK166">
        <v>425.5176129032258</v>
      </c>
      <c r="BL166">
        <v>423.2369677419355</v>
      </c>
      <c r="BM166">
        <v>0.1297058709677419</v>
      </c>
      <c r="BN166">
        <v>418.1276774193548</v>
      </c>
      <c r="BO166">
        <v>12.07181612903226</v>
      </c>
      <c r="BP166">
        <v>1.221336774193548</v>
      </c>
      <c r="BQ166">
        <v>1.208353548387097</v>
      </c>
      <c r="BR166">
        <v>9.864205161290322</v>
      </c>
      <c r="BS166">
        <v>9.704870967741936</v>
      </c>
      <c r="BT166">
        <v>0</v>
      </c>
      <c r="BU166">
        <v>0</v>
      </c>
      <c r="BV166">
        <v>0</v>
      </c>
      <c r="BW166">
        <v>35</v>
      </c>
      <c r="BX166">
        <v>39</v>
      </c>
      <c r="BY166">
        <v>1773196010</v>
      </c>
      <c r="BZ166" t="s">
        <v>332</v>
      </c>
      <c r="CA166">
        <v>1773196010</v>
      </c>
      <c r="CB166">
        <v>1773196005.5</v>
      </c>
      <c r="CC166">
        <v>2</v>
      </c>
      <c r="CD166">
        <v>-0.279</v>
      </c>
      <c r="CE166">
        <v>-0.021</v>
      </c>
      <c r="CF166">
        <v>6.231</v>
      </c>
      <c r="CG166">
        <v>0.081</v>
      </c>
      <c r="CH166">
        <v>432</v>
      </c>
      <c r="CI166">
        <v>21</v>
      </c>
      <c r="CJ166">
        <v>0.03</v>
      </c>
      <c r="CK166">
        <v>0.06</v>
      </c>
      <c r="CL166">
        <v>418.1280333333333</v>
      </c>
      <c r="CM166">
        <v>0.02480088987834329</v>
      </c>
      <c r="CN166">
        <v>0.0162038747080913</v>
      </c>
      <c r="CO166">
        <v>-1</v>
      </c>
      <c r="CP166">
        <v>500.0544</v>
      </c>
      <c r="CQ166">
        <v>-0.4920667408229264</v>
      </c>
      <c r="CR166">
        <v>0.08468317424377104</v>
      </c>
      <c r="CS166">
        <v>-1</v>
      </c>
      <c r="CT166">
        <v>0</v>
      </c>
      <c r="CU166">
        <v>0</v>
      </c>
      <c r="CV166" t="s">
        <v>333</v>
      </c>
      <c r="CW166">
        <v>3.17103</v>
      </c>
      <c r="CX166">
        <v>2.66741</v>
      </c>
      <c r="CY166">
        <v>0.09853389999999999</v>
      </c>
      <c r="CZ166">
        <v>0.0993107</v>
      </c>
      <c r="DA166">
        <v>0.0677466</v>
      </c>
      <c r="DB166">
        <v>0.06728430000000001</v>
      </c>
      <c r="DC166">
        <v>21322.4</v>
      </c>
      <c r="DD166">
        <v>21904.2</v>
      </c>
      <c r="DE166">
        <v>22806.5</v>
      </c>
      <c r="DF166">
        <v>22267</v>
      </c>
      <c r="DG166">
        <v>32156.3</v>
      </c>
      <c r="DH166">
        <v>29256</v>
      </c>
      <c r="DI166">
        <v>40145.9</v>
      </c>
      <c r="DJ166">
        <v>36829.4</v>
      </c>
      <c r="DK166">
        <v>2.0228</v>
      </c>
      <c r="DL166">
        <v>1.49212</v>
      </c>
      <c r="DM166">
        <v>-0.0792682</v>
      </c>
      <c r="DN166">
        <v>0</v>
      </c>
      <c r="DO166">
        <v>32.3634</v>
      </c>
      <c r="DP166">
        <v>999.9</v>
      </c>
      <c r="DQ166">
        <v>23.1</v>
      </c>
      <c r="DR166">
        <v>46.1</v>
      </c>
      <c r="DS166">
        <v>23.5354</v>
      </c>
      <c r="DT166">
        <v>30.1264</v>
      </c>
      <c r="DU166">
        <v>14.2147</v>
      </c>
      <c r="DV166">
        <v>1</v>
      </c>
      <c r="DW166">
        <v>0.918362</v>
      </c>
      <c r="DX166">
        <v>4.43608</v>
      </c>
      <c r="DY166">
        <v>20.2932</v>
      </c>
      <c r="DZ166">
        <v>5.20962</v>
      </c>
      <c r="EA166">
        <v>11.8553</v>
      </c>
      <c r="EB166">
        <v>4.9676</v>
      </c>
      <c r="EC166">
        <v>3.29292</v>
      </c>
      <c r="ED166">
        <v>879.4</v>
      </c>
      <c r="EE166">
        <v>9999</v>
      </c>
      <c r="EF166">
        <v>9999</v>
      </c>
      <c r="EG166">
        <v>78.5</v>
      </c>
      <c r="EH166">
        <v>4.97157</v>
      </c>
      <c r="EI166">
        <v>1.8721</v>
      </c>
      <c r="EJ166">
        <v>1.86948</v>
      </c>
      <c r="EK166">
        <v>1.8718</v>
      </c>
      <c r="EL166">
        <v>1.86952</v>
      </c>
      <c r="EM166">
        <v>1.86842</v>
      </c>
      <c r="EN166">
        <v>1.87017</v>
      </c>
      <c r="EO166">
        <v>1.87195</v>
      </c>
      <c r="EP166">
        <v>0</v>
      </c>
      <c r="EQ166">
        <v>0</v>
      </c>
      <c r="ER166">
        <v>0</v>
      </c>
      <c r="ES166">
        <v>0</v>
      </c>
      <c r="ET166" t="s">
        <v>334</v>
      </c>
      <c r="EU166" t="s">
        <v>335</v>
      </c>
      <c r="EV166" t="s">
        <v>336</v>
      </c>
      <c r="EW166" t="s">
        <v>336</v>
      </c>
      <c r="EX166" t="s">
        <v>336</v>
      </c>
      <c r="EY166" t="s">
        <v>336</v>
      </c>
      <c r="EZ166">
        <v>0</v>
      </c>
      <c r="FA166">
        <v>100</v>
      </c>
      <c r="FB166">
        <v>100</v>
      </c>
      <c r="FC166">
        <v>6.231</v>
      </c>
      <c r="FD166">
        <v>0.0806</v>
      </c>
      <c r="FE166">
        <v>6.23135000000002</v>
      </c>
      <c r="FF166">
        <v>0</v>
      </c>
      <c r="FG166">
        <v>0</v>
      </c>
      <c r="FH166">
        <v>0</v>
      </c>
      <c r="FI166">
        <v>0.08059047619047632</v>
      </c>
      <c r="FJ166">
        <v>0</v>
      </c>
      <c r="FK166">
        <v>0</v>
      </c>
      <c r="FL166">
        <v>0</v>
      </c>
      <c r="FM166">
        <v>-1</v>
      </c>
      <c r="FN166">
        <v>-1</v>
      </c>
      <c r="FO166">
        <v>-1</v>
      </c>
      <c r="FP166">
        <v>-1</v>
      </c>
      <c r="FQ166">
        <v>150.5</v>
      </c>
      <c r="FR166">
        <v>150.6</v>
      </c>
      <c r="FS166">
        <v>0.141602</v>
      </c>
      <c r="FT166">
        <v>4.99756</v>
      </c>
      <c r="FU166">
        <v>1.5979</v>
      </c>
      <c r="FV166">
        <v>2.10938</v>
      </c>
      <c r="FW166">
        <v>1.54785</v>
      </c>
      <c r="FX166">
        <v>2.38525</v>
      </c>
      <c r="FY166">
        <v>47.3917</v>
      </c>
      <c r="FZ166">
        <v>15.209</v>
      </c>
      <c r="GA166">
        <v>3</v>
      </c>
      <c r="GB166">
        <v>520.5119999999999</v>
      </c>
      <c r="GC166">
        <v>288.268</v>
      </c>
      <c r="GD166">
        <v>27.2788</v>
      </c>
      <c r="GE166">
        <v>38.2182</v>
      </c>
      <c r="GF166">
        <v>29.9996</v>
      </c>
      <c r="GG166">
        <v>38.1413</v>
      </c>
      <c r="GH166">
        <v>38.133</v>
      </c>
      <c r="GI166">
        <v>-1</v>
      </c>
      <c r="GJ166">
        <v>100</v>
      </c>
      <c r="GK166">
        <v>0</v>
      </c>
      <c r="GL166">
        <v>27.2828</v>
      </c>
      <c r="GM166">
        <v>1200</v>
      </c>
      <c r="GN166">
        <v>19.4378</v>
      </c>
      <c r="GO166">
        <v>100.995</v>
      </c>
      <c r="GP166">
        <v>96.1729</v>
      </c>
    </row>
    <row r="167" spans="1:198">
      <c r="A167">
        <v>151</v>
      </c>
      <c r="B167">
        <v>1773205101.1</v>
      </c>
      <c r="C167">
        <v>9001.099999904633</v>
      </c>
      <c r="D167" t="s">
        <v>635</v>
      </c>
      <c r="E167" t="s">
        <v>636</v>
      </c>
      <c r="F167">
        <v>15</v>
      </c>
      <c r="G167">
        <v>1773205093.099999</v>
      </c>
      <c r="H167">
        <f>(I167)/1000</f>
        <v>0</v>
      </c>
      <c r="I167">
        <f>1000*AY167*AG167*(AU167-AV167)/(100*AN167*(1000-AG167*AU167))</f>
        <v>0</v>
      </c>
      <c r="J167">
        <f>AY167*AG167*(AT167-AS167*(1000-AG167*AV167)/(1000-AG167*AU167))/(100*AN167)</f>
        <v>0</v>
      </c>
      <c r="K167">
        <f>AS167 - IF(AG167&gt;1, J167*AN167*100.0/(AI167), 0)</f>
        <v>0</v>
      </c>
      <c r="L167">
        <f>((R167-H167/2)*K167-J167)/(R167+H167/2)</f>
        <v>0</v>
      </c>
      <c r="M167">
        <f>L167*(AZ167+BA167)/1000.0</f>
        <v>0</v>
      </c>
      <c r="N167">
        <f>(AS167 - IF(AG167&gt;1, J167*AN167*100.0/(AI167), 0))*(AZ167+BA167)/1000.0</f>
        <v>0</v>
      </c>
      <c r="O167">
        <f>2.0/((1/Q167-1/P167)+SIGN(Q167)*SQRT((1/Q167-1/P167)*(1/Q167-1/P167) + 4*AO167/((AO167+1)*(AO167+1))*(2*1/Q167*1/P167-1/P167*1/P167)))</f>
        <v>0</v>
      </c>
      <c r="P167">
        <f>IF(LEFT(AP167,1)&lt;&gt;"0",IF(LEFT(AP167,1)="1",3.0,AQ167),$D$5+$E$5*(BG167*AZ167/($K$5*1000))+$F$5*(BG167*AZ167/($K$5*1000))*MAX(MIN(AN167,$J$5),$I$5)*MAX(MIN(AN167,$J$5),$I$5)+$G$5*MAX(MIN(AN167,$J$5),$I$5)*(BG167*AZ167/($K$5*1000))+$H$5*(BG167*AZ167/($K$5*1000))*(BG167*AZ167/($K$5*1000)))</f>
        <v>0</v>
      </c>
      <c r="Q167">
        <f>H167*(1000-(1000*0.61365*exp(17.502*U167/(240.97+U167))/(AZ167+BA167)+AU167)/2)/(1000*0.61365*exp(17.502*U167/(240.97+U167))/(AZ167+BA167)-AU167)</f>
        <v>0</v>
      </c>
      <c r="R167">
        <f>1/((AO167+1)/(O167/1.6)+1/(P167/1.37)) + AO167/((AO167+1)/(O167/1.6) + AO167/(P167/1.37))</f>
        <v>0</v>
      </c>
      <c r="S167">
        <f>(AJ167*AM167)</f>
        <v>0</v>
      </c>
      <c r="T167">
        <f>(BB167+(S167+2*0.95*5.67E-8*(((BB167+$B$7)+273)^4-(BB167+273)^4)-44100*H167)/(1.84*29.3*P167+8*0.95*5.67E-8*(BB167+273)^3))</f>
        <v>0</v>
      </c>
      <c r="U167">
        <f>($C$7*BC167+$D$7*BD167+$E$7*T167)</f>
        <v>0</v>
      </c>
      <c r="V167">
        <f>0.61365*exp(17.502*U167/(240.97+U167))</f>
        <v>0</v>
      </c>
      <c r="W167">
        <f>(X167/Y167*100)</f>
        <v>0</v>
      </c>
      <c r="X167">
        <f>AU167*(AZ167+BA167)/1000</f>
        <v>0</v>
      </c>
      <c r="Y167">
        <f>0.61365*exp(17.502*BB167/(240.97+BB167))</f>
        <v>0</v>
      </c>
      <c r="Z167">
        <f>(V167-AU167*(AZ167+BA167)/1000)</f>
        <v>0</v>
      </c>
      <c r="AA167">
        <f>(-H167*44100)</f>
        <v>0</v>
      </c>
      <c r="AB167">
        <f>2*29.3*P167*0.92*(BB167-U167)</f>
        <v>0</v>
      </c>
      <c r="AC167">
        <f>2*0.95*5.67E-8*(((BB167+$B$7)+273)^4-(U167+273)^4)</f>
        <v>0</v>
      </c>
      <c r="AD167">
        <f>S167+AC167+AA167+AB167</f>
        <v>0</v>
      </c>
      <c r="AE167">
        <v>0</v>
      </c>
      <c r="AF167">
        <v>0</v>
      </c>
      <c r="AG167">
        <f>IF(AE167*$H$13&gt;=AI167,1.0,(AI167/(AI167-AE167*$H$13)))</f>
        <v>0</v>
      </c>
      <c r="AH167">
        <f>(AG167-1)*100</f>
        <v>0</v>
      </c>
      <c r="AI167">
        <f>MAX(0,($B$13+$C$13*BG167)/(1+$D$13*BG167)*AZ167/(BB167+273)*$E$13)</f>
        <v>0</v>
      </c>
      <c r="AJ167">
        <f>$B$11*BH167+$C$11*BI167+$D$11*BT167</f>
        <v>0</v>
      </c>
      <c r="AK167">
        <f>AJ167*AL167</f>
        <v>0</v>
      </c>
      <c r="AL167">
        <f>($B$11*$D$9+$C$11*$D$9+$D$11*(BU167*$E$9+BV167*$G$9))/($B$11+$C$11+$D$11)</f>
        <v>0</v>
      </c>
      <c r="AM167">
        <f>($B$11*$K$9+$C$11*$K$9+$D$11*(BU167*$L$9+BV167*$N$9))/($B$11+$C$11+$D$11)</f>
        <v>0</v>
      </c>
      <c r="AN167">
        <v>3</v>
      </c>
      <c r="AO167">
        <v>0.5</v>
      </c>
      <c r="AP167" t="s">
        <v>331</v>
      </c>
      <c r="AQ167">
        <v>2</v>
      </c>
      <c r="AR167">
        <v>1773205093.099999</v>
      </c>
      <c r="AS167">
        <v>420.3876129032258</v>
      </c>
      <c r="AT167">
        <v>418.2222580645162</v>
      </c>
      <c r="AU167">
        <v>12.22309032258064</v>
      </c>
      <c r="AV167">
        <v>12.10873548387097</v>
      </c>
      <c r="AW167">
        <v>414.1562580645161</v>
      </c>
      <c r="AX167">
        <v>12.1425</v>
      </c>
      <c r="AY167">
        <v>500.0093225806452</v>
      </c>
      <c r="AZ167">
        <v>100.0929032258064</v>
      </c>
      <c r="BA167">
        <v>0.04511651612903226</v>
      </c>
      <c r="BB167">
        <v>30.7757870967742</v>
      </c>
      <c r="BC167">
        <v>31.0489064516129</v>
      </c>
      <c r="BD167">
        <v>999.9000000000003</v>
      </c>
      <c r="BE167">
        <v>0</v>
      </c>
      <c r="BF167">
        <v>0</v>
      </c>
      <c r="BG167">
        <v>5003.129032258064</v>
      </c>
      <c r="BH167">
        <v>0.9642722258064517</v>
      </c>
      <c r="BI167">
        <v>2115.661935483871</v>
      </c>
      <c r="BJ167">
        <v>2.165348064516129</v>
      </c>
      <c r="BK167">
        <v>425.5897419354839</v>
      </c>
      <c r="BL167">
        <v>423.3484193548387</v>
      </c>
      <c r="BM167">
        <v>0.114355935483871</v>
      </c>
      <c r="BN167">
        <v>418.2222580645162</v>
      </c>
      <c r="BO167">
        <v>12.10873548387097</v>
      </c>
      <c r="BP167">
        <v>1.223444193548387</v>
      </c>
      <c r="BQ167">
        <v>1.211998709677419</v>
      </c>
      <c r="BR167">
        <v>9.889928064516129</v>
      </c>
      <c r="BS167">
        <v>9.749747741935485</v>
      </c>
      <c r="BT167">
        <v>0</v>
      </c>
      <c r="BU167">
        <v>0</v>
      </c>
      <c r="BV167">
        <v>0</v>
      </c>
      <c r="BW167">
        <v>35</v>
      </c>
      <c r="BX167">
        <v>40</v>
      </c>
      <c r="BY167">
        <v>1773196010</v>
      </c>
      <c r="BZ167" t="s">
        <v>332</v>
      </c>
      <c r="CA167">
        <v>1773196010</v>
      </c>
      <c r="CB167">
        <v>1773196005.5</v>
      </c>
      <c r="CC167">
        <v>2</v>
      </c>
      <c r="CD167">
        <v>-0.279</v>
      </c>
      <c r="CE167">
        <v>-0.021</v>
      </c>
      <c r="CF167">
        <v>6.231</v>
      </c>
      <c r="CG167">
        <v>0.081</v>
      </c>
      <c r="CH167">
        <v>432</v>
      </c>
      <c r="CI167">
        <v>21</v>
      </c>
      <c r="CJ167">
        <v>0.03</v>
      </c>
      <c r="CK167">
        <v>0.06</v>
      </c>
      <c r="CL167">
        <v>418.2222580645162</v>
      </c>
      <c r="CM167">
        <v>0.6854999999987305</v>
      </c>
      <c r="CN167">
        <v>0.05621500645817546</v>
      </c>
      <c r="CO167">
        <v>-1</v>
      </c>
      <c r="CP167">
        <v>500.0093225806452</v>
      </c>
      <c r="CQ167">
        <v>0.0257903225783289</v>
      </c>
      <c r="CR167">
        <v>0.02661116318846969</v>
      </c>
      <c r="CS167">
        <v>-1</v>
      </c>
      <c r="CT167">
        <v>0</v>
      </c>
      <c r="CU167">
        <v>0</v>
      </c>
      <c r="CV167" t="s">
        <v>333</v>
      </c>
      <c r="CW167">
        <v>3.17112</v>
      </c>
      <c r="CX167">
        <v>2.66633</v>
      </c>
      <c r="CY167">
        <v>0.0985606</v>
      </c>
      <c r="CZ167">
        <v>0.0993402</v>
      </c>
      <c r="DA167">
        <v>0.06787990000000001</v>
      </c>
      <c r="DB167">
        <v>0.06748179999999999</v>
      </c>
      <c r="DC167">
        <v>21323.7</v>
      </c>
      <c r="DD167">
        <v>21905.5</v>
      </c>
      <c r="DE167">
        <v>22808.5</v>
      </c>
      <c r="DF167">
        <v>22268.9</v>
      </c>
      <c r="DG167">
        <v>32154.4</v>
      </c>
      <c r="DH167">
        <v>29252.6</v>
      </c>
      <c r="DI167">
        <v>40149.1</v>
      </c>
      <c r="DJ167">
        <v>36832.9</v>
      </c>
      <c r="DK167">
        <v>2.02322</v>
      </c>
      <c r="DL167">
        <v>1.4926</v>
      </c>
      <c r="DM167">
        <v>-0.0843912</v>
      </c>
      <c r="DN167">
        <v>0</v>
      </c>
      <c r="DO167">
        <v>32.4152</v>
      </c>
      <c r="DP167">
        <v>999.9</v>
      </c>
      <c r="DQ167">
        <v>23.1</v>
      </c>
      <c r="DR167">
        <v>46.1</v>
      </c>
      <c r="DS167">
        <v>23.5358</v>
      </c>
      <c r="DT167">
        <v>30.0364</v>
      </c>
      <c r="DU167">
        <v>14.0545</v>
      </c>
      <c r="DV167">
        <v>1</v>
      </c>
      <c r="DW167">
        <v>0.912346</v>
      </c>
      <c r="DX167">
        <v>4.21799</v>
      </c>
      <c r="DY167">
        <v>20.3007</v>
      </c>
      <c r="DZ167">
        <v>5.21094</v>
      </c>
      <c r="EA167">
        <v>11.8552</v>
      </c>
      <c r="EB167">
        <v>4.96772</v>
      </c>
      <c r="EC167">
        <v>3.29292</v>
      </c>
      <c r="ED167">
        <v>879.4</v>
      </c>
      <c r="EE167">
        <v>9999</v>
      </c>
      <c r="EF167">
        <v>9999</v>
      </c>
      <c r="EG167">
        <v>78.5</v>
      </c>
      <c r="EH167">
        <v>4.97156</v>
      </c>
      <c r="EI167">
        <v>1.8721</v>
      </c>
      <c r="EJ167">
        <v>1.86947</v>
      </c>
      <c r="EK167">
        <v>1.8718</v>
      </c>
      <c r="EL167">
        <v>1.86952</v>
      </c>
      <c r="EM167">
        <v>1.86838</v>
      </c>
      <c r="EN167">
        <v>1.87018</v>
      </c>
      <c r="EO167">
        <v>1.87195</v>
      </c>
      <c r="EP167">
        <v>0</v>
      </c>
      <c r="EQ167">
        <v>0</v>
      </c>
      <c r="ER167">
        <v>0</v>
      </c>
      <c r="ES167">
        <v>0</v>
      </c>
      <c r="ET167" t="s">
        <v>334</v>
      </c>
      <c r="EU167" t="s">
        <v>335</v>
      </c>
      <c r="EV167" t="s">
        <v>336</v>
      </c>
      <c r="EW167" t="s">
        <v>336</v>
      </c>
      <c r="EX167" t="s">
        <v>336</v>
      </c>
      <c r="EY167" t="s">
        <v>336</v>
      </c>
      <c r="EZ167">
        <v>0</v>
      </c>
      <c r="FA167">
        <v>100</v>
      </c>
      <c r="FB167">
        <v>100</v>
      </c>
      <c r="FC167">
        <v>6.231</v>
      </c>
      <c r="FD167">
        <v>0.0806</v>
      </c>
      <c r="FE167">
        <v>6.23135000000002</v>
      </c>
      <c r="FF167">
        <v>0</v>
      </c>
      <c r="FG167">
        <v>0</v>
      </c>
      <c r="FH167">
        <v>0</v>
      </c>
      <c r="FI167">
        <v>0.08059047619047632</v>
      </c>
      <c r="FJ167">
        <v>0</v>
      </c>
      <c r="FK167">
        <v>0</v>
      </c>
      <c r="FL167">
        <v>0</v>
      </c>
      <c r="FM167">
        <v>-1</v>
      </c>
      <c r="FN167">
        <v>-1</v>
      </c>
      <c r="FO167">
        <v>-1</v>
      </c>
      <c r="FP167">
        <v>-1</v>
      </c>
      <c r="FQ167">
        <v>151.5</v>
      </c>
      <c r="FR167">
        <v>151.6</v>
      </c>
      <c r="FS167">
        <v>0.140381</v>
      </c>
      <c r="FT167">
        <v>4.99756</v>
      </c>
      <c r="FU167">
        <v>1.5979</v>
      </c>
      <c r="FV167">
        <v>2.10938</v>
      </c>
      <c r="FW167">
        <v>1.54785</v>
      </c>
      <c r="FX167">
        <v>2.43652</v>
      </c>
      <c r="FY167">
        <v>47.3318</v>
      </c>
      <c r="FZ167">
        <v>15.2003</v>
      </c>
      <c r="GA167">
        <v>3</v>
      </c>
      <c r="GB167">
        <v>520.5549999999999</v>
      </c>
      <c r="GC167">
        <v>288.38</v>
      </c>
      <c r="GD167">
        <v>27.2906</v>
      </c>
      <c r="GE167">
        <v>38.1811</v>
      </c>
      <c r="GF167">
        <v>30</v>
      </c>
      <c r="GG167">
        <v>38.1099</v>
      </c>
      <c r="GH167">
        <v>38.1034</v>
      </c>
      <c r="GI167">
        <v>-1</v>
      </c>
      <c r="GJ167">
        <v>100</v>
      </c>
      <c r="GK167">
        <v>0</v>
      </c>
      <c r="GL167">
        <v>27.2897</v>
      </c>
      <c r="GM167">
        <v>1200</v>
      </c>
      <c r="GN167">
        <v>19.4378</v>
      </c>
      <c r="GO167">
        <v>101.003</v>
      </c>
      <c r="GP167">
        <v>96.18170000000001</v>
      </c>
    </row>
    <row r="168" spans="1:198">
      <c r="A168">
        <v>152</v>
      </c>
      <c r="B168">
        <v>1773205161.1</v>
      </c>
      <c r="C168">
        <v>9061.099999904633</v>
      </c>
      <c r="D168" t="s">
        <v>637</v>
      </c>
      <c r="E168" t="s">
        <v>638</v>
      </c>
      <c r="F168">
        <v>15</v>
      </c>
      <c r="G168">
        <v>1773205153.099999</v>
      </c>
      <c r="H168">
        <f>(I168)/1000</f>
        <v>0</v>
      </c>
      <c r="I168">
        <f>1000*AY168*AG168*(AU168-AV168)/(100*AN168*(1000-AG168*AU168))</f>
        <v>0</v>
      </c>
      <c r="J168">
        <f>AY168*AG168*(AT168-AS168*(1000-AG168*AV168)/(1000-AG168*AU168))/(100*AN168)</f>
        <v>0</v>
      </c>
      <c r="K168">
        <f>AS168 - IF(AG168&gt;1, J168*AN168*100.0/(AI168), 0)</f>
        <v>0</v>
      </c>
      <c r="L168">
        <f>((R168-H168/2)*K168-J168)/(R168+H168/2)</f>
        <v>0</v>
      </c>
      <c r="M168">
        <f>L168*(AZ168+BA168)/1000.0</f>
        <v>0</v>
      </c>
      <c r="N168">
        <f>(AS168 - IF(AG168&gt;1, J168*AN168*100.0/(AI168), 0))*(AZ168+BA168)/1000.0</f>
        <v>0</v>
      </c>
      <c r="O168">
        <f>2.0/((1/Q168-1/P168)+SIGN(Q168)*SQRT((1/Q168-1/P168)*(1/Q168-1/P168) + 4*AO168/((AO168+1)*(AO168+1))*(2*1/Q168*1/P168-1/P168*1/P168)))</f>
        <v>0</v>
      </c>
      <c r="P168">
        <f>IF(LEFT(AP168,1)&lt;&gt;"0",IF(LEFT(AP168,1)="1",3.0,AQ168),$D$5+$E$5*(BG168*AZ168/($K$5*1000))+$F$5*(BG168*AZ168/($K$5*1000))*MAX(MIN(AN168,$J$5),$I$5)*MAX(MIN(AN168,$J$5),$I$5)+$G$5*MAX(MIN(AN168,$J$5),$I$5)*(BG168*AZ168/($K$5*1000))+$H$5*(BG168*AZ168/($K$5*1000))*(BG168*AZ168/($K$5*1000)))</f>
        <v>0</v>
      </c>
      <c r="Q168">
        <f>H168*(1000-(1000*0.61365*exp(17.502*U168/(240.97+U168))/(AZ168+BA168)+AU168)/2)/(1000*0.61365*exp(17.502*U168/(240.97+U168))/(AZ168+BA168)-AU168)</f>
        <v>0</v>
      </c>
      <c r="R168">
        <f>1/((AO168+1)/(O168/1.6)+1/(P168/1.37)) + AO168/((AO168+1)/(O168/1.6) + AO168/(P168/1.37))</f>
        <v>0</v>
      </c>
      <c r="S168">
        <f>(AJ168*AM168)</f>
        <v>0</v>
      </c>
      <c r="T168">
        <f>(BB168+(S168+2*0.95*5.67E-8*(((BB168+$B$7)+273)^4-(BB168+273)^4)-44100*H168)/(1.84*29.3*P168+8*0.95*5.67E-8*(BB168+273)^3))</f>
        <v>0</v>
      </c>
      <c r="U168">
        <f>($C$7*BC168+$D$7*BD168+$E$7*T168)</f>
        <v>0</v>
      </c>
      <c r="V168">
        <f>0.61365*exp(17.502*U168/(240.97+U168))</f>
        <v>0</v>
      </c>
      <c r="W168">
        <f>(X168/Y168*100)</f>
        <v>0</v>
      </c>
      <c r="X168">
        <f>AU168*(AZ168+BA168)/1000</f>
        <v>0</v>
      </c>
      <c r="Y168">
        <f>0.61365*exp(17.502*BB168/(240.97+BB168))</f>
        <v>0</v>
      </c>
      <c r="Z168">
        <f>(V168-AU168*(AZ168+BA168)/1000)</f>
        <v>0</v>
      </c>
      <c r="AA168">
        <f>(-H168*44100)</f>
        <v>0</v>
      </c>
      <c r="AB168">
        <f>2*29.3*P168*0.92*(BB168-U168)</f>
        <v>0</v>
      </c>
      <c r="AC168">
        <f>2*0.95*5.67E-8*(((BB168+$B$7)+273)^4-(U168+273)^4)</f>
        <v>0</v>
      </c>
      <c r="AD168">
        <f>S168+AC168+AA168+AB168</f>
        <v>0</v>
      </c>
      <c r="AE168">
        <v>0</v>
      </c>
      <c r="AF168">
        <v>0</v>
      </c>
      <c r="AG168">
        <f>IF(AE168*$H$13&gt;=AI168,1.0,(AI168/(AI168-AE168*$H$13)))</f>
        <v>0</v>
      </c>
      <c r="AH168">
        <f>(AG168-1)*100</f>
        <v>0</v>
      </c>
      <c r="AI168">
        <f>MAX(0,($B$13+$C$13*BG168)/(1+$D$13*BG168)*AZ168/(BB168+273)*$E$13)</f>
        <v>0</v>
      </c>
      <c r="AJ168">
        <f>$B$11*BH168+$C$11*BI168+$D$11*BT168</f>
        <v>0</v>
      </c>
      <c r="AK168">
        <f>AJ168*AL168</f>
        <v>0</v>
      </c>
      <c r="AL168">
        <f>($B$11*$D$9+$C$11*$D$9+$D$11*(BU168*$E$9+BV168*$G$9))/($B$11+$C$11+$D$11)</f>
        <v>0</v>
      </c>
      <c r="AM168">
        <f>($B$11*$K$9+$C$11*$K$9+$D$11*(BU168*$L$9+BV168*$N$9))/($B$11+$C$11+$D$11)</f>
        <v>0</v>
      </c>
      <c r="AN168">
        <v>3</v>
      </c>
      <c r="AO168">
        <v>0.5</v>
      </c>
      <c r="AP168" t="s">
        <v>331</v>
      </c>
      <c r="AQ168">
        <v>2</v>
      </c>
      <c r="AR168">
        <v>1773205153.099999</v>
      </c>
      <c r="AS168">
        <v>420.6996774193548</v>
      </c>
      <c r="AT168">
        <v>418.6289354838709</v>
      </c>
      <c r="AU168">
        <v>12.30579032258064</v>
      </c>
      <c r="AV168">
        <v>12.19445483870968</v>
      </c>
      <c r="AW168">
        <v>414.4682258064516</v>
      </c>
      <c r="AX168">
        <v>12.22520322580645</v>
      </c>
      <c r="AY168">
        <v>499.9584516129032</v>
      </c>
      <c r="AZ168">
        <v>100.09</v>
      </c>
      <c r="BA168">
        <v>0.04529753548387096</v>
      </c>
      <c r="BB168">
        <v>30.81084838709678</v>
      </c>
      <c r="BC168">
        <v>31.12803225806452</v>
      </c>
      <c r="BD168">
        <v>999.9000000000003</v>
      </c>
      <c r="BE168">
        <v>0</v>
      </c>
      <c r="BF168">
        <v>0</v>
      </c>
      <c r="BG168">
        <v>4989.725806451613</v>
      </c>
      <c r="BH168">
        <v>0.9637770000000003</v>
      </c>
      <c r="BI168">
        <v>2106.776451612903</v>
      </c>
      <c r="BJ168">
        <v>2.070626774193548</v>
      </c>
      <c r="BK168">
        <v>425.9410645161291</v>
      </c>
      <c r="BL168">
        <v>423.7969032258065</v>
      </c>
      <c r="BM168">
        <v>0.1113371612903225</v>
      </c>
      <c r="BN168">
        <v>418.6289354838709</v>
      </c>
      <c r="BO168">
        <v>12.19445483870968</v>
      </c>
      <c r="BP168">
        <v>1.231686774193548</v>
      </c>
      <c r="BQ168">
        <v>1.220543548387097</v>
      </c>
      <c r="BR168">
        <v>9.990157419354839</v>
      </c>
      <c r="BS168">
        <v>9.854504838709676</v>
      </c>
      <c r="BT168">
        <v>0</v>
      </c>
      <c r="BU168">
        <v>0</v>
      </c>
      <c r="BV168">
        <v>0</v>
      </c>
      <c r="BW168">
        <v>35</v>
      </c>
      <c r="BX168">
        <v>41</v>
      </c>
      <c r="BY168">
        <v>1773196010</v>
      </c>
      <c r="BZ168" t="s">
        <v>332</v>
      </c>
      <c r="CA168">
        <v>1773196010</v>
      </c>
      <c r="CB168">
        <v>1773196005.5</v>
      </c>
      <c r="CC168">
        <v>2</v>
      </c>
      <c r="CD168">
        <v>-0.279</v>
      </c>
      <c r="CE168">
        <v>-0.021</v>
      </c>
      <c r="CF168">
        <v>6.231</v>
      </c>
      <c r="CG168">
        <v>0.081</v>
      </c>
      <c r="CH168">
        <v>432</v>
      </c>
      <c r="CI168">
        <v>21</v>
      </c>
      <c r="CJ168">
        <v>0.03</v>
      </c>
      <c r="CK168">
        <v>0.06</v>
      </c>
      <c r="CL168">
        <v>418.6120322580645</v>
      </c>
      <c r="CM168">
        <v>1.44406451612831</v>
      </c>
      <c r="CN168">
        <v>0.1133289485185511</v>
      </c>
      <c r="CO168">
        <v>-1</v>
      </c>
      <c r="CP168">
        <v>499.9627096774194</v>
      </c>
      <c r="CQ168">
        <v>-0.7046129032257638</v>
      </c>
      <c r="CR168">
        <v>0.05749793463240589</v>
      </c>
      <c r="CS168">
        <v>-1</v>
      </c>
      <c r="CT168">
        <v>0</v>
      </c>
      <c r="CU168">
        <v>0</v>
      </c>
      <c r="CV168" t="s">
        <v>333</v>
      </c>
      <c r="CW168">
        <v>3.17122</v>
      </c>
      <c r="CX168">
        <v>2.66727</v>
      </c>
      <c r="CY168">
        <v>0.0986255</v>
      </c>
      <c r="CZ168">
        <v>0.09941510000000001</v>
      </c>
      <c r="DA168">
        <v>0.0682449</v>
      </c>
      <c r="DB168">
        <v>0.06786</v>
      </c>
      <c r="DC168">
        <v>21321.1</v>
      </c>
      <c r="DD168">
        <v>21902.4</v>
      </c>
      <c r="DE168">
        <v>22807.4</v>
      </c>
      <c r="DF168">
        <v>22267.7</v>
      </c>
      <c r="DG168">
        <v>32140.3</v>
      </c>
      <c r="DH168">
        <v>29239.1</v>
      </c>
      <c r="DI168">
        <v>40147.2</v>
      </c>
      <c r="DJ168">
        <v>36830.7</v>
      </c>
      <c r="DK168">
        <v>2.02356</v>
      </c>
      <c r="DL168">
        <v>1.49212</v>
      </c>
      <c r="DM168">
        <v>-0.0881672</v>
      </c>
      <c r="DN168">
        <v>0</v>
      </c>
      <c r="DO168">
        <v>32.5739</v>
      </c>
      <c r="DP168">
        <v>999.9</v>
      </c>
      <c r="DQ168">
        <v>23.2</v>
      </c>
      <c r="DR168">
        <v>46.1</v>
      </c>
      <c r="DS168">
        <v>23.6413</v>
      </c>
      <c r="DT168">
        <v>30.0064</v>
      </c>
      <c r="DU168">
        <v>14.1667</v>
      </c>
      <c r="DV168">
        <v>1</v>
      </c>
      <c r="DW168">
        <v>0.91774</v>
      </c>
      <c r="DX168">
        <v>4.63801</v>
      </c>
      <c r="DY168">
        <v>20.2861</v>
      </c>
      <c r="DZ168">
        <v>5.2113</v>
      </c>
      <c r="EA168">
        <v>11.8556</v>
      </c>
      <c r="EB168">
        <v>4.96764</v>
      </c>
      <c r="EC168">
        <v>3.29298</v>
      </c>
      <c r="ED168">
        <v>879.4</v>
      </c>
      <c r="EE168">
        <v>9999</v>
      </c>
      <c r="EF168">
        <v>9999</v>
      </c>
      <c r="EG168">
        <v>78.5</v>
      </c>
      <c r="EH168">
        <v>4.97152</v>
      </c>
      <c r="EI168">
        <v>1.8721</v>
      </c>
      <c r="EJ168">
        <v>1.8694</v>
      </c>
      <c r="EK168">
        <v>1.8718</v>
      </c>
      <c r="EL168">
        <v>1.86951</v>
      </c>
      <c r="EM168">
        <v>1.86833</v>
      </c>
      <c r="EN168">
        <v>1.87017</v>
      </c>
      <c r="EO168">
        <v>1.87194</v>
      </c>
      <c r="EP168">
        <v>0</v>
      </c>
      <c r="EQ168">
        <v>0</v>
      </c>
      <c r="ER168">
        <v>0</v>
      </c>
      <c r="ES168">
        <v>0</v>
      </c>
      <c r="ET168" t="s">
        <v>334</v>
      </c>
      <c r="EU168" t="s">
        <v>335</v>
      </c>
      <c r="EV168" t="s">
        <v>336</v>
      </c>
      <c r="EW168" t="s">
        <v>336</v>
      </c>
      <c r="EX168" t="s">
        <v>336</v>
      </c>
      <c r="EY168" t="s">
        <v>336</v>
      </c>
      <c r="EZ168">
        <v>0</v>
      </c>
      <c r="FA168">
        <v>100</v>
      </c>
      <c r="FB168">
        <v>100</v>
      </c>
      <c r="FC168">
        <v>6.231</v>
      </c>
      <c r="FD168">
        <v>0.0806</v>
      </c>
      <c r="FE168">
        <v>6.23135000000002</v>
      </c>
      <c r="FF168">
        <v>0</v>
      </c>
      <c r="FG168">
        <v>0</v>
      </c>
      <c r="FH168">
        <v>0</v>
      </c>
      <c r="FI168">
        <v>0.08059047619047632</v>
      </c>
      <c r="FJ168">
        <v>0</v>
      </c>
      <c r="FK168">
        <v>0</v>
      </c>
      <c r="FL168">
        <v>0</v>
      </c>
      <c r="FM168">
        <v>-1</v>
      </c>
      <c r="FN168">
        <v>-1</v>
      </c>
      <c r="FO168">
        <v>-1</v>
      </c>
      <c r="FP168">
        <v>-1</v>
      </c>
      <c r="FQ168">
        <v>152.5</v>
      </c>
      <c r="FR168">
        <v>152.6</v>
      </c>
      <c r="FS168">
        <v>0.140381</v>
      </c>
      <c r="FT168">
        <v>4.99756</v>
      </c>
      <c r="FU168">
        <v>1.5979</v>
      </c>
      <c r="FV168">
        <v>2.10938</v>
      </c>
      <c r="FW168">
        <v>1.54785</v>
      </c>
      <c r="FX168">
        <v>2.45361</v>
      </c>
      <c r="FY168">
        <v>47.3318</v>
      </c>
      <c r="FZ168">
        <v>15.1915</v>
      </c>
      <c r="GA168">
        <v>3</v>
      </c>
      <c r="GB168">
        <v>520.787</v>
      </c>
      <c r="GC168">
        <v>288.184</v>
      </c>
      <c r="GD168">
        <v>27.3543</v>
      </c>
      <c r="GE168">
        <v>38.1938</v>
      </c>
      <c r="GF168">
        <v>30.0017</v>
      </c>
      <c r="GG168">
        <v>38.1126</v>
      </c>
      <c r="GH168">
        <v>38.1107</v>
      </c>
      <c r="GI168">
        <v>-1</v>
      </c>
      <c r="GJ168">
        <v>100</v>
      </c>
      <c r="GK168">
        <v>0</v>
      </c>
      <c r="GL168">
        <v>27.3379</v>
      </c>
      <c r="GM168">
        <v>1200</v>
      </c>
      <c r="GN168">
        <v>19.4378</v>
      </c>
      <c r="GO168">
        <v>100.998</v>
      </c>
      <c r="GP168">
        <v>96.1763</v>
      </c>
    </row>
    <row r="169" spans="1:198">
      <c r="A169">
        <v>153</v>
      </c>
      <c r="B169">
        <v>1773205221.1</v>
      </c>
      <c r="C169">
        <v>9121.099999904633</v>
      </c>
      <c r="D169" t="s">
        <v>639</v>
      </c>
      <c r="E169" t="s">
        <v>640</v>
      </c>
      <c r="F169">
        <v>15</v>
      </c>
      <c r="G169">
        <v>1773205213.099999</v>
      </c>
      <c r="H169">
        <f>(I169)/1000</f>
        <v>0</v>
      </c>
      <c r="I169">
        <f>1000*AY169*AG169*(AU169-AV169)/(100*AN169*(1000-AG169*AU169))</f>
        <v>0</v>
      </c>
      <c r="J169">
        <f>AY169*AG169*(AT169-AS169*(1000-AG169*AV169)/(1000-AG169*AU169))/(100*AN169)</f>
        <v>0</v>
      </c>
      <c r="K169">
        <f>AS169 - IF(AG169&gt;1, J169*AN169*100.0/(AI169), 0)</f>
        <v>0</v>
      </c>
      <c r="L169">
        <f>((R169-H169/2)*K169-J169)/(R169+H169/2)</f>
        <v>0</v>
      </c>
      <c r="M169">
        <f>L169*(AZ169+BA169)/1000.0</f>
        <v>0</v>
      </c>
      <c r="N169">
        <f>(AS169 - IF(AG169&gt;1, J169*AN169*100.0/(AI169), 0))*(AZ169+BA169)/1000.0</f>
        <v>0</v>
      </c>
      <c r="O169">
        <f>2.0/((1/Q169-1/P169)+SIGN(Q169)*SQRT((1/Q169-1/P169)*(1/Q169-1/P169) + 4*AO169/((AO169+1)*(AO169+1))*(2*1/Q169*1/P169-1/P169*1/P169)))</f>
        <v>0</v>
      </c>
      <c r="P169">
        <f>IF(LEFT(AP169,1)&lt;&gt;"0",IF(LEFT(AP169,1)="1",3.0,AQ169),$D$5+$E$5*(BG169*AZ169/($K$5*1000))+$F$5*(BG169*AZ169/($K$5*1000))*MAX(MIN(AN169,$J$5),$I$5)*MAX(MIN(AN169,$J$5),$I$5)+$G$5*MAX(MIN(AN169,$J$5),$I$5)*(BG169*AZ169/($K$5*1000))+$H$5*(BG169*AZ169/($K$5*1000))*(BG169*AZ169/($K$5*1000)))</f>
        <v>0</v>
      </c>
      <c r="Q169">
        <f>H169*(1000-(1000*0.61365*exp(17.502*U169/(240.97+U169))/(AZ169+BA169)+AU169)/2)/(1000*0.61365*exp(17.502*U169/(240.97+U169))/(AZ169+BA169)-AU169)</f>
        <v>0</v>
      </c>
      <c r="R169">
        <f>1/((AO169+1)/(O169/1.6)+1/(P169/1.37)) + AO169/((AO169+1)/(O169/1.6) + AO169/(P169/1.37))</f>
        <v>0</v>
      </c>
      <c r="S169">
        <f>(AJ169*AM169)</f>
        <v>0</v>
      </c>
      <c r="T169">
        <f>(BB169+(S169+2*0.95*5.67E-8*(((BB169+$B$7)+273)^4-(BB169+273)^4)-44100*H169)/(1.84*29.3*P169+8*0.95*5.67E-8*(BB169+273)^3))</f>
        <v>0</v>
      </c>
      <c r="U169">
        <f>($C$7*BC169+$D$7*BD169+$E$7*T169)</f>
        <v>0</v>
      </c>
      <c r="V169">
        <f>0.61365*exp(17.502*U169/(240.97+U169))</f>
        <v>0</v>
      </c>
      <c r="W169">
        <f>(X169/Y169*100)</f>
        <v>0</v>
      </c>
      <c r="X169">
        <f>AU169*(AZ169+BA169)/1000</f>
        <v>0</v>
      </c>
      <c r="Y169">
        <f>0.61365*exp(17.502*BB169/(240.97+BB169))</f>
        <v>0</v>
      </c>
      <c r="Z169">
        <f>(V169-AU169*(AZ169+BA169)/1000)</f>
        <v>0</v>
      </c>
      <c r="AA169">
        <f>(-H169*44100)</f>
        <v>0</v>
      </c>
      <c r="AB169">
        <f>2*29.3*P169*0.92*(BB169-U169)</f>
        <v>0</v>
      </c>
      <c r="AC169">
        <f>2*0.95*5.67E-8*(((BB169+$B$7)+273)^4-(U169+273)^4)</f>
        <v>0</v>
      </c>
      <c r="AD169">
        <f>S169+AC169+AA169+AB169</f>
        <v>0</v>
      </c>
      <c r="AE169">
        <v>0</v>
      </c>
      <c r="AF169">
        <v>0</v>
      </c>
      <c r="AG169">
        <f>IF(AE169*$H$13&gt;=AI169,1.0,(AI169/(AI169-AE169*$H$13)))</f>
        <v>0</v>
      </c>
      <c r="AH169">
        <f>(AG169-1)*100</f>
        <v>0</v>
      </c>
      <c r="AI169">
        <f>MAX(0,($B$13+$C$13*BG169)/(1+$D$13*BG169)*AZ169/(BB169+273)*$E$13)</f>
        <v>0</v>
      </c>
      <c r="AJ169">
        <f>$B$11*BH169+$C$11*BI169+$D$11*BT169</f>
        <v>0</v>
      </c>
      <c r="AK169">
        <f>AJ169*AL169</f>
        <v>0</v>
      </c>
      <c r="AL169">
        <f>($B$11*$D$9+$C$11*$D$9+$D$11*(BU169*$E$9+BV169*$G$9))/($B$11+$C$11+$D$11)</f>
        <v>0</v>
      </c>
      <c r="AM169">
        <f>($B$11*$K$9+$C$11*$K$9+$D$11*(BU169*$L$9+BV169*$N$9))/($B$11+$C$11+$D$11)</f>
        <v>0</v>
      </c>
      <c r="AN169">
        <v>3</v>
      </c>
      <c r="AO169">
        <v>0.5</v>
      </c>
      <c r="AP169" t="s">
        <v>331</v>
      </c>
      <c r="AQ169">
        <v>2</v>
      </c>
      <c r="AR169">
        <v>1773205213.099999</v>
      </c>
      <c r="AS169">
        <v>420.9141612903225</v>
      </c>
      <c r="AT169">
        <v>418.8210645161291</v>
      </c>
      <c r="AU169">
        <v>12.38803548387097</v>
      </c>
      <c r="AV169">
        <v>12.28288387096774</v>
      </c>
      <c r="AW169">
        <v>414.6827741935483</v>
      </c>
      <c r="AX169">
        <v>12.30743870967742</v>
      </c>
      <c r="AY169">
        <v>500.0065161290323</v>
      </c>
      <c r="AZ169">
        <v>100.0847419354839</v>
      </c>
      <c r="BA169">
        <v>0.0452339806451613</v>
      </c>
      <c r="BB169">
        <v>30.79455161290323</v>
      </c>
      <c r="BC169">
        <v>31.12148387096774</v>
      </c>
      <c r="BD169">
        <v>999.9000000000003</v>
      </c>
      <c r="BE169">
        <v>0</v>
      </c>
      <c r="BF169">
        <v>0</v>
      </c>
      <c r="BG169">
        <v>5002.741935483871</v>
      </c>
      <c r="BH169">
        <v>0.9720090645161289</v>
      </c>
      <c r="BI169">
        <v>2084.482580645161</v>
      </c>
      <c r="BJ169">
        <v>2.09303064516129</v>
      </c>
      <c r="BK169">
        <v>426.1937419354839</v>
      </c>
      <c r="BL169">
        <v>424.0293870967742</v>
      </c>
      <c r="BM169">
        <v>0.1051437096774194</v>
      </c>
      <c r="BN169">
        <v>418.8210645161291</v>
      </c>
      <c r="BO169">
        <v>12.28288387096774</v>
      </c>
      <c r="BP169">
        <v>1.239850967741936</v>
      </c>
      <c r="BQ169">
        <v>1.229328387096774</v>
      </c>
      <c r="BR169">
        <v>10.08886129032258</v>
      </c>
      <c r="BS169">
        <v>9.961535161290325</v>
      </c>
      <c r="BT169">
        <v>0</v>
      </c>
      <c r="BU169">
        <v>0</v>
      </c>
      <c r="BV169">
        <v>0</v>
      </c>
      <c r="BW169">
        <v>35</v>
      </c>
      <c r="BX169">
        <v>41.42795483870967</v>
      </c>
      <c r="BY169">
        <v>1773196010</v>
      </c>
      <c r="BZ169" t="s">
        <v>332</v>
      </c>
      <c r="CA169">
        <v>1773196010</v>
      </c>
      <c r="CB169">
        <v>1773196005.5</v>
      </c>
      <c r="CC169">
        <v>2</v>
      </c>
      <c r="CD169">
        <v>-0.279</v>
      </c>
      <c r="CE169">
        <v>-0.021</v>
      </c>
      <c r="CF169">
        <v>6.231</v>
      </c>
      <c r="CG169">
        <v>0.081</v>
      </c>
      <c r="CH169">
        <v>432</v>
      </c>
      <c r="CI169">
        <v>21</v>
      </c>
      <c r="CJ169">
        <v>0.03</v>
      </c>
      <c r="CK169">
        <v>0.06</v>
      </c>
      <c r="CL169">
        <v>418.8107096774194</v>
      </c>
      <c r="CM169">
        <v>0.7559516129021581</v>
      </c>
      <c r="CN169">
        <v>0.06215910570846844</v>
      </c>
      <c r="CO169">
        <v>-1</v>
      </c>
      <c r="CP169">
        <v>500.0015806451613</v>
      </c>
      <c r="CQ169">
        <v>0.4960645161275621</v>
      </c>
      <c r="CR169">
        <v>0.05116751375726452</v>
      </c>
      <c r="CS169">
        <v>-1</v>
      </c>
      <c r="CT169">
        <v>0</v>
      </c>
      <c r="CU169">
        <v>0</v>
      </c>
      <c r="CV169" t="s">
        <v>333</v>
      </c>
      <c r="CW169">
        <v>3.17119</v>
      </c>
      <c r="CX169">
        <v>2.66624</v>
      </c>
      <c r="CY169">
        <v>0.0986378</v>
      </c>
      <c r="CZ169">
        <v>0.09943979999999999</v>
      </c>
      <c r="DA169">
        <v>0.06859270000000001</v>
      </c>
      <c r="DB169">
        <v>0.0682299</v>
      </c>
      <c r="DC169">
        <v>21317.3</v>
      </c>
      <c r="DD169">
        <v>21898.1</v>
      </c>
      <c r="DE169">
        <v>22803.9</v>
      </c>
      <c r="DF169">
        <v>22264</v>
      </c>
      <c r="DG169">
        <v>32123.7</v>
      </c>
      <c r="DH169">
        <v>29222.4</v>
      </c>
      <c r="DI169">
        <v>40141.4</v>
      </c>
      <c r="DJ169">
        <v>36824.4</v>
      </c>
      <c r="DK169">
        <v>2.0228</v>
      </c>
      <c r="DL169">
        <v>1.49256</v>
      </c>
      <c r="DM169">
        <v>-0.095737</v>
      </c>
      <c r="DN169">
        <v>0</v>
      </c>
      <c r="DO169">
        <v>32.6706</v>
      </c>
      <c r="DP169">
        <v>999.9</v>
      </c>
      <c r="DQ169">
        <v>23.2</v>
      </c>
      <c r="DR169">
        <v>46</v>
      </c>
      <c r="DS169">
        <v>23.5209</v>
      </c>
      <c r="DT169">
        <v>29.7664</v>
      </c>
      <c r="DU169">
        <v>14.2989</v>
      </c>
      <c r="DV169">
        <v>1</v>
      </c>
      <c r="DW169">
        <v>0.921539</v>
      </c>
      <c r="DX169">
        <v>4.41759</v>
      </c>
      <c r="DY169">
        <v>20.2941</v>
      </c>
      <c r="DZ169">
        <v>5.21094</v>
      </c>
      <c r="EA169">
        <v>11.8566</v>
      </c>
      <c r="EB169">
        <v>4.96748</v>
      </c>
      <c r="EC169">
        <v>3.29298</v>
      </c>
      <c r="ED169">
        <v>879.4</v>
      </c>
      <c r="EE169">
        <v>9999</v>
      </c>
      <c r="EF169">
        <v>9999</v>
      </c>
      <c r="EG169">
        <v>78.59999999999999</v>
      </c>
      <c r="EH169">
        <v>4.97156</v>
      </c>
      <c r="EI169">
        <v>1.8721</v>
      </c>
      <c r="EJ169">
        <v>1.86946</v>
      </c>
      <c r="EK169">
        <v>1.8718</v>
      </c>
      <c r="EL169">
        <v>1.86953</v>
      </c>
      <c r="EM169">
        <v>1.86833</v>
      </c>
      <c r="EN169">
        <v>1.87018</v>
      </c>
      <c r="EO169">
        <v>1.87195</v>
      </c>
      <c r="EP169">
        <v>0</v>
      </c>
      <c r="EQ169">
        <v>0</v>
      </c>
      <c r="ER169">
        <v>0</v>
      </c>
      <c r="ES169">
        <v>0</v>
      </c>
      <c r="ET169" t="s">
        <v>334</v>
      </c>
      <c r="EU169" t="s">
        <v>335</v>
      </c>
      <c r="EV169" t="s">
        <v>336</v>
      </c>
      <c r="EW169" t="s">
        <v>336</v>
      </c>
      <c r="EX169" t="s">
        <v>336</v>
      </c>
      <c r="EY169" t="s">
        <v>336</v>
      </c>
      <c r="EZ169">
        <v>0</v>
      </c>
      <c r="FA169">
        <v>100</v>
      </c>
      <c r="FB169">
        <v>100</v>
      </c>
      <c r="FC169">
        <v>6.232</v>
      </c>
      <c r="FD169">
        <v>0.0806</v>
      </c>
      <c r="FE169">
        <v>6.23135000000002</v>
      </c>
      <c r="FF169">
        <v>0</v>
      </c>
      <c r="FG169">
        <v>0</v>
      </c>
      <c r="FH169">
        <v>0</v>
      </c>
      <c r="FI169">
        <v>0.08059047619047632</v>
      </c>
      <c r="FJ169">
        <v>0</v>
      </c>
      <c r="FK169">
        <v>0</v>
      </c>
      <c r="FL169">
        <v>0</v>
      </c>
      <c r="FM169">
        <v>-1</v>
      </c>
      <c r="FN169">
        <v>-1</v>
      </c>
      <c r="FO169">
        <v>-1</v>
      </c>
      <c r="FP169">
        <v>-1</v>
      </c>
      <c r="FQ169">
        <v>153.5</v>
      </c>
      <c r="FR169">
        <v>153.6</v>
      </c>
      <c r="FS169">
        <v>0.140381</v>
      </c>
      <c r="FT169">
        <v>4.99756</v>
      </c>
      <c r="FU169">
        <v>1.5979</v>
      </c>
      <c r="FV169">
        <v>2.10815</v>
      </c>
      <c r="FW169">
        <v>1.54785</v>
      </c>
      <c r="FX169">
        <v>2.5061</v>
      </c>
      <c r="FY169">
        <v>47.3617</v>
      </c>
      <c r="FZ169">
        <v>15.1827</v>
      </c>
      <c r="GA169">
        <v>3</v>
      </c>
      <c r="GB169">
        <v>520.513</v>
      </c>
      <c r="GC169">
        <v>288.493</v>
      </c>
      <c r="GD169">
        <v>27.2875</v>
      </c>
      <c r="GE169">
        <v>38.2414</v>
      </c>
      <c r="GF169">
        <v>30.0007</v>
      </c>
      <c r="GG169">
        <v>38.1417</v>
      </c>
      <c r="GH169">
        <v>38.1382</v>
      </c>
      <c r="GI169">
        <v>-1</v>
      </c>
      <c r="GJ169">
        <v>100</v>
      </c>
      <c r="GK169">
        <v>0</v>
      </c>
      <c r="GL169">
        <v>27.2751</v>
      </c>
      <c r="GM169">
        <v>1200</v>
      </c>
      <c r="GN169">
        <v>19.4378</v>
      </c>
      <c r="GO169">
        <v>100.983</v>
      </c>
      <c r="GP169">
        <v>96.16</v>
      </c>
    </row>
    <row r="170" spans="1:198">
      <c r="A170">
        <v>154</v>
      </c>
      <c r="B170">
        <v>1773205281.1</v>
      </c>
      <c r="C170">
        <v>9181.099999904633</v>
      </c>
      <c r="D170" t="s">
        <v>641</v>
      </c>
      <c r="E170" t="s">
        <v>642</v>
      </c>
      <c r="F170">
        <v>15</v>
      </c>
      <c r="G170">
        <v>1773205273.099999</v>
      </c>
      <c r="H170">
        <f>(I170)/1000</f>
        <v>0</v>
      </c>
      <c r="I170">
        <f>1000*AY170*AG170*(AU170-AV170)/(100*AN170*(1000-AG170*AU170))</f>
        <v>0</v>
      </c>
      <c r="J170">
        <f>AY170*AG170*(AT170-AS170*(1000-AG170*AV170)/(1000-AG170*AU170))/(100*AN170)</f>
        <v>0</v>
      </c>
      <c r="K170">
        <f>AS170 - IF(AG170&gt;1, J170*AN170*100.0/(AI170), 0)</f>
        <v>0</v>
      </c>
      <c r="L170">
        <f>((R170-H170/2)*K170-J170)/(R170+H170/2)</f>
        <v>0</v>
      </c>
      <c r="M170">
        <f>L170*(AZ170+BA170)/1000.0</f>
        <v>0</v>
      </c>
      <c r="N170">
        <f>(AS170 - IF(AG170&gt;1, J170*AN170*100.0/(AI170), 0))*(AZ170+BA170)/1000.0</f>
        <v>0</v>
      </c>
      <c r="O170">
        <f>2.0/((1/Q170-1/P170)+SIGN(Q170)*SQRT((1/Q170-1/P170)*(1/Q170-1/P170) + 4*AO170/((AO170+1)*(AO170+1))*(2*1/Q170*1/P170-1/P170*1/P170)))</f>
        <v>0</v>
      </c>
      <c r="P170">
        <f>IF(LEFT(AP170,1)&lt;&gt;"0",IF(LEFT(AP170,1)="1",3.0,AQ170),$D$5+$E$5*(BG170*AZ170/($K$5*1000))+$F$5*(BG170*AZ170/($K$5*1000))*MAX(MIN(AN170,$J$5),$I$5)*MAX(MIN(AN170,$J$5),$I$5)+$G$5*MAX(MIN(AN170,$J$5),$I$5)*(BG170*AZ170/($K$5*1000))+$H$5*(BG170*AZ170/($K$5*1000))*(BG170*AZ170/($K$5*1000)))</f>
        <v>0</v>
      </c>
      <c r="Q170">
        <f>H170*(1000-(1000*0.61365*exp(17.502*U170/(240.97+U170))/(AZ170+BA170)+AU170)/2)/(1000*0.61365*exp(17.502*U170/(240.97+U170))/(AZ170+BA170)-AU170)</f>
        <v>0</v>
      </c>
      <c r="R170">
        <f>1/((AO170+1)/(O170/1.6)+1/(P170/1.37)) + AO170/((AO170+1)/(O170/1.6) + AO170/(P170/1.37))</f>
        <v>0</v>
      </c>
      <c r="S170">
        <f>(AJ170*AM170)</f>
        <v>0</v>
      </c>
      <c r="T170">
        <f>(BB170+(S170+2*0.95*5.67E-8*(((BB170+$B$7)+273)^4-(BB170+273)^4)-44100*H170)/(1.84*29.3*P170+8*0.95*5.67E-8*(BB170+273)^3))</f>
        <v>0</v>
      </c>
      <c r="U170">
        <f>($C$7*BC170+$D$7*BD170+$E$7*T170)</f>
        <v>0</v>
      </c>
      <c r="V170">
        <f>0.61365*exp(17.502*U170/(240.97+U170))</f>
        <v>0</v>
      </c>
      <c r="W170">
        <f>(X170/Y170*100)</f>
        <v>0</v>
      </c>
      <c r="X170">
        <f>AU170*(AZ170+BA170)/1000</f>
        <v>0</v>
      </c>
      <c r="Y170">
        <f>0.61365*exp(17.502*BB170/(240.97+BB170))</f>
        <v>0</v>
      </c>
      <c r="Z170">
        <f>(V170-AU170*(AZ170+BA170)/1000)</f>
        <v>0</v>
      </c>
      <c r="AA170">
        <f>(-H170*44100)</f>
        <v>0</v>
      </c>
      <c r="AB170">
        <f>2*29.3*P170*0.92*(BB170-U170)</f>
        <v>0</v>
      </c>
      <c r="AC170">
        <f>2*0.95*5.67E-8*(((BB170+$B$7)+273)^4-(U170+273)^4)</f>
        <v>0</v>
      </c>
      <c r="AD170">
        <f>S170+AC170+AA170+AB170</f>
        <v>0</v>
      </c>
      <c r="AE170">
        <v>0</v>
      </c>
      <c r="AF170">
        <v>0</v>
      </c>
      <c r="AG170">
        <f>IF(AE170*$H$13&gt;=AI170,1.0,(AI170/(AI170-AE170*$H$13)))</f>
        <v>0</v>
      </c>
      <c r="AH170">
        <f>(AG170-1)*100</f>
        <v>0</v>
      </c>
      <c r="AI170">
        <f>MAX(0,($B$13+$C$13*BG170)/(1+$D$13*BG170)*AZ170/(BB170+273)*$E$13)</f>
        <v>0</v>
      </c>
      <c r="AJ170">
        <f>$B$11*BH170+$C$11*BI170+$D$11*BT170</f>
        <v>0</v>
      </c>
      <c r="AK170">
        <f>AJ170*AL170</f>
        <v>0</v>
      </c>
      <c r="AL170">
        <f>($B$11*$D$9+$C$11*$D$9+$D$11*(BU170*$E$9+BV170*$G$9))/($B$11+$C$11+$D$11)</f>
        <v>0</v>
      </c>
      <c r="AM170">
        <f>($B$11*$K$9+$C$11*$K$9+$D$11*(BU170*$L$9+BV170*$N$9))/($B$11+$C$11+$D$11)</f>
        <v>0</v>
      </c>
      <c r="AN170">
        <v>3</v>
      </c>
      <c r="AO170">
        <v>0.5</v>
      </c>
      <c r="AP170" t="s">
        <v>331</v>
      </c>
      <c r="AQ170">
        <v>2</v>
      </c>
      <c r="AR170">
        <v>1773205273.099999</v>
      </c>
      <c r="AS170">
        <v>421.0115483870968</v>
      </c>
      <c r="AT170">
        <v>418.8392903225807</v>
      </c>
      <c r="AU170">
        <v>12.47096451612903</v>
      </c>
      <c r="AV170">
        <v>12.36362580645161</v>
      </c>
      <c r="AW170">
        <v>414.7801612903226</v>
      </c>
      <c r="AX170">
        <v>12.39037096774194</v>
      </c>
      <c r="AY170">
        <v>500.0193870967742</v>
      </c>
      <c r="AZ170">
        <v>100.0819032258064</v>
      </c>
      <c r="BA170">
        <v>0.04546021612903225</v>
      </c>
      <c r="BB170">
        <v>30.77300967741936</v>
      </c>
      <c r="BC170">
        <v>31.09227096774194</v>
      </c>
      <c r="BD170">
        <v>999.9000000000003</v>
      </c>
      <c r="BE170">
        <v>0</v>
      </c>
      <c r="BF170">
        <v>0</v>
      </c>
      <c r="BG170">
        <v>4992.387096774193</v>
      </c>
      <c r="BH170">
        <v>0.9505868709677421</v>
      </c>
      <c r="BI170">
        <v>2104.220967741936</v>
      </c>
      <c r="BJ170">
        <v>2.172136129032258</v>
      </c>
      <c r="BK170">
        <v>426.3282258064515</v>
      </c>
      <c r="BL170">
        <v>424.0825806451612</v>
      </c>
      <c r="BM170">
        <v>0.1073422258064516</v>
      </c>
      <c r="BN170">
        <v>418.8392903225807</v>
      </c>
      <c r="BO170">
        <v>12.36362580645161</v>
      </c>
      <c r="BP170">
        <v>1.248116774193548</v>
      </c>
      <c r="BQ170">
        <v>1.237375483870968</v>
      </c>
      <c r="BR170">
        <v>10.18821290322581</v>
      </c>
      <c r="BS170">
        <v>10.05897741935484</v>
      </c>
      <c r="BT170">
        <v>0</v>
      </c>
      <c r="BU170">
        <v>0</v>
      </c>
      <c r="BV170">
        <v>0</v>
      </c>
      <c r="BW170">
        <v>35</v>
      </c>
      <c r="BX170">
        <v>42.22257096774193</v>
      </c>
      <c r="BY170">
        <v>1773196010</v>
      </c>
      <c r="BZ170" t="s">
        <v>332</v>
      </c>
      <c r="CA170">
        <v>1773196010</v>
      </c>
      <c r="CB170">
        <v>1773196005.5</v>
      </c>
      <c r="CC170">
        <v>2</v>
      </c>
      <c r="CD170">
        <v>-0.279</v>
      </c>
      <c r="CE170">
        <v>-0.021</v>
      </c>
      <c r="CF170">
        <v>6.231</v>
      </c>
      <c r="CG170">
        <v>0.081</v>
      </c>
      <c r="CH170">
        <v>432</v>
      </c>
      <c r="CI170">
        <v>21</v>
      </c>
      <c r="CJ170">
        <v>0.03</v>
      </c>
      <c r="CK170">
        <v>0.06</v>
      </c>
      <c r="CL170">
        <v>418.8394666666666</v>
      </c>
      <c r="CM170">
        <v>-0.226438264738543</v>
      </c>
      <c r="CN170">
        <v>0.02373988673566315</v>
      </c>
      <c r="CO170">
        <v>-1</v>
      </c>
      <c r="CP170">
        <v>500.0185333333333</v>
      </c>
      <c r="CQ170">
        <v>-0.08030255839869804</v>
      </c>
      <c r="CR170">
        <v>0.0419767660603905</v>
      </c>
      <c r="CS170">
        <v>-1</v>
      </c>
      <c r="CT170">
        <v>0</v>
      </c>
      <c r="CU170">
        <v>0</v>
      </c>
      <c r="CV170" t="s">
        <v>333</v>
      </c>
      <c r="CW170">
        <v>3.17129</v>
      </c>
      <c r="CX170">
        <v>2.66719</v>
      </c>
      <c r="CY170">
        <v>0.0986414</v>
      </c>
      <c r="CZ170">
        <v>0.09941949999999999</v>
      </c>
      <c r="DA170">
        <v>0.0689171</v>
      </c>
      <c r="DB170">
        <v>0.0685405</v>
      </c>
      <c r="DC170">
        <v>21315.1</v>
      </c>
      <c r="DD170">
        <v>21896.5</v>
      </c>
      <c r="DE170">
        <v>22801.7</v>
      </c>
      <c r="DF170">
        <v>22262</v>
      </c>
      <c r="DG170">
        <v>32109.5</v>
      </c>
      <c r="DH170">
        <v>29210</v>
      </c>
      <c r="DI170">
        <v>40137.7</v>
      </c>
      <c r="DJ170">
        <v>36821</v>
      </c>
      <c r="DK170">
        <v>2.02246</v>
      </c>
      <c r="DL170">
        <v>1.49134</v>
      </c>
      <c r="DM170">
        <v>-0.09465510000000001</v>
      </c>
      <c r="DN170">
        <v>0</v>
      </c>
      <c r="DO170">
        <v>32.6198</v>
      </c>
      <c r="DP170">
        <v>999.9</v>
      </c>
      <c r="DQ170">
        <v>23.2</v>
      </c>
      <c r="DR170">
        <v>46</v>
      </c>
      <c r="DS170">
        <v>23.5231</v>
      </c>
      <c r="DT170">
        <v>29.7064</v>
      </c>
      <c r="DU170">
        <v>14.395</v>
      </c>
      <c r="DV170">
        <v>1</v>
      </c>
      <c r="DW170">
        <v>0.924197</v>
      </c>
      <c r="DX170">
        <v>4.15195</v>
      </c>
      <c r="DY170">
        <v>20.3017</v>
      </c>
      <c r="DZ170">
        <v>5.2107</v>
      </c>
      <c r="EA170">
        <v>11.8566</v>
      </c>
      <c r="EB170">
        <v>4.96764</v>
      </c>
      <c r="EC170">
        <v>3.29298</v>
      </c>
      <c r="ED170">
        <v>879.4</v>
      </c>
      <c r="EE170">
        <v>9999</v>
      </c>
      <c r="EF170">
        <v>9999</v>
      </c>
      <c r="EG170">
        <v>78.59999999999999</v>
      </c>
      <c r="EH170">
        <v>4.97156</v>
      </c>
      <c r="EI170">
        <v>1.8721</v>
      </c>
      <c r="EJ170">
        <v>1.86949</v>
      </c>
      <c r="EK170">
        <v>1.8718</v>
      </c>
      <c r="EL170">
        <v>1.86954</v>
      </c>
      <c r="EM170">
        <v>1.86837</v>
      </c>
      <c r="EN170">
        <v>1.87022</v>
      </c>
      <c r="EO170">
        <v>1.87195</v>
      </c>
      <c r="EP170">
        <v>0</v>
      </c>
      <c r="EQ170">
        <v>0</v>
      </c>
      <c r="ER170">
        <v>0</v>
      </c>
      <c r="ES170">
        <v>0</v>
      </c>
      <c r="ET170" t="s">
        <v>334</v>
      </c>
      <c r="EU170" t="s">
        <v>335</v>
      </c>
      <c r="EV170" t="s">
        <v>336</v>
      </c>
      <c r="EW170" t="s">
        <v>336</v>
      </c>
      <c r="EX170" t="s">
        <v>336</v>
      </c>
      <c r="EY170" t="s">
        <v>336</v>
      </c>
      <c r="EZ170">
        <v>0</v>
      </c>
      <c r="FA170">
        <v>100</v>
      </c>
      <c r="FB170">
        <v>100</v>
      </c>
      <c r="FC170">
        <v>6.231</v>
      </c>
      <c r="FD170">
        <v>0.0806</v>
      </c>
      <c r="FE170">
        <v>6.23135000000002</v>
      </c>
      <c r="FF170">
        <v>0</v>
      </c>
      <c r="FG170">
        <v>0</v>
      </c>
      <c r="FH170">
        <v>0</v>
      </c>
      <c r="FI170">
        <v>0.08059047619047632</v>
      </c>
      <c r="FJ170">
        <v>0</v>
      </c>
      <c r="FK170">
        <v>0</v>
      </c>
      <c r="FL170">
        <v>0</v>
      </c>
      <c r="FM170">
        <v>-1</v>
      </c>
      <c r="FN170">
        <v>-1</v>
      </c>
      <c r="FO170">
        <v>-1</v>
      </c>
      <c r="FP170">
        <v>-1</v>
      </c>
      <c r="FQ170">
        <v>154.5</v>
      </c>
      <c r="FR170">
        <v>154.6</v>
      </c>
      <c r="FS170">
        <v>0.140381</v>
      </c>
      <c r="FT170">
        <v>4.99756</v>
      </c>
      <c r="FU170">
        <v>1.5979</v>
      </c>
      <c r="FV170">
        <v>2.10815</v>
      </c>
      <c r="FW170">
        <v>1.54785</v>
      </c>
      <c r="FX170">
        <v>2.44141</v>
      </c>
      <c r="FY170">
        <v>47.4216</v>
      </c>
      <c r="FZ170">
        <v>15.1915</v>
      </c>
      <c r="GA170">
        <v>3</v>
      </c>
      <c r="GB170">
        <v>520.494</v>
      </c>
      <c r="GC170">
        <v>288.012</v>
      </c>
      <c r="GD170">
        <v>27.4402</v>
      </c>
      <c r="GE170">
        <v>38.2846</v>
      </c>
      <c r="GF170">
        <v>30.0001</v>
      </c>
      <c r="GG170">
        <v>38.1692</v>
      </c>
      <c r="GH170">
        <v>38.1614</v>
      </c>
      <c r="GI170">
        <v>-1</v>
      </c>
      <c r="GJ170">
        <v>100</v>
      </c>
      <c r="GK170">
        <v>0</v>
      </c>
      <c r="GL170">
        <v>27.4515</v>
      </c>
      <c r="GM170">
        <v>1200</v>
      </c>
      <c r="GN170">
        <v>19.4378</v>
      </c>
      <c r="GO170">
        <v>100.974</v>
      </c>
      <c r="GP170">
        <v>96.15130000000001</v>
      </c>
    </row>
    <row r="171" spans="1:198">
      <c r="A171">
        <v>155</v>
      </c>
      <c r="B171">
        <v>1773205341.1</v>
      </c>
      <c r="C171">
        <v>9241.099999904633</v>
      </c>
      <c r="D171" t="s">
        <v>643</v>
      </c>
      <c r="E171" t="s">
        <v>644</v>
      </c>
      <c r="F171">
        <v>15</v>
      </c>
      <c r="G171">
        <v>1773205333.099999</v>
      </c>
      <c r="H171">
        <f>(I171)/1000</f>
        <v>0</v>
      </c>
      <c r="I171">
        <f>1000*AY171*AG171*(AU171-AV171)/(100*AN171*(1000-AG171*AU171))</f>
        <v>0</v>
      </c>
      <c r="J171">
        <f>AY171*AG171*(AT171-AS171*(1000-AG171*AV171)/(1000-AG171*AU171))/(100*AN171)</f>
        <v>0</v>
      </c>
      <c r="K171">
        <f>AS171 - IF(AG171&gt;1, J171*AN171*100.0/(AI171), 0)</f>
        <v>0</v>
      </c>
      <c r="L171">
        <f>((R171-H171/2)*K171-J171)/(R171+H171/2)</f>
        <v>0</v>
      </c>
      <c r="M171">
        <f>L171*(AZ171+BA171)/1000.0</f>
        <v>0</v>
      </c>
      <c r="N171">
        <f>(AS171 - IF(AG171&gt;1, J171*AN171*100.0/(AI171), 0))*(AZ171+BA171)/1000.0</f>
        <v>0</v>
      </c>
      <c r="O171">
        <f>2.0/((1/Q171-1/P171)+SIGN(Q171)*SQRT((1/Q171-1/P171)*(1/Q171-1/P171) + 4*AO171/((AO171+1)*(AO171+1))*(2*1/Q171*1/P171-1/P171*1/P171)))</f>
        <v>0</v>
      </c>
      <c r="P171">
        <f>IF(LEFT(AP171,1)&lt;&gt;"0",IF(LEFT(AP171,1)="1",3.0,AQ171),$D$5+$E$5*(BG171*AZ171/($K$5*1000))+$F$5*(BG171*AZ171/($K$5*1000))*MAX(MIN(AN171,$J$5),$I$5)*MAX(MIN(AN171,$J$5),$I$5)+$G$5*MAX(MIN(AN171,$J$5),$I$5)*(BG171*AZ171/($K$5*1000))+$H$5*(BG171*AZ171/($K$5*1000))*(BG171*AZ171/($K$5*1000)))</f>
        <v>0</v>
      </c>
      <c r="Q171">
        <f>H171*(1000-(1000*0.61365*exp(17.502*U171/(240.97+U171))/(AZ171+BA171)+AU171)/2)/(1000*0.61365*exp(17.502*U171/(240.97+U171))/(AZ171+BA171)-AU171)</f>
        <v>0</v>
      </c>
      <c r="R171">
        <f>1/((AO171+1)/(O171/1.6)+1/(P171/1.37)) + AO171/((AO171+1)/(O171/1.6) + AO171/(P171/1.37))</f>
        <v>0</v>
      </c>
      <c r="S171">
        <f>(AJ171*AM171)</f>
        <v>0</v>
      </c>
      <c r="T171">
        <f>(BB171+(S171+2*0.95*5.67E-8*(((BB171+$B$7)+273)^4-(BB171+273)^4)-44100*H171)/(1.84*29.3*P171+8*0.95*5.67E-8*(BB171+273)^3))</f>
        <v>0</v>
      </c>
      <c r="U171">
        <f>($C$7*BC171+$D$7*BD171+$E$7*T171)</f>
        <v>0</v>
      </c>
      <c r="V171">
        <f>0.61365*exp(17.502*U171/(240.97+U171))</f>
        <v>0</v>
      </c>
      <c r="W171">
        <f>(X171/Y171*100)</f>
        <v>0</v>
      </c>
      <c r="X171">
        <f>AU171*(AZ171+BA171)/1000</f>
        <v>0</v>
      </c>
      <c r="Y171">
        <f>0.61365*exp(17.502*BB171/(240.97+BB171))</f>
        <v>0</v>
      </c>
      <c r="Z171">
        <f>(V171-AU171*(AZ171+BA171)/1000)</f>
        <v>0</v>
      </c>
      <c r="AA171">
        <f>(-H171*44100)</f>
        <v>0</v>
      </c>
      <c r="AB171">
        <f>2*29.3*P171*0.92*(BB171-U171)</f>
        <v>0</v>
      </c>
      <c r="AC171">
        <f>2*0.95*5.67E-8*(((BB171+$B$7)+273)^4-(U171+273)^4)</f>
        <v>0</v>
      </c>
      <c r="AD171">
        <f>S171+AC171+AA171+AB171</f>
        <v>0</v>
      </c>
      <c r="AE171">
        <v>0</v>
      </c>
      <c r="AF171">
        <v>0</v>
      </c>
      <c r="AG171">
        <f>IF(AE171*$H$13&gt;=AI171,1.0,(AI171/(AI171-AE171*$H$13)))</f>
        <v>0</v>
      </c>
      <c r="AH171">
        <f>(AG171-1)*100</f>
        <v>0</v>
      </c>
      <c r="AI171">
        <f>MAX(0,($B$13+$C$13*BG171)/(1+$D$13*BG171)*AZ171/(BB171+273)*$E$13)</f>
        <v>0</v>
      </c>
      <c r="AJ171">
        <f>$B$11*BH171+$C$11*BI171+$D$11*BT171</f>
        <v>0</v>
      </c>
      <c r="AK171">
        <f>AJ171*AL171</f>
        <v>0</v>
      </c>
      <c r="AL171">
        <f>($B$11*$D$9+$C$11*$D$9+$D$11*(BU171*$E$9+BV171*$G$9))/($B$11+$C$11+$D$11)</f>
        <v>0</v>
      </c>
      <c r="AM171">
        <f>($B$11*$K$9+$C$11*$K$9+$D$11*(BU171*$L$9+BV171*$N$9))/($B$11+$C$11+$D$11)</f>
        <v>0</v>
      </c>
      <c r="AN171">
        <v>3</v>
      </c>
      <c r="AO171">
        <v>0.5</v>
      </c>
      <c r="AP171" t="s">
        <v>331</v>
      </c>
      <c r="AQ171">
        <v>2</v>
      </c>
      <c r="AR171">
        <v>1773205333.099999</v>
      </c>
      <c r="AS171">
        <v>420.774935483871</v>
      </c>
      <c r="AT171">
        <v>418.6053548387097</v>
      </c>
      <c r="AU171">
        <v>12.51099032258064</v>
      </c>
      <c r="AV171">
        <v>12.40210967741935</v>
      </c>
      <c r="AW171">
        <v>414.5434838709678</v>
      </c>
      <c r="AX171">
        <v>12.4303935483871</v>
      </c>
      <c r="AY171">
        <v>499.9902903225806</v>
      </c>
      <c r="AZ171">
        <v>100.0800967741936</v>
      </c>
      <c r="BA171">
        <v>0.04556228064516129</v>
      </c>
      <c r="BB171">
        <v>30.78655806451613</v>
      </c>
      <c r="BC171">
        <v>31.10815806451613</v>
      </c>
      <c r="BD171">
        <v>999.9000000000003</v>
      </c>
      <c r="BE171">
        <v>0</v>
      </c>
      <c r="BF171">
        <v>0</v>
      </c>
      <c r="BG171">
        <v>5000.677419354839</v>
      </c>
      <c r="BH171">
        <v>0.9950041612903225</v>
      </c>
      <c r="BI171">
        <v>2094.511290322581</v>
      </c>
      <c r="BJ171">
        <v>2.169605161290322</v>
      </c>
      <c r="BK171">
        <v>426.1058709677419</v>
      </c>
      <c r="BL171">
        <v>423.8620967741936</v>
      </c>
      <c r="BM171">
        <v>0.1088783548387097</v>
      </c>
      <c r="BN171">
        <v>418.6053548387097</v>
      </c>
      <c r="BO171">
        <v>12.40210967741935</v>
      </c>
      <c r="BP171">
        <v>1.25210064516129</v>
      </c>
      <c r="BQ171">
        <v>1.241205161290323</v>
      </c>
      <c r="BR171">
        <v>10.23588709677419</v>
      </c>
      <c r="BS171">
        <v>10.10515806451613</v>
      </c>
      <c r="BT171">
        <v>0</v>
      </c>
      <c r="BU171">
        <v>0</v>
      </c>
      <c r="BV171">
        <v>0</v>
      </c>
      <c r="BW171">
        <v>35</v>
      </c>
      <c r="BX171">
        <v>43</v>
      </c>
      <c r="BY171">
        <v>1773196010</v>
      </c>
      <c r="BZ171" t="s">
        <v>332</v>
      </c>
      <c r="CA171">
        <v>1773196010</v>
      </c>
      <c r="CB171">
        <v>1773196005.5</v>
      </c>
      <c r="CC171">
        <v>2</v>
      </c>
      <c r="CD171">
        <v>-0.279</v>
      </c>
      <c r="CE171">
        <v>-0.021</v>
      </c>
      <c r="CF171">
        <v>6.231</v>
      </c>
      <c r="CG171">
        <v>0.081</v>
      </c>
      <c r="CH171">
        <v>432</v>
      </c>
      <c r="CI171">
        <v>21</v>
      </c>
      <c r="CJ171">
        <v>0.03</v>
      </c>
      <c r="CK171">
        <v>0.06</v>
      </c>
      <c r="CL171">
        <v>418.6008666666667</v>
      </c>
      <c r="CM171">
        <v>0.9390700778658705</v>
      </c>
      <c r="CN171">
        <v>0.07065915054368771</v>
      </c>
      <c r="CO171">
        <v>-1</v>
      </c>
      <c r="CP171">
        <v>499.9921333333333</v>
      </c>
      <c r="CQ171">
        <v>0.07442936596308122</v>
      </c>
      <c r="CR171">
        <v>0.02594960928842689</v>
      </c>
      <c r="CS171">
        <v>-1</v>
      </c>
      <c r="CT171">
        <v>0</v>
      </c>
      <c r="CU171">
        <v>0</v>
      </c>
      <c r="CV171" t="s">
        <v>333</v>
      </c>
      <c r="CW171">
        <v>3.17113</v>
      </c>
      <c r="CX171">
        <v>2.66708</v>
      </c>
      <c r="CY171">
        <v>0.0985968</v>
      </c>
      <c r="CZ171">
        <v>0.0993984</v>
      </c>
      <c r="DA171">
        <v>0.0690948</v>
      </c>
      <c r="DB171">
        <v>0.0687233</v>
      </c>
      <c r="DC171">
        <v>21315.4</v>
      </c>
      <c r="DD171">
        <v>21896.6</v>
      </c>
      <c r="DE171">
        <v>22801</v>
      </c>
      <c r="DF171">
        <v>22261.7</v>
      </c>
      <c r="DG171">
        <v>32102.4</v>
      </c>
      <c r="DH171">
        <v>29204</v>
      </c>
      <c r="DI171">
        <v>40136.6</v>
      </c>
      <c r="DJ171">
        <v>36820.6</v>
      </c>
      <c r="DK171">
        <v>2.02224</v>
      </c>
      <c r="DL171">
        <v>1.49078</v>
      </c>
      <c r="DM171">
        <v>-0.0905991</v>
      </c>
      <c r="DN171">
        <v>0</v>
      </c>
      <c r="DO171">
        <v>32.5795</v>
      </c>
      <c r="DP171">
        <v>999.9</v>
      </c>
      <c r="DQ171">
        <v>23.4</v>
      </c>
      <c r="DR171">
        <v>46</v>
      </c>
      <c r="DS171">
        <v>23.726</v>
      </c>
      <c r="DT171">
        <v>30.0664</v>
      </c>
      <c r="DU171">
        <v>14.5112</v>
      </c>
      <c r="DV171">
        <v>1</v>
      </c>
      <c r="DW171">
        <v>0.924758</v>
      </c>
      <c r="DX171">
        <v>4.04355</v>
      </c>
      <c r="DY171">
        <v>20.3046</v>
      </c>
      <c r="DZ171">
        <v>5.21106</v>
      </c>
      <c r="EA171">
        <v>11.8555</v>
      </c>
      <c r="EB171">
        <v>4.96776</v>
      </c>
      <c r="EC171">
        <v>3.29294</v>
      </c>
      <c r="ED171">
        <v>879.4</v>
      </c>
      <c r="EE171">
        <v>9999</v>
      </c>
      <c r="EF171">
        <v>9999</v>
      </c>
      <c r="EG171">
        <v>78.59999999999999</v>
      </c>
      <c r="EH171">
        <v>4.97157</v>
      </c>
      <c r="EI171">
        <v>1.8721</v>
      </c>
      <c r="EJ171">
        <v>1.86949</v>
      </c>
      <c r="EK171">
        <v>1.8718</v>
      </c>
      <c r="EL171">
        <v>1.86953</v>
      </c>
      <c r="EM171">
        <v>1.86834</v>
      </c>
      <c r="EN171">
        <v>1.87017</v>
      </c>
      <c r="EO171">
        <v>1.87195</v>
      </c>
      <c r="EP171">
        <v>0</v>
      </c>
      <c r="EQ171">
        <v>0</v>
      </c>
      <c r="ER171">
        <v>0</v>
      </c>
      <c r="ES171">
        <v>0</v>
      </c>
      <c r="ET171" t="s">
        <v>334</v>
      </c>
      <c r="EU171" t="s">
        <v>335</v>
      </c>
      <c r="EV171" t="s">
        <v>336</v>
      </c>
      <c r="EW171" t="s">
        <v>336</v>
      </c>
      <c r="EX171" t="s">
        <v>336</v>
      </c>
      <c r="EY171" t="s">
        <v>336</v>
      </c>
      <c r="EZ171">
        <v>0</v>
      </c>
      <c r="FA171">
        <v>100</v>
      </c>
      <c r="FB171">
        <v>100</v>
      </c>
      <c r="FC171">
        <v>6.231</v>
      </c>
      <c r="FD171">
        <v>0.0806</v>
      </c>
      <c r="FE171">
        <v>6.23135000000002</v>
      </c>
      <c r="FF171">
        <v>0</v>
      </c>
      <c r="FG171">
        <v>0</v>
      </c>
      <c r="FH171">
        <v>0</v>
      </c>
      <c r="FI171">
        <v>0.08059047619047632</v>
      </c>
      <c r="FJ171">
        <v>0</v>
      </c>
      <c r="FK171">
        <v>0</v>
      </c>
      <c r="FL171">
        <v>0</v>
      </c>
      <c r="FM171">
        <v>-1</v>
      </c>
      <c r="FN171">
        <v>-1</v>
      </c>
      <c r="FO171">
        <v>-1</v>
      </c>
      <c r="FP171">
        <v>-1</v>
      </c>
      <c r="FQ171">
        <v>155.5</v>
      </c>
      <c r="FR171">
        <v>155.6</v>
      </c>
      <c r="FS171">
        <v>0.140381</v>
      </c>
      <c r="FT171">
        <v>4.99756</v>
      </c>
      <c r="FU171">
        <v>1.5979</v>
      </c>
      <c r="FV171">
        <v>2.10815</v>
      </c>
      <c r="FW171">
        <v>1.54785</v>
      </c>
      <c r="FX171">
        <v>2.47559</v>
      </c>
      <c r="FY171">
        <v>47.4516</v>
      </c>
      <c r="FZ171">
        <v>15.174</v>
      </c>
      <c r="GA171">
        <v>3</v>
      </c>
      <c r="GB171">
        <v>520.47</v>
      </c>
      <c r="GC171">
        <v>287.806</v>
      </c>
      <c r="GD171">
        <v>27.6028</v>
      </c>
      <c r="GE171">
        <v>38.3021</v>
      </c>
      <c r="GF171">
        <v>30.0002</v>
      </c>
      <c r="GG171">
        <v>38.1855</v>
      </c>
      <c r="GH171">
        <v>38.1759</v>
      </c>
      <c r="GI171">
        <v>-1</v>
      </c>
      <c r="GJ171">
        <v>100</v>
      </c>
      <c r="GK171">
        <v>0</v>
      </c>
      <c r="GL171">
        <v>27.6077</v>
      </c>
      <c r="GM171">
        <v>1200</v>
      </c>
      <c r="GN171">
        <v>19.4378</v>
      </c>
      <c r="GO171">
        <v>100.971</v>
      </c>
      <c r="GP171">
        <v>96.15000000000001</v>
      </c>
    </row>
    <row r="172" spans="1:198">
      <c r="A172">
        <v>156</v>
      </c>
      <c r="B172">
        <v>1773205401.1</v>
      </c>
      <c r="C172">
        <v>9301.099999904633</v>
      </c>
      <c r="D172" t="s">
        <v>645</v>
      </c>
      <c r="E172" t="s">
        <v>646</v>
      </c>
      <c r="F172">
        <v>15</v>
      </c>
      <c r="G172">
        <v>1773205393.099999</v>
      </c>
      <c r="H172">
        <f>(I172)/1000</f>
        <v>0</v>
      </c>
      <c r="I172">
        <f>1000*AY172*AG172*(AU172-AV172)/(100*AN172*(1000-AG172*AU172))</f>
        <v>0</v>
      </c>
      <c r="J172">
        <f>AY172*AG172*(AT172-AS172*(1000-AG172*AV172)/(1000-AG172*AU172))/(100*AN172)</f>
        <v>0</v>
      </c>
      <c r="K172">
        <f>AS172 - IF(AG172&gt;1, J172*AN172*100.0/(AI172), 0)</f>
        <v>0</v>
      </c>
      <c r="L172">
        <f>((R172-H172/2)*K172-J172)/(R172+H172/2)</f>
        <v>0</v>
      </c>
      <c r="M172">
        <f>L172*(AZ172+BA172)/1000.0</f>
        <v>0</v>
      </c>
      <c r="N172">
        <f>(AS172 - IF(AG172&gt;1, J172*AN172*100.0/(AI172), 0))*(AZ172+BA172)/1000.0</f>
        <v>0</v>
      </c>
      <c r="O172">
        <f>2.0/((1/Q172-1/P172)+SIGN(Q172)*SQRT((1/Q172-1/P172)*(1/Q172-1/P172) + 4*AO172/((AO172+1)*(AO172+1))*(2*1/Q172*1/P172-1/P172*1/P172)))</f>
        <v>0</v>
      </c>
      <c r="P172">
        <f>IF(LEFT(AP172,1)&lt;&gt;"0",IF(LEFT(AP172,1)="1",3.0,AQ172),$D$5+$E$5*(BG172*AZ172/($K$5*1000))+$F$5*(BG172*AZ172/($K$5*1000))*MAX(MIN(AN172,$J$5),$I$5)*MAX(MIN(AN172,$J$5),$I$5)+$G$5*MAX(MIN(AN172,$J$5),$I$5)*(BG172*AZ172/($K$5*1000))+$H$5*(BG172*AZ172/($K$5*1000))*(BG172*AZ172/($K$5*1000)))</f>
        <v>0</v>
      </c>
      <c r="Q172">
        <f>H172*(1000-(1000*0.61365*exp(17.502*U172/(240.97+U172))/(AZ172+BA172)+AU172)/2)/(1000*0.61365*exp(17.502*U172/(240.97+U172))/(AZ172+BA172)-AU172)</f>
        <v>0</v>
      </c>
      <c r="R172">
        <f>1/((AO172+1)/(O172/1.6)+1/(P172/1.37)) + AO172/((AO172+1)/(O172/1.6) + AO172/(P172/1.37))</f>
        <v>0</v>
      </c>
      <c r="S172">
        <f>(AJ172*AM172)</f>
        <v>0</v>
      </c>
      <c r="T172">
        <f>(BB172+(S172+2*0.95*5.67E-8*(((BB172+$B$7)+273)^4-(BB172+273)^4)-44100*H172)/(1.84*29.3*P172+8*0.95*5.67E-8*(BB172+273)^3))</f>
        <v>0</v>
      </c>
      <c r="U172">
        <f>($C$7*BC172+$D$7*BD172+$E$7*T172)</f>
        <v>0</v>
      </c>
      <c r="V172">
        <f>0.61365*exp(17.502*U172/(240.97+U172))</f>
        <v>0</v>
      </c>
      <c r="W172">
        <f>(X172/Y172*100)</f>
        <v>0</v>
      </c>
      <c r="X172">
        <f>AU172*(AZ172+BA172)/1000</f>
        <v>0</v>
      </c>
      <c r="Y172">
        <f>0.61365*exp(17.502*BB172/(240.97+BB172))</f>
        <v>0</v>
      </c>
      <c r="Z172">
        <f>(V172-AU172*(AZ172+BA172)/1000)</f>
        <v>0</v>
      </c>
      <c r="AA172">
        <f>(-H172*44100)</f>
        <v>0</v>
      </c>
      <c r="AB172">
        <f>2*29.3*P172*0.92*(BB172-U172)</f>
        <v>0</v>
      </c>
      <c r="AC172">
        <f>2*0.95*5.67E-8*(((BB172+$B$7)+273)^4-(U172+273)^4)</f>
        <v>0</v>
      </c>
      <c r="AD172">
        <f>S172+AC172+AA172+AB172</f>
        <v>0</v>
      </c>
      <c r="AE172">
        <v>0</v>
      </c>
      <c r="AF172">
        <v>0</v>
      </c>
      <c r="AG172">
        <f>IF(AE172*$H$13&gt;=AI172,1.0,(AI172/(AI172-AE172*$H$13)))</f>
        <v>0</v>
      </c>
      <c r="AH172">
        <f>(AG172-1)*100</f>
        <v>0</v>
      </c>
      <c r="AI172">
        <f>MAX(0,($B$13+$C$13*BG172)/(1+$D$13*BG172)*AZ172/(BB172+273)*$E$13)</f>
        <v>0</v>
      </c>
      <c r="AJ172">
        <f>$B$11*BH172+$C$11*BI172+$D$11*BT172</f>
        <v>0</v>
      </c>
      <c r="AK172">
        <f>AJ172*AL172</f>
        <v>0</v>
      </c>
      <c r="AL172">
        <f>($B$11*$D$9+$C$11*$D$9+$D$11*(BU172*$E$9+BV172*$G$9))/($B$11+$C$11+$D$11)</f>
        <v>0</v>
      </c>
      <c r="AM172">
        <f>($B$11*$K$9+$C$11*$K$9+$D$11*(BU172*$L$9+BV172*$N$9))/($B$11+$C$11+$D$11)</f>
        <v>0</v>
      </c>
      <c r="AN172">
        <v>3</v>
      </c>
      <c r="AO172">
        <v>0.5</v>
      </c>
      <c r="AP172" t="s">
        <v>331</v>
      </c>
      <c r="AQ172">
        <v>2</v>
      </c>
      <c r="AR172">
        <v>1773205393.099999</v>
      </c>
      <c r="AS172">
        <v>420.8866129032259</v>
      </c>
      <c r="AT172">
        <v>418.5470000000001</v>
      </c>
      <c r="AU172">
        <v>12.57382903225807</v>
      </c>
      <c r="AV172">
        <v>12.45340967741936</v>
      </c>
      <c r="AW172">
        <v>414.6552903225807</v>
      </c>
      <c r="AX172">
        <v>12.49323870967742</v>
      </c>
      <c r="AY172">
        <v>499.9899354838709</v>
      </c>
      <c r="AZ172">
        <v>100.0718387096774</v>
      </c>
      <c r="BA172">
        <v>0.0462297935483871</v>
      </c>
      <c r="BB172">
        <v>30.78123225806452</v>
      </c>
      <c r="BC172">
        <v>31.07974516129032</v>
      </c>
      <c r="BD172">
        <v>999.9000000000003</v>
      </c>
      <c r="BE172">
        <v>0</v>
      </c>
      <c r="BF172">
        <v>0</v>
      </c>
      <c r="BG172">
        <v>5001.741935483871</v>
      </c>
      <c r="BH172">
        <v>0.9770641612903226</v>
      </c>
      <c r="BI172">
        <v>2086.39193548387</v>
      </c>
      <c r="BJ172">
        <v>2.339739677419355</v>
      </c>
      <c r="BK172">
        <v>426.2461612903226</v>
      </c>
      <c r="BL172">
        <v>423.8249677419354</v>
      </c>
      <c r="BM172">
        <v>0.1204204516129032</v>
      </c>
      <c r="BN172">
        <v>418.5470000000001</v>
      </c>
      <c r="BO172">
        <v>12.45340967741936</v>
      </c>
      <c r="BP172">
        <v>1.258287096774193</v>
      </c>
      <c r="BQ172">
        <v>1.246235806451613</v>
      </c>
      <c r="BR172">
        <v>10.30964516129033</v>
      </c>
      <c r="BS172">
        <v>10.16565161290323</v>
      </c>
      <c r="BT172">
        <v>0</v>
      </c>
      <c r="BU172">
        <v>0</v>
      </c>
      <c r="BV172">
        <v>0</v>
      </c>
      <c r="BW172">
        <v>34.99785161290323</v>
      </c>
      <c r="BX172">
        <v>42.92579677419355</v>
      </c>
      <c r="BY172">
        <v>1773196010</v>
      </c>
      <c r="BZ172" t="s">
        <v>332</v>
      </c>
      <c r="CA172">
        <v>1773196010</v>
      </c>
      <c r="CB172">
        <v>1773196005.5</v>
      </c>
      <c r="CC172">
        <v>2</v>
      </c>
      <c r="CD172">
        <v>-0.279</v>
      </c>
      <c r="CE172">
        <v>-0.021</v>
      </c>
      <c r="CF172">
        <v>6.231</v>
      </c>
      <c r="CG172">
        <v>0.081</v>
      </c>
      <c r="CH172">
        <v>432</v>
      </c>
      <c r="CI172">
        <v>21</v>
      </c>
      <c r="CJ172">
        <v>0.03</v>
      </c>
      <c r="CK172">
        <v>0.06</v>
      </c>
      <c r="CL172">
        <v>418.5470000000001</v>
      </c>
      <c r="CM172">
        <v>-0.8995645161298867</v>
      </c>
      <c r="CN172">
        <v>0.06796820888735668</v>
      </c>
      <c r="CO172">
        <v>-1</v>
      </c>
      <c r="CP172">
        <v>499.9899354838709</v>
      </c>
      <c r="CQ172">
        <v>0.2969516129021841</v>
      </c>
      <c r="CR172">
        <v>0.06918508858728825</v>
      </c>
      <c r="CS172">
        <v>-1</v>
      </c>
      <c r="CT172">
        <v>0</v>
      </c>
      <c r="CU172">
        <v>0</v>
      </c>
      <c r="CV172" t="s">
        <v>333</v>
      </c>
      <c r="CW172">
        <v>3.17106</v>
      </c>
      <c r="CX172">
        <v>2.66743</v>
      </c>
      <c r="CY172">
        <v>0.0985753</v>
      </c>
      <c r="CZ172">
        <v>0.09933169999999999</v>
      </c>
      <c r="DA172">
        <v>0.0692701</v>
      </c>
      <c r="DB172">
        <v>0.0688039</v>
      </c>
      <c r="DC172">
        <v>21314.3</v>
      </c>
      <c r="DD172">
        <v>21896.6</v>
      </c>
      <c r="DE172">
        <v>22799.4</v>
      </c>
      <c r="DF172">
        <v>22260.1</v>
      </c>
      <c r="DG172">
        <v>32094.2</v>
      </c>
      <c r="DH172">
        <v>29198.9</v>
      </c>
      <c r="DI172">
        <v>40133.8</v>
      </c>
      <c r="DJ172">
        <v>36817.5</v>
      </c>
      <c r="DK172">
        <v>2.02174</v>
      </c>
      <c r="DL172">
        <v>1.48964</v>
      </c>
      <c r="DM172">
        <v>-0.0904351</v>
      </c>
      <c r="DN172">
        <v>0</v>
      </c>
      <c r="DO172">
        <v>32.5323</v>
      </c>
      <c r="DP172">
        <v>999.9</v>
      </c>
      <c r="DQ172">
        <v>23.2</v>
      </c>
      <c r="DR172">
        <v>46.1</v>
      </c>
      <c r="DS172">
        <v>23.644</v>
      </c>
      <c r="DT172">
        <v>29.8864</v>
      </c>
      <c r="DU172">
        <v>14.4952</v>
      </c>
      <c r="DV172">
        <v>1</v>
      </c>
      <c r="DW172">
        <v>0.92813</v>
      </c>
      <c r="DX172">
        <v>4.06268</v>
      </c>
      <c r="DY172">
        <v>20.3045</v>
      </c>
      <c r="DZ172">
        <v>5.21106</v>
      </c>
      <c r="EA172">
        <v>11.8556</v>
      </c>
      <c r="EB172">
        <v>4.96768</v>
      </c>
      <c r="EC172">
        <v>3.29296</v>
      </c>
      <c r="ED172">
        <v>879.4</v>
      </c>
      <c r="EE172">
        <v>9999</v>
      </c>
      <c r="EF172">
        <v>9999</v>
      </c>
      <c r="EG172">
        <v>78.59999999999999</v>
      </c>
      <c r="EH172">
        <v>4.97158</v>
      </c>
      <c r="EI172">
        <v>1.8721</v>
      </c>
      <c r="EJ172">
        <v>1.8695</v>
      </c>
      <c r="EK172">
        <v>1.8718</v>
      </c>
      <c r="EL172">
        <v>1.86957</v>
      </c>
      <c r="EM172">
        <v>1.86837</v>
      </c>
      <c r="EN172">
        <v>1.87022</v>
      </c>
      <c r="EO172">
        <v>1.87195</v>
      </c>
      <c r="EP172">
        <v>0</v>
      </c>
      <c r="EQ172">
        <v>0</v>
      </c>
      <c r="ER172">
        <v>0</v>
      </c>
      <c r="ES172">
        <v>0</v>
      </c>
      <c r="ET172" t="s">
        <v>334</v>
      </c>
      <c r="EU172" t="s">
        <v>335</v>
      </c>
      <c r="EV172" t="s">
        <v>336</v>
      </c>
      <c r="EW172" t="s">
        <v>336</v>
      </c>
      <c r="EX172" t="s">
        <v>336</v>
      </c>
      <c r="EY172" t="s">
        <v>336</v>
      </c>
      <c r="EZ172">
        <v>0</v>
      </c>
      <c r="FA172">
        <v>100</v>
      </c>
      <c r="FB172">
        <v>100</v>
      </c>
      <c r="FC172">
        <v>6.231</v>
      </c>
      <c r="FD172">
        <v>0.0806</v>
      </c>
      <c r="FE172">
        <v>6.23135000000002</v>
      </c>
      <c r="FF172">
        <v>0</v>
      </c>
      <c r="FG172">
        <v>0</v>
      </c>
      <c r="FH172">
        <v>0</v>
      </c>
      <c r="FI172">
        <v>0.08059047619047632</v>
      </c>
      <c r="FJ172">
        <v>0</v>
      </c>
      <c r="FK172">
        <v>0</v>
      </c>
      <c r="FL172">
        <v>0</v>
      </c>
      <c r="FM172">
        <v>-1</v>
      </c>
      <c r="FN172">
        <v>-1</v>
      </c>
      <c r="FO172">
        <v>-1</v>
      </c>
      <c r="FP172">
        <v>-1</v>
      </c>
      <c r="FQ172">
        <v>156.5</v>
      </c>
      <c r="FR172">
        <v>156.6</v>
      </c>
      <c r="FS172">
        <v>0.141602</v>
      </c>
      <c r="FT172">
        <v>4.99756</v>
      </c>
      <c r="FU172">
        <v>1.5979</v>
      </c>
      <c r="FV172">
        <v>2.10815</v>
      </c>
      <c r="FW172">
        <v>1.54785</v>
      </c>
      <c r="FX172">
        <v>2.41943</v>
      </c>
      <c r="FY172">
        <v>47.4516</v>
      </c>
      <c r="FZ172">
        <v>15.1652</v>
      </c>
      <c r="GA172">
        <v>3</v>
      </c>
      <c r="GB172">
        <v>520.324</v>
      </c>
      <c r="GC172">
        <v>287.358</v>
      </c>
      <c r="GD172">
        <v>27.5011</v>
      </c>
      <c r="GE172">
        <v>38.3276</v>
      </c>
      <c r="GF172">
        <v>30</v>
      </c>
      <c r="GG172">
        <v>38.2094</v>
      </c>
      <c r="GH172">
        <v>38.1978</v>
      </c>
      <c r="GI172">
        <v>-1</v>
      </c>
      <c r="GJ172">
        <v>100</v>
      </c>
      <c r="GK172">
        <v>0</v>
      </c>
      <c r="GL172">
        <v>27.5099</v>
      </c>
      <c r="GM172">
        <v>1200</v>
      </c>
      <c r="GN172">
        <v>19.4378</v>
      </c>
      <c r="GO172">
        <v>100.964</v>
      </c>
      <c r="GP172">
        <v>96.14239999999999</v>
      </c>
    </row>
    <row r="173" spans="1:198">
      <c r="A173">
        <v>157</v>
      </c>
      <c r="B173">
        <v>1773205461.1</v>
      </c>
      <c r="C173">
        <v>9361.099999904633</v>
      </c>
      <c r="D173" t="s">
        <v>647</v>
      </c>
      <c r="E173" t="s">
        <v>648</v>
      </c>
      <c r="F173">
        <v>15</v>
      </c>
      <c r="G173">
        <v>1773205453.099999</v>
      </c>
      <c r="H173">
        <f>(I173)/1000</f>
        <v>0</v>
      </c>
      <c r="I173">
        <f>1000*AY173*AG173*(AU173-AV173)/(100*AN173*(1000-AG173*AU173))</f>
        <v>0</v>
      </c>
      <c r="J173">
        <f>AY173*AG173*(AT173-AS173*(1000-AG173*AV173)/(1000-AG173*AU173))/(100*AN173)</f>
        <v>0</v>
      </c>
      <c r="K173">
        <f>AS173 - IF(AG173&gt;1, J173*AN173*100.0/(AI173), 0)</f>
        <v>0</v>
      </c>
      <c r="L173">
        <f>((R173-H173/2)*K173-J173)/(R173+H173/2)</f>
        <v>0</v>
      </c>
      <c r="M173">
        <f>L173*(AZ173+BA173)/1000.0</f>
        <v>0</v>
      </c>
      <c r="N173">
        <f>(AS173 - IF(AG173&gt;1, J173*AN173*100.0/(AI173), 0))*(AZ173+BA173)/1000.0</f>
        <v>0</v>
      </c>
      <c r="O173">
        <f>2.0/((1/Q173-1/P173)+SIGN(Q173)*SQRT((1/Q173-1/P173)*(1/Q173-1/P173) + 4*AO173/((AO173+1)*(AO173+1))*(2*1/Q173*1/P173-1/P173*1/P173)))</f>
        <v>0</v>
      </c>
      <c r="P173">
        <f>IF(LEFT(AP173,1)&lt;&gt;"0",IF(LEFT(AP173,1)="1",3.0,AQ173),$D$5+$E$5*(BG173*AZ173/($K$5*1000))+$F$5*(BG173*AZ173/($K$5*1000))*MAX(MIN(AN173,$J$5),$I$5)*MAX(MIN(AN173,$J$5),$I$5)+$G$5*MAX(MIN(AN173,$J$5),$I$5)*(BG173*AZ173/($K$5*1000))+$H$5*(BG173*AZ173/($K$5*1000))*(BG173*AZ173/($K$5*1000)))</f>
        <v>0</v>
      </c>
      <c r="Q173">
        <f>H173*(1000-(1000*0.61365*exp(17.502*U173/(240.97+U173))/(AZ173+BA173)+AU173)/2)/(1000*0.61365*exp(17.502*U173/(240.97+U173))/(AZ173+BA173)-AU173)</f>
        <v>0</v>
      </c>
      <c r="R173">
        <f>1/((AO173+1)/(O173/1.6)+1/(P173/1.37)) + AO173/((AO173+1)/(O173/1.6) + AO173/(P173/1.37))</f>
        <v>0</v>
      </c>
      <c r="S173">
        <f>(AJ173*AM173)</f>
        <v>0</v>
      </c>
      <c r="T173">
        <f>(BB173+(S173+2*0.95*5.67E-8*(((BB173+$B$7)+273)^4-(BB173+273)^4)-44100*H173)/(1.84*29.3*P173+8*0.95*5.67E-8*(BB173+273)^3))</f>
        <v>0</v>
      </c>
      <c r="U173">
        <f>($C$7*BC173+$D$7*BD173+$E$7*T173)</f>
        <v>0</v>
      </c>
      <c r="V173">
        <f>0.61365*exp(17.502*U173/(240.97+U173))</f>
        <v>0</v>
      </c>
      <c r="W173">
        <f>(X173/Y173*100)</f>
        <v>0</v>
      </c>
      <c r="X173">
        <f>AU173*(AZ173+BA173)/1000</f>
        <v>0</v>
      </c>
      <c r="Y173">
        <f>0.61365*exp(17.502*BB173/(240.97+BB173))</f>
        <v>0</v>
      </c>
      <c r="Z173">
        <f>(V173-AU173*(AZ173+BA173)/1000)</f>
        <v>0</v>
      </c>
      <c r="AA173">
        <f>(-H173*44100)</f>
        <v>0</v>
      </c>
      <c r="AB173">
        <f>2*29.3*P173*0.92*(BB173-U173)</f>
        <v>0</v>
      </c>
      <c r="AC173">
        <f>2*0.95*5.67E-8*(((BB173+$B$7)+273)^4-(U173+273)^4)</f>
        <v>0</v>
      </c>
      <c r="AD173">
        <f>S173+AC173+AA173+AB173</f>
        <v>0</v>
      </c>
      <c r="AE173">
        <v>0</v>
      </c>
      <c r="AF173">
        <v>0</v>
      </c>
      <c r="AG173">
        <f>IF(AE173*$H$13&gt;=AI173,1.0,(AI173/(AI173-AE173*$H$13)))</f>
        <v>0</v>
      </c>
      <c r="AH173">
        <f>(AG173-1)*100</f>
        <v>0</v>
      </c>
      <c r="AI173">
        <f>MAX(0,($B$13+$C$13*BG173)/(1+$D$13*BG173)*AZ173/(BB173+273)*$E$13)</f>
        <v>0</v>
      </c>
      <c r="AJ173">
        <f>$B$11*BH173+$C$11*BI173+$D$11*BT173</f>
        <v>0</v>
      </c>
      <c r="AK173">
        <f>AJ173*AL173</f>
        <v>0</v>
      </c>
      <c r="AL173">
        <f>($B$11*$D$9+$C$11*$D$9+$D$11*(BU173*$E$9+BV173*$G$9))/($B$11+$C$11+$D$11)</f>
        <v>0</v>
      </c>
      <c r="AM173">
        <f>($B$11*$K$9+$C$11*$K$9+$D$11*(BU173*$L$9+BV173*$N$9))/($B$11+$C$11+$D$11)</f>
        <v>0</v>
      </c>
      <c r="AN173">
        <v>3</v>
      </c>
      <c r="AO173">
        <v>0.5</v>
      </c>
      <c r="AP173" t="s">
        <v>331</v>
      </c>
      <c r="AQ173">
        <v>2</v>
      </c>
      <c r="AR173">
        <v>1773205453.099999</v>
      </c>
      <c r="AS173">
        <v>420.1939032258065</v>
      </c>
      <c r="AT173">
        <v>417.8958709677419</v>
      </c>
      <c r="AU173">
        <v>12.43224838709677</v>
      </c>
      <c r="AV173">
        <v>12.28484193548387</v>
      </c>
      <c r="AW173">
        <v>413.9624838709678</v>
      </c>
      <c r="AX173">
        <v>12.35165806451613</v>
      </c>
      <c r="AY173">
        <v>500.0016774193548</v>
      </c>
      <c r="AZ173">
        <v>100.0694838709678</v>
      </c>
      <c r="BA173">
        <v>0.04588045806451613</v>
      </c>
      <c r="BB173">
        <v>30.73819677419355</v>
      </c>
      <c r="BC173">
        <v>30.99972903225806</v>
      </c>
      <c r="BD173">
        <v>999.9000000000003</v>
      </c>
      <c r="BE173">
        <v>0</v>
      </c>
      <c r="BF173">
        <v>0</v>
      </c>
      <c r="BG173">
        <v>4989.258064516129</v>
      </c>
      <c r="BH173">
        <v>0.968586451612903</v>
      </c>
      <c r="BI173">
        <v>2083.611612903226</v>
      </c>
      <c r="BJ173">
        <v>2.298011612903225</v>
      </c>
      <c r="BK173">
        <v>425.4835483870968</v>
      </c>
      <c r="BL173">
        <v>423.0934193548387</v>
      </c>
      <c r="BM173">
        <v>0.1474034838709678</v>
      </c>
      <c r="BN173">
        <v>417.8958709677419</v>
      </c>
      <c r="BO173">
        <v>12.28484193548387</v>
      </c>
      <c r="BP173">
        <v>1.244089677419355</v>
      </c>
      <c r="BQ173">
        <v>1.229338709677419</v>
      </c>
      <c r="BR173">
        <v>10.13986451612903</v>
      </c>
      <c r="BS173">
        <v>9.961661935483871</v>
      </c>
      <c r="BT173">
        <v>0</v>
      </c>
      <c r="BU173">
        <v>0</v>
      </c>
      <c r="BV173">
        <v>0</v>
      </c>
      <c r="BW173">
        <v>34</v>
      </c>
      <c r="BX173">
        <v>43.74193870967741</v>
      </c>
      <c r="BY173">
        <v>1773196010</v>
      </c>
      <c r="BZ173" t="s">
        <v>332</v>
      </c>
      <c r="CA173">
        <v>1773196010</v>
      </c>
      <c r="CB173">
        <v>1773196005.5</v>
      </c>
      <c r="CC173">
        <v>2</v>
      </c>
      <c r="CD173">
        <v>-0.279</v>
      </c>
      <c r="CE173">
        <v>-0.021</v>
      </c>
      <c r="CF173">
        <v>6.231</v>
      </c>
      <c r="CG173">
        <v>0.081</v>
      </c>
      <c r="CH173">
        <v>432</v>
      </c>
      <c r="CI173">
        <v>21</v>
      </c>
      <c r="CJ173">
        <v>0.03</v>
      </c>
      <c r="CK173">
        <v>0.06</v>
      </c>
      <c r="CL173">
        <v>417.9022903225807</v>
      </c>
      <c r="CM173">
        <v>-0.4183548387101609</v>
      </c>
      <c r="CN173">
        <v>0.03503288183368821</v>
      </c>
      <c r="CO173">
        <v>-1</v>
      </c>
      <c r="CP173">
        <v>500.0028064516129</v>
      </c>
      <c r="CQ173">
        <v>-0.1842096774213767</v>
      </c>
      <c r="CR173">
        <v>0.03272802819212033</v>
      </c>
      <c r="CS173">
        <v>-1</v>
      </c>
      <c r="CT173">
        <v>0</v>
      </c>
      <c r="CU173">
        <v>0</v>
      </c>
      <c r="CV173" t="s">
        <v>333</v>
      </c>
      <c r="CW173">
        <v>3.1712</v>
      </c>
      <c r="CX173">
        <v>2.66747</v>
      </c>
      <c r="CY173">
        <v>0.09845810000000001</v>
      </c>
      <c r="CZ173">
        <v>0.0992282</v>
      </c>
      <c r="DA173">
        <v>0.0686326</v>
      </c>
      <c r="DB173">
        <v>0.0680967</v>
      </c>
      <c r="DC173">
        <v>21318.3</v>
      </c>
      <c r="DD173">
        <v>21901</v>
      </c>
      <c r="DE173">
        <v>22800.5</v>
      </c>
      <c r="DF173">
        <v>22261.9</v>
      </c>
      <c r="DG173">
        <v>32117.9</v>
      </c>
      <c r="DH173">
        <v>29223.5</v>
      </c>
      <c r="DI173">
        <v>40136.1</v>
      </c>
      <c r="DJ173">
        <v>36820.5</v>
      </c>
      <c r="DK173">
        <v>2.02242</v>
      </c>
      <c r="DL173">
        <v>1.49066</v>
      </c>
      <c r="DM173">
        <v>-0.0817597</v>
      </c>
      <c r="DN173">
        <v>0</v>
      </c>
      <c r="DO173">
        <v>32.3356</v>
      </c>
      <c r="DP173">
        <v>999.9</v>
      </c>
      <c r="DQ173">
        <v>23.3</v>
      </c>
      <c r="DR173">
        <v>46.1</v>
      </c>
      <c r="DS173">
        <v>23.7449</v>
      </c>
      <c r="DT173">
        <v>30.0064</v>
      </c>
      <c r="DU173">
        <v>14.351</v>
      </c>
      <c r="DV173">
        <v>1</v>
      </c>
      <c r="DW173">
        <v>0.9212050000000001</v>
      </c>
      <c r="DX173">
        <v>3.44347</v>
      </c>
      <c r="DY173">
        <v>20.3214</v>
      </c>
      <c r="DZ173">
        <v>5.20926</v>
      </c>
      <c r="EA173">
        <v>11.8558</v>
      </c>
      <c r="EB173">
        <v>4.96736</v>
      </c>
      <c r="EC173">
        <v>3.29296</v>
      </c>
      <c r="ED173">
        <v>879.4</v>
      </c>
      <c r="EE173">
        <v>9999</v>
      </c>
      <c r="EF173">
        <v>9999</v>
      </c>
      <c r="EG173">
        <v>78.59999999999999</v>
      </c>
      <c r="EH173">
        <v>4.97158</v>
      </c>
      <c r="EI173">
        <v>1.8721</v>
      </c>
      <c r="EJ173">
        <v>1.86951</v>
      </c>
      <c r="EK173">
        <v>1.8718</v>
      </c>
      <c r="EL173">
        <v>1.86955</v>
      </c>
      <c r="EM173">
        <v>1.86837</v>
      </c>
      <c r="EN173">
        <v>1.87016</v>
      </c>
      <c r="EO173">
        <v>1.87195</v>
      </c>
      <c r="EP173">
        <v>0</v>
      </c>
      <c r="EQ173">
        <v>0</v>
      </c>
      <c r="ER173">
        <v>0</v>
      </c>
      <c r="ES173">
        <v>0</v>
      </c>
      <c r="ET173" t="s">
        <v>334</v>
      </c>
      <c r="EU173" t="s">
        <v>335</v>
      </c>
      <c r="EV173" t="s">
        <v>336</v>
      </c>
      <c r="EW173" t="s">
        <v>336</v>
      </c>
      <c r="EX173" t="s">
        <v>336</v>
      </c>
      <c r="EY173" t="s">
        <v>336</v>
      </c>
      <c r="EZ173">
        <v>0</v>
      </c>
      <c r="FA173">
        <v>100</v>
      </c>
      <c r="FB173">
        <v>100</v>
      </c>
      <c r="FC173">
        <v>6.231</v>
      </c>
      <c r="FD173">
        <v>0.0806</v>
      </c>
      <c r="FE173">
        <v>6.23135000000002</v>
      </c>
      <c r="FF173">
        <v>0</v>
      </c>
      <c r="FG173">
        <v>0</v>
      </c>
      <c r="FH173">
        <v>0</v>
      </c>
      <c r="FI173">
        <v>0.08059047619047632</v>
      </c>
      <c r="FJ173">
        <v>0</v>
      </c>
      <c r="FK173">
        <v>0</v>
      </c>
      <c r="FL173">
        <v>0</v>
      </c>
      <c r="FM173">
        <v>-1</v>
      </c>
      <c r="FN173">
        <v>-1</v>
      </c>
      <c r="FO173">
        <v>-1</v>
      </c>
      <c r="FP173">
        <v>-1</v>
      </c>
      <c r="FQ173">
        <v>157.5</v>
      </c>
      <c r="FR173">
        <v>157.6</v>
      </c>
      <c r="FS173">
        <v>0.140381</v>
      </c>
      <c r="FT173">
        <v>4.99756</v>
      </c>
      <c r="FU173">
        <v>1.5979</v>
      </c>
      <c r="FV173">
        <v>2.10815</v>
      </c>
      <c r="FW173">
        <v>1.54785</v>
      </c>
      <c r="FX173">
        <v>2.34131</v>
      </c>
      <c r="FY173">
        <v>47.3917</v>
      </c>
      <c r="FZ173">
        <v>15.1652</v>
      </c>
      <c r="GA173">
        <v>3</v>
      </c>
      <c r="GB173">
        <v>520.649</v>
      </c>
      <c r="GC173">
        <v>287.764</v>
      </c>
      <c r="GD173">
        <v>27.8715</v>
      </c>
      <c r="GE173">
        <v>38.2952</v>
      </c>
      <c r="GF173">
        <v>29.9995</v>
      </c>
      <c r="GG173">
        <v>38.1948</v>
      </c>
      <c r="GH173">
        <v>38.1795</v>
      </c>
      <c r="GI173">
        <v>-1</v>
      </c>
      <c r="GJ173">
        <v>100</v>
      </c>
      <c r="GK173">
        <v>0</v>
      </c>
      <c r="GL173">
        <v>27.8885</v>
      </c>
      <c r="GM173">
        <v>1200</v>
      </c>
      <c r="GN173">
        <v>19.4378</v>
      </c>
      <c r="GO173">
        <v>100.969</v>
      </c>
      <c r="GP173">
        <v>96.1502</v>
      </c>
    </row>
    <row r="174" spans="1:198">
      <c r="A174">
        <v>158</v>
      </c>
      <c r="B174">
        <v>1773205521.5</v>
      </c>
      <c r="C174">
        <v>9421.5</v>
      </c>
      <c r="D174" t="s">
        <v>649</v>
      </c>
      <c r="E174" t="s">
        <v>650</v>
      </c>
      <c r="F174">
        <v>15</v>
      </c>
      <c r="G174">
        <v>1773205513.75</v>
      </c>
      <c r="H174">
        <f>(I174)/1000</f>
        <v>0</v>
      </c>
      <c r="I174">
        <f>1000*AY174*AG174*(AU174-AV174)/(100*AN174*(1000-AG174*AU174))</f>
        <v>0</v>
      </c>
      <c r="J174">
        <f>AY174*AG174*(AT174-AS174*(1000-AG174*AV174)/(1000-AG174*AU174))/(100*AN174)</f>
        <v>0</v>
      </c>
      <c r="K174">
        <f>AS174 - IF(AG174&gt;1, J174*AN174*100.0/(AI174), 0)</f>
        <v>0</v>
      </c>
      <c r="L174">
        <f>((R174-H174/2)*K174-J174)/(R174+H174/2)</f>
        <v>0</v>
      </c>
      <c r="M174">
        <f>L174*(AZ174+BA174)/1000.0</f>
        <v>0</v>
      </c>
      <c r="N174">
        <f>(AS174 - IF(AG174&gt;1, J174*AN174*100.0/(AI174), 0))*(AZ174+BA174)/1000.0</f>
        <v>0</v>
      </c>
      <c r="O174">
        <f>2.0/((1/Q174-1/P174)+SIGN(Q174)*SQRT((1/Q174-1/P174)*(1/Q174-1/P174) + 4*AO174/((AO174+1)*(AO174+1))*(2*1/Q174*1/P174-1/P174*1/P174)))</f>
        <v>0</v>
      </c>
      <c r="P174">
        <f>IF(LEFT(AP174,1)&lt;&gt;"0",IF(LEFT(AP174,1)="1",3.0,AQ174),$D$5+$E$5*(BG174*AZ174/($K$5*1000))+$F$5*(BG174*AZ174/($K$5*1000))*MAX(MIN(AN174,$J$5),$I$5)*MAX(MIN(AN174,$J$5),$I$5)+$G$5*MAX(MIN(AN174,$J$5),$I$5)*(BG174*AZ174/($K$5*1000))+$H$5*(BG174*AZ174/($K$5*1000))*(BG174*AZ174/($K$5*1000)))</f>
        <v>0</v>
      </c>
      <c r="Q174">
        <f>H174*(1000-(1000*0.61365*exp(17.502*U174/(240.97+U174))/(AZ174+BA174)+AU174)/2)/(1000*0.61365*exp(17.502*U174/(240.97+U174))/(AZ174+BA174)-AU174)</f>
        <v>0</v>
      </c>
      <c r="R174">
        <f>1/((AO174+1)/(O174/1.6)+1/(P174/1.37)) + AO174/((AO174+1)/(O174/1.6) + AO174/(P174/1.37))</f>
        <v>0</v>
      </c>
      <c r="S174">
        <f>(AJ174*AM174)</f>
        <v>0</v>
      </c>
      <c r="T174">
        <f>(BB174+(S174+2*0.95*5.67E-8*(((BB174+$B$7)+273)^4-(BB174+273)^4)-44100*H174)/(1.84*29.3*P174+8*0.95*5.67E-8*(BB174+273)^3))</f>
        <v>0</v>
      </c>
      <c r="U174">
        <f>($C$7*BC174+$D$7*BD174+$E$7*T174)</f>
        <v>0</v>
      </c>
      <c r="V174">
        <f>0.61365*exp(17.502*U174/(240.97+U174))</f>
        <v>0</v>
      </c>
      <c r="W174">
        <f>(X174/Y174*100)</f>
        <v>0</v>
      </c>
      <c r="X174">
        <f>AU174*(AZ174+BA174)/1000</f>
        <v>0</v>
      </c>
      <c r="Y174">
        <f>0.61365*exp(17.502*BB174/(240.97+BB174))</f>
        <v>0</v>
      </c>
      <c r="Z174">
        <f>(V174-AU174*(AZ174+BA174)/1000)</f>
        <v>0</v>
      </c>
      <c r="AA174">
        <f>(-H174*44100)</f>
        <v>0</v>
      </c>
      <c r="AB174">
        <f>2*29.3*P174*0.92*(BB174-U174)</f>
        <v>0</v>
      </c>
      <c r="AC174">
        <f>2*0.95*5.67E-8*(((BB174+$B$7)+273)^4-(U174+273)^4)</f>
        <v>0</v>
      </c>
      <c r="AD174">
        <f>S174+AC174+AA174+AB174</f>
        <v>0</v>
      </c>
      <c r="AE174">
        <v>0</v>
      </c>
      <c r="AF174">
        <v>0</v>
      </c>
      <c r="AG174">
        <f>IF(AE174*$H$13&gt;=AI174,1.0,(AI174/(AI174-AE174*$H$13)))</f>
        <v>0</v>
      </c>
      <c r="AH174">
        <f>(AG174-1)*100</f>
        <v>0</v>
      </c>
      <c r="AI174">
        <f>MAX(0,($B$13+$C$13*BG174)/(1+$D$13*BG174)*AZ174/(BB174+273)*$E$13)</f>
        <v>0</v>
      </c>
      <c r="AJ174">
        <f>$B$11*BH174+$C$11*BI174+$D$11*BT174</f>
        <v>0</v>
      </c>
      <c r="AK174">
        <f>AJ174*AL174</f>
        <v>0</v>
      </c>
      <c r="AL174">
        <f>($B$11*$D$9+$C$11*$D$9+$D$11*(BU174*$E$9+BV174*$G$9))/($B$11+$C$11+$D$11)</f>
        <v>0</v>
      </c>
      <c r="AM174">
        <f>($B$11*$K$9+$C$11*$K$9+$D$11*(BU174*$L$9+BV174*$N$9))/($B$11+$C$11+$D$11)</f>
        <v>0</v>
      </c>
      <c r="AN174">
        <v>3</v>
      </c>
      <c r="AO174">
        <v>0.5</v>
      </c>
      <c r="AP174" t="s">
        <v>331</v>
      </c>
      <c r="AQ174">
        <v>2</v>
      </c>
      <c r="AR174">
        <v>1773205513.75</v>
      </c>
      <c r="AS174">
        <v>420.1908999999999</v>
      </c>
      <c r="AT174">
        <v>417.8733666666666</v>
      </c>
      <c r="AU174">
        <v>12.35652</v>
      </c>
      <c r="AV174">
        <v>12.22356333333333</v>
      </c>
      <c r="AW174">
        <v>413.9595666666665</v>
      </c>
      <c r="AX174">
        <v>12.27592666666667</v>
      </c>
      <c r="AY174">
        <v>500.0111</v>
      </c>
      <c r="AZ174">
        <v>100.0671666666667</v>
      </c>
      <c r="BA174">
        <v>0.04617992666666666</v>
      </c>
      <c r="BB174">
        <v>30.79528333333333</v>
      </c>
      <c r="BC174">
        <v>31.05615</v>
      </c>
      <c r="BD174">
        <v>999.9000000000002</v>
      </c>
      <c r="BE174">
        <v>0</v>
      </c>
      <c r="BF174">
        <v>0</v>
      </c>
      <c r="BG174">
        <v>5008.133333333333</v>
      </c>
      <c r="BH174">
        <v>0.9805886999999999</v>
      </c>
      <c r="BI174">
        <v>2112.037333333333</v>
      </c>
      <c r="BJ174">
        <v>2.317538666666667</v>
      </c>
      <c r="BK174">
        <v>425.4479000000001</v>
      </c>
      <c r="BL174">
        <v>423.0445</v>
      </c>
      <c r="BM174">
        <v>0.1329650666666667</v>
      </c>
      <c r="BN174">
        <v>417.8733666666666</v>
      </c>
      <c r="BO174">
        <v>12.22356333333333</v>
      </c>
      <c r="BP174">
        <v>1.236481666666666</v>
      </c>
      <c r="BQ174">
        <v>1.223176</v>
      </c>
      <c r="BR174">
        <v>10.04819</v>
      </c>
      <c r="BS174">
        <v>9.886656</v>
      </c>
      <c r="BT174">
        <v>0</v>
      </c>
      <c r="BU174">
        <v>0</v>
      </c>
      <c r="BV174">
        <v>0</v>
      </c>
      <c r="BW174">
        <v>34</v>
      </c>
      <c r="BX174">
        <v>44.73443333333334</v>
      </c>
      <c r="BY174">
        <v>1773196010</v>
      </c>
      <c r="BZ174" t="s">
        <v>332</v>
      </c>
      <c r="CA174">
        <v>1773196010</v>
      </c>
      <c r="CB174">
        <v>1773196005.5</v>
      </c>
      <c r="CC174">
        <v>2</v>
      </c>
      <c r="CD174">
        <v>-0.279</v>
      </c>
      <c r="CE174">
        <v>-0.021</v>
      </c>
      <c r="CF174">
        <v>6.231</v>
      </c>
      <c r="CG174">
        <v>0.081</v>
      </c>
      <c r="CH174">
        <v>432</v>
      </c>
      <c r="CI174">
        <v>21</v>
      </c>
      <c r="CJ174">
        <v>0.03</v>
      </c>
      <c r="CK174">
        <v>0.06</v>
      </c>
      <c r="CL174">
        <v>417.8844666666667</v>
      </c>
      <c r="CM174">
        <v>-0.7373526140153218</v>
      </c>
      <c r="CN174">
        <v>0.06541800635570767</v>
      </c>
      <c r="CO174">
        <v>-1</v>
      </c>
      <c r="CP174">
        <v>500.0165000000001</v>
      </c>
      <c r="CQ174">
        <v>0.2202180200226236</v>
      </c>
      <c r="CR174">
        <v>0.0419100226676146</v>
      </c>
      <c r="CS174">
        <v>-1</v>
      </c>
      <c r="CT174">
        <v>0</v>
      </c>
      <c r="CU174">
        <v>0</v>
      </c>
      <c r="CV174" t="s">
        <v>333</v>
      </c>
      <c r="CW174">
        <v>3.17102</v>
      </c>
      <c r="CX174">
        <v>2.66843</v>
      </c>
      <c r="CY174">
        <v>0.09845619999999999</v>
      </c>
      <c r="CZ174">
        <v>0.09922599999999999</v>
      </c>
      <c r="DA174">
        <v>0.06837029999999999</v>
      </c>
      <c r="DB174">
        <v>0.06790309999999999</v>
      </c>
      <c r="DC174">
        <v>21318.9</v>
      </c>
      <c r="DD174">
        <v>21901.6</v>
      </c>
      <c r="DE174">
        <v>22801.1</v>
      </c>
      <c r="DF174">
        <v>22262.4</v>
      </c>
      <c r="DG174">
        <v>32127.8</v>
      </c>
      <c r="DH174">
        <v>29230.4</v>
      </c>
      <c r="DI174">
        <v>40137.1</v>
      </c>
      <c r="DJ174">
        <v>36821.6</v>
      </c>
      <c r="DK174">
        <v>2.02222</v>
      </c>
      <c r="DL174">
        <v>1.49012</v>
      </c>
      <c r="DM174">
        <v>-0.0733316</v>
      </c>
      <c r="DN174">
        <v>0</v>
      </c>
      <c r="DO174">
        <v>32.256</v>
      </c>
      <c r="DP174">
        <v>999.9</v>
      </c>
      <c r="DQ174">
        <v>23.4</v>
      </c>
      <c r="DR174">
        <v>46.1</v>
      </c>
      <c r="DS174">
        <v>23.8501</v>
      </c>
      <c r="DT174">
        <v>29.8264</v>
      </c>
      <c r="DU174">
        <v>14.5312</v>
      </c>
      <c r="DV174">
        <v>1</v>
      </c>
      <c r="DW174">
        <v>0.918557</v>
      </c>
      <c r="DX174">
        <v>3.41484</v>
      </c>
      <c r="DY174">
        <v>20.3216</v>
      </c>
      <c r="DZ174">
        <v>5.21034</v>
      </c>
      <c r="EA174">
        <v>11.8555</v>
      </c>
      <c r="EB174">
        <v>4.96728</v>
      </c>
      <c r="EC174">
        <v>3.29296</v>
      </c>
      <c r="ED174">
        <v>879.4</v>
      </c>
      <c r="EE174">
        <v>9999</v>
      </c>
      <c r="EF174">
        <v>9999</v>
      </c>
      <c r="EG174">
        <v>78.59999999999999</v>
      </c>
      <c r="EH174">
        <v>4.97158</v>
      </c>
      <c r="EI174">
        <v>1.8721</v>
      </c>
      <c r="EJ174">
        <v>1.86948</v>
      </c>
      <c r="EK174">
        <v>1.8718</v>
      </c>
      <c r="EL174">
        <v>1.86952</v>
      </c>
      <c r="EM174">
        <v>1.8683</v>
      </c>
      <c r="EN174">
        <v>1.87017</v>
      </c>
      <c r="EO174">
        <v>1.87195</v>
      </c>
      <c r="EP174">
        <v>0</v>
      </c>
      <c r="EQ174">
        <v>0</v>
      </c>
      <c r="ER174">
        <v>0</v>
      </c>
      <c r="ES174">
        <v>0</v>
      </c>
      <c r="ET174" t="s">
        <v>334</v>
      </c>
      <c r="EU174" t="s">
        <v>335</v>
      </c>
      <c r="EV174" t="s">
        <v>336</v>
      </c>
      <c r="EW174" t="s">
        <v>336</v>
      </c>
      <c r="EX174" t="s">
        <v>336</v>
      </c>
      <c r="EY174" t="s">
        <v>336</v>
      </c>
      <c r="EZ174">
        <v>0</v>
      </c>
      <c r="FA174">
        <v>100</v>
      </c>
      <c r="FB174">
        <v>100</v>
      </c>
      <c r="FC174">
        <v>6.232</v>
      </c>
      <c r="FD174">
        <v>0.0806</v>
      </c>
      <c r="FE174">
        <v>6.23135000000002</v>
      </c>
      <c r="FF174">
        <v>0</v>
      </c>
      <c r="FG174">
        <v>0</v>
      </c>
      <c r="FH174">
        <v>0</v>
      </c>
      <c r="FI174">
        <v>0.08059047619047632</v>
      </c>
      <c r="FJ174">
        <v>0</v>
      </c>
      <c r="FK174">
        <v>0</v>
      </c>
      <c r="FL174">
        <v>0</v>
      </c>
      <c r="FM174">
        <v>-1</v>
      </c>
      <c r="FN174">
        <v>-1</v>
      </c>
      <c r="FO174">
        <v>-1</v>
      </c>
      <c r="FP174">
        <v>-1</v>
      </c>
      <c r="FQ174">
        <v>158.5</v>
      </c>
      <c r="FR174">
        <v>158.6</v>
      </c>
      <c r="FS174">
        <v>0.140381</v>
      </c>
      <c r="FT174">
        <v>4.99634</v>
      </c>
      <c r="FU174">
        <v>1.5979</v>
      </c>
      <c r="FV174">
        <v>2.10815</v>
      </c>
      <c r="FW174">
        <v>1.54785</v>
      </c>
      <c r="FX174">
        <v>2.46582</v>
      </c>
      <c r="FY174">
        <v>47.3318</v>
      </c>
      <c r="FZ174">
        <v>15.1652</v>
      </c>
      <c r="GA174">
        <v>3</v>
      </c>
      <c r="GB174">
        <v>520.422</v>
      </c>
      <c r="GC174">
        <v>287.473</v>
      </c>
      <c r="GD174">
        <v>28.2045</v>
      </c>
      <c r="GE174">
        <v>38.2669</v>
      </c>
      <c r="GF174">
        <v>30.0001</v>
      </c>
      <c r="GG174">
        <v>38.1802</v>
      </c>
      <c r="GH174">
        <v>38.169</v>
      </c>
      <c r="GI174">
        <v>-1</v>
      </c>
      <c r="GJ174">
        <v>100</v>
      </c>
      <c r="GK174">
        <v>0</v>
      </c>
      <c r="GL174">
        <v>28.1976</v>
      </c>
      <c r="GM174">
        <v>1200</v>
      </c>
      <c r="GN174">
        <v>19.4378</v>
      </c>
      <c r="GO174">
        <v>100.972</v>
      </c>
      <c r="GP174">
        <v>96.1527</v>
      </c>
    </row>
    <row r="175" spans="1:198">
      <c r="A175">
        <v>159</v>
      </c>
      <c r="B175">
        <v>1773205581.5</v>
      </c>
      <c r="C175">
        <v>9481.5</v>
      </c>
      <c r="D175" t="s">
        <v>651</v>
      </c>
      <c r="E175" t="s">
        <v>652</v>
      </c>
      <c r="F175">
        <v>15</v>
      </c>
      <c r="G175">
        <v>1773205573.5</v>
      </c>
      <c r="H175">
        <f>(I175)/1000</f>
        <v>0</v>
      </c>
      <c r="I175">
        <f>1000*AY175*AG175*(AU175-AV175)/(100*AN175*(1000-AG175*AU175))</f>
        <v>0</v>
      </c>
      <c r="J175">
        <f>AY175*AG175*(AT175-AS175*(1000-AG175*AV175)/(1000-AG175*AU175))/(100*AN175)</f>
        <v>0</v>
      </c>
      <c r="K175">
        <f>AS175 - IF(AG175&gt;1, J175*AN175*100.0/(AI175), 0)</f>
        <v>0</v>
      </c>
      <c r="L175">
        <f>((R175-H175/2)*K175-J175)/(R175+H175/2)</f>
        <v>0</v>
      </c>
      <c r="M175">
        <f>L175*(AZ175+BA175)/1000.0</f>
        <v>0</v>
      </c>
      <c r="N175">
        <f>(AS175 - IF(AG175&gt;1, J175*AN175*100.0/(AI175), 0))*(AZ175+BA175)/1000.0</f>
        <v>0</v>
      </c>
      <c r="O175">
        <f>2.0/((1/Q175-1/P175)+SIGN(Q175)*SQRT((1/Q175-1/P175)*(1/Q175-1/P175) + 4*AO175/((AO175+1)*(AO175+1))*(2*1/Q175*1/P175-1/P175*1/P175)))</f>
        <v>0</v>
      </c>
      <c r="P175">
        <f>IF(LEFT(AP175,1)&lt;&gt;"0",IF(LEFT(AP175,1)="1",3.0,AQ175),$D$5+$E$5*(BG175*AZ175/($K$5*1000))+$F$5*(BG175*AZ175/($K$5*1000))*MAX(MIN(AN175,$J$5),$I$5)*MAX(MIN(AN175,$J$5),$I$5)+$G$5*MAX(MIN(AN175,$J$5),$I$5)*(BG175*AZ175/($K$5*1000))+$H$5*(BG175*AZ175/($K$5*1000))*(BG175*AZ175/($K$5*1000)))</f>
        <v>0</v>
      </c>
      <c r="Q175">
        <f>H175*(1000-(1000*0.61365*exp(17.502*U175/(240.97+U175))/(AZ175+BA175)+AU175)/2)/(1000*0.61365*exp(17.502*U175/(240.97+U175))/(AZ175+BA175)-AU175)</f>
        <v>0</v>
      </c>
      <c r="R175">
        <f>1/((AO175+1)/(O175/1.6)+1/(P175/1.37)) + AO175/((AO175+1)/(O175/1.6) + AO175/(P175/1.37))</f>
        <v>0</v>
      </c>
      <c r="S175">
        <f>(AJ175*AM175)</f>
        <v>0</v>
      </c>
      <c r="T175">
        <f>(BB175+(S175+2*0.95*5.67E-8*(((BB175+$B$7)+273)^4-(BB175+273)^4)-44100*H175)/(1.84*29.3*P175+8*0.95*5.67E-8*(BB175+273)^3))</f>
        <v>0</v>
      </c>
      <c r="U175">
        <f>($C$7*BC175+$D$7*BD175+$E$7*T175)</f>
        <v>0</v>
      </c>
      <c r="V175">
        <f>0.61365*exp(17.502*U175/(240.97+U175))</f>
        <v>0</v>
      </c>
      <c r="W175">
        <f>(X175/Y175*100)</f>
        <v>0</v>
      </c>
      <c r="X175">
        <f>AU175*(AZ175+BA175)/1000</f>
        <v>0</v>
      </c>
      <c r="Y175">
        <f>0.61365*exp(17.502*BB175/(240.97+BB175))</f>
        <v>0</v>
      </c>
      <c r="Z175">
        <f>(V175-AU175*(AZ175+BA175)/1000)</f>
        <v>0</v>
      </c>
      <c r="AA175">
        <f>(-H175*44100)</f>
        <v>0</v>
      </c>
      <c r="AB175">
        <f>2*29.3*P175*0.92*(BB175-U175)</f>
        <v>0</v>
      </c>
      <c r="AC175">
        <f>2*0.95*5.67E-8*(((BB175+$B$7)+273)^4-(U175+273)^4)</f>
        <v>0</v>
      </c>
      <c r="AD175">
        <f>S175+AC175+AA175+AB175</f>
        <v>0</v>
      </c>
      <c r="AE175">
        <v>0</v>
      </c>
      <c r="AF175">
        <v>0</v>
      </c>
      <c r="AG175">
        <f>IF(AE175*$H$13&gt;=AI175,1.0,(AI175/(AI175-AE175*$H$13)))</f>
        <v>0</v>
      </c>
      <c r="AH175">
        <f>(AG175-1)*100</f>
        <v>0</v>
      </c>
      <c r="AI175">
        <f>MAX(0,($B$13+$C$13*BG175)/(1+$D$13*BG175)*AZ175/(BB175+273)*$E$13)</f>
        <v>0</v>
      </c>
      <c r="AJ175">
        <f>$B$11*BH175+$C$11*BI175+$D$11*BT175</f>
        <v>0</v>
      </c>
      <c r="AK175">
        <f>AJ175*AL175</f>
        <v>0</v>
      </c>
      <c r="AL175">
        <f>($B$11*$D$9+$C$11*$D$9+$D$11*(BU175*$E$9+BV175*$G$9))/($B$11+$C$11+$D$11)</f>
        <v>0</v>
      </c>
      <c r="AM175">
        <f>($B$11*$K$9+$C$11*$K$9+$D$11*(BU175*$L$9+BV175*$N$9))/($B$11+$C$11+$D$11)</f>
        <v>0</v>
      </c>
      <c r="AN175">
        <v>3</v>
      </c>
      <c r="AO175">
        <v>0.5</v>
      </c>
      <c r="AP175" t="s">
        <v>331</v>
      </c>
      <c r="AQ175">
        <v>2</v>
      </c>
      <c r="AR175">
        <v>1773205573.5</v>
      </c>
      <c r="AS175">
        <v>420.1996129032258</v>
      </c>
      <c r="AT175">
        <v>418.0288387096774</v>
      </c>
      <c r="AU175">
        <v>12.31219032258065</v>
      </c>
      <c r="AV175">
        <v>12.17575161290323</v>
      </c>
      <c r="AW175">
        <v>413.9683225806452</v>
      </c>
      <c r="AX175">
        <v>12.23160322580645</v>
      </c>
      <c r="AY175">
        <v>499.8742258064516</v>
      </c>
      <c r="AZ175">
        <v>100.0706451612903</v>
      </c>
      <c r="BA175">
        <v>0.04568049032258063</v>
      </c>
      <c r="BB175">
        <v>30.7747129032258</v>
      </c>
      <c r="BC175">
        <v>31.00888387096775</v>
      </c>
      <c r="BD175">
        <v>999.9000000000003</v>
      </c>
      <c r="BE175">
        <v>0</v>
      </c>
      <c r="BF175">
        <v>0</v>
      </c>
      <c r="BG175">
        <v>5001.370967741936</v>
      </c>
      <c r="BH175">
        <v>0.960232806451613</v>
      </c>
      <c r="BI175">
        <v>2060.806774193548</v>
      </c>
      <c r="BJ175">
        <v>2.170891612903226</v>
      </c>
      <c r="BK175">
        <v>425.4376451612903</v>
      </c>
      <c r="BL175">
        <v>423.1813225806452</v>
      </c>
      <c r="BM175">
        <v>0.1364297741935484</v>
      </c>
      <c r="BN175">
        <v>418.0288387096774</v>
      </c>
      <c r="BO175">
        <v>12.17575161290323</v>
      </c>
      <c r="BP175">
        <v>1.232088387096774</v>
      </c>
      <c r="BQ175">
        <v>1.218436451612903</v>
      </c>
      <c r="BR175">
        <v>9.995018064516128</v>
      </c>
      <c r="BS175">
        <v>9.828728064516131</v>
      </c>
      <c r="BT175">
        <v>0</v>
      </c>
      <c r="BU175">
        <v>0</v>
      </c>
      <c r="BV175">
        <v>0</v>
      </c>
      <c r="BW175">
        <v>34</v>
      </c>
      <c r="BX175">
        <v>45.06774193548387</v>
      </c>
      <c r="BY175">
        <v>1773196010</v>
      </c>
      <c r="BZ175" t="s">
        <v>332</v>
      </c>
      <c r="CA175">
        <v>1773196010</v>
      </c>
      <c r="CB175">
        <v>1773196005.5</v>
      </c>
      <c r="CC175">
        <v>2</v>
      </c>
      <c r="CD175">
        <v>-0.279</v>
      </c>
      <c r="CE175">
        <v>-0.021</v>
      </c>
      <c r="CF175">
        <v>6.231</v>
      </c>
      <c r="CG175">
        <v>0.081</v>
      </c>
      <c r="CH175">
        <v>432</v>
      </c>
      <c r="CI175">
        <v>21</v>
      </c>
      <c r="CJ175">
        <v>0.03</v>
      </c>
      <c r="CK175">
        <v>0.06</v>
      </c>
      <c r="CL175">
        <v>418.0219354838711</v>
      </c>
      <c r="CM175">
        <v>0.9080806451604239</v>
      </c>
      <c r="CN175">
        <v>0.07609753312260981</v>
      </c>
      <c r="CO175">
        <v>-1</v>
      </c>
      <c r="CP175">
        <v>499.8861612903225</v>
      </c>
      <c r="CQ175">
        <v>-1.973806451614594</v>
      </c>
      <c r="CR175">
        <v>0.1863193749165763</v>
      </c>
      <c r="CS175">
        <v>-1</v>
      </c>
      <c r="CT175">
        <v>0</v>
      </c>
      <c r="CU175">
        <v>0</v>
      </c>
      <c r="CV175" t="s">
        <v>333</v>
      </c>
      <c r="CW175">
        <v>3.1707</v>
      </c>
      <c r="CX175">
        <v>2.66981</v>
      </c>
      <c r="CY175">
        <v>0.09849189999999999</v>
      </c>
      <c r="CZ175">
        <v>0.09929010000000001</v>
      </c>
      <c r="DA175">
        <v>0.0681577</v>
      </c>
      <c r="DB175">
        <v>0.0676472</v>
      </c>
      <c r="DC175">
        <v>21319.7</v>
      </c>
      <c r="DD175">
        <v>21901.8</v>
      </c>
      <c r="DE175">
        <v>22802.7</v>
      </c>
      <c r="DF175">
        <v>22264.1</v>
      </c>
      <c r="DG175">
        <v>32137.1</v>
      </c>
      <c r="DH175">
        <v>29240.7</v>
      </c>
      <c r="DI175">
        <v>40139.6</v>
      </c>
      <c r="DJ175">
        <v>36824.4</v>
      </c>
      <c r="DK175">
        <v>2.02204</v>
      </c>
      <c r="DL175">
        <v>1.48986</v>
      </c>
      <c r="DM175">
        <v>-0.07076259999999999</v>
      </c>
      <c r="DN175">
        <v>0</v>
      </c>
      <c r="DO175">
        <v>32.1599</v>
      </c>
      <c r="DP175">
        <v>999.9</v>
      </c>
      <c r="DQ175">
        <v>23.5</v>
      </c>
      <c r="DR175">
        <v>46.1</v>
      </c>
      <c r="DS175">
        <v>23.9516</v>
      </c>
      <c r="DT175">
        <v>30.1564</v>
      </c>
      <c r="DU175">
        <v>14.6595</v>
      </c>
      <c r="DV175">
        <v>1</v>
      </c>
      <c r="DW175">
        <v>0.91625</v>
      </c>
      <c r="DX175">
        <v>3.55683</v>
      </c>
      <c r="DY175">
        <v>20.3179</v>
      </c>
      <c r="DZ175">
        <v>5.21022</v>
      </c>
      <c r="EA175">
        <v>11.8564</v>
      </c>
      <c r="EB175">
        <v>4.9674</v>
      </c>
      <c r="EC175">
        <v>3.2929</v>
      </c>
      <c r="ED175">
        <v>879.4</v>
      </c>
      <c r="EE175">
        <v>9999</v>
      </c>
      <c r="EF175">
        <v>9999</v>
      </c>
      <c r="EG175">
        <v>78.7</v>
      </c>
      <c r="EH175">
        <v>4.97158</v>
      </c>
      <c r="EI175">
        <v>1.8721</v>
      </c>
      <c r="EJ175">
        <v>1.86948</v>
      </c>
      <c r="EK175">
        <v>1.8718</v>
      </c>
      <c r="EL175">
        <v>1.86952</v>
      </c>
      <c r="EM175">
        <v>1.86832</v>
      </c>
      <c r="EN175">
        <v>1.87016</v>
      </c>
      <c r="EO175">
        <v>1.87195</v>
      </c>
      <c r="EP175">
        <v>0</v>
      </c>
      <c r="EQ175">
        <v>0</v>
      </c>
      <c r="ER175">
        <v>0</v>
      </c>
      <c r="ES175">
        <v>0</v>
      </c>
      <c r="ET175" t="s">
        <v>334</v>
      </c>
      <c r="EU175" t="s">
        <v>335</v>
      </c>
      <c r="EV175" t="s">
        <v>336</v>
      </c>
      <c r="EW175" t="s">
        <v>336</v>
      </c>
      <c r="EX175" t="s">
        <v>336</v>
      </c>
      <c r="EY175" t="s">
        <v>336</v>
      </c>
      <c r="EZ175">
        <v>0</v>
      </c>
      <c r="FA175">
        <v>100</v>
      </c>
      <c r="FB175">
        <v>100</v>
      </c>
      <c r="FC175">
        <v>6.231</v>
      </c>
      <c r="FD175">
        <v>0.0806</v>
      </c>
      <c r="FE175">
        <v>6.23135000000002</v>
      </c>
      <c r="FF175">
        <v>0</v>
      </c>
      <c r="FG175">
        <v>0</v>
      </c>
      <c r="FH175">
        <v>0</v>
      </c>
      <c r="FI175">
        <v>0.08059047619047632</v>
      </c>
      <c r="FJ175">
        <v>0</v>
      </c>
      <c r="FK175">
        <v>0</v>
      </c>
      <c r="FL175">
        <v>0</v>
      </c>
      <c r="FM175">
        <v>-1</v>
      </c>
      <c r="FN175">
        <v>-1</v>
      </c>
      <c r="FO175">
        <v>-1</v>
      </c>
      <c r="FP175">
        <v>-1</v>
      </c>
      <c r="FQ175">
        <v>159.5</v>
      </c>
      <c r="FR175">
        <v>159.6</v>
      </c>
      <c r="FS175">
        <v>0.140381</v>
      </c>
      <c r="FT175">
        <v>4.99756</v>
      </c>
      <c r="FU175">
        <v>1.5979</v>
      </c>
      <c r="FV175">
        <v>2.10938</v>
      </c>
      <c r="FW175">
        <v>1.54785</v>
      </c>
      <c r="FX175">
        <v>2.37427</v>
      </c>
      <c r="FY175">
        <v>47.2421</v>
      </c>
      <c r="FZ175">
        <v>15.139</v>
      </c>
      <c r="GA175">
        <v>3</v>
      </c>
      <c r="GB175">
        <v>520.14</v>
      </c>
      <c r="GC175">
        <v>287.265</v>
      </c>
      <c r="GD175">
        <v>27.867</v>
      </c>
      <c r="GE175">
        <v>38.2273</v>
      </c>
      <c r="GF175">
        <v>29.9996</v>
      </c>
      <c r="GG175">
        <v>38.1548</v>
      </c>
      <c r="GH175">
        <v>38.145</v>
      </c>
      <c r="GI175">
        <v>-1</v>
      </c>
      <c r="GJ175">
        <v>100</v>
      </c>
      <c r="GK175">
        <v>0</v>
      </c>
      <c r="GL175">
        <v>27.8725</v>
      </c>
      <c r="GM175">
        <v>1200</v>
      </c>
      <c r="GN175">
        <v>19.4378</v>
      </c>
      <c r="GO175">
        <v>100.978</v>
      </c>
      <c r="GP175">
        <v>96.16</v>
      </c>
    </row>
    <row r="176" spans="1:198">
      <c r="A176">
        <v>160</v>
      </c>
      <c r="B176">
        <v>1773205641.5</v>
      </c>
      <c r="C176">
        <v>9541.5</v>
      </c>
      <c r="D176" t="s">
        <v>653</v>
      </c>
      <c r="E176" t="s">
        <v>654</v>
      </c>
      <c r="F176">
        <v>15</v>
      </c>
      <c r="G176">
        <v>1773205633.5</v>
      </c>
      <c r="H176">
        <f>(I176)/1000</f>
        <v>0</v>
      </c>
      <c r="I176">
        <f>1000*AY176*AG176*(AU176-AV176)/(100*AN176*(1000-AG176*AU176))</f>
        <v>0</v>
      </c>
      <c r="J176">
        <f>AY176*AG176*(AT176-AS176*(1000-AG176*AV176)/(1000-AG176*AU176))/(100*AN176)</f>
        <v>0</v>
      </c>
      <c r="K176">
        <f>AS176 - IF(AG176&gt;1, J176*AN176*100.0/(AI176), 0)</f>
        <v>0</v>
      </c>
      <c r="L176">
        <f>((R176-H176/2)*K176-J176)/(R176+H176/2)</f>
        <v>0</v>
      </c>
      <c r="M176">
        <f>L176*(AZ176+BA176)/1000.0</f>
        <v>0</v>
      </c>
      <c r="N176">
        <f>(AS176 - IF(AG176&gt;1, J176*AN176*100.0/(AI176), 0))*(AZ176+BA176)/1000.0</f>
        <v>0</v>
      </c>
      <c r="O176">
        <f>2.0/((1/Q176-1/P176)+SIGN(Q176)*SQRT((1/Q176-1/P176)*(1/Q176-1/P176) + 4*AO176/((AO176+1)*(AO176+1))*(2*1/Q176*1/P176-1/P176*1/P176)))</f>
        <v>0</v>
      </c>
      <c r="P176">
        <f>IF(LEFT(AP176,1)&lt;&gt;"0",IF(LEFT(AP176,1)="1",3.0,AQ176),$D$5+$E$5*(BG176*AZ176/($K$5*1000))+$F$5*(BG176*AZ176/($K$5*1000))*MAX(MIN(AN176,$J$5),$I$5)*MAX(MIN(AN176,$J$5),$I$5)+$G$5*MAX(MIN(AN176,$J$5),$I$5)*(BG176*AZ176/($K$5*1000))+$H$5*(BG176*AZ176/($K$5*1000))*(BG176*AZ176/($K$5*1000)))</f>
        <v>0</v>
      </c>
      <c r="Q176">
        <f>H176*(1000-(1000*0.61365*exp(17.502*U176/(240.97+U176))/(AZ176+BA176)+AU176)/2)/(1000*0.61365*exp(17.502*U176/(240.97+U176))/(AZ176+BA176)-AU176)</f>
        <v>0</v>
      </c>
      <c r="R176">
        <f>1/((AO176+1)/(O176/1.6)+1/(P176/1.37)) + AO176/((AO176+1)/(O176/1.6) + AO176/(P176/1.37))</f>
        <v>0</v>
      </c>
      <c r="S176">
        <f>(AJ176*AM176)</f>
        <v>0</v>
      </c>
      <c r="T176">
        <f>(BB176+(S176+2*0.95*5.67E-8*(((BB176+$B$7)+273)^4-(BB176+273)^4)-44100*H176)/(1.84*29.3*P176+8*0.95*5.67E-8*(BB176+273)^3))</f>
        <v>0</v>
      </c>
      <c r="U176">
        <f>($C$7*BC176+$D$7*BD176+$E$7*T176)</f>
        <v>0</v>
      </c>
      <c r="V176">
        <f>0.61365*exp(17.502*U176/(240.97+U176))</f>
        <v>0</v>
      </c>
      <c r="W176">
        <f>(X176/Y176*100)</f>
        <v>0</v>
      </c>
      <c r="X176">
        <f>AU176*(AZ176+BA176)/1000</f>
        <v>0</v>
      </c>
      <c r="Y176">
        <f>0.61365*exp(17.502*BB176/(240.97+BB176))</f>
        <v>0</v>
      </c>
      <c r="Z176">
        <f>(V176-AU176*(AZ176+BA176)/1000)</f>
        <v>0</v>
      </c>
      <c r="AA176">
        <f>(-H176*44100)</f>
        <v>0</v>
      </c>
      <c r="AB176">
        <f>2*29.3*P176*0.92*(BB176-U176)</f>
        <v>0</v>
      </c>
      <c r="AC176">
        <f>2*0.95*5.67E-8*(((BB176+$B$7)+273)^4-(U176+273)^4)</f>
        <v>0</v>
      </c>
      <c r="AD176">
        <f>S176+AC176+AA176+AB176</f>
        <v>0</v>
      </c>
      <c r="AE176">
        <v>0</v>
      </c>
      <c r="AF176">
        <v>0</v>
      </c>
      <c r="AG176">
        <f>IF(AE176*$H$13&gt;=AI176,1.0,(AI176/(AI176-AE176*$H$13)))</f>
        <v>0</v>
      </c>
      <c r="AH176">
        <f>(AG176-1)*100</f>
        <v>0</v>
      </c>
      <c r="AI176">
        <f>MAX(0,($B$13+$C$13*BG176)/(1+$D$13*BG176)*AZ176/(BB176+273)*$E$13)</f>
        <v>0</v>
      </c>
      <c r="AJ176">
        <f>$B$11*BH176+$C$11*BI176+$D$11*BT176</f>
        <v>0</v>
      </c>
      <c r="AK176">
        <f>AJ176*AL176</f>
        <v>0</v>
      </c>
      <c r="AL176">
        <f>($B$11*$D$9+$C$11*$D$9+$D$11*(BU176*$E$9+BV176*$G$9))/($B$11+$C$11+$D$11)</f>
        <v>0</v>
      </c>
      <c r="AM176">
        <f>($B$11*$K$9+$C$11*$K$9+$D$11*(BU176*$L$9+BV176*$N$9))/($B$11+$C$11+$D$11)</f>
        <v>0</v>
      </c>
      <c r="AN176">
        <v>3</v>
      </c>
      <c r="AO176">
        <v>0.5</v>
      </c>
      <c r="AP176" t="s">
        <v>331</v>
      </c>
      <c r="AQ176">
        <v>2</v>
      </c>
      <c r="AR176">
        <v>1773205633.5</v>
      </c>
      <c r="AS176">
        <v>420.8980967741936</v>
      </c>
      <c r="AT176">
        <v>418.6974838709678</v>
      </c>
      <c r="AU176">
        <v>12.26761290322581</v>
      </c>
      <c r="AV176">
        <v>12.14104838709678</v>
      </c>
      <c r="AW176">
        <v>414.6667741935485</v>
      </c>
      <c r="AX176">
        <v>12.18702580645162</v>
      </c>
      <c r="AY176">
        <v>499.9574838709677</v>
      </c>
      <c r="AZ176">
        <v>100.0613870967742</v>
      </c>
      <c r="BA176">
        <v>0.04356242903225806</v>
      </c>
      <c r="BB176">
        <v>30.87531935483871</v>
      </c>
      <c r="BC176">
        <v>31.12386774193548</v>
      </c>
      <c r="BD176">
        <v>999.9000000000003</v>
      </c>
      <c r="BE176">
        <v>0</v>
      </c>
      <c r="BF176">
        <v>0</v>
      </c>
      <c r="BG176">
        <v>4995.258064516129</v>
      </c>
      <c r="BH176">
        <v>0.9749065161290321</v>
      </c>
      <c r="BI176">
        <v>2062.664838709677</v>
      </c>
      <c r="BJ176">
        <v>2.200602903225807</v>
      </c>
      <c r="BK176">
        <v>426.1256129032258</v>
      </c>
      <c r="BL176">
        <v>423.8434193548387</v>
      </c>
      <c r="BM176">
        <v>0.1265668387096774</v>
      </c>
      <c r="BN176">
        <v>418.6974838709678</v>
      </c>
      <c r="BO176">
        <v>12.14104838709678</v>
      </c>
      <c r="BP176">
        <v>1.227515161290322</v>
      </c>
      <c r="BQ176">
        <v>1.214851612903226</v>
      </c>
      <c r="BR176">
        <v>9.939507741935484</v>
      </c>
      <c r="BS176">
        <v>9.784795483870969</v>
      </c>
      <c r="BT176">
        <v>0</v>
      </c>
      <c r="BU176">
        <v>0</v>
      </c>
      <c r="BV176">
        <v>0</v>
      </c>
      <c r="BW176">
        <v>34</v>
      </c>
      <c r="BX176">
        <v>46.81505806451613</v>
      </c>
      <c r="BY176">
        <v>1773196010</v>
      </c>
      <c r="BZ176" t="s">
        <v>332</v>
      </c>
      <c r="CA176">
        <v>1773196010</v>
      </c>
      <c r="CB176">
        <v>1773196005.5</v>
      </c>
      <c r="CC176">
        <v>2</v>
      </c>
      <c r="CD176">
        <v>-0.279</v>
      </c>
      <c r="CE176">
        <v>-0.021</v>
      </c>
      <c r="CF176">
        <v>6.231</v>
      </c>
      <c r="CG176">
        <v>0.081</v>
      </c>
      <c r="CH176">
        <v>432</v>
      </c>
      <c r="CI176">
        <v>21</v>
      </c>
      <c r="CJ176">
        <v>0.03</v>
      </c>
      <c r="CK176">
        <v>0.06</v>
      </c>
      <c r="CL176">
        <v>418.6977666666668</v>
      </c>
      <c r="CM176">
        <v>-0.1464827586198525</v>
      </c>
      <c r="CN176">
        <v>0.02033172124756761</v>
      </c>
      <c r="CO176">
        <v>-1</v>
      </c>
      <c r="CP176">
        <v>499.9544666666667</v>
      </c>
      <c r="CQ176">
        <v>-1.330278086764555</v>
      </c>
      <c r="CR176">
        <v>0.2501163373756763</v>
      </c>
      <c r="CS176">
        <v>-1</v>
      </c>
      <c r="CT176">
        <v>0</v>
      </c>
      <c r="CU176">
        <v>0</v>
      </c>
      <c r="CV176" t="s">
        <v>333</v>
      </c>
      <c r="CW176">
        <v>3.17144</v>
      </c>
      <c r="CX176">
        <v>2.66657</v>
      </c>
      <c r="CY176">
        <v>0.0986108</v>
      </c>
      <c r="CZ176">
        <v>0.0993882</v>
      </c>
      <c r="DA176">
        <v>0.0680157</v>
      </c>
      <c r="DB176">
        <v>0.0675732</v>
      </c>
      <c r="DC176">
        <v>21318.2</v>
      </c>
      <c r="DD176">
        <v>21901</v>
      </c>
      <c r="DE176">
        <v>22803.9</v>
      </c>
      <c r="DF176">
        <v>22265.5</v>
      </c>
      <c r="DG176">
        <v>32143.5</v>
      </c>
      <c r="DH176">
        <v>29245.1</v>
      </c>
      <c r="DI176">
        <v>40141.3</v>
      </c>
      <c r="DJ176">
        <v>36826.9</v>
      </c>
      <c r="DK176">
        <v>2.0238</v>
      </c>
      <c r="DL176">
        <v>1.4888</v>
      </c>
      <c r="DM176">
        <v>-0.0693202</v>
      </c>
      <c r="DN176">
        <v>0</v>
      </c>
      <c r="DO176">
        <v>32.2563</v>
      </c>
      <c r="DP176">
        <v>999.9</v>
      </c>
      <c r="DQ176">
        <v>23.4</v>
      </c>
      <c r="DR176">
        <v>46.1</v>
      </c>
      <c r="DS176">
        <v>23.846</v>
      </c>
      <c r="DT176">
        <v>29.8564</v>
      </c>
      <c r="DU176">
        <v>14.2107</v>
      </c>
      <c r="DV176">
        <v>1</v>
      </c>
      <c r="DW176">
        <v>0.919244</v>
      </c>
      <c r="DX176">
        <v>4.59932</v>
      </c>
      <c r="DY176">
        <v>20.2869</v>
      </c>
      <c r="DZ176">
        <v>5.20567</v>
      </c>
      <c r="EA176">
        <v>11.8547</v>
      </c>
      <c r="EB176">
        <v>4.96748</v>
      </c>
      <c r="EC176">
        <v>3.29298</v>
      </c>
      <c r="ED176">
        <v>879.4</v>
      </c>
      <c r="EE176">
        <v>9999</v>
      </c>
      <c r="EF176">
        <v>9999</v>
      </c>
      <c r="EG176">
        <v>78.7</v>
      </c>
      <c r="EH176">
        <v>4.97157</v>
      </c>
      <c r="EI176">
        <v>1.87208</v>
      </c>
      <c r="EJ176">
        <v>1.86945</v>
      </c>
      <c r="EK176">
        <v>1.8718</v>
      </c>
      <c r="EL176">
        <v>1.86952</v>
      </c>
      <c r="EM176">
        <v>1.8683</v>
      </c>
      <c r="EN176">
        <v>1.87015</v>
      </c>
      <c r="EO176">
        <v>1.87195</v>
      </c>
      <c r="EP176">
        <v>0</v>
      </c>
      <c r="EQ176">
        <v>0</v>
      </c>
      <c r="ER176">
        <v>0</v>
      </c>
      <c r="ES176">
        <v>0</v>
      </c>
      <c r="ET176" t="s">
        <v>334</v>
      </c>
      <c r="EU176" t="s">
        <v>335</v>
      </c>
      <c r="EV176" t="s">
        <v>336</v>
      </c>
      <c r="EW176" t="s">
        <v>336</v>
      </c>
      <c r="EX176" t="s">
        <v>336</v>
      </c>
      <c r="EY176" t="s">
        <v>336</v>
      </c>
      <c r="EZ176">
        <v>0</v>
      </c>
      <c r="FA176">
        <v>100</v>
      </c>
      <c r="FB176">
        <v>100</v>
      </c>
      <c r="FC176">
        <v>6.231</v>
      </c>
      <c r="FD176">
        <v>0.0805</v>
      </c>
      <c r="FE176">
        <v>6.23135000000002</v>
      </c>
      <c r="FF176">
        <v>0</v>
      </c>
      <c r="FG176">
        <v>0</v>
      </c>
      <c r="FH176">
        <v>0</v>
      </c>
      <c r="FI176">
        <v>0.08059047619047632</v>
      </c>
      <c r="FJ176">
        <v>0</v>
      </c>
      <c r="FK176">
        <v>0</v>
      </c>
      <c r="FL176">
        <v>0</v>
      </c>
      <c r="FM176">
        <v>-1</v>
      </c>
      <c r="FN176">
        <v>-1</v>
      </c>
      <c r="FO176">
        <v>-1</v>
      </c>
      <c r="FP176">
        <v>-1</v>
      </c>
      <c r="FQ176">
        <v>160.5</v>
      </c>
      <c r="FR176">
        <v>160.6</v>
      </c>
      <c r="FS176">
        <v>0.140381</v>
      </c>
      <c r="FT176">
        <v>4.99634</v>
      </c>
      <c r="FU176">
        <v>1.5979</v>
      </c>
      <c r="FV176">
        <v>2.10815</v>
      </c>
      <c r="FW176">
        <v>1.54785</v>
      </c>
      <c r="FX176">
        <v>2.48901</v>
      </c>
      <c r="FY176">
        <v>47.1527</v>
      </c>
      <c r="FZ176">
        <v>15.1302</v>
      </c>
      <c r="GA176">
        <v>3</v>
      </c>
      <c r="GB176">
        <v>520.985</v>
      </c>
      <c r="GC176">
        <v>286.646</v>
      </c>
      <c r="GD176">
        <v>27.4076</v>
      </c>
      <c r="GE176">
        <v>38.1827</v>
      </c>
      <c r="GF176">
        <v>30.0005</v>
      </c>
      <c r="GG176">
        <v>38.1191</v>
      </c>
      <c r="GH176">
        <v>38.1124</v>
      </c>
      <c r="GI176">
        <v>-1</v>
      </c>
      <c r="GJ176">
        <v>100</v>
      </c>
      <c r="GK176">
        <v>0</v>
      </c>
      <c r="GL176">
        <v>27.3803</v>
      </c>
      <c r="GM176">
        <v>1200</v>
      </c>
      <c r="GN176">
        <v>19.4378</v>
      </c>
      <c r="GO176">
        <v>100.983</v>
      </c>
      <c r="GP176">
        <v>96.1666</v>
      </c>
    </row>
    <row r="177" spans="1:198">
      <c r="A177">
        <v>161</v>
      </c>
      <c r="B177">
        <v>1773205701.5</v>
      </c>
      <c r="C177">
        <v>9601.5</v>
      </c>
      <c r="D177" t="s">
        <v>655</v>
      </c>
      <c r="E177" t="s">
        <v>656</v>
      </c>
      <c r="F177">
        <v>15</v>
      </c>
      <c r="G177">
        <v>1773205693.5</v>
      </c>
      <c r="H177">
        <f>(I177)/1000</f>
        <v>0</v>
      </c>
      <c r="I177">
        <f>1000*AY177*AG177*(AU177-AV177)/(100*AN177*(1000-AG177*AU177))</f>
        <v>0</v>
      </c>
      <c r="J177">
        <f>AY177*AG177*(AT177-AS177*(1000-AG177*AV177)/(1000-AG177*AU177))/(100*AN177)</f>
        <v>0</v>
      </c>
      <c r="K177">
        <f>AS177 - IF(AG177&gt;1, J177*AN177*100.0/(AI177), 0)</f>
        <v>0</v>
      </c>
      <c r="L177">
        <f>((R177-H177/2)*K177-J177)/(R177+H177/2)</f>
        <v>0</v>
      </c>
      <c r="M177">
        <f>L177*(AZ177+BA177)/1000.0</f>
        <v>0</v>
      </c>
      <c r="N177">
        <f>(AS177 - IF(AG177&gt;1, J177*AN177*100.0/(AI177), 0))*(AZ177+BA177)/1000.0</f>
        <v>0</v>
      </c>
      <c r="O177">
        <f>2.0/((1/Q177-1/P177)+SIGN(Q177)*SQRT((1/Q177-1/P177)*(1/Q177-1/P177) + 4*AO177/((AO177+1)*(AO177+1))*(2*1/Q177*1/P177-1/P177*1/P177)))</f>
        <v>0</v>
      </c>
      <c r="P177">
        <f>IF(LEFT(AP177,1)&lt;&gt;"0",IF(LEFT(AP177,1)="1",3.0,AQ177),$D$5+$E$5*(BG177*AZ177/($K$5*1000))+$F$5*(BG177*AZ177/($K$5*1000))*MAX(MIN(AN177,$J$5),$I$5)*MAX(MIN(AN177,$J$5),$I$5)+$G$5*MAX(MIN(AN177,$J$5),$I$5)*(BG177*AZ177/($K$5*1000))+$H$5*(BG177*AZ177/($K$5*1000))*(BG177*AZ177/($K$5*1000)))</f>
        <v>0</v>
      </c>
      <c r="Q177">
        <f>H177*(1000-(1000*0.61365*exp(17.502*U177/(240.97+U177))/(AZ177+BA177)+AU177)/2)/(1000*0.61365*exp(17.502*U177/(240.97+U177))/(AZ177+BA177)-AU177)</f>
        <v>0</v>
      </c>
      <c r="R177">
        <f>1/((AO177+1)/(O177/1.6)+1/(P177/1.37)) + AO177/((AO177+1)/(O177/1.6) + AO177/(P177/1.37))</f>
        <v>0</v>
      </c>
      <c r="S177">
        <f>(AJ177*AM177)</f>
        <v>0</v>
      </c>
      <c r="T177">
        <f>(BB177+(S177+2*0.95*5.67E-8*(((BB177+$B$7)+273)^4-(BB177+273)^4)-44100*H177)/(1.84*29.3*P177+8*0.95*5.67E-8*(BB177+273)^3))</f>
        <v>0</v>
      </c>
      <c r="U177">
        <f>($C$7*BC177+$D$7*BD177+$E$7*T177)</f>
        <v>0</v>
      </c>
      <c r="V177">
        <f>0.61365*exp(17.502*U177/(240.97+U177))</f>
        <v>0</v>
      </c>
      <c r="W177">
        <f>(X177/Y177*100)</f>
        <v>0</v>
      </c>
      <c r="X177">
        <f>AU177*(AZ177+BA177)/1000</f>
        <v>0</v>
      </c>
      <c r="Y177">
        <f>0.61365*exp(17.502*BB177/(240.97+BB177))</f>
        <v>0</v>
      </c>
      <c r="Z177">
        <f>(V177-AU177*(AZ177+BA177)/1000)</f>
        <v>0</v>
      </c>
      <c r="AA177">
        <f>(-H177*44100)</f>
        <v>0</v>
      </c>
      <c r="AB177">
        <f>2*29.3*P177*0.92*(BB177-U177)</f>
        <v>0</v>
      </c>
      <c r="AC177">
        <f>2*0.95*5.67E-8*(((BB177+$B$7)+273)^4-(U177+273)^4)</f>
        <v>0</v>
      </c>
      <c r="AD177">
        <f>S177+AC177+AA177+AB177</f>
        <v>0</v>
      </c>
      <c r="AE177">
        <v>0</v>
      </c>
      <c r="AF177">
        <v>0</v>
      </c>
      <c r="AG177">
        <f>IF(AE177*$H$13&gt;=AI177,1.0,(AI177/(AI177-AE177*$H$13)))</f>
        <v>0</v>
      </c>
      <c r="AH177">
        <f>(AG177-1)*100</f>
        <v>0</v>
      </c>
      <c r="AI177">
        <f>MAX(0,($B$13+$C$13*BG177)/(1+$D$13*BG177)*AZ177/(BB177+273)*$E$13)</f>
        <v>0</v>
      </c>
      <c r="AJ177">
        <f>$B$11*BH177+$C$11*BI177+$D$11*BT177</f>
        <v>0</v>
      </c>
      <c r="AK177">
        <f>AJ177*AL177</f>
        <v>0</v>
      </c>
      <c r="AL177">
        <f>($B$11*$D$9+$C$11*$D$9+$D$11*(BU177*$E$9+BV177*$G$9))/($B$11+$C$11+$D$11)</f>
        <v>0</v>
      </c>
      <c r="AM177">
        <f>($B$11*$K$9+$C$11*$K$9+$D$11*(BU177*$L$9+BV177*$N$9))/($B$11+$C$11+$D$11)</f>
        <v>0</v>
      </c>
      <c r="AN177">
        <v>3</v>
      </c>
      <c r="AO177">
        <v>0.5</v>
      </c>
      <c r="AP177" t="s">
        <v>331</v>
      </c>
      <c r="AQ177">
        <v>2</v>
      </c>
      <c r="AR177">
        <v>1773205693.5</v>
      </c>
      <c r="AS177">
        <v>420.8372580645161</v>
      </c>
      <c r="AT177">
        <v>418.6040322580645</v>
      </c>
      <c r="AU177">
        <v>12.27761290322581</v>
      </c>
      <c r="AV177">
        <v>12.16026129032258</v>
      </c>
      <c r="AW177">
        <v>414.6059032258065</v>
      </c>
      <c r="AX177">
        <v>12.19702903225807</v>
      </c>
      <c r="AY177">
        <v>499.9951612903225</v>
      </c>
      <c r="AZ177">
        <v>100.060064516129</v>
      </c>
      <c r="BA177">
        <v>0.04599888387096775</v>
      </c>
      <c r="BB177">
        <v>30.79372258064516</v>
      </c>
      <c r="BC177">
        <v>31.05569032258065</v>
      </c>
      <c r="BD177">
        <v>999.9000000000003</v>
      </c>
      <c r="BE177">
        <v>0</v>
      </c>
      <c r="BF177">
        <v>0</v>
      </c>
      <c r="BG177">
        <v>5000.048387096775</v>
      </c>
      <c r="BH177">
        <v>0.965198</v>
      </c>
      <c r="BI177">
        <v>2049.132903225806</v>
      </c>
      <c r="BJ177">
        <v>2.233279677419355</v>
      </c>
      <c r="BK177">
        <v>426.0684516129033</v>
      </c>
      <c r="BL177">
        <v>423.7568387096775</v>
      </c>
      <c r="BM177">
        <v>0.117363064516129</v>
      </c>
      <c r="BN177">
        <v>418.6040322580645</v>
      </c>
      <c r="BO177">
        <v>12.16026129032258</v>
      </c>
      <c r="BP177">
        <v>1.2285</v>
      </c>
      <c r="BQ177">
        <v>1.216756129032258</v>
      </c>
      <c r="BR177">
        <v>9.951477096774193</v>
      </c>
      <c r="BS177">
        <v>9.808167096774193</v>
      </c>
      <c r="BT177">
        <v>0</v>
      </c>
      <c r="BU177">
        <v>0</v>
      </c>
      <c r="BV177">
        <v>0</v>
      </c>
      <c r="BW177">
        <v>34</v>
      </c>
      <c r="BX177">
        <v>47</v>
      </c>
      <c r="BY177">
        <v>1773196010</v>
      </c>
      <c r="BZ177" t="s">
        <v>332</v>
      </c>
      <c r="CA177">
        <v>1773196010</v>
      </c>
      <c r="CB177">
        <v>1773196005.5</v>
      </c>
      <c r="CC177">
        <v>2</v>
      </c>
      <c r="CD177">
        <v>-0.279</v>
      </c>
      <c r="CE177">
        <v>-0.021</v>
      </c>
      <c r="CF177">
        <v>6.231</v>
      </c>
      <c r="CG177">
        <v>0.081</v>
      </c>
      <c r="CH177">
        <v>432</v>
      </c>
      <c r="CI177">
        <v>21</v>
      </c>
      <c r="CJ177">
        <v>0.03</v>
      </c>
      <c r="CK177">
        <v>0.06</v>
      </c>
      <c r="CL177">
        <v>418.6097</v>
      </c>
      <c r="CM177">
        <v>-0.4441468298101748</v>
      </c>
      <c r="CN177">
        <v>0.03507720057245145</v>
      </c>
      <c r="CO177">
        <v>-1</v>
      </c>
      <c r="CP177">
        <v>500.0007333333333</v>
      </c>
      <c r="CQ177">
        <v>-0.09258286985514864</v>
      </c>
      <c r="CR177">
        <v>0.1010263771937293</v>
      </c>
      <c r="CS177">
        <v>-1</v>
      </c>
      <c r="CT177">
        <v>0</v>
      </c>
      <c r="CU177">
        <v>0</v>
      </c>
      <c r="CV177" t="s">
        <v>333</v>
      </c>
      <c r="CW177">
        <v>3.17109</v>
      </c>
      <c r="CX177">
        <v>2.66724</v>
      </c>
      <c r="CY177">
        <v>0.0986013</v>
      </c>
      <c r="CZ177">
        <v>0.0993633</v>
      </c>
      <c r="DA177">
        <v>0.06807539999999999</v>
      </c>
      <c r="DB177">
        <v>0.06765930000000001</v>
      </c>
      <c r="DC177">
        <v>21321</v>
      </c>
      <c r="DD177">
        <v>21904.5</v>
      </c>
      <c r="DE177">
        <v>22806.5</v>
      </c>
      <c r="DF177">
        <v>22268.4</v>
      </c>
      <c r="DG177">
        <v>32144.8</v>
      </c>
      <c r="DH177">
        <v>29246.4</v>
      </c>
      <c r="DI177">
        <v>40145.5</v>
      </c>
      <c r="DJ177">
        <v>36831.9</v>
      </c>
      <c r="DK177">
        <v>2.02388</v>
      </c>
      <c r="DL177">
        <v>1.4902</v>
      </c>
      <c r="DM177">
        <v>-0.0763834</v>
      </c>
      <c r="DN177">
        <v>0</v>
      </c>
      <c r="DO177">
        <v>32.3146</v>
      </c>
      <c r="DP177">
        <v>999.9</v>
      </c>
      <c r="DQ177">
        <v>23.2</v>
      </c>
      <c r="DR177">
        <v>46.1</v>
      </c>
      <c r="DS177">
        <v>23.6462</v>
      </c>
      <c r="DT177">
        <v>30.1864</v>
      </c>
      <c r="DU177">
        <v>14.375</v>
      </c>
      <c r="DV177">
        <v>1</v>
      </c>
      <c r="DW177">
        <v>0.91113</v>
      </c>
      <c r="DX177">
        <v>4.14868</v>
      </c>
      <c r="DY177">
        <v>20.3023</v>
      </c>
      <c r="DZ177">
        <v>5.2101</v>
      </c>
      <c r="EA177">
        <v>11.8555</v>
      </c>
      <c r="EB177">
        <v>4.9668</v>
      </c>
      <c r="EC177">
        <v>3.29294</v>
      </c>
      <c r="ED177">
        <v>879.4</v>
      </c>
      <c r="EE177">
        <v>9999</v>
      </c>
      <c r="EF177">
        <v>9999</v>
      </c>
      <c r="EG177">
        <v>78.7</v>
      </c>
      <c r="EH177">
        <v>4.97158</v>
      </c>
      <c r="EI177">
        <v>1.8721</v>
      </c>
      <c r="EJ177">
        <v>1.86947</v>
      </c>
      <c r="EK177">
        <v>1.87178</v>
      </c>
      <c r="EL177">
        <v>1.86953</v>
      </c>
      <c r="EM177">
        <v>1.86833</v>
      </c>
      <c r="EN177">
        <v>1.87017</v>
      </c>
      <c r="EO177">
        <v>1.87195</v>
      </c>
      <c r="EP177">
        <v>0</v>
      </c>
      <c r="EQ177">
        <v>0</v>
      </c>
      <c r="ER177">
        <v>0</v>
      </c>
      <c r="ES177">
        <v>0</v>
      </c>
      <c r="ET177" t="s">
        <v>334</v>
      </c>
      <c r="EU177" t="s">
        <v>335</v>
      </c>
      <c r="EV177" t="s">
        <v>336</v>
      </c>
      <c r="EW177" t="s">
        <v>336</v>
      </c>
      <c r="EX177" t="s">
        <v>336</v>
      </c>
      <c r="EY177" t="s">
        <v>336</v>
      </c>
      <c r="EZ177">
        <v>0</v>
      </c>
      <c r="FA177">
        <v>100</v>
      </c>
      <c r="FB177">
        <v>100</v>
      </c>
      <c r="FC177">
        <v>6.231</v>
      </c>
      <c r="FD177">
        <v>0.0806</v>
      </c>
      <c r="FE177">
        <v>6.23135000000002</v>
      </c>
      <c r="FF177">
        <v>0</v>
      </c>
      <c r="FG177">
        <v>0</v>
      </c>
      <c r="FH177">
        <v>0</v>
      </c>
      <c r="FI177">
        <v>0.08059047619047632</v>
      </c>
      <c r="FJ177">
        <v>0</v>
      </c>
      <c r="FK177">
        <v>0</v>
      </c>
      <c r="FL177">
        <v>0</v>
      </c>
      <c r="FM177">
        <v>-1</v>
      </c>
      <c r="FN177">
        <v>-1</v>
      </c>
      <c r="FO177">
        <v>-1</v>
      </c>
      <c r="FP177">
        <v>-1</v>
      </c>
      <c r="FQ177">
        <v>161.5</v>
      </c>
      <c r="FR177">
        <v>161.6</v>
      </c>
      <c r="FS177">
        <v>0.140381</v>
      </c>
      <c r="FT177">
        <v>4.99756</v>
      </c>
      <c r="FU177">
        <v>1.5979</v>
      </c>
      <c r="FV177">
        <v>2.10693</v>
      </c>
      <c r="FW177">
        <v>1.54785</v>
      </c>
      <c r="FX177">
        <v>2.43774</v>
      </c>
      <c r="FY177">
        <v>47.0932</v>
      </c>
      <c r="FZ177">
        <v>15.1215</v>
      </c>
      <c r="GA177">
        <v>3</v>
      </c>
      <c r="GB177">
        <v>520.796</v>
      </c>
      <c r="GC177">
        <v>287.172</v>
      </c>
      <c r="GD177">
        <v>27.5141</v>
      </c>
      <c r="GE177">
        <v>38.1513</v>
      </c>
      <c r="GF177">
        <v>30.0012</v>
      </c>
      <c r="GG177">
        <v>38.0849</v>
      </c>
      <c r="GH177">
        <v>38.0791</v>
      </c>
      <c r="GI177">
        <v>-1</v>
      </c>
      <c r="GJ177">
        <v>100</v>
      </c>
      <c r="GK177">
        <v>0</v>
      </c>
      <c r="GL177">
        <v>27.4884</v>
      </c>
      <c r="GM177">
        <v>1200</v>
      </c>
      <c r="GN177">
        <v>19.4378</v>
      </c>
      <c r="GO177">
        <v>100.994</v>
      </c>
      <c r="GP177">
        <v>96.1794</v>
      </c>
    </row>
    <row r="178" spans="1:198">
      <c r="A178">
        <v>162</v>
      </c>
      <c r="B178">
        <v>1773205761.5</v>
      </c>
      <c r="C178">
        <v>9661.5</v>
      </c>
      <c r="D178" t="s">
        <v>657</v>
      </c>
      <c r="E178" t="s">
        <v>658</v>
      </c>
      <c r="F178">
        <v>15</v>
      </c>
      <c r="G178">
        <v>1773205753.5</v>
      </c>
      <c r="H178">
        <f>(I178)/1000</f>
        <v>0</v>
      </c>
      <c r="I178">
        <f>1000*AY178*AG178*(AU178-AV178)/(100*AN178*(1000-AG178*AU178))</f>
        <v>0</v>
      </c>
      <c r="J178">
        <f>AY178*AG178*(AT178-AS178*(1000-AG178*AV178)/(1000-AG178*AU178))/(100*AN178)</f>
        <v>0</v>
      </c>
      <c r="K178">
        <f>AS178 - IF(AG178&gt;1, J178*AN178*100.0/(AI178), 0)</f>
        <v>0</v>
      </c>
      <c r="L178">
        <f>((R178-H178/2)*K178-J178)/(R178+H178/2)</f>
        <v>0</v>
      </c>
      <c r="M178">
        <f>L178*(AZ178+BA178)/1000.0</f>
        <v>0</v>
      </c>
      <c r="N178">
        <f>(AS178 - IF(AG178&gt;1, J178*AN178*100.0/(AI178), 0))*(AZ178+BA178)/1000.0</f>
        <v>0</v>
      </c>
      <c r="O178">
        <f>2.0/((1/Q178-1/P178)+SIGN(Q178)*SQRT((1/Q178-1/P178)*(1/Q178-1/P178) + 4*AO178/((AO178+1)*(AO178+1))*(2*1/Q178*1/P178-1/P178*1/P178)))</f>
        <v>0</v>
      </c>
      <c r="P178">
        <f>IF(LEFT(AP178,1)&lt;&gt;"0",IF(LEFT(AP178,1)="1",3.0,AQ178),$D$5+$E$5*(BG178*AZ178/($K$5*1000))+$F$5*(BG178*AZ178/($K$5*1000))*MAX(MIN(AN178,$J$5),$I$5)*MAX(MIN(AN178,$J$5),$I$5)+$G$5*MAX(MIN(AN178,$J$5),$I$5)*(BG178*AZ178/($K$5*1000))+$H$5*(BG178*AZ178/($K$5*1000))*(BG178*AZ178/($K$5*1000)))</f>
        <v>0</v>
      </c>
      <c r="Q178">
        <f>H178*(1000-(1000*0.61365*exp(17.502*U178/(240.97+U178))/(AZ178+BA178)+AU178)/2)/(1000*0.61365*exp(17.502*U178/(240.97+U178))/(AZ178+BA178)-AU178)</f>
        <v>0</v>
      </c>
      <c r="R178">
        <f>1/((AO178+1)/(O178/1.6)+1/(P178/1.37)) + AO178/((AO178+1)/(O178/1.6) + AO178/(P178/1.37))</f>
        <v>0</v>
      </c>
      <c r="S178">
        <f>(AJ178*AM178)</f>
        <v>0</v>
      </c>
      <c r="T178">
        <f>(BB178+(S178+2*0.95*5.67E-8*(((BB178+$B$7)+273)^4-(BB178+273)^4)-44100*H178)/(1.84*29.3*P178+8*0.95*5.67E-8*(BB178+273)^3))</f>
        <v>0</v>
      </c>
      <c r="U178">
        <f>($C$7*BC178+$D$7*BD178+$E$7*T178)</f>
        <v>0</v>
      </c>
      <c r="V178">
        <f>0.61365*exp(17.502*U178/(240.97+U178))</f>
        <v>0</v>
      </c>
      <c r="W178">
        <f>(X178/Y178*100)</f>
        <v>0</v>
      </c>
      <c r="X178">
        <f>AU178*(AZ178+BA178)/1000</f>
        <v>0</v>
      </c>
      <c r="Y178">
        <f>0.61365*exp(17.502*BB178/(240.97+BB178))</f>
        <v>0</v>
      </c>
      <c r="Z178">
        <f>(V178-AU178*(AZ178+BA178)/1000)</f>
        <v>0</v>
      </c>
      <c r="AA178">
        <f>(-H178*44100)</f>
        <v>0</v>
      </c>
      <c r="AB178">
        <f>2*29.3*P178*0.92*(BB178-U178)</f>
        <v>0</v>
      </c>
      <c r="AC178">
        <f>2*0.95*5.67E-8*(((BB178+$B$7)+273)^4-(U178+273)^4)</f>
        <v>0</v>
      </c>
      <c r="AD178">
        <f>S178+AC178+AA178+AB178</f>
        <v>0</v>
      </c>
      <c r="AE178">
        <v>0</v>
      </c>
      <c r="AF178">
        <v>0</v>
      </c>
      <c r="AG178">
        <f>IF(AE178*$H$13&gt;=AI178,1.0,(AI178/(AI178-AE178*$H$13)))</f>
        <v>0</v>
      </c>
      <c r="AH178">
        <f>(AG178-1)*100</f>
        <v>0</v>
      </c>
      <c r="AI178">
        <f>MAX(0,($B$13+$C$13*BG178)/(1+$D$13*BG178)*AZ178/(BB178+273)*$E$13)</f>
        <v>0</v>
      </c>
      <c r="AJ178">
        <f>$B$11*BH178+$C$11*BI178+$D$11*BT178</f>
        <v>0</v>
      </c>
      <c r="AK178">
        <f>AJ178*AL178</f>
        <v>0</v>
      </c>
      <c r="AL178">
        <f>($B$11*$D$9+$C$11*$D$9+$D$11*(BU178*$E$9+BV178*$G$9))/($B$11+$C$11+$D$11)</f>
        <v>0</v>
      </c>
      <c r="AM178">
        <f>($B$11*$K$9+$C$11*$K$9+$D$11*(BU178*$L$9+BV178*$N$9))/($B$11+$C$11+$D$11)</f>
        <v>0</v>
      </c>
      <c r="AN178">
        <v>3</v>
      </c>
      <c r="AO178">
        <v>0.5</v>
      </c>
      <c r="AP178" t="s">
        <v>331</v>
      </c>
      <c r="AQ178">
        <v>2</v>
      </c>
      <c r="AR178">
        <v>1773205753.5</v>
      </c>
      <c r="AS178">
        <v>420.778870967742</v>
      </c>
      <c r="AT178">
        <v>418.6007419354838</v>
      </c>
      <c r="AU178">
        <v>12.28739677419355</v>
      </c>
      <c r="AV178">
        <v>12.17409677419355</v>
      </c>
      <c r="AW178">
        <v>414.5475161290323</v>
      </c>
      <c r="AX178">
        <v>12.20682580645161</v>
      </c>
      <c r="AY178">
        <v>500.0137741935484</v>
      </c>
      <c r="AZ178">
        <v>100.0652580645161</v>
      </c>
      <c r="BA178">
        <v>0.04492838709677421</v>
      </c>
      <c r="BB178">
        <v>30.76286451612904</v>
      </c>
      <c r="BC178">
        <v>31.02782258064516</v>
      </c>
      <c r="BD178">
        <v>999.9000000000003</v>
      </c>
      <c r="BE178">
        <v>0</v>
      </c>
      <c r="BF178">
        <v>0</v>
      </c>
      <c r="BG178">
        <v>5006.709677419355</v>
      </c>
      <c r="BH178">
        <v>0.9507695483870967</v>
      </c>
      <c r="BI178">
        <v>2033.133870967742</v>
      </c>
      <c r="BJ178">
        <v>2.178143548387097</v>
      </c>
      <c r="BK178">
        <v>426.0135483870968</v>
      </c>
      <c r="BL178">
        <v>423.7596129032258</v>
      </c>
      <c r="BM178">
        <v>0.1133025483870968</v>
      </c>
      <c r="BN178">
        <v>418.6007419354838</v>
      </c>
      <c r="BO178">
        <v>12.17409677419355</v>
      </c>
      <c r="BP178">
        <v>1.229542580645161</v>
      </c>
      <c r="BQ178">
        <v>1.218204838709678</v>
      </c>
      <c r="BR178">
        <v>9.964133225806451</v>
      </c>
      <c r="BS178">
        <v>9.825898064516128</v>
      </c>
      <c r="BT178">
        <v>0</v>
      </c>
      <c r="BU178">
        <v>0</v>
      </c>
      <c r="BV178">
        <v>0</v>
      </c>
      <c r="BW178">
        <v>34</v>
      </c>
      <c r="BX178">
        <v>47.39246451612902</v>
      </c>
      <c r="BY178">
        <v>1773196010</v>
      </c>
      <c r="BZ178" t="s">
        <v>332</v>
      </c>
      <c r="CA178">
        <v>1773196010</v>
      </c>
      <c r="CB178">
        <v>1773196005.5</v>
      </c>
      <c r="CC178">
        <v>2</v>
      </c>
      <c r="CD178">
        <v>-0.279</v>
      </c>
      <c r="CE178">
        <v>-0.021</v>
      </c>
      <c r="CF178">
        <v>6.231</v>
      </c>
      <c r="CG178">
        <v>0.081</v>
      </c>
      <c r="CH178">
        <v>432</v>
      </c>
      <c r="CI178">
        <v>21</v>
      </c>
      <c r="CJ178">
        <v>0.03</v>
      </c>
      <c r="CK178">
        <v>0.06</v>
      </c>
      <c r="CL178">
        <v>418.5975483870968</v>
      </c>
      <c r="CM178">
        <v>0.5144516129020195</v>
      </c>
      <c r="CN178">
        <v>0.04129347266209696</v>
      </c>
      <c r="CO178">
        <v>-1</v>
      </c>
      <c r="CP178">
        <v>500.019870967742</v>
      </c>
      <c r="CQ178">
        <v>-0.200129032260275</v>
      </c>
      <c r="CR178">
        <v>0.05328422991024492</v>
      </c>
      <c r="CS178">
        <v>-1</v>
      </c>
      <c r="CT178">
        <v>0</v>
      </c>
      <c r="CU178">
        <v>0</v>
      </c>
      <c r="CV178" t="s">
        <v>333</v>
      </c>
      <c r="CW178">
        <v>3.17099</v>
      </c>
      <c r="CX178">
        <v>2.66611</v>
      </c>
      <c r="CY178">
        <v>0.0986177</v>
      </c>
      <c r="CZ178">
        <v>0.0993994</v>
      </c>
      <c r="DA178">
        <v>0.06812989999999999</v>
      </c>
      <c r="DB178">
        <v>0.06773319999999999</v>
      </c>
      <c r="DC178">
        <v>21323.2</v>
      </c>
      <c r="DD178">
        <v>21906.5</v>
      </c>
      <c r="DE178">
        <v>22809.1</v>
      </c>
      <c r="DF178">
        <v>22271.1</v>
      </c>
      <c r="DG178">
        <v>32146.7</v>
      </c>
      <c r="DH178">
        <v>29247.7</v>
      </c>
      <c r="DI178">
        <v>40150.1</v>
      </c>
      <c r="DJ178">
        <v>36836.3</v>
      </c>
      <c r="DK178">
        <v>2.02334</v>
      </c>
      <c r="DL178">
        <v>1.49224</v>
      </c>
      <c r="DM178">
        <v>-0.0796914</v>
      </c>
      <c r="DN178">
        <v>0</v>
      </c>
      <c r="DO178">
        <v>32.3166</v>
      </c>
      <c r="DP178">
        <v>999.9</v>
      </c>
      <c r="DQ178">
        <v>23.4</v>
      </c>
      <c r="DR178">
        <v>46</v>
      </c>
      <c r="DS178">
        <v>23.7276</v>
      </c>
      <c r="DT178">
        <v>30.3664</v>
      </c>
      <c r="DU178">
        <v>14.3069</v>
      </c>
      <c r="DV178">
        <v>1</v>
      </c>
      <c r="DW178">
        <v>0.904728</v>
      </c>
      <c r="DX178">
        <v>3.87484</v>
      </c>
      <c r="DY178">
        <v>20.3094</v>
      </c>
      <c r="DZ178">
        <v>5.20471</v>
      </c>
      <c r="EA178">
        <v>11.8554</v>
      </c>
      <c r="EB178">
        <v>4.96608</v>
      </c>
      <c r="EC178">
        <v>3.29214</v>
      </c>
      <c r="ED178">
        <v>879.4</v>
      </c>
      <c r="EE178">
        <v>9999</v>
      </c>
      <c r="EF178">
        <v>9999</v>
      </c>
      <c r="EG178">
        <v>78.7</v>
      </c>
      <c r="EH178">
        <v>4.97157</v>
      </c>
      <c r="EI178">
        <v>1.8721</v>
      </c>
      <c r="EJ178">
        <v>1.86948</v>
      </c>
      <c r="EK178">
        <v>1.8718</v>
      </c>
      <c r="EL178">
        <v>1.86953</v>
      </c>
      <c r="EM178">
        <v>1.86838</v>
      </c>
      <c r="EN178">
        <v>1.87017</v>
      </c>
      <c r="EO178">
        <v>1.87195</v>
      </c>
      <c r="EP178">
        <v>0</v>
      </c>
      <c r="EQ178">
        <v>0</v>
      </c>
      <c r="ER178">
        <v>0</v>
      </c>
      <c r="ES178">
        <v>0</v>
      </c>
      <c r="ET178" t="s">
        <v>334</v>
      </c>
      <c r="EU178" t="s">
        <v>335</v>
      </c>
      <c r="EV178" t="s">
        <v>336</v>
      </c>
      <c r="EW178" t="s">
        <v>336</v>
      </c>
      <c r="EX178" t="s">
        <v>336</v>
      </c>
      <c r="EY178" t="s">
        <v>336</v>
      </c>
      <c r="EZ178">
        <v>0</v>
      </c>
      <c r="FA178">
        <v>100</v>
      </c>
      <c r="FB178">
        <v>100</v>
      </c>
      <c r="FC178">
        <v>6.231</v>
      </c>
      <c r="FD178">
        <v>0.0806</v>
      </c>
      <c r="FE178">
        <v>6.23135000000002</v>
      </c>
      <c r="FF178">
        <v>0</v>
      </c>
      <c r="FG178">
        <v>0</v>
      </c>
      <c r="FH178">
        <v>0</v>
      </c>
      <c r="FI178">
        <v>0.08059047619047632</v>
      </c>
      <c r="FJ178">
        <v>0</v>
      </c>
      <c r="FK178">
        <v>0</v>
      </c>
      <c r="FL178">
        <v>0</v>
      </c>
      <c r="FM178">
        <v>-1</v>
      </c>
      <c r="FN178">
        <v>-1</v>
      </c>
      <c r="FO178">
        <v>-1</v>
      </c>
      <c r="FP178">
        <v>-1</v>
      </c>
      <c r="FQ178">
        <v>162.5</v>
      </c>
      <c r="FR178">
        <v>162.6</v>
      </c>
      <c r="FS178">
        <v>0.140381</v>
      </c>
      <c r="FT178">
        <v>4.99756</v>
      </c>
      <c r="FU178">
        <v>1.5979</v>
      </c>
      <c r="FV178">
        <v>2.10815</v>
      </c>
      <c r="FW178">
        <v>1.54785</v>
      </c>
      <c r="FX178">
        <v>2.39502</v>
      </c>
      <c r="FY178">
        <v>47.0337</v>
      </c>
      <c r="FZ178">
        <v>15.1127</v>
      </c>
      <c r="GA178">
        <v>3</v>
      </c>
      <c r="GB178">
        <v>520.174</v>
      </c>
      <c r="GC178">
        <v>287.975</v>
      </c>
      <c r="GD178">
        <v>27.5346</v>
      </c>
      <c r="GE178">
        <v>38.1054</v>
      </c>
      <c r="GF178">
        <v>29.9995</v>
      </c>
      <c r="GG178">
        <v>38.0455</v>
      </c>
      <c r="GH178">
        <v>38.0408</v>
      </c>
      <c r="GI178">
        <v>-1</v>
      </c>
      <c r="GJ178">
        <v>100</v>
      </c>
      <c r="GK178">
        <v>0</v>
      </c>
      <c r="GL178">
        <v>27.5458</v>
      </c>
      <c r="GM178">
        <v>1200</v>
      </c>
      <c r="GN178">
        <v>19.4378</v>
      </c>
      <c r="GO178">
        <v>101.006</v>
      </c>
      <c r="GP178">
        <v>96.191</v>
      </c>
    </row>
    <row r="179" spans="1:198">
      <c r="A179">
        <v>163</v>
      </c>
      <c r="B179">
        <v>1773205821.5</v>
      </c>
      <c r="C179">
        <v>9721.5</v>
      </c>
      <c r="D179" t="s">
        <v>659</v>
      </c>
      <c r="E179" t="s">
        <v>660</v>
      </c>
      <c r="F179">
        <v>15</v>
      </c>
      <c r="G179">
        <v>1773205813.5</v>
      </c>
      <c r="H179">
        <f>(I179)/1000</f>
        <v>0</v>
      </c>
      <c r="I179">
        <f>1000*AY179*AG179*(AU179-AV179)/(100*AN179*(1000-AG179*AU179))</f>
        <v>0</v>
      </c>
      <c r="J179">
        <f>AY179*AG179*(AT179-AS179*(1000-AG179*AV179)/(1000-AG179*AU179))/(100*AN179)</f>
        <v>0</v>
      </c>
      <c r="K179">
        <f>AS179 - IF(AG179&gt;1, J179*AN179*100.0/(AI179), 0)</f>
        <v>0</v>
      </c>
      <c r="L179">
        <f>((R179-H179/2)*K179-J179)/(R179+H179/2)</f>
        <v>0</v>
      </c>
      <c r="M179">
        <f>L179*(AZ179+BA179)/1000.0</f>
        <v>0</v>
      </c>
      <c r="N179">
        <f>(AS179 - IF(AG179&gt;1, J179*AN179*100.0/(AI179), 0))*(AZ179+BA179)/1000.0</f>
        <v>0</v>
      </c>
      <c r="O179">
        <f>2.0/((1/Q179-1/P179)+SIGN(Q179)*SQRT((1/Q179-1/P179)*(1/Q179-1/P179) + 4*AO179/((AO179+1)*(AO179+1))*(2*1/Q179*1/P179-1/P179*1/P179)))</f>
        <v>0</v>
      </c>
      <c r="P179">
        <f>IF(LEFT(AP179,1)&lt;&gt;"0",IF(LEFT(AP179,1)="1",3.0,AQ179),$D$5+$E$5*(BG179*AZ179/($K$5*1000))+$F$5*(BG179*AZ179/($K$5*1000))*MAX(MIN(AN179,$J$5),$I$5)*MAX(MIN(AN179,$J$5),$I$5)+$G$5*MAX(MIN(AN179,$J$5),$I$5)*(BG179*AZ179/($K$5*1000))+$H$5*(BG179*AZ179/($K$5*1000))*(BG179*AZ179/($K$5*1000)))</f>
        <v>0</v>
      </c>
      <c r="Q179">
        <f>H179*(1000-(1000*0.61365*exp(17.502*U179/(240.97+U179))/(AZ179+BA179)+AU179)/2)/(1000*0.61365*exp(17.502*U179/(240.97+U179))/(AZ179+BA179)-AU179)</f>
        <v>0</v>
      </c>
      <c r="R179">
        <f>1/((AO179+1)/(O179/1.6)+1/(P179/1.37)) + AO179/((AO179+1)/(O179/1.6) + AO179/(P179/1.37))</f>
        <v>0</v>
      </c>
      <c r="S179">
        <f>(AJ179*AM179)</f>
        <v>0</v>
      </c>
      <c r="T179">
        <f>(BB179+(S179+2*0.95*5.67E-8*(((BB179+$B$7)+273)^4-(BB179+273)^4)-44100*H179)/(1.84*29.3*P179+8*0.95*5.67E-8*(BB179+273)^3))</f>
        <v>0</v>
      </c>
      <c r="U179">
        <f>($C$7*BC179+$D$7*BD179+$E$7*T179)</f>
        <v>0</v>
      </c>
      <c r="V179">
        <f>0.61365*exp(17.502*U179/(240.97+U179))</f>
        <v>0</v>
      </c>
      <c r="W179">
        <f>(X179/Y179*100)</f>
        <v>0</v>
      </c>
      <c r="X179">
        <f>AU179*(AZ179+BA179)/1000</f>
        <v>0</v>
      </c>
      <c r="Y179">
        <f>0.61365*exp(17.502*BB179/(240.97+BB179))</f>
        <v>0</v>
      </c>
      <c r="Z179">
        <f>(V179-AU179*(AZ179+BA179)/1000)</f>
        <v>0</v>
      </c>
      <c r="AA179">
        <f>(-H179*44100)</f>
        <v>0</v>
      </c>
      <c r="AB179">
        <f>2*29.3*P179*0.92*(BB179-U179)</f>
        <v>0</v>
      </c>
      <c r="AC179">
        <f>2*0.95*5.67E-8*(((BB179+$B$7)+273)^4-(U179+273)^4)</f>
        <v>0</v>
      </c>
      <c r="AD179">
        <f>S179+AC179+AA179+AB179</f>
        <v>0</v>
      </c>
      <c r="AE179">
        <v>0</v>
      </c>
      <c r="AF179">
        <v>0</v>
      </c>
      <c r="AG179">
        <f>IF(AE179*$H$13&gt;=AI179,1.0,(AI179/(AI179-AE179*$H$13)))</f>
        <v>0</v>
      </c>
      <c r="AH179">
        <f>(AG179-1)*100</f>
        <v>0</v>
      </c>
      <c r="AI179">
        <f>MAX(0,($B$13+$C$13*BG179)/(1+$D$13*BG179)*AZ179/(BB179+273)*$E$13)</f>
        <v>0</v>
      </c>
      <c r="AJ179">
        <f>$B$11*BH179+$C$11*BI179+$D$11*BT179</f>
        <v>0</v>
      </c>
      <c r="AK179">
        <f>AJ179*AL179</f>
        <v>0</v>
      </c>
      <c r="AL179">
        <f>($B$11*$D$9+$C$11*$D$9+$D$11*(BU179*$E$9+BV179*$G$9))/($B$11+$C$11+$D$11)</f>
        <v>0</v>
      </c>
      <c r="AM179">
        <f>($B$11*$K$9+$C$11*$K$9+$D$11*(BU179*$L$9+BV179*$N$9))/($B$11+$C$11+$D$11)</f>
        <v>0</v>
      </c>
      <c r="AN179">
        <v>3</v>
      </c>
      <c r="AO179">
        <v>0.5</v>
      </c>
      <c r="AP179" t="s">
        <v>331</v>
      </c>
      <c r="AQ179">
        <v>2</v>
      </c>
      <c r="AR179">
        <v>1773205813.5</v>
      </c>
      <c r="AS179">
        <v>420.9559354838709</v>
      </c>
      <c r="AT179">
        <v>418.7364516129033</v>
      </c>
      <c r="AU179">
        <v>12.34793870967742</v>
      </c>
      <c r="AV179">
        <v>12.24430967741936</v>
      </c>
      <c r="AW179">
        <v>414.7246129032258</v>
      </c>
      <c r="AX179">
        <v>12.26734838709677</v>
      </c>
      <c r="AY179">
        <v>499.9844516129032</v>
      </c>
      <c r="AZ179">
        <v>100.0642903225806</v>
      </c>
      <c r="BA179">
        <v>0.04502983548387098</v>
      </c>
      <c r="BB179">
        <v>30.81521290322581</v>
      </c>
      <c r="BC179">
        <v>31.11319032258065</v>
      </c>
      <c r="BD179">
        <v>999.9000000000003</v>
      </c>
      <c r="BE179">
        <v>0</v>
      </c>
      <c r="BF179">
        <v>0</v>
      </c>
      <c r="BG179">
        <v>4994.33870967742</v>
      </c>
      <c r="BH179">
        <v>0.9615608387096771</v>
      </c>
      <c r="BI179">
        <v>2047.826129032258</v>
      </c>
      <c r="BJ179">
        <v>2.219439032258065</v>
      </c>
      <c r="BK179">
        <v>426.2188709677419</v>
      </c>
      <c r="BL179">
        <v>423.9271612903227</v>
      </c>
      <c r="BM179">
        <v>0.1036279032258065</v>
      </c>
      <c r="BN179">
        <v>418.7364516129033</v>
      </c>
      <c r="BO179">
        <v>12.24430967741936</v>
      </c>
      <c r="BP179">
        <v>1.235587419354839</v>
      </c>
      <c r="BQ179">
        <v>1.225217419354839</v>
      </c>
      <c r="BR179">
        <v>10.03738064516129</v>
      </c>
      <c r="BS179">
        <v>9.91154129032258</v>
      </c>
      <c r="BT179">
        <v>0</v>
      </c>
      <c r="BU179">
        <v>0</v>
      </c>
      <c r="BV179">
        <v>0</v>
      </c>
      <c r="BW179">
        <v>34</v>
      </c>
      <c r="BX179">
        <v>48.25804838709678</v>
      </c>
      <c r="BY179">
        <v>1773196010</v>
      </c>
      <c r="BZ179" t="s">
        <v>332</v>
      </c>
      <c r="CA179">
        <v>1773196010</v>
      </c>
      <c r="CB179">
        <v>1773196005.5</v>
      </c>
      <c r="CC179">
        <v>2</v>
      </c>
      <c r="CD179">
        <v>-0.279</v>
      </c>
      <c r="CE179">
        <v>-0.021</v>
      </c>
      <c r="CF179">
        <v>6.231</v>
      </c>
      <c r="CG179">
        <v>0.081</v>
      </c>
      <c r="CH179">
        <v>432</v>
      </c>
      <c r="CI179">
        <v>21</v>
      </c>
      <c r="CJ179">
        <v>0.03</v>
      </c>
      <c r="CK179">
        <v>0.06</v>
      </c>
      <c r="CL179">
        <v>418.7356333333335</v>
      </c>
      <c r="CM179">
        <v>-0.1834304783102595</v>
      </c>
      <c r="CN179">
        <v>0.01517999414433803</v>
      </c>
      <c r="CO179">
        <v>-1</v>
      </c>
      <c r="CP179">
        <v>499.9831999999999</v>
      </c>
      <c r="CQ179">
        <v>-0.4609922135702011</v>
      </c>
      <c r="CR179">
        <v>0.04345449727396725</v>
      </c>
      <c r="CS179">
        <v>-1</v>
      </c>
      <c r="CT179">
        <v>0</v>
      </c>
      <c r="CU179">
        <v>0</v>
      </c>
      <c r="CV179" t="s">
        <v>333</v>
      </c>
      <c r="CW179">
        <v>3.17112</v>
      </c>
      <c r="CX179">
        <v>2.66675</v>
      </c>
      <c r="CY179">
        <v>0.0986465</v>
      </c>
      <c r="CZ179">
        <v>0.0994129</v>
      </c>
      <c r="DA179">
        <v>0.0684256</v>
      </c>
      <c r="DB179">
        <v>0.0680837</v>
      </c>
      <c r="DC179">
        <v>21322.4</v>
      </c>
      <c r="DD179">
        <v>21906.2</v>
      </c>
      <c r="DE179">
        <v>22808.9</v>
      </c>
      <c r="DF179">
        <v>22271.1</v>
      </c>
      <c r="DG179">
        <v>32136.4</v>
      </c>
      <c r="DH179">
        <v>29237</v>
      </c>
      <c r="DI179">
        <v>40149.8</v>
      </c>
      <c r="DJ179">
        <v>36836.6</v>
      </c>
      <c r="DK179">
        <v>2.02368</v>
      </c>
      <c r="DL179">
        <v>1.49284</v>
      </c>
      <c r="DM179">
        <v>-0.08019800000000001</v>
      </c>
      <c r="DN179">
        <v>0</v>
      </c>
      <c r="DO179">
        <v>32.4122</v>
      </c>
      <c r="DP179">
        <v>999.9</v>
      </c>
      <c r="DQ179">
        <v>23.6</v>
      </c>
      <c r="DR179">
        <v>46</v>
      </c>
      <c r="DS179">
        <v>23.9344</v>
      </c>
      <c r="DT179">
        <v>29.8864</v>
      </c>
      <c r="DU179">
        <v>14.5633</v>
      </c>
      <c r="DV179">
        <v>1</v>
      </c>
      <c r="DW179">
        <v>0.906801</v>
      </c>
      <c r="DX179">
        <v>4.20818</v>
      </c>
      <c r="DY179">
        <v>20.2998</v>
      </c>
      <c r="DZ179">
        <v>5.2095</v>
      </c>
      <c r="EA179">
        <v>11.8555</v>
      </c>
      <c r="EB179">
        <v>4.96704</v>
      </c>
      <c r="EC179">
        <v>3.2929</v>
      </c>
      <c r="ED179">
        <v>879.4</v>
      </c>
      <c r="EE179">
        <v>9999</v>
      </c>
      <c r="EF179">
        <v>9999</v>
      </c>
      <c r="EG179">
        <v>78.7</v>
      </c>
      <c r="EH179">
        <v>4.97157</v>
      </c>
      <c r="EI179">
        <v>1.87207</v>
      </c>
      <c r="EJ179">
        <v>1.86943</v>
      </c>
      <c r="EK179">
        <v>1.8718</v>
      </c>
      <c r="EL179">
        <v>1.86953</v>
      </c>
      <c r="EM179">
        <v>1.8683</v>
      </c>
      <c r="EN179">
        <v>1.87018</v>
      </c>
      <c r="EO179">
        <v>1.87195</v>
      </c>
      <c r="EP179">
        <v>0</v>
      </c>
      <c r="EQ179">
        <v>0</v>
      </c>
      <c r="ER179">
        <v>0</v>
      </c>
      <c r="ES179">
        <v>0</v>
      </c>
      <c r="ET179" t="s">
        <v>334</v>
      </c>
      <c r="EU179" t="s">
        <v>335</v>
      </c>
      <c r="EV179" t="s">
        <v>336</v>
      </c>
      <c r="EW179" t="s">
        <v>336</v>
      </c>
      <c r="EX179" t="s">
        <v>336</v>
      </c>
      <c r="EY179" t="s">
        <v>336</v>
      </c>
      <c r="EZ179">
        <v>0</v>
      </c>
      <c r="FA179">
        <v>100</v>
      </c>
      <c r="FB179">
        <v>100</v>
      </c>
      <c r="FC179">
        <v>6.231</v>
      </c>
      <c r="FD179">
        <v>0.0806</v>
      </c>
      <c r="FE179">
        <v>6.23135000000002</v>
      </c>
      <c r="FF179">
        <v>0</v>
      </c>
      <c r="FG179">
        <v>0</v>
      </c>
      <c r="FH179">
        <v>0</v>
      </c>
      <c r="FI179">
        <v>0.08059047619047632</v>
      </c>
      <c r="FJ179">
        <v>0</v>
      </c>
      <c r="FK179">
        <v>0</v>
      </c>
      <c r="FL179">
        <v>0</v>
      </c>
      <c r="FM179">
        <v>-1</v>
      </c>
      <c r="FN179">
        <v>-1</v>
      </c>
      <c r="FO179">
        <v>-1</v>
      </c>
      <c r="FP179">
        <v>-1</v>
      </c>
      <c r="FQ179">
        <v>163.5</v>
      </c>
      <c r="FR179">
        <v>163.6</v>
      </c>
      <c r="FS179">
        <v>0.140381</v>
      </c>
      <c r="FT179">
        <v>4.99756</v>
      </c>
      <c r="FU179">
        <v>1.5979</v>
      </c>
      <c r="FV179">
        <v>2.10938</v>
      </c>
      <c r="FW179">
        <v>1.54785</v>
      </c>
      <c r="FX179">
        <v>2.40356</v>
      </c>
      <c r="FY179">
        <v>47.0041</v>
      </c>
      <c r="FZ179">
        <v>15.0952</v>
      </c>
      <c r="GA179">
        <v>3</v>
      </c>
      <c r="GB179">
        <v>520.2859999999999</v>
      </c>
      <c r="GC179">
        <v>288.218</v>
      </c>
      <c r="GD179">
        <v>27.5482</v>
      </c>
      <c r="GE179">
        <v>38.0972</v>
      </c>
      <c r="GF179">
        <v>30</v>
      </c>
      <c r="GG179">
        <v>38.0309</v>
      </c>
      <c r="GH179">
        <v>38.0311</v>
      </c>
      <c r="GI179">
        <v>-1</v>
      </c>
      <c r="GJ179">
        <v>100</v>
      </c>
      <c r="GK179">
        <v>0</v>
      </c>
      <c r="GL179">
        <v>27.5653</v>
      </c>
      <c r="GM179">
        <v>1200</v>
      </c>
      <c r="GN179">
        <v>19.4378</v>
      </c>
      <c r="GO179">
        <v>101.005</v>
      </c>
      <c r="GP179">
        <v>96.1915</v>
      </c>
    </row>
    <row r="180" spans="1:198">
      <c r="A180">
        <v>164</v>
      </c>
      <c r="B180">
        <v>1773205881.5</v>
      </c>
      <c r="C180">
        <v>9781.5</v>
      </c>
      <c r="D180" t="s">
        <v>661</v>
      </c>
      <c r="E180" t="s">
        <v>662</v>
      </c>
      <c r="F180">
        <v>15</v>
      </c>
      <c r="G180">
        <v>1773205873.5</v>
      </c>
      <c r="H180">
        <f>(I180)/1000</f>
        <v>0</v>
      </c>
      <c r="I180">
        <f>1000*AY180*AG180*(AU180-AV180)/(100*AN180*(1000-AG180*AU180))</f>
        <v>0</v>
      </c>
      <c r="J180">
        <f>AY180*AG180*(AT180-AS180*(1000-AG180*AV180)/(1000-AG180*AU180))/(100*AN180)</f>
        <v>0</v>
      </c>
      <c r="K180">
        <f>AS180 - IF(AG180&gt;1, J180*AN180*100.0/(AI180), 0)</f>
        <v>0</v>
      </c>
      <c r="L180">
        <f>((R180-H180/2)*K180-J180)/(R180+H180/2)</f>
        <v>0</v>
      </c>
      <c r="M180">
        <f>L180*(AZ180+BA180)/1000.0</f>
        <v>0</v>
      </c>
      <c r="N180">
        <f>(AS180 - IF(AG180&gt;1, J180*AN180*100.0/(AI180), 0))*(AZ180+BA180)/1000.0</f>
        <v>0</v>
      </c>
      <c r="O180">
        <f>2.0/((1/Q180-1/P180)+SIGN(Q180)*SQRT((1/Q180-1/P180)*(1/Q180-1/P180) + 4*AO180/((AO180+1)*(AO180+1))*(2*1/Q180*1/P180-1/P180*1/P180)))</f>
        <v>0</v>
      </c>
      <c r="P180">
        <f>IF(LEFT(AP180,1)&lt;&gt;"0",IF(LEFT(AP180,1)="1",3.0,AQ180),$D$5+$E$5*(BG180*AZ180/($K$5*1000))+$F$5*(BG180*AZ180/($K$5*1000))*MAX(MIN(AN180,$J$5),$I$5)*MAX(MIN(AN180,$J$5),$I$5)+$G$5*MAX(MIN(AN180,$J$5),$I$5)*(BG180*AZ180/($K$5*1000))+$H$5*(BG180*AZ180/($K$5*1000))*(BG180*AZ180/($K$5*1000)))</f>
        <v>0</v>
      </c>
      <c r="Q180">
        <f>H180*(1000-(1000*0.61365*exp(17.502*U180/(240.97+U180))/(AZ180+BA180)+AU180)/2)/(1000*0.61365*exp(17.502*U180/(240.97+U180))/(AZ180+BA180)-AU180)</f>
        <v>0</v>
      </c>
      <c r="R180">
        <f>1/((AO180+1)/(O180/1.6)+1/(P180/1.37)) + AO180/((AO180+1)/(O180/1.6) + AO180/(P180/1.37))</f>
        <v>0</v>
      </c>
      <c r="S180">
        <f>(AJ180*AM180)</f>
        <v>0</v>
      </c>
      <c r="T180">
        <f>(BB180+(S180+2*0.95*5.67E-8*(((BB180+$B$7)+273)^4-(BB180+273)^4)-44100*H180)/(1.84*29.3*P180+8*0.95*5.67E-8*(BB180+273)^3))</f>
        <v>0</v>
      </c>
      <c r="U180">
        <f>($C$7*BC180+$D$7*BD180+$E$7*T180)</f>
        <v>0</v>
      </c>
      <c r="V180">
        <f>0.61365*exp(17.502*U180/(240.97+U180))</f>
        <v>0</v>
      </c>
      <c r="W180">
        <f>(X180/Y180*100)</f>
        <v>0</v>
      </c>
      <c r="X180">
        <f>AU180*(AZ180+BA180)/1000</f>
        <v>0</v>
      </c>
      <c r="Y180">
        <f>0.61365*exp(17.502*BB180/(240.97+BB180))</f>
        <v>0</v>
      </c>
      <c r="Z180">
        <f>(V180-AU180*(AZ180+BA180)/1000)</f>
        <v>0</v>
      </c>
      <c r="AA180">
        <f>(-H180*44100)</f>
        <v>0</v>
      </c>
      <c r="AB180">
        <f>2*29.3*P180*0.92*(BB180-U180)</f>
        <v>0</v>
      </c>
      <c r="AC180">
        <f>2*0.95*5.67E-8*(((BB180+$B$7)+273)^4-(U180+273)^4)</f>
        <v>0</v>
      </c>
      <c r="AD180">
        <f>S180+AC180+AA180+AB180</f>
        <v>0</v>
      </c>
      <c r="AE180">
        <v>0</v>
      </c>
      <c r="AF180">
        <v>0</v>
      </c>
      <c r="AG180">
        <f>IF(AE180*$H$13&gt;=AI180,1.0,(AI180/(AI180-AE180*$H$13)))</f>
        <v>0</v>
      </c>
      <c r="AH180">
        <f>(AG180-1)*100</f>
        <v>0</v>
      </c>
      <c r="AI180">
        <f>MAX(0,($B$13+$C$13*BG180)/(1+$D$13*BG180)*AZ180/(BB180+273)*$E$13)</f>
        <v>0</v>
      </c>
      <c r="AJ180">
        <f>$B$11*BH180+$C$11*BI180+$D$11*BT180</f>
        <v>0</v>
      </c>
      <c r="AK180">
        <f>AJ180*AL180</f>
        <v>0</v>
      </c>
      <c r="AL180">
        <f>($B$11*$D$9+$C$11*$D$9+$D$11*(BU180*$E$9+BV180*$G$9))/($B$11+$C$11+$D$11)</f>
        <v>0</v>
      </c>
      <c r="AM180">
        <f>($B$11*$K$9+$C$11*$K$9+$D$11*(BU180*$L$9+BV180*$N$9))/($B$11+$C$11+$D$11)</f>
        <v>0</v>
      </c>
      <c r="AN180">
        <v>3</v>
      </c>
      <c r="AO180">
        <v>0.5</v>
      </c>
      <c r="AP180" t="s">
        <v>331</v>
      </c>
      <c r="AQ180">
        <v>2</v>
      </c>
      <c r="AR180">
        <v>1773205873.5</v>
      </c>
      <c r="AS180">
        <v>421.0755806451613</v>
      </c>
      <c r="AT180">
        <v>418.7956129032259</v>
      </c>
      <c r="AU180">
        <v>12.45468387096774</v>
      </c>
      <c r="AV180">
        <v>12.35305806451613</v>
      </c>
      <c r="AW180">
        <v>414.8442258064516</v>
      </c>
      <c r="AX180">
        <v>12.3740935483871</v>
      </c>
      <c r="AY180">
        <v>500.0609032258064</v>
      </c>
      <c r="AZ180">
        <v>100.0579032258064</v>
      </c>
      <c r="BA180">
        <v>0.04625366129032258</v>
      </c>
      <c r="BB180">
        <v>30.88561935483871</v>
      </c>
      <c r="BC180">
        <v>31.19421290322581</v>
      </c>
      <c r="BD180">
        <v>999.9000000000003</v>
      </c>
      <c r="BE180">
        <v>0</v>
      </c>
      <c r="BF180">
        <v>0</v>
      </c>
      <c r="BG180">
        <v>4991.548387096775</v>
      </c>
      <c r="BH180">
        <v>0.980670741935484</v>
      </c>
      <c r="BI180">
        <v>2079.49193548387</v>
      </c>
      <c r="BJ180">
        <v>2.279974193548387</v>
      </c>
      <c r="BK180">
        <v>426.3860322580644</v>
      </c>
      <c r="BL180">
        <v>424.0335483870968</v>
      </c>
      <c r="BM180">
        <v>0.1016343548387097</v>
      </c>
      <c r="BN180">
        <v>418.7956129032259</v>
      </c>
      <c r="BO180">
        <v>12.35305806451613</v>
      </c>
      <c r="BP180">
        <v>1.246190322580645</v>
      </c>
      <c r="BQ180">
        <v>1.236020322580645</v>
      </c>
      <c r="BR180">
        <v>10.16508709677419</v>
      </c>
      <c r="BS180">
        <v>10.04262580645161</v>
      </c>
      <c r="BT180">
        <v>0</v>
      </c>
      <c r="BU180">
        <v>0</v>
      </c>
      <c r="BV180">
        <v>0</v>
      </c>
      <c r="BW180">
        <v>34</v>
      </c>
      <c r="BX180">
        <v>49.16129677419354</v>
      </c>
      <c r="BY180">
        <v>1773196010</v>
      </c>
      <c r="BZ180" t="s">
        <v>332</v>
      </c>
      <c r="CA180">
        <v>1773196010</v>
      </c>
      <c r="CB180">
        <v>1773196005.5</v>
      </c>
      <c r="CC180">
        <v>2</v>
      </c>
      <c r="CD180">
        <v>-0.279</v>
      </c>
      <c r="CE180">
        <v>-0.021</v>
      </c>
      <c r="CF180">
        <v>6.231</v>
      </c>
      <c r="CG180">
        <v>0.081</v>
      </c>
      <c r="CH180">
        <v>432</v>
      </c>
      <c r="CI180">
        <v>21</v>
      </c>
      <c r="CJ180">
        <v>0.03</v>
      </c>
      <c r="CK180">
        <v>0.06</v>
      </c>
      <c r="CL180">
        <v>418.7986333333334</v>
      </c>
      <c r="CM180">
        <v>-0.3473993325916907</v>
      </c>
      <c r="CN180">
        <v>0.02880217970146305</v>
      </c>
      <c r="CO180">
        <v>-1</v>
      </c>
      <c r="CP180">
        <v>500.0711333333333</v>
      </c>
      <c r="CQ180">
        <v>-0.4599243603988822</v>
      </c>
      <c r="CR180">
        <v>0.1015581059733235</v>
      </c>
      <c r="CS180">
        <v>-1</v>
      </c>
      <c r="CT180">
        <v>0</v>
      </c>
      <c r="CU180">
        <v>0</v>
      </c>
      <c r="CV180" t="s">
        <v>333</v>
      </c>
      <c r="CW180">
        <v>3.17125</v>
      </c>
      <c r="CX180">
        <v>2.66581</v>
      </c>
      <c r="CY180">
        <v>0.0986484</v>
      </c>
      <c r="CZ180">
        <v>0.0994105</v>
      </c>
      <c r="DA180">
        <v>0.06885239999999999</v>
      </c>
      <c r="DB180">
        <v>0.06850290000000001</v>
      </c>
      <c r="DC180">
        <v>21321.1</v>
      </c>
      <c r="DD180">
        <v>21905.1</v>
      </c>
      <c r="DE180">
        <v>22807.7</v>
      </c>
      <c r="DF180">
        <v>22270.1</v>
      </c>
      <c r="DG180">
        <v>32119.9</v>
      </c>
      <c r="DH180">
        <v>29222.4</v>
      </c>
      <c r="DI180">
        <v>40147.6</v>
      </c>
      <c r="DJ180">
        <v>36834.8</v>
      </c>
      <c r="DK180">
        <v>2.02356</v>
      </c>
      <c r="DL180">
        <v>1.4917</v>
      </c>
      <c r="DM180">
        <v>-0.0862151</v>
      </c>
      <c r="DN180">
        <v>0</v>
      </c>
      <c r="DO180">
        <v>32.5794</v>
      </c>
      <c r="DP180">
        <v>999.9</v>
      </c>
      <c r="DQ180">
        <v>23.6</v>
      </c>
      <c r="DR180">
        <v>46</v>
      </c>
      <c r="DS180">
        <v>23.9307</v>
      </c>
      <c r="DT180">
        <v>30.4864</v>
      </c>
      <c r="DU180">
        <v>14.5152</v>
      </c>
      <c r="DV180">
        <v>1</v>
      </c>
      <c r="DW180">
        <v>0.915616</v>
      </c>
      <c r="DX180">
        <v>5.19027</v>
      </c>
      <c r="DY180">
        <v>20.2666</v>
      </c>
      <c r="DZ180">
        <v>5.20639</v>
      </c>
      <c r="EA180">
        <v>11.8548</v>
      </c>
      <c r="EB180">
        <v>4.9672</v>
      </c>
      <c r="EC180">
        <v>3.29296</v>
      </c>
      <c r="ED180">
        <v>879.4</v>
      </c>
      <c r="EE180">
        <v>9999</v>
      </c>
      <c r="EF180">
        <v>9999</v>
      </c>
      <c r="EG180">
        <v>78.7</v>
      </c>
      <c r="EH180">
        <v>4.97154</v>
      </c>
      <c r="EI180">
        <v>1.87208</v>
      </c>
      <c r="EJ180">
        <v>1.86939</v>
      </c>
      <c r="EK180">
        <v>1.87174</v>
      </c>
      <c r="EL180">
        <v>1.86951</v>
      </c>
      <c r="EM180">
        <v>1.8683</v>
      </c>
      <c r="EN180">
        <v>1.87013</v>
      </c>
      <c r="EO180">
        <v>1.87194</v>
      </c>
      <c r="EP180">
        <v>0</v>
      </c>
      <c r="EQ180">
        <v>0</v>
      </c>
      <c r="ER180">
        <v>0</v>
      </c>
      <c r="ES180">
        <v>0</v>
      </c>
      <c r="ET180" t="s">
        <v>334</v>
      </c>
      <c r="EU180" t="s">
        <v>335</v>
      </c>
      <c r="EV180" t="s">
        <v>336</v>
      </c>
      <c r="EW180" t="s">
        <v>336</v>
      </c>
      <c r="EX180" t="s">
        <v>336</v>
      </c>
      <c r="EY180" t="s">
        <v>336</v>
      </c>
      <c r="EZ180">
        <v>0</v>
      </c>
      <c r="FA180">
        <v>100</v>
      </c>
      <c r="FB180">
        <v>100</v>
      </c>
      <c r="FC180">
        <v>6.232</v>
      </c>
      <c r="FD180">
        <v>0.0805</v>
      </c>
      <c r="FE180">
        <v>6.23135000000002</v>
      </c>
      <c r="FF180">
        <v>0</v>
      </c>
      <c r="FG180">
        <v>0</v>
      </c>
      <c r="FH180">
        <v>0</v>
      </c>
      <c r="FI180">
        <v>0.08059047619047632</v>
      </c>
      <c r="FJ180">
        <v>0</v>
      </c>
      <c r="FK180">
        <v>0</v>
      </c>
      <c r="FL180">
        <v>0</v>
      </c>
      <c r="FM180">
        <v>-1</v>
      </c>
      <c r="FN180">
        <v>-1</v>
      </c>
      <c r="FO180">
        <v>-1</v>
      </c>
      <c r="FP180">
        <v>-1</v>
      </c>
      <c r="FQ180">
        <v>164.5</v>
      </c>
      <c r="FR180">
        <v>164.6</v>
      </c>
      <c r="FS180">
        <v>0.140381</v>
      </c>
      <c r="FT180">
        <v>4.99756</v>
      </c>
      <c r="FU180">
        <v>1.5979</v>
      </c>
      <c r="FV180">
        <v>2.10938</v>
      </c>
      <c r="FW180">
        <v>1.54785</v>
      </c>
      <c r="FX180">
        <v>2.45605</v>
      </c>
      <c r="FY180">
        <v>47.0337</v>
      </c>
      <c r="FZ180">
        <v>15.0777</v>
      </c>
      <c r="GA180">
        <v>3</v>
      </c>
      <c r="GB180">
        <v>520.313</v>
      </c>
      <c r="GC180">
        <v>287.742</v>
      </c>
      <c r="GD180">
        <v>27.0142</v>
      </c>
      <c r="GE180">
        <v>38.1227</v>
      </c>
      <c r="GF180">
        <v>30.0012</v>
      </c>
      <c r="GG180">
        <v>38.0455</v>
      </c>
      <c r="GH180">
        <v>38.0456</v>
      </c>
      <c r="GI180">
        <v>-1</v>
      </c>
      <c r="GJ180">
        <v>100</v>
      </c>
      <c r="GK180">
        <v>0</v>
      </c>
      <c r="GL180">
        <v>26.9865</v>
      </c>
      <c r="GM180">
        <v>1200</v>
      </c>
      <c r="GN180">
        <v>19.4378</v>
      </c>
      <c r="GO180">
        <v>100.999</v>
      </c>
      <c r="GP180">
        <v>96.18689999999999</v>
      </c>
    </row>
    <row r="181" spans="1:198">
      <c r="A181">
        <v>165</v>
      </c>
      <c r="B181">
        <v>1773205941.5</v>
      </c>
      <c r="C181">
        <v>9841.5</v>
      </c>
      <c r="D181" t="s">
        <v>663</v>
      </c>
      <c r="E181" t="s">
        <v>664</v>
      </c>
      <c r="F181">
        <v>15</v>
      </c>
      <c r="G181">
        <v>1773205933.5</v>
      </c>
      <c r="H181">
        <f>(I181)/1000</f>
        <v>0</v>
      </c>
      <c r="I181">
        <f>1000*AY181*AG181*(AU181-AV181)/(100*AN181*(1000-AG181*AU181))</f>
        <v>0</v>
      </c>
      <c r="J181">
        <f>AY181*AG181*(AT181-AS181*(1000-AG181*AV181)/(1000-AG181*AU181))/(100*AN181)</f>
        <v>0</v>
      </c>
      <c r="K181">
        <f>AS181 - IF(AG181&gt;1, J181*AN181*100.0/(AI181), 0)</f>
        <v>0</v>
      </c>
      <c r="L181">
        <f>((R181-H181/2)*K181-J181)/(R181+H181/2)</f>
        <v>0</v>
      </c>
      <c r="M181">
        <f>L181*(AZ181+BA181)/1000.0</f>
        <v>0</v>
      </c>
      <c r="N181">
        <f>(AS181 - IF(AG181&gt;1, J181*AN181*100.0/(AI181), 0))*(AZ181+BA181)/1000.0</f>
        <v>0</v>
      </c>
      <c r="O181">
        <f>2.0/((1/Q181-1/P181)+SIGN(Q181)*SQRT((1/Q181-1/P181)*(1/Q181-1/P181) + 4*AO181/((AO181+1)*(AO181+1))*(2*1/Q181*1/P181-1/P181*1/P181)))</f>
        <v>0</v>
      </c>
      <c r="P181">
        <f>IF(LEFT(AP181,1)&lt;&gt;"0",IF(LEFT(AP181,1)="1",3.0,AQ181),$D$5+$E$5*(BG181*AZ181/($K$5*1000))+$F$5*(BG181*AZ181/($K$5*1000))*MAX(MIN(AN181,$J$5),$I$5)*MAX(MIN(AN181,$J$5),$I$5)+$G$5*MAX(MIN(AN181,$J$5),$I$5)*(BG181*AZ181/($K$5*1000))+$H$5*(BG181*AZ181/($K$5*1000))*(BG181*AZ181/($K$5*1000)))</f>
        <v>0</v>
      </c>
      <c r="Q181">
        <f>H181*(1000-(1000*0.61365*exp(17.502*U181/(240.97+U181))/(AZ181+BA181)+AU181)/2)/(1000*0.61365*exp(17.502*U181/(240.97+U181))/(AZ181+BA181)-AU181)</f>
        <v>0</v>
      </c>
      <c r="R181">
        <f>1/((AO181+1)/(O181/1.6)+1/(P181/1.37)) + AO181/((AO181+1)/(O181/1.6) + AO181/(P181/1.37))</f>
        <v>0</v>
      </c>
      <c r="S181">
        <f>(AJ181*AM181)</f>
        <v>0</v>
      </c>
      <c r="T181">
        <f>(BB181+(S181+2*0.95*5.67E-8*(((BB181+$B$7)+273)^4-(BB181+273)^4)-44100*H181)/(1.84*29.3*P181+8*0.95*5.67E-8*(BB181+273)^3))</f>
        <v>0</v>
      </c>
      <c r="U181">
        <f>($C$7*BC181+$D$7*BD181+$E$7*T181)</f>
        <v>0</v>
      </c>
      <c r="V181">
        <f>0.61365*exp(17.502*U181/(240.97+U181))</f>
        <v>0</v>
      </c>
      <c r="W181">
        <f>(X181/Y181*100)</f>
        <v>0</v>
      </c>
      <c r="X181">
        <f>AU181*(AZ181+BA181)/1000</f>
        <v>0</v>
      </c>
      <c r="Y181">
        <f>0.61365*exp(17.502*BB181/(240.97+BB181))</f>
        <v>0</v>
      </c>
      <c r="Z181">
        <f>(V181-AU181*(AZ181+BA181)/1000)</f>
        <v>0</v>
      </c>
      <c r="AA181">
        <f>(-H181*44100)</f>
        <v>0</v>
      </c>
      <c r="AB181">
        <f>2*29.3*P181*0.92*(BB181-U181)</f>
        <v>0</v>
      </c>
      <c r="AC181">
        <f>2*0.95*5.67E-8*(((BB181+$B$7)+273)^4-(U181+273)^4)</f>
        <v>0</v>
      </c>
      <c r="AD181">
        <f>S181+AC181+AA181+AB181</f>
        <v>0</v>
      </c>
      <c r="AE181">
        <v>0</v>
      </c>
      <c r="AF181">
        <v>0</v>
      </c>
      <c r="AG181">
        <f>IF(AE181*$H$13&gt;=AI181,1.0,(AI181/(AI181-AE181*$H$13)))</f>
        <v>0</v>
      </c>
      <c r="AH181">
        <f>(AG181-1)*100</f>
        <v>0</v>
      </c>
      <c r="AI181">
        <f>MAX(0,($B$13+$C$13*BG181)/(1+$D$13*BG181)*AZ181/(BB181+273)*$E$13)</f>
        <v>0</v>
      </c>
      <c r="AJ181">
        <f>$B$11*BH181+$C$11*BI181+$D$11*BT181</f>
        <v>0</v>
      </c>
      <c r="AK181">
        <f>AJ181*AL181</f>
        <v>0</v>
      </c>
      <c r="AL181">
        <f>($B$11*$D$9+$C$11*$D$9+$D$11*(BU181*$E$9+BV181*$G$9))/($B$11+$C$11+$D$11)</f>
        <v>0</v>
      </c>
      <c r="AM181">
        <f>($B$11*$K$9+$C$11*$K$9+$D$11*(BU181*$L$9+BV181*$N$9))/($B$11+$C$11+$D$11)</f>
        <v>0</v>
      </c>
      <c r="AN181">
        <v>3</v>
      </c>
      <c r="AO181">
        <v>0.5</v>
      </c>
      <c r="AP181" t="s">
        <v>331</v>
      </c>
      <c r="AQ181">
        <v>2</v>
      </c>
      <c r="AR181">
        <v>1773205933.5</v>
      </c>
      <c r="AS181">
        <v>420.7885161290323</v>
      </c>
      <c r="AT181">
        <v>418.5491612903226</v>
      </c>
      <c r="AU181">
        <v>12.51532903225807</v>
      </c>
      <c r="AV181">
        <v>12.41553870967742</v>
      </c>
      <c r="AW181">
        <v>414.5572258064517</v>
      </c>
      <c r="AX181">
        <v>12.43473548387097</v>
      </c>
      <c r="AY181">
        <v>500.0026774193548</v>
      </c>
      <c r="AZ181">
        <v>100.0517741935484</v>
      </c>
      <c r="BA181">
        <v>0.04567800645161291</v>
      </c>
      <c r="BB181">
        <v>30.77890322580645</v>
      </c>
      <c r="BC181">
        <v>31.08669354838709</v>
      </c>
      <c r="BD181">
        <v>999.9000000000003</v>
      </c>
      <c r="BE181">
        <v>0</v>
      </c>
      <c r="BF181">
        <v>0</v>
      </c>
      <c r="BG181">
        <v>5000.967741935484</v>
      </c>
      <c r="BH181">
        <v>0.9789751935483869</v>
      </c>
      <c r="BI181">
        <v>2059.361935483871</v>
      </c>
      <c r="BJ181">
        <v>2.23944935483871</v>
      </c>
      <c r="BK181">
        <v>426.1216451612903</v>
      </c>
      <c r="BL181">
        <v>423.811</v>
      </c>
      <c r="BM181">
        <v>0.09978652258064515</v>
      </c>
      <c r="BN181">
        <v>418.5491612903226</v>
      </c>
      <c r="BO181">
        <v>12.41553870967742</v>
      </c>
      <c r="BP181">
        <v>1.252180967741936</v>
      </c>
      <c r="BQ181">
        <v>1.242196129032258</v>
      </c>
      <c r="BR181">
        <v>10.23682580645162</v>
      </c>
      <c r="BS181">
        <v>10.11710322580645</v>
      </c>
      <c r="BT181">
        <v>0</v>
      </c>
      <c r="BU181">
        <v>0</v>
      </c>
      <c r="BV181">
        <v>0</v>
      </c>
      <c r="BW181">
        <v>35</v>
      </c>
      <c r="BX181">
        <v>50</v>
      </c>
      <c r="BY181">
        <v>1773196010</v>
      </c>
      <c r="BZ181" t="s">
        <v>332</v>
      </c>
      <c r="CA181">
        <v>1773196010</v>
      </c>
      <c r="CB181">
        <v>1773196005.5</v>
      </c>
      <c r="CC181">
        <v>2</v>
      </c>
      <c r="CD181">
        <v>-0.279</v>
      </c>
      <c r="CE181">
        <v>-0.021</v>
      </c>
      <c r="CF181">
        <v>6.231</v>
      </c>
      <c r="CG181">
        <v>0.081</v>
      </c>
      <c r="CH181">
        <v>432</v>
      </c>
      <c r="CI181">
        <v>21</v>
      </c>
      <c r="CJ181">
        <v>0.03</v>
      </c>
      <c r="CK181">
        <v>0.06</v>
      </c>
      <c r="CL181">
        <v>418.5504193548387</v>
      </c>
      <c r="CM181">
        <v>-0.09169354838781457</v>
      </c>
      <c r="CN181">
        <v>0.01123006963913838</v>
      </c>
      <c r="CO181">
        <v>-1</v>
      </c>
      <c r="CP181">
        <v>500.0050967741935</v>
      </c>
      <c r="CQ181">
        <v>0.211403225806167</v>
      </c>
      <c r="CR181">
        <v>0.07524898663499598</v>
      </c>
      <c r="CS181">
        <v>-1</v>
      </c>
      <c r="CT181">
        <v>0</v>
      </c>
      <c r="CU181">
        <v>0</v>
      </c>
      <c r="CV181" t="s">
        <v>333</v>
      </c>
      <c r="CW181">
        <v>3.17124</v>
      </c>
      <c r="CX181">
        <v>2.66602</v>
      </c>
      <c r="CY181">
        <v>0.0986104</v>
      </c>
      <c r="CZ181">
        <v>0.09936159999999999</v>
      </c>
      <c r="DA181">
        <v>0.069107</v>
      </c>
      <c r="DB181">
        <v>0.06877080000000001</v>
      </c>
      <c r="DC181">
        <v>21321.4</v>
      </c>
      <c r="DD181">
        <v>21906.1</v>
      </c>
      <c r="DE181">
        <v>22807.3</v>
      </c>
      <c r="DF181">
        <v>22270</v>
      </c>
      <c r="DG181">
        <v>32110.4</v>
      </c>
      <c r="DH181">
        <v>29213.8</v>
      </c>
      <c r="DI181">
        <v>40146.8</v>
      </c>
      <c r="DJ181">
        <v>36834.5</v>
      </c>
      <c r="DK181">
        <v>2.02316</v>
      </c>
      <c r="DL181">
        <v>1.49112</v>
      </c>
      <c r="DM181">
        <v>-0.0932157</v>
      </c>
      <c r="DN181">
        <v>0</v>
      </c>
      <c r="DO181">
        <v>32.5983</v>
      </c>
      <c r="DP181">
        <v>999.9</v>
      </c>
      <c r="DQ181">
        <v>23.8</v>
      </c>
      <c r="DR181">
        <v>46</v>
      </c>
      <c r="DS181">
        <v>24.1374</v>
      </c>
      <c r="DT181">
        <v>29.5864</v>
      </c>
      <c r="DU181">
        <v>14.379</v>
      </c>
      <c r="DV181">
        <v>1</v>
      </c>
      <c r="DW181">
        <v>0.912691</v>
      </c>
      <c r="DX181">
        <v>4.38669</v>
      </c>
      <c r="DY181">
        <v>20.2955</v>
      </c>
      <c r="DZ181">
        <v>5.20986</v>
      </c>
      <c r="EA181">
        <v>11.8558</v>
      </c>
      <c r="EB181">
        <v>4.96684</v>
      </c>
      <c r="EC181">
        <v>3.29296</v>
      </c>
      <c r="ED181">
        <v>879.4</v>
      </c>
      <c r="EE181">
        <v>9999</v>
      </c>
      <c r="EF181">
        <v>9999</v>
      </c>
      <c r="EG181">
        <v>78.8</v>
      </c>
      <c r="EH181">
        <v>4.97155</v>
      </c>
      <c r="EI181">
        <v>1.8721</v>
      </c>
      <c r="EJ181">
        <v>1.86939</v>
      </c>
      <c r="EK181">
        <v>1.87179</v>
      </c>
      <c r="EL181">
        <v>1.86951</v>
      </c>
      <c r="EM181">
        <v>1.86831</v>
      </c>
      <c r="EN181">
        <v>1.87018</v>
      </c>
      <c r="EO181">
        <v>1.87195</v>
      </c>
      <c r="EP181">
        <v>0</v>
      </c>
      <c r="EQ181">
        <v>0</v>
      </c>
      <c r="ER181">
        <v>0</v>
      </c>
      <c r="ES181">
        <v>0</v>
      </c>
      <c r="ET181" t="s">
        <v>334</v>
      </c>
      <c r="EU181" t="s">
        <v>335</v>
      </c>
      <c r="EV181" t="s">
        <v>336</v>
      </c>
      <c r="EW181" t="s">
        <v>336</v>
      </c>
      <c r="EX181" t="s">
        <v>336</v>
      </c>
      <c r="EY181" t="s">
        <v>336</v>
      </c>
      <c r="EZ181">
        <v>0</v>
      </c>
      <c r="FA181">
        <v>100</v>
      </c>
      <c r="FB181">
        <v>100</v>
      </c>
      <c r="FC181">
        <v>6.231</v>
      </c>
      <c r="FD181">
        <v>0.0806</v>
      </c>
      <c r="FE181">
        <v>6.23135000000002</v>
      </c>
      <c r="FF181">
        <v>0</v>
      </c>
      <c r="FG181">
        <v>0</v>
      </c>
      <c r="FH181">
        <v>0</v>
      </c>
      <c r="FI181">
        <v>0.08059047619047632</v>
      </c>
      <c r="FJ181">
        <v>0</v>
      </c>
      <c r="FK181">
        <v>0</v>
      </c>
      <c r="FL181">
        <v>0</v>
      </c>
      <c r="FM181">
        <v>-1</v>
      </c>
      <c r="FN181">
        <v>-1</v>
      </c>
      <c r="FO181">
        <v>-1</v>
      </c>
      <c r="FP181">
        <v>-1</v>
      </c>
      <c r="FQ181">
        <v>165.5</v>
      </c>
      <c r="FR181">
        <v>165.6</v>
      </c>
      <c r="FS181">
        <v>0.140381</v>
      </c>
      <c r="FT181">
        <v>4.99756</v>
      </c>
      <c r="FU181">
        <v>1.5979</v>
      </c>
      <c r="FV181">
        <v>2.10815</v>
      </c>
      <c r="FW181">
        <v>1.54785</v>
      </c>
      <c r="FX181">
        <v>2.4707</v>
      </c>
      <c r="FY181">
        <v>47.0634</v>
      </c>
      <c r="FZ181">
        <v>15.0864</v>
      </c>
      <c r="GA181">
        <v>3</v>
      </c>
      <c r="GB181">
        <v>520.228</v>
      </c>
      <c r="GC181">
        <v>287.54</v>
      </c>
      <c r="GD181">
        <v>27.2506</v>
      </c>
      <c r="GE181">
        <v>38.1685</v>
      </c>
      <c r="GF181">
        <v>30.0011</v>
      </c>
      <c r="GG181">
        <v>38.0692</v>
      </c>
      <c r="GH181">
        <v>38.0636</v>
      </c>
      <c r="GI181">
        <v>-1</v>
      </c>
      <c r="GJ181">
        <v>100</v>
      </c>
      <c r="GK181">
        <v>0</v>
      </c>
      <c r="GL181">
        <v>27.2503</v>
      </c>
      <c r="GM181">
        <v>1200</v>
      </c>
      <c r="GN181">
        <v>19.4378</v>
      </c>
      <c r="GO181">
        <v>100.997</v>
      </c>
      <c r="GP181">
        <v>96.1863</v>
      </c>
    </row>
    <row r="182" spans="1:198">
      <c r="A182">
        <v>166</v>
      </c>
      <c r="B182">
        <v>1773206001.5</v>
      </c>
      <c r="C182">
        <v>9901.5</v>
      </c>
      <c r="D182" t="s">
        <v>665</v>
      </c>
      <c r="E182" t="s">
        <v>666</v>
      </c>
      <c r="F182">
        <v>15</v>
      </c>
      <c r="G182">
        <v>1773205993.5</v>
      </c>
      <c r="H182">
        <f>(I182)/1000</f>
        <v>0</v>
      </c>
      <c r="I182">
        <f>1000*AY182*AG182*(AU182-AV182)/(100*AN182*(1000-AG182*AU182))</f>
        <v>0</v>
      </c>
      <c r="J182">
        <f>AY182*AG182*(AT182-AS182*(1000-AG182*AV182)/(1000-AG182*AU182))/(100*AN182)</f>
        <v>0</v>
      </c>
      <c r="K182">
        <f>AS182 - IF(AG182&gt;1, J182*AN182*100.0/(AI182), 0)</f>
        <v>0</v>
      </c>
      <c r="L182">
        <f>((R182-H182/2)*K182-J182)/(R182+H182/2)</f>
        <v>0</v>
      </c>
      <c r="M182">
        <f>L182*(AZ182+BA182)/1000.0</f>
        <v>0</v>
      </c>
      <c r="N182">
        <f>(AS182 - IF(AG182&gt;1, J182*AN182*100.0/(AI182), 0))*(AZ182+BA182)/1000.0</f>
        <v>0</v>
      </c>
      <c r="O182">
        <f>2.0/((1/Q182-1/P182)+SIGN(Q182)*SQRT((1/Q182-1/P182)*(1/Q182-1/P182) + 4*AO182/((AO182+1)*(AO182+1))*(2*1/Q182*1/P182-1/P182*1/P182)))</f>
        <v>0</v>
      </c>
      <c r="P182">
        <f>IF(LEFT(AP182,1)&lt;&gt;"0",IF(LEFT(AP182,1)="1",3.0,AQ182),$D$5+$E$5*(BG182*AZ182/($K$5*1000))+$F$5*(BG182*AZ182/($K$5*1000))*MAX(MIN(AN182,$J$5),$I$5)*MAX(MIN(AN182,$J$5),$I$5)+$G$5*MAX(MIN(AN182,$J$5),$I$5)*(BG182*AZ182/($K$5*1000))+$H$5*(BG182*AZ182/($K$5*1000))*(BG182*AZ182/($K$5*1000)))</f>
        <v>0</v>
      </c>
      <c r="Q182">
        <f>H182*(1000-(1000*0.61365*exp(17.502*U182/(240.97+U182))/(AZ182+BA182)+AU182)/2)/(1000*0.61365*exp(17.502*U182/(240.97+U182))/(AZ182+BA182)-AU182)</f>
        <v>0</v>
      </c>
      <c r="R182">
        <f>1/((AO182+1)/(O182/1.6)+1/(P182/1.37)) + AO182/((AO182+1)/(O182/1.6) + AO182/(P182/1.37))</f>
        <v>0</v>
      </c>
      <c r="S182">
        <f>(AJ182*AM182)</f>
        <v>0</v>
      </c>
      <c r="T182">
        <f>(BB182+(S182+2*0.95*5.67E-8*(((BB182+$B$7)+273)^4-(BB182+273)^4)-44100*H182)/(1.84*29.3*P182+8*0.95*5.67E-8*(BB182+273)^3))</f>
        <v>0</v>
      </c>
      <c r="U182">
        <f>($C$7*BC182+$D$7*BD182+$E$7*T182)</f>
        <v>0</v>
      </c>
      <c r="V182">
        <f>0.61365*exp(17.502*U182/(240.97+U182))</f>
        <v>0</v>
      </c>
      <c r="W182">
        <f>(X182/Y182*100)</f>
        <v>0</v>
      </c>
      <c r="X182">
        <f>AU182*(AZ182+BA182)/1000</f>
        <v>0</v>
      </c>
      <c r="Y182">
        <f>0.61365*exp(17.502*BB182/(240.97+BB182))</f>
        <v>0</v>
      </c>
      <c r="Z182">
        <f>(V182-AU182*(AZ182+BA182)/1000)</f>
        <v>0</v>
      </c>
      <c r="AA182">
        <f>(-H182*44100)</f>
        <v>0</v>
      </c>
      <c r="AB182">
        <f>2*29.3*P182*0.92*(BB182-U182)</f>
        <v>0</v>
      </c>
      <c r="AC182">
        <f>2*0.95*5.67E-8*(((BB182+$B$7)+273)^4-(U182+273)^4)</f>
        <v>0</v>
      </c>
      <c r="AD182">
        <f>S182+AC182+AA182+AB182</f>
        <v>0</v>
      </c>
      <c r="AE182">
        <v>0</v>
      </c>
      <c r="AF182">
        <v>0</v>
      </c>
      <c r="AG182">
        <f>IF(AE182*$H$13&gt;=AI182,1.0,(AI182/(AI182-AE182*$H$13)))</f>
        <v>0</v>
      </c>
      <c r="AH182">
        <f>(AG182-1)*100</f>
        <v>0</v>
      </c>
      <c r="AI182">
        <f>MAX(0,($B$13+$C$13*BG182)/(1+$D$13*BG182)*AZ182/(BB182+273)*$E$13)</f>
        <v>0</v>
      </c>
      <c r="AJ182">
        <f>$B$11*BH182+$C$11*BI182+$D$11*BT182</f>
        <v>0</v>
      </c>
      <c r="AK182">
        <f>AJ182*AL182</f>
        <v>0</v>
      </c>
      <c r="AL182">
        <f>($B$11*$D$9+$C$11*$D$9+$D$11*(BU182*$E$9+BV182*$G$9))/($B$11+$C$11+$D$11)</f>
        <v>0</v>
      </c>
      <c r="AM182">
        <f>($B$11*$K$9+$C$11*$K$9+$D$11*(BU182*$L$9+BV182*$N$9))/($B$11+$C$11+$D$11)</f>
        <v>0</v>
      </c>
      <c r="AN182">
        <v>3</v>
      </c>
      <c r="AO182">
        <v>0.5</v>
      </c>
      <c r="AP182" t="s">
        <v>331</v>
      </c>
      <c r="AQ182">
        <v>2</v>
      </c>
      <c r="AR182">
        <v>1773205993.5</v>
      </c>
      <c r="AS182">
        <v>420.7813225806452</v>
      </c>
      <c r="AT182">
        <v>418.4973225806452</v>
      </c>
      <c r="AU182">
        <v>12.5764</v>
      </c>
      <c r="AV182">
        <v>12.47696129032258</v>
      </c>
      <c r="AW182">
        <v>414.5498709677419</v>
      </c>
      <c r="AX182">
        <v>12.49580967741936</v>
      </c>
      <c r="AY182">
        <v>500.0312903225807</v>
      </c>
      <c r="AZ182">
        <v>100.0577741935484</v>
      </c>
      <c r="BA182">
        <v>0.04539940000000001</v>
      </c>
      <c r="BB182">
        <v>30.82642903225807</v>
      </c>
      <c r="BC182">
        <v>31.16559032258064</v>
      </c>
      <c r="BD182">
        <v>999.9000000000003</v>
      </c>
      <c r="BE182">
        <v>0</v>
      </c>
      <c r="BF182">
        <v>0</v>
      </c>
      <c r="BG182">
        <v>5005.967741935484</v>
      </c>
      <c r="BH182">
        <v>0.9859083870967743</v>
      </c>
      <c r="BI182">
        <v>2068.974193548387</v>
      </c>
      <c r="BJ182">
        <v>2.283925483870968</v>
      </c>
      <c r="BK182">
        <v>426.1405806451612</v>
      </c>
      <c r="BL182">
        <v>423.7848709677419</v>
      </c>
      <c r="BM182">
        <v>0.09942407741935484</v>
      </c>
      <c r="BN182">
        <v>418.4973225806452</v>
      </c>
      <c r="BO182">
        <v>12.47696129032258</v>
      </c>
      <c r="BP182">
        <v>1.258366774193549</v>
      </c>
      <c r="BQ182">
        <v>1.248417741935484</v>
      </c>
      <c r="BR182">
        <v>10.31057741935484</v>
      </c>
      <c r="BS182">
        <v>10.19181290322581</v>
      </c>
      <c r="BT182">
        <v>0</v>
      </c>
      <c r="BU182">
        <v>0</v>
      </c>
      <c r="BV182">
        <v>0</v>
      </c>
      <c r="BW182">
        <v>35</v>
      </c>
      <c r="BX182">
        <v>51</v>
      </c>
      <c r="BY182">
        <v>1773196010</v>
      </c>
      <c r="BZ182" t="s">
        <v>332</v>
      </c>
      <c r="CA182">
        <v>1773196010</v>
      </c>
      <c r="CB182">
        <v>1773196005.5</v>
      </c>
      <c r="CC182">
        <v>2</v>
      </c>
      <c r="CD182">
        <v>-0.279</v>
      </c>
      <c r="CE182">
        <v>-0.021</v>
      </c>
      <c r="CF182">
        <v>6.231</v>
      </c>
      <c r="CG182">
        <v>0.081</v>
      </c>
      <c r="CH182">
        <v>432</v>
      </c>
      <c r="CI182">
        <v>21</v>
      </c>
      <c r="CJ182">
        <v>0.03</v>
      </c>
      <c r="CK182">
        <v>0.06</v>
      </c>
      <c r="CL182">
        <v>418.5029677419355</v>
      </c>
      <c r="CM182">
        <v>-0.9192580645162309</v>
      </c>
      <c r="CN182">
        <v>0.07318667421052637</v>
      </c>
      <c r="CO182">
        <v>-1</v>
      </c>
      <c r="CP182">
        <v>500.032064516129</v>
      </c>
      <c r="CQ182">
        <v>-0.403354838710182</v>
      </c>
      <c r="CR182">
        <v>0.04912717891998946</v>
      </c>
      <c r="CS182">
        <v>-1</v>
      </c>
      <c r="CT182">
        <v>0</v>
      </c>
      <c r="CU182">
        <v>0</v>
      </c>
      <c r="CV182" t="s">
        <v>333</v>
      </c>
      <c r="CW182">
        <v>3.17119</v>
      </c>
      <c r="CX182">
        <v>2.66664</v>
      </c>
      <c r="CY182">
        <v>0.098577</v>
      </c>
      <c r="CZ182">
        <v>0.0993285</v>
      </c>
      <c r="DA182">
        <v>0.0693738</v>
      </c>
      <c r="DB182">
        <v>0.06904680000000001</v>
      </c>
      <c r="DC182">
        <v>21319.7</v>
      </c>
      <c r="DD182">
        <v>21904.6</v>
      </c>
      <c r="DE182">
        <v>22804.7</v>
      </c>
      <c r="DF182">
        <v>22267.8</v>
      </c>
      <c r="DG182">
        <v>32098</v>
      </c>
      <c r="DH182">
        <v>29202</v>
      </c>
      <c r="DI182">
        <v>40142.9</v>
      </c>
      <c r="DJ182">
        <v>36830.7</v>
      </c>
      <c r="DK182">
        <v>2.02284</v>
      </c>
      <c r="DL182">
        <v>1.49152</v>
      </c>
      <c r="DM182">
        <v>-0.0950664</v>
      </c>
      <c r="DN182">
        <v>0</v>
      </c>
      <c r="DO182">
        <v>32.6964</v>
      </c>
      <c r="DP182">
        <v>999.9</v>
      </c>
      <c r="DQ182">
        <v>23.9</v>
      </c>
      <c r="DR182">
        <v>45.9</v>
      </c>
      <c r="DS182">
        <v>24.1143</v>
      </c>
      <c r="DT182">
        <v>30.1264</v>
      </c>
      <c r="DU182">
        <v>14.1266</v>
      </c>
      <c r="DV182">
        <v>1</v>
      </c>
      <c r="DW182">
        <v>0.919598</v>
      </c>
      <c r="DX182">
        <v>4.72055</v>
      </c>
      <c r="DY182">
        <v>20.2839</v>
      </c>
      <c r="DZ182">
        <v>5.20962</v>
      </c>
      <c r="EA182">
        <v>11.8561</v>
      </c>
      <c r="EB182">
        <v>4.96712</v>
      </c>
      <c r="EC182">
        <v>3.293</v>
      </c>
      <c r="ED182">
        <v>879.4</v>
      </c>
      <c r="EE182">
        <v>9999</v>
      </c>
      <c r="EF182">
        <v>9999</v>
      </c>
      <c r="EG182">
        <v>78.8</v>
      </c>
      <c r="EH182">
        <v>4.97154</v>
      </c>
      <c r="EI182">
        <v>1.87209</v>
      </c>
      <c r="EJ182">
        <v>1.86944</v>
      </c>
      <c r="EK182">
        <v>1.8718</v>
      </c>
      <c r="EL182">
        <v>1.86951</v>
      </c>
      <c r="EM182">
        <v>1.8683</v>
      </c>
      <c r="EN182">
        <v>1.87013</v>
      </c>
      <c r="EO182">
        <v>1.87195</v>
      </c>
      <c r="EP182">
        <v>0</v>
      </c>
      <c r="EQ182">
        <v>0</v>
      </c>
      <c r="ER182">
        <v>0</v>
      </c>
      <c r="ES182">
        <v>0</v>
      </c>
      <c r="ET182" t="s">
        <v>334</v>
      </c>
      <c r="EU182" t="s">
        <v>335</v>
      </c>
      <c r="EV182" t="s">
        <v>336</v>
      </c>
      <c r="EW182" t="s">
        <v>336</v>
      </c>
      <c r="EX182" t="s">
        <v>336</v>
      </c>
      <c r="EY182" t="s">
        <v>336</v>
      </c>
      <c r="EZ182">
        <v>0</v>
      </c>
      <c r="FA182">
        <v>100</v>
      </c>
      <c r="FB182">
        <v>100</v>
      </c>
      <c r="FC182">
        <v>6.232</v>
      </c>
      <c r="FD182">
        <v>0.0806</v>
      </c>
      <c r="FE182">
        <v>6.23135000000002</v>
      </c>
      <c r="FF182">
        <v>0</v>
      </c>
      <c r="FG182">
        <v>0</v>
      </c>
      <c r="FH182">
        <v>0</v>
      </c>
      <c r="FI182">
        <v>0.08059047619047632</v>
      </c>
      <c r="FJ182">
        <v>0</v>
      </c>
      <c r="FK182">
        <v>0</v>
      </c>
      <c r="FL182">
        <v>0</v>
      </c>
      <c r="FM182">
        <v>-1</v>
      </c>
      <c r="FN182">
        <v>-1</v>
      </c>
      <c r="FO182">
        <v>-1</v>
      </c>
      <c r="FP182">
        <v>-1</v>
      </c>
      <c r="FQ182">
        <v>166.5</v>
      </c>
      <c r="FR182">
        <v>166.6</v>
      </c>
      <c r="FS182">
        <v>0.140381</v>
      </c>
      <c r="FT182">
        <v>4.99756</v>
      </c>
      <c r="FU182">
        <v>1.5979</v>
      </c>
      <c r="FV182">
        <v>2.10815</v>
      </c>
      <c r="FW182">
        <v>1.54785</v>
      </c>
      <c r="FX182">
        <v>2.49634</v>
      </c>
      <c r="FY182">
        <v>47.1229</v>
      </c>
      <c r="FZ182">
        <v>15.0689</v>
      </c>
      <c r="GA182">
        <v>3</v>
      </c>
      <c r="GB182">
        <v>520.284</v>
      </c>
      <c r="GC182">
        <v>287.861</v>
      </c>
      <c r="GD182">
        <v>27.1618</v>
      </c>
      <c r="GE182">
        <v>38.2204</v>
      </c>
      <c r="GF182">
        <v>30.0007</v>
      </c>
      <c r="GG182">
        <v>38.1056</v>
      </c>
      <c r="GH182">
        <v>38.0994</v>
      </c>
      <c r="GI182">
        <v>-1</v>
      </c>
      <c r="GJ182">
        <v>100</v>
      </c>
      <c r="GK182">
        <v>0</v>
      </c>
      <c r="GL182">
        <v>27.156</v>
      </c>
      <c r="GM182">
        <v>1200</v>
      </c>
      <c r="GN182">
        <v>19.4378</v>
      </c>
      <c r="GO182">
        <v>100.987</v>
      </c>
      <c r="GP182">
        <v>96.17659999999999</v>
      </c>
    </row>
    <row r="183" spans="1:198">
      <c r="A183">
        <v>167</v>
      </c>
      <c r="B183">
        <v>1773206061.5</v>
      </c>
      <c r="C183">
        <v>9961.5</v>
      </c>
      <c r="D183" t="s">
        <v>667</v>
      </c>
      <c r="E183" t="s">
        <v>668</v>
      </c>
      <c r="F183">
        <v>15</v>
      </c>
      <c r="G183">
        <v>1773206053.5</v>
      </c>
      <c r="H183">
        <f>(I183)/1000</f>
        <v>0</v>
      </c>
      <c r="I183">
        <f>1000*AY183*AG183*(AU183-AV183)/(100*AN183*(1000-AG183*AU183))</f>
        <v>0</v>
      </c>
      <c r="J183">
        <f>AY183*AG183*(AT183-AS183*(1000-AG183*AV183)/(1000-AG183*AU183))/(100*AN183)</f>
        <v>0</v>
      </c>
      <c r="K183">
        <f>AS183 - IF(AG183&gt;1, J183*AN183*100.0/(AI183), 0)</f>
        <v>0</v>
      </c>
      <c r="L183">
        <f>((R183-H183/2)*K183-J183)/(R183+H183/2)</f>
        <v>0</v>
      </c>
      <c r="M183">
        <f>L183*(AZ183+BA183)/1000.0</f>
        <v>0</v>
      </c>
      <c r="N183">
        <f>(AS183 - IF(AG183&gt;1, J183*AN183*100.0/(AI183), 0))*(AZ183+BA183)/1000.0</f>
        <v>0</v>
      </c>
      <c r="O183">
        <f>2.0/((1/Q183-1/P183)+SIGN(Q183)*SQRT((1/Q183-1/P183)*(1/Q183-1/P183) + 4*AO183/((AO183+1)*(AO183+1))*(2*1/Q183*1/P183-1/P183*1/P183)))</f>
        <v>0</v>
      </c>
      <c r="P183">
        <f>IF(LEFT(AP183,1)&lt;&gt;"0",IF(LEFT(AP183,1)="1",3.0,AQ183),$D$5+$E$5*(BG183*AZ183/($K$5*1000))+$F$5*(BG183*AZ183/($K$5*1000))*MAX(MIN(AN183,$J$5),$I$5)*MAX(MIN(AN183,$J$5),$I$5)+$G$5*MAX(MIN(AN183,$J$5),$I$5)*(BG183*AZ183/($K$5*1000))+$H$5*(BG183*AZ183/($K$5*1000))*(BG183*AZ183/($K$5*1000)))</f>
        <v>0</v>
      </c>
      <c r="Q183">
        <f>H183*(1000-(1000*0.61365*exp(17.502*U183/(240.97+U183))/(AZ183+BA183)+AU183)/2)/(1000*0.61365*exp(17.502*U183/(240.97+U183))/(AZ183+BA183)-AU183)</f>
        <v>0</v>
      </c>
      <c r="R183">
        <f>1/((AO183+1)/(O183/1.6)+1/(P183/1.37)) + AO183/((AO183+1)/(O183/1.6) + AO183/(P183/1.37))</f>
        <v>0</v>
      </c>
      <c r="S183">
        <f>(AJ183*AM183)</f>
        <v>0</v>
      </c>
      <c r="T183">
        <f>(BB183+(S183+2*0.95*5.67E-8*(((BB183+$B$7)+273)^4-(BB183+273)^4)-44100*H183)/(1.84*29.3*P183+8*0.95*5.67E-8*(BB183+273)^3))</f>
        <v>0</v>
      </c>
      <c r="U183">
        <f>($C$7*BC183+$D$7*BD183+$E$7*T183)</f>
        <v>0</v>
      </c>
      <c r="V183">
        <f>0.61365*exp(17.502*U183/(240.97+U183))</f>
        <v>0</v>
      </c>
      <c r="W183">
        <f>(X183/Y183*100)</f>
        <v>0</v>
      </c>
      <c r="X183">
        <f>AU183*(AZ183+BA183)/1000</f>
        <v>0</v>
      </c>
      <c r="Y183">
        <f>0.61365*exp(17.502*BB183/(240.97+BB183))</f>
        <v>0</v>
      </c>
      <c r="Z183">
        <f>(V183-AU183*(AZ183+BA183)/1000)</f>
        <v>0</v>
      </c>
      <c r="AA183">
        <f>(-H183*44100)</f>
        <v>0</v>
      </c>
      <c r="AB183">
        <f>2*29.3*P183*0.92*(BB183-U183)</f>
        <v>0</v>
      </c>
      <c r="AC183">
        <f>2*0.95*5.67E-8*(((BB183+$B$7)+273)^4-(U183+273)^4)</f>
        <v>0</v>
      </c>
      <c r="AD183">
        <f>S183+AC183+AA183+AB183</f>
        <v>0</v>
      </c>
      <c r="AE183">
        <v>0</v>
      </c>
      <c r="AF183">
        <v>0</v>
      </c>
      <c r="AG183">
        <f>IF(AE183*$H$13&gt;=AI183,1.0,(AI183/(AI183-AE183*$H$13)))</f>
        <v>0</v>
      </c>
      <c r="AH183">
        <f>(AG183-1)*100</f>
        <v>0</v>
      </c>
      <c r="AI183">
        <f>MAX(0,($B$13+$C$13*BG183)/(1+$D$13*BG183)*AZ183/(BB183+273)*$E$13)</f>
        <v>0</v>
      </c>
      <c r="AJ183">
        <f>$B$11*BH183+$C$11*BI183+$D$11*BT183</f>
        <v>0</v>
      </c>
      <c r="AK183">
        <f>AJ183*AL183</f>
        <v>0</v>
      </c>
      <c r="AL183">
        <f>($B$11*$D$9+$C$11*$D$9+$D$11*(BU183*$E$9+BV183*$G$9))/($B$11+$C$11+$D$11)</f>
        <v>0</v>
      </c>
      <c r="AM183">
        <f>($B$11*$K$9+$C$11*$K$9+$D$11*(BU183*$L$9+BV183*$N$9))/($B$11+$C$11+$D$11)</f>
        <v>0</v>
      </c>
      <c r="AN183">
        <v>3</v>
      </c>
      <c r="AO183">
        <v>0.5</v>
      </c>
      <c r="AP183" t="s">
        <v>331</v>
      </c>
      <c r="AQ183">
        <v>2</v>
      </c>
      <c r="AR183">
        <v>1773206053.5</v>
      </c>
      <c r="AS183">
        <v>420.2075161290322</v>
      </c>
      <c r="AT183">
        <v>417.9204516129032</v>
      </c>
      <c r="AU183">
        <v>12.64049677419355</v>
      </c>
      <c r="AV183">
        <v>12.54102580645161</v>
      </c>
      <c r="AW183">
        <v>413.9762258064516</v>
      </c>
      <c r="AX183">
        <v>12.55990967741936</v>
      </c>
      <c r="AY183">
        <v>499.9815806451613</v>
      </c>
      <c r="AZ183">
        <v>100.0583225806452</v>
      </c>
      <c r="BA183">
        <v>0.04541346774193548</v>
      </c>
      <c r="BB183">
        <v>30.72560322580645</v>
      </c>
      <c r="BC183">
        <v>31.04683548387097</v>
      </c>
      <c r="BD183">
        <v>999.9000000000003</v>
      </c>
      <c r="BE183">
        <v>0</v>
      </c>
      <c r="BF183">
        <v>0</v>
      </c>
      <c r="BG183">
        <v>4999.419354838709</v>
      </c>
      <c r="BH183">
        <v>0.9510791935483871</v>
      </c>
      <c r="BI183">
        <v>2022.821612903226</v>
      </c>
      <c r="BJ183">
        <v>2.287189032258065</v>
      </c>
      <c r="BK183">
        <v>425.587258064516</v>
      </c>
      <c r="BL183">
        <v>423.2280967741935</v>
      </c>
      <c r="BM183">
        <v>0.09946335483870969</v>
      </c>
      <c r="BN183">
        <v>417.9204516129032</v>
      </c>
      <c r="BO183">
        <v>12.54102580645161</v>
      </c>
      <c r="BP183">
        <v>1.264784838709678</v>
      </c>
      <c r="BQ183">
        <v>1.254833225806452</v>
      </c>
      <c r="BR183">
        <v>10.38678387096774</v>
      </c>
      <c r="BS183">
        <v>10.2684935483871</v>
      </c>
      <c r="BT183">
        <v>0</v>
      </c>
      <c r="BU183">
        <v>0</v>
      </c>
      <c r="BV183">
        <v>0</v>
      </c>
      <c r="BW183">
        <v>34.77635161290323</v>
      </c>
      <c r="BX183">
        <v>50.98925806451613</v>
      </c>
      <c r="BY183">
        <v>1773196010</v>
      </c>
      <c r="BZ183" t="s">
        <v>332</v>
      </c>
      <c r="CA183">
        <v>1773196010</v>
      </c>
      <c r="CB183">
        <v>1773196005.5</v>
      </c>
      <c r="CC183">
        <v>2</v>
      </c>
      <c r="CD183">
        <v>-0.279</v>
      </c>
      <c r="CE183">
        <v>-0.021</v>
      </c>
      <c r="CF183">
        <v>6.231</v>
      </c>
      <c r="CG183">
        <v>0.081</v>
      </c>
      <c r="CH183">
        <v>432</v>
      </c>
      <c r="CI183">
        <v>21</v>
      </c>
      <c r="CJ183">
        <v>0.03</v>
      </c>
      <c r="CK183">
        <v>0.06</v>
      </c>
      <c r="CL183">
        <v>417.9201612903225</v>
      </c>
      <c r="CM183">
        <v>0.1854193548381275</v>
      </c>
      <c r="CN183">
        <v>0.01796968194773387</v>
      </c>
      <c r="CO183">
        <v>-1</v>
      </c>
      <c r="CP183">
        <v>499.9814516129032</v>
      </c>
      <c r="CQ183">
        <v>-0.2841774193549753</v>
      </c>
      <c r="CR183">
        <v>0.03271562585092757</v>
      </c>
      <c r="CS183">
        <v>-1</v>
      </c>
      <c r="CT183">
        <v>0</v>
      </c>
      <c r="CU183">
        <v>0</v>
      </c>
      <c r="CV183" t="s">
        <v>333</v>
      </c>
      <c r="CW183">
        <v>3.17131</v>
      </c>
      <c r="CX183">
        <v>2.66699</v>
      </c>
      <c r="CY183">
        <v>0.0984748</v>
      </c>
      <c r="CZ183">
        <v>0.09923750000000001</v>
      </c>
      <c r="DA183">
        <v>0.06961059999999999</v>
      </c>
      <c r="DB183">
        <v>0.0692696</v>
      </c>
      <c r="DC183">
        <v>21320.4</v>
      </c>
      <c r="DD183">
        <v>21906</v>
      </c>
      <c r="DE183">
        <v>22803.2</v>
      </c>
      <c r="DF183">
        <v>22267.2</v>
      </c>
      <c r="DG183">
        <v>32087.8</v>
      </c>
      <c r="DH183">
        <v>29193.9</v>
      </c>
      <c r="DI183">
        <v>40140.4</v>
      </c>
      <c r="DJ183">
        <v>36829.4</v>
      </c>
      <c r="DK183">
        <v>2.02252</v>
      </c>
      <c r="DL183">
        <v>1.49112</v>
      </c>
      <c r="DM183">
        <v>-0.09720620000000001</v>
      </c>
      <c r="DN183">
        <v>0</v>
      </c>
      <c r="DO183">
        <v>32.6012</v>
      </c>
      <c r="DP183">
        <v>999.9</v>
      </c>
      <c r="DQ183">
        <v>23.9</v>
      </c>
      <c r="DR183">
        <v>46</v>
      </c>
      <c r="DS183">
        <v>24.2383</v>
      </c>
      <c r="DT183">
        <v>29.6464</v>
      </c>
      <c r="DU183">
        <v>14.0905</v>
      </c>
      <c r="DV183">
        <v>1</v>
      </c>
      <c r="DW183">
        <v>0.9180160000000001</v>
      </c>
      <c r="DX183">
        <v>3.91137</v>
      </c>
      <c r="DY183">
        <v>20.3093</v>
      </c>
      <c r="DZ183">
        <v>5.20962</v>
      </c>
      <c r="EA183">
        <v>11.8562</v>
      </c>
      <c r="EB183">
        <v>4.96716</v>
      </c>
      <c r="EC183">
        <v>3.29298</v>
      </c>
      <c r="ED183">
        <v>879.4</v>
      </c>
      <c r="EE183">
        <v>9999</v>
      </c>
      <c r="EF183">
        <v>9999</v>
      </c>
      <c r="EG183">
        <v>78.8</v>
      </c>
      <c r="EH183">
        <v>4.97157</v>
      </c>
      <c r="EI183">
        <v>1.8721</v>
      </c>
      <c r="EJ183">
        <v>1.86945</v>
      </c>
      <c r="EK183">
        <v>1.8718</v>
      </c>
      <c r="EL183">
        <v>1.86952</v>
      </c>
      <c r="EM183">
        <v>1.86839</v>
      </c>
      <c r="EN183">
        <v>1.87023</v>
      </c>
      <c r="EO183">
        <v>1.87195</v>
      </c>
      <c r="EP183">
        <v>0</v>
      </c>
      <c r="EQ183">
        <v>0</v>
      </c>
      <c r="ER183">
        <v>0</v>
      </c>
      <c r="ES183">
        <v>0</v>
      </c>
      <c r="ET183" t="s">
        <v>334</v>
      </c>
      <c r="EU183" t="s">
        <v>335</v>
      </c>
      <c r="EV183" t="s">
        <v>336</v>
      </c>
      <c r="EW183" t="s">
        <v>336</v>
      </c>
      <c r="EX183" t="s">
        <v>336</v>
      </c>
      <c r="EY183" t="s">
        <v>336</v>
      </c>
      <c r="EZ183">
        <v>0</v>
      </c>
      <c r="FA183">
        <v>100</v>
      </c>
      <c r="FB183">
        <v>100</v>
      </c>
      <c r="FC183">
        <v>6.231</v>
      </c>
      <c r="FD183">
        <v>0.0806</v>
      </c>
      <c r="FE183">
        <v>6.23135000000002</v>
      </c>
      <c r="FF183">
        <v>0</v>
      </c>
      <c r="FG183">
        <v>0</v>
      </c>
      <c r="FH183">
        <v>0</v>
      </c>
      <c r="FI183">
        <v>0.08059047619047632</v>
      </c>
      <c r="FJ183">
        <v>0</v>
      </c>
      <c r="FK183">
        <v>0</v>
      </c>
      <c r="FL183">
        <v>0</v>
      </c>
      <c r="FM183">
        <v>-1</v>
      </c>
      <c r="FN183">
        <v>-1</v>
      </c>
      <c r="FO183">
        <v>-1</v>
      </c>
      <c r="FP183">
        <v>-1</v>
      </c>
      <c r="FQ183">
        <v>167.5</v>
      </c>
      <c r="FR183">
        <v>167.6</v>
      </c>
      <c r="FS183">
        <v>0.140381</v>
      </c>
      <c r="FT183">
        <v>4.99634</v>
      </c>
      <c r="FU183">
        <v>1.5979</v>
      </c>
      <c r="FV183">
        <v>2.10815</v>
      </c>
      <c r="FW183">
        <v>1.54785</v>
      </c>
      <c r="FX183">
        <v>2.47559</v>
      </c>
      <c r="FY183">
        <v>47.1825</v>
      </c>
      <c r="FZ183">
        <v>15.0689</v>
      </c>
      <c r="GA183">
        <v>3</v>
      </c>
      <c r="GB183">
        <v>520.351</v>
      </c>
      <c r="GC183">
        <v>287.79</v>
      </c>
      <c r="GD183">
        <v>27.3776</v>
      </c>
      <c r="GE183">
        <v>38.2653</v>
      </c>
      <c r="GF183">
        <v>29.9996</v>
      </c>
      <c r="GG183">
        <v>38.1437</v>
      </c>
      <c r="GH183">
        <v>38.1299</v>
      </c>
      <c r="GI183">
        <v>-1</v>
      </c>
      <c r="GJ183">
        <v>100</v>
      </c>
      <c r="GK183">
        <v>0</v>
      </c>
      <c r="GL183">
        <v>27.4033</v>
      </c>
      <c r="GM183">
        <v>1200</v>
      </c>
      <c r="GN183">
        <v>19.4378</v>
      </c>
      <c r="GO183">
        <v>100.98</v>
      </c>
      <c r="GP183">
        <v>96.1733</v>
      </c>
    </row>
    <row r="184" spans="1:198">
      <c r="A184">
        <v>168</v>
      </c>
      <c r="B184">
        <v>1773206121.5</v>
      </c>
      <c r="C184">
        <v>10021.5</v>
      </c>
      <c r="D184" t="s">
        <v>669</v>
      </c>
      <c r="E184" t="s">
        <v>670</v>
      </c>
      <c r="F184">
        <v>15</v>
      </c>
      <c r="G184">
        <v>1773206113.5</v>
      </c>
      <c r="H184">
        <f>(I184)/1000</f>
        <v>0</v>
      </c>
      <c r="I184">
        <f>1000*AY184*AG184*(AU184-AV184)/(100*AN184*(1000-AG184*AU184))</f>
        <v>0</v>
      </c>
      <c r="J184">
        <f>AY184*AG184*(AT184-AS184*(1000-AG184*AV184)/(1000-AG184*AU184))/(100*AN184)</f>
        <v>0</v>
      </c>
      <c r="K184">
        <f>AS184 - IF(AG184&gt;1, J184*AN184*100.0/(AI184), 0)</f>
        <v>0</v>
      </c>
      <c r="L184">
        <f>((R184-H184/2)*K184-J184)/(R184+H184/2)</f>
        <v>0</v>
      </c>
      <c r="M184">
        <f>L184*(AZ184+BA184)/1000.0</f>
        <v>0</v>
      </c>
      <c r="N184">
        <f>(AS184 - IF(AG184&gt;1, J184*AN184*100.0/(AI184), 0))*(AZ184+BA184)/1000.0</f>
        <v>0</v>
      </c>
      <c r="O184">
        <f>2.0/((1/Q184-1/P184)+SIGN(Q184)*SQRT((1/Q184-1/P184)*(1/Q184-1/P184) + 4*AO184/((AO184+1)*(AO184+1))*(2*1/Q184*1/P184-1/P184*1/P184)))</f>
        <v>0</v>
      </c>
      <c r="P184">
        <f>IF(LEFT(AP184,1)&lt;&gt;"0",IF(LEFT(AP184,1)="1",3.0,AQ184),$D$5+$E$5*(BG184*AZ184/($K$5*1000))+$F$5*(BG184*AZ184/($K$5*1000))*MAX(MIN(AN184,$J$5),$I$5)*MAX(MIN(AN184,$J$5),$I$5)+$G$5*MAX(MIN(AN184,$J$5),$I$5)*(BG184*AZ184/($K$5*1000))+$H$5*(BG184*AZ184/($K$5*1000))*(BG184*AZ184/($K$5*1000)))</f>
        <v>0</v>
      </c>
      <c r="Q184">
        <f>H184*(1000-(1000*0.61365*exp(17.502*U184/(240.97+U184))/(AZ184+BA184)+AU184)/2)/(1000*0.61365*exp(17.502*U184/(240.97+U184))/(AZ184+BA184)-AU184)</f>
        <v>0</v>
      </c>
      <c r="R184">
        <f>1/((AO184+1)/(O184/1.6)+1/(P184/1.37)) + AO184/((AO184+1)/(O184/1.6) + AO184/(P184/1.37))</f>
        <v>0</v>
      </c>
      <c r="S184">
        <f>(AJ184*AM184)</f>
        <v>0</v>
      </c>
      <c r="T184">
        <f>(BB184+(S184+2*0.95*5.67E-8*(((BB184+$B$7)+273)^4-(BB184+273)^4)-44100*H184)/(1.84*29.3*P184+8*0.95*5.67E-8*(BB184+273)^3))</f>
        <v>0</v>
      </c>
      <c r="U184">
        <f>($C$7*BC184+$D$7*BD184+$E$7*T184)</f>
        <v>0</v>
      </c>
      <c r="V184">
        <f>0.61365*exp(17.502*U184/(240.97+U184))</f>
        <v>0</v>
      </c>
      <c r="W184">
        <f>(X184/Y184*100)</f>
        <v>0</v>
      </c>
      <c r="X184">
        <f>AU184*(AZ184+BA184)/1000</f>
        <v>0</v>
      </c>
      <c r="Y184">
        <f>0.61365*exp(17.502*BB184/(240.97+BB184))</f>
        <v>0</v>
      </c>
      <c r="Z184">
        <f>(V184-AU184*(AZ184+BA184)/1000)</f>
        <v>0</v>
      </c>
      <c r="AA184">
        <f>(-H184*44100)</f>
        <v>0</v>
      </c>
      <c r="AB184">
        <f>2*29.3*P184*0.92*(BB184-U184)</f>
        <v>0</v>
      </c>
      <c r="AC184">
        <f>2*0.95*5.67E-8*(((BB184+$B$7)+273)^4-(U184+273)^4)</f>
        <v>0</v>
      </c>
      <c r="AD184">
        <f>S184+AC184+AA184+AB184</f>
        <v>0</v>
      </c>
      <c r="AE184">
        <v>0</v>
      </c>
      <c r="AF184">
        <v>0</v>
      </c>
      <c r="AG184">
        <f>IF(AE184*$H$13&gt;=AI184,1.0,(AI184/(AI184-AE184*$H$13)))</f>
        <v>0</v>
      </c>
      <c r="AH184">
        <f>(AG184-1)*100</f>
        <v>0</v>
      </c>
      <c r="AI184">
        <f>MAX(0,($B$13+$C$13*BG184)/(1+$D$13*BG184)*AZ184/(BB184+273)*$E$13)</f>
        <v>0</v>
      </c>
      <c r="AJ184">
        <f>$B$11*BH184+$C$11*BI184+$D$11*BT184</f>
        <v>0</v>
      </c>
      <c r="AK184">
        <f>AJ184*AL184</f>
        <v>0</v>
      </c>
      <c r="AL184">
        <f>($B$11*$D$9+$C$11*$D$9+$D$11*(BU184*$E$9+BV184*$G$9))/($B$11+$C$11+$D$11)</f>
        <v>0</v>
      </c>
      <c r="AM184">
        <f>($B$11*$K$9+$C$11*$K$9+$D$11*(BU184*$L$9+BV184*$N$9))/($B$11+$C$11+$D$11)</f>
        <v>0</v>
      </c>
      <c r="AN184">
        <v>3</v>
      </c>
      <c r="AO184">
        <v>0.5</v>
      </c>
      <c r="AP184" t="s">
        <v>331</v>
      </c>
      <c r="AQ184">
        <v>2</v>
      </c>
      <c r="AR184">
        <v>1773206113.5</v>
      </c>
      <c r="AS184">
        <v>420.0932903225806</v>
      </c>
      <c r="AT184">
        <v>417.8350967741935</v>
      </c>
      <c r="AU184">
        <v>12.71903870967742</v>
      </c>
      <c r="AV184">
        <v>12.62540322580645</v>
      </c>
      <c r="AW184">
        <v>413.8618709677419</v>
      </c>
      <c r="AX184">
        <v>12.63844838709677</v>
      </c>
      <c r="AY184">
        <v>500.0176774193548</v>
      </c>
      <c r="AZ184">
        <v>100.0551612903226</v>
      </c>
      <c r="BA184">
        <v>0.04553670967741936</v>
      </c>
      <c r="BB184">
        <v>30.76964193548387</v>
      </c>
      <c r="BC184">
        <v>31.10147419354839</v>
      </c>
      <c r="BD184">
        <v>999.9000000000003</v>
      </c>
      <c r="BE184">
        <v>0</v>
      </c>
      <c r="BF184">
        <v>0</v>
      </c>
      <c r="BG184">
        <v>5009.290322580645</v>
      </c>
      <c r="BH184">
        <v>0.9459932258064517</v>
      </c>
      <c r="BI184">
        <v>2023.207419354838</v>
      </c>
      <c r="BJ184">
        <v>2.258070645161291</v>
      </c>
      <c r="BK184">
        <v>425.5051612903226</v>
      </c>
      <c r="BL184">
        <v>423.177935483871</v>
      </c>
      <c r="BM184">
        <v>0.09362192580645161</v>
      </c>
      <c r="BN184">
        <v>417.8350967741935</v>
      </c>
      <c r="BO184">
        <v>12.62540322580645</v>
      </c>
      <c r="BP184">
        <v>1.272605161290323</v>
      </c>
      <c r="BQ184">
        <v>1.263237419354839</v>
      </c>
      <c r="BR184">
        <v>10.47914838709677</v>
      </c>
      <c r="BS184">
        <v>10.36843225806452</v>
      </c>
      <c r="BT184">
        <v>0</v>
      </c>
      <c r="BU184">
        <v>0</v>
      </c>
      <c r="BV184">
        <v>0</v>
      </c>
      <c r="BW184">
        <v>35</v>
      </c>
      <c r="BX184">
        <v>51.13440322580645</v>
      </c>
      <c r="BY184">
        <v>1773196010</v>
      </c>
      <c r="BZ184" t="s">
        <v>332</v>
      </c>
      <c r="CA184">
        <v>1773196010</v>
      </c>
      <c r="CB184">
        <v>1773196005.5</v>
      </c>
      <c r="CC184">
        <v>2</v>
      </c>
      <c r="CD184">
        <v>-0.279</v>
      </c>
      <c r="CE184">
        <v>-0.021</v>
      </c>
      <c r="CF184">
        <v>6.231</v>
      </c>
      <c r="CG184">
        <v>0.081</v>
      </c>
      <c r="CH184">
        <v>432</v>
      </c>
      <c r="CI184">
        <v>21</v>
      </c>
      <c r="CJ184">
        <v>0.03</v>
      </c>
      <c r="CK184">
        <v>0.06</v>
      </c>
      <c r="CL184">
        <v>417.8363333333334</v>
      </c>
      <c r="CM184">
        <v>0.04260734149010816</v>
      </c>
      <c r="CN184">
        <v>0.01112754340464253</v>
      </c>
      <c r="CO184">
        <v>-1</v>
      </c>
      <c r="CP184">
        <v>500.0179666666666</v>
      </c>
      <c r="CQ184">
        <v>0.06180200222485313</v>
      </c>
      <c r="CR184">
        <v>0.0213549109626411</v>
      </c>
      <c r="CS184">
        <v>-1</v>
      </c>
      <c r="CT184">
        <v>0</v>
      </c>
      <c r="CU184">
        <v>0</v>
      </c>
      <c r="CV184" t="s">
        <v>333</v>
      </c>
      <c r="CW184">
        <v>3.17132</v>
      </c>
      <c r="CX184">
        <v>2.66654</v>
      </c>
      <c r="CY184">
        <v>0.0984503</v>
      </c>
      <c r="CZ184">
        <v>0.09921489999999999</v>
      </c>
      <c r="DA184">
        <v>0.0699804</v>
      </c>
      <c r="DB184">
        <v>0.0696688</v>
      </c>
      <c r="DC184">
        <v>21319.9</v>
      </c>
      <c r="DD184">
        <v>21905.3</v>
      </c>
      <c r="DE184">
        <v>22802.1</v>
      </c>
      <c r="DF184">
        <v>22266</v>
      </c>
      <c r="DG184">
        <v>32073.9</v>
      </c>
      <c r="DH184">
        <v>29179.8</v>
      </c>
      <c r="DI184">
        <v>40139</v>
      </c>
      <c r="DJ184">
        <v>36827.3</v>
      </c>
      <c r="DK184">
        <v>2.0223</v>
      </c>
      <c r="DL184">
        <v>1.49096</v>
      </c>
      <c r="DM184">
        <v>-0.08822679999999999</v>
      </c>
      <c r="DN184">
        <v>0</v>
      </c>
      <c r="DO184">
        <v>32.5361</v>
      </c>
      <c r="DP184">
        <v>999.9</v>
      </c>
      <c r="DQ184">
        <v>23.9</v>
      </c>
      <c r="DR184">
        <v>46</v>
      </c>
      <c r="DS184">
        <v>24.2366</v>
      </c>
      <c r="DT184">
        <v>29.9464</v>
      </c>
      <c r="DU184">
        <v>14.4511</v>
      </c>
      <c r="DV184">
        <v>1</v>
      </c>
      <c r="DW184">
        <v>0.918457</v>
      </c>
      <c r="DX184">
        <v>3.63313</v>
      </c>
      <c r="DY184">
        <v>20.3161</v>
      </c>
      <c r="DZ184">
        <v>5.2095</v>
      </c>
      <c r="EA184">
        <v>11.8553</v>
      </c>
      <c r="EB184">
        <v>4.96708</v>
      </c>
      <c r="EC184">
        <v>3.29298</v>
      </c>
      <c r="ED184">
        <v>879.4</v>
      </c>
      <c r="EE184">
        <v>9999</v>
      </c>
      <c r="EF184">
        <v>9999</v>
      </c>
      <c r="EG184">
        <v>78.8</v>
      </c>
      <c r="EH184">
        <v>4.97158</v>
      </c>
      <c r="EI184">
        <v>1.8721</v>
      </c>
      <c r="EJ184">
        <v>1.86948</v>
      </c>
      <c r="EK184">
        <v>1.87179</v>
      </c>
      <c r="EL184">
        <v>1.86955</v>
      </c>
      <c r="EM184">
        <v>1.86837</v>
      </c>
      <c r="EN184">
        <v>1.87015</v>
      </c>
      <c r="EO184">
        <v>1.87195</v>
      </c>
      <c r="EP184">
        <v>0</v>
      </c>
      <c r="EQ184">
        <v>0</v>
      </c>
      <c r="ER184">
        <v>0</v>
      </c>
      <c r="ES184">
        <v>0</v>
      </c>
      <c r="ET184" t="s">
        <v>334</v>
      </c>
      <c r="EU184" t="s">
        <v>335</v>
      </c>
      <c r="EV184" t="s">
        <v>336</v>
      </c>
      <c r="EW184" t="s">
        <v>336</v>
      </c>
      <c r="EX184" t="s">
        <v>336</v>
      </c>
      <c r="EY184" t="s">
        <v>336</v>
      </c>
      <c r="EZ184">
        <v>0</v>
      </c>
      <c r="FA184">
        <v>100</v>
      </c>
      <c r="FB184">
        <v>100</v>
      </c>
      <c r="FC184">
        <v>6.232</v>
      </c>
      <c r="FD184">
        <v>0.0806</v>
      </c>
      <c r="FE184">
        <v>6.23135000000002</v>
      </c>
      <c r="FF184">
        <v>0</v>
      </c>
      <c r="FG184">
        <v>0</v>
      </c>
      <c r="FH184">
        <v>0</v>
      </c>
      <c r="FI184">
        <v>0.08059047619047632</v>
      </c>
      <c r="FJ184">
        <v>0</v>
      </c>
      <c r="FK184">
        <v>0</v>
      </c>
      <c r="FL184">
        <v>0</v>
      </c>
      <c r="FM184">
        <v>-1</v>
      </c>
      <c r="FN184">
        <v>-1</v>
      </c>
      <c r="FO184">
        <v>-1</v>
      </c>
      <c r="FP184">
        <v>-1</v>
      </c>
      <c r="FQ184">
        <v>168.5</v>
      </c>
      <c r="FR184">
        <v>168.6</v>
      </c>
      <c r="FS184">
        <v>0.140381</v>
      </c>
      <c r="FT184">
        <v>4.99756</v>
      </c>
      <c r="FU184">
        <v>1.5979</v>
      </c>
      <c r="FV184">
        <v>2.10815</v>
      </c>
      <c r="FW184">
        <v>1.54785</v>
      </c>
      <c r="FX184">
        <v>2.40723</v>
      </c>
      <c r="FY184">
        <v>47.272</v>
      </c>
      <c r="FZ184">
        <v>15.0689</v>
      </c>
      <c r="GA184">
        <v>3</v>
      </c>
      <c r="GB184">
        <v>520.432</v>
      </c>
      <c r="GC184">
        <v>287.841</v>
      </c>
      <c r="GD184">
        <v>27.9704</v>
      </c>
      <c r="GE184">
        <v>38.2996</v>
      </c>
      <c r="GF184">
        <v>30.0005</v>
      </c>
      <c r="GG184">
        <v>38.1749</v>
      </c>
      <c r="GH184">
        <v>38.1632</v>
      </c>
      <c r="GI184">
        <v>-1</v>
      </c>
      <c r="GJ184">
        <v>100</v>
      </c>
      <c r="GK184">
        <v>0</v>
      </c>
      <c r="GL184">
        <v>27.9713</v>
      </c>
      <c r="GM184">
        <v>1200</v>
      </c>
      <c r="GN184">
        <v>19.4378</v>
      </c>
      <c r="GO184">
        <v>100.977</v>
      </c>
      <c r="GP184">
        <v>96.1679</v>
      </c>
    </row>
    <row r="185" spans="1:198">
      <c r="A185">
        <v>169</v>
      </c>
      <c r="B185">
        <v>1773206181.5</v>
      </c>
      <c r="C185">
        <v>10081.5</v>
      </c>
      <c r="D185" t="s">
        <v>671</v>
      </c>
      <c r="E185" t="s">
        <v>672</v>
      </c>
      <c r="F185">
        <v>15</v>
      </c>
      <c r="G185">
        <v>1773206173.5</v>
      </c>
      <c r="H185">
        <f>(I185)/1000</f>
        <v>0</v>
      </c>
      <c r="I185">
        <f>1000*AY185*AG185*(AU185-AV185)/(100*AN185*(1000-AG185*AU185))</f>
        <v>0</v>
      </c>
      <c r="J185">
        <f>AY185*AG185*(AT185-AS185*(1000-AG185*AV185)/(1000-AG185*AU185))/(100*AN185)</f>
        <v>0</v>
      </c>
      <c r="K185">
        <f>AS185 - IF(AG185&gt;1, J185*AN185*100.0/(AI185), 0)</f>
        <v>0</v>
      </c>
      <c r="L185">
        <f>((R185-H185/2)*K185-J185)/(R185+H185/2)</f>
        <v>0</v>
      </c>
      <c r="M185">
        <f>L185*(AZ185+BA185)/1000.0</f>
        <v>0</v>
      </c>
      <c r="N185">
        <f>(AS185 - IF(AG185&gt;1, J185*AN185*100.0/(AI185), 0))*(AZ185+BA185)/1000.0</f>
        <v>0</v>
      </c>
      <c r="O185">
        <f>2.0/((1/Q185-1/P185)+SIGN(Q185)*SQRT((1/Q185-1/P185)*(1/Q185-1/P185) + 4*AO185/((AO185+1)*(AO185+1))*(2*1/Q185*1/P185-1/P185*1/P185)))</f>
        <v>0</v>
      </c>
      <c r="P185">
        <f>IF(LEFT(AP185,1)&lt;&gt;"0",IF(LEFT(AP185,1)="1",3.0,AQ185),$D$5+$E$5*(BG185*AZ185/($K$5*1000))+$F$5*(BG185*AZ185/($K$5*1000))*MAX(MIN(AN185,$J$5),$I$5)*MAX(MIN(AN185,$J$5),$I$5)+$G$5*MAX(MIN(AN185,$J$5),$I$5)*(BG185*AZ185/($K$5*1000))+$H$5*(BG185*AZ185/($K$5*1000))*(BG185*AZ185/($K$5*1000)))</f>
        <v>0</v>
      </c>
      <c r="Q185">
        <f>H185*(1000-(1000*0.61365*exp(17.502*U185/(240.97+U185))/(AZ185+BA185)+AU185)/2)/(1000*0.61365*exp(17.502*U185/(240.97+U185))/(AZ185+BA185)-AU185)</f>
        <v>0</v>
      </c>
      <c r="R185">
        <f>1/((AO185+1)/(O185/1.6)+1/(P185/1.37)) + AO185/((AO185+1)/(O185/1.6) + AO185/(P185/1.37))</f>
        <v>0</v>
      </c>
      <c r="S185">
        <f>(AJ185*AM185)</f>
        <v>0</v>
      </c>
      <c r="T185">
        <f>(BB185+(S185+2*0.95*5.67E-8*(((BB185+$B$7)+273)^4-(BB185+273)^4)-44100*H185)/(1.84*29.3*P185+8*0.95*5.67E-8*(BB185+273)^3))</f>
        <v>0</v>
      </c>
      <c r="U185">
        <f>($C$7*BC185+$D$7*BD185+$E$7*T185)</f>
        <v>0</v>
      </c>
      <c r="V185">
        <f>0.61365*exp(17.502*U185/(240.97+U185))</f>
        <v>0</v>
      </c>
      <c r="W185">
        <f>(X185/Y185*100)</f>
        <v>0</v>
      </c>
      <c r="X185">
        <f>AU185*(AZ185+BA185)/1000</f>
        <v>0</v>
      </c>
      <c r="Y185">
        <f>0.61365*exp(17.502*BB185/(240.97+BB185))</f>
        <v>0</v>
      </c>
      <c r="Z185">
        <f>(V185-AU185*(AZ185+BA185)/1000)</f>
        <v>0</v>
      </c>
      <c r="AA185">
        <f>(-H185*44100)</f>
        <v>0</v>
      </c>
      <c r="AB185">
        <f>2*29.3*P185*0.92*(BB185-U185)</f>
        <v>0</v>
      </c>
      <c r="AC185">
        <f>2*0.95*5.67E-8*(((BB185+$B$7)+273)^4-(U185+273)^4)</f>
        <v>0</v>
      </c>
      <c r="AD185">
        <f>S185+AC185+AA185+AB185</f>
        <v>0</v>
      </c>
      <c r="AE185">
        <v>0</v>
      </c>
      <c r="AF185">
        <v>0</v>
      </c>
      <c r="AG185">
        <f>IF(AE185*$H$13&gt;=AI185,1.0,(AI185/(AI185-AE185*$H$13)))</f>
        <v>0</v>
      </c>
      <c r="AH185">
        <f>(AG185-1)*100</f>
        <v>0</v>
      </c>
      <c r="AI185">
        <f>MAX(0,($B$13+$C$13*BG185)/(1+$D$13*BG185)*AZ185/(BB185+273)*$E$13)</f>
        <v>0</v>
      </c>
      <c r="AJ185">
        <f>$B$11*BH185+$C$11*BI185+$D$11*BT185</f>
        <v>0</v>
      </c>
      <c r="AK185">
        <f>AJ185*AL185</f>
        <v>0</v>
      </c>
      <c r="AL185">
        <f>($B$11*$D$9+$C$11*$D$9+$D$11*(BU185*$E$9+BV185*$G$9))/($B$11+$C$11+$D$11)</f>
        <v>0</v>
      </c>
      <c r="AM185">
        <f>($B$11*$K$9+$C$11*$K$9+$D$11*(BU185*$L$9+BV185*$N$9))/($B$11+$C$11+$D$11)</f>
        <v>0</v>
      </c>
      <c r="AN185">
        <v>3</v>
      </c>
      <c r="AO185">
        <v>0.5</v>
      </c>
      <c r="AP185" t="s">
        <v>331</v>
      </c>
      <c r="AQ185">
        <v>2</v>
      </c>
      <c r="AR185">
        <v>1773206173.5</v>
      </c>
      <c r="AS185">
        <v>420.1372903225807</v>
      </c>
      <c r="AT185">
        <v>417.9235483870967</v>
      </c>
      <c r="AU185">
        <v>12.84572258064516</v>
      </c>
      <c r="AV185">
        <v>12.76133548387097</v>
      </c>
      <c r="AW185">
        <v>413.9060000000001</v>
      </c>
      <c r="AX185">
        <v>12.76513870967742</v>
      </c>
      <c r="AY185">
        <v>500.0025806451612</v>
      </c>
      <c r="AZ185">
        <v>100.0500645161291</v>
      </c>
      <c r="BA185">
        <v>0.04545491290322581</v>
      </c>
      <c r="BB185">
        <v>30.81554193548387</v>
      </c>
      <c r="BC185">
        <v>31.14049032258065</v>
      </c>
      <c r="BD185">
        <v>999.9000000000003</v>
      </c>
      <c r="BE185">
        <v>0</v>
      </c>
      <c r="BF185">
        <v>0</v>
      </c>
      <c r="BG185">
        <v>5003.370967741936</v>
      </c>
      <c r="BH185">
        <v>0.9652597096774195</v>
      </c>
      <c r="BI185">
        <v>2048.478709677419</v>
      </c>
      <c r="BJ185">
        <v>2.213845806451613</v>
      </c>
      <c r="BK185">
        <v>425.6046129032258</v>
      </c>
      <c r="BL185">
        <v>423.3256129032259</v>
      </c>
      <c r="BM185">
        <v>0.08438595806451613</v>
      </c>
      <c r="BN185">
        <v>417.9235483870967</v>
      </c>
      <c r="BO185">
        <v>12.76133548387097</v>
      </c>
      <c r="BP185">
        <v>1.285214838709678</v>
      </c>
      <c r="BQ185">
        <v>1.276771935483871</v>
      </c>
      <c r="BR185">
        <v>10.62705483870968</v>
      </c>
      <c r="BS185">
        <v>10.52816129032258</v>
      </c>
      <c r="BT185">
        <v>0</v>
      </c>
      <c r="BU185">
        <v>0</v>
      </c>
      <c r="BV185">
        <v>0</v>
      </c>
      <c r="BW185">
        <v>35</v>
      </c>
      <c r="BX185">
        <v>52.65053548387097</v>
      </c>
      <c r="BY185">
        <v>1773196010</v>
      </c>
      <c r="BZ185" t="s">
        <v>332</v>
      </c>
      <c r="CA185">
        <v>1773196010</v>
      </c>
      <c r="CB185">
        <v>1773196005.5</v>
      </c>
      <c r="CC185">
        <v>2</v>
      </c>
      <c r="CD185">
        <v>-0.279</v>
      </c>
      <c r="CE185">
        <v>-0.021</v>
      </c>
      <c r="CF185">
        <v>6.231</v>
      </c>
      <c r="CG185">
        <v>0.081</v>
      </c>
      <c r="CH185">
        <v>432</v>
      </c>
      <c r="CI185">
        <v>21</v>
      </c>
      <c r="CJ185">
        <v>0.03</v>
      </c>
      <c r="CK185">
        <v>0.06</v>
      </c>
      <c r="CL185">
        <v>417.9276333333333</v>
      </c>
      <c r="CM185">
        <v>0.3920355951066263</v>
      </c>
      <c r="CN185">
        <v>0.03905166094063182</v>
      </c>
      <c r="CO185">
        <v>-1</v>
      </c>
      <c r="CP185">
        <v>500.0017333333332</v>
      </c>
      <c r="CQ185">
        <v>-0.1897041156843466</v>
      </c>
      <c r="CR185">
        <v>0.04310369924831068</v>
      </c>
      <c r="CS185">
        <v>-1</v>
      </c>
      <c r="CT185">
        <v>0</v>
      </c>
      <c r="CU185">
        <v>0</v>
      </c>
      <c r="CV185" t="s">
        <v>333</v>
      </c>
      <c r="CW185">
        <v>3.17123</v>
      </c>
      <c r="CX185">
        <v>2.66659</v>
      </c>
      <c r="CY185">
        <v>0.0984471</v>
      </c>
      <c r="CZ185">
        <v>0.09921870000000001</v>
      </c>
      <c r="DA185">
        <v>0.07051350000000001</v>
      </c>
      <c r="DB185">
        <v>0.0702454</v>
      </c>
      <c r="DC185">
        <v>21316.2</v>
      </c>
      <c r="DD185">
        <v>21901.3</v>
      </c>
      <c r="DE185">
        <v>22798.3</v>
      </c>
      <c r="DF185">
        <v>22262.1</v>
      </c>
      <c r="DG185">
        <v>32050.6</v>
      </c>
      <c r="DH185">
        <v>29156.2</v>
      </c>
      <c r="DI185">
        <v>40132.8</v>
      </c>
      <c r="DJ185">
        <v>36820.4</v>
      </c>
      <c r="DK185">
        <v>2.02164</v>
      </c>
      <c r="DL185">
        <v>1.49008</v>
      </c>
      <c r="DM185">
        <v>-0.08724030000000001</v>
      </c>
      <c r="DN185">
        <v>0</v>
      </c>
      <c r="DO185">
        <v>32.547</v>
      </c>
      <c r="DP185">
        <v>999.9</v>
      </c>
      <c r="DQ185">
        <v>24</v>
      </c>
      <c r="DR185">
        <v>46</v>
      </c>
      <c r="DS185">
        <v>24.3418</v>
      </c>
      <c r="DT185">
        <v>30.0664</v>
      </c>
      <c r="DU185">
        <v>14.2949</v>
      </c>
      <c r="DV185">
        <v>1</v>
      </c>
      <c r="DW185">
        <v>0.930063</v>
      </c>
      <c r="DX185">
        <v>4.20092</v>
      </c>
      <c r="DY185">
        <v>20.2996</v>
      </c>
      <c r="DZ185">
        <v>5.2095</v>
      </c>
      <c r="EA185">
        <v>11.8554</v>
      </c>
      <c r="EB185">
        <v>4.96712</v>
      </c>
      <c r="EC185">
        <v>3.29298</v>
      </c>
      <c r="ED185">
        <v>879.4</v>
      </c>
      <c r="EE185">
        <v>9999</v>
      </c>
      <c r="EF185">
        <v>9999</v>
      </c>
      <c r="EG185">
        <v>78.8</v>
      </c>
      <c r="EH185">
        <v>4.97155</v>
      </c>
      <c r="EI185">
        <v>1.8721</v>
      </c>
      <c r="EJ185">
        <v>1.86946</v>
      </c>
      <c r="EK185">
        <v>1.87179</v>
      </c>
      <c r="EL185">
        <v>1.86955</v>
      </c>
      <c r="EM185">
        <v>1.86836</v>
      </c>
      <c r="EN185">
        <v>1.87018</v>
      </c>
      <c r="EO185">
        <v>1.87195</v>
      </c>
      <c r="EP185">
        <v>0</v>
      </c>
      <c r="EQ185">
        <v>0</v>
      </c>
      <c r="ER185">
        <v>0</v>
      </c>
      <c r="ES185">
        <v>0</v>
      </c>
      <c r="ET185" t="s">
        <v>334</v>
      </c>
      <c r="EU185" t="s">
        <v>335</v>
      </c>
      <c r="EV185" t="s">
        <v>336</v>
      </c>
      <c r="EW185" t="s">
        <v>336</v>
      </c>
      <c r="EX185" t="s">
        <v>336</v>
      </c>
      <c r="EY185" t="s">
        <v>336</v>
      </c>
      <c r="EZ185">
        <v>0</v>
      </c>
      <c r="FA185">
        <v>100</v>
      </c>
      <c r="FB185">
        <v>100</v>
      </c>
      <c r="FC185">
        <v>6.231</v>
      </c>
      <c r="FD185">
        <v>0.0806</v>
      </c>
      <c r="FE185">
        <v>6.23135000000002</v>
      </c>
      <c r="FF185">
        <v>0</v>
      </c>
      <c r="FG185">
        <v>0</v>
      </c>
      <c r="FH185">
        <v>0</v>
      </c>
      <c r="FI185">
        <v>0.08059047619047632</v>
      </c>
      <c r="FJ185">
        <v>0</v>
      </c>
      <c r="FK185">
        <v>0</v>
      </c>
      <c r="FL185">
        <v>0</v>
      </c>
      <c r="FM185">
        <v>-1</v>
      </c>
      <c r="FN185">
        <v>-1</v>
      </c>
      <c r="FO185">
        <v>-1</v>
      </c>
      <c r="FP185">
        <v>-1</v>
      </c>
      <c r="FQ185">
        <v>169.5</v>
      </c>
      <c r="FR185">
        <v>169.6</v>
      </c>
      <c r="FS185">
        <v>0.140381</v>
      </c>
      <c r="FT185">
        <v>4.99634</v>
      </c>
      <c r="FU185">
        <v>1.5979</v>
      </c>
      <c r="FV185">
        <v>2.10938</v>
      </c>
      <c r="FW185">
        <v>1.54785</v>
      </c>
      <c r="FX185">
        <v>2.41211</v>
      </c>
      <c r="FY185">
        <v>47.3917</v>
      </c>
      <c r="FZ185">
        <v>15.0426</v>
      </c>
      <c r="GA185">
        <v>3</v>
      </c>
      <c r="GB185">
        <v>520.391</v>
      </c>
      <c r="GC185">
        <v>287.637</v>
      </c>
      <c r="GD185">
        <v>27.4981</v>
      </c>
      <c r="GE185">
        <v>38.3518</v>
      </c>
      <c r="GF185">
        <v>29.9983</v>
      </c>
      <c r="GG185">
        <v>38.228</v>
      </c>
      <c r="GH185">
        <v>38.2178</v>
      </c>
      <c r="GI185">
        <v>-1</v>
      </c>
      <c r="GJ185">
        <v>100</v>
      </c>
      <c r="GK185">
        <v>0</v>
      </c>
      <c r="GL185">
        <v>27.5551</v>
      </c>
      <c r="GM185">
        <v>1200</v>
      </c>
      <c r="GN185">
        <v>19.4378</v>
      </c>
      <c r="GO185">
        <v>100.961</v>
      </c>
      <c r="GP185">
        <v>96.1504</v>
      </c>
    </row>
    <row r="186" spans="1:198">
      <c r="A186">
        <v>170</v>
      </c>
      <c r="B186">
        <v>1773206241.5</v>
      </c>
      <c r="C186">
        <v>10141.5</v>
      </c>
      <c r="D186" t="s">
        <v>673</v>
      </c>
      <c r="E186" t="s">
        <v>674</v>
      </c>
      <c r="F186">
        <v>15</v>
      </c>
      <c r="G186">
        <v>1773206233.5</v>
      </c>
      <c r="H186">
        <f>(I186)/1000</f>
        <v>0</v>
      </c>
      <c r="I186">
        <f>1000*AY186*AG186*(AU186-AV186)/(100*AN186*(1000-AG186*AU186))</f>
        <v>0</v>
      </c>
      <c r="J186">
        <f>AY186*AG186*(AT186-AS186*(1000-AG186*AV186)/(1000-AG186*AU186))/(100*AN186)</f>
        <v>0</v>
      </c>
      <c r="K186">
        <f>AS186 - IF(AG186&gt;1, J186*AN186*100.0/(AI186), 0)</f>
        <v>0</v>
      </c>
      <c r="L186">
        <f>((R186-H186/2)*K186-J186)/(R186+H186/2)</f>
        <v>0</v>
      </c>
      <c r="M186">
        <f>L186*(AZ186+BA186)/1000.0</f>
        <v>0</v>
      </c>
      <c r="N186">
        <f>(AS186 - IF(AG186&gt;1, J186*AN186*100.0/(AI186), 0))*(AZ186+BA186)/1000.0</f>
        <v>0</v>
      </c>
      <c r="O186">
        <f>2.0/((1/Q186-1/P186)+SIGN(Q186)*SQRT((1/Q186-1/P186)*(1/Q186-1/P186) + 4*AO186/((AO186+1)*(AO186+1))*(2*1/Q186*1/P186-1/P186*1/P186)))</f>
        <v>0</v>
      </c>
      <c r="P186">
        <f>IF(LEFT(AP186,1)&lt;&gt;"0",IF(LEFT(AP186,1)="1",3.0,AQ186),$D$5+$E$5*(BG186*AZ186/($K$5*1000))+$F$5*(BG186*AZ186/($K$5*1000))*MAX(MIN(AN186,$J$5),$I$5)*MAX(MIN(AN186,$J$5),$I$5)+$G$5*MAX(MIN(AN186,$J$5),$I$5)*(BG186*AZ186/($K$5*1000))+$H$5*(BG186*AZ186/($K$5*1000))*(BG186*AZ186/($K$5*1000)))</f>
        <v>0</v>
      </c>
      <c r="Q186">
        <f>H186*(1000-(1000*0.61365*exp(17.502*U186/(240.97+U186))/(AZ186+BA186)+AU186)/2)/(1000*0.61365*exp(17.502*U186/(240.97+U186))/(AZ186+BA186)-AU186)</f>
        <v>0</v>
      </c>
      <c r="R186">
        <f>1/((AO186+1)/(O186/1.6)+1/(P186/1.37)) + AO186/((AO186+1)/(O186/1.6) + AO186/(P186/1.37))</f>
        <v>0</v>
      </c>
      <c r="S186">
        <f>(AJ186*AM186)</f>
        <v>0</v>
      </c>
      <c r="T186">
        <f>(BB186+(S186+2*0.95*5.67E-8*(((BB186+$B$7)+273)^4-(BB186+273)^4)-44100*H186)/(1.84*29.3*P186+8*0.95*5.67E-8*(BB186+273)^3))</f>
        <v>0</v>
      </c>
      <c r="U186">
        <f>($C$7*BC186+$D$7*BD186+$E$7*T186)</f>
        <v>0</v>
      </c>
      <c r="V186">
        <f>0.61365*exp(17.502*U186/(240.97+U186))</f>
        <v>0</v>
      </c>
      <c r="W186">
        <f>(X186/Y186*100)</f>
        <v>0</v>
      </c>
      <c r="X186">
        <f>AU186*(AZ186+BA186)/1000</f>
        <v>0</v>
      </c>
      <c r="Y186">
        <f>0.61365*exp(17.502*BB186/(240.97+BB186))</f>
        <v>0</v>
      </c>
      <c r="Z186">
        <f>(V186-AU186*(AZ186+BA186)/1000)</f>
        <v>0</v>
      </c>
      <c r="AA186">
        <f>(-H186*44100)</f>
        <v>0</v>
      </c>
      <c r="AB186">
        <f>2*29.3*P186*0.92*(BB186-U186)</f>
        <v>0</v>
      </c>
      <c r="AC186">
        <f>2*0.95*5.67E-8*(((BB186+$B$7)+273)^4-(U186+273)^4)</f>
        <v>0</v>
      </c>
      <c r="AD186">
        <f>S186+AC186+AA186+AB186</f>
        <v>0</v>
      </c>
      <c r="AE186">
        <v>0</v>
      </c>
      <c r="AF186">
        <v>0</v>
      </c>
      <c r="AG186">
        <f>IF(AE186*$H$13&gt;=AI186,1.0,(AI186/(AI186-AE186*$H$13)))</f>
        <v>0</v>
      </c>
      <c r="AH186">
        <f>(AG186-1)*100</f>
        <v>0</v>
      </c>
      <c r="AI186">
        <f>MAX(0,($B$13+$C$13*BG186)/(1+$D$13*BG186)*AZ186/(BB186+273)*$E$13)</f>
        <v>0</v>
      </c>
      <c r="AJ186">
        <f>$B$11*BH186+$C$11*BI186+$D$11*BT186</f>
        <v>0</v>
      </c>
      <c r="AK186">
        <f>AJ186*AL186</f>
        <v>0</v>
      </c>
      <c r="AL186">
        <f>($B$11*$D$9+$C$11*$D$9+$D$11*(BU186*$E$9+BV186*$G$9))/($B$11+$C$11+$D$11)</f>
        <v>0</v>
      </c>
      <c r="AM186">
        <f>($B$11*$K$9+$C$11*$K$9+$D$11*(BU186*$L$9+BV186*$N$9))/($B$11+$C$11+$D$11)</f>
        <v>0</v>
      </c>
      <c r="AN186">
        <v>3</v>
      </c>
      <c r="AO186">
        <v>0.5</v>
      </c>
      <c r="AP186" t="s">
        <v>331</v>
      </c>
      <c r="AQ186">
        <v>2</v>
      </c>
      <c r="AR186">
        <v>1773206233.5</v>
      </c>
      <c r="AS186">
        <v>420.2216129032258</v>
      </c>
      <c r="AT186">
        <v>417.8531935483871</v>
      </c>
      <c r="AU186">
        <v>12.97484516129032</v>
      </c>
      <c r="AV186">
        <v>12.89028387096774</v>
      </c>
      <c r="AW186">
        <v>413.9902580645161</v>
      </c>
      <c r="AX186">
        <v>12.89425806451613</v>
      </c>
      <c r="AY186">
        <v>500.0271612903226</v>
      </c>
      <c r="AZ186">
        <v>100.0401612903226</v>
      </c>
      <c r="BA186">
        <v>0.04600051612903226</v>
      </c>
      <c r="BB186">
        <v>30.8727935483871</v>
      </c>
      <c r="BC186">
        <v>31.20054516129032</v>
      </c>
      <c r="BD186">
        <v>999.9000000000003</v>
      </c>
      <c r="BE186">
        <v>0</v>
      </c>
      <c r="BF186">
        <v>0</v>
      </c>
      <c r="BG186">
        <v>4998.048387096775</v>
      </c>
      <c r="BH186">
        <v>0.9852957741935484</v>
      </c>
      <c r="BI186">
        <v>2068.484838709677</v>
      </c>
      <c r="BJ186">
        <v>2.368377096774194</v>
      </c>
      <c r="BK186">
        <v>425.7456774193548</v>
      </c>
      <c r="BL186">
        <v>423.309870967742</v>
      </c>
      <c r="BM186">
        <v>0.08456439354838709</v>
      </c>
      <c r="BN186">
        <v>417.8531935483871</v>
      </c>
      <c r="BO186">
        <v>12.89028387096774</v>
      </c>
      <c r="BP186">
        <v>1.298006451612903</v>
      </c>
      <c r="BQ186">
        <v>1.289546774193548</v>
      </c>
      <c r="BR186">
        <v>10.77578387096774</v>
      </c>
      <c r="BS186">
        <v>10.67757096774193</v>
      </c>
      <c r="BT186">
        <v>0</v>
      </c>
      <c r="BU186">
        <v>0</v>
      </c>
      <c r="BV186">
        <v>0</v>
      </c>
      <c r="BW186">
        <v>35</v>
      </c>
      <c r="BX186">
        <v>53.84086129032258</v>
      </c>
      <c r="BY186">
        <v>1773196010</v>
      </c>
      <c r="BZ186" t="s">
        <v>332</v>
      </c>
      <c r="CA186">
        <v>1773196010</v>
      </c>
      <c r="CB186">
        <v>1773196005.5</v>
      </c>
      <c r="CC186">
        <v>2</v>
      </c>
      <c r="CD186">
        <v>-0.279</v>
      </c>
      <c r="CE186">
        <v>-0.021</v>
      </c>
      <c r="CF186">
        <v>6.231</v>
      </c>
      <c r="CG186">
        <v>0.081</v>
      </c>
      <c r="CH186">
        <v>432</v>
      </c>
      <c r="CI186">
        <v>21</v>
      </c>
      <c r="CJ186">
        <v>0.03</v>
      </c>
      <c r="CK186">
        <v>0.06</v>
      </c>
      <c r="CL186">
        <v>417.8596</v>
      </c>
      <c r="CM186">
        <v>-0.4193459399341914</v>
      </c>
      <c r="CN186">
        <v>0.03228270951040976</v>
      </c>
      <c r="CO186">
        <v>-1</v>
      </c>
      <c r="CP186">
        <v>500.0195666666667</v>
      </c>
      <c r="CQ186">
        <v>0.2636262513911472</v>
      </c>
      <c r="CR186">
        <v>0.05414898172839643</v>
      </c>
      <c r="CS186">
        <v>-1</v>
      </c>
      <c r="CT186">
        <v>0</v>
      </c>
      <c r="CU186">
        <v>0</v>
      </c>
      <c r="CV186" t="s">
        <v>333</v>
      </c>
      <c r="CW186">
        <v>3.17145</v>
      </c>
      <c r="CX186">
        <v>2.66727</v>
      </c>
      <c r="CY186">
        <v>0.0984189</v>
      </c>
      <c r="CZ186">
        <v>0.0991652</v>
      </c>
      <c r="DA186">
        <v>0.0710128</v>
      </c>
      <c r="DB186">
        <v>0.0707402</v>
      </c>
      <c r="DC186">
        <v>21314</v>
      </c>
      <c r="DD186">
        <v>21900.5</v>
      </c>
      <c r="DE186">
        <v>22795.6</v>
      </c>
      <c r="DF186">
        <v>22260.2</v>
      </c>
      <c r="DG186">
        <v>32029.7</v>
      </c>
      <c r="DH186">
        <v>29138.2</v>
      </c>
      <c r="DI186">
        <v>40128.3</v>
      </c>
      <c r="DJ186">
        <v>36817.2</v>
      </c>
      <c r="DK186">
        <v>2.02094</v>
      </c>
      <c r="DL186">
        <v>1.48814</v>
      </c>
      <c r="DM186">
        <v>-0.09266729999999999</v>
      </c>
      <c r="DN186">
        <v>0</v>
      </c>
      <c r="DO186">
        <v>32.6818</v>
      </c>
      <c r="DP186">
        <v>999.9</v>
      </c>
      <c r="DQ186">
        <v>24.1</v>
      </c>
      <c r="DR186">
        <v>46</v>
      </c>
      <c r="DS186">
        <v>24.4449</v>
      </c>
      <c r="DT186">
        <v>30.4864</v>
      </c>
      <c r="DU186">
        <v>14.379</v>
      </c>
      <c r="DV186">
        <v>1</v>
      </c>
      <c r="DW186">
        <v>0.943874</v>
      </c>
      <c r="DX186">
        <v>5.4397</v>
      </c>
      <c r="DY186">
        <v>20.2574</v>
      </c>
      <c r="DZ186">
        <v>5.20974</v>
      </c>
      <c r="EA186">
        <v>11.858</v>
      </c>
      <c r="EB186">
        <v>4.96708</v>
      </c>
      <c r="EC186">
        <v>3.29298</v>
      </c>
      <c r="ED186">
        <v>879.4</v>
      </c>
      <c r="EE186">
        <v>9999</v>
      </c>
      <c r="EF186">
        <v>9999</v>
      </c>
      <c r="EG186">
        <v>78.8</v>
      </c>
      <c r="EH186">
        <v>4.97155</v>
      </c>
      <c r="EI186">
        <v>1.87209</v>
      </c>
      <c r="EJ186">
        <v>1.86944</v>
      </c>
      <c r="EK186">
        <v>1.87179</v>
      </c>
      <c r="EL186">
        <v>1.86953</v>
      </c>
      <c r="EM186">
        <v>1.8683</v>
      </c>
      <c r="EN186">
        <v>1.87013</v>
      </c>
      <c r="EO186">
        <v>1.8719</v>
      </c>
      <c r="EP186">
        <v>0</v>
      </c>
      <c r="EQ186">
        <v>0</v>
      </c>
      <c r="ER186">
        <v>0</v>
      </c>
      <c r="ES186">
        <v>0</v>
      </c>
      <c r="ET186" t="s">
        <v>334</v>
      </c>
      <c r="EU186" t="s">
        <v>335</v>
      </c>
      <c r="EV186" t="s">
        <v>336</v>
      </c>
      <c r="EW186" t="s">
        <v>336</v>
      </c>
      <c r="EX186" t="s">
        <v>336</v>
      </c>
      <c r="EY186" t="s">
        <v>336</v>
      </c>
      <c r="EZ186">
        <v>0</v>
      </c>
      <c r="FA186">
        <v>100</v>
      </c>
      <c r="FB186">
        <v>100</v>
      </c>
      <c r="FC186">
        <v>6.231</v>
      </c>
      <c r="FD186">
        <v>0.0806</v>
      </c>
      <c r="FE186">
        <v>6.23135000000002</v>
      </c>
      <c r="FF186">
        <v>0</v>
      </c>
      <c r="FG186">
        <v>0</v>
      </c>
      <c r="FH186">
        <v>0</v>
      </c>
      <c r="FI186">
        <v>0.08059047619047632</v>
      </c>
      <c r="FJ186">
        <v>0</v>
      </c>
      <c r="FK186">
        <v>0</v>
      </c>
      <c r="FL186">
        <v>0</v>
      </c>
      <c r="FM186">
        <v>-1</v>
      </c>
      <c r="FN186">
        <v>-1</v>
      </c>
      <c r="FO186">
        <v>-1</v>
      </c>
      <c r="FP186">
        <v>-1</v>
      </c>
      <c r="FQ186">
        <v>170.5</v>
      </c>
      <c r="FR186">
        <v>170.6</v>
      </c>
      <c r="FS186">
        <v>0.140381</v>
      </c>
      <c r="FT186">
        <v>4.99756</v>
      </c>
      <c r="FU186">
        <v>1.5979</v>
      </c>
      <c r="FV186">
        <v>2.10938</v>
      </c>
      <c r="FW186">
        <v>1.54785</v>
      </c>
      <c r="FX186">
        <v>2.37061</v>
      </c>
      <c r="FY186">
        <v>47.5117</v>
      </c>
      <c r="FZ186">
        <v>15.0076</v>
      </c>
      <c r="GA186">
        <v>3</v>
      </c>
      <c r="GB186">
        <v>520.383</v>
      </c>
      <c r="GC186">
        <v>286.963</v>
      </c>
      <c r="GD186">
        <v>26.7982</v>
      </c>
      <c r="GE186">
        <v>38.4276</v>
      </c>
      <c r="GF186">
        <v>30.0011</v>
      </c>
      <c r="GG186">
        <v>38.2896</v>
      </c>
      <c r="GH186">
        <v>38.2786</v>
      </c>
      <c r="GI186">
        <v>-1</v>
      </c>
      <c r="GJ186">
        <v>100</v>
      </c>
      <c r="GK186">
        <v>0</v>
      </c>
      <c r="GL186">
        <v>26.7821</v>
      </c>
      <c r="GM186">
        <v>1200</v>
      </c>
      <c r="GN186">
        <v>19.4378</v>
      </c>
      <c r="GO186">
        <v>100.949</v>
      </c>
      <c r="GP186">
        <v>96.1421</v>
      </c>
    </row>
    <row r="187" spans="1:198">
      <c r="A187">
        <v>171</v>
      </c>
      <c r="B187">
        <v>1773206301.5</v>
      </c>
      <c r="C187">
        <v>10201.5</v>
      </c>
      <c r="D187" t="s">
        <v>675</v>
      </c>
      <c r="E187" t="s">
        <v>676</v>
      </c>
      <c r="F187">
        <v>15</v>
      </c>
      <c r="G187">
        <v>1773206293.5</v>
      </c>
      <c r="H187">
        <f>(I187)/1000</f>
        <v>0</v>
      </c>
      <c r="I187">
        <f>1000*AY187*AG187*(AU187-AV187)/(100*AN187*(1000-AG187*AU187))</f>
        <v>0</v>
      </c>
      <c r="J187">
        <f>AY187*AG187*(AT187-AS187*(1000-AG187*AV187)/(1000-AG187*AU187))/(100*AN187)</f>
        <v>0</v>
      </c>
      <c r="K187">
        <f>AS187 - IF(AG187&gt;1, J187*AN187*100.0/(AI187), 0)</f>
        <v>0</v>
      </c>
      <c r="L187">
        <f>((R187-H187/2)*K187-J187)/(R187+H187/2)</f>
        <v>0</v>
      </c>
      <c r="M187">
        <f>L187*(AZ187+BA187)/1000.0</f>
        <v>0</v>
      </c>
      <c r="N187">
        <f>(AS187 - IF(AG187&gt;1, J187*AN187*100.0/(AI187), 0))*(AZ187+BA187)/1000.0</f>
        <v>0</v>
      </c>
      <c r="O187">
        <f>2.0/((1/Q187-1/P187)+SIGN(Q187)*SQRT((1/Q187-1/P187)*(1/Q187-1/P187) + 4*AO187/((AO187+1)*(AO187+1))*(2*1/Q187*1/P187-1/P187*1/P187)))</f>
        <v>0</v>
      </c>
      <c r="P187">
        <f>IF(LEFT(AP187,1)&lt;&gt;"0",IF(LEFT(AP187,1)="1",3.0,AQ187),$D$5+$E$5*(BG187*AZ187/($K$5*1000))+$F$5*(BG187*AZ187/($K$5*1000))*MAX(MIN(AN187,$J$5),$I$5)*MAX(MIN(AN187,$J$5),$I$5)+$G$5*MAX(MIN(AN187,$J$5),$I$5)*(BG187*AZ187/($K$5*1000))+$H$5*(BG187*AZ187/($K$5*1000))*(BG187*AZ187/($K$5*1000)))</f>
        <v>0</v>
      </c>
      <c r="Q187">
        <f>H187*(1000-(1000*0.61365*exp(17.502*U187/(240.97+U187))/(AZ187+BA187)+AU187)/2)/(1000*0.61365*exp(17.502*U187/(240.97+U187))/(AZ187+BA187)-AU187)</f>
        <v>0</v>
      </c>
      <c r="R187">
        <f>1/((AO187+1)/(O187/1.6)+1/(P187/1.37)) + AO187/((AO187+1)/(O187/1.6) + AO187/(P187/1.37))</f>
        <v>0</v>
      </c>
      <c r="S187">
        <f>(AJ187*AM187)</f>
        <v>0</v>
      </c>
      <c r="T187">
        <f>(BB187+(S187+2*0.95*5.67E-8*(((BB187+$B$7)+273)^4-(BB187+273)^4)-44100*H187)/(1.84*29.3*P187+8*0.95*5.67E-8*(BB187+273)^3))</f>
        <v>0</v>
      </c>
      <c r="U187">
        <f>($C$7*BC187+$D$7*BD187+$E$7*T187)</f>
        <v>0</v>
      </c>
      <c r="V187">
        <f>0.61365*exp(17.502*U187/(240.97+U187))</f>
        <v>0</v>
      </c>
      <c r="W187">
        <f>(X187/Y187*100)</f>
        <v>0</v>
      </c>
      <c r="X187">
        <f>AU187*(AZ187+BA187)/1000</f>
        <v>0</v>
      </c>
      <c r="Y187">
        <f>0.61365*exp(17.502*BB187/(240.97+BB187))</f>
        <v>0</v>
      </c>
      <c r="Z187">
        <f>(V187-AU187*(AZ187+BA187)/1000)</f>
        <v>0</v>
      </c>
      <c r="AA187">
        <f>(-H187*44100)</f>
        <v>0</v>
      </c>
      <c r="AB187">
        <f>2*29.3*P187*0.92*(BB187-U187)</f>
        <v>0</v>
      </c>
      <c r="AC187">
        <f>2*0.95*5.67E-8*(((BB187+$B$7)+273)^4-(U187+273)^4)</f>
        <v>0</v>
      </c>
      <c r="AD187">
        <f>S187+AC187+AA187+AB187</f>
        <v>0</v>
      </c>
      <c r="AE187">
        <v>0</v>
      </c>
      <c r="AF187">
        <v>0</v>
      </c>
      <c r="AG187">
        <f>IF(AE187*$H$13&gt;=AI187,1.0,(AI187/(AI187-AE187*$H$13)))</f>
        <v>0</v>
      </c>
      <c r="AH187">
        <f>(AG187-1)*100</f>
        <v>0</v>
      </c>
      <c r="AI187">
        <f>MAX(0,($B$13+$C$13*BG187)/(1+$D$13*BG187)*AZ187/(BB187+273)*$E$13)</f>
        <v>0</v>
      </c>
      <c r="AJ187">
        <f>$B$11*BH187+$C$11*BI187+$D$11*BT187</f>
        <v>0</v>
      </c>
      <c r="AK187">
        <f>AJ187*AL187</f>
        <v>0</v>
      </c>
      <c r="AL187">
        <f>($B$11*$D$9+$C$11*$D$9+$D$11*(BU187*$E$9+BV187*$G$9))/($B$11+$C$11+$D$11)</f>
        <v>0</v>
      </c>
      <c r="AM187">
        <f>($B$11*$K$9+$C$11*$K$9+$D$11*(BU187*$L$9+BV187*$N$9))/($B$11+$C$11+$D$11)</f>
        <v>0</v>
      </c>
      <c r="AN187">
        <v>3</v>
      </c>
      <c r="AO187">
        <v>0.5</v>
      </c>
      <c r="AP187" t="s">
        <v>331</v>
      </c>
      <c r="AQ187">
        <v>2</v>
      </c>
      <c r="AR187">
        <v>1773206293.5</v>
      </c>
      <c r="AS187">
        <v>419.6542258064516</v>
      </c>
      <c r="AT187">
        <v>417.3160967741935</v>
      </c>
      <c r="AU187">
        <v>13.07557741935484</v>
      </c>
      <c r="AV187">
        <v>12.99143870967742</v>
      </c>
      <c r="AW187">
        <v>413.4229677419356</v>
      </c>
      <c r="AX187">
        <v>12.9949870967742</v>
      </c>
      <c r="AY187">
        <v>500.0131612903226</v>
      </c>
      <c r="AZ187">
        <v>100.0373225806452</v>
      </c>
      <c r="BA187">
        <v>0.04532732580645162</v>
      </c>
      <c r="BB187">
        <v>30.79575806451613</v>
      </c>
      <c r="BC187">
        <v>31.13205161290322</v>
      </c>
      <c r="BD187">
        <v>999.9000000000003</v>
      </c>
      <c r="BE187">
        <v>0</v>
      </c>
      <c r="BF187">
        <v>0</v>
      </c>
      <c r="BG187">
        <v>5001.83870967742</v>
      </c>
      <c r="BH187">
        <v>0.991921580645161</v>
      </c>
      <c r="BI187">
        <v>2069.42935483871</v>
      </c>
      <c r="BJ187">
        <v>2.338109032258064</v>
      </c>
      <c r="BK187">
        <v>425.2141612903226</v>
      </c>
      <c r="BL187">
        <v>422.8089677419355</v>
      </c>
      <c r="BM187">
        <v>0.08413113870967744</v>
      </c>
      <c r="BN187">
        <v>417.3160967741935</v>
      </c>
      <c r="BO187">
        <v>12.99143870967742</v>
      </c>
      <c r="BP187">
        <v>1.308045483870968</v>
      </c>
      <c r="BQ187">
        <v>1.299630322580645</v>
      </c>
      <c r="BR187">
        <v>10.89161612903226</v>
      </c>
      <c r="BS187">
        <v>10.79457096774194</v>
      </c>
      <c r="BT187">
        <v>0</v>
      </c>
      <c r="BU187">
        <v>0</v>
      </c>
      <c r="BV187">
        <v>0</v>
      </c>
      <c r="BW187">
        <v>35</v>
      </c>
      <c r="BX187">
        <v>54.98818387096775</v>
      </c>
      <c r="BY187">
        <v>1773196010</v>
      </c>
      <c r="BZ187" t="s">
        <v>332</v>
      </c>
      <c r="CA187">
        <v>1773196010</v>
      </c>
      <c r="CB187">
        <v>1773196005.5</v>
      </c>
      <c r="CC187">
        <v>2</v>
      </c>
      <c r="CD187">
        <v>-0.279</v>
      </c>
      <c r="CE187">
        <v>-0.021</v>
      </c>
      <c r="CF187">
        <v>6.231</v>
      </c>
      <c r="CG187">
        <v>0.081</v>
      </c>
      <c r="CH187">
        <v>432</v>
      </c>
      <c r="CI187">
        <v>21</v>
      </c>
      <c r="CJ187">
        <v>0.03</v>
      </c>
      <c r="CK187">
        <v>0.06</v>
      </c>
      <c r="CL187">
        <v>417.3174666666667</v>
      </c>
      <c r="CM187">
        <v>0.1563337041150703</v>
      </c>
      <c r="CN187">
        <v>0.02136466449277795</v>
      </c>
      <c r="CO187">
        <v>-1</v>
      </c>
      <c r="CP187">
        <v>500.0141333333333</v>
      </c>
      <c r="CQ187">
        <v>-0.1840444938816956</v>
      </c>
      <c r="CR187">
        <v>0.0763438420713967</v>
      </c>
      <c r="CS187">
        <v>-1</v>
      </c>
      <c r="CT187">
        <v>0</v>
      </c>
      <c r="CU187">
        <v>0</v>
      </c>
      <c r="CV187" t="s">
        <v>333</v>
      </c>
      <c r="CW187">
        <v>3.17116</v>
      </c>
      <c r="CX187">
        <v>2.66642</v>
      </c>
      <c r="CY187">
        <v>0.09831139999999999</v>
      </c>
      <c r="CZ187">
        <v>0.099062</v>
      </c>
      <c r="DA187">
        <v>0.07143090000000001</v>
      </c>
      <c r="DB187">
        <v>0.0711596</v>
      </c>
      <c r="DC187">
        <v>21313.8</v>
      </c>
      <c r="DD187">
        <v>21900.9</v>
      </c>
      <c r="DE187">
        <v>22793</v>
      </c>
      <c r="DF187">
        <v>22258.3</v>
      </c>
      <c r="DG187">
        <v>32011.7</v>
      </c>
      <c r="DH187">
        <v>29122.5</v>
      </c>
      <c r="DI187">
        <v>40123.9</v>
      </c>
      <c r="DJ187">
        <v>36814.1</v>
      </c>
      <c r="DK187">
        <v>2.0198</v>
      </c>
      <c r="DL187">
        <v>1.4884</v>
      </c>
      <c r="DM187">
        <v>-0.0959933</v>
      </c>
      <c r="DN187">
        <v>0</v>
      </c>
      <c r="DO187">
        <v>32.6999</v>
      </c>
      <c r="DP187">
        <v>999.9</v>
      </c>
      <c r="DQ187">
        <v>23.8</v>
      </c>
      <c r="DR187">
        <v>46</v>
      </c>
      <c r="DS187">
        <v>24.1394</v>
      </c>
      <c r="DT187">
        <v>30.0664</v>
      </c>
      <c r="DU187">
        <v>14.5513</v>
      </c>
      <c r="DV187">
        <v>1</v>
      </c>
      <c r="DW187">
        <v>0.9439109999999999</v>
      </c>
      <c r="DX187">
        <v>4.58782</v>
      </c>
      <c r="DY187">
        <v>20.2887</v>
      </c>
      <c r="DZ187">
        <v>5.20842</v>
      </c>
      <c r="EA187">
        <v>11.8579</v>
      </c>
      <c r="EB187">
        <v>4.96728</v>
      </c>
      <c r="EC187">
        <v>3.293</v>
      </c>
      <c r="ED187">
        <v>879.4</v>
      </c>
      <c r="EE187">
        <v>9999</v>
      </c>
      <c r="EF187">
        <v>9999</v>
      </c>
      <c r="EG187">
        <v>78.90000000000001</v>
      </c>
      <c r="EH187">
        <v>4.97157</v>
      </c>
      <c r="EI187">
        <v>1.8721</v>
      </c>
      <c r="EJ187">
        <v>1.86946</v>
      </c>
      <c r="EK187">
        <v>1.8718</v>
      </c>
      <c r="EL187">
        <v>1.86958</v>
      </c>
      <c r="EM187">
        <v>1.86839</v>
      </c>
      <c r="EN187">
        <v>1.87014</v>
      </c>
      <c r="EO187">
        <v>1.87195</v>
      </c>
      <c r="EP187">
        <v>0</v>
      </c>
      <c r="EQ187">
        <v>0</v>
      </c>
      <c r="ER187">
        <v>0</v>
      </c>
      <c r="ES187">
        <v>0</v>
      </c>
      <c r="ET187" t="s">
        <v>334</v>
      </c>
      <c r="EU187" t="s">
        <v>335</v>
      </c>
      <c r="EV187" t="s">
        <v>336</v>
      </c>
      <c r="EW187" t="s">
        <v>336</v>
      </c>
      <c r="EX187" t="s">
        <v>336</v>
      </c>
      <c r="EY187" t="s">
        <v>336</v>
      </c>
      <c r="EZ187">
        <v>0</v>
      </c>
      <c r="FA187">
        <v>100</v>
      </c>
      <c r="FB187">
        <v>100</v>
      </c>
      <c r="FC187">
        <v>6.231</v>
      </c>
      <c r="FD187">
        <v>0.0806</v>
      </c>
      <c r="FE187">
        <v>6.23135000000002</v>
      </c>
      <c r="FF187">
        <v>0</v>
      </c>
      <c r="FG187">
        <v>0</v>
      </c>
      <c r="FH187">
        <v>0</v>
      </c>
      <c r="FI187">
        <v>0.08059047619047632</v>
      </c>
      <c r="FJ187">
        <v>0</v>
      </c>
      <c r="FK187">
        <v>0</v>
      </c>
      <c r="FL187">
        <v>0</v>
      </c>
      <c r="FM187">
        <v>-1</v>
      </c>
      <c r="FN187">
        <v>-1</v>
      </c>
      <c r="FO187">
        <v>-1</v>
      </c>
      <c r="FP187">
        <v>-1</v>
      </c>
      <c r="FQ187">
        <v>171.5</v>
      </c>
      <c r="FR187">
        <v>171.6</v>
      </c>
      <c r="FS187">
        <v>0.140381</v>
      </c>
      <c r="FT187">
        <v>4.99756</v>
      </c>
      <c r="FU187">
        <v>1.5979</v>
      </c>
      <c r="FV187">
        <v>2.10938</v>
      </c>
      <c r="FW187">
        <v>1.54785</v>
      </c>
      <c r="FX187">
        <v>2.37549</v>
      </c>
      <c r="FY187">
        <v>47.6622</v>
      </c>
      <c r="FZ187">
        <v>15.0164</v>
      </c>
      <c r="GA187">
        <v>3</v>
      </c>
      <c r="GB187">
        <v>520.141</v>
      </c>
      <c r="GC187">
        <v>287.319</v>
      </c>
      <c r="GD187">
        <v>27.2195</v>
      </c>
      <c r="GE187">
        <v>38.5135</v>
      </c>
      <c r="GF187">
        <v>30.0007</v>
      </c>
      <c r="GG187">
        <v>38.3572</v>
      </c>
      <c r="GH187">
        <v>38.341</v>
      </c>
      <c r="GI187">
        <v>-1</v>
      </c>
      <c r="GJ187">
        <v>100</v>
      </c>
      <c r="GK187">
        <v>0</v>
      </c>
      <c r="GL187">
        <v>27.2171</v>
      </c>
      <c r="GM187">
        <v>1200</v>
      </c>
      <c r="GN187">
        <v>19.4378</v>
      </c>
      <c r="GO187">
        <v>100.938</v>
      </c>
      <c r="GP187">
        <v>96.134</v>
      </c>
    </row>
    <row r="188" spans="1:198">
      <c r="A188">
        <v>172</v>
      </c>
      <c r="B188">
        <v>1773206361.5</v>
      </c>
      <c r="C188">
        <v>10261.5</v>
      </c>
      <c r="D188" t="s">
        <v>677</v>
      </c>
      <c r="E188" t="s">
        <v>678</v>
      </c>
      <c r="F188">
        <v>15</v>
      </c>
      <c r="G188">
        <v>1773206353.5</v>
      </c>
      <c r="H188">
        <f>(I188)/1000</f>
        <v>0</v>
      </c>
      <c r="I188">
        <f>1000*AY188*AG188*(AU188-AV188)/(100*AN188*(1000-AG188*AU188))</f>
        <v>0</v>
      </c>
      <c r="J188">
        <f>AY188*AG188*(AT188-AS188*(1000-AG188*AV188)/(1000-AG188*AU188))/(100*AN188)</f>
        <v>0</v>
      </c>
      <c r="K188">
        <f>AS188 - IF(AG188&gt;1, J188*AN188*100.0/(AI188), 0)</f>
        <v>0</v>
      </c>
      <c r="L188">
        <f>((R188-H188/2)*K188-J188)/(R188+H188/2)</f>
        <v>0</v>
      </c>
      <c r="M188">
        <f>L188*(AZ188+BA188)/1000.0</f>
        <v>0</v>
      </c>
      <c r="N188">
        <f>(AS188 - IF(AG188&gt;1, J188*AN188*100.0/(AI188), 0))*(AZ188+BA188)/1000.0</f>
        <v>0</v>
      </c>
      <c r="O188">
        <f>2.0/((1/Q188-1/P188)+SIGN(Q188)*SQRT((1/Q188-1/P188)*(1/Q188-1/P188) + 4*AO188/((AO188+1)*(AO188+1))*(2*1/Q188*1/P188-1/P188*1/P188)))</f>
        <v>0</v>
      </c>
      <c r="P188">
        <f>IF(LEFT(AP188,1)&lt;&gt;"0",IF(LEFT(AP188,1)="1",3.0,AQ188),$D$5+$E$5*(BG188*AZ188/($K$5*1000))+$F$5*(BG188*AZ188/($K$5*1000))*MAX(MIN(AN188,$J$5),$I$5)*MAX(MIN(AN188,$J$5),$I$5)+$G$5*MAX(MIN(AN188,$J$5),$I$5)*(BG188*AZ188/($K$5*1000))+$H$5*(BG188*AZ188/($K$5*1000))*(BG188*AZ188/($K$5*1000)))</f>
        <v>0</v>
      </c>
      <c r="Q188">
        <f>H188*(1000-(1000*0.61365*exp(17.502*U188/(240.97+U188))/(AZ188+BA188)+AU188)/2)/(1000*0.61365*exp(17.502*U188/(240.97+U188))/(AZ188+BA188)-AU188)</f>
        <v>0</v>
      </c>
      <c r="R188">
        <f>1/((AO188+1)/(O188/1.6)+1/(P188/1.37)) + AO188/((AO188+1)/(O188/1.6) + AO188/(P188/1.37))</f>
        <v>0</v>
      </c>
      <c r="S188">
        <f>(AJ188*AM188)</f>
        <v>0</v>
      </c>
      <c r="T188">
        <f>(BB188+(S188+2*0.95*5.67E-8*(((BB188+$B$7)+273)^4-(BB188+273)^4)-44100*H188)/(1.84*29.3*P188+8*0.95*5.67E-8*(BB188+273)^3))</f>
        <v>0</v>
      </c>
      <c r="U188">
        <f>($C$7*BC188+$D$7*BD188+$E$7*T188)</f>
        <v>0</v>
      </c>
      <c r="V188">
        <f>0.61365*exp(17.502*U188/(240.97+U188))</f>
        <v>0</v>
      </c>
      <c r="W188">
        <f>(X188/Y188*100)</f>
        <v>0</v>
      </c>
      <c r="X188">
        <f>AU188*(AZ188+BA188)/1000</f>
        <v>0</v>
      </c>
      <c r="Y188">
        <f>0.61365*exp(17.502*BB188/(240.97+BB188))</f>
        <v>0</v>
      </c>
      <c r="Z188">
        <f>(V188-AU188*(AZ188+BA188)/1000)</f>
        <v>0</v>
      </c>
      <c r="AA188">
        <f>(-H188*44100)</f>
        <v>0</v>
      </c>
      <c r="AB188">
        <f>2*29.3*P188*0.92*(BB188-U188)</f>
        <v>0</v>
      </c>
      <c r="AC188">
        <f>2*0.95*5.67E-8*(((BB188+$B$7)+273)^4-(U188+273)^4)</f>
        <v>0</v>
      </c>
      <c r="AD188">
        <f>S188+AC188+AA188+AB188</f>
        <v>0</v>
      </c>
      <c r="AE188">
        <v>0</v>
      </c>
      <c r="AF188">
        <v>0</v>
      </c>
      <c r="AG188">
        <f>IF(AE188*$H$13&gt;=AI188,1.0,(AI188/(AI188-AE188*$H$13)))</f>
        <v>0</v>
      </c>
      <c r="AH188">
        <f>(AG188-1)*100</f>
        <v>0</v>
      </c>
      <c r="AI188">
        <f>MAX(0,($B$13+$C$13*BG188)/(1+$D$13*BG188)*AZ188/(BB188+273)*$E$13)</f>
        <v>0</v>
      </c>
      <c r="AJ188">
        <f>$B$11*BH188+$C$11*BI188+$D$11*BT188</f>
        <v>0</v>
      </c>
      <c r="AK188">
        <f>AJ188*AL188</f>
        <v>0</v>
      </c>
      <c r="AL188">
        <f>($B$11*$D$9+$C$11*$D$9+$D$11*(BU188*$E$9+BV188*$G$9))/($B$11+$C$11+$D$11)</f>
        <v>0</v>
      </c>
      <c r="AM188">
        <f>($B$11*$K$9+$C$11*$K$9+$D$11*(BU188*$L$9+BV188*$N$9))/($B$11+$C$11+$D$11)</f>
        <v>0</v>
      </c>
      <c r="AN188">
        <v>3</v>
      </c>
      <c r="AO188">
        <v>0.5</v>
      </c>
      <c r="AP188" t="s">
        <v>331</v>
      </c>
      <c r="AQ188">
        <v>2</v>
      </c>
      <c r="AR188">
        <v>1773206353.5</v>
      </c>
      <c r="AS188">
        <v>419.4407741935484</v>
      </c>
      <c r="AT188">
        <v>417.0512903225807</v>
      </c>
      <c r="AU188">
        <v>13.15508064516129</v>
      </c>
      <c r="AV188">
        <v>13.06131612903226</v>
      </c>
      <c r="AW188">
        <v>413.2094516129033</v>
      </c>
      <c r="AX188">
        <v>13.07449354838709</v>
      </c>
      <c r="AY188">
        <v>500.008064516129</v>
      </c>
      <c r="AZ188">
        <v>100.0367096774193</v>
      </c>
      <c r="BA188">
        <v>0.04599289354838709</v>
      </c>
      <c r="BB188">
        <v>30.83030967741935</v>
      </c>
      <c r="BC188">
        <v>31.15564193548387</v>
      </c>
      <c r="BD188">
        <v>999.9000000000003</v>
      </c>
      <c r="BE188">
        <v>0</v>
      </c>
      <c r="BF188">
        <v>0</v>
      </c>
      <c r="BG188">
        <v>4998.645161290323</v>
      </c>
      <c r="BH188">
        <v>0.9973169677419353</v>
      </c>
      <c r="BI188">
        <v>2061.541290322581</v>
      </c>
      <c r="BJ188">
        <v>2.389541935483872</v>
      </c>
      <c r="BK188">
        <v>425.0320967741936</v>
      </c>
      <c r="BL188">
        <v>422.5705161290323</v>
      </c>
      <c r="BM188">
        <v>0.09376823870967745</v>
      </c>
      <c r="BN188">
        <v>417.0512903225807</v>
      </c>
      <c r="BO188">
        <v>13.06131612903226</v>
      </c>
      <c r="BP188">
        <v>1.315992903225806</v>
      </c>
      <c r="BQ188">
        <v>1.306611935483871</v>
      </c>
      <c r="BR188">
        <v>10.98275806451613</v>
      </c>
      <c r="BS188">
        <v>10.87512258064516</v>
      </c>
      <c r="BT188">
        <v>0</v>
      </c>
      <c r="BU188">
        <v>0</v>
      </c>
      <c r="BV188">
        <v>0</v>
      </c>
      <c r="BW188">
        <v>35</v>
      </c>
      <c r="BX188">
        <v>55.97848387096774</v>
      </c>
      <c r="BY188">
        <v>1773196010</v>
      </c>
      <c r="BZ188" t="s">
        <v>332</v>
      </c>
      <c r="CA188">
        <v>1773196010</v>
      </c>
      <c r="CB188">
        <v>1773196005.5</v>
      </c>
      <c r="CC188">
        <v>2</v>
      </c>
      <c r="CD188">
        <v>-0.279</v>
      </c>
      <c r="CE188">
        <v>-0.021</v>
      </c>
      <c r="CF188">
        <v>6.231</v>
      </c>
      <c r="CG188">
        <v>0.081</v>
      </c>
      <c r="CH188">
        <v>432</v>
      </c>
      <c r="CI188">
        <v>21</v>
      </c>
      <c r="CJ188">
        <v>0.03</v>
      </c>
      <c r="CK188">
        <v>0.06</v>
      </c>
      <c r="CL188">
        <v>417.0504</v>
      </c>
      <c r="CM188">
        <v>-0.3051390433815901</v>
      </c>
      <c r="CN188">
        <v>0.02502611968857466</v>
      </c>
      <c r="CO188">
        <v>-1</v>
      </c>
      <c r="CP188">
        <v>500.0106999999999</v>
      </c>
      <c r="CQ188">
        <v>-0.07600444938684589</v>
      </c>
      <c r="CR188">
        <v>0.03404521503334422</v>
      </c>
      <c r="CS188">
        <v>-1</v>
      </c>
      <c r="CT188">
        <v>0</v>
      </c>
      <c r="CU188">
        <v>0</v>
      </c>
      <c r="CV188" t="s">
        <v>333</v>
      </c>
      <c r="CW188">
        <v>3.17145</v>
      </c>
      <c r="CX188">
        <v>2.6675</v>
      </c>
      <c r="CY188">
        <v>0.0982584</v>
      </c>
      <c r="CZ188">
        <v>0.0990026</v>
      </c>
      <c r="DA188">
        <v>0.0717134</v>
      </c>
      <c r="DB188">
        <v>0.07139810000000001</v>
      </c>
      <c r="DC188">
        <v>21313</v>
      </c>
      <c r="DD188">
        <v>21901.4</v>
      </c>
      <c r="DE188">
        <v>22791</v>
      </c>
      <c r="DF188">
        <v>22257.5</v>
      </c>
      <c r="DG188">
        <v>31999.4</v>
      </c>
      <c r="DH188">
        <v>29113.7</v>
      </c>
      <c r="DI188">
        <v>40120.7</v>
      </c>
      <c r="DJ188">
        <v>36812.5</v>
      </c>
      <c r="DK188">
        <v>2.01972</v>
      </c>
      <c r="DL188">
        <v>1.4871</v>
      </c>
      <c r="DM188">
        <v>-0.09547170000000001</v>
      </c>
      <c r="DN188">
        <v>0</v>
      </c>
      <c r="DO188">
        <v>32.6935</v>
      </c>
      <c r="DP188">
        <v>999.9</v>
      </c>
      <c r="DQ188">
        <v>23.4</v>
      </c>
      <c r="DR188">
        <v>46.1</v>
      </c>
      <c r="DS188">
        <v>23.858</v>
      </c>
      <c r="DT188">
        <v>30.6064</v>
      </c>
      <c r="DU188">
        <v>14.2067</v>
      </c>
      <c r="DV188">
        <v>1</v>
      </c>
      <c r="DW188">
        <v>0.95148</v>
      </c>
      <c r="DX188">
        <v>5.15151</v>
      </c>
      <c r="DY188">
        <v>20.2685</v>
      </c>
      <c r="DZ188">
        <v>5.20974</v>
      </c>
      <c r="EA188">
        <v>11.8582</v>
      </c>
      <c r="EB188">
        <v>4.96728</v>
      </c>
      <c r="EC188">
        <v>3.293</v>
      </c>
      <c r="ED188">
        <v>879.4</v>
      </c>
      <c r="EE188">
        <v>9999</v>
      </c>
      <c r="EF188">
        <v>9999</v>
      </c>
      <c r="EG188">
        <v>78.90000000000001</v>
      </c>
      <c r="EH188">
        <v>4.97154</v>
      </c>
      <c r="EI188">
        <v>1.87209</v>
      </c>
      <c r="EJ188">
        <v>1.86947</v>
      </c>
      <c r="EK188">
        <v>1.87179</v>
      </c>
      <c r="EL188">
        <v>1.86954</v>
      </c>
      <c r="EM188">
        <v>1.86837</v>
      </c>
      <c r="EN188">
        <v>1.87013</v>
      </c>
      <c r="EO188">
        <v>1.87194</v>
      </c>
      <c r="EP188">
        <v>0</v>
      </c>
      <c r="EQ188">
        <v>0</v>
      </c>
      <c r="ER188">
        <v>0</v>
      </c>
      <c r="ES188">
        <v>0</v>
      </c>
      <c r="ET188" t="s">
        <v>334</v>
      </c>
      <c r="EU188" t="s">
        <v>335</v>
      </c>
      <c r="EV188" t="s">
        <v>336</v>
      </c>
      <c r="EW188" t="s">
        <v>336</v>
      </c>
      <c r="EX188" t="s">
        <v>336</v>
      </c>
      <c r="EY188" t="s">
        <v>336</v>
      </c>
      <c r="EZ188">
        <v>0</v>
      </c>
      <c r="FA188">
        <v>100</v>
      </c>
      <c r="FB188">
        <v>100</v>
      </c>
      <c r="FC188">
        <v>6.232</v>
      </c>
      <c r="FD188">
        <v>0.0806</v>
      </c>
      <c r="FE188">
        <v>6.23135000000002</v>
      </c>
      <c r="FF188">
        <v>0</v>
      </c>
      <c r="FG188">
        <v>0</v>
      </c>
      <c r="FH188">
        <v>0</v>
      </c>
      <c r="FI188">
        <v>0.08059047619047632</v>
      </c>
      <c r="FJ188">
        <v>0</v>
      </c>
      <c r="FK188">
        <v>0</v>
      </c>
      <c r="FL188">
        <v>0</v>
      </c>
      <c r="FM188">
        <v>-1</v>
      </c>
      <c r="FN188">
        <v>-1</v>
      </c>
      <c r="FO188">
        <v>-1</v>
      </c>
      <c r="FP188">
        <v>-1</v>
      </c>
      <c r="FQ188">
        <v>172.5</v>
      </c>
      <c r="FR188">
        <v>172.6</v>
      </c>
      <c r="FS188">
        <v>0.140381</v>
      </c>
      <c r="FT188">
        <v>4.99756</v>
      </c>
      <c r="FU188">
        <v>1.5979</v>
      </c>
      <c r="FV188">
        <v>2.10938</v>
      </c>
      <c r="FW188">
        <v>1.54785</v>
      </c>
      <c r="FX188">
        <v>2.49512</v>
      </c>
      <c r="FY188">
        <v>47.7226</v>
      </c>
      <c r="FZ188">
        <v>15.0076</v>
      </c>
      <c r="GA188">
        <v>3</v>
      </c>
      <c r="GB188">
        <v>520.3680000000001</v>
      </c>
      <c r="GC188">
        <v>286.834</v>
      </c>
      <c r="GD188">
        <v>26.8039</v>
      </c>
      <c r="GE188">
        <v>38.5597</v>
      </c>
      <c r="GF188">
        <v>30.0002</v>
      </c>
      <c r="GG188">
        <v>38.3967</v>
      </c>
      <c r="GH188">
        <v>38.3732</v>
      </c>
      <c r="GI188">
        <v>-1</v>
      </c>
      <c r="GJ188">
        <v>100</v>
      </c>
      <c r="GK188">
        <v>0</v>
      </c>
      <c r="GL188">
        <v>26.7989</v>
      </c>
      <c r="GM188">
        <v>1200</v>
      </c>
      <c r="GN188">
        <v>19.4378</v>
      </c>
      <c r="GO188">
        <v>100.929</v>
      </c>
      <c r="GP188">
        <v>96.1301</v>
      </c>
    </row>
    <row r="189" spans="1:198">
      <c r="A189">
        <v>173</v>
      </c>
      <c r="B189">
        <v>1773206421.5</v>
      </c>
      <c r="C189">
        <v>10321.5</v>
      </c>
      <c r="D189" t="s">
        <v>679</v>
      </c>
      <c r="E189" t="s">
        <v>680</v>
      </c>
      <c r="F189">
        <v>15</v>
      </c>
      <c r="G189">
        <v>1773206413.5</v>
      </c>
      <c r="H189">
        <f>(I189)/1000</f>
        <v>0</v>
      </c>
      <c r="I189">
        <f>1000*AY189*AG189*(AU189-AV189)/(100*AN189*(1000-AG189*AU189))</f>
        <v>0</v>
      </c>
      <c r="J189">
        <f>AY189*AG189*(AT189-AS189*(1000-AG189*AV189)/(1000-AG189*AU189))/(100*AN189)</f>
        <v>0</v>
      </c>
      <c r="K189">
        <f>AS189 - IF(AG189&gt;1, J189*AN189*100.0/(AI189), 0)</f>
        <v>0</v>
      </c>
      <c r="L189">
        <f>((R189-H189/2)*K189-J189)/(R189+H189/2)</f>
        <v>0</v>
      </c>
      <c r="M189">
        <f>L189*(AZ189+BA189)/1000.0</f>
        <v>0</v>
      </c>
      <c r="N189">
        <f>(AS189 - IF(AG189&gt;1, J189*AN189*100.0/(AI189), 0))*(AZ189+BA189)/1000.0</f>
        <v>0</v>
      </c>
      <c r="O189">
        <f>2.0/((1/Q189-1/P189)+SIGN(Q189)*SQRT((1/Q189-1/P189)*(1/Q189-1/P189) + 4*AO189/((AO189+1)*(AO189+1))*(2*1/Q189*1/P189-1/P189*1/P189)))</f>
        <v>0</v>
      </c>
      <c r="P189">
        <f>IF(LEFT(AP189,1)&lt;&gt;"0",IF(LEFT(AP189,1)="1",3.0,AQ189),$D$5+$E$5*(BG189*AZ189/($K$5*1000))+$F$5*(BG189*AZ189/($K$5*1000))*MAX(MIN(AN189,$J$5),$I$5)*MAX(MIN(AN189,$J$5),$I$5)+$G$5*MAX(MIN(AN189,$J$5),$I$5)*(BG189*AZ189/($K$5*1000))+$H$5*(BG189*AZ189/($K$5*1000))*(BG189*AZ189/($K$5*1000)))</f>
        <v>0</v>
      </c>
      <c r="Q189">
        <f>H189*(1000-(1000*0.61365*exp(17.502*U189/(240.97+U189))/(AZ189+BA189)+AU189)/2)/(1000*0.61365*exp(17.502*U189/(240.97+U189))/(AZ189+BA189)-AU189)</f>
        <v>0</v>
      </c>
      <c r="R189">
        <f>1/((AO189+1)/(O189/1.6)+1/(P189/1.37)) + AO189/((AO189+1)/(O189/1.6) + AO189/(P189/1.37))</f>
        <v>0</v>
      </c>
      <c r="S189">
        <f>(AJ189*AM189)</f>
        <v>0</v>
      </c>
      <c r="T189">
        <f>(BB189+(S189+2*0.95*5.67E-8*(((BB189+$B$7)+273)^4-(BB189+273)^4)-44100*H189)/(1.84*29.3*P189+8*0.95*5.67E-8*(BB189+273)^3))</f>
        <v>0</v>
      </c>
      <c r="U189">
        <f>($C$7*BC189+$D$7*BD189+$E$7*T189)</f>
        <v>0</v>
      </c>
      <c r="V189">
        <f>0.61365*exp(17.502*U189/(240.97+U189))</f>
        <v>0</v>
      </c>
      <c r="W189">
        <f>(X189/Y189*100)</f>
        <v>0</v>
      </c>
      <c r="X189">
        <f>AU189*(AZ189+BA189)/1000</f>
        <v>0</v>
      </c>
      <c r="Y189">
        <f>0.61365*exp(17.502*BB189/(240.97+BB189))</f>
        <v>0</v>
      </c>
      <c r="Z189">
        <f>(V189-AU189*(AZ189+BA189)/1000)</f>
        <v>0</v>
      </c>
      <c r="AA189">
        <f>(-H189*44100)</f>
        <v>0</v>
      </c>
      <c r="AB189">
        <f>2*29.3*P189*0.92*(BB189-U189)</f>
        <v>0</v>
      </c>
      <c r="AC189">
        <f>2*0.95*5.67E-8*(((BB189+$B$7)+273)^4-(U189+273)^4)</f>
        <v>0</v>
      </c>
      <c r="AD189">
        <f>S189+AC189+AA189+AB189</f>
        <v>0</v>
      </c>
      <c r="AE189">
        <v>0</v>
      </c>
      <c r="AF189">
        <v>0</v>
      </c>
      <c r="AG189">
        <f>IF(AE189*$H$13&gt;=AI189,1.0,(AI189/(AI189-AE189*$H$13)))</f>
        <v>0</v>
      </c>
      <c r="AH189">
        <f>(AG189-1)*100</f>
        <v>0</v>
      </c>
      <c r="AI189">
        <f>MAX(0,($B$13+$C$13*BG189)/(1+$D$13*BG189)*AZ189/(BB189+273)*$E$13)</f>
        <v>0</v>
      </c>
      <c r="AJ189">
        <f>$B$11*BH189+$C$11*BI189+$D$11*BT189</f>
        <v>0</v>
      </c>
      <c r="AK189">
        <f>AJ189*AL189</f>
        <v>0</v>
      </c>
      <c r="AL189">
        <f>($B$11*$D$9+$C$11*$D$9+$D$11*(BU189*$E$9+BV189*$G$9))/($B$11+$C$11+$D$11)</f>
        <v>0</v>
      </c>
      <c r="AM189">
        <f>($B$11*$K$9+$C$11*$K$9+$D$11*(BU189*$L$9+BV189*$N$9))/($B$11+$C$11+$D$11)</f>
        <v>0</v>
      </c>
      <c r="AN189">
        <v>3</v>
      </c>
      <c r="AO189">
        <v>0.5</v>
      </c>
      <c r="AP189" t="s">
        <v>331</v>
      </c>
      <c r="AQ189">
        <v>2</v>
      </c>
      <c r="AR189">
        <v>1773206413.5</v>
      </c>
      <c r="AS189">
        <v>419.4231935483871</v>
      </c>
      <c r="AT189">
        <v>417.0850645161291</v>
      </c>
      <c r="AU189">
        <v>13.21011935483871</v>
      </c>
      <c r="AV189">
        <v>13.12146129032258</v>
      </c>
      <c r="AW189">
        <v>413.1918709677419</v>
      </c>
      <c r="AX189">
        <v>13.12954193548387</v>
      </c>
      <c r="AY189">
        <v>500.037870967742</v>
      </c>
      <c r="AZ189">
        <v>100.0365806451613</v>
      </c>
      <c r="BA189">
        <v>0.04565016774193548</v>
      </c>
      <c r="BB189">
        <v>30.79294838709678</v>
      </c>
      <c r="BC189">
        <v>31.13654838709677</v>
      </c>
      <c r="BD189">
        <v>999.9000000000003</v>
      </c>
      <c r="BE189">
        <v>0</v>
      </c>
      <c r="BF189">
        <v>0</v>
      </c>
      <c r="BG189">
        <v>4990.080645161291</v>
      </c>
      <c r="BH189">
        <v>1.038465580645161</v>
      </c>
      <c r="BI189">
        <v>2055.351290322581</v>
      </c>
      <c r="BJ189">
        <v>2.338086774193548</v>
      </c>
      <c r="BK189">
        <v>425.037935483871</v>
      </c>
      <c r="BL189">
        <v>422.6306451612903</v>
      </c>
      <c r="BM189">
        <v>0.08866494838709678</v>
      </c>
      <c r="BN189">
        <v>417.0850645161291</v>
      </c>
      <c r="BO189">
        <v>13.12146129032258</v>
      </c>
      <c r="BP189">
        <v>1.321494838709677</v>
      </c>
      <c r="BQ189">
        <v>1.312625161290322</v>
      </c>
      <c r="BR189">
        <v>11.04556774193548</v>
      </c>
      <c r="BS189">
        <v>10.94420322580645</v>
      </c>
      <c r="BT189">
        <v>0</v>
      </c>
      <c r="BU189">
        <v>0</v>
      </c>
      <c r="BV189">
        <v>0</v>
      </c>
      <c r="BW189">
        <v>35</v>
      </c>
      <c r="BX189">
        <v>57</v>
      </c>
      <c r="BY189">
        <v>1773196010</v>
      </c>
      <c r="BZ189" t="s">
        <v>332</v>
      </c>
      <c r="CA189">
        <v>1773196010</v>
      </c>
      <c r="CB189">
        <v>1773196005.5</v>
      </c>
      <c r="CC189">
        <v>2</v>
      </c>
      <c r="CD189">
        <v>-0.279</v>
      </c>
      <c r="CE189">
        <v>-0.021</v>
      </c>
      <c r="CF189">
        <v>6.231</v>
      </c>
      <c r="CG189">
        <v>0.081</v>
      </c>
      <c r="CH189">
        <v>432</v>
      </c>
      <c r="CI189">
        <v>21</v>
      </c>
      <c r="CJ189">
        <v>0.03</v>
      </c>
      <c r="CK189">
        <v>0.06</v>
      </c>
      <c r="CL189">
        <v>417.0843666666667</v>
      </c>
      <c r="CM189">
        <v>0.06676751946601407</v>
      </c>
      <c r="CN189">
        <v>0.01276579631498475</v>
      </c>
      <c r="CO189">
        <v>-1</v>
      </c>
      <c r="CP189">
        <v>500.0410333333334</v>
      </c>
      <c r="CQ189">
        <v>-0.4007919910998189</v>
      </c>
      <c r="CR189">
        <v>0.0485520225005011</v>
      </c>
      <c r="CS189">
        <v>-1</v>
      </c>
      <c r="CT189">
        <v>0</v>
      </c>
      <c r="CU189">
        <v>0</v>
      </c>
      <c r="CV189" t="s">
        <v>333</v>
      </c>
      <c r="CW189">
        <v>3.17138</v>
      </c>
      <c r="CX189">
        <v>2.66693</v>
      </c>
      <c r="CY189">
        <v>0.0982518</v>
      </c>
      <c r="CZ189">
        <v>0.09901219999999999</v>
      </c>
      <c r="DA189">
        <v>0.0719706</v>
      </c>
      <c r="DB189">
        <v>0.07168529999999999</v>
      </c>
      <c r="DC189">
        <v>21313.2</v>
      </c>
      <c r="DD189">
        <v>21901.3</v>
      </c>
      <c r="DE189">
        <v>22791.1</v>
      </c>
      <c r="DF189">
        <v>22257.7</v>
      </c>
      <c r="DG189">
        <v>31990.8</v>
      </c>
      <c r="DH189">
        <v>29104.9</v>
      </c>
      <c r="DI189">
        <v>40121.1</v>
      </c>
      <c r="DJ189">
        <v>36812.6</v>
      </c>
      <c r="DK189">
        <v>2.01952</v>
      </c>
      <c r="DL189">
        <v>1.48766</v>
      </c>
      <c r="DM189">
        <v>-0.0985593</v>
      </c>
      <c r="DN189">
        <v>0</v>
      </c>
      <c r="DO189">
        <v>32.7566</v>
      </c>
      <c r="DP189">
        <v>999.9</v>
      </c>
      <c r="DQ189">
        <v>23.5</v>
      </c>
      <c r="DR189">
        <v>46.1</v>
      </c>
      <c r="DS189">
        <v>23.958</v>
      </c>
      <c r="DT189">
        <v>30.4264</v>
      </c>
      <c r="DU189">
        <v>14.403</v>
      </c>
      <c r="DV189">
        <v>1</v>
      </c>
      <c r="DW189">
        <v>0.94951</v>
      </c>
      <c r="DX189">
        <v>4.83323</v>
      </c>
      <c r="DY189">
        <v>20.2796</v>
      </c>
      <c r="DZ189">
        <v>5.20926</v>
      </c>
      <c r="EA189">
        <v>11.8579</v>
      </c>
      <c r="EB189">
        <v>4.96716</v>
      </c>
      <c r="EC189">
        <v>3.29298</v>
      </c>
      <c r="ED189">
        <v>879.4</v>
      </c>
      <c r="EE189">
        <v>9999</v>
      </c>
      <c r="EF189">
        <v>9999</v>
      </c>
      <c r="EG189">
        <v>78.90000000000001</v>
      </c>
      <c r="EH189">
        <v>4.97154</v>
      </c>
      <c r="EI189">
        <v>1.8721</v>
      </c>
      <c r="EJ189">
        <v>1.86949</v>
      </c>
      <c r="EK189">
        <v>1.8718</v>
      </c>
      <c r="EL189">
        <v>1.86955</v>
      </c>
      <c r="EM189">
        <v>1.86838</v>
      </c>
      <c r="EN189">
        <v>1.87015</v>
      </c>
      <c r="EO189">
        <v>1.87195</v>
      </c>
      <c r="EP189">
        <v>0</v>
      </c>
      <c r="EQ189">
        <v>0</v>
      </c>
      <c r="ER189">
        <v>0</v>
      </c>
      <c r="ES189">
        <v>0</v>
      </c>
      <c r="ET189" t="s">
        <v>334</v>
      </c>
      <c r="EU189" t="s">
        <v>335</v>
      </c>
      <c r="EV189" t="s">
        <v>336</v>
      </c>
      <c r="EW189" t="s">
        <v>336</v>
      </c>
      <c r="EX189" t="s">
        <v>336</v>
      </c>
      <c r="EY189" t="s">
        <v>336</v>
      </c>
      <c r="EZ189">
        <v>0</v>
      </c>
      <c r="FA189">
        <v>100</v>
      </c>
      <c r="FB189">
        <v>100</v>
      </c>
      <c r="FC189">
        <v>6.231</v>
      </c>
      <c r="FD189">
        <v>0.0806</v>
      </c>
      <c r="FE189">
        <v>6.23135000000002</v>
      </c>
      <c r="FF189">
        <v>0</v>
      </c>
      <c r="FG189">
        <v>0</v>
      </c>
      <c r="FH189">
        <v>0</v>
      </c>
      <c r="FI189">
        <v>0.08059047619047632</v>
      </c>
      <c r="FJ189">
        <v>0</v>
      </c>
      <c r="FK189">
        <v>0</v>
      </c>
      <c r="FL189">
        <v>0</v>
      </c>
      <c r="FM189">
        <v>-1</v>
      </c>
      <c r="FN189">
        <v>-1</v>
      </c>
      <c r="FO189">
        <v>-1</v>
      </c>
      <c r="FP189">
        <v>-1</v>
      </c>
      <c r="FQ189">
        <v>173.5</v>
      </c>
      <c r="FR189">
        <v>173.6</v>
      </c>
      <c r="FS189">
        <v>0.140381</v>
      </c>
      <c r="FT189">
        <v>4.99756</v>
      </c>
      <c r="FU189">
        <v>1.5979</v>
      </c>
      <c r="FV189">
        <v>2.10938</v>
      </c>
      <c r="FW189">
        <v>1.54785</v>
      </c>
      <c r="FX189">
        <v>2.38647</v>
      </c>
      <c r="FY189">
        <v>47.7831</v>
      </c>
      <c r="FZ189">
        <v>14.9989</v>
      </c>
      <c r="GA189">
        <v>3</v>
      </c>
      <c r="GB189">
        <v>520.396</v>
      </c>
      <c r="GC189">
        <v>287.186</v>
      </c>
      <c r="GD189">
        <v>26.9957</v>
      </c>
      <c r="GE189">
        <v>38.5775</v>
      </c>
      <c r="GF189">
        <v>30.0013</v>
      </c>
      <c r="GG189">
        <v>38.4188</v>
      </c>
      <c r="GH189">
        <v>38.3974</v>
      </c>
      <c r="GI189">
        <v>-1</v>
      </c>
      <c r="GJ189">
        <v>100</v>
      </c>
      <c r="GK189">
        <v>0</v>
      </c>
      <c r="GL189">
        <v>26.9758</v>
      </c>
      <c r="GM189">
        <v>1200</v>
      </c>
      <c r="GN189">
        <v>19.4378</v>
      </c>
      <c r="GO189">
        <v>100.93</v>
      </c>
      <c r="GP189">
        <v>96.1306</v>
      </c>
    </row>
    <row r="190" spans="1:198">
      <c r="A190">
        <v>174</v>
      </c>
      <c r="B190">
        <v>1773206481.5</v>
      </c>
      <c r="C190">
        <v>10381.5</v>
      </c>
      <c r="D190" t="s">
        <v>681</v>
      </c>
      <c r="E190" t="s">
        <v>682</v>
      </c>
      <c r="F190">
        <v>15</v>
      </c>
      <c r="G190">
        <v>1773206473.5</v>
      </c>
      <c r="H190">
        <f>(I190)/1000</f>
        <v>0</v>
      </c>
      <c r="I190">
        <f>1000*AY190*AG190*(AU190-AV190)/(100*AN190*(1000-AG190*AU190))</f>
        <v>0</v>
      </c>
      <c r="J190">
        <f>AY190*AG190*(AT190-AS190*(1000-AG190*AV190)/(1000-AG190*AU190))/(100*AN190)</f>
        <v>0</v>
      </c>
      <c r="K190">
        <f>AS190 - IF(AG190&gt;1, J190*AN190*100.0/(AI190), 0)</f>
        <v>0</v>
      </c>
      <c r="L190">
        <f>((R190-H190/2)*K190-J190)/(R190+H190/2)</f>
        <v>0</v>
      </c>
      <c r="M190">
        <f>L190*(AZ190+BA190)/1000.0</f>
        <v>0</v>
      </c>
      <c r="N190">
        <f>(AS190 - IF(AG190&gt;1, J190*AN190*100.0/(AI190), 0))*(AZ190+BA190)/1000.0</f>
        <v>0</v>
      </c>
      <c r="O190">
        <f>2.0/((1/Q190-1/P190)+SIGN(Q190)*SQRT((1/Q190-1/P190)*(1/Q190-1/P190) + 4*AO190/((AO190+1)*(AO190+1))*(2*1/Q190*1/P190-1/P190*1/P190)))</f>
        <v>0</v>
      </c>
      <c r="P190">
        <f>IF(LEFT(AP190,1)&lt;&gt;"0",IF(LEFT(AP190,1)="1",3.0,AQ190),$D$5+$E$5*(BG190*AZ190/($K$5*1000))+$F$5*(BG190*AZ190/($K$5*1000))*MAX(MIN(AN190,$J$5),$I$5)*MAX(MIN(AN190,$J$5),$I$5)+$G$5*MAX(MIN(AN190,$J$5),$I$5)*(BG190*AZ190/($K$5*1000))+$H$5*(BG190*AZ190/($K$5*1000))*(BG190*AZ190/($K$5*1000)))</f>
        <v>0</v>
      </c>
      <c r="Q190">
        <f>H190*(1000-(1000*0.61365*exp(17.502*U190/(240.97+U190))/(AZ190+BA190)+AU190)/2)/(1000*0.61365*exp(17.502*U190/(240.97+U190))/(AZ190+BA190)-AU190)</f>
        <v>0</v>
      </c>
      <c r="R190">
        <f>1/((AO190+1)/(O190/1.6)+1/(P190/1.37)) + AO190/((AO190+1)/(O190/1.6) + AO190/(P190/1.37))</f>
        <v>0</v>
      </c>
      <c r="S190">
        <f>(AJ190*AM190)</f>
        <v>0</v>
      </c>
      <c r="T190">
        <f>(BB190+(S190+2*0.95*5.67E-8*(((BB190+$B$7)+273)^4-(BB190+273)^4)-44100*H190)/(1.84*29.3*P190+8*0.95*5.67E-8*(BB190+273)^3))</f>
        <v>0</v>
      </c>
      <c r="U190">
        <f>($C$7*BC190+$D$7*BD190+$E$7*T190)</f>
        <v>0</v>
      </c>
      <c r="V190">
        <f>0.61365*exp(17.502*U190/(240.97+U190))</f>
        <v>0</v>
      </c>
      <c r="W190">
        <f>(X190/Y190*100)</f>
        <v>0</v>
      </c>
      <c r="X190">
        <f>AU190*(AZ190+BA190)/1000</f>
        <v>0</v>
      </c>
      <c r="Y190">
        <f>0.61365*exp(17.502*BB190/(240.97+BB190))</f>
        <v>0</v>
      </c>
      <c r="Z190">
        <f>(V190-AU190*(AZ190+BA190)/1000)</f>
        <v>0</v>
      </c>
      <c r="AA190">
        <f>(-H190*44100)</f>
        <v>0</v>
      </c>
      <c r="AB190">
        <f>2*29.3*P190*0.92*(BB190-U190)</f>
        <v>0</v>
      </c>
      <c r="AC190">
        <f>2*0.95*5.67E-8*(((BB190+$B$7)+273)^4-(U190+273)^4)</f>
        <v>0</v>
      </c>
      <c r="AD190">
        <f>S190+AC190+AA190+AB190</f>
        <v>0</v>
      </c>
      <c r="AE190">
        <v>0</v>
      </c>
      <c r="AF190">
        <v>0</v>
      </c>
      <c r="AG190">
        <f>IF(AE190*$H$13&gt;=AI190,1.0,(AI190/(AI190-AE190*$H$13)))</f>
        <v>0</v>
      </c>
      <c r="AH190">
        <f>(AG190-1)*100</f>
        <v>0</v>
      </c>
      <c r="AI190">
        <f>MAX(0,($B$13+$C$13*BG190)/(1+$D$13*BG190)*AZ190/(BB190+273)*$E$13)</f>
        <v>0</v>
      </c>
      <c r="AJ190">
        <f>$B$11*BH190+$C$11*BI190+$D$11*BT190</f>
        <v>0</v>
      </c>
      <c r="AK190">
        <f>AJ190*AL190</f>
        <v>0</v>
      </c>
      <c r="AL190">
        <f>($B$11*$D$9+$C$11*$D$9+$D$11*(BU190*$E$9+BV190*$G$9))/($B$11+$C$11+$D$11)</f>
        <v>0</v>
      </c>
      <c r="AM190">
        <f>($B$11*$K$9+$C$11*$K$9+$D$11*(BU190*$L$9+BV190*$N$9))/($B$11+$C$11+$D$11)</f>
        <v>0</v>
      </c>
      <c r="AN190">
        <v>3</v>
      </c>
      <c r="AO190">
        <v>0.5</v>
      </c>
      <c r="AP190" t="s">
        <v>331</v>
      </c>
      <c r="AQ190">
        <v>2</v>
      </c>
      <c r="AR190">
        <v>1773206473.5</v>
      </c>
      <c r="AS190">
        <v>419.4394838709678</v>
      </c>
      <c r="AT190">
        <v>417.0837741935483</v>
      </c>
      <c r="AU190">
        <v>13.31745161290323</v>
      </c>
      <c r="AV190">
        <v>13.23442580645161</v>
      </c>
      <c r="AW190">
        <v>413.2081290322581</v>
      </c>
      <c r="AX190">
        <v>13.23685806451613</v>
      </c>
      <c r="AY190">
        <v>499.9785806451613</v>
      </c>
      <c r="AZ190">
        <v>100.0300322580645</v>
      </c>
      <c r="BA190">
        <v>0.04608958709677419</v>
      </c>
      <c r="BB190">
        <v>30.81558387096775</v>
      </c>
      <c r="BC190">
        <v>31.17873225806452</v>
      </c>
      <c r="BD190">
        <v>999.9000000000003</v>
      </c>
      <c r="BE190">
        <v>0</v>
      </c>
      <c r="BF190">
        <v>0</v>
      </c>
      <c r="BG190">
        <v>4984.645161290323</v>
      </c>
      <c r="BH190">
        <v>1.042938709677419</v>
      </c>
      <c r="BI190">
        <v>2055.489354838709</v>
      </c>
      <c r="BJ190">
        <v>2.355785806451613</v>
      </c>
      <c r="BK190">
        <v>425.1007096774193</v>
      </c>
      <c r="BL190">
        <v>422.6776451612903</v>
      </c>
      <c r="BM190">
        <v>0.08301473548387098</v>
      </c>
      <c r="BN190">
        <v>417.0837741935483</v>
      </c>
      <c r="BO190">
        <v>13.23442580645161</v>
      </c>
      <c r="BP190">
        <v>1.332143548387097</v>
      </c>
      <c r="BQ190">
        <v>1.32384</v>
      </c>
      <c r="BR190">
        <v>11.16649677419355</v>
      </c>
      <c r="BS190">
        <v>11.07228064516129</v>
      </c>
      <c r="BT190">
        <v>0</v>
      </c>
      <c r="BU190">
        <v>0</v>
      </c>
      <c r="BV190">
        <v>0</v>
      </c>
      <c r="BW190">
        <v>35</v>
      </c>
      <c r="BX190">
        <v>57.92150645161291</v>
      </c>
      <c r="BY190">
        <v>1773196010</v>
      </c>
      <c r="BZ190" t="s">
        <v>332</v>
      </c>
      <c r="CA190">
        <v>1773196010</v>
      </c>
      <c r="CB190">
        <v>1773196005.5</v>
      </c>
      <c r="CC190">
        <v>2</v>
      </c>
      <c r="CD190">
        <v>-0.279</v>
      </c>
      <c r="CE190">
        <v>-0.021</v>
      </c>
      <c r="CF190">
        <v>6.231</v>
      </c>
      <c r="CG190">
        <v>0.081</v>
      </c>
      <c r="CH190">
        <v>432</v>
      </c>
      <c r="CI190">
        <v>21</v>
      </c>
      <c r="CJ190">
        <v>0.03</v>
      </c>
      <c r="CK190">
        <v>0.06</v>
      </c>
      <c r="CL190">
        <v>417.0862580645161</v>
      </c>
      <c r="CM190">
        <v>-0.1928709677432148</v>
      </c>
      <c r="CN190">
        <v>0.01743738612761464</v>
      </c>
      <c r="CO190">
        <v>-1</v>
      </c>
      <c r="CP190">
        <v>499.9757741935484</v>
      </c>
      <c r="CQ190">
        <v>0.6375000000009303</v>
      </c>
      <c r="CR190">
        <v>0.07611354407785441</v>
      </c>
      <c r="CS190">
        <v>-1</v>
      </c>
      <c r="CT190">
        <v>0</v>
      </c>
      <c r="CU190">
        <v>0</v>
      </c>
      <c r="CV190" t="s">
        <v>333</v>
      </c>
      <c r="CW190">
        <v>3.17154</v>
      </c>
      <c r="CX190">
        <v>2.66769</v>
      </c>
      <c r="CY190">
        <v>0.0982402</v>
      </c>
      <c r="CZ190">
        <v>0.0989867</v>
      </c>
      <c r="DA190">
        <v>0.07241359999999999</v>
      </c>
      <c r="DB190">
        <v>0.07215050000000001</v>
      </c>
      <c r="DC190">
        <v>21311.5</v>
      </c>
      <c r="DD190">
        <v>21900.2</v>
      </c>
      <c r="DE190">
        <v>22789.1</v>
      </c>
      <c r="DF190">
        <v>22256</v>
      </c>
      <c r="DG190">
        <v>31972.9</v>
      </c>
      <c r="DH190">
        <v>29088.1</v>
      </c>
      <c r="DI190">
        <v>40117.7</v>
      </c>
      <c r="DJ190">
        <v>36809.8</v>
      </c>
      <c r="DK190">
        <v>2.01898</v>
      </c>
      <c r="DL190">
        <v>1.48612</v>
      </c>
      <c r="DM190">
        <v>-0.101531</v>
      </c>
      <c r="DN190">
        <v>0</v>
      </c>
      <c r="DO190">
        <v>32.8346</v>
      </c>
      <c r="DP190">
        <v>999.9</v>
      </c>
      <c r="DQ190">
        <v>23.3</v>
      </c>
      <c r="DR190">
        <v>46.2</v>
      </c>
      <c r="DS190">
        <v>23.8776</v>
      </c>
      <c r="DT190">
        <v>30.6364</v>
      </c>
      <c r="DU190">
        <v>14.1787</v>
      </c>
      <c r="DV190">
        <v>1</v>
      </c>
      <c r="DW190">
        <v>0.954327</v>
      </c>
      <c r="DX190">
        <v>4.99835</v>
      </c>
      <c r="DY190">
        <v>20.2742</v>
      </c>
      <c r="DZ190">
        <v>5.2089</v>
      </c>
      <c r="EA190">
        <v>11.8572</v>
      </c>
      <c r="EB190">
        <v>4.96688</v>
      </c>
      <c r="EC190">
        <v>3.29296</v>
      </c>
      <c r="ED190">
        <v>879.4</v>
      </c>
      <c r="EE190">
        <v>9999</v>
      </c>
      <c r="EF190">
        <v>9999</v>
      </c>
      <c r="EG190">
        <v>78.90000000000001</v>
      </c>
      <c r="EH190">
        <v>4.97153</v>
      </c>
      <c r="EI190">
        <v>1.8721</v>
      </c>
      <c r="EJ190">
        <v>1.86948</v>
      </c>
      <c r="EK190">
        <v>1.8718</v>
      </c>
      <c r="EL190">
        <v>1.86954</v>
      </c>
      <c r="EM190">
        <v>1.86836</v>
      </c>
      <c r="EN190">
        <v>1.87014</v>
      </c>
      <c r="EO190">
        <v>1.87194</v>
      </c>
      <c r="EP190">
        <v>0</v>
      </c>
      <c r="EQ190">
        <v>0</v>
      </c>
      <c r="ER190">
        <v>0</v>
      </c>
      <c r="ES190">
        <v>0</v>
      </c>
      <c r="ET190" t="s">
        <v>334</v>
      </c>
      <c r="EU190" t="s">
        <v>335</v>
      </c>
      <c r="EV190" t="s">
        <v>336</v>
      </c>
      <c r="EW190" t="s">
        <v>336</v>
      </c>
      <c r="EX190" t="s">
        <v>336</v>
      </c>
      <c r="EY190" t="s">
        <v>336</v>
      </c>
      <c r="EZ190">
        <v>0</v>
      </c>
      <c r="FA190">
        <v>100</v>
      </c>
      <c r="FB190">
        <v>100</v>
      </c>
      <c r="FC190">
        <v>6.232</v>
      </c>
      <c r="FD190">
        <v>0.0805</v>
      </c>
      <c r="FE190">
        <v>6.23135000000002</v>
      </c>
      <c r="FF190">
        <v>0</v>
      </c>
      <c r="FG190">
        <v>0</v>
      </c>
      <c r="FH190">
        <v>0</v>
      </c>
      <c r="FI190">
        <v>0.08059047619047632</v>
      </c>
      <c r="FJ190">
        <v>0</v>
      </c>
      <c r="FK190">
        <v>0</v>
      </c>
      <c r="FL190">
        <v>0</v>
      </c>
      <c r="FM190">
        <v>-1</v>
      </c>
      <c r="FN190">
        <v>-1</v>
      </c>
      <c r="FO190">
        <v>-1</v>
      </c>
      <c r="FP190">
        <v>-1</v>
      </c>
      <c r="FQ190">
        <v>174.5</v>
      </c>
      <c r="FR190">
        <v>174.6</v>
      </c>
      <c r="FS190">
        <v>0.140381</v>
      </c>
      <c r="FT190">
        <v>4.99756</v>
      </c>
      <c r="FU190">
        <v>1.5979</v>
      </c>
      <c r="FV190">
        <v>2.10938</v>
      </c>
      <c r="FW190">
        <v>1.54785</v>
      </c>
      <c r="FX190">
        <v>2.4585</v>
      </c>
      <c r="FY190">
        <v>47.874</v>
      </c>
      <c r="FZ190">
        <v>14.9901</v>
      </c>
      <c r="GA190">
        <v>3</v>
      </c>
      <c r="GB190">
        <v>520.308</v>
      </c>
      <c r="GC190">
        <v>286.61</v>
      </c>
      <c r="GD190">
        <v>26.9441</v>
      </c>
      <c r="GE190">
        <v>38.614</v>
      </c>
      <c r="GF190">
        <v>30.0007</v>
      </c>
      <c r="GG190">
        <v>38.4548</v>
      </c>
      <c r="GH190">
        <v>38.4352</v>
      </c>
      <c r="GI190">
        <v>-1</v>
      </c>
      <c r="GJ190">
        <v>100</v>
      </c>
      <c r="GK190">
        <v>0</v>
      </c>
      <c r="GL190">
        <v>26.9368</v>
      </c>
      <c r="GM190">
        <v>1200</v>
      </c>
      <c r="GN190">
        <v>19.4378</v>
      </c>
      <c r="GO190">
        <v>100.922</v>
      </c>
      <c r="GP190">
        <v>96.1232</v>
      </c>
    </row>
    <row r="191" spans="1:198">
      <c r="A191">
        <v>175</v>
      </c>
      <c r="B191">
        <v>1773206541.5</v>
      </c>
      <c r="C191">
        <v>10441.5</v>
      </c>
      <c r="D191" t="s">
        <v>683</v>
      </c>
      <c r="E191" t="s">
        <v>684</v>
      </c>
      <c r="F191">
        <v>15</v>
      </c>
      <c r="G191">
        <v>1773206533.5</v>
      </c>
      <c r="H191">
        <f>(I191)/1000</f>
        <v>0</v>
      </c>
      <c r="I191">
        <f>1000*AY191*AG191*(AU191-AV191)/(100*AN191*(1000-AG191*AU191))</f>
        <v>0</v>
      </c>
      <c r="J191">
        <f>AY191*AG191*(AT191-AS191*(1000-AG191*AV191)/(1000-AG191*AU191))/(100*AN191)</f>
        <v>0</v>
      </c>
      <c r="K191">
        <f>AS191 - IF(AG191&gt;1, J191*AN191*100.0/(AI191), 0)</f>
        <v>0</v>
      </c>
      <c r="L191">
        <f>((R191-H191/2)*K191-J191)/(R191+H191/2)</f>
        <v>0</v>
      </c>
      <c r="M191">
        <f>L191*(AZ191+BA191)/1000.0</f>
        <v>0</v>
      </c>
      <c r="N191">
        <f>(AS191 - IF(AG191&gt;1, J191*AN191*100.0/(AI191), 0))*(AZ191+BA191)/1000.0</f>
        <v>0</v>
      </c>
      <c r="O191">
        <f>2.0/((1/Q191-1/P191)+SIGN(Q191)*SQRT((1/Q191-1/P191)*(1/Q191-1/P191) + 4*AO191/((AO191+1)*(AO191+1))*(2*1/Q191*1/P191-1/P191*1/P191)))</f>
        <v>0</v>
      </c>
      <c r="P191">
        <f>IF(LEFT(AP191,1)&lt;&gt;"0",IF(LEFT(AP191,1)="1",3.0,AQ191),$D$5+$E$5*(BG191*AZ191/($K$5*1000))+$F$5*(BG191*AZ191/($K$5*1000))*MAX(MIN(AN191,$J$5),$I$5)*MAX(MIN(AN191,$J$5),$I$5)+$G$5*MAX(MIN(AN191,$J$5),$I$5)*(BG191*AZ191/($K$5*1000))+$H$5*(BG191*AZ191/($K$5*1000))*(BG191*AZ191/($K$5*1000)))</f>
        <v>0</v>
      </c>
      <c r="Q191">
        <f>H191*(1000-(1000*0.61365*exp(17.502*U191/(240.97+U191))/(AZ191+BA191)+AU191)/2)/(1000*0.61365*exp(17.502*U191/(240.97+U191))/(AZ191+BA191)-AU191)</f>
        <v>0</v>
      </c>
      <c r="R191">
        <f>1/((AO191+1)/(O191/1.6)+1/(P191/1.37)) + AO191/((AO191+1)/(O191/1.6) + AO191/(P191/1.37))</f>
        <v>0</v>
      </c>
      <c r="S191">
        <f>(AJ191*AM191)</f>
        <v>0</v>
      </c>
      <c r="T191">
        <f>(BB191+(S191+2*0.95*5.67E-8*(((BB191+$B$7)+273)^4-(BB191+273)^4)-44100*H191)/(1.84*29.3*P191+8*0.95*5.67E-8*(BB191+273)^3))</f>
        <v>0</v>
      </c>
      <c r="U191">
        <f>($C$7*BC191+$D$7*BD191+$E$7*T191)</f>
        <v>0</v>
      </c>
      <c r="V191">
        <f>0.61365*exp(17.502*U191/(240.97+U191))</f>
        <v>0</v>
      </c>
      <c r="W191">
        <f>(X191/Y191*100)</f>
        <v>0</v>
      </c>
      <c r="X191">
        <f>AU191*(AZ191+BA191)/1000</f>
        <v>0</v>
      </c>
      <c r="Y191">
        <f>0.61365*exp(17.502*BB191/(240.97+BB191))</f>
        <v>0</v>
      </c>
      <c r="Z191">
        <f>(V191-AU191*(AZ191+BA191)/1000)</f>
        <v>0</v>
      </c>
      <c r="AA191">
        <f>(-H191*44100)</f>
        <v>0</v>
      </c>
      <c r="AB191">
        <f>2*29.3*P191*0.92*(BB191-U191)</f>
        <v>0</v>
      </c>
      <c r="AC191">
        <f>2*0.95*5.67E-8*(((BB191+$B$7)+273)^4-(U191+273)^4)</f>
        <v>0</v>
      </c>
      <c r="AD191">
        <f>S191+AC191+AA191+AB191</f>
        <v>0</v>
      </c>
      <c r="AE191">
        <v>0</v>
      </c>
      <c r="AF191">
        <v>0</v>
      </c>
      <c r="AG191">
        <f>IF(AE191*$H$13&gt;=AI191,1.0,(AI191/(AI191-AE191*$H$13)))</f>
        <v>0</v>
      </c>
      <c r="AH191">
        <f>(AG191-1)*100</f>
        <v>0</v>
      </c>
      <c r="AI191">
        <f>MAX(0,($B$13+$C$13*BG191)/(1+$D$13*BG191)*AZ191/(BB191+273)*$E$13)</f>
        <v>0</v>
      </c>
      <c r="AJ191">
        <f>$B$11*BH191+$C$11*BI191+$D$11*BT191</f>
        <v>0</v>
      </c>
      <c r="AK191">
        <f>AJ191*AL191</f>
        <v>0</v>
      </c>
      <c r="AL191">
        <f>($B$11*$D$9+$C$11*$D$9+$D$11*(BU191*$E$9+BV191*$G$9))/($B$11+$C$11+$D$11)</f>
        <v>0</v>
      </c>
      <c r="AM191">
        <f>($B$11*$K$9+$C$11*$K$9+$D$11*(BU191*$L$9+BV191*$N$9))/($B$11+$C$11+$D$11)</f>
        <v>0</v>
      </c>
      <c r="AN191">
        <v>3</v>
      </c>
      <c r="AO191">
        <v>0.5</v>
      </c>
      <c r="AP191" t="s">
        <v>331</v>
      </c>
      <c r="AQ191">
        <v>2</v>
      </c>
      <c r="AR191">
        <v>1773206533.5</v>
      </c>
      <c r="AS191">
        <v>419.3188709677419</v>
      </c>
      <c r="AT191">
        <v>416.9294838709677</v>
      </c>
      <c r="AU191">
        <v>13.40119677419355</v>
      </c>
      <c r="AV191">
        <v>13.31237741935484</v>
      </c>
      <c r="AW191">
        <v>413.0875161290322</v>
      </c>
      <c r="AX191">
        <v>13.32061290322581</v>
      </c>
      <c r="AY191">
        <v>499.9752258064516</v>
      </c>
      <c r="AZ191">
        <v>100.0320967741936</v>
      </c>
      <c r="BA191">
        <v>0.04506717096774193</v>
      </c>
      <c r="BB191">
        <v>30.7627</v>
      </c>
      <c r="BC191">
        <v>31.12004193548387</v>
      </c>
      <c r="BD191">
        <v>999.9000000000003</v>
      </c>
      <c r="BE191">
        <v>0</v>
      </c>
      <c r="BF191">
        <v>0</v>
      </c>
      <c r="BG191">
        <v>5006.548387096775</v>
      </c>
      <c r="BH191">
        <v>1.037232580645161</v>
      </c>
      <c r="BI191">
        <v>2048.014193548388</v>
      </c>
      <c r="BJ191">
        <v>2.389378064516129</v>
      </c>
      <c r="BK191">
        <v>425.0145161290323</v>
      </c>
      <c r="BL191">
        <v>422.5547741935484</v>
      </c>
      <c r="BM191">
        <v>0.08883125161290323</v>
      </c>
      <c r="BN191">
        <v>416.9294838709677</v>
      </c>
      <c r="BO191">
        <v>13.31237741935484</v>
      </c>
      <c r="BP191">
        <v>1.34055129032258</v>
      </c>
      <c r="BQ191">
        <v>1.331665806451613</v>
      </c>
      <c r="BR191">
        <v>11.26137419354839</v>
      </c>
      <c r="BS191">
        <v>11.16106774193548</v>
      </c>
      <c r="BT191">
        <v>0</v>
      </c>
      <c r="BU191">
        <v>0</v>
      </c>
      <c r="BV191">
        <v>0</v>
      </c>
      <c r="BW191">
        <v>35</v>
      </c>
      <c r="BX191">
        <v>58</v>
      </c>
      <c r="BY191">
        <v>1773196010</v>
      </c>
      <c r="BZ191" t="s">
        <v>332</v>
      </c>
      <c r="CA191">
        <v>1773196010</v>
      </c>
      <c r="CB191">
        <v>1773196005.5</v>
      </c>
      <c r="CC191">
        <v>2</v>
      </c>
      <c r="CD191">
        <v>-0.279</v>
      </c>
      <c r="CE191">
        <v>-0.021</v>
      </c>
      <c r="CF191">
        <v>6.231</v>
      </c>
      <c r="CG191">
        <v>0.081</v>
      </c>
      <c r="CH191">
        <v>432</v>
      </c>
      <c r="CI191">
        <v>21</v>
      </c>
      <c r="CJ191">
        <v>0.03</v>
      </c>
      <c r="CK191">
        <v>0.06</v>
      </c>
      <c r="CL191">
        <v>416.9269666666666</v>
      </c>
      <c r="CM191">
        <v>-0.3353859844272586</v>
      </c>
      <c r="CN191">
        <v>0.03166436833764875</v>
      </c>
      <c r="CO191">
        <v>-1</v>
      </c>
      <c r="CP191">
        <v>499.9789</v>
      </c>
      <c r="CQ191">
        <v>-0.1941090100119442</v>
      </c>
      <c r="CR191">
        <v>0.04655702596457875</v>
      </c>
      <c r="CS191">
        <v>-1</v>
      </c>
      <c r="CT191">
        <v>0</v>
      </c>
      <c r="CU191">
        <v>0</v>
      </c>
      <c r="CV191" t="s">
        <v>333</v>
      </c>
      <c r="CW191">
        <v>3.17145</v>
      </c>
      <c r="CX191">
        <v>2.66613</v>
      </c>
      <c r="CY191">
        <v>0.0982031</v>
      </c>
      <c r="CZ191">
        <v>0.0989617</v>
      </c>
      <c r="DA191">
        <v>0.0727305</v>
      </c>
      <c r="DB191">
        <v>0.0724263</v>
      </c>
      <c r="DC191">
        <v>21311.3</v>
      </c>
      <c r="DD191">
        <v>21900.1</v>
      </c>
      <c r="DE191">
        <v>22788.1</v>
      </c>
      <c r="DF191">
        <v>22255.4</v>
      </c>
      <c r="DG191">
        <v>31960.9</v>
      </c>
      <c r="DH191">
        <v>29078.3</v>
      </c>
      <c r="DI191">
        <v>40116.4</v>
      </c>
      <c r="DJ191">
        <v>36808.4</v>
      </c>
      <c r="DK191">
        <v>2.0188</v>
      </c>
      <c r="DL191">
        <v>1.486</v>
      </c>
      <c r="DM191">
        <v>-0.104329</v>
      </c>
      <c r="DN191">
        <v>0</v>
      </c>
      <c r="DO191">
        <v>32.8364</v>
      </c>
      <c r="DP191">
        <v>999.9</v>
      </c>
      <c r="DQ191">
        <v>23.1</v>
      </c>
      <c r="DR191">
        <v>46.2</v>
      </c>
      <c r="DS191">
        <v>23.6713</v>
      </c>
      <c r="DT191">
        <v>29.8564</v>
      </c>
      <c r="DU191">
        <v>14.1066</v>
      </c>
      <c r="DV191">
        <v>1</v>
      </c>
      <c r="DW191">
        <v>0.953951</v>
      </c>
      <c r="DX191">
        <v>4.60877</v>
      </c>
      <c r="DY191">
        <v>20.2884</v>
      </c>
      <c r="DZ191">
        <v>5.2095</v>
      </c>
      <c r="EA191">
        <v>11.8574</v>
      </c>
      <c r="EB191">
        <v>4.9672</v>
      </c>
      <c r="EC191">
        <v>3.293</v>
      </c>
      <c r="ED191">
        <v>879.4</v>
      </c>
      <c r="EE191">
        <v>9999</v>
      </c>
      <c r="EF191">
        <v>9999</v>
      </c>
      <c r="EG191">
        <v>78.90000000000001</v>
      </c>
      <c r="EH191">
        <v>4.97155</v>
      </c>
      <c r="EI191">
        <v>1.8721</v>
      </c>
      <c r="EJ191">
        <v>1.86951</v>
      </c>
      <c r="EK191">
        <v>1.8718</v>
      </c>
      <c r="EL191">
        <v>1.86955</v>
      </c>
      <c r="EM191">
        <v>1.86836</v>
      </c>
      <c r="EN191">
        <v>1.87015</v>
      </c>
      <c r="EO191">
        <v>1.87194</v>
      </c>
      <c r="EP191">
        <v>0</v>
      </c>
      <c r="EQ191">
        <v>0</v>
      </c>
      <c r="ER191">
        <v>0</v>
      </c>
      <c r="ES191">
        <v>0</v>
      </c>
      <c r="ET191" t="s">
        <v>334</v>
      </c>
      <c r="EU191" t="s">
        <v>335</v>
      </c>
      <c r="EV191" t="s">
        <v>336</v>
      </c>
      <c r="EW191" t="s">
        <v>336</v>
      </c>
      <c r="EX191" t="s">
        <v>336</v>
      </c>
      <c r="EY191" t="s">
        <v>336</v>
      </c>
      <c r="EZ191">
        <v>0</v>
      </c>
      <c r="FA191">
        <v>100</v>
      </c>
      <c r="FB191">
        <v>100</v>
      </c>
      <c r="FC191">
        <v>6.232</v>
      </c>
      <c r="FD191">
        <v>0.0806</v>
      </c>
      <c r="FE191">
        <v>6.23135000000002</v>
      </c>
      <c r="FF191">
        <v>0</v>
      </c>
      <c r="FG191">
        <v>0</v>
      </c>
      <c r="FH191">
        <v>0</v>
      </c>
      <c r="FI191">
        <v>0.08059047619047632</v>
      </c>
      <c r="FJ191">
        <v>0</v>
      </c>
      <c r="FK191">
        <v>0</v>
      </c>
      <c r="FL191">
        <v>0</v>
      </c>
      <c r="FM191">
        <v>-1</v>
      </c>
      <c r="FN191">
        <v>-1</v>
      </c>
      <c r="FO191">
        <v>-1</v>
      </c>
      <c r="FP191">
        <v>-1</v>
      </c>
      <c r="FQ191">
        <v>175.5</v>
      </c>
      <c r="FR191">
        <v>175.6</v>
      </c>
      <c r="FS191">
        <v>0.140381</v>
      </c>
      <c r="FT191">
        <v>4.99756</v>
      </c>
      <c r="FU191">
        <v>1.5979</v>
      </c>
      <c r="FV191">
        <v>2.1106</v>
      </c>
      <c r="FW191">
        <v>1.54785</v>
      </c>
      <c r="FX191">
        <v>2.49878</v>
      </c>
      <c r="FY191">
        <v>47.9347</v>
      </c>
      <c r="FZ191">
        <v>14.9901</v>
      </c>
      <c r="GA191">
        <v>3</v>
      </c>
      <c r="GB191">
        <v>520.4349999999999</v>
      </c>
      <c r="GC191">
        <v>286.682</v>
      </c>
      <c r="GD191">
        <v>27.0162</v>
      </c>
      <c r="GE191">
        <v>38.6482</v>
      </c>
      <c r="GF191">
        <v>30.0001</v>
      </c>
      <c r="GG191">
        <v>38.489</v>
      </c>
      <c r="GH191">
        <v>38.4693</v>
      </c>
      <c r="GI191">
        <v>-1</v>
      </c>
      <c r="GJ191">
        <v>100</v>
      </c>
      <c r="GK191">
        <v>0</v>
      </c>
      <c r="GL191">
        <v>27.024</v>
      </c>
      <c r="GM191">
        <v>1200</v>
      </c>
      <c r="GN191">
        <v>19.4378</v>
      </c>
      <c r="GO191">
        <v>100.918</v>
      </c>
      <c r="GP191">
        <v>96.1199</v>
      </c>
    </row>
    <row r="192" spans="1:198">
      <c r="A192">
        <v>176</v>
      </c>
      <c r="B192">
        <v>1773206601.5</v>
      </c>
      <c r="C192">
        <v>10501.5</v>
      </c>
      <c r="D192" t="s">
        <v>685</v>
      </c>
      <c r="E192" t="s">
        <v>686</v>
      </c>
      <c r="F192">
        <v>15</v>
      </c>
      <c r="G192">
        <v>1773206593.5</v>
      </c>
      <c r="H192">
        <f>(I192)/1000</f>
        <v>0</v>
      </c>
      <c r="I192">
        <f>1000*AY192*AG192*(AU192-AV192)/(100*AN192*(1000-AG192*AU192))</f>
        <v>0</v>
      </c>
      <c r="J192">
        <f>AY192*AG192*(AT192-AS192*(1000-AG192*AV192)/(1000-AG192*AU192))/(100*AN192)</f>
        <v>0</v>
      </c>
      <c r="K192">
        <f>AS192 - IF(AG192&gt;1, J192*AN192*100.0/(AI192), 0)</f>
        <v>0</v>
      </c>
      <c r="L192">
        <f>((R192-H192/2)*K192-J192)/(R192+H192/2)</f>
        <v>0</v>
      </c>
      <c r="M192">
        <f>L192*(AZ192+BA192)/1000.0</f>
        <v>0</v>
      </c>
      <c r="N192">
        <f>(AS192 - IF(AG192&gt;1, J192*AN192*100.0/(AI192), 0))*(AZ192+BA192)/1000.0</f>
        <v>0</v>
      </c>
      <c r="O192">
        <f>2.0/((1/Q192-1/P192)+SIGN(Q192)*SQRT((1/Q192-1/P192)*(1/Q192-1/P192) + 4*AO192/((AO192+1)*(AO192+1))*(2*1/Q192*1/P192-1/P192*1/P192)))</f>
        <v>0</v>
      </c>
      <c r="P192">
        <f>IF(LEFT(AP192,1)&lt;&gt;"0",IF(LEFT(AP192,1)="1",3.0,AQ192),$D$5+$E$5*(BG192*AZ192/($K$5*1000))+$F$5*(BG192*AZ192/($K$5*1000))*MAX(MIN(AN192,$J$5),$I$5)*MAX(MIN(AN192,$J$5),$I$5)+$G$5*MAX(MIN(AN192,$J$5),$I$5)*(BG192*AZ192/($K$5*1000))+$H$5*(BG192*AZ192/($K$5*1000))*(BG192*AZ192/($K$5*1000)))</f>
        <v>0</v>
      </c>
      <c r="Q192">
        <f>H192*(1000-(1000*0.61365*exp(17.502*U192/(240.97+U192))/(AZ192+BA192)+AU192)/2)/(1000*0.61365*exp(17.502*U192/(240.97+U192))/(AZ192+BA192)-AU192)</f>
        <v>0</v>
      </c>
      <c r="R192">
        <f>1/((AO192+1)/(O192/1.6)+1/(P192/1.37)) + AO192/((AO192+1)/(O192/1.6) + AO192/(P192/1.37))</f>
        <v>0</v>
      </c>
      <c r="S192">
        <f>(AJ192*AM192)</f>
        <v>0</v>
      </c>
      <c r="T192">
        <f>(BB192+(S192+2*0.95*5.67E-8*(((BB192+$B$7)+273)^4-(BB192+273)^4)-44100*H192)/(1.84*29.3*P192+8*0.95*5.67E-8*(BB192+273)^3))</f>
        <v>0</v>
      </c>
      <c r="U192">
        <f>($C$7*BC192+$D$7*BD192+$E$7*T192)</f>
        <v>0</v>
      </c>
      <c r="V192">
        <f>0.61365*exp(17.502*U192/(240.97+U192))</f>
        <v>0</v>
      </c>
      <c r="W192">
        <f>(X192/Y192*100)</f>
        <v>0</v>
      </c>
      <c r="X192">
        <f>AU192*(AZ192+BA192)/1000</f>
        <v>0</v>
      </c>
      <c r="Y192">
        <f>0.61365*exp(17.502*BB192/(240.97+BB192))</f>
        <v>0</v>
      </c>
      <c r="Z192">
        <f>(V192-AU192*(AZ192+BA192)/1000)</f>
        <v>0</v>
      </c>
      <c r="AA192">
        <f>(-H192*44100)</f>
        <v>0</v>
      </c>
      <c r="AB192">
        <f>2*29.3*P192*0.92*(BB192-U192)</f>
        <v>0</v>
      </c>
      <c r="AC192">
        <f>2*0.95*5.67E-8*(((BB192+$B$7)+273)^4-(U192+273)^4)</f>
        <v>0</v>
      </c>
      <c r="AD192">
        <f>S192+AC192+AA192+AB192</f>
        <v>0</v>
      </c>
      <c r="AE192">
        <v>0</v>
      </c>
      <c r="AF192">
        <v>0</v>
      </c>
      <c r="AG192">
        <f>IF(AE192*$H$13&gt;=AI192,1.0,(AI192/(AI192-AE192*$H$13)))</f>
        <v>0</v>
      </c>
      <c r="AH192">
        <f>(AG192-1)*100</f>
        <v>0</v>
      </c>
      <c r="AI192">
        <f>MAX(0,($B$13+$C$13*BG192)/(1+$D$13*BG192)*AZ192/(BB192+273)*$E$13)</f>
        <v>0</v>
      </c>
      <c r="AJ192">
        <f>$B$11*BH192+$C$11*BI192+$D$11*BT192</f>
        <v>0</v>
      </c>
      <c r="AK192">
        <f>AJ192*AL192</f>
        <v>0</v>
      </c>
      <c r="AL192">
        <f>($B$11*$D$9+$C$11*$D$9+$D$11*(BU192*$E$9+BV192*$G$9))/($B$11+$C$11+$D$11)</f>
        <v>0</v>
      </c>
      <c r="AM192">
        <f>($B$11*$K$9+$C$11*$K$9+$D$11*(BU192*$L$9+BV192*$N$9))/($B$11+$C$11+$D$11)</f>
        <v>0</v>
      </c>
      <c r="AN192">
        <v>3</v>
      </c>
      <c r="AO192">
        <v>0.5</v>
      </c>
      <c r="AP192" t="s">
        <v>331</v>
      </c>
      <c r="AQ192">
        <v>2</v>
      </c>
      <c r="AR192">
        <v>1773206593.5</v>
      </c>
      <c r="AS192">
        <v>419.4192903225807</v>
      </c>
      <c r="AT192">
        <v>417.079935483871</v>
      </c>
      <c r="AU192">
        <v>13.4491129032258</v>
      </c>
      <c r="AV192">
        <v>13.35221612903226</v>
      </c>
      <c r="AW192">
        <v>413.188064516129</v>
      </c>
      <c r="AX192">
        <v>13.36852258064516</v>
      </c>
      <c r="AY192">
        <v>500.0201290322581</v>
      </c>
      <c r="AZ192">
        <v>100.0318709677419</v>
      </c>
      <c r="BA192">
        <v>0.04613683870967742</v>
      </c>
      <c r="BB192">
        <v>30.83676129032258</v>
      </c>
      <c r="BC192">
        <v>31.20063225806452</v>
      </c>
      <c r="BD192">
        <v>999.9000000000003</v>
      </c>
      <c r="BE192">
        <v>0</v>
      </c>
      <c r="BF192">
        <v>0</v>
      </c>
      <c r="BG192">
        <v>5000.741935483871</v>
      </c>
      <c r="BH192">
        <v>1.037851612903226</v>
      </c>
      <c r="BI192">
        <v>2049.025483870967</v>
      </c>
      <c r="BJ192">
        <v>2.339365806451612</v>
      </c>
      <c r="BK192">
        <v>425.1371612903226</v>
      </c>
      <c r="BL192">
        <v>422.7243548387098</v>
      </c>
      <c r="BM192">
        <v>0.09690607419354839</v>
      </c>
      <c r="BN192">
        <v>417.079935483871</v>
      </c>
      <c r="BO192">
        <v>13.35221612903226</v>
      </c>
      <c r="BP192">
        <v>1.34534064516129</v>
      </c>
      <c r="BQ192">
        <v>1.335647096774194</v>
      </c>
      <c r="BR192">
        <v>11.31518064516129</v>
      </c>
      <c r="BS192">
        <v>11.20609032258065</v>
      </c>
      <c r="BT192">
        <v>0</v>
      </c>
      <c r="BU192">
        <v>0</v>
      </c>
      <c r="BV192">
        <v>0</v>
      </c>
      <c r="BW192">
        <v>35</v>
      </c>
      <c r="BX192">
        <v>58.68064193548387</v>
      </c>
      <c r="BY192">
        <v>1773196010</v>
      </c>
      <c r="BZ192" t="s">
        <v>332</v>
      </c>
      <c r="CA192">
        <v>1773196010</v>
      </c>
      <c r="CB192">
        <v>1773196005.5</v>
      </c>
      <c r="CC192">
        <v>2</v>
      </c>
      <c r="CD192">
        <v>-0.279</v>
      </c>
      <c r="CE192">
        <v>-0.021</v>
      </c>
      <c r="CF192">
        <v>6.231</v>
      </c>
      <c r="CG192">
        <v>0.081</v>
      </c>
      <c r="CH192">
        <v>432</v>
      </c>
      <c r="CI192">
        <v>21</v>
      </c>
      <c r="CJ192">
        <v>0.03</v>
      </c>
      <c r="CK192">
        <v>0.06</v>
      </c>
      <c r="CL192">
        <v>417.0824333333333</v>
      </c>
      <c r="CM192">
        <v>0.3768186874300074</v>
      </c>
      <c r="CN192">
        <v>0.02887869264507836</v>
      </c>
      <c r="CO192">
        <v>-1</v>
      </c>
      <c r="CP192">
        <v>500.0258333333334</v>
      </c>
      <c r="CQ192">
        <v>-0.7113236929920415</v>
      </c>
      <c r="CR192">
        <v>0.08767252832114453</v>
      </c>
      <c r="CS192">
        <v>-1</v>
      </c>
      <c r="CT192">
        <v>0</v>
      </c>
      <c r="CU192">
        <v>0</v>
      </c>
      <c r="CV192" t="s">
        <v>333</v>
      </c>
      <c r="CW192">
        <v>3.17155</v>
      </c>
      <c r="CX192">
        <v>2.66713</v>
      </c>
      <c r="CY192">
        <v>0.09822930000000001</v>
      </c>
      <c r="CZ192">
        <v>0.0989833</v>
      </c>
      <c r="DA192">
        <v>0.0728917</v>
      </c>
      <c r="DB192">
        <v>0.07256609999999999</v>
      </c>
      <c r="DC192">
        <v>21308.8</v>
      </c>
      <c r="DD192">
        <v>21897.9</v>
      </c>
      <c r="DE192">
        <v>22786.3</v>
      </c>
      <c r="DF192">
        <v>22253.9</v>
      </c>
      <c r="DG192">
        <v>31952.8</v>
      </c>
      <c r="DH192">
        <v>29072.1</v>
      </c>
      <c r="DI192">
        <v>40113.3</v>
      </c>
      <c r="DJ192">
        <v>36806.2</v>
      </c>
      <c r="DK192">
        <v>2.0185</v>
      </c>
      <c r="DL192">
        <v>1.48582</v>
      </c>
      <c r="DM192">
        <v>-0.105435</v>
      </c>
      <c r="DN192">
        <v>0</v>
      </c>
      <c r="DO192">
        <v>32.9043</v>
      </c>
      <c r="DP192">
        <v>999.9</v>
      </c>
      <c r="DQ192">
        <v>23</v>
      </c>
      <c r="DR192">
        <v>46.2</v>
      </c>
      <c r="DS192">
        <v>23.5704</v>
      </c>
      <c r="DT192">
        <v>30.6664</v>
      </c>
      <c r="DU192">
        <v>14.1627</v>
      </c>
      <c r="DV192">
        <v>1</v>
      </c>
      <c r="DW192">
        <v>0.963262</v>
      </c>
      <c r="DX192">
        <v>5.32968</v>
      </c>
      <c r="DY192">
        <v>20.2622</v>
      </c>
      <c r="DZ192">
        <v>5.20555</v>
      </c>
      <c r="EA192">
        <v>11.8586</v>
      </c>
      <c r="EB192">
        <v>4.96716</v>
      </c>
      <c r="EC192">
        <v>3.29292</v>
      </c>
      <c r="ED192">
        <v>879.4</v>
      </c>
      <c r="EE192">
        <v>9999</v>
      </c>
      <c r="EF192">
        <v>9999</v>
      </c>
      <c r="EG192">
        <v>78.90000000000001</v>
      </c>
      <c r="EH192">
        <v>4.97155</v>
      </c>
      <c r="EI192">
        <v>1.8721</v>
      </c>
      <c r="EJ192">
        <v>1.86949</v>
      </c>
      <c r="EK192">
        <v>1.8718</v>
      </c>
      <c r="EL192">
        <v>1.86952</v>
      </c>
      <c r="EM192">
        <v>1.86835</v>
      </c>
      <c r="EN192">
        <v>1.87013</v>
      </c>
      <c r="EO192">
        <v>1.87194</v>
      </c>
      <c r="EP192">
        <v>0</v>
      </c>
      <c r="EQ192">
        <v>0</v>
      </c>
      <c r="ER192">
        <v>0</v>
      </c>
      <c r="ES192">
        <v>0</v>
      </c>
      <c r="ET192" t="s">
        <v>334</v>
      </c>
      <c r="EU192" t="s">
        <v>335</v>
      </c>
      <c r="EV192" t="s">
        <v>336</v>
      </c>
      <c r="EW192" t="s">
        <v>336</v>
      </c>
      <c r="EX192" t="s">
        <v>336</v>
      </c>
      <c r="EY192" t="s">
        <v>336</v>
      </c>
      <c r="EZ192">
        <v>0</v>
      </c>
      <c r="FA192">
        <v>100</v>
      </c>
      <c r="FB192">
        <v>100</v>
      </c>
      <c r="FC192">
        <v>6.232</v>
      </c>
      <c r="FD192">
        <v>0.0806</v>
      </c>
      <c r="FE192">
        <v>6.23135000000002</v>
      </c>
      <c r="FF192">
        <v>0</v>
      </c>
      <c r="FG192">
        <v>0</v>
      </c>
      <c r="FH192">
        <v>0</v>
      </c>
      <c r="FI192">
        <v>0.08059047619047632</v>
      </c>
      <c r="FJ192">
        <v>0</v>
      </c>
      <c r="FK192">
        <v>0</v>
      </c>
      <c r="FL192">
        <v>0</v>
      </c>
      <c r="FM192">
        <v>-1</v>
      </c>
      <c r="FN192">
        <v>-1</v>
      </c>
      <c r="FO192">
        <v>-1</v>
      </c>
      <c r="FP192">
        <v>-1</v>
      </c>
      <c r="FQ192">
        <v>176.5</v>
      </c>
      <c r="FR192">
        <v>176.6</v>
      </c>
      <c r="FS192">
        <v>0.140381</v>
      </c>
      <c r="FT192">
        <v>4.99756</v>
      </c>
      <c r="FU192">
        <v>1.5979</v>
      </c>
      <c r="FV192">
        <v>2.10938</v>
      </c>
      <c r="FW192">
        <v>1.54785</v>
      </c>
      <c r="FX192">
        <v>2.45605</v>
      </c>
      <c r="FY192">
        <v>47.9955</v>
      </c>
      <c r="FZ192">
        <v>14.9638</v>
      </c>
      <c r="GA192">
        <v>3</v>
      </c>
      <c r="GB192">
        <v>520.529</v>
      </c>
      <c r="GC192">
        <v>286.746</v>
      </c>
      <c r="GD192">
        <v>26.7259</v>
      </c>
      <c r="GE192">
        <v>38.6873</v>
      </c>
      <c r="GF192">
        <v>30.0006</v>
      </c>
      <c r="GG192">
        <v>38.5295</v>
      </c>
      <c r="GH192">
        <v>38.5087</v>
      </c>
      <c r="GI192">
        <v>-1</v>
      </c>
      <c r="GJ192">
        <v>100</v>
      </c>
      <c r="GK192">
        <v>0</v>
      </c>
      <c r="GL192">
        <v>26.7157</v>
      </c>
      <c r="GM192">
        <v>1200</v>
      </c>
      <c r="GN192">
        <v>19.4378</v>
      </c>
      <c r="GO192">
        <v>100.91</v>
      </c>
      <c r="GP192">
        <v>96.1138</v>
      </c>
    </row>
    <row r="193" spans="1:198">
      <c r="A193">
        <v>177</v>
      </c>
      <c r="B193">
        <v>1773206661.5</v>
      </c>
      <c r="C193">
        <v>10561.5</v>
      </c>
      <c r="D193" t="s">
        <v>687</v>
      </c>
      <c r="E193" t="s">
        <v>688</v>
      </c>
      <c r="F193">
        <v>15</v>
      </c>
      <c r="G193">
        <v>1773206653.5</v>
      </c>
      <c r="H193">
        <f>(I193)/1000</f>
        <v>0</v>
      </c>
      <c r="I193">
        <f>1000*AY193*AG193*(AU193-AV193)/(100*AN193*(1000-AG193*AU193))</f>
        <v>0</v>
      </c>
      <c r="J193">
        <f>AY193*AG193*(AT193-AS193*(1000-AG193*AV193)/(1000-AG193*AU193))/(100*AN193)</f>
        <v>0</v>
      </c>
      <c r="K193">
        <f>AS193 - IF(AG193&gt;1, J193*AN193*100.0/(AI193), 0)</f>
        <v>0</v>
      </c>
      <c r="L193">
        <f>((R193-H193/2)*K193-J193)/(R193+H193/2)</f>
        <v>0</v>
      </c>
      <c r="M193">
        <f>L193*(AZ193+BA193)/1000.0</f>
        <v>0</v>
      </c>
      <c r="N193">
        <f>(AS193 - IF(AG193&gt;1, J193*AN193*100.0/(AI193), 0))*(AZ193+BA193)/1000.0</f>
        <v>0</v>
      </c>
      <c r="O193">
        <f>2.0/((1/Q193-1/P193)+SIGN(Q193)*SQRT((1/Q193-1/P193)*(1/Q193-1/P193) + 4*AO193/((AO193+1)*(AO193+1))*(2*1/Q193*1/P193-1/P193*1/P193)))</f>
        <v>0</v>
      </c>
      <c r="P193">
        <f>IF(LEFT(AP193,1)&lt;&gt;"0",IF(LEFT(AP193,1)="1",3.0,AQ193),$D$5+$E$5*(BG193*AZ193/($K$5*1000))+$F$5*(BG193*AZ193/($K$5*1000))*MAX(MIN(AN193,$J$5),$I$5)*MAX(MIN(AN193,$J$5),$I$5)+$G$5*MAX(MIN(AN193,$J$5),$I$5)*(BG193*AZ193/($K$5*1000))+$H$5*(BG193*AZ193/($K$5*1000))*(BG193*AZ193/($K$5*1000)))</f>
        <v>0</v>
      </c>
      <c r="Q193">
        <f>H193*(1000-(1000*0.61365*exp(17.502*U193/(240.97+U193))/(AZ193+BA193)+AU193)/2)/(1000*0.61365*exp(17.502*U193/(240.97+U193))/(AZ193+BA193)-AU193)</f>
        <v>0</v>
      </c>
      <c r="R193">
        <f>1/((AO193+1)/(O193/1.6)+1/(P193/1.37)) + AO193/((AO193+1)/(O193/1.6) + AO193/(P193/1.37))</f>
        <v>0</v>
      </c>
      <c r="S193">
        <f>(AJ193*AM193)</f>
        <v>0</v>
      </c>
      <c r="T193">
        <f>(BB193+(S193+2*0.95*5.67E-8*(((BB193+$B$7)+273)^4-(BB193+273)^4)-44100*H193)/(1.84*29.3*P193+8*0.95*5.67E-8*(BB193+273)^3))</f>
        <v>0</v>
      </c>
      <c r="U193">
        <f>($C$7*BC193+$D$7*BD193+$E$7*T193)</f>
        <v>0</v>
      </c>
      <c r="V193">
        <f>0.61365*exp(17.502*U193/(240.97+U193))</f>
        <v>0</v>
      </c>
      <c r="W193">
        <f>(X193/Y193*100)</f>
        <v>0</v>
      </c>
      <c r="X193">
        <f>AU193*(AZ193+BA193)/1000</f>
        <v>0</v>
      </c>
      <c r="Y193">
        <f>0.61365*exp(17.502*BB193/(240.97+BB193))</f>
        <v>0</v>
      </c>
      <c r="Z193">
        <f>(V193-AU193*(AZ193+BA193)/1000)</f>
        <v>0</v>
      </c>
      <c r="AA193">
        <f>(-H193*44100)</f>
        <v>0</v>
      </c>
      <c r="AB193">
        <f>2*29.3*P193*0.92*(BB193-U193)</f>
        <v>0</v>
      </c>
      <c r="AC193">
        <f>2*0.95*5.67E-8*(((BB193+$B$7)+273)^4-(U193+273)^4)</f>
        <v>0</v>
      </c>
      <c r="AD193">
        <f>S193+AC193+AA193+AB193</f>
        <v>0</v>
      </c>
      <c r="AE193">
        <v>0</v>
      </c>
      <c r="AF193">
        <v>0</v>
      </c>
      <c r="AG193">
        <f>IF(AE193*$H$13&gt;=AI193,1.0,(AI193/(AI193-AE193*$H$13)))</f>
        <v>0</v>
      </c>
      <c r="AH193">
        <f>(AG193-1)*100</f>
        <v>0</v>
      </c>
      <c r="AI193">
        <f>MAX(0,($B$13+$C$13*BG193)/(1+$D$13*BG193)*AZ193/(BB193+273)*$E$13)</f>
        <v>0</v>
      </c>
      <c r="AJ193">
        <f>$B$11*BH193+$C$11*BI193+$D$11*BT193</f>
        <v>0</v>
      </c>
      <c r="AK193">
        <f>AJ193*AL193</f>
        <v>0</v>
      </c>
      <c r="AL193">
        <f>($B$11*$D$9+$C$11*$D$9+$D$11*(BU193*$E$9+BV193*$G$9))/($B$11+$C$11+$D$11)</f>
        <v>0</v>
      </c>
      <c r="AM193">
        <f>($B$11*$K$9+$C$11*$K$9+$D$11*(BU193*$L$9+BV193*$N$9))/($B$11+$C$11+$D$11)</f>
        <v>0</v>
      </c>
      <c r="AN193">
        <v>3</v>
      </c>
      <c r="AO193">
        <v>0.5</v>
      </c>
      <c r="AP193" t="s">
        <v>331</v>
      </c>
      <c r="AQ193">
        <v>2</v>
      </c>
      <c r="AR193">
        <v>1773206653.5</v>
      </c>
      <c r="AS193">
        <v>419.322</v>
      </c>
      <c r="AT193">
        <v>416.9757096774193</v>
      </c>
      <c r="AU193">
        <v>13.46065483870967</v>
      </c>
      <c r="AV193">
        <v>13.36174838709677</v>
      </c>
      <c r="AW193">
        <v>413.0904838709678</v>
      </c>
      <c r="AX193">
        <v>13.38007419354839</v>
      </c>
      <c r="AY193">
        <v>499.9967096774193</v>
      </c>
      <c r="AZ193">
        <v>100.0303870967742</v>
      </c>
      <c r="BA193">
        <v>0.04567132903225807</v>
      </c>
      <c r="BB193">
        <v>30.78304838709678</v>
      </c>
      <c r="BC193">
        <v>31.13413548387097</v>
      </c>
      <c r="BD193">
        <v>999.9000000000003</v>
      </c>
      <c r="BE193">
        <v>0</v>
      </c>
      <c r="BF193">
        <v>0</v>
      </c>
      <c r="BG193">
        <v>4997.177419354839</v>
      </c>
      <c r="BH193">
        <v>1.024597</v>
      </c>
      <c r="BI193">
        <v>2041.500967741936</v>
      </c>
      <c r="BJ193">
        <v>2.34614935483871</v>
      </c>
      <c r="BK193">
        <v>425.0432258064516</v>
      </c>
      <c r="BL193">
        <v>422.6227741935484</v>
      </c>
      <c r="BM193">
        <v>0.09891648709677417</v>
      </c>
      <c r="BN193">
        <v>416.9757096774193</v>
      </c>
      <c r="BO193">
        <v>13.36174838709677</v>
      </c>
      <c r="BP193">
        <v>1.346474838709677</v>
      </c>
      <c r="BQ193">
        <v>1.33658064516129</v>
      </c>
      <c r="BR193">
        <v>11.32789677419355</v>
      </c>
      <c r="BS193">
        <v>11.21662258064516</v>
      </c>
      <c r="BT193">
        <v>0</v>
      </c>
      <c r="BU193">
        <v>0</v>
      </c>
      <c r="BV193">
        <v>0</v>
      </c>
      <c r="BW193">
        <v>35</v>
      </c>
      <c r="BX193">
        <v>59</v>
      </c>
      <c r="BY193">
        <v>1773196010</v>
      </c>
      <c r="BZ193" t="s">
        <v>332</v>
      </c>
      <c r="CA193">
        <v>1773196010</v>
      </c>
      <c r="CB193">
        <v>1773196005.5</v>
      </c>
      <c r="CC193">
        <v>2</v>
      </c>
      <c r="CD193">
        <v>-0.279</v>
      </c>
      <c r="CE193">
        <v>-0.021</v>
      </c>
      <c r="CF193">
        <v>6.231</v>
      </c>
      <c r="CG193">
        <v>0.081</v>
      </c>
      <c r="CH193">
        <v>432</v>
      </c>
      <c r="CI193">
        <v>21</v>
      </c>
      <c r="CJ193">
        <v>0.03</v>
      </c>
      <c r="CK193">
        <v>0.06</v>
      </c>
      <c r="CL193">
        <v>416.9793548387096</v>
      </c>
      <c r="CM193">
        <v>-0.4789838709666749</v>
      </c>
      <c r="CN193">
        <v>0.03956827369292307</v>
      </c>
      <c r="CO193">
        <v>-1</v>
      </c>
      <c r="CP193">
        <v>499.9970967741936</v>
      </c>
      <c r="CQ193">
        <v>0.09266129032205701</v>
      </c>
      <c r="CR193">
        <v>0.05793898617189468</v>
      </c>
      <c r="CS193">
        <v>-1</v>
      </c>
      <c r="CT193">
        <v>0</v>
      </c>
      <c r="CU193">
        <v>0</v>
      </c>
      <c r="CV193" t="s">
        <v>333</v>
      </c>
      <c r="CW193">
        <v>3.17143</v>
      </c>
      <c r="CX193">
        <v>2.66756</v>
      </c>
      <c r="CY193">
        <v>0.0981962</v>
      </c>
      <c r="CZ193">
        <v>0.0989372</v>
      </c>
      <c r="DA193">
        <v>0.07293760000000001</v>
      </c>
      <c r="DB193">
        <v>0.07260270000000001</v>
      </c>
      <c r="DC193">
        <v>21308.9</v>
      </c>
      <c r="DD193">
        <v>21898.6</v>
      </c>
      <c r="DE193">
        <v>22785.7</v>
      </c>
      <c r="DF193">
        <v>22253.6</v>
      </c>
      <c r="DG193">
        <v>31950.4</v>
      </c>
      <c r="DH193">
        <v>29070.2</v>
      </c>
      <c r="DI193">
        <v>40112.3</v>
      </c>
      <c r="DJ193">
        <v>36805.2</v>
      </c>
      <c r="DK193">
        <v>2.01826</v>
      </c>
      <c r="DL193">
        <v>1.48534</v>
      </c>
      <c r="DM193">
        <v>-0.10688</v>
      </c>
      <c r="DN193">
        <v>0</v>
      </c>
      <c r="DO193">
        <v>32.8882</v>
      </c>
      <c r="DP193">
        <v>999.9</v>
      </c>
      <c r="DQ193">
        <v>22.7</v>
      </c>
      <c r="DR193">
        <v>46.2</v>
      </c>
      <c r="DS193">
        <v>23.2621</v>
      </c>
      <c r="DT193">
        <v>30.6365</v>
      </c>
      <c r="DU193">
        <v>14.1506</v>
      </c>
      <c r="DV193">
        <v>1</v>
      </c>
      <c r="DW193">
        <v>0.961908</v>
      </c>
      <c r="DX193">
        <v>4.93939</v>
      </c>
      <c r="DY193">
        <v>20.2766</v>
      </c>
      <c r="DZ193">
        <v>5.20615</v>
      </c>
      <c r="EA193">
        <v>11.8556</v>
      </c>
      <c r="EB193">
        <v>4.96664</v>
      </c>
      <c r="EC193">
        <v>3.2922</v>
      </c>
      <c r="ED193">
        <v>879.4</v>
      </c>
      <c r="EE193">
        <v>9999</v>
      </c>
      <c r="EF193">
        <v>9999</v>
      </c>
      <c r="EG193">
        <v>79</v>
      </c>
      <c r="EH193">
        <v>4.97154</v>
      </c>
      <c r="EI193">
        <v>1.8721</v>
      </c>
      <c r="EJ193">
        <v>1.86951</v>
      </c>
      <c r="EK193">
        <v>1.8718</v>
      </c>
      <c r="EL193">
        <v>1.86961</v>
      </c>
      <c r="EM193">
        <v>1.8684</v>
      </c>
      <c r="EN193">
        <v>1.87014</v>
      </c>
      <c r="EO193">
        <v>1.87195</v>
      </c>
      <c r="EP193">
        <v>0</v>
      </c>
      <c r="EQ193">
        <v>0</v>
      </c>
      <c r="ER193">
        <v>0</v>
      </c>
      <c r="ES193">
        <v>0</v>
      </c>
      <c r="ET193" t="s">
        <v>334</v>
      </c>
      <c r="EU193" t="s">
        <v>335</v>
      </c>
      <c r="EV193" t="s">
        <v>336</v>
      </c>
      <c r="EW193" t="s">
        <v>336</v>
      </c>
      <c r="EX193" t="s">
        <v>336</v>
      </c>
      <c r="EY193" t="s">
        <v>336</v>
      </c>
      <c r="EZ193">
        <v>0</v>
      </c>
      <c r="FA193">
        <v>100</v>
      </c>
      <c r="FB193">
        <v>100</v>
      </c>
      <c r="FC193">
        <v>6.231</v>
      </c>
      <c r="FD193">
        <v>0.0806</v>
      </c>
      <c r="FE193">
        <v>6.23135000000002</v>
      </c>
      <c r="FF193">
        <v>0</v>
      </c>
      <c r="FG193">
        <v>0</v>
      </c>
      <c r="FH193">
        <v>0</v>
      </c>
      <c r="FI193">
        <v>0.08059047619047632</v>
      </c>
      <c r="FJ193">
        <v>0</v>
      </c>
      <c r="FK193">
        <v>0</v>
      </c>
      <c r="FL193">
        <v>0</v>
      </c>
      <c r="FM193">
        <v>-1</v>
      </c>
      <c r="FN193">
        <v>-1</v>
      </c>
      <c r="FO193">
        <v>-1</v>
      </c>
      <c r="FP193">
        <v>-1</v>
      </c>
      <c r="FQ193">
        <v>177.5</v>
      </c>
      <c r="FR193">
        <v>177.6</v>
      </c>
      <c r="FS193">
        <v>0.140381</v>
      </c>
      <c r="FT193">
        <v>4.99756</v>
      </c>
      <c r="FU193">
        <v>1.5979</v>
      </c>
      <c r="FV193">
        <v>2.10938</v>
      </c>
      <c r="FW193">
        <v>1.54785</v>
      </c>
      <c r="FX193">
        <v>2.48413</v>
      </c>
      <c r="FY193">
        <v>47.9955</v>
      </c>
      <c r="FZ193">
        <v>14.9638</v>
      </c>
      <c r="GA193">
        <v>3</v>
      </c>
      <c r="GB193">
        <v>520.581</v>
      </c>
      <c r="GC193">
        <v>286.625</v>
      </c>
      <c r="GD193">
        <v>26.8497</v>
      </c>
      <c r="GE193">
        <v>38.7199</v>
      </c>
      <c r="GF193">
        <v>30.0012</v>
      </c>
      <c r="GG193">
        <v>38.5584</v>
      </c>
      <c r="GH193">
        <v>38.5364</v>
      </c>
      <c r="GI193">
        <v>-1</v>
      </c>
      <c r="GJ193">
        <v>100</v>
      </c>
      <c r="GK193">
        <v>0</v>
      </c>
      <c r="GL193">
        <v>26.8255</v>
      </c>
      <c r="GM193">
        <v>1200</v>
      </c>
      <c r="GN193">
        <v>19.4378</v>
      </c>
      <c r="GO193">
        <v>100.907</v>
      </c>
      <c r="GP193">
        <v>96.1118</v>
      </c>
    </row>
    <row r="194" spans="1:198">
      <c r="A194">
        <v>178</v>
      </c>
      <c r="B194">
        <v>1773206721.5</v>
      </c>
      <c r="C194">
        <v>10621.5</v>
      </c>
      <c r="D194" t="s">
        <v>689</v>
      </c>
      <c r="E194" t="s">
        <v>690</v>
      </c>
      <c r="F194">
        <v>15</v>
      </c>
      <c r="G194">
        <v>1773206713.5</v>
      </c>
      <c r="H194">
        <f>(I194)/1000</f>
        <v>0</v>
      </c>
      <c r="I194">
        <f>1000*AY194*AG194*(AU194-AV194)/(100*AN194*(1000-AG194*AU194))</f>
        <v>0</v>
      </c>
      <c r="J194">
        <f>AY194*AG194*(AT194-AS194*(1000-AG194*AV194)/(1000-AG194*AU194))/(100*AN194)</f>
        <v>0</v>
      </c>
      <c r="K194">
        <f>AS194 - IF(AG194&gt;1, J194*AN194*100.0/(AI194), 0)</f>
        <v>0</v>
      </c>
      <c r="L194">
        <f>((R194-H194/2)*K194-J194)/(R194+H194/2)</f>
        <v>0</v>
      </c>
      <c r="M194">
        <f>L194*(AZ194+BA194)/1000.0</f>
        <v>0</v>
      </c>
      <c r="N194">
        <f>(AS194 - IF(AG194&gt;1, J194*AN194*100.0/(AI194), 0))*(AZ194+BA194)/1000.0</f>
        <v>0</v>
      </c>
      <c r="O194">
        <f>2.0/((1/Q194-1/P194)+SIGN(Q194)*SQRT((1/Q194-1/P194)*(1/Q194-1/P194) + 4*AO194/((AO194+1)*(AO194+1))*(2*1/Q194*1/P194-1/P194*1/P194)))</f>
        <v>0</v>
      </c>
      <c r="P194">
        <f>IF(LEFT(AP194,1)&lt;&gt;"0",IF(LEFT(AP194,1)="1",3.0,AQ194),$D$5+$E$5*(BG194*AZ194/($K$5*1000))+$F$5*(BG194*AZ194/($K$5*1000))*MAX(MIN(AN194,$J$5),$I$5)*MAX(MIN(AN194,$J$5),$I$5)+$G$5*MAX(MIN(AN194,$J$5),$I$5)*(BG194*AZ194/($K$5*1000))+$H$5*(BG194*AZ194/($K$5*1000))*(BG194*AZ194/($K$5*1000)))</f>
        <v>0</v>
      </c>
      <c r="Q194">
        <f>H194*(1000-(1000*0.61365*exp(17.502*U194/(240.97+U194))/(AZ194+BA194)+AU194)/2)/(1000*0.61365*exp(17.502*U194/(240.97+U194))/(AZ194+BA194)-AU194)</f>
        <v>0</v>
      </c>
      <c r="R194">
        <f>1/((AO194+1)/(O194/1.6)+1/(P194/1.37)) + AO194/((AO194+1)/(O194/1.6) + AO194/(P194/1.37))</f>
        <v>0</v>
      </c>
      <c r="S194">
        <f>(AJ194*AM194)</f>
        <v>0</v>
      </c>
      <c r="T194">
        <f>(BB194+(S194+2*0.95*5.67E-8*(((BB194+$B$7)+273)^4-(BB194+273)^4)-44100*H194)/(1.84*29.3*P194+8*0.95*5.67E-8*(BB194+273)^3))</f>
        <v>0</v>
      </c>
      <c r="U194">
        <f>($C$7*BC194+$D$7*BD194+$E$7*T194)</f>
        <v>0</v>
      </c>
      <c r="V194">
        <f>0.61365*exp(17.502*U194/(240.97+U194))</f>
        <v>0</v>
      </c>
      <c r="W194">
        <f>(X194/Y194*100)</f>
        <v>0</v>
      </c>
      <c r="X194">
        <f>AU194*(AZ194+BA194)/1000</f>
        <v>0</v>
      </c>
      <c r="Y194">
        <f>0.61365*exp(17.502*BB194/(240.97+BB194))</f>
        <v>0</v>
      </c>
      <c r="Z194">
        <f>(V194-AU194*(AZ194+BA194)/1000)</f>
        <v>0</v>
      </c>
      <c r="AA194">
        <f>(-H194*44100)</f>
        <v>0</v>
      </c>
      <c r="AB194">
        <f>2*29.3*P194*0.92*(BB194-U194)</f>
        <v>0</v>
      </c>
      <c r="AC194">
        <f>2*0.95*5.67E-8*(((BB194+$B$7)+273)^4-(U194+273)^4)</f>
        <v>0</v>
      </c>
      <c r="AD194">
        <f>S194+AC194+AA194+AB194</f>
        <v>0</v>
      </c>
      <c r="AE194">
        <v>0</v>
      </c>
      <c r="AF194">
        <v>0</v>
      </c>
      <c r="AG194">
        <f>IF(AE194*$H$13&gt;=AI194,1.0,(AI194/(AI194-AE194*$H$13)))</f>
        <v>0</v>
      </c>
      <c r="AH194">
        <f>(AG194-1)*100</f>
        <v>0</v>
      </c>
      <c r="AI194">
        <f>MAX(0,($B$13+$C$13*BG194)/(1+$D$13*BG194)*AZ194/(BB194+273)*$E$13)</f>
        <v>0</v>
      </c>
      <c r="AJ194">
        <f>$B$11*BH194+$C$11*BI194+$D$11*BT194</f>
        <v>0</v>
      </c>
      <c r="AK194">
        <f>AJ194*AL194</f>
        <v>0</v>
      </c>
      <c r="AL194">
        <f>($B$11*$D$9+$C$11*$D$9+$D$11*(BU194*$E$9+BV194*$G$9))/($B$11+$C$11+$D$11)</f>
        <v>0</v>
      </c>
      <c r="AM194">
        <f>($B$11*$K$9+$C$11*$K$9+$D$11*(BU194*$L$9+BV194*$N$9))/($B$11+$C$11+$D$11)</f>
        <v>0</v>
      </c>
      <c r="AN194">
        <v>3</v>
      </c>
      <c r="AO194">
        <v>0.5</v>
      </c>
      <c r="AP194" t="s">
        <v>331</v>
      </c>
      <c r="AQ194">
        <v>2</v>
      </c>
      <c r="AR194">
        <v>1773206713.5</v>
      </c>
      <c r="AS194">
        <v>418.8130967741935</v>
      </c>
      <c r="AT194">
        <v>416.4067096774194</v>
      </c>
      <c r="AU194">
        <v>13.46423870967742</v>
      </c>
      <c r="AV194">
        <v>13.35982258064516</v>
      </c>
      <c r="AW194">
        <v>412.581870967742</v>
      </c>
      <c r="AX194">
        <v>13.38364193548387</v>
      </c>
      <c r="AY194">
        <v>500.0096774193549</v>
      </c>
      <c r="AZ194">
        <v>100.0301612903226</v>
      </c>
      <c r="BA194">
        <v>0.04479111612903226</v>
      </c>
      <c r="BB194">
        <v>30.78660967741936</v>
      </c>
      <c r="BC194">
        <v>31.14557419354839</v>
      </c>
      <c r="BD194">
        <v>999.9000000000003</v>
      </c>
      <c r="BE194">
        <v>0</v>
      </c>
      <c r="BF194">
        <v>0</v>
      </c>
      <c r="BG194">
        <v>5004.306451612903</v>
      </c>
      <c r="BH194">
        <v>1.017659774193548</v>
      </c>
      <c r="BI194">
        <v>2029.03870967742</v>
      </c>
      <c r="BJ194">
        <v>2.406471935483871</v>
      </c>
      <c r="BK194">
        <v>424.5290967741935</v>
      </c>
      <c r="BL194">
        <v>422.0450967741936</v>
      </c>
      <c r="BM194">
        <v>0.1044082258064516</v>
      </c>
      <c r="BN194">
        <v>416.4067096774194</v>
      </c>
      <c r="BO194">
        <v>13.35982258064516</v>
      </c>
      <c r="BP194">
        <v>1.346830322580645</v>
      </c>
      <c r="BQ194">
        <v>1.336385806451613</v>
      </c>
      <c r="BR194">
        <v>11.33188387096774</v>
      </c>
      <c r="BS194">
        <v>11.21443225806451</v>
      </c>
      <c r="BT194">
        <v>0</v>
      </c>
      <c r="BU194">
        <v>0</v>
      </c>
      <c r="BV194">
        <v>0</v>
      </c>
      <c r="BW194">
        <v>35</v>
      </c>
      <c r="BX194">
        <v>59.62256451612902</v>
      </c>
      <c r="BY194">
        <v>1773196010</v>
      </c>
      <c r="BZ194" t="s">
        <v>332</v>
      </c>
      <c r="CA194">
        <v>1773196010</v>
      </c>
      <c r="CB194">
        <v>1773196005.5</v>
      </c>
      <c r="CC194">
        <v>2</v>
      </c>
      <c r="CD194">
        <v>-0.279</v>
      </c>
      <c r="CE194">
        <v>-0.021</v>
      </c>
      <c r="CF194">
        <v>6.231</v>
      </c>
      <c r="CG194">
        <v>0.081</v>
      </c>
      <c r="CH194">
        <v>432</v>
      </c>
      <c r="CI194">
        <v>21</v>
      </c>
      <c r="CJ194">
        <v>0.03</v>
      </c>
      <c r="CK194">
        <v>0.06</v>
      </c>
      <c r="CL194">
        <v>416.4046666666667</v>
      </c>
      <c r="CM194">
        <v>-0.6656996662961359</v>
      </c>
      <c r="CN194">
        <v>0.04931824093465392</v>
      </c>
      <c r="CO194">
        <v>-1</v>
      </c>
      <c r="CP194">
        <v>500.0085666666668</v>
      </c>
      <c r="CQ194">
        <v>0.3137085650728181</v>
      </c>
      <c r="CR194">
        <v>0.1586202348027829</v>
      </c>
      <c r="CS194">
        <v>-1</v>
      </c>
      <c r="CT194">
        <v>0</v>
      </c>
      <c r="CU194">
        <v>0</v>
      </c>
      <c r="CV194" t="s">
        <v>333</v>
      </c>
      <c r="CW194">
        <v>3.17193</v>
      </c>
      <c r="CX194">
        <v>2.66627</v>
      </c>
      <c r="CY194">
        <v>0.098091</v>
      </c>
      <c r="CZ194">
        <v>0.0988284</v>
      </c>
      <c r="DA194">
        <v>0.07292999999999999</v>
      </c>
      <c r="DB194">
        <v>0.07256509999999999</v>
      </c>
      <c r="DC194">
        <v>21309.7</v>
      </c>
      <c r="DD194">
        <v>21900.1</v>
      </c>
      <c r="DE194">
        <v>22783.9</v>
      </c>
      <c r="DF194">
        <v>22252.4</v>
      </c>
      <c r="DG194">
        <v>31948.3</v>
      </c>
      <c r="DH194">
        <v>29069.9</v>
      </c>
      <c r="DI194">
        <v>40109.4</v>
      </c>
      <c r="DJ194">
        <v>36803.4</v>
      </c>
      <c r="DK194">
        <v>2.01856</v>
      </c>
      <c r="DL194">
        <v>1.48502</v>
      </c>
      <c r="DM194">
        <v>-0.104156</v>
      </c>
      <c r="DN194">
        <v>0</v>
      </c>
      <c r="DO194">
        <v>32.8293</v>
      </c>
      <c r="DP194">
        <v>999.9</v>
      </c>
      <c r="DQ194">
        <v>22.4</v>
      </c>
      <c r="DR194">
        <v>46.3</v>
      </c>
      <c r="DS194">
        <v>23.0702</v>
      </c>
      <c r="DT194">
        <v>30.4265</v>
      </c>
      <c r="DU194">
        <v>14.0064</v>
      </c>
      <c r="DV194">
        <v>1</v>
      </c>
      <c r="DW194">
        <v>0.963069</v>
      </c>
      <c r="DX194">
        <v>4.80927</v>
      </c>
      <c r="DY194">
        <v>20.2815</v>
      </c>
      <c r="DZ194">
        <v>5.21034</v>
      </c>
      <c r="EA194">
        <v>11.8584</v>
      </c>
      <c r="EB194">
        <v>4.96752</v>
      </c>
      <c r="EC194">
        <v>3.29296</v>
      </c>
      <c r="ED194">
        <v>879.4</v>
      </c>
      <c r="EE194">
        <v>9999</v>
      </c>
      <c r="EF194">
        <v>9999</v>
      </c>
      <c r="EG194">
        <v>79</v>
      </c>
      <c r="EH194">
        <v>4.97156</v>
      </c>
      <c r="EI194">
        <v>1.8721</v>
      </c>
      <c r="EJ194">
        <v>1.86951</v>
      </c>
      <c r="EK194">
        <v>1.87179</v>
      </c>
      <c r="EL194">
        <v>1.86954</v>
      </c>
      <c r="EM194">
        <v>1.86837</v>
      </c>
      <c r="EN194">
        <v>1.87016</v>
      </c>
      <c r="EO194">
        <v>1.87195</v>
      </c>
      <c r="EP194">
        <v>0</v>
      </c>
      <c r="EQ194">
        <v>0</v>
      </c>
      <c r="ER194">
        <v>0</v>
      </c>
      <c r="ES194">
        <v>0</v>
      </c>
      <c r="ET194" t="s">
        <v>334</v>
      </c>
      <c r="EU194" t="s">
        <v>335</v>
      </c>
      <c r="EV194" t="s">
        <v>336</v>
      </c>
      <c r="EW194" t="s">
        <v>336</v>
      </c>
      <c r="EX194" t="s">
        <v>336</v>
      </c>
      <c r="EY194" t="s">
        <v>336</v>
      </c>
      <c r="EZ194">
        <v>0</v>
      </c>
      <c r="FA194">
        <v>100</v>
      </c>
      <c r="FB194">
        <v>100</v>
      </c>
      <c r="FC194">
        <v>6.231</v>
      </c>
      <c r="FD194">
        <v>0.0806</v>
      </c>
      <c r="FE194">
        <v>6.23135000000002</v>
      </c>
      <c r="FF194">
        <v>0</v>
      </c>
      <c r="FG194">
        <v>0</v>
      </c>
      <c r="FH194">
        <v>0</v>
      </c>
      <c r="FI194">
        <v>0.08059047619047632</v>
      </c>
      <c r="FJ194">
        <v>0</v>
      </c>
      <c r="FK194">
        <v>0</v>
      </c>
      <c r="FL194">
        <v>0</v>
      </c>
      <c r="FM194">
        <v>-1</v>
      </c>
      <c r="FN194">
        <v>-1</v>
      </c>
      <c r="FO194">
        <v>-1</v>
      </c>
      <c r="FP194">
        <v>-1</v>
      </c>
      <c r="FQ194">
        <v>178.5</v>
      </c>
      <c r="FR194">
        <v>178.6</v>
      </c>
      <c r="FS194">
        <v>0.140381</v>
      </c>
      <c r="FT194">
        <v>4.99634</v>
      </c>
      <c r="FU194">
        <v>1.5979</v>
      </c>
      <c r="FV194">
        <v>2.10938</v>
      </c>
      <c r="FW194">
        <v>1.54785</v>
      </c>
      <c r="FX194">
        <v>2.47925</v>
      </c>
      <c r="FY194">
        <v>47.9955</v>
      </c>
      <c r="FZ194">
        <v>14.9638</v>
      </c>
      <c r="GA194">
        <v>3</v>
      </c>
      <c r="GB194">
        <v>520.908</v>
      </c>
      <c r="GC194">
        <v>286.551</v>
      </c>
      <c r="GD194">
        <v>26.9159</v>
      </c>
      <c r="GE194">
        <v>38.7389</v>
      </c>
      <c r="GF194">
        <v>30.0001</v>
      </c>
      <c r="GG194">
        <v>38.578</v>
      </c>
      <c r="GH194">
        <v>38.5563</v>
      </c>
      <c r="GI194">
        <v>-1</v>
      </c>
      <c r="GJ194">
        <v>100</v>
      </c>
      <c r="GK194">
        <v>0</v>
      </c>
      <c r="GL194">
        <v>26.9196</v>
      </c>
      <c r="GM194">
        <v>1200</v>
      </c>
      <c r="GN194">
        <v>19.4378</v>
      </c>
      <c r="GO194">
        <v>100.9</v>
      </c>
      <c r="GP194">
        <v>96.1069</v>
      </c>
    </row>
    <row r="195" spans="1:198">
      <c r="A195">
        <v>179</v>
      </c>
      <c r="B195">
        <v>1773206781.5</v>
      </c>
      <c r="C195">
        <v>10681.5</v>
      </c>
      <c r="D195" t="s">
        <v>691</v>
      </c>
      <c r="E195" t="s">
        <v>692</v>
      </c>
      <c r="F195">
        <v>15</v>
      </c>
      <c r="G195">
        <v>1773206773.5</v>
      </c>
      <c r="H195">
        <f>(I195)/1000</f>
        <v>0</v>
      </c>
      <c r="I195">
        <f>1000*AY195*AG195*(AU195-AV195)/(100*AN195*(1000-AG195*AU195))</f>
        <v>0</v>
      </c>
      <c r="J195">
        <f>AY195*AG195*(AT195-AS195*(1000-AG195*AV195)/(1000-AG195*AU195))/(100*AN195)</f>
        <v>0</v>
      </c>
      <c r="K195">
        <f>AS195 - IF(AG195&gt;1, J195*AN195*100.0/(AI195), 0)</f>
        <v>0</v>
      </c>
      <c r="L195">
        <f>((R195-H195/2)*K195-J195)/(R195+H195/2)</f>
        <v>0</v>
      </c>
      <c r="M195">
        <f>L195*(AZ195+BA195)/1000.0</f>
        <v>0</v>
      </c>
      <c r="N195">
        <f>(AS195 - IF(AG195&gt;1, J195*AN195*100.0/(AI195), 0))*(AZ195+BA195)/1000.0</f>
        <v>0</v>
      </c>
      <c r="O195">
        <f>2.0/((1/Q195-1/P195)+SIGN(Q195)*SQRT((1/Q195-1/P195)*(1/Q195-1/P195) + 4*AO195/((AO195+1)*(AO195+1))*(2*1/Q195*1/P195-1/P195*1/P195)))</f>
        <v>0</v>
      </c>
      <c r="P195">
        <f>IF(LEFT(AP195,1)&lt;&gt;"0",IF(LEFT(AP195,1)="1",3.0,AQ195),$D$5+$E$5*(BG195*AZ195/($K$5*1000))+$F$5*(BG195*AZ195/($K$5*1000))*MAX(MIN(AN195,$J$5),$I$5)*MAX(MIN(AN195,$J$5),$I$5)+$G$5*MAX(MIN(AN195,$J$5),$I$5)*(BG195*AZ195/($K$5*1000))+$H$5*(BG195*AZ195/($K$5*1000))*(BG195*AZ195/($K$5*1000)))</f>
        <v>0</v>
      </c>
      <c r="Q195">
        <f>H195*(1000-(1000*0.61365*exp(17.502*U195/(240.97+U195))/(AZ195+BA195)+AU195)/2)/(1000*0.61365*exp(17.502*U195/(240.97+U195))/(AZ195+BA195)-AU195)</f>
        <v>0</v>
      </c>
      <c r="R195">
        <f>1/((AO195+1)/(O195/1.6)+1/(P195/1.37)) + AO195/((AO195+1)/(O195/1.6) + AO195/(P195/1.37))</f>
        <v>0</v>
      </c>
      <c r="S195">
        <f>(AJ195*AM195)</f>
        <v>0</v>
      </c>
      <c r="T195">
        <f>(BB195+(S195+2*0.95*5.67E-8*(((BB195+$B$7)+273)^4-(BB195+273)^4)-44100*H195)/(1.84*29.3*P195+8*0.95*5.67E-8*(BB195+273)^3))</f>
        <v>0</v>
      </c>
      <c r="U195">
        <f>($C$7*BC195+$D$7*BD195+$E$7*T195)</f>
        <v>0</v>
      </c>
      <c r="V195">
        <f>0.61365*exp(17.502*U195/(240.97+U195))</f>
        <v>0</v>
      </c>
      <c r="W195">
        <f>(X195/Y195*100)</f>
        <v>0</v>
      </c>
      <c r="X195">
        <f>AU195*(AZ195+BA195)/1000</f>
        <v>0</v>
      </c>
      <c r="Y195">
        <f>0.61365*exp(17.502*BB195/(240.97+BB195))</f>
        <v>0</v>
      </c>
      <c r="Z195">
        <f>(V195-AU195*(AZ195+BA195)/1000)</f>
        <v>0</v>
      </c>
      <c r="AA195">
        <f>(-H195*44100)</f>
        <v>0</v>
      </c>
      <c r="AB195">
        <f>2*29.3*P195*0.92*(BB195-U195)</f>
        <v>0</v>
      </c>
      <c r="AC195">
        <f>2*0.95*5.67E-8*(((BB195+$B$7)+273)^4-(U195+273)^4)</f>
        <v>0</v>
      </c>
      <c r="AD195">
        <f>S195+AC195+AA195+AB195</f>
        <v>0</v>
      </c>
      <c r="AE195">
        <v>0</v>
      </c>
      <c r="AF195">
        <v>0</v>
      </c>
      <c r="AG195">
        <f>IF(AE195*$H$13&gt;=AI195,1.0,(AI195/(AI195-AE195*$H$13)))</f>
        <v>0</v>
      </c>
      <c r="AH195">
        <f>(AG195-1)*100</f>
        <v>0</v>
      </c>
      <c r="AI195">
        <f>MAX(0,($B$13+$C$13*BG195)/(1+$D$13*BG195)*AZ195/(BB195+273)*$E$13)</f>
        <v>0</v>
      </c>
      <c r="AJ195">
        <f>$B$11*BH195+$C$11*BI195+$D$11*BT195</f>
        <v>0</v>
      </c>
      <c r="AK195">
        <f>AJ195*AL195</f>
        <v>0</v>
      </c>
      <c r="AL195">
        <f>($B$11*$D$9+$C$11*$D$9+$D$11*(BU195*$E$9+BV195*$G$9))/($B$11+$C$11+$D$11)</f>
        <v>0</v>
      </c>
      <c r="AM195">
        <f>($B$11*$K$9+$C$11*$K$9+$D$11*(BU195*$L$9+BV195*$N$9))/($B$11+$C$11+$D$11)</f>
        <v>0</v>
      </c>
      <c r="AN195">
        <v>3</v>
      </c>
      <c r="AO195">
        <v>0.5</v>
      </c>
      <c r="AP195" t="s">
        <v>331</v>
      </c>
      <c r="AQ195">
        <v>2</v>
      </c>
      <c r="AR195">
        <v>1773206773.5</v>
      </c>
      <c r="AS195">
        <v>418.4716774193548</v>
      </c>
      <c r="AT195">
        <v>416.1105161290323</v>
      </c>
      <c r="AU195">
        <v>13.42106129032258</v>
      </c>
      <c r="AV195">
        <v>13.31032903225807</v>
      </c>
      <c r="AW195">
        <v>412.2402903225806</v>
      </c>
      <c r="AX195">
        <v>13.34047419354839</v>
      </c>
      <c r="AY195">
        <v>500.0209677419355</v>
      </c>
      <c r="AZ195">
        <v>100.0285806451612</v>
      </c>
      <c r="BA195">
        <v>0.04580333870967742</v>
      </c>
      <c r="BB195">
        <v>30.72901935483871</v>
      </c>
      <c r="BC195">
        <v>31.07062258064516</v>
      </c>
      <c r="BD195">
        <v>999.9000000000003</v>
      </c>
      <c r="BE195">
        <v>0</v>
      </c>
      <c r="BF195">
        <v>0</v>
      </c>
      <c r="BG195">
        <v>5009.741935483871</v>
      </c>
      <c r="BH195">
        <v>1.029375870967742</v>
      </c>
      <c r="BI195">
        <v>2049.417741935484</v>
      </c>
      <c r="BJ195">
        <v>2.361101612903226</v>
      </c>
      <c r="BK195">
        <v>424.1644516129032</v>
      </c>
      <c r="BL195">
        <v>421.723870967742</v>
      </c>
      <c r="BM195">
        <v>0.1107281290322581</v>
      </c>
      <c r="BN195">
        <v>416.1105161290323</v>
      </c>
      <c r="BO195">
        <v>13.31032903225807</v>
      </c>
      <c r="BP195">
        <v>1.342490322580645</v>
      </c>
      <c r="BQ195">
        <v>1.331412258064516</v>
      </c>
      <c r="BR195">
        <v>11.28316451612903</v>
      </c>
      <c r="BS195">
        <v>11.15822903225807</v>
      </c>
      <c r="BT195">
        <v>0</v>
      </c>
      <c r="BU195">
        <v>0</v>
      </c>
      <c r="BV195">
        <v>0</v>
      </c>
      <c r="BW195">
        <v>35</v>
      </c>
      <c r="BX195">
        <v>60.41075483870968</v>
      </c>
      <c r="BY195">
        <v>1773196010</v>
      </c>
      <c r="BZ195" t="s">
        <v>332</v>
      </c>
      <c r="CA195">
        <v>1773196010</v>
      </c>
      <c r="CB195">
        <v>1773196005.5</v>
      </c>
      <c r="CC195">
        <v>2</v>
      </c>
      <c r="CD195">
        <v>-0.279</v>
      </c>
      <c r="CE195">
        <v>-0.021</v>
      </c>
      <c r="CF195">
        <v>6.231</v>
      </c>
      <c r="CG195">
        <v>0.081</v>
      </c>
      <c r="CH195">
        <v>432</v>
      </c>
      <c r="CI195">
        <v>21</v>
      </c>
      <c r="CJ195">
        <v>0.03</v>
      </c>
      <c r="CK195">
        <v>0.06</v>
      </c>
      <c r="CL195">
        <v>416.1103999999999</v>
      </c>
      <c r="CM195">
        <v>-0.094825361510877</v>
      </c>
      <c r="CN195">
        <v>0.02047046653107858</v>
      </c>
      <c r="CO195">
        <v>-1</v>
      </c>
      <c r="CP195">
        <v>500.0225</v>
      </c>
      <c r="CQ195">
        <v>0.008569521690343068</v>
      </c>
      <c r="CR195">
        <v>0.05419947724225304</v>
      </c>
      <c r="CS195">
        <v>-1</v>
      </c>
      <c r="CT195">
        <v>0</v>
      </c>
      <c r="CU195">
        <v>0</v>
      </c>
      <c r="CV195" t="s">
        <v>333</v>
      </c>
      <c r="CW195">
        <v>3.17156</v>
      </c>
      <c r="CX195">
        <v>2.66685</v>
      </c>
      <c r="CY195">
        <v>0.09803870000000001</v>
      </c>
      <c r="CZ195">
        <v>0.0987947</v>
      </c>
      <c r="DA195">
        <v>0.0727375</v>
      </c>
      <c r="DB195">
        <v>0.0723625</v>
      </c>
      <c r="DC195">
        <v>21312.8</v>
      </c>
      <c r="DD195">
        <v>21902.8</v>
      </c>
      <c r="DE195">
        <v>22785.8</v>
      </c>
      <c r="DF195">
        <v>22254.3</v>
      </c>
      <c r="DG195">
        <v>31957.5</v>
      </c>
      <c r="DH195">
        <v>29078.5</v>
      </c>
      <c r="DI195">
        <v>40112.6</v>
      </c>
      <c r="DJ195">
        <v>36806.3</v>
      </c>
      <c r="DK195">
        <v>2.01834</v>
      </c>
      <c r="DL195">
        <v>1.48692</v>
      </c>
      <c r="DM195">
        <v>-0.100029</v>
      </c>
      <c r="DN195">
        <v>0</v>
      </c>
      <c r="DO195">
        <v>32.6908</v>
      </c>
      <c r="DP195">
        <v>999.9</v>
      </c>
      <c r="DQ195">
        <v>22.1</v>
      </c>
      <c r="DR195">
        <v>46.3</v>
      </c>
      <c r="DS195">
        <v>22.764</v>
      </c>
      <c r="DT195">
        <v>29.6764</v>
      </c>
      <c r="DU195">
        <v>14.2268</v>
      </c>
      <c r="DV195">
        <v>1</v>
      </c>
      <c r="DW195">
        <v>0.955415</v>
      </c>
      <c r="DX195">
        <v>4.10895</v>
      </c>
      <c r="DY195">
        <v>20.3036</v>
      </c>
      <c r="DZ195">
        <v>5.20938</v>
      </c>
      <c r="EA195">
        <v>11.857</v>
      </c>
      <c r="EB195">
        <v>4.96724</v>
      </c>
      <c r="EC195">
        <v>3.29298</v>
      </c>
      <c r="ED195">
        <v>879.4</v>
      </c>
      <c r="EE195">
        <v>9999</v>
      </c>
      <c r="EF195">
        <v>9999</v>
      </c>
      <c r="EG195">
        <v>79</v>
      </c>
      <c r="EH195">
        <v>4.97155</v>
      </c>
      <c r="EI195">
        <v>1.8721</v>
      </c>
      <c r="EJ195">
        <v>1.86951</v>
      </c>
      <c r="EK195">
        <v>1.8718</v>
      </c>
      <c r="EL195">
        <v>1.86952</v>
      </c>
      <c r="EM195">
        <v>1.86833</v>
      </c>
      <c r="EN195">
        <v>1.87014</v>
      </c>
      <c r="EO195">
        <v>1.87195</v>
      </c>
      <c r="EP195">
        <v>0</v>
      </c>
      <c r="EQ195">
        <v>0</v>
      </c>
      <c r="ER195">
        <v>0</v>
      </c>
      <c r="ES195">
        <v>0</v>
      </c>
      <c r="ET195" t="s">
        <v>334</v>
      </c>
      <c r="EU195" t="s">
        <v>335</v>
      </c>
      <c r="EV195" t="s">
        <v>336</v>
      </c>
      <c r="EW195" t="s">
        <v>336</v>
      </c>
      <c r="EX195" t="s">
        <v>336</v>
      </c>
      <c r="EY195" t="s">
        <v>336</v>
      </c>
      <c r="EZ195">
        <v>0</v>
      </c>
      <c r="FA195">
        <v>100</v>
      </c>
      <c r="FB195">
        <v>100</v>
      </c>
      <c r="FC195">
        <v>6.232</v>
      </c>
      <c r="FD195">
        <v>0.0806</v>
      </c>
      <c r="FE195">
        <v>6.23135000000002</v>
      </c>
      <c r="FF195">
        <v>0</v>
      </c>
      <c r="FG195">
        <v>0</v>
      </c>
      <c r="FH195">
        <v>0</v>
      </c>
      <c r="FI195">
        <v>0.08059047619047632</v>
      </c>
      <c r="FJ195">
        <v>0</v>
      </c>
      <c r="FK195">
        <v>0</v>
      </c>
      <c r="FL195">
        <v>0</v>
      </c>
      <c r="FM195">
        <v>-1</v>
      </c>
      <c r="FN195">
        <v>-1</v>
      </c>
      <c r="FO195">
        <v>-1</v>
      </c>
      <c r="FP195">
        <v>-1</v>
      </c>
      <c r="FQ195">
        <v>179.5</v>
      </c>
      <c r="FR195">
        <v>179.6</v>
      </c>
      <c r="FS195">
        <v>0.140381</v>
      </c>
      <c r="FT195">
        <v>4.99634</v>
      </c>
      <c r="FU195">
        <v>1.5979</v>
      </c>
      <c r="FV195">
        <v>2.10815</v>
      </c>
      <c r="FW195">
        <v>1.54785</v>
      </c>
      <c r="FX195">
        <v>2.40845</v>
      </c>
      <c r="FY195">
        <v>47.9347</v>
      </c>
      <c r="FZ195">
        <v>14.9638</v>
      </c>
      <c r="GA195">
        <v>3</v>
      </c>
      <c r="GB195">
        <v>520.693</v>
      </c>
      <c r="GC195">
        <v>287.39</v>
      </c>
      <c r="GD195">
        <v>27.2906</v>
      </c>
      <c r="GE195">
        <v>38.7107</v>
      </c>
      <c r="GF195">
        <v>29.9994</v>
      </c>
      <c r="GG195">
        <v>38.5671</v>
      </c>
      <c r="GH195">
        <v>38.5438</v>
      </c>
      <c r="GI195">
        <v>-1</v>
      </c>
      <c r="GJ195">
        <v>100</v>
      </c>
      <c r="GK195">
        <v>0</v>
      </c>
      <c r="GL195">
        <v>27.311</v>
      </c>
      <c r="GM195">
        <v>1200</v>
      </c>
      <c r="GN195">
        <v>19.4378</v>
      </c>
      <c r="GO195">
        <v>100.908</v>
      </c>
      <c r="GP195">
        <v>96.1147</v>
      </c>
    </row>
    <row r="196" spans="1:198">
      <c r="A196">
        <v>180</v>
      </c>
      <c r="B196">
        <v>1773206841.5</v>
      </c>
      <c r="C196">
        <v>10741.5</v>
      </c>
      <c r="D196" t="s">
        <v>693</v>
      </c>
      <c r="E196" t="s">
        <v>694</v>
      </c>
      <c r="F196">
        <v>15</v>
      </c>
      <c r="G196">
        <v>1773206833.5</v>
      </c>
      <c r="H196">
        <f>(I196)/1000</f>
        <v>0</v>
      </c>
      <c r="I196">
        <f>1000*AY196*AG196*(AU196-AV196)/(100*AN196*(1000-AG196*AU196))</f>
        <v>0</v>
      </c>
      <c r="J196">
        <f>AY196*AG196*(AT196-AS196*(1000-AG196*AV196)/(1000-AG196*AU196))/(100*AN196)</f>
        <v>0</v>
      </c>
      <c r="K196">
        <f>AS196 - IF(AG196&gt;1, J196*AN196*100.0/(AI196), 0)</f>
        <v>0</v>
      </c>
      <c r="L196">
        <f>((R196-H196/2)*K196-J196)/(R196+H196/2)</f>
        <v>0</v>
      </c>
      <c r="M196">
        <f>L196*(AZ196+BA196)/1000.0</f>
        <v>0</v>
      </c>
      <c r="N196">
        <f>(AS196 - IF(AG196&gt;1, J196*AN196*100.0/(AI196), 0))*(AZ196+BA196)/1000.0</f>
        <v>0</v>
      </c>
      <c r="O196">
        <f>2.0/((1/Q196-1/P196)+SIGN(Q196)*SQRT((1/Q196-1/P196)*(1/Q196-1/P196) + 4*AO196/((AO196+1)*(AO196+1))*(2*1/Q196*1/P196-1/P196*1/P196)))</f>
        <v>0</v>
      </c>
      <c r="P196">
        <f>IF(LEFT(AP196,1)&lt;&gt;"0",IF(LEFT(AP196,1)="1",3.0,AQ196),$D$5+$E$5*(BG196*AZ196/($K$5*1000))+$F$5*(BG196*AZ196/($K$5*1000))*MAX(MIN(AN196,$J$5),$I$5)*MAX(MIN(AN196,$J$5),$I$5)+$G$5*MAX(MIN(AN196,$J$5),$I$5)*(BG196*AZ196/($K$5*1000))+$H$5*(BG196*AZ196/($K$5*1000))*(BG196*AZ196/($K$5*1000)))</f>
        <v>0</v>
      </c>
      <c r="Q196">
        <f>H196*(1000-(1000*0.61365*exp(17.502*U196/(240.97+U196))/(AZ196+BA196)+AU196)/2)/(1000*0.61365*exp(17.502*U196/(240.97+U196))/(AZ196+BA196)-AU196)</f>
        <v>0</v>
      </c>
      <c r="R196">
        <f>1/((AO196+1)/(O196/1.6)+1/(P196/1.37)) + AO196/((AO196+1)/(O196/1.6) + AO196/(P196/1.37))</f>
        <v>0</v>
      </c>
      <c r="S196">
        <f>(AJ196*AM196)</f>
        <v>0</v>
      </c>
      <c r="T196">
        <f>(BB196+(S196+2*0.95*5.67E-8*(((BB196+$B$7)+273)^4-(BB196+273)^4)-44100*H196)/(1.84*29.3*P196+8*0.95*5.67E-8*(BB196+273)^3))</f>
        <v>0</v>
      </c>
      <c r="U196">
        <f>($C$7*BC196+$D$7*BD196+$E$7*T196)</f>
        <v>0</v>
      </c>
      <c r="V196">
        <f>0.61365*exp(17.502*U196/(240.97+U196))</f>
        <v>0</v>
      </c>
      <c r="W196">
        <f>(X196/Y196*100)</f>
        <v>0</v>
      </c>
      <c r="X196">
        <f>AU196*(AZ196+BA196)/1000</f>
        <v>0</v>
      </c>
      <c r="Y196">
        <f>0.61365*exp(17.502*BB196/(240.97+BB196))</f>
        <v>0</v>
      </c>
      <c r="Z196">
        <f>(V196-AU196*(AZ196+BA196)/1000)</f>
        <v>0</v>
      </c>
      <c r="AA196">
        <f>(-H196*44100)</f>
        <v>0</v>
      </c>
      <c r="AB196">
        <f>2*29.3*P196*0.92*(BB196-U196)</f>
        <v>0</v>
      </c>
      <c r="AC196">
        <f>2*0.95*5.67E-8*(((BB196+$B$7)+273)^4-(U196+273)^4)</f>
        <v>0</v>
      </c>
      <c r="AD196">
        <f>S196+AC196+AA196+AB196</f>
        <v>0</v>
      </c>
      <c r="AE196">
        <v>0</v>
      </c>
      <c r="AF196">
        <v>0</v>
      </c>
      <c r="AG196">
        <f>IF(AE196*$H$13&gt;=AI196,1.0,(AI196/(AI196-AE196*$H$13)))</f>
        <v>0</v>
      </c>
      <c r="AH196">
        <f>(AG196-1)*100</f>
        <v>0</v>
      </c>
      <c r="AI196">
        <f>MAX(0,($B$13+$C$13*BG196)/(1+$D$13*BG196)*AZ196/(BB196+273)*$E$13)</f>
        <v>0</v>
      </c>
      <c r="AJ196">
        <f>$B$11*BH196+$C$11*BI196+$D$11*BT196</f>
        <v>0</v>
      </c>
      <c r="AK196">
        <f>AJ196*AL196</f>
        <v>0</v>
      </c>
      <c r="AL196">
        <f>($B$11*$D$9+$C$11*$D$9+$D$11*(BU196*$E$9+BV196*$G$9))/($B$11+$C$11+$D$11)</f>
        <v>0</v>
      </c>
      <c r="AM196">
        <f>($B$11*$K$9+$C$11*$K$9+$D$11*(BU196*$L$9+BV196*$N$9))/($B$11+$C$11+$D$11)</f>
        <v>0</v>
      </c>
      <c r="AN196">
        <v>3</v>
      </c>
      <c r="AO196">
        <v>0.5</v>
      </c>
      <c r="AP196" t="s">
        <v>331</v>
      </c>
      <c r="AQ196">
        <v>2</v>
      </c>
      <c r="AR196">
        <v>1773206833.5</v>
      </c>
      <c r="AS196">
        <v>418.3282903225806</v>
      </c>
      <c r="AT196">
        <v>416.0156774193548</v>
      </c>
      <c r="AU196">
        <v>13.40992903225806</v>
      </c>
      <c r="AV196">
        <v>13.30106451612903</v>
      </c>
      <c r="AW196">
        <v>412.096935483871</v>
      </c>
      <c r="AX196">
        <v>13.32934193548387</v>
      </c>
      <c r="AY196">
        <v>499.9839677419354</v>
      </c>
      <c r="AZ196">
        <v>100.0244193548387</v>
      </c>
      <c r="BA196">
        <v>0.04478553870967742</v>
      </c>
      <c r="BB196">
        <v>30.79555483870968</v>
      </c>
      <c r="BC196">
        <v>31.13717419354839</v>
      </c>
      <c r="BD196">
        <v>999.9000000000003</v>
      </c>
      <c r="BE196">
        <v>0</v>
      </c>
      <c r="BF196">
        <v>0</v>
      </c>
      <c r="BG196">
        <v>4992.112903225807</v>
      </c>
      <c r="BH196">
        <v>1.044017774193548</v>
      </c>
      <c r="BI196">
        <v>2039.90064516129</v>
      </c>
      <c r="BJ196">
        <v>2.31256064516129</v>
      </c>
      <c r="BK196">
        <v>424.0143225806452</v>
      </c>
      <c r="BL196">
        <v>421.6237741935485</v>
      </c>
      <c r="BM196">
        <v>0.1088751935483871</v>
      </c>
      <c r="BN196">
        <v>416.0156774193548</v>
      </c>
      <c r="BO196">
        <v>13.30106451612903</v>
      </c>
      <c r="BP196">
        <v>1.341319032258065</v>
      </c>
      <c r="BQ196">
        <v>1.330429032258065</v>
      </c>
      <c r="BR196">
        <v>11.27002258064516</v>
      </c>
      <c r="BS196">
        <v>11.14708387096774</v>
      </c>
      <c r="BT196">
        <v>0</v>
      </c>
      <c r="BU196">
        <v>0</v>
      </c>
      <c r="BV196">
        <v>0</v>
      </c>
      <c r="BW196">
        <v>35</v>
      </c>
      <c r="BX196">
        <v>60.95376129032259</v>
      </c>
      <c r="BY196">
        <v>1773196010</v>
      </c>
      <c r="BZ196" t="s">
        <v>332</v>
      </c>
      <c r="CA196">
        <v>1773196010</v>
      </c>
      <c r="CB196">
        <v>1773196005.5</v>
      </c>
      <c r="CC196">
        <v>2</v>
      </c>
      <c r="CD196">
        <v>-0.279</v>
      </c>
      <c r="CE196">
        <v>-0.021</v>
      </c>
      <c r="CF196">
        <v>6.231</v>
      </c>
      <c r="CG196">
        <v>0.081</v>
      </c>
      <c r="CH196">
        <v>432</v>
      </c>
      <c r="CI196">
        <v>21</v>
      </c>
      <c r="CJ196">
        <v>0.03</v>
      </c>
      <c r="CK196">
        <v>0.06</v>
      </c>
      <c r="CL196">
        <v>416.0104193548387</v>
      </c>
      <c r="CM196">
        <v>0.578903225805231</v>
      </c>
      <c r="CN196">
        <v>0.04382573569560603</v>
      </c>
      <c r="CO196">
        <v>-1</v>
      </c>
      <c r="CP196">
        <v>499.9884838709677</v>
      </c>
      <c r="CQ196">
        <v>-0.1839677419360624</v>
      </c>
      <c r="CR196">
        <v>0.05566713918475856</v>
      </c>
      <c r="CS196">
        <v>-1</v>
      </c>
      <c r="CT196">
        <v>0</v>
      </c>
      <c r="CU196">
        <v>0</v>
      </c>
      <c r="CV196" t="s">
        <v>333</v>
      </c>
      <c r="CW196">
        <v>3.17139</v>
      </c>
      <c r="CX196">
        <v>2.66689</v>
      </c>
      <c r="CY196">
        <v>0.09802370000000001</v>
      </c>
      <c r="CZ196">
        <v>0.09878869999999999</v>
      </c>
      <c r="DA196">
        <v>0.0727257</v>
      </c>
      <c r="DB196">
        <v>0.0723713</v>
      </c>
      <c r="DC196">
        <v>21314</v>
      </c>
      <c r="DD196">
        <v>21904</v>
      </c>
      <c r="DE196">
        <v>22786.6</v>
      </c>
      <c r="DF196">
        <v>22255.2</v>
      </c>
      <c r="DG196">
        <v>31959</v>
      </c>
      <c r="DH196">
        <v>29079.7</v>
      </c>
      <c r="DI196">
        <v>40113.9</v>
      </c>
      <c r="DJ196">
        <v>36808</v>
      </c>
      <c r="DK196">
        <v>2.01856</v>
      </c>
      <c r="DL196">
        <v>1.4872</v>
      </c>
      <c r="DM196">
        <v>-0.09081069999999999</v>
      </c>
      <c r="DN196">
        <v>0</v>
      </c>
      <c r="DO196">
        <v>32.6362</v>
      </c>
      <c r="DP196">
        <v>999.9</v>
      </c>
      <c r="DQ196">
        <v>22.3</v>
      </c>
      <c r="DR196">
        <v>46.3</v>
      </c>
      <c r="DS196">
        <v>22.9722</v>
      </c>
      <c r="DT196">
        <v>30.5764</v>
      </c>
      <c r="DU196">
        <v>14.4231</v>
      </c>
      <c r="DV196">
        <v>1</v>
      </c>
      <c r="DW196">
        <v>0.959469</v>
      </c>
      <c r="DX196">
        <v>6.2224</v>
      </c>
      <c r="DY196">
        <v>20.217</v>
      </c>
      <c r="DZ196">
        <v>5.20783</v>
      </c>
      <c r="EA196">
        <v>11.8559</v>
      </c>
      <c r="EB196">
        <v>4.96764</v>
      </c>
      <c r="EC196">
        <v>3.29296</v>
      </c>
      <c r="ED196">
        <v>879.4</v>
      </c>
      <c r="EE196">
        <v>9999</v>
      </c>
      <c r="EF196">
        <v>9999</v>
      </c>
      <c r="EG196">
        <v>79</v>
      </c>
      <c r="EH196">
        <v>4.97152</v>
      </c>
      <c r="EI196">
        <v>1.87207</v>
      </c>
      <c r="EJ196">
        <v>1.86945</v>
      </c>
      <c r="EK196">
        <v>1.87179</v>
      </c>
      <c r="EL196">
        <v>1.86952</v>
      </c>
      <c r="EM196">
        <v>1.8683</v>
      </c>
      <c r="EN196">
        <v>1.87012</v>
      </c>
      <c r="EO196">
        <v>1.87191</v>
      </c>
      <c r="EP196">
        <v>0</v>
      </c>
      <c r="EQ196">
        <v>0</v>
      </c>
      <c r="ER196">
        <v>0</v>
      </c>
      <c r="ES196">
        <v>0</v>
      </c>
      <c r="ET196" t="s">
        <v>334</v>
      </c>
      <c r="EU196" t="s">
        <v>335</v>
      </c>
      <c r="EV196" t="s">
        <v>336</v>
      </c>
      <c r="EW196" t="s">
        <v>336</v>
      </c>
      <c r="EX196" t="s">
        <v>336</v>
      </c>
      <c r="EY196" t="s">
        <v>336</v>
      </c>
      <c r="EZ196">
        <v>0</v>
      </c>
      <c r="FA196">
        <v>100</v>
      </c>
      <c r="FB196">
        <v>100</v>
      </c>
      <c r="FC196">
        <v>6.232</v>
      </c>
      <c r="FD196">
        <v>0.0806</v>
      </c>
      <c r="FE196">
        <v>6.23135000000002</v>
      </c>
      <c r="FF196">
        <v>0</v>
      </c>
      <c r="FG196">
        <v>0</v>
      </c>
      <c r="FH196">
        <v>0</v>
      </c>
      <c r="FI196">
        <v>0.08059047619047632</v>
      </c>
      <c r="FJ196">
        <v>0</v>
      </c>
      <c r="FK196">
        <v>0</v>
      </c>
      <c r="FL196">
        <v>0</v>
      </c>
      <c r="FM196">
        <v>-1</v>
      </c>
      <c r="FN196">
        <v>-1</v>
      </c>
      <c r="FO196">
        <v>-1</v>
      </c>
      <c r="FP196">
        <v>-1</v>
      </c>
      <c r="FQ196">
        <v>180.5</v>
      </c>
      <c r="FR196">
        <v>180.6</v>
      </c>
      <c r="FS196">
        <v>0.140381</v>
      </c>
      <c r="FT196">
        <v>4.99756</v>
      </c>
      <c r="FU196">
        <v>1.5979</v>
      </c>
      <c r="FV196">
        <v>2.10938</v>
      </c>
      <c r="FW196">
        <v>1.54785</v>
      </c>
      <c r="FX196">
        <v>2.38892</v>
      </c>
      <c r="FY196">
        <v>47.9347</v>
      </c>
      <c r="FZ196">
        <v>14.9026</v>
      </c>
      <c r="GA196">
        <v>3</v>
      </c>
      <c r="GB196">
        <v>520.725</v>
      </c>
      <c r="GC196">
        <v>287.485</v>
      </c>
      <c r="GD196">
        <v>27.6537</v>
      </c>
      <c r="GE196">
        <v>38.6723</v>
      </c>
      <c r="GF196">
        <v>30.0062</v>
      </c>
      <c r="GG196">
        <v>38.552</v>
      </c>
      <c r="GH196">
        <v>38.5345</v>
      </c>
      <c r="GI196">
        <v>-1</v>
      </c>
      <c r="GJ196">
        <v>100</v>
      </c>
      <c r="GK196">
        <v>0</v>
      </c>
      <c r="GL196">
        <v>27.2765</v>
      </c>
      <c r="GM196">
        <v>1200</v>
      </c>
      <c r="GN196">
        <v>19.4378</v>
      </c>
      <c r="GO196">
        <v>100.911</v>
      </c>
      <c r="GP196">
        <v>96.119</v>
      </c>
    </row>
    <row r="197" spans="1:198">
      <c r="A197">
        <v>181</v>
      </c>
      <c r="B197">
        <v>1773206901.5</v>
      </c>
      <c r="C197">
        <v>10801.5</v>
      </c>
      <c r="D197" t="s">
        <v>695</v>
      </c>
      <c r="E197" t="s">
        <v>696</v>
      </c>
      <c r="F197">
        <v>15</v>
      </c>
      <c r="G197">
        <v>1773206893.5</v>
      </c>
      <c r="H197">
        <f>(I197)/1000</f>
        <v>0</v>
      </c>
      <c r="I197">
        <f>1000*AY197*AG197*(AU197-AV197)/(100*AN197*(1000-AG197*AU197))</f>
        <v>0</v>
      </c>
      <c r="J197">
        <f>AY197*AG197*(AT197-AS197*(1000-AG197*AV197)/(1000-AG197*AU197))/(100*AN197)</f>
        <v>0</v>
      </c>
      <c r="K197">
        <f>AS197 - IF(AG197&gt;1, J197*AN197*100.0/(AI197), 0)</f>
        <v>0</v>
      </c>
      <c r="L197">
        <f>((R197-H197/2)*K197-J197)/(R197+H197/2)</f>
        <v>0</v>
      </c>
      <c r="M197">
        <f>L197*(AZ197+BA197)/1000.0</f>
        <v>0</v>
      </c>
      <c r="N197">
        <f>(AS197 - IF(AG197&gt;1, J197*AN197*100.0/(AI197), 0))*(AZ197+BA197)/1000.0</f>
        <v>0</v>
      </c>
      <c r="O197">
        <f>2.0/((1/Q197-1/P197)+SIGN(Q197)*SQRT((1/Q197-1/P197)*(1/Q197-1/P197) + 4*AO197/((AO197+1)*(AO197+1))*(2*1/Q197*1/P197-1/P197*1/P197)))</f>
        <v>0</v>
      </c>
      <c r="P197">
        <f>IF(LEFT(AP197,1)&lt;&gt;"0",IF(LEFT(AP197,1)="1",3.0,AQ197),$D$5+$E$5*(BG197*AZ197/($K$5*1000))+$F$5*(BG197*AZ197/($K$5*1000))*MAX(MIN(AN197,$J$5),$I$5)*MAX(MIN(AN197,$J$5),$I$5)+$G$5*MAX(MIN(AN197,$J$5),$I$5)*(BG197*AZ197/($K$5*1000))+$H$5*(BG197*AZ197/($K$5*1000))*(BG197*AZ197/($K$5*1000)))</f>
        <v>0</v>
      </c>
      <c r="Q197">
        <f>H197*(1000-(1000*0.61365*exp(17.502*U197/(240.97+U197))/(AZ197+BA197)+AU197)/2)/(1000*0.61365*exp(17.502*U197/(240.97+U197))/(AZ197+BA197)-AU197)</f>
        <v>0</v>
      </c>
      <c r="R197">
        <f>1/((AO197+1)/(O197/1.6)+1/(P197/1.37)) + AO197/((AO197+1)/(O197/1.6) + AO197/(P197/1.37))</f>
        <v>0</v>
      </c>
      <c r="S197">
        <f>(AJ197*AM197)</f>
        <v>0</v>
      </c>
      <c r="T197">
        <f>(BB197+(S197+2*0.95*5.67E-8*(((BB197+$B$7)+273)^4-(BB197+273)^4)-44100*H197)/(1.84*29.3*P197+8*0.95*5.67E-8*(BB197+273)^3))</f>
        <v>0</v>
      </c>
      <c r="U197">
        <f>($C$7*BC197+$D$7*BD197+$E$7*T197)</f>
        <v>0</v>
      </c>
      <c r="V197">
        <f>0.61365*exp(17.502*U197/(240.97+U197))</f>
        <v>0</v>
      </c>
      <c r="W197">
        <f>(X197/Y197*100)</f>
        <v>0</v>
      </c>
      <c r="X197">
        <f>AU197*(AZ197+BA197)/1000</f>
        <v>0</v>
      </c>
      <c r="Y197">
        <f>0.61365*exp(17.502*BB197/(240.97+BB197))</f>
        <v>0</v>
      </c>
      <c r="Z197">
        <f>(V197-AU197*(AZ197+BA197)/1000)</f>
        <v>0</v>
      </c>
      <c r="AA197">
        <f>(-H197*44100)</f>
        <v>0</v>
      </c>
      <c r="AB197">
        <f>2*29.3*P197*0.92*(BB197-U197)</f>
        <v>0</v>
      </c>
      <c r="AC197">
        <f>2*0.95*5.67E-8*(((BB197+$B$7)+273)^4-(U197+273)^4)</f>
        <v>0</v>
      </c>
      <c r="AD197">
        <f>S197+AC197+AA197+AB197</f>
        <v>0</v>
      </c>
      <c r="AE197">
        <v>0</v>
      </c>
      <c r="AF197">
        <v>0</v>
      </c>
      <c r="AG197">
        <f>IF(AE197*$H$13&gt;=AI197,1.0,(AI197/(AI197-AE197*$H$13)))</f>
        <v>0</v>
      </c>
      <c r="AH197">
        <f>(AG197-1)*100</f>
        <v>0</v>
      </c>
      <c r="AI197">
        <f>MAX(0,($B$13+$C$13*BG197)/(1+$D$13*BG197)*AZ197/(BB197+273)*$E$13)</f>
        <v>0</v>
      </c>
      <c r="AJ197">
        <f>$B$11*BH197+$C$11*BI197+$D$11*BT197</f>
        <v>0</v>
      </c>
      <c r="AK197">
        <f>AJ197*AL197</f>
        <v>0</v>
      </c>
      <c r="AL197">
        <f>($B$11*$D$9+$C$11*$D$9+$D$11*(BU197*$E$9+BV197*$G$9))/($B$11+$C$11+$D$11)</f>
        <v>0</v>
      </c>
      <c r="AM197">
        <f>($B$11*$K$9+$C$11*$K$9+$D$11*(BU197*$L$9+BV197*$N$9))/($B$11+$C$11+$D$11)</f>
        <v>0</v>
      </c>
      <c r="AN197">
        <v>3</v>
      </c>
      <c r="AO197">
        <v>0.5</v>
      </c>
      <c r="AP197" t="s">
        <v>331</v>
      </c>
      <c r="AQ197">
        <v>2</v>
      </c>
      <c r="AR197">
        <v>1773206893.5</v>
      </c>
      <c r="AS197">
        <v>418.7611612903225</v>
      </c>
      <c r="AT197">
        <v>416.4804838709677</v>
      </c>
      <c r="AU197">
        <v>13.46926774193549</v>
      </c>
      <c r="AV197">
        <v>13.3805129032258</v>
      </c>
      <c r="AW197">
        <v>412.5298709677419</v>
      </c>
      <c r="AX197">
        <v>13.38868064516129</v>
      </c>
      <c r="AY197">
        <v>499.9697741935484</v>
      </c>
      <c r="AZ197">
        <v>100.0199032258065</v>
      </c>
      <c r="BA197">
        <v>0.04596423225806451</v>
      </c>
      <c r="BB197">
        <v>30.78701935483871</v>
      </c>
      <c r="BC197">
        <v>31.13010967741936</v>
      </c>
      <c r="BD197">
        <v>999.9000000000003</v>
      </c>
      <c r="BE197">
        <v>0</v>
      </c>
      <c r="BF197">
        <v>0</v>
      </c>
      <c r="BG197">
        <v>4997.725806451613</v>
      </c>
      <c r="BH197">
        <v>1.035540838709678</v>
      </c>
      <c r="BI197">
        <v>2028.222580645161</v>
      </c>
      <c r="BJ197">
        <v>2.280729677419355</v>
      </c>
      <c r="BK197">
        <v>424.4785483870967</v>
      </c>
      <c r="BL197">
        <v>422.1287096774194</v>
      </c>
      <c r="BM197">
        <v>0.08876123548387096</v>
      </c>
      <c r="BN197">
        <v>416.4804838709677</v>
      </c>
      <c r="BO197">
        <v>13.3805129032258</v>
      </c>
      <c r="BP197">
        <v>1.347196129032258</v>
      </c>
      <c r="BQ197">
        <v>1.338318064516129</v>
      </c>
      <c r="BR197">
        <v>11.33598064516129</v>
      </c>
      <c r="BS197">
        <v>11.23621935483871</v>
      </c>
      <c r="BT197">
        <v>0</v>
      </c>
      <c r="BU197">
        <v>0</v>
      </c>
      <c r="BV197">
        <v>0</v>
      </c>
      <c r="BW197">
        <v>35</v>
      </c>
      <c r="BX197">
        <v>61</v>
      </c>
      <c r="BY197">
        <v>1773196010</v>
      </c>
      <c r="BZ197" t="s">
        <v>332</v>
      </c>
      <c r="CA197">
        <v>1773196010</v>
      </c>
      <c r="CB197">
        <v>1773196005.5</v>
      </c>
      <c r="CC197">
        <v>2</v>
      </c>
      <c r="CD197">
        <v>-0.279</v>
      </c>
      <c r="CE197">
        <v>-0.021</v>
      </c>
      <c r="CF197">
        <v>6.231</v>
      </c>
      <c r="CG197">
        <v>0.081</v>
      </c>
      <c r="CH197">
        <v>432</v>
      </c>
      <c r="CI197">
        <v>21</v>
      </c>
      <c r="CJ197">
        <v>0.03</v>
      </c>
      <c r="CK197">
        <v>0.06</v>
      </c>
      <c r="CL197">
        <v>416.4818</v>
      </c>
      <c r="CM197">
        <v>0.3014549499444189</v>
      </c>
      <c r="CN197">
        <v>0.02655359360488775</v>
      </c>
      <c r="CO197">
        <v>-1</v>
      </c>
      <c r="CP197">
        <v>499.9687333333333</v>
      </c>
      <c r="CQ197">
        <v>-0.05835817574958414</v>
      </c>
      <c r="CR197">
        <v>0.05927896385359486</v>
      </c>
      <c r="CS197">
        <v>-1</v>
      </c>
      <c r="CT197">
        <v>0</v>
      </c>
      <c r="CU197">
        <v>0</v>
      </c>
      <c r="CV197" t="s">
        <v>333</v>
      </c>
      <c r="CW197">
        <v>3.17157</v>
      </c>
      <c r="CX197">
        <v>2.66783</v>
      </c>
      <c r="CY197">
        <v>0.09808790000000001</v>
      </c>
      <c r="CZ197">
        <v>0.0988513</v>
      </c>
      <c r="DA197">
        <v>0.0730029</v>
      </c>
      <c r="DB197">
        <v>0.0727134</v>
      </c>
      <c r="DC197">
        <v>21312.3</v>
      </c>
      <c r="DD197">
        <v>21902</v>
      </c>
      <c r="DE197">
        <v>22786.4</v>
      </c>
      <c r="DF197">
        <v>22254.7</v>
      </c>
      <c r="DG197">
        <v>31949.3</v>
      </c>
      <c r="DH197">
        <v>29068.4</v>
      </c>
      <c r="DI197">
        <v>40113.6</v>
      </c>
      <c r="DJ197">
        <v>36807.3</v>
      </c>
      <c r="DK197">
        <v>2.01886</v>
      </c>
      <c r="DL197">
        <v>1.48432</v>
      </c>
      <c r="DM197">
        <v>-0.0963837</v>
      </c>
      <c r="DN197">
        <v>0</v>
      </c>
      <c r="DO197">
        <v>32.7095</v>
      </c>
      <c r="DP197">
        <v>999.9</v>
      </c>
      <c r="DQ197">
        <v>22.5</v>
      </c>
      <c r="DR197">
        <v>46.3</v>
      </c>
      <c r="DS197">
        <v>23.1784</v>
      </c>
      <c r="DT197">
        <v>30.1865</v>
      </c>
      <c r="DU197">
        <v>14.3149</v>
      </c>
      <c r="DV197">
        <v>1</v>
      </c>
      <c r="DW197">
        <v>0.955124</v>
      </c>
      <c r="DX197">
        <v>4.42739</v>
      </c>
      <c r="DY197">
        <v>20.294</v>
      </c>
      <c r="DZ197">
        <v>5.21094</v>
      </c>
      <c r="EA197">
        <v>11.8571</v>
      </c>
      <c r="EB197">
        <v>4.96724</v>
      </c>
      <c r="EC197">
        <v>3.29286</v>
      </c>
      <c r="ED197">
        <v>879.4</v>
      </c>
      <c r="EE197">
        <v>9999</v>
      </c>
      <c r="EF197">
        <v>9999</v>
      </c>
      <c r="EG197">
        <v>79</v>
      </c>
      <c r="EH197">
        <v>4.97155</v>
      </c>
      <c r="EI197">
        <v>1.8721</v>
      </c>
      <c r="EJ197">
        <v>1.8695</v>
      </c>
      <c r="EK197">
        <v>1.8718</v>
      </c>
      <c r="EL197">
        <v>1.86955</v>
      </c>
      <c r="EM197">
        <v>1.86833</v>
      </c>
      <c r="EN197">
        <v>1.87013</v>
      </c>
      <c r="EO197">
        <v>1.87193</v>
      </c>
      <c r="EP197">
        <v>0</v>
      </c>
      <c r="EQ197">
        <v>0</v>
      </c>
      <c r="ER197">
        <v>0</v>
      </c>
      <c r="ES197">
        <v>0</v>
      </c>
      <c r="ET197" t="s">
        <v>334</v>
      </c>
      <c r="EU197" t="s">
        <v>335</v>
      </c>
      <c r="EV197" t="s">
        <v>336</v>
      </c>
      <c r="EW197" t="s">
        <v>336</v>
      </c>
      <c r="EX197" t="s">
        <v>336</v>
      </c>
      <c r="EY197" t="s">
        <v>336</v>
      </c>
      <c r="EZ197">
        <v>0</v>
      </c>
      <c r="FA197">
        <v>100</v>
      </c>
      <c r="FB197">
        <v>100</v>
      </c>
      <c r="FC197">
        <v>6.231</v>
      </c>
      <c r="FD197">
        <v>0.0806</v>
      </c>
      <c r="FE197">
        <v>6.23135000000002</v>
      </c>
      <c r="FF197">
        <v>0</v>
      </c>
      <c r="FG197">
        <v>0</v>
      </c>
      <c r="FH197">
        <v>0</v>
      </c>
      <c r="FI197">
        <v>0.08059047619047632</v>
      </c>
      <c r="FJ197">
        <v>0</v>
      </c>
      <c r="FK197">
        <v>0</v>
      </c>
      <c r="FL197">
        <v>0</v>
      </c>
      <c r="FM197">
        <v>-1</v>
      </c>
      <c r="FN197">
        <v>-1</v>
      </c>
      <c r="FO197">
        <v>-1</v>
      </c>
      <c r="FP197">
        <v>-1</v>
      </c>
      <c r="FQ197">
        <v>181.5</v>
      </c>
      <c r="FR197">
        <v>181.6</v>
      </c>
      <c r="FS197">
        <v>0.140381</v>
      </c>
      <c r="FT197">
        <v>4.99756</v>
      </c>
      <c r="FU197">
        <v>1.5979</v>
      </c>
      <c r="FV197">
        <v>2.10938</v>
      </c>
      <c r="FW197">
        <v>1.54785</v>
      </c>
      <c r="FX197">
        <v>2.43774</v>
      </c>
      <c r="FY197">
        <v>47.9651</v>
      </c>
      <c r="FZ197">
        <v>14.9376</v>
      </c>
      <c r="GA197">
        <v>3</v>
      </c>
      <c r="GB197">
        <v>520.98</v>
      </c>
      <c r="GC197">
        <v>286.2</v>
      </c>
      <c r="GD197">
        <v>27.3229</v>
      </c>
      <c r="GE197">
        <v>38.6761</v>
      </c>
      <c r="GF197">
        <v>30.0002</v>
      </c>
      <c r="GG197">
        <v>38.5614</v>
      </c>
      <c r="GH197">
        <v>38.5496</v>
      </c>
      <c r="GI197">
        <v>-1</v>
      </c>
      <c r="GJ197">
        <v>100</v>
      </c>
      <c r="GK197">
        <v>0</v>
      </c>
      <c r="GL197">
        <v>27.3253</v>
      </c>
      <c r="GM197">
        <v>1200</v>
      </c>
      <c r="GN197">
        <v>19.4378</v>
      </c>
      <c r="GO197">
        <v>100.911</v>
      </c>
      <c r="GP197">
        <v>96.11709999999999</v>
      </c>
    </row>
    <row r="198" spans="1:198">
      <c r="A198">
        <v>182</v>
      </c>
      <c r="B198">
        <v>1773206961.5</v>
      </c>
      <c r="C198">
        <v>10861.5</v>
      </c>
      <c r="D198" t="s">
        <v>697</v>
      </c>
      <c r="E198" t="s">
        <v>698</v>
      </c>
      <c r="F198">
        <v>15</v>
      </c>
      <c r="G198">
        <v>1773206953.5</v>
      </c>
      <c r="H198">
        <f>(I198)/1000</f>
        <v>0</v>
      </c>
      <c r="I198">
        <f>1000*AY198*AG198*(AU198-AV198)/(100*AN198*(1000-AG198*AU198))</f>
        <v>0</v>
      </c>
      <c r="J198">
        <f>AY198*AG198*(AT198-AS198*(1000-AG198*AV198)/(1000-AG198*AU198))/(100*AN198)</f>
        <v>0</v>
      </c>
      <c r="K198">
        <f>AS198 - IF(AG198&gt;1, J198*AN198*100.0/(AI198), 0)</f>
        <v>0</v>
      </c>
      <c r="L198">
        <f>((R198-H198/2)*K198-J198)/(R198+H198/2)</f>
        <v>0</v>
      </c>
      <c r="M198">
        <f>L198*(AZ198+BA198)/1000.0</f>
        <v>0</v>
      </c>
      <c r="N198">
        <f>(AS198 - IF(AG198&gt;1, J198*AN198*100.0/(AI198), 0))*(AZ198+BA198)/1000.0</f>
        <v>0</v>
      </c>
      <c r="O198">
        <f>2.0/((1/Q198-1/P198)+SIGN(Q198)*SQRT((1/Q198-1/P198)*(1/Q198-1/P198) + 4*AO198/((AO198+1)*(AO198+1))*(2*1/Q198*1/P198-1/P198*1/P198)))</f>
        <v>0</v>
      </c>
      <c r="P198">
        <f>IF(LEFT(AP198,1)&lt;&gt;"0",IF(LEFT(AP198,1)="1",3.0,AQ198),$D$5+$E$5*(BG198*AZ198/($K$5*1000))+$F$5*(BG198*AZ198/($K$5*1000))*MAX(MIN(AN198,$J$5),$I$5)*MAX(MIN(AN198,$J$5),$I$5)+$G$5*MAX(MIN(AN198,$J$5),$I$5)*(BG198*AZ198/($K$5*1000))+$H$5*(BG198*AZ198/($K$5*1000))*(BG198*AZ198/($K$5*1000)))</f>
        <v>0</v>
      </c>
      <c r="Q198">
        <f>H198*(1000-(1000*0.61365*exp(17.502*U198/(240.97+U198))/(AZ198+BA198)+AU198)/2)/(1000*0.61365*exp(17.502*U198/(240.97+U198))/(AZ198+BA198)-AU198)</f>
        <v>0</v>
      </c>
      <c r="R198">
        <f>1/((AO198+1)/(O198/1.6)+1/(P198/1.37)) + AO198/((AO198+1)/(O198/1.6) + AO198/(P198/1.37))</f>
        <v>0</v>
      </c>
      <c r="S198">
        <f>(AJ198*AM198)</f>
        <v>0</v>
      </c>
      <c r="T198">
        <f>(BB198+(S198+2*0.95*5.67E-8*(((BB198+$B$7)+273)^4-(BB198+273)^4)-44100*H198)/(1.84*29.3*P198+8*0.95*5.67E-8*(BB198+273)^3))</f>
        <v>0</v>
      </c>
      <c r="U198">
        <f>($C$7*BC198+$D$7*BD198+$E$7*T198)</f>
        <v>0</v>
      </c>
      <c r="V198">
        <f>0.61365*exp(17.502*U198/(240.97+U198))</f>
        <v>0</v>
      </c>
      <c r="W198">
        <f>(X198/Y198*100)</f>
        <v>0</v>
      </c>
      <c r="X198">
        <f>AU198*(AZ198+BA198)/1000</f>
        <v>0</v>
      </c>
      <c r="Y198">
        <f>0.61365*exp(17.502*BB198/(240.97+BB198))</f>
        <v>0</v>
      </c>
      <c r="Z198">
        <f>(V198-AU198*(AZ198+BA198)/1000)</f>
        <v>0</v>
      </c>
      <c r="AA198">
        <f>(-H198*44100)</f>
        <v>0</v>
      </c>
      <c r="AB198">
        <f>2*29.3*P198*0.92*(BB198-U198)</f>
        <v>0</v>
      </c>
      <c r="AC198">
        <f>2*0.95*5.67E-8*(((BB198+$B$7)+273)^4-(U198+273)^4)</f>
        <v>0</v>
      </c>
      <c r="AD198">
        <f>S198+AC198+AA198+AB198</f>
        <v>0</v>
      </c>
      <c r="AE198">
        <v>0</v>
      </c>
      <c r="AF198">
        <v>0</v>
      </c>
      <c r="AG198">
        <f>IF(AE198*$H$13&gt;=AI198,1.0,(AI198/(AI198-AE198*$H$13)))</f>
        <v>0</v>
      </c>
      <c r="AH198">
        <f>(AG198-1)*100</f>
        <v>0</v>
      </c>
      <c r="AI198">
        <f>MAX(0,($B$13+$C$13*BG198)/(1+$D$13*BG198)*AZ198/(BB198+273)*$E$13)</f>
        <v>0</v>
      </c>
      <c r="AJ198">
        <f>$B$11*BH198+$C$11*BI198+$D$11*BT198</f>
        <v>0</v>
      </c>
      <c r="AK198">
        <f>AJ198*AL198</f>
        <v>0</v>
      </c>
      <c r="AL198">
        <f>($B$11*$D$9+$C$11*$D$9+$D$11*(BU198*$E$9+BV198*$G$9))/($B$11+$C$11+$D$11)</f>
        <v>0</v>
      </c>
      <c r="AM198">
        <f>($B$11*$K$9+$C$11*$K$9+$D$11*(BU198*$L$9+BV198*$N$9))/($B$11+$C$11+$D$11)</f>
        <v>0</v>
      </c>
      <c r="AN198">
        <v>3</v>
      </c>
      <c r="AO198">
        <v>0.5</v>
      </c>
      <c r="AP198" t="s">
        <v>331</v>
      </c>
      <c r="AQ198">
        <v>2</v>
      </c>
      <c r="AR198">
        <v>1773206953.5</v>
      </c>
      <c r="AS198">
        <v>418.7279677419356</v>
      </c>
      <c r="AT198">
        <v>416.4563548387097</v>
      </c>
      <c r="AU198">
        <v>13.52332580645161</v>
      </c>
      <c r="AV198">
        <v>13.42528387096774</v>
      </c>
      <c r="AW198">
        <v>412.4966451612904</v>
      </c>
      <c r="AX198">
        <v>13.44273548387097</v>
      </c>
      <c r="AY198">
        <v>499.9892580645161</v>
      </c>
      <c r="AZ198">
        <v>100.0224516129032</v>
      </c>
      <c r="BA198">
        <v>0.04587215161290324</v>
      </c>
      <c r="BB198">
        <v>30.84147096774193</v>
      </c>
      <c r="BC198">
        <v>31.19851612903225</v>
      </c>
      <c r="BD198">
        <v>999.9000000000003</v>
      </c>
      <c r="BE198">
        <v>0</v>
      </c>
      <c r="BF198">
        <v>0</v>
      </c>
      <c r="BG198">
        <v>4986.145161290323</v>
      </c>
      <c r="BH198">
        <v>1.027831387096774</v>
      </c>
      <c r="BI198">
        <v>1982.514193548387</v>
      </c>
      <c r="BJ198">
        <v>2.271745483870967</v>
      </c>
      <c r="BK198">
        <v>424.4682903225806</v>
      </c>
      <c r="BL198">
        <v>422.1233548387097</v>
      </c>
      <c r="BM198">
        <v>0.09804321612903225</v>
      </c>
      <c r="BN198">
        <v>416.4563548387097</v>
      </c>
      <c r="BO198">
        <v>13.42528387096774</v>
      </c>
      <c r="BP198">
        <v>1.352636774193549</v>
      </c>
      <c r="BQ198">
        <v>1.342830322580645</v>
      </c>
      <c r="BR198">
        <v>11.39682903225806</v>
      </c>
      <c r="BS198">
        <v>11.28699677419355</v>
      </c>
      <c r="BT198">
        <v>0</v>
      </c>
      <c r="BU198">
        <v>0</v>
      </c>
      <c r="BV198">
        <v>0</v>
      </c>
      <c r="BW198">
        <v>35</v>
      </c>
      <c r="BX198">
        <v>60.08172580645161</v>
      </c>
      <c r="BY198">
        <v>1773196010</v>
      </c>
      <c r="BZ198" t="s">
        <v>332</v>
      </c>
      <c r="CA198">
        <v>1773196010</v>
      </c>
      <c r="CB198">
        <v>1773196005.5</v>
      </c>
      <c r="CC198">
        <v>2</v>
      </c>
      <c r="CD198">
        <v>-0.279</v>
      </c>
      <c r="CE198">
        <v>-0.021</v>
      </c>
      <c r="CF198">
        <v>6.231</v>
      </c>
      <c r="CG198">
        <v>0.081</v>
      </c>
      <c r="CH198">
        <v>432</v>
      </c>
      <c r="CI198">
        <v>21</v>
      </c>
      <c r="CJ198">
        <v>0.03</v>
      </c>
      <c r="CK198">
        <v>0.06</v>
      </c>
      <c r="CL198">
        <v>416.4569666666667</v>
      </c>
      <c r="CM198">
        <v>0.210607341490488</v>
      </c>
      <c r="CN198">
        <v>0.01744416489514682</v>
      </c>
      <c r="CO198">
        <v>-1</v>
      </c>
      <c r="CP198">
        <v>499.9935666666667</v>
      </c>
      <c r="CQ198">
        <v>-0.4235372636243983</v>
      </c>
      <c r="CR198">
        <v>0.0830897841026345</v>
      </c>
      <c r="CS198">
        <v>-1</v>
      </c>
      <c r="CT198">
        <v>0</v>
      </c>
      <c r="CU198">
        <v>0</v>
      </c>
      <c r="CV198" t="s">
        <v>333</v>
      </c>
      <c r="CW198">
        <v>3.17135</v>
      </c>
      <c r="CX198">
        <v>2.66723</v>
      </c>
      <c r="CY198">
        <v>0.0980833</v>
      </c>
      <c r="CZ198">
        <v>0.0988463</v>
      </c>
      <c r="DA198">
        <v>0.0732028</v>
      </c>
      <c r="DB198">
        <v>0.0728695</v>
      </c>
      <c r="DC198">
        <v>21310.2</v>
      </c>
      <c r="DD198">
        <v>21900.6</v>
      </c>
      <c r="DE198">
        <v>22784.2</v>
      </c>
      <c r="DF198">
        <v>22253.3</v>
      </c>
      <c r="DG198">
        <v>31939.5</v>
      </c>
      <c r="DH198">
        <v>29061.5</v>
      </c>
      <c r="DI198">
        <v>40110</v>
      </c>
      <c r="DJ198">
        <v>36804.7</v>
      </c>
      <c r="DK198">
        <v>2.01814</v>
      </c>
      <c r="DL198">
        <v>1.48354</v>
      </c>
      <c r="DM198">
        <v>-0.095886</v>
      </c>
      <c r="DN198">
        <v>0</v>
      </c>
      <c r="DO198">
        <v>32.7791</v>
      </c>
      <c r="DP198">
        <v>999.9</v>
      </c>
      <c r="DQ198">
        <v>22.8</v>
      </c>
      <c r="DR198">
        <v>46.3</v>
      </c>
      <c r="DS198">
        <v>23.4881</v>
      </c>
      <c r="DT198">
        <v>30.5165</v>
      </c>
      <c r="DU198">
        <v>14.4952</v>
      </c>
      <c r="DV198">
        <v>1</v>
      </c>
      <c r="DW198">
        <v>0.961642</v>
      </c>
      <c r="DX198">
        <v>4.90135</v>
      </c>
      <c r="DY198">
        <v>20.2772</v>
      </c>
      <c r="DZ198">
        <v>5.2113</v>
      </c>
      <c r="EA198">
        <v>11.8596</v>
      </c>
      <c r="EB198">
        <v>4.96772</v>
      </c>
      <c r="EC198">
        <v>3.29298</v>
      </c>
      <c r="ED198">
        <v>879.4</v>
      </c>
      <c r="EE198">
        <v>9999</v>
      </c>
      <c r="EF198">
        <v>9999</v>
      </c>
      <c r="EG198">
        <v>79</v>
      </c>
      <c r="EH198">
        <v>4.97156</v>
      </c>
      <c r="EI198">
        <v>1.8721</v>
      </c>
      <c r="EJ198">
        <v>1.86951</v>
      </c>
      <c r="EK198">
        <v>1.8718</v>
      </c>
      <c r="EL198">
        <v>1.86957</v>
      </c>
      <c r="EM198">
        <v>1.86838</v>
      </c>
      <c r="EN198">
        <v>1.87014</v>
      </c>
      <c r="EO198">
        <v>1.87194</v>
      </c>
      <c r="EP198">
        <v>0</v>
      </c>
      <c r="EQ198">
        <v>0</v>
      </c>
      <c r="ER198">
        <v>0</v>
      </c>
      <c r="ES198">
        <v>0</v>
      </c>
      <c r="ET198" t="s">
        <v>334</v>
      </c>
      <c r="EU198" t="s">
        <v>335</v>
      </c>
      <c r="EV198" t="s">
        <v>336</v>
      </c>
      <c r="EW198" t="s">
        <v>336</v>
      </c>
      <c r="EX198" t="s">
        <v>336</v>
      </c>
      <c r="EY198" t="s">
        <v>336</v>
      </c>
      <c r="EZ198">
        <v>0</v>
      </c>
      <c r="FA198">
        <v>100</v>
      </c>
      <c r="FB198">
        <v>100</v>
      </c>
      <c r="FC198">
        <v>6.231</v>
      </c>
      <c r="FD198">
        <v>0.0805</v>
      </c>
      <c r="FE198">
        <v>6.23135000000002</v>
      </c>
      <c r="FF198">
        <v>0</v>
      </c>
      <c r="FG198">
        <v>0</v>
      </c>
      <c r="FH198">
        <v>0</v>
      </c>
      <c r="FI198">
        <v>0.08059047619047632</v>
      </c>
      <c r="FJ198">
        <v>0</v>
      </c>
      <c r="FK198">
        <v>0</v>
      </c>
      <c r="FL198">
        <v>0</v>
      </c>
      <c r="FM198">
        <v>-1</v>
      </c>
      <c r="FN198">
        <v>-1</v>
      </c>
      <c r="FO198">
        <v>-1</v>
      </c>
      <c r="FP198">
        <v>-1</v>
      </c>
      <c r="FQ198">
        <v>182.5</v>
      </c>
      <c r="FR198">
        <v>182.6</v>
      </c>
      <c r="FS198">
        <v>0.140381</v>
      </c>
      <c r="FT198">
        <v>4.99756</v>
      </c>
      <c r="FU198">
        <v>1.5979</v>
      </c>
      <c r="FV198">
        <v>2.10938</v>
      </c>
      <c r="FW198">
        <v>1.54785</v>
      </c>
      <c r="FX198">
        <v>2.43652</v>
      </c>
      <c r="FY198">
        <v>47.9955</v>
      </c>
      <c r="FZ198">
        <v>14.9201</v>
      </c>
      <c r="GA198">
        <v>3</v>
      </c>
      <c r="GB198">
        <v>520.721</v>
      </c>
      <c r="GC198">
        <v>285.936</v>
      </c>
      <c r="GD198">
        <v>27.2156</v>
      </c>
      <c r="GE198">
        <v>38.7097</v>
      </c>
      <c r="GF198">
        <v>30.0011</v>
      </c>
      <c r="GG198">
        <v>38.5891</v>
      </c>
      <c r="GH198">
        <v>38.5762</v>
      </c>
      <c r="GI198">
        <v>-1</v>
      </c>
      <c r="GJ198">
        <v>100</v>
      </c>
      <c r="GK198">
        <v>0</v>
      </c>
      <c r="GL198">
        <v>27.1852</v>
      </c>
      <c r="GM198">
        <v>1200</v>
      </c>
      <c r="GN198">
        <v>19.4378</v>
      </c>
      <c r="GO198">
        <v>100.901</v>
      </c>
      <c r="GP198">
        <v>96.1104</v>
      </c>
    </row>
    <row r="199" spans="1:198">
      <c r="A199">
        <v>183</v>
      </c>
      <c r="B199">
        <v>1773207021.5</v>
      </c>
      <c r="C199">
        <v>10921.5</v>
      </c>
      <c r="D199" t="s">
        <v>699</v>
      </c>
      <c r="E199" t="s">
        <v>700</v>
      </c>
      <c r="F199">
        <v>15</v>
      </c>
      <c r="G199">
        <v>1773207013.5</v>
      </c>
      <c r="H199">
        <f>(I199)/1000</f>
        <v>0</v>
      </c>
      <c r="I199">
        <f>1000*AY199*AG199*(AU199-AV199)/(100*AN199*(1000-AG199*AU199))</f>
        <v>0</v>
      </c>
      <c r="J199">
        <f>AY199*AG199*(AT199-AS199*(1000-AG199*AV199)/(1000-AG199*AU199))/(100*AN199)</f>
        <v>0</v>
      </c>
      <c r="K199">
        <f>AS199 - IF(AG199&gt;1, J199*AN199*100.0/(AI199), 0)</f>
        <v>0</v>
      </c>
      <c r="L199">
        <f>((R199-H199/2)*K199-J199)/(R199+H199/2)</f>
        <v>0</v>
      </c>
      <c r="M199">
        <f>L199*(AZ199+BA199)/1000.0</f>
        <v>0</v>
      </c>
      <c r="N199">
        <f>(AS199 - IF(AG199&gt;1, J199*AN199*100.0/(AI199), 0))*(AZ199+BA199)/1000.0</f>
        <v>0</v>
      </c>
      <c r="O199">
        <f>2.0/((1/Q199-1/P199)+SIGN(Q199)*SQRT((1/Q199-1/P199)*(1/Q199-1/P199) + 4*AO199/((AO199+1)*(AO199+1))*(2*1/Q199*1/P199-1/P199*1/P199)))</f>
        <v>0</v>
      </c>
      <c r="P199">
        <f>IF(LEFT(AP199,1)&lt;&gt;"0",IF(LEFT(AP199,1)="1",3.0,AQ199),$D$5+$E$5*(BG199*AZ199/($K$5*1000))+$F$5*(BG199*AZ199/($K$5*1000))*MAX(MIN(AN199,$J$5),$I$5)*MAX(MIN(AN199,$J$5),$I$5)+$G$5*MAX(MIN(AN199,$J$5),$I$5)*(BG199*AZ199/($K$5*1000))+$H$5*(BG199*AZ199/($K$5*1000))*(BG199*AZ199/($K$5*1000)))</f>
        <v>0</v>
      </c>
      <c r="Q199">
        <f>H199*(1000-(1000*0.61365*exp(17.502*U199/(240.97+U199))/(AZ199+BA199)+AU199)/2)/(1000*0.61365*exp(17.502*U199/(240.97+U199))/(AZ199+BA199)-AU199)</f>
        <v>0</v>
      </c>
      <c r="R199">
        <f>1/((AO199+1)/(O199/1.6)+1/(P199/1.37)) + AO199/((AO199+1)/(O199/1.6) + AO199/(P199/1.37))</f>
        <v>0</v>
      </c>
      <c r="S199">
        <f>(AJ199*AM199)</f>
        <v>0</v>
      </c>
      <c r="T199">
        <f>(BB199+(S199+2*0.95*5.67E-8*(((BB199+$B$7)+273)^4-(BB199+273)^4)-44100*H199)/(1.84*29.3*P199+8*0.95*5.67E-8*(BB199+273)^3))</f>
        <v>0</v>
      </c>
      <c r="U199">
        <f>($C$7*BC199+$D$7*BD199+$E$7*T199)</f>
        <v>0</v>
      </c>
      <c r="V199">
        <f>0.61365*exp(17.502*U199/(240.97+U199))</f>
        <v>0</v>
      </c>
      <c r="W199">
        <f>(X199/Y199*100)</f>
        <v>0</v>
      </c>
      <c r="X199">
        <f>AU199*(AZ199+BA199)/1000</f>
        <v>0</v>
      </c>
      <c r="Y199">
        <f>0.61365*exp(17.502*BB199/(240.97+BB199))</f>
        <v>0</v>
      </c>
      <c r="Z199">
        <f>(V199-AU199*(AZ199+BA199)/1000)</f>
        <v>0</v>
      </c>
      <c r="AA199">
        <f>(-H199*44100)</f>
        <v>0</v>
      </c>
      <c r="AB199">
        <f>2*29.3*P199*0.92*(BB199-U199)</f>
        <v>0</v>
      </c>
      <c r="AC199">
        <f>2*0.95*5.67E-8*(((BB199+$B$7)+273)^4-(U199+273)^4)</f>
        <v>0</v>
      </c>
      <c r="AD199">
        <f>S199+AC199+AA199+AB199</f>
        <v>0</v>
      </c>
      <c r="AE199">
        <v>0</v>
      </c>
      <c r="AF199">
        <v>0</v>
      </c>
      <c r="AG199">
        <f>IF(AE199*$H$13&gt;=AI199,1.0,(AI199/(AI199-AE199*$H$13)))</f>
        <v>0</v>
      </c>
      <c r="AH199">
        <f>(AG199-1)*100</f>
        <v>0</v>
      </c>
      <c r="AI199">
        <f>MAX(0,($B$13+$C$13*BG199)/(1+$D$13*BG199)*AZ199/(BB199+273)*$E$13)</f>
        <v>0</v>
      </c>
      <c r="AJ199">
        <f>$B$11*BH199+$C$11*BI199+$D$11*BT199</f>
        <v>0</v>
      </c>
      <c r="AK199">
        <f>AJ199*AL199</f>
        <v>0</v>
      </c>
      <c r="AL199">
        <f>($B$11*$D$9+$C$11*$D$9+$D$11*(BU199*$E$9+BV199*$G$9))/($B$11+$C$11+$D$11)</f>
        <v>0</v>
      </c>
      <c r="AM199">
        <f>($B$11*$K$9+$C$11*$K$9+$D$11*(BU199*$L$9+BV199*$N$9))/($B$11+$C$11+$D$11)</f>
        <v>0</v>
      </c>
      <c r="AN199">
        <v>3</v>
      </c>
      <c r="AO199">
        <v>0.5</v>
      </c>
      <c r="AP199" t="s">
        <v>331</v>
      </c>
      <c r="AQ199">
        <v>2</v>
      </c>
      <c r="AR199">
        <v>1773207013.5</v>
      </c>
      <c r="AS199">
        <v>418.8590322580645</v>
      </c>
      <c r="AT199">
        <v>416.5358064516128</v>
      </c>
      <c r="AU199">
        <v>13.55908064516129</v>
      </c>
      <c r="AV199">
        <v>13.46781935483871</v>
      </c>
      <c r="AW199">
        <v>412.6276774193548</v>
      </c>
      <c r="AX199">
        <v>13.4784870967742</v>
      </c>
      <c r="AY199">
        <v>500.0331935483871</v>
      </c>
      <c r="AZ199">
        <v>100.0210967741936</v>
      </c>
      <c r="BA199">
        <v>0.04631766451612903</v>
      </c>
      <c r="BB199">
        <v>30.80774516129032</v>
      </c>
      <c r="BC199">
        <v>31.15174193548387</v>
      </c>
      <c r="BD199">
        <v>999.9000000000003</v>
      </c>
      <c r="BE199">
        <v>0</v>
      </c>
      <c r="BF199">
        <v>0</v>
      </c>
      <c r="BG199">
        <v>5001.096774193548</v>
      </c>
      <c r="BH199">
        <v>0.9988572580645161</v>
      </c>
      <c r="BI199">
        <v>1981.254838709677</v>
      </c>
      <c r="BJ199">
        <v>2.323192903225806</v>
      </c>
      <c r="BK199">
        <v>424.6164193548387</v>
      </c>
      <c r="BL199">
        <v>422.2221612903226</v>
      </c>
      <c r="BM199">
        <v>0.09125792580645162</v>
      </c>
      <c r="BN199">
        <v>416.5358064516128</v>
      </c>
      <c r="BO199">
        <v>13.46781935483871</v>
      </c>
      <c r="BP199">
        <v>1.356192903225806</v>
      </c>
      <c r="BQ199">
        <v>1.347065483870968</v>
      </c>
      <c r="BR199">
        <v>11.43649354838709</v>
      </c>
      <c r="BS199">
        <v>11.33451290322581</v>
      </c>
      <c r="BT199">
        <v>0</v>
      </c>
      <c r="BU199">
        <v>0</v>
      </c>
      <c r="BV199">
        <v>0</v>
      </c>
      <c r="BW199">
        <v>35</v>
      </c>
      <c r="BX199">
        <v>60.49248064516129</v>
      </c>
      <c r="BY199">
        <v>1773196010</v>
      </c>
      <c r="BZ199" t="s">
        <v>332</v>
      </c>
      <c r="CA199">
        <v>1773196010</v>
      </c>
      <c r="CB199">
        <v>1773196005.5</v>
      </c>
      <c r="CC199">
        <v>2</v>
      </c>
      <c r="CD199">
        <v>-0.279</v>
      </c>
      <c r="CE199">
        <v>-0.021</v>
      </c>
      <c r="CF199">
        <v>6.231</v>
      </c>
      <c r="CG199">
        <v>0.081</v>
      </c>
      <c r="CH199">
        <v>432</v>
      </c>
      <c r="CI199">
        <v>21</v>
      </c>
      <c r="CJ199">
        <v>0.03</v>
      </c>
      <c r="CK199">
        <v>0.06</v>
      </c>
      <c r="CL199">
        <v>416.5348</v>
      </c>
      <c r="CM199">
        <v>0.0226918798672967</v>
      </c>
      <c r="CN199">
        <v>0.01937937047481738</v>
      </c>
      <c r="CO199">
        <v>-1</v>
      </c>
      <c r="CP199">
        <v>500.0325</v>
      </c>
      <c r="CQ199">
        <v>0.01988876529476007</v>
      </c>
      <c r="CR199">
        <v>0.0357432977400467</v>
      </c>
      <c r="CS199">
        <v>-1</v>
      </c>
      <c r="CT199">
        <v>0</v>
      </c>
      <c r="CU199">
        <v>0</v>
      </c>
      <c r="CV199" t="s">
        <v>333</v>
      </c>
      <c r="CW199">
        <v>3.17144</v>
      </c>
      <c r="CX199">
        <v>2.66713</v>
      </c>
      <c r="CY199">
        <v>0.0981071</v>
      </c>
      <c r="CZ199">
        <v>0.0988594</v>
      </c>
      <c r="DA199">
        <v>0.07333530000000001</v>
      </c>
      <c r="DB199">
        <v>0.0730377</v>
      </c>
      <c r="DC199">
        <v>21309.5</v>
      </c>
      <c r="DD199">
        <v>21900.7</v>
      </c>
      <c r="DE199">
        <v>22784.1</v>
      </c>
      <c r="DF199">
        <v>22253.7</v>
      </c>
      <c r="DG199">
        <v>31934.7</v>
      </c>
      <c r="DH199">
        <v>29057.1</v>
      </c>
      <c r="DI199">
        <v>40109.7</v>
      </c>
      <c r="DJ199">
        <v>36805.8</v>
      </c>
      <c r="DK199">
        <v>2.01842</v>
      </c>
      <c r="DL199">
        <v>1.48346</v>
      </c>
      <c r="DM199">
        <v>-0.101253</v>
      </c>
      <c r="DN199">
        <v>0</v>
      </c>
      <c r="DO199">
        <v>32.7808</v>
      </c>
      <c r="DP199">
        <v>999.9</v>
      </c>
      <c r="DQ199">
        <v>22.9</v>
      </c>
      <c r="DR199">
        <v>46.3</v>
      </c>
      <c r="DS199">
        <v>23.59</v>
      </c>
      <c r="DT199">
        <v>30.5465</v>
      </c>
      <c r="DU199">
        <v>14.4912</v>
      </c>
      <c r="DV199">
        <v>1</v>
      </c>
      <c r="DW199">
        <v>0.964311</v>
      </c>
      <c r="DX199">
        <v>5.17659</v>
      </c>
      <c r="DY199">
        <v>20.2685</v>
      </c>
      <c r="DZ199">
        <v>5.2113</v>
      </c>
      <c r="EA199">
        <v>11.858</v>
      </c>
      <c r="EB199">
        <v>4.96764</v>
      </c>
      <c r="EC199">
        <v>3.293</v>
      </c>
      <c r="ED199">
        <v>879.4</v>
      </c>
      <c r="EE199">
        <v>9999</v>
      </c>
      <c r="EF199">
        <v>9999</v>
      </c>
      <c r="EG199">
        <v>79.09999999999999</v>
      </c>
      <c r="EH199">
        <v>4.97154</v>
      </c>
      <c r="EI199">
        <v>1.8721</v>
      </c>
      <c r="EJ199">
        <v>1.86951</v>
      </c>
      <c r="EK199">
        <v>1.8718</v>
      </c>
      <c r="EL199">
        <v>1.86956</v>
      </c>
      <c r="EM199">
        <v>1.86835</v>
      </c>
      <c r="EN199">
        <v>1.87015</v>
      </c>
      <c r="EO199">
        <v>1.87194</v>
      </c>
      <c r="EP199">
        <v>0</v>
      </c>
      <c r="EQ199">
        <v>0</v>
      </c>
      <c r="ER199">
        <v>0</v>
      </c>
      <c r="ES199">
        <v>0</v>
      </c>
      <c r="ET199" t="s">
        <v>334</v>
      </c>
      <c r="EU199" t="s">
        <v>335</v>
      </c>
      <c r="EV199" t="s">
        <v>336</v>
      </c>
      <c r="EW199" t="s">
        <v>336</v>
      </c>
      <c r="EX199" t="s">
        <v>336</v>
      </c>
      <c r="EY199" t="s">
        <v>336</v>
      </c>
      <c r="EZ199">
        <v>0</v>
      </c>
      <c r="FA199">
        <v>100</v>
      </c>
      <c r="FB199">
        <v>100</v>
      </c>
      <c r="FC199">
        <v>6.231</v>
      </c>
      <c r="FD199">
        <v>0.0805</v>
      </c>
      <c r="FE199">
        <v>6.23135000000002</v>
      </c>
      <c r="FF199">
        <v>0</v>
      </c>
      <c r="FG199">
        <v>0</v>
      </c>
      <c r="FH199">
        <v>0</v>
      </c>
      <c r="FI199">
        <v>0.08059047619047632</v>
      </c>
      <c r="FJ199">
        <v>0</v>
      </c>
      <c r="FK199">
        <v>0</v>
      </c>
      <c r="FL199">
        <v>0</v>
      </c>
      <c r="FM199">
        <v>-1</v>
      </c>
      <c r="FN199">
        <v>-1</v>
      </c>
      <c r="FO199">
        <v>-1</v>
      </c>
      <c r="FP199">
        <v>-1</v>
      </c>
      <c r="FQ199">
        <v>183.5</v>
      </c>
      <c r="FR199">
        <v>183.6</v>
      </c>
      <c r="FS199">
        <v>0.140381</v>
      </c>
      <c r="FT199">
        <v>4.99756</v>
      </c>
      <c r="FU199">
        <v>1.5979</v>
      </c>
      <c r="FV199">
        <v>2.10815</v>
      </c>
      <c r="FW199">
        <v>1.54785</v>
      </c>
      <c r="FX199">
        <v>2.43652</v>
      </c>
      <c r="FY199">
        <v>48.0259</v>
      </c>
      <c r="FZ199">
        <v>14.9026</v>
      </c>
      <c r="GA199">
        <v>3</v>
      </c>
      <c r="GB199">
        <v>520.915</v>
      </c>
      <c r="GC199">
        <v>285.895</v>
      </c>
      <c r="GD199">
        <v>26.6277</v>
      </c>
      <c r="GE199">
        <v>38.7166</v>
      </c>
      <c r="GF199">
        <v>29.9996</v>
      </c>
      <c r="GG199">
        <v>38.5916</v>
      </c>
      <c r="GH199">
        <v>38.5751</v>
      </c>
      <c r="GI199">
        <v>-1</v>
      </c>
      <c r="GJ199">
        <v>100</v>
      </c>
      <c r="GK199">
        <v>0</v>
      </c>
      <c r="GL199">
        <v>26.6375</v>
      </c>
      <c r="GM199">
        <v>1200</v>
      </c>
      <c r="GN199">
        <v>19.4378</v>
      </c>
      <c r="GO199">
        <v>100.901</v>
      </c>
      <c r="GP199">
        <v>96.113</v>
      </c>
    </row>
    <row r="200" spans="1:198">
      <c r="A200">
        <v>184</v>
      </c>
      <c r="B200">
        <v>1773207081.5</v>
      </c>
      <c r="C200">
        <v>10981.5</v>
      </c>
      <c r="D200" t="s">
        <v>701</v>
      </c>
      <c r="E200" t="s">
        <v>702</v>
      </c>
      <c r="F200">
        <v>15</v>
      </c>
      <c r="G200">
        <v>1773207073.5</v>
      </c>
      <c r="H200">
        <f>(I200)/1000</f>
        <v>0</v>
      </c>
      <c r="I200">
        <f>1000*AY200*AG200*(AU200-AV200)/(100*AN200*(1000-AG200*AU200))</f>
        <v>0</v>
      </c>
      <c r="J200">
        <f>AY200*AG200*(AT200-AS200*(1000-AG200*AV200)/(1000-AG200*AU200))/(100*AN200)</f>
        <v>0</v>
      </c>
      <c r="K200">
        <f>AS200 - IF(AG200&gt;1, J200*AN200*100.0/(AI200), 0)</f>
        <v>0</v>
      </c>
      <c r="L200">
        <f>((R200-H200/2)*K200-J200)/(R200+H200/2)</f>
        <v>0</v>
      </c>
      <c r="M200">
        <f>L200*(AZ200+BA200)/1000.0</f>
        <v>0</v>
      </c>
      <c r="N200">
        <f>(AS200 - IF(AG200&gt;1, J200*AN200*100.0/(AI200), 0))*(AZ200+BA200)/1000.0</f>
        <v>0</v>
      </c>
      <c r="O200">
        <f>2.0/((1/Q200-1/P200)+SIGN(Q200)*SQRT((1/Q200-1/P200)*(1/Q200-1/P200) + 4*AO200/((AO200+1)*(AO200+1))*(2*1/Q200*1/P200-1/P200*1/P200)))</f>
        <v>0</v>
      </c>
      <c r="P200">
        <f>IF(LEFT(AP200,1)&lt;&gt;"0",IF(LEFT(AP200,1)="1",3.0,AQ200),$D$5+$E$5*(BG200*AZ200/($K$5*1000))+$F$5*(BG200*AZ200/($K$5*1000))*MAX(MIN(AN200,$J$5),$I$5)*MAX(MIN(AN200,$J$5),$I$5)+$G$5*MAX(MIN(AN200,$J$5),$I$5)*(BG200*AZ200/($K$5*1000))+$H$5*(BG200*AZ200/($K$5*1000))*(BG200*AZ200/($K$5*1000)))</f>
        <v>0</v>
      </c>
      <c r="Q200">
        <f>H200*(1000-(1000*0.61365*exp(17.502*U200/(240.97+U200))/(AZ200+BA200)+AU200)/2)/(1000*0.61365*exp(17.502*U200/(240.97+U200))/(AZ200+BA200)-AU200)</f>
        <v>0</v>
      </c>
      <c r="R200">
        <f>1/((AO200+1)/(O200/1.6)+1/(P200/1.37)) + AO200/((AO200+1)/(O200/1.6) + AO200/(P200/1.37))</f>
        <v>0</v>
      </c>
      <c r="S200">
        <f>(AJ200*AM200)</f>
        <v>0</v>
      </c>
      <c r="T200">
        <f>(BB200+(S200+2*0.95*5.67E-8*(((BB200+$B$7)+273)^4-(BB200+273)^4)-44100*H200)/(1.84*29.3*P200+8*0.95*5.67E-8*(BB200+273)^3))</f>
        <v>0</v>
      </c>
      <c r="U200">
        <f>($C$7*BC200+$D$7*BD200+$E$7*T200)</f>
        <v>0</v>
      </c>
      <c r="V200">
        <f>0.61365*exp(17.502*U200/(240.97+U200))</f>
        <v>0</v>
      </c>
      <c r="W200">
        <f>(X200/Y200*100)</f>
        <v>0</v>
      </c>
      <c r="X200">
        <f>AU200*(AZ200+BA200)/1000</f>
        <v>0</v>
      </c>
      <c r="Y200">
        <f>0.61365*exp(17.502*BB200/(240.97+BB200))</f>
        <v>0</v>
      </c>
      <c r="Z200">
        <f>(V200-AU200*(AZ200+BA200)/1000)</f>
        <v>0</v>
      </c>
      <c r="AA200">
        <f>(-H200*44100)</f>
        <v>0</v>
      </c>
      <c r="AB200">
        <f>2*29.3*P200*0.92*(BB200-U200)</f>
        <v>0</v>
      </c>
      <c r="AC200">
        <f>2*0.95*5.67E-8*(((BB200+$B$7)+273)^4-(U200+273)^4)</f>
        <v>0</v>
      </c>
      <c r="AD200">
        <f>S200+AC200+AA200+AB200</f>
        <v>0</v>
      </c>
      <c r="AE200">
        <v>0</v>
      </c>
      <c r="AF200">
        <v>0</v>
      </c>
      <c r="AG200">
        <f>IF(AE200*$H$13&gt;=AI200,1.0,(AI200/(AI200-AE200*$H$13)))</f>
        <v>0</v>
      </c>
      <c r="AH200">
        <f>(AG200-1)*100</f>
        <v>0</v>
      </c>
      <c r="AI200">
        <f>MAX(0,($B$13+$C$13*BG200)/(1+$D$13*BG200)*AZ200/(BB200+273)*$E$13)</f>
        <v>0</v>
      </c>
      <c r="AJ200">
        <f>$B$11*BH200+$C$11*BI200+$D$11*BT200</f>
        <v>0</v>
      </c>
      <c r="AK200">
        <f>AJ200*AL200</f>
        <v>0</v>
      </c>
      <c r="AL200">
        <f>($B$11*$D$9+$C$11*$D$9+$D$11*(BU200*$E$9+BV200*$G$9))/($B$11+$C$11+$D$11)</f>
        <v>0</v>
      </c>
      <c r="AM200">
        <f>($B$11*$K$9+$C$11*$K$9+$D$11*(BU200*$L$9+BV200*$N$9))/($B$11+$C$11+$D$11)</f>
        <v>0</v>
      </c>
      <c r="AN200">
        <v>3</v>
      </c>
      <c r="AO200">
        <v>0.5</v>
      </c>
      <c r="AP200" t="s">
        <v>331</v>
      </c>
      <c r="AQ200">
        <v>2</v>
      </c>
      <c r="AR200">
        <v>1773207073.5</v>
      </c>
      <c r="AS200">
        <v>418.9651935483872</v>
      </c>
      <c r="AT200">
        <v>416.6296451612904</v>
      </c>
      <c r="AU200">
        <v>13.5950935483871</v>
      </c>
      <c r="AV200">
        <v>13.50115806451613</v>
      </c>
      <c r="AW200">
        <v>412.7338387096773</v>
      </c>
      <c r="AX200">
        <v>13.5145</v>
      </c>
      <c r="AY200">
        <v>500.0370322580645</v>
      </c>
      <c r="AZ200">
        <v>100.0181290322581</v>
      </c>
      <c r="BA200">
        <v>0.04546047419354839</v>
      </c>
      <c r="BB200">
        <v>30.76969032258064</v>
      </c>
      <c r="BC200">
        <v>31.12066774193549</v>
      </c>
      <c r="BD200">
        <v>999.9000000000003</v>
      </c>
      <c r="BE200">
        <v>0</v>
      </c>
      <c r="BF200">
        <v>0</v>
      </c>
      <c r="BG200">
        <v>5000.564516129032</v>
      </c>
      <c r="BH200">
        <v>1.04633</v>
      </c>
      <c r="BI200">
        <v>1989.331935483871</v>
      </c>
      <c r="BJ200">
        <v>2.335522903225807</v>
      </c>
      <c r="BK200">
        <v>424.7395806451613</v>
      </c>
      <c r="BL200">
        <v>422.3316451612903</v>
      </c>
      <c r="BM200">
        <v>0.09393863870967742</v>
      </c>
      <c r="BN200">
        <v>416.6296451612904</v>
      </c>
      <c r="BO200">
        <v>13.50115806451613</v>
      </c>
      <c r="BP200">
        <v>1.359756129032258</v>
      </c>
      <c r="BQ200">
        <v>1.35036064516129</v>
      </c>
      <c r="BR200">
        <v>11.47611935483871</v>
      </c>
      <c r="BS200">
        <v>11.3713870967742</v>
      </c>
      <c r="BT200">
        <v>0</v>
      </c>
      <c r="BU200">
        <v>0</v>
      </c>
      <c r="BV200">
        <v>0</v>
      </c>
      <c r="BW200">
        <v>35</v>
      </c>
      <c r="BX200">
        <v>60.92795483870969</v>
      </c>
      <c r="BY200">
        <v>1773196010</v>
      </c>
      <c r="BZ200" t="s">
        <v>332</v>
      </c>
      <c r="CA200">
        <v>1773196010</v>
      </c>
      <c r="CB200">
        <v>1773196005.5</v>
      </c>
      <c r="CC200">
        <v>2</v>
      </c>
      <c r="CD200">
        <v>-0.279</v>
      </c>
      <c r="CE200">
        <v>-0.021</v>
      </c>
      <c r="CF200">
        <v>6.231</v>
      </c>
      <c r="CG200">
        <v>0.081</v>
      </c>
      <c r="CH200">
        <v>432</v>
      </c>
      <c r="CI200">
        <v>21</v>
      </c>
      <c r="CJ200">
        <v>0.03</v>
      </c>
      <c r="CK200">
        <v>0.06</v>
      </c>
      <c r="CL200">
        <v>416.6294666666667</v>
      </c>
      <c r="CM200">
        <v>-0.06764849833094359</v>
      </c>
      <c r="CN200">
        <v>0.01208506884088501</v>
      </c>
      <c r="CO200">
        <v>-1</v>
      </c>
      <c r="CP200">
        <v>500.0391666666666</v>
      </c>
      <c r="CQ200">
        <v>-0.1424783092330851</v>
      </c>
      <c r="CR200">
        <v>0.03475445614913491</v>
      </c>
      <c r="CS200">
        <v>-1</v>
      </c>
      <c r="CT200">
        <v>0</v>
      </c>
      <c r="CU200">
        <v>0</v>
      </c>
      <c r="CV200" t="s">
        <v>333</v>
      </c>
      <c r="CW200">
        <v>3.17158</v>
      </c>
      <c r="CX200">
        <v>2.66645</v>
      </c>
      <c r="CY200">
        <v>0.09811830000000001</v>
      </c>
      <c r="CZ200">
        <v>0.0988769</v>
      </c>
      <c r="DA200">
        <v>0.0734857</v>
      </c>
      <c r="DB200">
        <v>0.0731774</v>
      </c>
      <c r="DC200">
        <v>21310.5</v>
      </c>
      <c r="DD200">
        <v>21901.5</v>
      </c>
      <c r="DE200">
        <v>22785.3</v>
      </c>
      <c r="DF200">
        <v>22254.9</v>
      </c>
      <c r="DG200">
        <v>31931.4</v>
      </c>
      <c r="DH200">
        <v>29054.2</v>
      </c>
      <c r="DI200">
        <v>40112</v>
      </c>
      <c r="DJ200">
        <v>36807.5</v>
      </c>
      <c r="DK200">
        <v>2.01846</v>
      </c>
      <c r="DL200">
        <v>1.48444</v>
      </c>
      <c r="DM200">
        <v>-0.100917</v>
      </c>
      <c r="DN200">
        <v>0</v>
      </c>
      <c r="DO200">
        <v>32.7476</v>
      </c>
      <c r="DP200">
        <v>999.9</v>
      </c>
      <c r="DQ200">
        <v>23</v>
      </c>
      <c r="DR200">
        <v>46.3</v>
      </c>
      <c r="DS200">
        <v>23.6951</v>
      </c>
      <c r="DT200">
        <v>30.1264</v>
      </c>
      <c r="DU200">
        <v>14.383</v>
      </c>
      <c r="DV200">
        <v>1</v>
      </c>
      <c r="DW200">
        <v>0.956721</v>
      </c>
      <c r="DX200">
        <v>4.53729</v>
      </c>
      <c r="DY200">
        <v>20.2901</v>
      </c>
      <c r="DZ200">
        <v>5.2113</v>
      </c>
      <c r="EA200">
        <v>11.858</v>
      </c>
      <c r="EB200">
        <v>4.96776</v>
      </c>
      <c r="EC200">
        <v>3.29298</v>
      </c>
      <c r="ED200">
        <v>879.4</v>
      </c>
      <c r="EE200">
        <v>9999</v>
      </c>
      <c r="EF200">
        <v>9999</v>
      </c>
      <c r="EG200">
        <v>79.09999999999999</v>
      </c>
      <c r="EH200">
        <v>4.97157</v>
      </c>
      <c r="EI200">
        <v>1.8721</v>
      </c>
      <c r="EJ200">
        <v>1.8695</v>
      </c>
      <c r="EK200">
        <v>1.87179</v>
      </c>
      <c r="EL200">
        <v>1.86958</v>
      </c>
      <c r="EM200">
        <v>1.86834</v>
      </c>
      <c r="EN200">
        <v>1.87014</v>
      </c>
      <c r="EO200">
        <v>1.87194</v>
      </c>
      <c r="EP200">
        <v>0</v>
      </c>
      <c r="EQ200">
        <v>0</v>
      </c>
      <c r="ER200">
        <v>0</v>
      </c>
      <c r="ES200">
        <v>0</v>
      </c>
      <c r="ET200" t="s">
        <v>334</v>
      </c>
      <c r="EU200" t="s">
        <v>335</v>
      </c>
      <c r="EV200" t="s">
        <v>336</v>
      </c>
      <c r="EW200" t="s">
        <v>336</v>
      </c>
      <c r="EX200" t="s">
        <v>336</v>
      </c>
      <c r="EY200" t="s">
        <v>336</v>
      </c>
      <c r="EZ200">
        <v>0</v>
      </c>
      <c r="FA200">
        <v>100</v>
      </c>
      <c r="FB200">
        <v>100</v>
      </c>
      <c r="FC200">
        <v>6.231</v>
      </c>
      <c r="FD200">
        <v>0.0806</v>
      </c>
      <c r="FE200">
        <v>6.23135000000002</v>
      </c>
      <c r="FF200">
        <v>0</v>
      </c>
      <c r="FG200">
        <v>0</v>
      </c>
      <c r="FH200">
        <v>0</v>
      </c>
      <c r="FI200">
        <v>0.08059047619047632</v>
      </c>
      <c r="FJ200">
        <v>0</v>
      </c>
      <c r="FK200">
        <v>0</v>
      </c>
      <c r="FL200">
        <v>0</v>
      </c>
      <c r="FM200">
        <v>-1</v>
      </c>
      <c r="FN200">
        <v>-1</v>
      </c>
      <c r="FO200">
        <v>-1</v>
      </c>
      <c r="FP200">
        <v>-1</v>
      </c>
      <c r="FQ200">
        <v>184.5</v>
      </c>
      <c r="FR200">
        <v>184.6</v>
      </c>
      <c r="FS200">
        <v>0.140381</v>
      </c>
      <c r="FT200">
        <v>4.99756</v>
      </c>
      <c r="FU200">
        <v>1.5979</v>
      </c>
      <c r="FV200">
        <v>2.10938</v>
      </c>
      <c r="FW200">
        <v>1.54785</v>
      </c>
      <c r="FX200">
        <v>2.37793</v>
      </c>
      <c r="FY200">
        <v>48.0259</v>
      </c>
      <c r="FZ200">
        <v>14.9201</v>
      </c>
      <c r="GA200">
        <v>3</v>
      </c>
      <c r="GB200">
        <v>520.818</v>
      </c>
      <c r="GC200">
        <v>286.282</v>
      </c>
      <c r="GD200">
        <v>27.0679</v>
      </c>
      <c r="GE200">
        <v>38.6927</v>
      </c>
      <c r="GF200">
        <v>29.9996</v>
      </c>
      <c r="GG200">
        <v>38.5743</v>
      </c>
      <c r="GH200">
        <v>38.5566</v>
      </c>
      <c r="GI200">
        <v>-1</v>
      </c>
      <c r="GJ200">
        <v>100</v>
      </c>
      <c r="GK200">
        <v>0</v>
      </c>
      <c r="GL200">
        <v>27.0775</v>
      </c>
      <c r="GM200">
        <v>1200</v>
      </c>
      <c r="GN200">
        <v>19.4378</v>
      </c>
      <c r="GO200">
        <v>100.906</v>
      </c>
      <c r="GP200">
        <v>96.1177</v>
      </c>
    </row>
    <row r="201" spans="1:198">
      <c r="A201">
        <v>185</v>
      </c>
      <c r="B201">
        <v>1773207141.5</v>
      </c>
      <c r="C201">
        <v>11041.5</v>
      </c>
      <c r="D201" t="s">
        <v>703</v>
      </c>
      <c r="E201" t="s">
        <v>704</v>
      </c>
      <c r="F201">
        <v>15</v>
      </c>
      <c r="G201">
        <v>1773207133.5</v>
      </c>
      <c r="H201">
        <f>(I201)/1000</f>
        <v>0</v>
      </c>
      <c r="I201">
        <f>1000*AY201*AG201*(AU201-AV201)/(100*AN201*(1000-AG201*AU201))</f>
        <v>0</v>
      </c>
      <c r="J201">
        <f>AY201*AG201*(AT201-AS201*(1000-AG201*AV201)/(1000-AG201*AU201))/(100*AN201)</f>
        <v>0</v>
      </c>
      <c r="K201">
        <f>AS201 - IF(AG201&gt;1, J201*AN201*100.0/(AI201), 0)</f>
        <v>0</v>
      </c>
      <c r="L201">
        <f>((R201-H201/2)*K201-J201)/(R201+H201/2)</f>
        <v>0</v>
      </c>
      <c r="M201">
        <f>L201*(AZ201+BA201)/1000.0</f>
        <v>0</v>
      </c>
      <c r="N201">
        <f>(AS201 - IF(AG201&gt;1, J201*AN201*100.0/(AI201), 0))*(AZ201+BA201)/1000.0</f>
        <v>0</v>
      </c>
      <c r="O201">
        <f>2.0/((1/Q201-1/P201)+SIGN(Q201)*SQRT((1/Q201-1/P201)*(1/Q201-1/P201) + 4*AO201/((AO201+1)*(AO201+1))*(2*1/Q201*1/P201-1/P201*1/P201)))</f>
        <v>0</v>
      </c>
      <c r="P201">
        <f>IF(LEFT(AP201,1)&lt;&gt;"0",IF(LEFT(AP201,1)="1",3.0,AQ201),$D$5+$E$5*(BG201*AZ201/($K$5*1000))+$F$5*(BG201*AZ201/($K$5*1000))*MAX(MIN(AN201,$J$5),$I$5)*MAX(MIN(AN201,$J$5),$I$5)+$G$5*MAX(MIN(AN201,$J$5),$I$5)*(BG201*AZ201/($K$5*1000))+$H$5*(BG201*AZ201/($K$5*1000))*(BG201*AZ201/($K$5*1000)))</f>
        <v>0</v>
      </c>
      <c r="Q201">
        <f>H201*(1000-(1000*0.61365*exp(17.502*U201/(240.97+U201))/(AZ201+BA201)+AU201)/2)/(1000*0.61365*exp(17.502*U201/(240.97+U201))/(AZ201+BA201)-AU201)</f>
        <v>0</v>
      </c>
      <c r="R201">
        <f>1/((AO201+1)/(O201/1.6)+1/(P201/1.37)) + AO201/((AO201+1)/(O201/1.6) + AO201/(P201/1.37))</f>
        <v>0</v>
      </c>
      <c r="S201">
        <f>(AJ201*AM201)</f>
        <v>0</v>
      </c>
      <c r="T201">
        <f>(BB201+(S201+2*0.95*5.67E-8*(((BB201+$B$7)+273)^4-(BB201+273)^4)-44100*H201)/(1.84*29.3*P201+8*0.95*5.67E-8*(BB201+273)^3))</f>
        <v>0</v>
      </c>
      <c r="U201">
        <f>($C$7*BC201+$D$7*BD201+$E$7*T201)</f>
        <v>0</v>
      </c>
      <c r="V201">
        <f>0.61365*exp(17.502*U201/(240.97+U201))</f>
        <v>0</v>
      </c>
      <c r="W201">
        <f>(X201/Y201*100)</f>
        <v>0</v>
      </c>
      <c r="X201">
        <f>AU201*(AZ201+BA201)/1000</f>
        <v>0</v>
      </c>
      <c r="Y201">
        <f>0.61365*exp(17.502*BB201/(240.97+BB201))</f>
        <v>0</v>
      </c>
      <c r="Z201">
        <f>(V201-AU201*(AZ201+BA201)/1000)</f>
        <v>0</v>
      </c>
      <c r="AA201">
        <f>(-H201*44100)</f>
        <v>0</v>
      </c>
      <c r="AB201">
        <f>2*29.3*P201*0.92*(BB201-U201)</f>
        <v>0</v>
      </c>
      <c r="AC201">
        <f>2*0.95*5.67E-8*(((BB201+$B$7)+273)^4-(U201+273)^4)</f>
        <v>0</v>
      </c>
      <c r="AD201">
        <f>S201+AC201+AA201+AB201</f>
        <v>0</v>
      </c>
      <c r="AE201">
        <v>0</v>
      </c>
      <c r="AF201">
        <v>0</v>
      </c>
      <c r="AG201">
        <f>IF(AE201*$H$13&gt;=AI201,1.0,(AI201/(AI201-AE201*$H$13)))</f>
        <v>0</v>
      </c>
      <c r="AH201">
        <f>(AG201-1)*100</f>
        <v>0</v>
      </c>
      <c r="AI201">
        <f>MAX(0,($B$13+$C$13*BG201)/(1+$D$13*BG201)*AZ201/(BB201+273)*$E$13)</f>
        <v>0</v>
      </c>
      <c r="AJ201">
        <f>$B$11*BH201+$C$11*BI201+$D$11*BT201</f>
        <v>0</v>
      </c>
      <c r="AK201">
        <f>AJ201*AL201</f>
        <v>0</v>
      </c>
      <c r="AL201">
        <f>($B$11*$D$9+$C$11*$D$9+$D$11*(BU201*$E$9+BV201*$G$9))/($B$11+$C$11+$D$11)</f>
        <v>0</v>
      </c>
      <c r="AM201">
        <f>($B$11*$K$9+$C$11*$K$9+$D$11*(BU201*$L$9+BV201*$N$9))/($B$11+$C$11+$D$11)</f>
        <v>0</v>
      </c>
      <c r="AN201">
        <v>3</v>
      </c>
      <c r="AO201">
        <v>0.5</v>
      </c>
      <c r="AP201" t="s">
        <v>331</v>
      </c>
      <c r="AQ201">
        <v>2</v>
      </c>
      <c r="AR201">
        <v>1773207133.5</v>
      </c>
      <c r="AS201">
        <v>419.0756129032258</v>
      </c>
      <c r="AT201">
        <v>416.7543548387097</v>
      </c>
      <c r="AU201">
        <v>13.66508387096774</v>
      </c>
      <c r="AV201">
        <v>13.57514838709677</v>
      </c>
      <c r="AW201">
        <v>412.8441612903226</v>
      </c>
      <c r="AX201">
        <v>13.58449032258064</v>
      </c>
      <c r="AY201">
        <v>499.9934516129033</v>
      </c>
      <c r="AZ201">
        <v>100.0139677419355</v>
      </c>
      <c r="BA201">
        <v>0.04502763548387097</v>
      </c>
      <c r="BB201">
        <v>30.79121935483871</v>
      </c>
      <c r="BC201">
        <v>31.16378064516128</v>
      </c>
      <c r="BD201">
        <v>999.9000000000003</v>
      </c>
      <c r="BE201">
        <v>0</v>
      </c>
      <c r="BF201">
        <v>0</v>
      </c>
      <c r="BG201">
        <v>5000.370967741936</v>
      </c>
      <c r="BH201">
        <v>1.027679161290323</v>
      </c>
      <c r="BI201">
        <v>1994.854193548387</v>
      </c>
      <c r="BJ201">
        <v>2.32121870967742</v>
      </c>
      <c r="BK201">
        <v>424.8816451612902</v>
      </c>
      <c r="BL201">
        <v>422.4896774193548</v>
      </c>
      <c r="BM201">
        <v>0.08992451290322583</v>
      </c>
      <c r="BN201">
        <v>416.7543548387097</v>
      </c>
      <c r="BO201">
        <v>13.57514838709677</v>
      </c>
      <c r="BP201">
        <v>1.366698387096774</v>
      </c>
      <c r="BQ201">
        <v>1.357705806451613</v>
      </c>
      <c r="BR201">
        <v>11.55310967741936</v>
      </c>
      <c r="BS201">
        <v>11.45331290322581</v>
      </c>
      <c r="BT201">
        <v>0</v>
      </c>
      <c r="BU201">
        <v>0</v>
      </c>
      <c r="BV201">
        <v>0</v>
      </c>
      <c r="BW201">
        <v>35</v>
      </c>
      <c r="BX201">
        <v>61</v>
      </c>
      <c r="BY201">
        <v>1773196010</v>
      </c>
      <c r="BZ201" t="s">
        <v>332</v>
      </c>
      <c r="CA201">
        <v>1773196010</v>
      </c>
      <c r="CB201">
        <v>1773196005.5</v>
      </c>
      <c r="CC201">
        <v>2</v>
      </c>
      <c r="CD201">
        <v>-0.279</v>
      </c>
      <c r="CE201">
        <v>-0.021</v>
      </c>
      <c r="CF201">
        <v>6.231</v>
      </c>
      <c r="CG201">
        <v>0.081</v>
      </c>
      <c r="CH201">
        <v>432</v>
      </c>
      <c r="CI201">
        <v>21</v>
      </c>
      <c r="CJ201">
        <v>0.03</v>
      </c>
      <c r="CK201">
        <v>0.06</v>
      </c>
      <c r="CL201">
        <v>416.7489666666667</v>
      </c>
      <c r="CM201">
        <v>0.5128631813139123</v>
      </c>
      <c r="CN201">
        <v>0.03850236644963781</v>
      </c>
      <c r="CO201">
        <v>-1</v>
      </c>
      <c r="CP201">
        <v>499.9926333333334</v>
      </c>
      <c r="CQ201">
        <v>-0.0311012235813667</v>
      </c>
      <c r="CR201">
        <v>0.04851356053265832</v>
      </c>
      <c r="CS201">
        <v>-1</v>
      </c>
      <c r="CT201">
        <v>0</v>
      </c>
      <c r="CU201">
        <v>0</v>
      </c>
      <c r="CV201" t="s">
        <v>333</v>
      </c>
      <c r="CW201">
        <v>3.17161</v>
      </c>
      <c r="CX201">
        <v>2.66632</v>
      </c>
      <c r="CY201">
        <v>0.0981515</v>
      </c>
      <c r="CZ201">
        <v>0.0989046</v>
      </c>
      <c r="DA201">
        <v>0.07380159999999999</v>
      </c>
      <c r="DB201">
        <v>0.0735127</v>
      </c>
      <c r="DC201">
        <v>21310.6</v>
      </c>
      <c r="DD201">
        <v>21901.5</v>
      </c>
      <c r="DE201">
        <v>22786.1</v>
      </c>
      <c r="DF201">
        <v>22255.6</v>
      </c>
      <c r="DG201">
        <v>31921.4</v>
      </c>
      <c r="DH201">
        <v>29044.9</v>
      </c>
      <c r="DI201">
        <v>40113</v>
      </c>
      <c r="DJ201">
        <v>36809</v>
      </c>
      <c r="DK201">
        <v>2.01896</v>
      </c>
      <c r="DL201">
        <v>1.48404</v>
      </c>
      <c r="DM201">
        <v>-0.0979155</v>
      </c>
      <c r="DN201">
        <v>0</v>
      </c>
      <c r="DO201">
        <v>32.7668</v>
      </c>
      <c r="DP201">
        <v>999.9</v>
      </c>
      <c r="DQ201">
        <v>23</v>
      </c>
      <c r="DR201">
        <v>46.3</v>
      </c>
      <c r="DS201">
        <v>23.6948</v>
      </c>
      <c r="DT201">
        <v>30.0065</v>
      </c>
      <c r="DU201">
        <v>14.2668</v>
      </c>
      <c r="DV201">
        <v>1</v>
      </c>
      <c r="DW201">
        <v>0.952705</v>
      </c>
      <c r="DX201">
        <v>4.3074</v>
      </c>
      <c r="DY201">
        <v>20.2975</v>
      </c>
      <c r="DZ201">
        <v>5.21106</v>
      </c>
      <c r="EA201">
        <v>11.8577</v>
      </c>
      <c r="EB201">
        <v>4.96772</v>
      </c>
      <c r="EC201">
        <v>3.293</v>
      </c>
      <c r="ED201">
        <v>879.4</v>
      </c>
      <c r="EE201">
        <v>9999</v>
      </c>
      <c r="EF201">
        <v>9999</v>
      </c>
      <c r="EG201">
        <v>79.09999999999999</v>
      </c>
      <c r="EH201">
        <v>4.97156</v>
      </c>
      <c r="EI201">
        <v>1.8721</v>
      </c>
      <c r="EJ201">
        <v>1.8695</v>
      </c>
      <c r="EK201">
        <v>1.87179</v>
      </c>
      <c r="EL201">
        <v>1.86957</v>
      </c>
      <c r="EM201">
        <v>1.86837</v>
      </c>
      <c r="EN201">
        <v>1.87014</v>
      </c>
      <c r="EO201">
        <v>1.87195</v>
      </c>
      <c r="EP201">
        <v>0</v>
      </c>
      <c r="EQ201">
        <v>0</v>
      </c>
      <c r="ER201">
        <v>0</v>
      </c>
      <c r="ES201">
        <v>0</v>
      </c>
      <c r="ET201" t="s">
        <v>334</v>
      </c>
      <c r="EU201" t="s">
        <v>335</v>
      </c>
      <c r="EV201" t="s">
        <v>336</v>
      </c>
      <c r="EW201" t="s">
        <v>336</v>
      </c>
      <c r="EX201" t="s">
        <v>336</v>
      </c>
      <c r="EY201" t="s">
        <v>336</v>
      </c>
      <c r="EZ201">
        <v>0</v>
      </c>
      <c r="FA201">
        <v>100</v>
      </c>
      <c r="FB201">
        <v>100</v>
      </c>
      <c r="FC201">
        <v>6.232</v>
      </c>
      <c r="FD201">
        <v>0.0805</v>
      </c>
      <c r="FE201">
        <v>6.23135000000002</v>
      </c>
      <c r="FF201">
        <v>0</v>
      </c>
      <c r="FG201">
        <v>0</v>
      </c>
      <c r="FH201">
        <v>0</v>
      </c>
      <c r="FI201">
        <v>0.08059047619047632</v>
      </c>
      <c r="FJ201">
        <v>0</v>
      </c>
      <c r="FK201">
        <v>0</v>
      </c>
      <c r="FL201">
        <v>0</v>
      </c>
      <c r="FM201">
        <v>-1</v>
      </c>
      <c r="FN201">
        <v>-1</v>
      </c>
      <c r="FO201">
        <v>-1</v>
      </c>
      <c r="FP201">
        <v>-1</v>
      </c>
      <c r="FQ201">
        <v>185.5</v>
      </c>
      <c r="FR201">
        <v>185.6</v>
      </c>
      <c r="FS201">
        <v>0.140381</v>
      </c>
      <c r="FT201">
        <v>4.99756</v>
      </c>
      <c r="FU201">
        <v>1.5979</v>
      </c>
      <c r="FV201">
        <v>2.10938</v>
      </c>
      <c r="FW201">
        <v>1.54785</v>
      </c>
      <c r="FX201">
        <v>2.38647</v>
      </c>
      <c r="FY201">
        <v>48.0259</v>
      </c>
      <c r="FZ201">
        <v>14.9113</v>
      </c>
      <c r="GA201">
        <v>3</v>
      </c>
      <c r="GB201">
        <v>521.03</v>
      </c>
      <c r="GC201">
        <v>286.055</v>
      </c>
      <c r="GD201">
        <v>27.4324</v>
      </c>
      <c r="GE201">
        <v>38.6723</v>
      </c>
      <c r="GF201">
        <v>30.0001</v>
      </c>
      <c r="GG201">
        <v>38.5594</v>
      </c>
      <c r="GH201">
        <v>38.5456</v>
      </c>
      <c r="GI201">
        <v>-1</v>
      </c>
      <c r="GJ201">
        <v>100</v>
      </c>
      <c r="GK201">
        <v>0</v>
      </c>
      <c r="GL201">
        <v>27.4275</v>
      </c>
      <c r="GM201">
        <v>1200</v>
      </c>
      <c r="GN201">
        <v>19.4378</v>
      </c>
      <c r="GO201">
        <v>100.909</v>
      </c>
      <c r="GP201">
        <v>96.1212</v>
      </c>
    </row>
    <row r="202" spans="1:198">
      <c r="A202">
        <v>186</v>
      </c>
      <c r="B202">
        <v>1773207201.5</v>
      </c>
      <c r="C202">
        <v>11101.5</v>
      </c>
      <c r="D202" t="s">
        <v>705</v>
      </c>
      <c r="E202" t="s">
        <v>706</v>
      </c>
      <c r="F202">
        <v>15</v>
      </c>
      <c r="G202">
        <v>1773207193.5</v>
      </c>
      <c r="H202">
        <f>(I202)/1000</f>
        <v>0</v>
      </c>
      <c r="I202">
        <f>1000*AY202*AG202*(AU202-AV202)/(100*AN202*(1000-AG202*AU202))</f>
        <v>0</v>
      </c>
      <c r="J202">
        <f>AY202*AG202*(AT202-AS202*(1000-AG202*AV202)/(1000-AG202*AU202))/(100*AN202)</f>
        <v>0</v>
      </c>
      <c r="K202">
        <f>AS202 - IF(AG202&gt;1, J202*AN202*100.0/(AI202), 0)</f>
        <v>0</v>
      </c>
      <c r="L202">
        <f>((R202-H202/2)*K202-J202)/(R202+H202/2)</f>
        <v>0</v>
      </c>
      <c r="M202">
        <f>L202*(AZ202+BA202)/1000.0</f>
        <v>0</v>
      </c>
      <c r="N202">
        <f>(AS202 - IF(AG202&gt;1, J202*AN202*100.0/(AI202), 0))*(AZ202+BA202)/1000.0</f>
        <v>0</v>
      </c>
      <c r="O202">
        <f>2.0/((1/Q202-1/P202)+SIGN(Q202)*SQRT((1/Q202-1/P202)*(1/Q202-1/P202) + 4*AO202/((AO202+1)*(AO202+1))*(2*1/Q202*1/P202-1/P202*1/P202)))</f>
        <v>0</v>
      </c>
      <c r="P202">
        <f>IF(LEFT(AP202,1)&lt;&gt;"0",IF(LEFT(AP202,1)="1",3.0,AQ202),$D$5+$E$5*(BG202*AZ202/($K$5*1000))+$F$5*(BG202*AZ202/($K$5*1000))*MAX(MIN(AN202,$J$5),$I$5)*MAX(MIN(AN202,$J$5),$I$5)+$G$5*MAX(MIN(AN202,$J$5),$I$5)*(BG202*AZ202/($K$5*1000))+$H$5*(BG202*AZ202/($K$5*1000))*(BG202*AZ202/($K$5*1000)))</f>
        <v>0</v>
      </c>
      <c r="Q202">
        <f>H202*(1000-(1000*0.61365*exp(17.502*U202/(240.97+U202))/(AZ202+BA202)+AU202)/2)/(1000*0.61365*exp(17.502*U202/(240.97+U202))/(AZ202+BA202)-AU202)</f>
        <v>0</v>
      </c>
      <c r="R202">
        <f>1/((AO202+1)/(O202/1.6)+1/(P202/1.37)) + AO202/((AO202+1)/(O202/1.6) + AO202/(P202/1.37))</f>
        <v>0</v>
      </c>
      <c r="S202">
        <f>(AJ202*AM202)</f>
        <v>0</v>
      </c>
      <c r="T202">
        <f>(BB202+(S202+2*0.95*5.67E-8*(((BB202+$B$7)+273)^4-(BB202+273)^4)-44100*H202)/(1.84*29.3*P202+8*0.95*5.67E-8*(BB202+273)^3))</f>
        <v>0</v>
      </c>
      <c r="U202">
        <f>($C$7*BC202+$D$7*BD202+$E$7*T202)</f>
        <v>0</v>
      </c>
      <c r="V202">
        <f>0.61365*exp(17.502*U202/(240.97+U202))</f>
        <v>0</v>
      </c>
      <c r="W202">
        <f>(X202/Y202*100)</f>
        <v>0</v>
      </c>
      <c r="X202">
        <f>AU202*(AZ202+BA202)/1000</f>
        <v>0</v>
      </c>
      <c r="Y202">
        <f>0.61365*exp(17.502*BB202/(240.97+BB202))</f>
        <v>0</v>
      </c>
      <c r="Z202">
        <f>(V202-AU202*(AZ202+BA202)/1000)</f>
        <v>0</v>
      </c>
      <c r="AA202">
        <f>(-H202*44100)</f>
        <v>0</v>
      </c>
      <c r="AB202">
        <f>2*29.3*P202*0.92*(BB202-U202)</f>
        <v>0</v>
      </c>
      <c r="AC202">
        <f>2*0.95*5.67E-8*(((BB202+$B$7)+273)^4-(U202+273)^4)</f>
        <v>0</v>
      </c>
      <c r="AD202">
        <f>S202+AC202+AA202+AB202</f>
        <v>0</v>
      </c>
      <c r="AE202">
        <v>0</v>
      </c>
      <c r="AF202">
        <v>0</v>
      </c>
      <c r="AG202">
        <f>IF(AE202*$H$13&gt;=AI202,1.0,(AI202/(AI202-AE202*$H$13)))</f>
        <v>0</v>
      </c>
      <c r="AH202">
        <f>(AG202-1)*100</f>
        <v>0</v>
      </c>
      <c r="AI202">
        <f>MAX(0,($B$13+$C$13*BG202)/(1+$D$13*BG202)*AZ202/(BB202+273)*$E$13)</f>
        <v>0</v>
      </c>
      <c r="AJ202">
        <f>$B$11*BH202+$C$11*BI202+$D$11*BT202</f>
        <v>0</v>
      </c>
      <c r="AK202">
        <f>AJ202*AL202</f>
        <v>0</v>
      </c>
      <c r="AL202">
        <f>($B$11*$D$9+$C$11*$D$9+$D$11*(BU202*$E$9+BV202*$G$9))/($B$11+$C$11+$D$11)</f>
        <v>0</v>
      </c>
      <c r="AM202">
        <f>($B$11*$K$9+$C$11*$K$9+$D$11*(BU202*$L$9+BV202*$N$9))/($B$11+$C$11+$D$11)</f>
        <v>0</v>
      </c>
      <c r="AN202">
        <v>3</v>
      </c>
      <c r="AO202">
        <v>0.5</v>
      </c>
      <c r="AP202" t="s">
        <v>331</v>
      </c>
      <c r="AQ202">
        <v>2</v>
      </c>
      <c r="AR202">
        <v>1773207193.5</v>
      </c>
      <c r="AS202">
        <v>419.2005483870967</v>
      </c>
      <c r="AT202">
        <v>416.8818709677419</v>
      </c>
      <c r="AU202">
        <v>13.74558064516129</v>
      </c>
      <c r="AV202">
        <v>13.66113225806452</v>
      </c>
      <c r="AW202">
        <v>412.9693548387096</v>
      </c>
      <c r="AX202">
        <v>13.6649935483871</v>
      </c>
      <c r="AY202">
        <v>499.9665483870967</v>
      </c>
      <c r="AZ202">
        <v>100.0107096774194</v>
      </c>
      <c r="BA202">
        <v>0.04522714838709679</v>
      </c>
      <c r="BB202">
        <v>30.77574516129033</v>
      </c>
      <c r="BC202">
        <v>31.15042903225807</v>
      </c>
      <c r="BD202">
        <v>999.9000000000003</v>
      </c>
      <c r="BE202">
        <v>0</v>
      </c>
      <c r="BF202">
        <v>0</v>
      </c>
      <c r="BG202">
        <v>4992.290322580645</v>
      </c>
      <c r="BH202">
        <v>1.016428709677419</v>
      </c>
      <c r="BI202">
        <v>1967.878709677419</v>
      </c>
      <c r="BJ202">
        <v>2.318723548387096</v>
      </c>
      <c r="BK202">
        <v>425.0430967741935</v>
      </c>
      <c r="BL202">
        <v>422.6558387096775</v>
      </c>
      <c r="BM202">
        <v>0.08445617096774194</v>
      </c>
      <c r="BN202">
        <v>416.8818709677419</v>
      </c>
      <c r="BO202">
        <v>13.66113225806452</v>
      </c>
      <c r="BP202">
        <v>1.374705483870968</v>
      </c>
      <c r="BQ202">
        <v>1.366258387096774</v>
      </c>
      <c r="BR202">
        <v>11.64144838709677</v>
      </c>
      <c r="BS202">
        <v>11.54822580645161</v>
      </c>
      <c r="BT202">
        <v>0</v>
      </c>
      <c r="BU202">
        <v>0</v>
      </c>
      <c r="BV202">
        <v>0</v>
      </c>
      <c r="BW202">
        <v>35.12903225806453</v>
      </c>
      <c r="BX202">
        <v>60.66236774193549</v>
      </c>
      <c r="BY202">
        <v>1773196010</v>
      </c>
      <c r="BZ202" t="s">
        <v>332</v>
      </c>
      <c r="CA202">
        <v>1773196010</v>
      </c>
      <c r="CB202">
        <v>1773196005.5</v>
      </c>
      <c r="CC202">
        <v>2</v>
      </c>
      <c r="CD202">
        <v>-0.279</v>
      </c>
      <c r="CE202">
        <v>-0.021</v>
      </c>
      <c r="CF202">
        <v>6.231</v>
      </c>
      <c r="CG202">
        <v>0.081</v>
      </c>
      <c r="CH202">
        <v>432</v>
      </c>
      <c r="CI202">
        <v>21</v>
      </c>
      <c r="CJ202">
        <v>0.03</v>
      </c>
      <c r="CK202">
        <v>0.06</v>
      </c>
      <c r="CL202">
        <v>416.8849999999999</v>
      </c>
      <c r="CM202">
        <v>-0.2887474972187917</v>
      </c>
      <c r="CN202">
        <v>0.024657656011873</v>
      </c>
      <c r="CO202">
        <v>-1</v>
      </c>
      <c r="CP202">
        <v>499.9661333333333</v>
      </c>
      <c r="CQ202">
        <v>-0.7773437152392828</v>
      </c>
      <c r="CR202">
        <v>0.0696858346836389</v>
      </c>
      <c r="CS202">
        <v>-1</v>
      </c>
      <c r="CT202">
        <v>0</v>
      </c>
      <c r="CU202">
        <v>0</v>
      </c>
      <c r="CV202" t="s">
        <v>333</v>
      </c>
      <c r="CW202">
        <v>3.17165</v>
      </c>
      <c r="CX202">
        <v>2.66643</v>
      </c>
      <c r="CY202">
        <v>0.0981591</v>
      </c>
      <c r="CZ202">
        <v>0.09890450000000001</v>
      </c>
      <c r="DA202">
        <v>0.07412829999999999</v>
      </c>
      <c r="DB202">
        <v>0.0738611</v>
      </c>
      <c r="DC202">
        <v>21309.8</v>
      </c>
      <c r="DD202">
        <v>21901.2</v>
      </c>
      <c r="DE202">
        <v>22785.5</v>
      </c>
      <c r="DF202">
        <v>22255.3</v>
      </c>
      <c r="DG202">
        <v>31909.5</v>
      </c>
      <c r="DH202">
        <v>29033.5</v>
      </c>
      <c r="DI202">
        <v>40112.2</v>
      </c>
      <c r="DJ202">
        <v>36808.3</v>
      </c>
      <c r="DK202">
        <v>2.0189</v>
      </c>
      <c r="DL202">
        <v>1.48398</v>
      </c>
      <c r="DM202">
        <v>-0.104532</v>
      </c>
      <c r="DN202">
        <v>0</v>
      </c>
      <c r="DO202">
        <v>32.8384</v>
      </c>
      <c r="DP202">
        <v>999.9</v>
      </c>
      <c r="DQ202">
        <v>23.1</v>
      </c>
      <c r="DR202">
        <v>46.3</v>
      </c>
      <c r="DS202">
        <v>23.7992</v>
      </c>
      <c r="DT202">
        <v>30.3664</v>
      </c>
      <c r="DU202">
        <v>14.0465</v>
      </c>
      <c r="DV202">
        <v>1</v>
      </c>
      <c r="DW202">
        <v>0.954691</v>
      </c>
      <c r="DX202">
        <v>4.46398</v>
      </c>
      <c r="DY202">
        <v>20.2925</v>
      </c>
      <c r="DZ202">
        <v>5.21094</v>
      </c>
      <c r="EA202">
        <v>11.859</v>
      </c>
      <c r="EB202">
        <v>4.96756</v>
      </c>
      <c r="EC202">
        <v>3.293</v>
      </c>
      <c r="ED202">
        <v>879.4</v>
      </c>
      <c r="EE202">
        <v>9999</v>
      </c>
      <c r="EF202">
        <v>9999</v>
      </c>
      <c r="EG202">
        <v>79.09999999999999</v>
      </c>
      <c r="EH202">
        <v>4.97156</v>
      </c>
      <c r="EI202">
        <v>1.8721</v>
      </c>
      <c r="EJ202">
        <v>1.86949</v>
      </c>
      <c r="EK202">
        <v>1.8718</v>
      </c>
      <c r="EL202">
        <v>1.86956</v>
      </c>
      <c r="EM202">
        <v>1.86834</v>
      </c>
      <c r="EN202">
        <v>1.87014</v>
      </c>
      <c r="EO202">
        <v>1.87195</v>
      </c>
      <c r="EP202">
        <v>0</v>
      </c>
      <c r="EQ202">
        <v>0</v>
      </c>
      <c r="ER202">
        <v>0</v>
      </c>
      <c r="ES202">
        <v>0</v>
      </c>
      <c r="ET202" t="s">
        <v>334</v>
      </c>
      <c r="EU202" t="s">
        <v>335</v>
      </c>
      <c r="EV202" t="s">
        <v>336</v>
      </c>
      <c r="EW202" t="s">
        <v>336</v>
      </c>
      <c r="EX202" t="s">
        <v>336</v>
      </c>
      <c r="EY202" t="s">
        <v>336</v>
      </c>
      <c r="EZ202">
        <v>0</v>
      </c>
      <c r="FA202">
        <v>100</v>
      </c>
      <c r="FB202">
        <v>100</v>
      </c>
      <c r="FC202">
        <v>6.232</v>
      </c>
      <c r="FD202">
        <v>0.0805</v>
      </c>
      <c r="FE202">
        <v>6.23135000000002</v>
      </c>
      <c r="FF202">
        <v>0</v>
      </c>
      <c r="FG202">
        <v>0</v>
      </c>
      <c r="FH202">
        <v>0</v>
      </c>
      <c r="FI202">
        <v>0.08059047619047632</v>
      </c>
      <c r="FJ202">
        <v>0</v>
      </c>
      <c r="FK202">
        <v>0</v>
      </c>
      <c r="FL202">
        <v>0</v>
      </c>
      <c r="FM202">
        <v>-1</v>
      </c>
      <c r="FN202">
        <v>-1</v>
      </c>
      <c r="FO202">
        <v>-1</v>
      </c>
      <c r="FP202">
        <v>-1</v>
      </c>
      <c r="FQ202">
        <v>186.5</v>
      </c>
      <c r="FR202">
        <v>186.6</v>
      </c>
      <c r="FS202">
        <v>0.140381</v>
      </c>
      <c r="FT202">
        <v>4.99756</v>
      </c>
      <c r="FU202">
        <v>1.5979</v>
      </c>
      <c r="FV202">
        <v>2.10938</v>
      </c>
      <c r="FW202">
        <v>1.54785</v>
      </c>
      <c r="FX202">
        <v>2.5</v>
      </c>
      <c r="FY202">
        <v>48.0869</v>
      </c>
      <c r="FZ202">
        <v>14.9113</v>
      </c>
      <c r="GA202">
        <v>3</v>
      </c>
      <c r="GB202">
        <v>521.018</v>
      </c>
      <c r="GC202">
        <v>286.055</v>
      </c>
      <c r="GD202">
        <v>27.2173</v>
      </c>
      <c r="GE202">
        <v>38.6751</v>
      </c>
      <c r="GF202">
        <v>30.0001</v>
      </c>
      <c r="GG202">
        <v>38.5631</v>
      </c>
      <c r="GH202">
        <v>38.553</v>
      </c>
      <c r="GI202">
        <v>-1</v>
      </c>
      <c r="GJ202">
        <v>100</v>
      </c>
      <c r="GK202">
        <v>0</v>
      </c>
      <c r="GL202">
        <v>27.225</v>
      </c>
      <c r="GM202">
        <v>1200</v>
      </c>
      <c r="GN202">
        <v>19.4378</v>
      </c>
      <c r="GO202">
        <v>100.907</v>
      </c>
      <c r="GP202">
        <v>96.11960000000001</v>
      </c>
    </row>
    <row r="203" spans="1:198">
      <c r="A203">
        <v>187</v>
      </c>
      <c r="B203">
        <v>1773207261.6</v>
      </c>
      <c r="C203">
        <v>11161.59999990463</v>
      </c>
      <c r="D203" t="s">
        <v>707</v>
      </c>
      <c r="E203" t="s">
        <v>708</v>
      </c>
      <c r="F203">
        <v>15</v>
      </c>
      <c r="G203">
        <v>1773207253.806451</v>
      </c>
      <c r="H203">
        <f>(I203)/1000</f>
        <v>0</v>
      </c>
      <c r="I203">
        <f>1000*AY203*AG203*(AU203-AV203)/(100*AN203*(1000-AG203*AU203))</f>
        <v>0</v>
      </c>
      <c r="J203">
        <f>AY203*AG203*(AT203-AS203*(1000-AG203*AV203)/(1000-AG203*AU203))/(100*AN203)</f>
        <v>0</v>
      </c>
      <c r="K203">
        <f>AS203 - IF(AG203&gt;1, J203*AN203*100.0/(AI203), 0)</f>
        <v>0</v>
      </c>
      <c r="L203">
        <f>((R203-H203/2)*K203-J203)/(R203+H203/2)</f>
        <v>0</v>
      </c>
      <c r="M203">
        <f>L203*(AZ203+BA203)/1000.0</f>
        <v>0</v>
      </c>
      <c r="N203">
        <f>(AS203 - IF(AG203&gt;1, J203*AN203*100.0/(AI203), 0))*(AZ203+BA203)/1000.0</f>
        <v>0</v>
      </c>
      <c r="O203">
        <f>2.0/((1/Q203-1/P203)+SIGN(Q203)*SQRT((1/Q203-1/P203)*(1/Q203-1/P203) + 4*AO203/((AO203+1)*(AO203+1))*(2*1/Q203*1/P203-1/P203*1/P203)))</f>
        <v>0</v>
      </c>
      <c r="P203">
        <f>IF(LEFT(AP203,1)&lt;&gt;"0",IF(LEFT(AP203,1)="1",3.0,AQ203),$D$5+$E$5*(BG203*AZ203/($K$5*1000))+$F$5*(BG203*AZ203/($K$5*1000))*MAX(MIN(AN203,$J$5),$I$5)*MAX(MIN(AN203,$J$5),$I$5)+$G$5*MAX(MIN(AN203,$J$5),$I$5)*(BG203*AZ203/($K$5*1000))+$H$5*(BG203*AZ203/($K$5*1000))*(BG203*AZ203/($K$5*1000)))</f>
        <v>0</v>
      </c>
      <c r="Q203">
        <f>H203*(1000-(1000*0.61365*exp(17.502*U203/(240.97+U203))/(AZ203+BA203)+AU203)/2)/(1000*0.61365*exp(17.502*U203/(240.97+U203))/(AZ203+BA203)-AU203)</f>
        <v>0</v>
      </c>
      <c r="R203">
        <f>1/((AO203+1)/(O203/1.6)+1/(P203/1.37)) + AO203/((AO203+1)/(O203/1.6) + AO203/(P203/1.37))</f>
        <v>0</v>
      </c>
      <c r="S203">
        <f>(AJ203*AM203)</f>
        <v>0</v>
      </c>
      <c r="T203">
        <f>(BB203+(S203+2*0.95*5.67E-8*(((BB203+$B$7)+273)^4-(BB203+273)^4)-44100*H203)/(1.84*29.3*P203+8*0.95*5.67E-8*(BB203+273)^3))</f>
        <v>0</v>
      </c>
      <c r="U203">
        <f>($C$7*BC203+$D$7*BD203+$E$7*T203)</f>
        <v>0</v>
      </c>
      <c r="V203">
        <f>0.61365*exp(17.502*U203/(240.97+U203))</f>
        <v>0</v>
      </c>
      <c r="W203">
        <f>(X203/Y203*100)</f>
        <v>0</v>
      </c>
      <c r="X203">
        <f>AU203*(AZ203+BA203)/1000</f>
        <v>0</v>
      </c>
      <c r="Y203">
        <f>0.61365*exp(17.502*BB203/(240.97+BB203))</f>
        <v>0</v>
      </c>
      <c r="Z203">
        <f>(V203-AU203*(AZ203+BA203)/1000)</f>
        <v>0</v>
      </c>
      <c r="AA203">
        <f>(-H203*44100)</f>
        <v>0</v>
      </c>
      <c r="AB203">
        <f>2*29.3*P203*0.92*(BB203-U203)</f>
        <v>0</v>
      </c>
      <c r="AC203">
        <f>2*0.95*5.67E-8*(((BB203+$B$7)+273)^4-(U203+273)^4)</f>
        <v>0</v>
      </c>
      <c r="AD203">
        <f>S203+AC203+AA203+AB203</f>
        <v>0</v>
      </c>
      <c r="AE203">
        <v>0</v>
      </c>
      <c r="AF203">
        <v>0</v>
      </c>
      <c r="AG203">
        <f>IF(AE203*$H$13&gt;=AI203,1.0,(AI203/(AI203-AE203*$H$13)))</f>
        <v>0</v>
      </c>
      <c r="AH203">
        <f>(AG203-1)*100</f>
        <v>0</v>
      </c>
      <c r="AI203">
        <f>MAX(0,($B$13+$C$13*BG203)/(1+$D$13*BG203)*AZ203/(BB203+273)*$E$13)</f>
        <v>0</v>
      </c>
      <c r="AJ203">
        <f>$B$11*BH203+$C$11*BI203+$D$11*BT203</f>
        <v>0</v>
      </c>
      <c r="AK203">
        <f>AJ203*AL203</f>
        <v>0</v>
      </c>
      <c r="AL203">
        <f>($B$11*$D$9+$C$11*$D$9+$D$11*(BU203*$E$9+BV203*$G$9))/($B$11+$C$11+$D$11)</f>
        <v>0</v>
      </c>
      <c r="AM203">
        <f>($B$11*$K$9+$C$11*$K$9+$D$11*(BU203*$L$9+BV203*$N$9))/($B$11+$C$11+$D$11)</f>
        <v>0</v>
      </c>
      <c r="AN203">
        <v>3</v>
      </c>
      <c r="AO203">
        <v>0.5</v>
      </c>
      <c r="AP203" t="s">
        <v>331</v>
      </c>
      <c r="AQ203">
        <v>2</v>
      </c>
      <c r="AR203">
        <v>1773207253.806451</v>
      </c>
      <c r="AS203">
        <v>419.1264193548386</v>
      </c>
      <c r="AT203">
        <v>416.7972580645162</v>
      </c>
      <c r="AU203">
        <v>13.84016129032258</v>
      </c>
      <c r="AV203">
        <v>13.75342580645161</v>
      </c>
      <c r="AW203">
        <v>412.8950322580645</v>
      </c>
      <c r="AX203">
        <v>13.75957096774194</v>
      </c>
      <c r="AY203">
        <v>499.9891935483871</v>
      </c>
      <c r="AZ203">
        <v>100.0073870967742</v>
      </c>
      <c r="BA203">
        <v>0.04496705483870968</v>
      </c>
      <c r="BB203">
        <v>30.78124193548387</v>
      </c>
      <c r="BC203">
        <v>31.16217419354838</v>
      </c>
      <c r="BD203">
        <v>999.9000000000003</v>
      </c>
      <c r="BE203">
        <v>0</v>
      </c>
      <c r="BF203">
        <v>0</v>
      </c>
      <c r="BG203">
        <v>4999.016129032259</v>
      </c>
      <c r="BH203">
        <v>1.010665</v>
      </c>
      <c r="BI203">
        <v>1983.375483870968</v>
      </c>
      <c r="BJ203">
        <v>2.329237419354839</v>
      </c>
      <c r="BK203">
        <v>425.0086451612903</v>
      </c>
      <c r="BL203">
        <v>422.6095483870967</v>
      </c>
      <c r="BM203">
        <v>0.08672911612903224</v>
      </c>
      <c r="BN203">
        <v>416.7972580645162</v>
      </c>
      <c r="BO203">
        <v>13.75342580645161</v>
      </c>
      <c r="BP203">
        <v>1.384118387096774</v>
      </c>
      <c r="BQ203">
        <v>1.375445161290322</v>
      </c>
      <c r="BR203">
        <v>11.74475806451613</v>
      </c>
      <c r="BS203">
        <v>11.6496</v>
      </c>
      <c r="BT203">
        <v>0</v>
      </c>
      <c r="BU203">
        <v>0</v>
      </c>
      <c r="BV203">
        <v>0</v>
      </c>
      <c r="BW203">
        <v>35.99247419354839</v>
      </c>
      <c r="BX203">
        <v>61</v>
      </c>
      <c r="BY203">
        <v>1773196010</v>
      </c>
      <c r="BZ203" t="s">
        <v>332</v>
      </c>
      <c r="CA203">
        <v>1773196010</v>
      </c>
      <c r="CB203">
        <v>1773196005.5</v>
      </c>
      <c r="CC203">
        <v>2</v>
      </c>
      <c r="CD203">
        <v>-0.279</v>
      </c>
      <c r="CE203">
        <v>-0.021</v>
      </c>
      <c r="CF203">
        <v>6.231</v>
      </c>
      <c r="CG203">
        <v>0.081</v>
      </c>
      <c r="CH203">
        <v>432</v>
      </c>
      <c r="CI203">
        <v>21</v>
      </c>
      <c r="CJ203">
        <v>0.03</v>
      </c>
      <c r="CK203">
        <v>0.06</v>
      </c>
      <c r="CL203">
        <v>416.802935483871</v>
      </c>
      <c r="CM203">
        <v>-0.218357312582898</v>
      </c>
      <c r="CN203">
        <v>0.03050640914561113</v>
      </c>
      <c r="CO203">
        <v>-1</v>
      </c>
      <c r="CP203">
        <v>499.9859354838709</v>
      </c>
      <c r="CQ203">
        <v>0.1535666476776043</v>
      </c>
      <c r="CR203">
        <v>0.04730609691584534</v>
      </c>
      <c r="CS203">
        <v>-1</v>
      </c>
      <c r="CT203">
        <v>0</v>
      </c>
      <c r="CU203">
        <v>0</v>
      </c>
      <c r="CV203" t="s">
        <v>333</v>
      </c>
      <c r="CW203">
        <v>3.17169</v>
      </c>
      <c r="CX203">
        <v>2.66543</v>
      </c>
      <c r="CY203">
        <v>0.0981345</v>
      </c>
      <c r="CZ203">
        <v>0.0988839</v>
      </c>
      <c r="DA203">
        <v>0.07450229999999999</v>
      </c>
      <c r="DB203">
        <v>0.0742101</v>
      </c>
      <c r="DC203">
        <v>21308.7</v>
      </c>
      <c r="DD203">
        <v>21899.9</v>
      </c>
      <c r="DE203">
        <v>22783.8</v>
      </c>
      <c r="DF203">
        <v>22253.5</v>
      </c>
      <c r="DG203">
        <v>31894.5</v>
      </c>
      <c r="DH203">
        <v>29020.2</v>
      </c>
      <c r="DI203">
        <v>40109.4</v>
      </c>
      <c r="DJ203">
        <v>36805.3</v>
      </c>
      <c r="DK203">
        <v>2.01862</v>
      </c>
      <c r="DL203">
        <v>1.48344</v>
      </c>
      <c r="DM203">
        <v>-0.104326</v>
      </c>
      <c r="DN203">
        <v>0</v>
      </c>
      <c r="DO203">
        <v>32.8649</v>
      </c>
      <c r="DP203">
        <v>999.9</v>
      </c>
      <c r="DQ203">
        <v>23.2</v>
      </c>
      <c r="DR203">
        <v>46.3</v>
      </c>
      <c r="DS203">
        <v>23.9032</v>
      </c>
      <c r="DT203">
        <v>29.9792</v>
      </c>
      <c r="DU203">
        <v>14.0585</v>
      </c>
      <c r="DV203">
        <v>1</v>
      </c>
      <c r="DW203">
        <v>0.9575</v>
      </c>
      <c r="DX203">
        <v>4.29534</v>
      </c>
      <c r="DY203">
        <v>20.2975</v>
      </c>
      <c r="DZ203">
        <v>5.20998</v>
      </c>
      <c r="EA203">
        <v>11.8594</v>
      </c>
      <c r="EB203">
        <v>4.9674</v>
      </c>
      <c r="EC203">
        <v>3.29298</v>
      </c>
      <c r="ED203">
        <v>879.4</v>
      </c>
      <c r="EE203">
        <v>9999</v>
      </c>
      <c r="EF203">
        <v>9999</v>
      </c>
      <c r="EG203">
        <v>79.09999999999999</v>
      </c>
      <c r="EH203">
        <v>4.97156</v>
      </c>
      <c r="EI203">
        <v>1.8721</v>
      </c>
      <c r="EJ203">
        <v>1.86949</v>
      </c>
      <c r="EK203">
        <v>1.8718</v>
      </c>
      <c r="EL203">
        <v>1.86955</v>
      </c>
      <c r="EM203">
        <v>1.86839</v>
      </c>
      <c r="EN203">
        <v>1.87015</v>
      </c>
      <c r="EO203">
        <v>1.87195</v>
      </c>
      <c r="EP203">
        <v>0</v>
      </c>
      <c r="EQ203">
        <v>0</v>
      </c>
      <c r="ER203">
        <v>0</v>
      </c>
      <c r="ES203">
        <v>0</v>
      </c>
      <c r="ET203" t="s">
        <v>334</v>
      </c>
      <c r="EU203" t="s">
        <v>335</v>
      </c>
      <c r="EV203" t="s">
        <v>336</v>
      </c>
      <c r="EW203" t="s">
        <v>336</v>
      </c>
      <c r="EX203" t="s">
        <v>336</v>
      </c>
      <c r="EY203" t="s">
        <v>336</v>
      </c>
      <c r="EZ203">
        <v>0</v>
      </c>
      <c r="FA203">
        <v>100</v>
      </c>
      <c r="FB203">
        <v>100</v>
      </c>
      <c r="FC203">
        <v>6.232</v>
      </c>
      <c r="FD203">
        <v>0.0806</v>
      </c>
      <c r="FE203">
        <v>6.23135000000002</v>
      </c>
      <c r="FF203">
        <v>0</v>
      </c>
      <c r="FG203">
        <v>0</v>
      </c>
      <c r="FH203">
        <v>0</v>
      </c>
      <c r="FI203">
        <v>0.08059047619047632</v>
      </c>
      <c r="FJ203">
        <v>0</v>
      </c>
      <c r="FK203">
        <v>0</v>
      </c>
      <c r="FL203">
        <v>0</v>
      </c>
      <c r="FM203">
        <v>-1</v>
      </c>
      <c r="FN203">
        <v>-1</v>
      </c>
      <c r="FO203">
        <v>-1</v>
      </c>
      <c r="FP203">
        <v>-1</v>
      </c>
      <c r="FQ203">
        <v>187.5</v>
      </c>
      <c r="FR203">
        <v>187.6</v>
      </c>
      <c r="FS203">
        <v>0.140381</v>
      </c>
      <c r="FT203">
        <v>4.99756</v>
      </c>
      <c r="FU203">
        <v>1.5979</v>
      </c>
      <c r="FV203">
        <v>2.10938</v>
      </c>
      <c r="FW203">
        <v>1.54785</v>
      </c>
      <c r="FX203">
        <v>2.37549</v>
      </c>
      <c r="FY203">
        <v>48.1785</v>
      </c>
      <c r="FZ203">
        <v>14.9113</v>
      </c>
      <c r="GA203">
        <v>3</v>
      </c>
      <c r="GB203">
        <v>521.058</v>
      </c>
      <c r="GC203">
        <v>285.92</v>
      </c>
      <c r="GD203">
        <v>27.4503</v>
      </c>
      <c r="GE203">
        <v>38.7095</v>
      </c>
      <c r="GF203">
        <v>30.0005</v>
      </c>
      <c r="GG203">
        <v>38.5942</v>
      </c>
      <c r="GH203">
        <v>38.5844</v>
      </c>
      <c r="GI203">
        <v>-1</v>
      </c>
      <c r="GJ203">
        <v>100</v>
      </c>
      <c r="GK203">
        <v>0</v>
      </c>
      <c r="GL203">
        <v>27.4516</v>
      </c>
      <c r="GM203">
        <v>1200</v>
      </c>
      <c r="GN203">
        <v>19.4378</v>
      </c>
      <c r="GO203">
        <v>100.9</v>
      </c>
      <c r="GP203">
        <v>96.1118</v>
      </c>
    </row>
    <row r="204" spans="1:198">
      <c r="A204">
        <v>188</v>
      </c>
      <c r="B204">
        <v>1773207321.6</v>
      </c>
      <c r="C204">
        <v>11221.59999990463</v>
      </c>
      <c r="D204" t="s">
        <v>709</v>
      </c>
      <c r="E204" t="s">
        <v>710</v>
      </c>
      <c r="F204">
        <v>15</v>
      </c>
      <c r="G204">
        <v>1773207313.599999</v>
      </c>
      <c r="H204">
        <f>(I204)/1000</f>
        <v>0</v>
      </c>
      <c r="I204">
        <f>1000*AY204*AG204*(AU204-AV204)/(100*AN204*(1000-AG204*AU204))</f>
        <v>0</v>
      </c>
      <c r="J204">
        <f>AY204*AG204*(AT204-AS204*(1000-AG204*AV204)/(1000-AG204*AU204))/(100*AN204)</f>
        <v>0</v>
      </c>
      <c r="K204">
        <f>AS204 - IF(AG204&gt;1, J204*AN204*100.0/(AI204), 0)</f>
        <v>0</v>
      </c>
      <c r="L204">
        <f>((R204-H204/2)*K204-J204)/(R204+H204/2)</f>
        <v>0</v>
      </c>
      <c r="M204">
        <f>L204*(AZ204+BA204)/1000.0</f>
        <v>0</v>
      </c>
      <c r="N204">
        <f>(AS204 - IF(AG204&gt;1, J204*AN204*100.0/(AI204), 0))*(AZ204+BA204)/1000.0</f>
        <v>0</v>
      </c>
      <c r="O204">
        <f>2.0/((1/Q204-1/P204)+SIGN(Q204)*SQRT((1/Q204-1/P204)*(1/Q204-1/P204) + 4*AO204/((AO204+1)*(AO204+1))*(2*1/Q204*1/P204-1/P204*1/P204)))</f>
        <v>0</v>
      </c>
      <c r="P204">
        <f>IF(LEFT(AP204,1)&lt;&gt;"0",IF(LEFT(AP204,1)="1",3.0,AQ204),$D$5+$E$5*(BG204*AZ204/($K$5*1000))+$F$5*(BG204*AZ204/($K$5*1000))*MAX(MIN(AN204,$J$5),$I$5)*MAX(MIN(AN204,$J$5),$I$5)+$G$5*MAX(MIN(AN204,$J$5),$I$5)*(BG204*AZ204/($K$5*1000))+$H$5*(BG204*AZ204/($K$5*1000))*(BG204*AZ204/($K$5*1000)))</f>
        <v>0</v>
      </c>
      <c r="Q204">
        <f>H204*(1000-(1000*0.61365*exp(17.502*U204/(240.97+U204))/(AZ204+BA204)+AU204)/2)/(1000*0.61365*exp(17.502*U204/(240.97+U204))/(AZ204+BA204)-AU204)</f>
        <v>0</v>
      </c>
      <c r="R204">
        <f>1/((AO204+1)/(O204/1.6)+1/(P204/1.37)) + AO204/((AO204+1)/(O204/1.6) + AO204/(P204/1.37))</f>
        <v>0</v>
      </c>
      <c r="S204">
        <f>(AJ204*AM204)</f>
        <v>0</v>
      </c>
      <c r="T204">
        <f>(BB204+(S204+2*0.95*5.67E-8*(((BB204+$B$7)+273)^4-(BB204+273)^4)-44100*H204)/(1.84*29.3*P204+8*0.95*5.67E-8*(BB204+273)^3))</f>
        <v>0</v>
      </c>
      <c r="U204">
        <f>($C$7*BC204+$D$7*BD204+$E$7*T204)</f>
        <v>0</v>
      </c>
      <c r="V204">
        <f>0.61365*exp(17.502*U204/(240.97+U204))</f>
        <v>0</v>
      </c>
      <c r="W204">
        <f>(X204/Y204*100)</f>
        <v>0</v>
      </c>
      <c r="X204">
        <f>AU204*(AZ204+BA204)/1000</f>
        <v>0</v>
      </c>
      <c r="Y204">
        <f>0.61365*exp(17.502*BB204/(240.97+BB204))</f>
        <v>0</v>
      </c>
      <c r="Z204">
        <f>(V204-AU204*(AZ204+BA204)/1000)</f>
        <v>0</v>
      </c>
      <c r="AA204">
        <f>(-H204*44100)</f>
        <v>0</v>
      </c>
      <c r="AB204">
        <f>2*29.3*P204*0.92*(BB204-U204)</f>
        <v>0</v>
      </c>
      <c r="AC204">
        <f>2*0.95*5.67E-8*(((BB204+$B$7)+273)^4-(U204+273)^4)</f>
        <v>0</v>
      </c>
      <c r="AD204">
        <f>S204+AC204+AA204+AB204</f>
        <v>0</v>
      </c>
      <c r="AE204">
        <v>0</v>
      </c>
      <c r="AF204">
        <v>0</v>
      </c>
      <c r="AG204">
        <f>IF(AE204*$H$13&gt;=AI204,1.0,(AI204/(AI204-AE204*$H$13)))</f>
        <v>0</v>
      </c>
      <c r="AH204">
        <f>(AG204-1)*100</f>
        <v>0</v>
      </c>
      <c r="AI204">
        <f>MAX(0,($B$13+$C$13*BG204)/(1+$D$13*BG204)*AZ204/(BB204+273)*$E$13)</f>
        <v>0</v>
      </c>
      <c r="AJ204">
        <f>$B$11*BH204+$C$11*BI204+$D$11*BT204</f>
        <v>0</v>
      </c>
      <c r="AK204">
        <f>AJ204*AL204</f>
        <v>0</v>
      </c>
      <c r="AL204">
        <f>($B$11*$D$9+$C$11*$D$9+$D$11*(BU204*$E$9+BV204*$G$9))/($B$11+$C$11+$D$11)</f>
        <v>0</v>
      </c>
      <c r="AM204">
        <f>($B$11*$K$9+$C$11*$K$9+$D$11*(BU204*$L$9+BV204*$N$9))/($B$11+$C$11+$D$11)</f>
        <v>0</v>
      </c>
      <c r="AN204">
        <v>3</v>
      </c>
      <c r="AO204">
        <v>0.5</v>
      </c>
      <c r="AP204" t="s">
        <v>331</v>
      </c>
      <c r="AQ204">
        <v>2</v>
      </c>
      <c r="AR204">
        <v>1773207313.599999</v>
      </c>
      <c r="AS204">
        <v>419.0843225806453</v>
      </c>
      <c r="AT204">
        <v>416.6637419354839</v>
      </c>
      <c r="AU204">
        <v>13.87020967741935</v>
      </c>
      <c r="AV204">
        <v>13.7558064516129</v>
      </c>
      <c r="AW204">
        <v>412.8528387096775</v>
      </c>
      <c r="AX204">
        <v>13.78961935483871</v>
      </c>
      <c r="AY204">
        <v>499.9916129032259</v>
      </c>
      <c r="AZ204">
        <v>100.0010032258065</v>
      </c>
      <c r="BA204">
        <v>0.04744416774193549</v>
      </c>
      <c r="BB204">
        <v>30.79181935483871</v>
      </c>
      <c r="BC204">
        <v>31.14647419354839</v>
      </c>
      <c r="BD204">
        <v>999.9000000000003</v>
      </c>
      <c r="BE204">
        <v>0</v>
      </c>
      <c r="BF204">
        <v>0</v>
      </c>
      <c r="BG204">
        <v>4987.322580645161</v>
      </c>
      <c r="BH204">
        <v>1.026017741935484</v>
      </c>
      <c r="BI204">
        <v>2015.391290322581</v>
      </c>
      <c r="BJ204">
        <v>2.420512580645162</v>
      </c>
      <c r="BK204">
        <v>424.9788387096774</v>
      </c>
      <c r="BL204">
        <v>422.4753225806452</v>
      </c>
      <c r="BM204">
        <v>0.1144079032258064</v>
      </c>
      <c r="BN204">
        <v>416.6637419354839</v>
      </c>
      <c r="BO204">
        <v>13.7558064516129</v>
      </c>
      <c r="BP204">
        <v>1.387035483870968</v>
      </c>
      <c r="BQ204">
        <v>1.375594516129032</v>
      </c>
      <c r="BR204">
        <v>11.77663225806452</v>
      </c>
      <c r="BS204">
        <v>11.65123548387096</v>
      </c>
      <c r="BT204">
        <v>0</v>
      </c>
      <c r="BU204">
        <v>0</v>
      </c>
      <c r="BV204">
        <v>0</v>
      </c>
      <c r="BW204">
        <v>35</v>
      </c>
      <c r="BX204">
        <v>62</v>
      </c>
      <c r="BY204">
        <v>1773196010</v>
      </c>
      <c r="BZ204" t="s">
        <v>332</v>
      </c>
      <c r="CA204">
        <v>1773196010</v>
      </c>
      <c r="CB204">
        <v>1773196005.5</v>
      </c>
      <c r="CC204">
        <v>2</v>
      </c>
      <c r="CD204">
        <v>-0.279</v>
      </c>
      <c r="CE204">
        <v>-0.021</v>
      </c>
      <c r="CF204">
        <v>6.231</v>
      </c>
      <c r="CG204">
        <v>0.081</v>
      </c>
      <c r="CH204">
        <v>432</v>
      </c>
      <c r="CI204">
        <v>21</v>
      </c>
      <c r="CJ204">
        <v>0.03</v>
      </c>
      <c r="CK204">
        <v>0.06</v>
      </c>
      <c r="CL204">
        <v>416.6735333333334</v>
      </c>
      <c r="CM204">
        <v>-0.8314304783083111</v>
      </c>
      <c r="CN204">
        <v>0.06280060155408845</v>
      </c>
      <c r="CO204">
        <v>-1</v>
      </c>
      <c r="CP204">
        <v>499.9886</v>
      </c>
      <c r="CQ204">
        <v>-0.6495750834259459</v>
      </c>
      <c r="CR204">
        <v>0.06395394176019771</v>
      </c>
      <c r="CS204">
        <v>-1</v>
      </c>
      <c r="CT204">
        <v>0</v>
      </c>
      <c r="CU204">
        <v>0</v>
      </c>
      <c r="CV204" t="s">
        <v>333</v>
      </c>
      <c r="CW204">
        <v>3.17161</v>
      </c>
      <c r="CX204">
        <v>2.66758</v>
      </c>
      <c r="CY204">
        <v>0.0981041</v>
      </c>
      <c r="CZ204">
        <v>0.09883</v>
      </c>
      <c r="DA204">
        <v>0.0744948</v>
      </c>
      <c r="DB204">
        <v>0.0740545</v>
      </c>
      <c r="DC204">
        <v>21307.6</v>
      </c>
      <c r="DD204">
        <v>21899.5</v>
      </c>
      <c r="DE204">
        <v>22782.1</v>
      </c>
      <c r="DF204">
        <v>22251.9</v>
      </c>
      <c r="DG204">
        <v>31892.3</v>
      </c>
      <c r="DH204">
        <v>29022.6</v>
      </c>
      <c r="DI204">
        <v>40106.4</v>
      </c>
      <c r="DJ204">
        <v>36802.2</v>
      </c>
      <c r="DK204">
        <v>2.01808</v>
      </c>
      <c r="DL204">
        <v>1.4821</v>
      </c>
      <c r="DM204">
        <v>-0.105453</v>
      </c>
      <c r="DN204">
        <v>0</v>
      </c>
      <c r="DO204">
        <v>32.836</v>
      </c>
      <c r="DP204">
        <v>999.9</v>
      </c>
      <c r="DQ204">
        <v>22.8</v>
      </c>
      <c r="DR204">
        <v>46.4</v>
      </c>
      <c r="DS204">
        <v>23.6134</v>
      </c>
      <c r="DT204">
        <v>29.9792</v>
      </c>
      <c r="DU204">
        <v>14.3309</v>
      </c>
      <c r="DV204">
        <v>1</v>
      </c>
      <c r="DW204">
        <v>0.961301</v>
      </c>
      <c r="DX204">
        <v>4.32062</v>
      </c>
      <c r="DY204">
        <v>20.2972</v>
      </c>
      <c r="DZ204">
        <v>5.20531</v>
      </c>
      <c r="EA204">
        <v>11.8594</v>
      </c>
      <c r="EB204">
        <v>4.96772</v>
      </c>
      <c r="EC204">
        <v>3.29294</v>
      </c>
      <c r="ED204">
        <v>879.4</v>
      </c>
      <c r="EE204">
        <v>9999</v>
      </c>
      <c r="EF204">
        <v>9999</v>
      </c>
      <c r="EG204">
        <v>79.09999999999999</v>
      </c>
      <c r="EH204">
        <v>4.97156</v>
      </c>
      <c r="EI204">
        <v>1.8721</v>
      </c>
      <c r="EJ204">
        <v>1.86949</v>
      </c>
      <c r="EK204">
        <v>1.8718</v>
      </c>
      <c r="EL204">
        <v>1.86956</v>
      </c>
      <c r="EM204">
        <v>1.86837</v>
      </c>
      <c r="EN204">
        <v>1.87014</v>
      </c>
      <c r="EO204">
        <v>1.87195</v>
      </c>
      <c r="EP204">
        <v>0</v>
      </c>
      <c r="EQ204">
        <v>0</v>
      </c>
      <c r="ER204">
        <v>0</v>
      </c>
      <c r="ES204">
        <v>0</v>
      </c>
      <c r="ET204" t="s">
        <v>334</v>
      </c>
      <c r="EU204" t="s">
        <v>335</v>
      </c>
      <c r="EV204" t="s">
        <v>336</v>
      </c>
      <c r="EW204" t="s">
        <v>336</v>
      </c>
      <c r="EX204" t="s">
        <v>336</v>
      </c>
      <c r="EY204" t="s">
        <v>336</v>
      </c>
      <c r="EZ204">
        <v>0</v>
      </c>
      <c r="FA204">
        <v>100</v>
      </c>
      <c r="FB204">
        <v>100</v>
      </c>
      <c r="FC204">
        <v>6.231</v>
      </c>
      <c r="FD204">
        <v>0.0806</v>
      </c>
      <c r="FE204">
        <v>6.23135000000002</v>
      </c>
      <c r="FF204">
        <v>0</v>
      </c>
      <c r="FG204">
        <v>0</v>
      </c>
      <c r="FH204">
        <v>0</v>
      </c>
      <c r="FI204">
        <v>0.08059047619047632</v>
      </c>
      <c r="FJ204">
        <v>0</v>
      </c>
      <c r="FK204">
        <v>0</v>
      </c>
      <c r="FL204">
        <v>0</v>
      </c>
      <c r="FM204">
        <v>-1</v>
      </c>
      <c r="FN204">
        <v>-1</v>
      </c>
      <c r="FO204">
        <v>-1</v>
      </c>
      <c r="FP204">
        <v>-1</v>
      </c>
      <c r="FQ204">
        <v>188.5</v>
      </c>
      <c r="FR204">
        <v>188.6</v>
      </c>
      <c r="FS204">
        <v>0.140381</v>
      </c>
      <c r="FT204">
        <v>4.99634</v>
      </c>
      <c r="FU204">
        <v>1.5979</v>
      </c>
      <c r="FV204">
        <v>2.10938</v>
      </c>
      <c r="FW204">
        <v>1.54785</v>
      </c>
      <c r="FX204">
        <v>2.47437</v>
      </c>
      <c r="FY204">
        <v>48.209</v>
      </c>
      <c r="FZ204">
        <v>14.9026</v>
      </c>
      <c r="GA204">
        <v>3</v>
      </c>
      <c r="GB204">
        <v>520.917</v>
      </c>
      <c r="GC204">
        <v>285.387</v>
      </c>
      <c r="GD204">
        <v>27.2462</v>
      </c>
      <c r="GE204">
        <v>38.7433</v>
      </c>
      <c r="GF204">
        <v>29.9993</v>
      </c>
      <c r="GG204">
        <v>38.6226</v>
      </c>
      <c r="GH204">
        <v>38.6084</v>
      </c>
      <c r="GI204">
        <v>-1</v>
      </c>
      <c r="GJ204">
        <v>100</v>
      </c>
      <c r="GK204">
        <v>0</v>
      </c>
      <c r="GL204">
        <v>27.2563</v>
      </c>
      <c r="GM204">
        <v>1200</v>
      </c>
      <c r="GN204">
        <v>19.4378</v>
      </c>
      <c r="GO204">
        <v>100.892</v>
      </c>
      <c r="GP204">
        <v>96.10420000000001</v>
      </c>
    </row>
    <row r="205" spans="1:198">
      <c r="A205">
        <v>189</v>
      </c>
      <c r="B205">
        <v>1773207381.6</v>
      </c>
      <c r="C205">
        <v>11281.59999990463</v>
      </c>
      <c r="D205" t="s">
        <v>711</v>
      </c>
      <c r="E205" t="s">
        <v>712</v>
      </c>
      <c r="F205">
        <v>15</v>
      </c>
      <c r="G205">
        <v>1773207373.599999</v>
      </c>
      <c r="H205">
        <f>(I205)/1000</f>
        <v>0</v>
      </c>
      <c r="I205">
        <f>1000*AY205*AG205*(AU205-AV205)/(100*AN205*(1000-AG205*AU205))</f>
        <v>0</v>
      </c>
      <c r="J205">
        <f>AY205*AG205*(AT205-AS205*(1000-AG205*AV205)/(1000-AG205*AU205))/(100*AN205)</f>
        <v>0</v>
      </c>
      <c r="K205">
        <f>AS205 - IF(AG205&gt;1, J205*AN205*100.0/(AI205), 0)</f>
        <v>0</v>
      </c>
      <c r="L205">
        <f>((R205-H205/2)*K205-J205)/(R205+H205/2)</f>
        <v>0</v>
      </c>
      <c r="M205">
        <f>L205*(AZ205+BA205)/1000.0</f>
        <v>0</v>
      </c>
      <c r="N205">
        <f>(AS205 - IF(AG205&gt;1, J205*AN205*100.0/(AI205), 0))*(AZ205+BA205)/1000.0</f>
        <v>0</v>
      </c>
      <c r="O205">
        <f>2.0/((1/Q205-1/P205)+SIGN(Q205)*SQRT((1/Q205-1/P205)*(1/Q205-1/P205) + 4*AO205/((AO205+1)*(AO205+1))*(2*1/Q205*1/P205-1/P205*1/P205)))</f>
        <v>0</v>
      </c>
      <c r="P205">
        <f>IF(LEFT(AP205,1)&lt;&gt;"0",IF(LEFT(AP205,1)="1",3.0,AQ205),$D$5+$E$5*(BG205*AZ205/($K$5*1000))+$F$5*(BG205*AZ205/($K$5*1000))*MAX(MIN(AN205,$J$5),$I$5)*MAX(MIN(AN205,$J$5),$I$5)+$G$5*MAX(MIN(AN205,$J$5),$I$5)*(BG205*AZ205/($K$5*1000))+$H$5*(BG205*AZ205/($K$5*1000))*(BG205*AZ205/($K$5*1000)))</f>
        <v>0</v>
      </c>
      <c r="Q205">
        <f>H205*(1000-(1000*0.61365*exp(17.502*U205/(240.97+U205))/(AZ205+BA205)+AU205)/2)/(1000*0.61365*exp(17.502*U205/(240.97+U205))/(AZ205+BA205)-AU205)</f>
        <v>0</v>
      </c>
      <c r="R205">
        <f>1/((AO205+1)/(O205/1.6)+1/(P205/1.37)) + AO205/((AO205+1)/(O205/1.6) + AO205/(P205/1.37))</f>
        <v>0</v>
      </c>
      <c r="S205">
        <f>(AJ205*AM205)</f>
        <v>0</v>
      </c>
      <c r="T205">
        <f>(BB205+(S205+2*0.95*5.67E-8*(((BB205+$B$7)+273)^4-(BB205+273)^4)-44100*H205)/(1.84*29.3*P205+8*0.95*5.67E-8*(BB205+273)^3))</f>
        <v>0</v>
      </c>
      <c r="U205">
        <f>($C$7*BC205+$D$7*BD205+$E$7*T205)</f>
        <v>0</v>
      </c>
      <c r="V205">
        <f>0.61365*exp(17.502*U205/(240.97+U205))</f>
        <v>0</v>
      </c>
      <c r="W205">
        <f>(X205/Y205*100)</f>
        <v>0</v>
      </c>
      <c r="X205">
        <f>AU205*(AZ205+BA205)/1000</f>
        <v>0</v>
      </c>
      <c r="Y205">
        <f>0.61365*exp(17.502*BB205/(240.97+BB205))</f>
        <v>0</v>
      </c>
      <c r="Z205">
        <f>(V205-AU205*(AZ205+BA205)/1000)</f>
        <v>0</v>
      </c>
      <c r="AA205">
        <f>(-H205*44100)</f>
        <v>0</v>
      </c>
      <c r="AB205">
        <f>2*29.3*P205*0.92*(BB205-U205)</f>
        <v>0</v>
      </c>
      <c r="AC205">
        <f>2*0.95*5.67E-8*(((BB205+$B$7)+273)^4-(U205+273)^4)</f>
        <v>0</v>
      </c>
      <c r="AD205">
        <f>S205+AC205+AA205+AB205</f>
        <v>0</v>
      </c>
      <c r="AE205">
        <v>0</v>
      </c>
      <c r="AF205">
        <v>0</v>
      </c>
      <c r="AG205">
        <f>IF(AE205*$H$13&gt;=AI205,1.0,(AI205/(AI205-AE205*$H$13)))</f>
        <v>0</v>
      </c>
      <c r="AH205">
        <f>(AG205-1)*100</f>
        <v>0</v>
      </c>
      <c r="AI205">
        <f>MAX(0,($B$13+$C$13*BG205)/(1+$D$13*BG205)*AZ205/(BB205+273)*$E$13)</f>
        <v>0</v>
      </c>
      <c r="AJ205">
        <f>$B$11*BH205+$C$11*BI205+$D$11*BT205</f>
        <v>0</v>
      </c>
      <c r="AK205">
        <f>AJ205*AL205</f>
        <v>0</v>
      </c>
      <c r="AL205">
        <f>($B$11*$D$9+$C$11*$D$9+$D$11*(BU205*$E$9+BV205*$G$9))/($B$11+$C$11+$D$11)</f>
        <v>0</v>
      </c>
      <c r="AM205">
        <f>($B$11*$K$9+$C$11*$K$9+$D$11*(BU205*$L$9+BV205*$N$9))/($B$11+$C$11+$D$11)</f>
        <v>0</v>
      </c>
      <c r="AN205">
        <v>3</v>
      </c>
      <c r="AO205">
        <v>0.5</v>
      </c>
      <c r="AP205" t="s">
        <v>331</v>
      </c>
      <c r="AQ205">
        <v>2</v>
      </c>
      <c r="AR205">
        <v>1773207373.599999</v>
      </c>
      <c r="AS205">
        <v>418.7719032258065</v>
      </c>
      <c r="AT205">
        <v>416.386</v>
      </c>
      <c r="AU205">
        <v>13.69752580645162</v>
      </c>
      <c r="AV205">
        <v>13.57390322580645</v>
      </c>
      <c r="AW205">
        <v>412.5405161290323</v>
      </c>
      <c r="AX205">
        <v>13.61693548387097</v>
      </c>
      <c r="AY205">
        <v>499.9986774193549</v>
      </c>
      <c r="AZ205">
        <v>100.0040322580645</v>
      </c>
      <c r="BA205">
        <v>0.04497568387096774</v>
      </c>
      <c r="BB205">
        <v>30.74425806451613</v>
      </c>
      <c r="BC205">
        <v>31.07903225806452</v>
      </c>
      <c r="BD205">
        <v>999.9000000000003</v>
      </c>
      <c r="BE205">
        <v>0</v>
      </c>
      <c r="BF205">
        <v>0</v>
      </c>
      <c r="BG205">
        <v>4996.548387096775</v>
      </c>
      <c r="BH205">
        <v>1.043433612903226</v>
      </c>
      <c r="BI205">
        <v>2013.571612903226</v>
      </c>
      <c r="BJ205">
        <v>2.385800645161291</v>
      </c>
      <c r="BK205">
        <v>424.5876774193549</v>
      </c>
      <c r="BL205">
        <v>422.1157741935484</v>
      </c>
      <c r="BM205">
        <v>0.1236227419354839</v>
      </c>
      <c r="BN205">
        <v>416.386</v>
      </c>
      <c r="BO205">
        <v>13.57390322580645</v>
      </c>
      <c r="BP205">
        <v>1.369808709677419</v>
      </c>
      <c r="BQ205">
        <v>1.357445483870968</v>
      </c>
      <c r="BR205">
        <v>11.58747096774194</v>
      </c>
      <c r="BS205">
        <v>11.45041935483871</v>
      </c>
      <c r="BT205">
        <v>0</v>
      </c>
      <c r="BU205">
        <v>0</v>
      </c>
      <c r="BV205">
        <v>0</v>
      </c>
      <c r="BW205">
        <v>35</v>
      </c>
      <c r="BX205">
        <v>62</v>
      </c>
      <c r="BY205">
        <v>1773196010</v>
      </c>
      <c r="BZ205" t="s">
        <v>332</v>
      </c>
      <c r="CA205">
        <v>1773196010</v>
      </c>
      <c r="CB205">
        <v>1773196005.5</v>
      </c>
      <c r="CC205">
        <v>2</v>
      </c>
      <c r="CD205">
        <v>-0.279</v>
      </c>
      <c r="CE205">
        <v>-0.021</v>
      </c>
      <c r="CF205">
        <v>6.231</v>
      </c>
      <c r="CG205">
        <v>0.081</v>
      </c>
      <c r="CH205">
        <v>432</v>
      </c>
      <c r="CI205">
        <v>21</v>
      </c>
      <c r="CJ205">
        <v>0.03</v>
      </c>
      <c r="CK205">
        <v>0.06</v>
      </c>
      <c r="CL205">
        <v>416.3903870967741</v>
      </c>
      <c r="CM205">
        <v>-0.439741935485007</v>
      </c>
      <c r="CN205">
        <v>0.03401487095977273</v>
      </c>
      <c r="CO205">
        <v>-1</v>
      </c>
      <c r="CP205">
        <v>499.9998064516129</v>
      </c>
      <c r="CQ205">
        <v>-0.1534838709682817</v>
      </c>
      <c r="CR205">
        <v>0.03827525045099969</v>
      </c>
      <c r="CS205">
        <v>-1</v>
      </c>
      <c r="CT205">
        <v>0</v>
      </c>
      <c r="CU205">
        <v>0</v>
      </c>
      <c r="CV205" t="s">
        <v>333</v>
      </c>
      <c r="CW205">
        <v>3.17163</v>
      </c>
      <c r="CX205">
        <v>2.66629</v>
      </c>
      <c r="CY205">
        <v>0.0980594</v>
      </c>
      <c r="CZ205">
        <v>0.0987927</v>
      </c>
      <c r="DA205">
        <v>0.0738188</v>
      </c>
      <c r="DB205">
        <v>0.073403</v>
      </c>
      <c r="DC205">
        <v>21308.9</v>
      </c>
      <c r="DD205">
        <v>21901</v>
      </c>
      <c r="DE205">
        <v>22782.3</v>
      </c>
      <c r="DF205">
        <v>22252.4</v>
      </c>
      <c r="DG205">
        <v>31916</v>
      </c>
      <c r="DH205">
        <v>29043.8</v>
      </c>
      <c r="DI205">
        <v>40107.1</v>
      </c>
      <c r="DJ205">
        <v>36803.4</v>
      </c>
      <c r="DK205">
        <v>2.01844</v>
      </c>
      <c r="DL205">
        <v>1.4828</v>
      </c>
      <c r="DM205">
        <v>-0.0973701</v>
      </c>
      <c r="DN205">
        <v>0</v>
      </c>
      <c r="DO205">
        <v>32.6599</v>
      </c>
      <c r="DP205">
        <v>999.9</v>
      </c>
      <c r="DQ205">
        <v>22.9</v>
      </c>
      <c r="DR205">
        <v>46.4</v>
      </c>
      <c r="DS205">
        <v>23.7171</v>
      </c>
      <c r="DT205">
        <v>30.0992</v>
      </c>
      <c r="DU205">
        <v>14.403</v>
      </c>
      <c r="DV205">
        <v>1</v>
      </c>
      <c r="DW205">
        <v>0.956199</v>
      </c>
      <c r="DX205">
        <v>3.83028</v>
      </c>
      <c r="DY205">
        <v>20.3114</v>
      </c>
      <c r="DZ205">
        <v>5.21094</v>
      </c>
      <c r="EA205">
        <v>11.8588</v>
      </c>
      <c r="EB205">
        <v>4.96692</v>
      </c>
      <c r="EC205">
        <v>3.29296</v>
      </c>
      <c r="ED205">
        <v>879.4</v>
      </c>
      <c r="EE205">
        <v>9999</v>
      </c>
      <c r="EF205">
        <v>9999</v>
      </c>
      <c r="EG205">
        <v>79.2</v>
      </c>
      <c r="EH205">
        <v>4.97155</v>
      </c>
      <c r="EI205">
        <v>1.8721</v>
      </c>
      <c r="EJ205">
        <v>1.86951</v>
      </c>
      <c r="EK205">
        <v>1.8718</v>
      </c>
      <c r="EL205">
        <v>1.86962</v>
      </c>
      <c r="EM205">
        <v>1.86836</v>
      </c>
      <c r="EN205">
        <v>1.87016</v>
      </c>
      <c r="EO205">
        <v>1.87194</v>
      </c>
      <c r="EP205">
        <v>0</v>
      </c>
      <c r="EQ205">
        <v>0</v>
      </c>
      <c r="ER205">
        <v>0</v>
      </c>
      <c r="ES205">
        <v>0</v>
      </c>
      <c r="ET205" t="s">
        <v>334</v>
      </c>
      <c r="EU205" t="s">
        <v>335</v>
      </c>
      <c r="EV205" t="s">
        <v>336</v>
      </c>
      <c r="EW205" t="s">
        <v>336</v>
      </c>
      <c r="EX205" t="s">
        <v>336</v>
      </c>
      <c r="EY205" t="s">
        <v>336</v>
      </c>
      <c r="EZ205">
        <v>0</v>
      </c>
      <c r="FA205">
        <v>100</v>
      </c>
      <c r="FB205">
        <v>100</v>
      </c>
      <c r="FC205">
        <v>6.232</v>
      </c>
      <c r="FD205">
        <v>0.0806</v>
      </c>
      <c r="FE205">
        <v>6.23135000000002</v>
      </c>
      <c r="FF205">
        <v>0</v>
      </c>
      <c r="FG205">
        <v>0</v>
      </c>
      <c r="FH205">
        <v>0</v>
      </c>
      <c r="FI205">
        <v>0.08059047619047632</v>
      </c>
      <c r="FJ205">
        <v>0</v>
      </c>
      <c r="FK205">
        <v>0</v>
      </c>
      <c r="FL205">
        <v>0</v>
      </c>
      <c r="FM205">
        <v>-1</v>
      </c>
      <c r="FN205">
        <v>-1</v>
      </c>
      <c r="FO205">
        <v>-1</v>
      </c>
      <c r="FP205">
        <v>-1</v>
      </c>
      <c r="FQ205">
        <v>189.5</v>
      </c>
      <c r="FR205">
        <v>189.6</v>
      </c>
      <c r="FS205">
        <v>0.140381</v>
      </c>
      <c r="FT205">
        <v>4.99634</v>
      </c>
      <c r="FU205">
        <v>1.5979</v>
      </c>
      <c r="FV205">
        <v>2.10815</v>
      </c>
      <c r="FW205">
        <v>1.54785</v>
      </c>
      <c r="FX205">
        <v>2.4707</v>
      </c>
      <c r="FY205">
        <v>48.1479</v>
      </c>
      <c r="FZ205">
        <v>14.9026</v>
      </c>
      <c r="GA205">
        <v>3</v>
      </c>
      <c r="GB205">
        <v>521.066</v>
      </c>
      <c r="GC205">
        <v>285.657</v>
      </c>
      <c r="GD205">
        <v>27.6348</v>
      </c>
      <c r="GE205">
        <v>38.7209</v>
      </c>
      <c r="GF205">
        <v>29.9997</v>
      </c>
      <c r="GG205">
        <v>38.6114</v>
      </c>
      <c r="GH205">
        <v>38.5936</v>
      </c>
      <c r="GI205">
        <v>-1</v>
      </c>
      <c r="GJ205">
        <v>100</v>
      </c>
      <c r="GK205">
        <v>0</v>
      </c>
      <c r="GL205">
        <v>27.6476</v>
      </c>
      <c r="GM205">
        <v>1200</v>
      </c>
      <c r="GN205">
        <v>19.4378</v>
      </c>
      <c r="GO205">
        <v>100.894</v>
      </c>
      <c r="GP205">
        <v>96.1069</v>
      </c>
    </row>
    <row r="206" spans="1:198">
      <c r="A206">
        <v>190</v>
      </c>
      <c r="B206">
        <v>1773207441.6</v>
      </c>
      <c r="C206">
        <v>11341.59999990463</v>
      </c>
      <c r="D206" t="s">
        <v>713</v>
      </c>
      <c r="E206" t="s">
        <v>714</v>
      </c>
      <c r="F206">
        <v>15</v>
      </c>
      <c r="G206">
        <v>1773207433.599999</v>
      </c>
      <c r="H206">
        <f>(I206)/1000</f>
        <v>0</v>
      </c>
      <c r="I206">
        <f>1000*AY206*AG206*(AU206-AV206)/(100*AN206*(1000-AG206*AU206))</f>
        <v>0</v>
      </c>
      <c r="J206">
        <f>AY206*AG206*(AT206-AS206*(1000-AG206*AV206)/(1000-AG206*AU206))/(100*AN206)</f>
        <v>0</v>
      </c>
      <c r="K206">
        <f>AS206 - IF(AG206&gt;1, J206*AN206*100.0/(AI206), 0)</f>
        <v>0</v>
      </c>
      <c r="L206">
        <f>((R206-H206/2)*K206-J206)/(R206+H206/2)</f>
        <v>0</v>
      </c>
      <c r="M206">
        <f>L206*(AZ206+BA206)/1000.0</f>
        <v>0</v>
      </c>
      <c r="N206">
        <f>(AS206 - IF(AG206&gt;1, J206*AN206*100.0/(AI206), 0))*(AZ206+BA206)/1000.0</f>
        <v>0</v>
      </c>
      <c r="O206">
        <f>2.0/((1/Q206-1/P206)+SIGN(Q206)*SQRT((1/Q206-1/P206)*(1/Q206-1/P206) + 4*AO206/((AO206+1)*(AO206+1))*(2*1/Q206*1/P206-1/P206*1/P206)))</f>
        <v>0</v>
      </c>
      <c r="P206">
        <f>IF(LEFT(AP206,1)&lt;&gt;"0",IF(LEFT(AP206,1)="1",3.0,AQ206),$D$5+$E$5*(BG206*AZ206/($K$5*1000))+$F$5*(BG206*AZ206/($K$5*1000))*MAX(MIN(AN206,$J$5),$I$5)*MAX(MIN(AN206,$J$5),$I$5)+$G$5*MAX(MIN(AN206,$J$5),$I$5)*(BG206*AZ206/($K$5*1000))+$H$5*(BG206*AZ206/($K$5*1000))*(BG206*AZ206/($K$5*1000)))</f>
        <v>0</v>
      </c>
      <c r="Q206">
        <f>H206*(1000-(1000*0.61365*exp(17.502*U206/(240.97+U206))/(AZ206+BA206)+AU206)/2)/(1000*0.61365*exp(17.502*U206/(240.97+U206))/(AZ206+BA206)-AU206)</f>
        <v>0</v>
      </c>
      <c r="R206">
        <f>1/((AO206+1)/(O206/1.6)+1/(P206/1.37)) + AO206/((AO206+1)/(O206/1.6) + AO206/(P206/1.37))</f>
        <v>0</v>
      </c>
      <c r="S206">
        <f>(AJ206*AM206)</f>
        <v>0</v>
      </c>
      <c r="T206">
        <f>(BB206+(S206+2*0.95*5.67E-8*(((BB206+$B$7)+273)^4-(BB206+273)^4)-44100*H206)/(1.84*29.3*P206+8*0.95*5.67E-8*(BB206+273)^3))</f>
        <v>0</v>
      </c>
      <c r="U206">
        <f>($C$7*BC206+$D$7*BD206+$E$7*T206)</f>
        <v>0</v>
      </c>
      <c r="V206">
        <f>0.61365*exp(17.502*U206/(240.97+U206))</f>
        <v>0</v>
      </c>
      <c r="W206">
        <f>(X206/Y206*100)</f>
        <v>0</v>
      </c>
      <c r="X206">
        <f>AU206*(AZ206+BA206)/1000</f>
        <v>0</v>
      </c>
      <c r="Y206">
        <f>0.61365*exp(17.502*BB206/(240.97+BB206))</f>
        <v>0</v>
      </c>
      <c r="Z206">
        <f>(V206-AU206*(AZ206+BA206)/1000)</f>
        <v>0</v>
      </c>
      <c r="AA206">
        <f>(-H206*44100)</f>
        <v>0</v>
      </c>
      <c r="AB206">
        <f>2*29.3*P206*0.92*(BB206-U206)</f>
        <v>0</v>
      </c>
      <c r="AC206">
        <f>2*0.95*5.67E-8*(((BB206+$B$7)+273)^4-(U206+273)^4)</f>
        <v>0</v>
      </c>
      <c r="AD206">
        <f>S206+AC206+AA206+AB206</f>
        <v>0</v>
      </c>
      <c r="AE206">
        <v>0</v>
      </c>
      <c r="AF206">
        <v>0</v>
      </c>
      <c r="AG206">
        <f>IF(AE206*$H$13&gt;=AI206,1.0,(AI206/(AI206-AE206*$H$13)))</f>
        <v>0</v>
      </c>
      <c r="AH206">
        <f>(AG206-1)*100</f>
        <v>0</v>
      </c>
      <c r="AI206">
        <f>MAX(0,($B$13+$C$13*BG206)/(1+$D$13*BG206)*AZ206/(BB206+273)*$E$13)</f>
        <v>0</v>
      </c>
      <c r="AJ206">
        <f>$B$11*BH206+$C$11*BI206+$D$11*BT206</f>
        <v>0</v>
      </c>
      <c r="AK206">
        <f>AJ206*AL206</f>
        <v>0</v>
      </c>
      <c r="AL206">
        <f>($B$11*$D$9+$C$11*$D$9+$D$11*(BU206*$E$9+BV206*$G$9))/($B$11+$C$11+$D$11)</f>
        <v>0</v>
      </c>
      <c r="AM206">
        <f>($B$11*$K$9+$C$11*$K$9+$D$11*(BU206*$L$9+BV206*$N$9))/($B$11+$C$11+$D$11)</f>
        <v>0</v>
      </c>
      <c r="AN206">
        <v>3</v>
      </c>
      <c r="AO206">
        <v>0.5</v>
      </c>
      <c r="AP206" t="s">
        <v>331</v>
      </c>
      <c r="AQ206">
        <v>2</v>
      </c>
      <c r="AR206">
        <v>1773207433.599999</v>
      </c>
      <c r="AS206">
        <v>418.831806451613</v>
      </c>
      <c r="AT206">
        <v>416.4911612903226</v>
      </c>
      <c r="AU206">
        <v>13.68959677419355</v>
      </c>
      <c r="AV206">
        <v>13.59145483870968</v>
      </c>
      <c r="AW206">
        <v>412.6003870967742</v>
      </c>
      <c r="AX206">
        <v>13.60900322580645</v>
      </c>
      <c r="AY206">
        <v>500.0220322580645</v>
      </c>
      <c r="AZ206">
        <v>100.0014903225807</v>
      </c>
      <c r="BA206">
        <v>0.04660631612903226</v>
      </c>
      <c r="BB206">
        <v>30.81383548387097</v>
      </c>
      <c r="BC206">
        <v>31.1737064516129</v>
      </c>
      <c r="BD206">
        <v>999.9000000000003</v>
      </c>
      <c r="BE206">
        <v>0</v>
      </c>
      <c r="BF206">
        <v>0</v>
      </c>
      <c r="BG206">
        <v>5006.258064516129</v>
      </c>
      <c r="BH206">
        <v>1.033936806451613</v>
      </c>
      <c r="BI206">
        <v>2025.693548387097</v>
      </c>
      <c r="BJ206">
        <v>2.340541612903226</v>
      </c>
      <c r="BK206">
        <v>424.6449677419355</v>
      </c>
      <c r="BL206">
        <v>422.2299677419354</v>
      </c>
      <c r="BM206">
        <v>0.09813671935483871</v>
      </c>
      <c r="BN206">
        <v>416.4911612903226</v>
      </c>
      <c r="BO206">
        <v>13.59145483870968</v>
      </c>
      <c r="BP206">
        <v>1.368980322580645</v>
      </c>
      <c r="BQ206">
        <v>1.359166129032259</v>
      </c>
      <c r="BR206">
        <v>11.57832903225806</v>
      </c>
      <c r="BS206">
        <v>11.46956774193548</v>
      </c>
      <c r="BT206">
        <v>0</v>
      </c>
      <c r="BU206">
        <v>0</v>
      </c>
      <c r="BV206">
        <v>0</v>
      </c>
      <c r="BW206">
        <v>35</v>
      </c>
      <c r="BX206">
        <v>62.7559129032258</v>
      </c>
      <c r="BY206">
        <v>1773196010</v>
      </c>
      <c r="BZ206" t="s">
        <v>332</v>
      </c>
      <c r="CA206">
        <v>1773196010</v>
      </c>
      <c r="CB206">
        <v>1773196005.5</v>
      </c>
      <c r="CC206">
        <v>2</v>
      </c>
      <c r="CD206">
        <v>-0.279</v>
      </c>
      <c r="CE206">
        <v>-0.021</v>
      </c>
      <c r="CF206">
        <v>6.231</v>
      </c>
      <c r="CG206">
        <v>0.081</v>
      </c>
      <c r="CH206">
        <v>432</v>
      </c>
      <c r="CI206">
        <v>21</v>
      </c>
      <c r="CJ206">
        <v>0.03</v>
      </c>
      <c r="CK206">
        <v>0.06</v>
      </c>
      <c r="CL206">
        <v>416.4892258064516</v>
      </c>
      <c r="CM206">
        <v>0.4774354838700351</v>
      </c>
      <c r="CN206">
        <v>0.05274999445186904</v>
      </c>
      <c r="CO206">
        <v>-1</v>
      </c>
      <c r="CP206">
        <v>500.0243225806451</v>
      </c>
      <c r="CQ206">
        <v>-0.3338709677423998</v>
      </c>
      <c r="CR206">
        <v>0.0482823597632554</v>
      </c>
      <c r="CS206">
        <v>-1</v>
      </c>
      <c r="CT206">
        <v>0</v>
      </c>
      <c r="CU206">
        <v>0</v>
      </c>
      <c r="CV206" t="s">
        <v>333</v>
      </c>
      <c r="CW206">
        <v>3.17159</v>
      </c>
      <c r="CX206">
        <v>2.6682</v>
      </c>
      <c r="CY206">
        <v>0.09807920000000001</v>
      </c>
      <c r="CZ206">
        <v>0.0988376</v>
      </c>
      <c r="DA206">
        <v>0.07386139999999999</v>
      </c>
      <c r="DB206">
        <v>0.07352309999999999</v>
      </c>
      <c r="DC206">
        <v>21307.7</v>
      </c>
      <c r="DD206">
        <v>21899.4</v>
      </c>
      <c r="DE206">
        <v>22781.5</v>
      </c>
      <c r="DF206">
        <v>22251.8</v>
      </c>
      <c r="DG206">
        <v>31913.4</v>
      </c>
      <c r="DH206">
        <v>29039.1</v>
      </c>
      <c r="DI206">
        <v>40105.7</v>
      </c>
      <c r="DJ206">
        <v>36802.1</v>
      </c>
      <c r="DK206">
        <v>2.01792</v>
      </c>
      <c r="DL206">
        <v>1.48214</v>
      </c>
      <c r="DM206">
        <v>-0.09626750000000001</v>
      </c>
      <c r="DN206">
        <v>0</v>
      </c>
      <c r="DO206">
        <v>32.7333</v>
      </c>
      <c r="DP206">
        <v>999.9</v>
      </c>
      <c r="DQ206">
        <v>23</v>
      </c>
      <c r="DR206">
        <v>46.4</v>
      </c>
      <c r="DS206">
        <v>23.8168</v>
      </c>
      <c r="DT206">
        <v>29.9492</v>
      </c>
      <c r="DU206">
        <v>14.0505</v>
      </c>
      <c r="DV206">
        <v>1</v>
      </c>
      <c r="DW206">
        <v>0.960376</v>
      </c>
      <c r="DX206">
        <v>4.31281</v>
      </c>
      <c r="DY206">
        <v>20.2969</v>
      </c>
      <c r="DZ206">
        <v>5.21046</v>
      </c>
      <c r="EA206">
        <v>11.8568</v>
      </c>
      <c r="EB206">
        <v>4.96744</v>
      </c>
      <c r="EC206">
        <v>3.293</v>
      </c>
      <c r="ED206">
        <v>879.4</v>
      </c>
      <c r="EE206">
        <v>9999</v>
      </c>
      <c r="EF206">
        <v>9999</v>
      </c>
      <c r="EG206">
        <v>79.2</v>
      </c>
      <c r="EH206">
        <v>4.97157</v>
      </c>
      <c r="EI206">
        <v>1.8721</v>
      </c>
      <c r="EJ206">
        <v>1.86951</v>
      </c>
      <c r="EK206">
        <v>1.8718</v>
      </c>
      <c r="EL206">
        <v>1.86962</v>
      </c>
      <c r="EM206">
        <v>1.86841</v>
      </c>
      <c r="EN206">
        <v>1.87017</v>
      </c>
      <c r="EO206">
        <v>1.87195</v>
      </c>
      <c r="EP206">
        <v>0</v>
      </c>
      <c r="EQ206">
        <v>0</v>
      </c>
      <c r="ER206">
        <v>0</v>
      </c>
      <c r="ES206">
        <v>0</v>
      </c>
      <c r="ET206" t="s">
        <v>334</v>
      </c>
      <c r="EU206" t="s">
        <v>335</v>
      </c>
      <c r="EV206" t="s">
        <v>336</v>
      </c>
      <c r="EW206" t="s">
        <v>336</v>
      </c>
      <c r="EX206" t="s">
        <v>336</v>
      </c>
      <c r="EY206" t="s">
        <v>336</v>
      </c>
      <c r="EZ206">
        <v>0</v>
      </c>
      <c r="FA206">
        <v>100</v>
      </c>
      <c r="FB206">
        <v>100</v>
      </c>
      <c r="FC206">
        <v>6.232</v>
      </c>
      <c r="FD206">
        <v>0.0806</v>
      </c>
      <c r="FE206">
        <v>6.23135000000002</v>
      </c>
      <c r="FF206">
        <v>0</v>
      </c>
      <c r="FG206">
        <v>0</v>
      </c>
      <c r="FH206">
        <v>0</v>
      </c>
      <c r="FI206">
        <v>0.08059047619047632</v>
      </c>
      <c r="FJ206">
        <v>0</v>
      </c>
      <c r="FK206">
        <v>0</v>
      </c>
      <c r="FL206">
        <v>0</v>
      </c>
      <c r="FM206">
        <v>-1</v>
      </c>
      <c r="FN206">
        <v>-1</v>
      </c>
      <c r="FO206">
        <v>-1</v>
      </c>
      <c r="FP206">
        <v>-1</v>
      </c>
      <c r="FQ206">
        <v>190.5</v>
      </c>
      <c r="FR206">
        <v>190.6</v>
      </c>
      <c r="FS206">
        <v>0.140381</v>
      </c>
      <c r="FT206">
        <v>4.99756</v>
      </c>
      <c r="FU206">
        <v>1.5979</v>
      </c>
      <c r="FV206">
        <v>2.10938</v>
      </c>
      <c r="FW206">
        <v>1.54785</v>
      </c>
      <c r="FX206">
        <v>2.37915</v>
      </c>
      <c r="FY206">
        <v>48.1479</v>
      </c>
      <c r="FZ206">
        <v>14.885</v>
      </c>
      <c r="GA206">
        <v>3</v>
      </c>
      <c r="GB206">
        <v>520.79</v>
      </c>
      <c r="GC206">
        <v>285.406</v>
      </c>
      <c r="GD206">
        <v>27.4627</v>
      </c>
      <c r="GE206">
        <v>38.7246</v>
      </c>
      <c r="GF206">
        <v>29.9997</v>
      </c>
      <c r="GG206">
        <v>38.6188</v>
      </c>
      <c r="GH206">
        <v>38.6084</v>
      </c>
      <c r="GI206">
        <v>-1</v>
      </c>
      <c r="GJ206">
        <v>100</v>
      </c>
      <c r="GK206">
        <v>0</v>
      </c>
      <c r="GL206">
        <v>27.4631</v>
      </c>
      <c r="GM206">
        <v>1200</v>
      </c>
      <c r="GN206">
        <v>19.4378</v>
      </c>
      <c r="GO206">
        <v>100.89</v>
      </c>
      <c r="GP206">
        <v>96.1039</v>
      </c>
    </row>
    <row r="207" spans="1:198">
      <c r="A207">
        <v>191</v>
      </c>
      <c r="B207">
        <v>1773207501.6</v>
      </c>
      <c r="C207">
        <v>11401.59999990463</v>
      </c>
      <c r="D207" t="s">
        <v>715</v>
      </c>
      <c r="E207" t="s">
        <v>716</v>
      </c>
      <c r="F207">
        <v>15</v>
      </c>
      <c r="G207">
        <v>1773207493.599999</v>
      </c>
      <c r="H207">
        <f>(I207)/1000</f>
        <v>0</v>
      </c>
      <c r="I207">
        <f>1000*AY207*AG207*(AU207-AV207)/(100*AN207*(1000-AG207*AU207))</f>
        <v>0</v>
      </c>
      <c r="J207">
        <f>AY207*AG207*(AT207-AS207*(1000-AG207*AV207)/(1000-AG207*AU207))/(100*AN207)</f>
        <v>0</v>
      </c>
      <c r="K207">
        <f>AS207 - IF(AG207&gt;1, J207*AN207*100.0/(AI207), 0)</f>
        <v>0</v>
      </c>
      <c r="L207">
        <f>((R207-H207/2)*K207-J207)/(R207+H207/2)</f>
        <v>0</v>
      </c>
      <c r="M207">
        <f>L207*(AZ207+BA207)/1000.0</f>
        <v>0</v>
      </c>
      <c r="N207">
        <f>(AS207 - IF(AG207&gt;1, J207*AN207*100.0/(AI207), 0))*(AZ207+BA207)/1000.0</f>
        <v>0</v>
      </c>
      <c r="O207">
        <f>2.0/((1/Q207-1/P207)+SIGN(Q207)*SQRT((1/Q207-1/P207)*(1/Q207-1/P207) + 4*AO207/((AO207+1)*(AO207+1))*(2*1/Q207*1/P207-1/P207*1/P207)))</f>
        <v>0</v>
      </c>
      <c r="P207">
        <f>IF(LEFT(AP207,1)&lt;&gt;"0",IF(LEFT(AP207,1)="1",3.0,AQ207),$D$5+$E$5*(BG207*AZ207/($K$5*1000))+$F$5*(BG207*AZ207/($K$5*1000))*MAX(MIN(AN207,$J$5),$I$5)*MAX(MIN(AN207,$J$5),$I$5)+$G$5*MAX(MIN(AN207,$J$5),$I$5)*(BG207*AZ207/($K$5*1000))+$H$5*(BG207*AZ207/($K$5*1000))*(BG207*AZ207/($K$5*1000)))</f>
        <v>0</v>
      </c>
      <c r="Q207">
        <f>H207*(1000-(1000*0.61365*exp(17.502*U207/(240.97+U207))/(AZ207+BA207)+AU207)/2)/(1000*0.61365*exp(17.502*U207/(240.97+U207))/(AZ207+BA207)-AU207)</f>
        <v>0</v>
      </c>
      <c r="R207">
        <f>1/((AO207+1)/(O207/1.6)+1/(P207/1.37)) + AO207/((AO207+1)/(O207/1.6) + AO207/(P207/1.37))</f>
        <v>0</v>
      </c>
      <c r="S207">
        <f>(AJ207*AM207)</f>
        <v>0</v>
      </c>
      <c r="T207">
        <f>(BB207+(S207+2*0.95*5.67E-8*(((BB207+$B$7)+273)^4-(BB207+273)^4)-44100*H207)/(1.84*29.3*P207+8*0.95*5.67E-8*(BB207+273)^3))</f>
        <v>0</v>
      </c>
      <c r="U207">
        <f>($C$7*BC207+$D$7*BD207+$E$7*T207)</f>
        <v>0</v>
      </c>
      <c r="V207">
        <f>0.61365*exp(17.502*U207/(240.97+U207))</f>
        <v>0</v>
      </c>
      <c r="W207">
        <f>(X207/Y207*100)</f>
        <v>0</v>
      </c>
      <c r="X207">
        <f>AU207*(AZ207+BA207)/1000</f>
        <v>0</v>
      </c>
      <c r="Y207">
        <f>0.61365*exp(17.502*BB207/(240.97+BB207))</f>
        <v>0</v>
      </c>
      <c r="Z207">
        <f>(V207-AU207*(AZ207+BA207)/1000)</f>
        <v>0</v>
      </c>
      <c r="AA207">
        <f>(-H207*44100)</f>
        <v>0</v>
      </c>
      <c r="AB207">
        <f>2*29.3*P207*0.92*(BB207-U207)</f>
        <v>0</v>
      </c>
      <c r="AC207">
        <f>2*0.95*5.67E-8*(((BB207+$B$7)+273)^4-(U207+273)^4)</f>
        <v>0</v>
      </c>
      <c r="AD207">
        <f>S207+AC207+AA207+AB207</f>
        <v>0</v>
      </c>
      <c r="AE207">
        <v>0</v>
      </c>
      <c r="AF207">
        <v>0</v>
      </c>
      <c r="AG207">
        <f>IF(AE207*$H$13&gt;=AI207,1.0,(AI207/(AI207-AE207*$H$13)))</f>
        <v>0</v>
      </c>
      <c r="AH207">
        <f>(AG207-1)*100</f>
        <v>0</v>
      </c>
      <c r="AI207">
        <f>MAX(0,($B$13+$C$13*BG207)/(1+$D$13*BG207)*AZ207/(BB207+273)*$E$13)</f>
        <v>0</v>
      </c>
      <c r="AJ207">
        <f>$B$11*BH207+$C$11*BI207+$D$11*BT207</f>
        <v>0</v>
      </c>
      <c r="AK207">
        <f>AJ207*AL207</f>
        <v>0</v>
      </c>
      <c r="AL207">
        <f>($B$11*$D$9+$C$11*$D$9+$D$11*(BU207*$E$9+BV207*$G$9))/($B$11+$C$11+$D$11)</f>
        <v>0</v>
      </c>
      <c r="AM207">
        <f>($B$11*$K$9+$C$11*$K$9+$D$11*(BU207*$L$9+BV207*$N$9))/($B$11+$C$11+$D$11)</f>
        <v>0</v>
      </c>
      <c r="AN207">
        <v>3</v>
      </c>
      <c r="AO207">
        <v>0.5</v>
      </c>
      <c r="AP207" t="s">
        <v>331</v>
      </c>
      <c r="AQ207">
        <v>2</v>
      </c>
      <c r="AR207">
        <v>1773207493.599999</v>
      </c>
      <c r="AS207">
        <v>418.8747096774193</v>
      </c>
      <c r="AT207">
        <v>416.501870967742</v>
      </c>
      <c r="AU207">
        <v>13.70258709677419</v>
      </c>
      <c r="AV207">
        <v>13.6075064516129</v>
      </c>
      <c r="AW207">
        <v>412.6433870967741</v>
      </c>
      <c r="AX207">
        <v>13.62199677419355</v>
      </c>
      <c r="AY207">
        <v>499.9954193548387</v>
      </c>
      <c r="AZ207">
        <v>100.0036129032258</v>
      </c>
      <c r="BA207">
        <v>0.04538166774193549</v>
      </c>
      <c r="BB207">
        <v>30.77650967741936</v>
      </c>
      <c r="BC207">
        <v>31.13148064516129</v>
      </c>
      <c r="BD207">
        <v>999.9000000000003</v>
      </c>
      <c r="BE207">
        <v>0</v>
      </c>
      <c r="BF207">
        <v>0</v>
      </c>
      <c r="BG207">
        <v>5001.467741935484</v>
      </c>
      <c r="BH207">
        <v>1.040411612903226</v>
      </c>
      <c r="BI207">
        <v>2022.321935483871</v>
      </c>
      <c r="BJ207">
        <v>2.372815806451613</v>
      </c>
      <c r="BK207">
        <v>424.694129032258</v>
      </c>
      <c r="BL207">
        <v>422.2475806451613</v>
      </c>
      <c r="BM207">
        <v>0.09508674193548387</v>
      </c>
      <c r="BN207">
        <v>416.501870967742</v>
      </c>
      <c r="BO207">
        <v>13.6075064516129</v>
      </c>
      <c r="BP207">
        <v>1.370309032258064</v>
      </c>
      <c r="BQ207">
        <v>1.360799677419355</v>
      </c>
      <c r="BR207">
        <v>11.593</v>
      </c>
      <c r="BS207">
        <v>11.48771935483871</v>
      </c>
      <c r="BT207">
        <v>0</v>
      </c>
      <c r="BU207">
        <v>0</v>
      </c>
      <c r="BV207">
        <v>0</v>
      </c>
      <c r="BW207">
        <v>35.00430000000001</v>
      </c>
      <c r="BX207">
        <v>62.97848387096774</v>
      </c>
      <c r="BY207">
        <v>1773196010</v>
      </c>
      <c r="BZ207" t="s">
        <v>332</v>
      </c>
      <c r="CA207">
        <v>1773196010</v>
      </c>
      <c r="CB207">
        <v>1773196005.5</v>
      </c>
      <c r="CC207">
        <v>2</v>
      </c>
      <c r="CD207">
        <v>-0.279</v>
      </c>
      <c r="CE207">
        <v>-0.021</v>
      </c>
      <c r="CF207">
        <v>6.231</v>
      </c>
      <c r="CG207">
        <v>0.081</v>
      </c>
      <c r="CH207">
        <v>432</v>
      </c>
      <c r="CI207">
        <v>21</v>
      </c>
      <c r="CJ207">
        <v>0.03</v>
      </c>
      <c r="CK207">
        <v>0.06</v>
      </c>
      <c r="CL207">
        <v>416.5098666666667</v>
      </c>
      <c r="CM207">
        <v>-0.4627007786424824</v>
      </c>
      <c r="CN207">
        <v>0.04016609958105462</v>
      </c>
      <c r="CO207">
        <v>-1</v>
      </c>
      <c r="CP207">
        <v>499.9933</v>
      </c>
      <c r="CQ207">
        <v>0.08193103448387533</v>
      </c>
      <c r="CR207">
        <v>0.03235135236740843</v>
      </c>
      <c r="CS207">
        <v>-1</v>
      </c>
      <c r="CT207">
        <v>0</v>
      </c>
      <c r="CU207">
        <v>0</v>
      </c>
      <c r="CV207" t="s">
        <v>333</v>
      </c>
      <c r="CW207">
        <v>3.17156</v>
      </c>
      <c r="CX207">
        <v>2.66642</v>
      </c>
      <c r="CY207">
        <v>0.09806910000000001</v>
      </c>
      <c r="CZ207">
        <v>0.0987994</v>
      </c>
      <c r="DA207">
        <v>0.07391490000000001</v>
      </c>
      <c r="DB207">
        <v>0.0736067</v>
      </c>
      <c r="DC207">
        <v>21307.4</v>
      </c>
      <c r="DD207">
        <v>21899.9</v>
      </c>
      <c r="DE207">
        <v>22780.9</v>
      </c>
      <c r="DF207">
        <v>22251.4</v>
      </c>
      <c r="DG207">
        <v>31910.8</v>
      </c>
      <c r="DH207">
        <v>29035.9</v>
      </c>
      <c r="DI207">
        <v>40104.7</v>
      </c>
      <c r="DJ207">
        <v>36801.3</v>
      </c>
      <c r="DK207">
        <v>2.01802</v>
      </c>
      <c r="DL207">
        <v>1.48216</v>
      </c>
      <c r="DM207">
        <v>-0.099051</v>
      </c>
      <c r="DN207">
        <v>0</v>
      </c>
      <c r="DO207">
        <v>32.7275</v>
      </c>
      <c r="DP207">
        <v>999.9</v>
      </c>
      <c r="DQ207">
        <v>23.1</v>
      </c>
      <c r="DR207">
        <v>46.4</v>
      </c>
      <c r="DS207">
        <v>23.9217</v>
      </c>
      <c r="DT207">
        <v>30.1292</v>
      </c>
      <c r="DU207">
        <v>14.1466</v>
      </c>
      <c r="DV207">
        <v>1</v>
      </c>
      <c r="DW207">
        <v>0.9597830000000001</v>
      </c>
      <c r="DX207">
        <v>4.11535</v>
      </c>
      <c r="DY207">
        <v>20.3031</v>
      </c>
      <c r="DZ207">
        <v>5.2101</v>
      </c>
      <c r="EA207">
        <v>11.8584</v>
      </c>
      <c r="EB207">
        <v>4.96736</v>
      </c>
      <c r="EC207">
        <v>3.293</v>
      </c>
      <c r="ED207">
        <v>879.4</v>
      </c>
      <c r="EE207">
        <v>9999</v>
      </c>
      <c r="EF207">
        <v>9999</v>
      </c>
      <c r="EG207">
        <v>79.2</v>
      </c>
      <c r="EH207">
        <v>4.97158</v>
      </c>
      <c r="EI207">
        <v>1.8721</v>
      </c>
      <c r="EJ207">
        <v>1.86951</v>
      </c>
      <c r="EK207">
        <v>1.8718</v>
      </c>
      <c r="EL207">
        <v>1.86962</v>
      </c>
      <c r="EM207">
        <v>1.86841</v>
      </c>
      <c r="EN207">
        <v>1.87019</v>
      </c>
      <c r="EO207">
        <v>1.87195</v>
      </c>
      <c r="EP207">
        <v>0</v>
      </c>
      <c r="EQ207">
        <v>0</v>
      </c>
      <c r="ER207">
        <v>0</v>
      </c>
      <c r="ES207">
        <v>0</v>
      </c>
      <c r="ET207" t="s">
        <v>334</v>
      </c>
      <c r="EU207" t="s">
        <v>335</v>
      </c>
      <c r="EV207" t="s">
        <v>336</v>
      </c>
      <c r="EW207" t="s">
        <v>336</v>
      </c>
      <c r="EX207" t="s">
        <v>336</v>
      </c>
      <c r="EY207" t="s">
        <v>336</v>
      </c>
      <c r="EZ207">
        <v>0</v>
      </c>
      <c r="FA207">
        <v>100</v>
      </c>
      <c r="FB207">
        <v>100</v>
      </c>
      <c r="FC207">
        <v>6.232</v>
      </c>
      <c r="FD207">
        <v>0.0806</v>
      </c>
      <c r="FE207">
        <v>6.23135000000002</v>
      </c>
      <c r="FF207">
        <v>0</v>
      </c>
      <c r="FG207">
        <v>0</v>
      </c>
      <c r="FH207">
        <v>0</v>
      </c>
      <c r="FI207">
        <v>0.08059047619047632</v>
      </c>
      <c r="FJ207">
        <v>0</v>
      </c>
      <c r="FK207">
        <v>0</v>
      </c>
      <c r="FL207">
        <v>0</v>
      </c>
      <c r="FM207">
        <v>-1</v>
      </c>
      <c r="FN207">
        <v>-1</v>
      </c>
      <c r="FO207">
        <v>-1</v>
      </c>
      <c r="FP207">
        <v>-1</v>
      </c>
      <c r="FQ207">
        <v>191.5</v>
      </c>
      <c r="FR207">
        <v>191.6</v>
      </c>
      <c r="FS207">
        <v>0.140381</v>
      </c>
      <c r="FT207">
        <v>4.99756</v>
      </c>
      <c r="FU207">
        <v>1.5979</v>
      </c>
      <c r="FV207">
        <v>2.10815</v>
      </c>
      <c r="FW207">
        <v>1.54785</v>
      </c>
      <c r="FX207">
        <v>2.41699</v>
      </c>
      <c r="FY207">
        <v>48.1479</v>
      </c>
      <c r="FZ207">
        <v>14.885</v>
      </c>
      <c r="GA207">
        <v>3</v>
      </c>
      <c r="GB207">
        <v>520.9400000000001</v>
      </c>
      <c r="GC207">
        <v>285.456</v>
      </c>
      <c r="GD207">
        <v>27.4743</v>
      </c>
      <c r="GE207">
        <v>38.7372</v>
      </c>
      <c r="GF207">
        <v>30</v>
      </c>
      <c r="GG207">
        <v>38.6313</v>
      </c>
      <c r="GH207">
        <v>38.6195</v>
      </c>
      <c r="GI207">
        <v>-1</v>
      </c>
      <c r="GJ207">
        <v>100</v>
      </c>
      <c r="GK207">
        <v>0</v>
      </c>
      <c r="GL207">
        <v>27.4703</v>
      </c>
      <c r="GM207">
        <v>1200</v>
      </c>
      <c r="GN207">
        <v>19.4378</v>
      </c>
      <c r="GO207">
        <v>100.888</v>
      </c>
      <c r="GP207">
        <v>96.10209999999999</v>
      </c>
    </row>
    <row r="208" spans="1:198">
      <c r="A208">
        <v>192</v>
      </c>
      <c r="B208">
        <v>1773207561.6</v>
      </c>
      <c r="C208">
        <v>11461.59999990463</v>
      </c>
      <c r="D208" t="s">
        <v>717</v>
      </c>
      <c r="E208" t="s">
        <v>718</v>
      </c>
      <c r="F208">
        <v>15</v>
      </c>
      <c r="G208">
        <v>1773207553.599999</v>
      </c>
      <c r="H208">
        <f>(I208)/1000</f>
        <v>0</v>
      </c>
      <c r="I208">
        <f>1000*AY208*AG208*(AU208-AV208)/(100*AN208*(1000-AG208*AU208))</f>
        <v>0</v>
      </c>
      <c r="J208">
        <f>AY208*AG208*(AT208-AS208*(1000-AG208*AV208)/(1000-AG208*AU208))/(100*AN208)</f>
        <v>0</v>
      </c>
      <c r="K208">
        <f>AS208 - IF(AG208&gt;1, J208*AN208*100.0/(AI208), 0)</f>
        <v>0</v>
      </c>
      <c r="L208">
        <f>((R208-H208/2)*K208-J208)/(R208+H208/2)</f>
        <v>0</v>
      </c>
      <c r="M208">
        <f>L208*(AZ208+BA208)/1000.0</f>
        <v>0</v>
      </c>
      <c r="N208">
        <f>(AS208 - IF(AG208&gt;1, J208*AN208*100.0/(AI208), 0))*(AZ208+BA208)/1000.0</f>
        <v>0</v>
      </c>
      <c r="O208">
        <f>2.0/((1/Q208-1/P208)+SIGN(Q208)*SQRT((1/Q208-1/P208)*(1/Q208-1/P208) + 4*AO208/((AO208+1)*(AO208+1))*(2*1/Q208*1/P208-1/P208*1/P208)))</f>
        <v>0</v>
      </c>
      <c r="P208">
        <f>IF(LEFT(AP208,1)&lt;&gt;"0",IF(LEFT(AP208,1)="1",3.0,AQ208),$D$5+$E$5*(BG208*AZ208/($K$5*1000))+$F$5*(BG208*AZ208/($K$5*1000))*MAX(MIN(AN208,$J$5),$I$5)*MAX(MIN(AN208,$J$5),$I$5)+$G$5*MAX(MIN(AN208,$J$5),$I$5)*(BG208*AZ208/($K$5*1000))+$H$5*(BG208*AZ208/($K$5*1000))*(BG208*AZ208/($K$5*1000)))</f>
        <v>0</v>
      </c>
      <c r="Q208">
        <f>H208*(1000-(1000*0.61365*exp(17.502*U208/(240.97+U208))/(AZ208+BA208)+AU208)/2)/(1000*0.61365*exp(17.502*U208/(240.97+U208))/(AZ208+BA208)-AU208)</f>
        <v>0</v>
      </c>
      <c r="R208">
        <f>1/((AO208+1)/(O208/1.6)+1/(P208/1.37)) + AO208/((AO208+1)/(O208/1.6) + AO208/(P208/1.37))</f>
        <v>0</v>
      </c>
      <c r="S208">
        <f>(AJ208*AM208)</f>
        <v>0</v>
      </c>
      <c r="T208">
        <f>(BB208+(S208+2*0.95*5.67E-8*(((BB208+$B$7)+273)^4-(BB208+273)^4)-44100*H208)/(1.84*29.3*P208+8*0.95*5.67E-8*(BB208+273)^3))</f>
        <v>0</v>
      </c>
      <c r="U208">
        <f>($C$7*BC208+$D$7*BD208+$E$7*T208)</f>
        <v>0</v>
      </c>
      <c r="V208">
        <f>0.61365*exp(17.502*U208/(240.97+U208))</f>
        <v>0</v>
      </c>
      <c r="W208">
        <f>(X208/Y208*100)</f>
        <v>0</v>
      </c>
      <c r="X208">
        <f>AU208*(AZ208+BA208)/1000</f>
        <v>0</v>
      </c>
      <c r="Y208">
        <f>0.61365*exp(17.502*BB208/(240.97+BB208))</f>
        <v>0</v>
      </c>
      <c r="Z208">
        <f>(V208-AU208*(AZ208+BA208)/1000)</f>
        <v>0</v>
      </c>
      <c r="AA208">
        <f>(-H208*44100)</f>
        <v>0</v>
      </c>
      <c r="AB208">
        <f>2*29.3*P208*0.92*(BB208-U208)</f>
        <v>0</v>
      </c>
      <c r="AC208">
        <f>2*0.95*5.67E-8*(((BB208+$B$7)+273)^4-(U208+273)^4)</f>
        <v>0</v>
      </c>
      <c r="AD208">
        <f>S208+AC208+AA208+AB208</f>
        <v>0</v>
      </c>
      <c r="AE208">
        <v>0</v>
      </c>
      <c r="AF208">
        <v>0</v>
      </c>
      <c r="AG208">
        <f>IF(AE208*$H$13&gt;=AI208,1.0,(AI208/(AI208-AE208*$H$13)))</f>
        <v>0</v>
      </c>
      <c r="AH208">
        <f>(AG208-1)*100</f>
        <v>0</v>
      </c>
      <c r="AI208">
        <f>MAX(0,($B$13+$C$13*BG208)/(1+$D$13*BG208)*AZ208/(BB208+273)*$E$13)</f>
        <v>0</v>
      </c>
      <c r="AJ208">
        <f>$B$11*BH208+$C$11*BI208+$D$11*BT208</f>
        <v>0</v>
      </c>
      <c r="AK208">
        <f>AJ208*AL208</f>
        <v>0</v>
      </c>
      <c r="AL208">
        <f>($B$11*$D$9+$C$11*$D$9+$D$11*(BU208*$E$9+BV208*$G$9))/($B$11+$C$11+$D$11)</f>
        <v>0</v>
      </c>
      <c r="AM208">
        <f>($B$11*$K$9+$C$11*$K$9+$D$11*(BU208*$L$9+BV208*$N$9))/($B$11+$C$11+$D$11)</f>
        <v>0</v>
      </c>
      <c r="AN208">
        <v>3</v>
      </c>
      <c r="AO208">
        <v>0.5</v>
      </c>
      <c r="AP208" t="s">
        <v>331</v>
      </c>
      <c r="AQ208">
        <v>2</v>
      </c>
      <c r="AR208">
        <v>1773207553.599999</v>
      </c>
      <c r="AS208">
        <v>419.1072258064517</v>
      </c>
      <c r="AT208">
        <v>416.7256129032258</v>
      </c>
      <c r="AU208">
        <v>13.79158387096775</v>
      </c>
      <c r="AV208">
        <v>13.70553548387097</v>
      </c>
      <c r="AW208">
        <v>412.875870967742</v>
      </c>
      <c r="AX208">
        <v>13.71099032258065</v>
      </c>
      <c r="AY208">
        <v>500.0220967741935</v>
      </c>
      <c r="AZ208">
        <v>100.0027096774193</v>
      </c>
      <c r="BA208">
        <v>0.04597597419354839</v>
      </c>
      <c r="BB208">
        <v>30.8100064516129</v>
      </c>
      <c r="BC208">
        <v>31.19576451612903</v>
      </c>
      <c r="BD208">
        <v>999.9000000000003</v>
      </c>
      <c r="BE208">
        <v>0</v>
      </c>
      <c r="BF208">
        <v>0</v>
      </c>
      <c r="BG208">
        <v>5008.935483870968</v>
      </c>
      <c r="BH208">
        <v>1.026848451612903</v>
      </c>
      <c r="BI208">
        <v>1997.897741935484</v>
      </c>
      <c r="BJ208">
        <v>2.381606774193548</v>
      </c>
      <c r="BK208">
        <v>424.9682258064516</v>
      </c>
      <c r="BL208">
        <v>422.5163870967741</v>
      </c>
      <c r="BM208">
        <v>0.08605200322580647</v>
      </c>
      <c r="BN208">
        <v>416.7256129032258</v>
      </c>
      <c r="BO208">
        <v>13.70553548387097</v>
      </c>
      <c r="BP208">
        <v>1.379194838709677</v>
      </c>
      <c r="BQ208">
        <v>1.370588387096774</v>
      </c>
      <c r="BR208">
        <v>11.69079032258064</v>
      </c>
      <c r="BS208">
        <v>11.59609032258065</v>
      </c>
      <c r="BT208">
        <v>0</v>
      </c>
      <c r="BU208">
        <v>0</v>
      </c>
      <c r="BV208">
        <v>0</v>
      </c>
      <c r="BW208">
        <v>36</v>
      </c>
      <c r="BX208">
        <v>62.16988387096774</v>
      </c>
      <c r="BY208">
        <v>1773196010</v>
      </c>
      <c r="BZ208" t="s">
        <v>332</v>
      </c>
      <c r="CA208">
        <v>1773196010</v>
      </c>
      <c r="CB208">
        <v>1773196005.5</v>
      </c>
      <c r="CC208">
        <v>2</v>
      </c>
      <c r="CD208">
        <v>-0.279</v>
      </c>
      <c r="CE208">
        <v>-0.021</v>
      </c>
      <c r="CF208">
        <v>6.231</v>
      </c>
      <c r="CG208">
        <v>0.081</v>
      </c>
      <c r="CH208">
        <v>432</v>
      </c>
      <c r="CI208">
        <v>21</v>
      </c>
      <c r="CJ208">
        <v>0.03</v>
      </c>
      <c r="CK208">
        <v>0.06</v>
      </c>
      <c r="CL208">
        <v>416.7293548387096</v>
      </c>
      <c r="CM208">
        <v>-0.6747096774200999</v>
      </c>
      <c r="CN208">
        <v>0.05240447431469689</v>
      </c>
      <c r="CO208">
        <v>-1</v>
      </c>
      <c r="CP208">
        <v>500.0209677419355</v>
      </c>
      <c r="CQ208">
        <v>0.04045161290234722</v>
      </c>
      <c r="CR208">
        <v>0.04098975786388767</v>
      </c>
      <c r="CS208">
        <v>-1</v>
      </c>
      <c r="CT208">
        <v>0</v>
      </c>
      <c r="CU208">
        <v>0</v>
      </c>
      <c r="CV208" t="s">
        <v>333</v>
      </c>
      <c r="CW208">
        <v>3.17154</v>
      </c>
      <c r="CX208">
        <v>2.6663</v>
      </c>
      <c r="CY208">
        <v>0.09810339999999999</v>
      </c>
      <c r="CZ208">
        <v>0.0988443</v>
      </c>
      <c r="DA208">
        <v>0.0742818</v>
      </c>
      <c r="DB208">
        <v>0.07399029999999999</v>
      </c>
      <c r="DC208">
        <v>21304.5</v>
      </c>
      <c r="DD208">
        <v>21896.7</v>
      </c>
      <c r="DE208">
        <v>22778.9</v>
      </c>
      <c r="DF208">
        <v>22249.5</v>
      </c>
      <c r="DG208">
        <v>31895.4</v>
      </c>
      <c r="DH208">
        <v>29021.4</v>
      </c>
      <c r="DI208">
        <v>40101.3</v>
      </c>
      <c r="DJ208">
        <v>36798.2</v>
      </c>
      <c r="DK208">
        <v>2.01754</v>
      </c>
      <c r="DL208">
        <v>1.4815</v>
      </c>
      <c r="DM208">
        <v>-0.10283</v>
      </c>
      <c r="DN208">
        <v>0</v>
      </c>
      <c r="DO208">
        <v>32.8589</v>
      </c>
      <c r="DP208">
        <v>999.9</v>
      </c>
      <c r="DQ208">
        <v>23</v>
      </c>
      <c r="DR208">
        <v>46.5</v>
      </c>
      <c r="DS208">
        <v>23.942</v>
      </c>
      <c r="DT208">
        <v>29.8592</v>
      </c>
      <c r="DU208">
        <v>14.1747</v>
      </c>
      <c r="DV208">
        <v>1</v>
      </c>
      <c r="DW208">
        <v>0.966226</v>
      </c>
      <c r="DX208">
        <v>4.42459</v>
      </c>
      <c r="DY208">
        <v>20.2926</v>
      </c>
      <c r="DZ208">
        <v>5.20567</v>
      </c>
      <c r="EA208">
        <v>11.8585</v>
      </c>
      <c r="EB208">
        <v>4.96684</v>
      </c>
      <c r="EC208">
        <v>3.2923</v>
      </c>
      <c r="ED208">
        <v>879.4</v>
      </c>
      <c r="EE208">
        <v>9999</v>
      </c>
      <c r="EF208">
        <v>9999</v>
      </c>
      <c r="EG208">
        <v>79.2</v>
      </c>
      <c r="EH208">
        <v>4.97159</v>
      </c>
      <c r="EI208">
        <v>1.8721</v>
      </c>
      <c r="EJ208">
        <v>1.8695</v>
      </c>
      <c r="EK208">
        <v>1.8718</v>
      </c>
      <c r="EL208">
        <v>1.86961</v>
      </c>
      <c r="EM208">
        <v>1.8684</v>
      </c>
      <c r="EN208">
        <v>1.87018</v>
      </c>
      <c r="EO208">
        <v>1.87194</v>
      </c>
      <c r="EP208">
        <v>0</v>
      </c>
      <c r="EQ208">
        <v>0</v>
      </c>
      <c r="ER208">
        <v>0</v>
      </c>
      <c r="ES208">
        <v>0</v>
      </c>
      <c r="ET208" t="s">
        <v>334</v>
      </c>
      <c r="EU208" t="s">
        <v>335</v>
      </c>
      <c r="EV208" t="s">
        <v>336</v>
      </c>
      <c r="EW208" t="s">
        <v>336</v>
      </c>
      <c r="EX208" t="s">
        <v>336</v>
      </c>
      <c r="EY208" t="s">
        <v>336</v>
      </c>
      <c r="EZ208">
        <v>0</v>
      </c>
      <c r="FA208">
        <v>100</v>
      </c>
      <c r="FB208">
        <v>100</v>
      </c>
      <c r="FC208">
        <v>6.231</v>
      </c>
      <c r="FD208">
        <v>0.0806</v>
      </c>
      <c r="FE208">
        <v>6.23135000000002</v>
      </c>
      <c r="FF208">
        <v>0</v>
      </c>
      <c r="FG208">
        <v>0</v>
      </c>
      <c r="FH208">
        <v>0</v>
      </c>
      <c r="FI208">
        <v>0.08059047619047632</v>
      </c>
      <c r="FJ208">
        <v>0</v>
      </c>
      <c r="FK208">
        <v>0</v>
      </c>
      <c r="FL208">
        <v>0</v>
      </c>
      <c r="FM208">
        <v>-1</v>
      </c>
      <c r="FN208">
        <v>-1</v>
      </c>
      <c r="FO208">
        <v>-1</v>
      </c>
      <c r="FP208">
        <v>-1</v>
      </c>
      <c r="FQ208">
        <v>192.5</v>
      </c>
      <c r="FR208">
        <v>192.6</v>
      </c>
      <c r="FS208">
        <v>0.140381</v>
      </c>
      <c r="FT208">
        <v>4.99756</v>
      </c>
      <c r="FU208">
        <v>1.5979</v>
      </c>
      <c r="FV208">
        <v>2.10815</v>
      </c>
      <c r="FW208">
        <v>1.54785</v>
      </c>
      <c r="FX208">
        <v>2.43042</v>
      </c>
      <c r="FY208">
        <v>48.209</v>
      </c>
      <c r="FZ208">
        <v>14.8675</v>
      </c>
      <c r="GA208">
        <v>3</v>
      </c>
      <c r="GB208">
        <v>520.872</v>
      </c>
      <c r="GC208">
        <v>285.28</v>
      </c>
      <c r="GD208">
        <v>27.4284</v>
      </c>
      <c r="GE208">
        <v>38.7807</v>
      </c>
      <c r="GF208">
        <v>30.0003</v>
      </c>
      <c r="GG208">
        <v>38.6649</v>
      </c>
      <c r="GH208">
        <v>38.6547</v>
      </c>
      <c r="GI208">
        <v>-1</v>
      </c>
      <c r="GJ208">
        <v>100</v>
      </c>
      <c r="GK208">
        <v>0</v>
      </c>
      <c r="GL208">
        <v>27.4298</v>
      </c>
      <c r="GM208">
        <v>1200</v>
      </c>
      <c r="GN208">
        <v>19.4378</v>
      </c>
      <c r="GO208">
        <v>100.879</v>
      </c>
      <c r="GP208">
        <v>96.0938</v>
      </c>
    </row>
    <row r="209" spans="1:198">
      <c r="A209">
        <v>193</v>
      </c>
      <c r="B209">
        <v>1773207621.6</v>
      </c>
      <c r="C209">
        <v>11521.59999990463</v>
      </c>
      <c r="D209" t="s">
        <v>719</v>
      </c>
      <c r="E209" t="s">
        <v>720</v>
      </c>
      <c r="F209">
        <v>15</v>
      </c>
      <c r="G209">
        <v>1773207613.599999</v>
      </c>
      <c r="H209">
        <f>(I209)/1000</f>
        <v>0</v>
      </c>
      <c r="I209">
        <f>1000*AY209*AG209*(AU209-AV209)/(100*AN209*(1000-AG209*AU209))</f>
        <v>0</v>
      </c>
      <c r="J209">
        <f>AY209*AG209*(AT209-AS209*(1000-AG209*AV209)/(1000-AG209*AU209))/(100*AN209)</f>
        <v>0</v>
      </c>
      <c r="K209">
        <f>AS209 - IF(AG209&gt;1, J209*AN209*100.0/(AI209), 0)</f>
        <v>0</v>
      </c>
      <c r="L209">
        <f>((R209-H209/2)*K209-J209)/(R209+H209/2)</f>
        <v>0</v>
      </c>
      <c r="M209">
        <f>L209*(AZ209+BA209)/1000.0</f>
        <v>0</v>
      </c>
      <c r="N209">
        <f>(AS209 - IF(AG209&gt;1, J209*AN209*100.0/(AI209), 0))*(AZ209+BA209)/1000.0</f>
        <v>0</v>
      </c>
      <c r="O209">
        <f>2.0/((1/Q209-1/P209)+SIGN(Q209)*SQRT((1/Q209-1/P209)*(1/Q209-1/P209) + 4*AO209/((AO209+1)*(AO209+1))*(2*1/Q209*1/P209-1/P209*1/P209)))</f>
        <v>0</v>
      </c>
      <c r="P209">
        <f>IF(LEFT(AP209,1)&lt;&gt;"0",IF(LEFT(AP209,1)="1",3.0,AQ209),$D$5+$E$5*(BG209*AZ209/($K$5*1000))+$F$5*(BG209*AZ209/($K$5*1000))*MAX(MIN(AN209,$J$5),$I$5)*MAX(MIN(AN209,$J$5),$I$5)+$G$5*MAX(MIN(AN209,$J$5),$I$5)*(BG209*AZ209/($K$5*1000))+$H$5*(BG209*AZ209/($K$5*1000))*(BG209*AZ209/($K$5*1000)))</f>
        <v>0</v>
      </c>
      <c r="Q209">
        <f>H209*(1000-(1000*0.61365*exp(17.502*U209/(240.97+U209))/(AZ209+BA209)+AU209)/2)/(1000*0.61365*exp(17.502*U209/(240.97+U209))/(AZ209+BA209)-AU209)</f>
        <v>0</v>
      </c>
      <c r="R209">
        <f>1/((AO209+1)/(O209/1.6)+1/(P209/1.37)) + AO209/((AO209+1)/(O209/1.6) + AO209/(P209/1.37))</f>
        <v>0</v>
      </c>
      <c r="S209">
        <f>(AJ209*AM209)</f>
        <v>0</v>
      </c>
      <c r="T209">
        <f>(BB209+(S209+2*0.95*5.67E-8*(((BB209+$B$7)+273)^4-(BB209+273)^4)-44100*H209)/(1.84*29.3*P209+8*0.95*5.67E-8*(BB209+273)^3))</f>
        <v>0</v>
      </c>
      <c r="U209">
        <f>($C$7*BC209+$D$7*BD209+$E$7*T209)</f>
        <v>0</v>
      </c>
      <c r="V209">
        <f>0.61365*exp(17.502*U209/(240.97+U209))</f>
        <v>0</v>
      </c>
      <c r="W209">
        <f>(X209/Y209*100)</f>
        <v>0</v>
      </c>
      <c r="X209">
        <f>AU209*(AZ209+BA209)/1000</f>
        <v>0</v>
      </c>
      <c r="Y209">
        <f>0.61365*exp(17.502*BB209/(240.97+BB209))</f>
        <v>0</v>
      </c>
      <c r="Z209">
        <f>(V209-AU209*(AZ209+BA209)/1000)</f>
        <v>0</v>
      </c>
      <c r="AA209">
        <f>(-H209*44100)</f>
        <v>0</v>
      </c>
      <c r="AB209">
        <f>2*29.3*P209*0.92*(BB209-U209)</f>
        <v>0</v>
      </c>
      <c r="AC209">
        <f>2*0.95*5.67E-8*(((BB209+$B$7)+273)^4-(U209+273)^4)</f>
        <v>0</v>
      </c>
      <c r="AD209">
        <f>S209+AC209+AA209+AB209</f>
        <v>0</v>
      </c>
      <c r="AE209">
        <v>0</v>
      </c>
      <c r="AF209">
        <v>0</v>
      </c>
      <c r="AG209">
        <f>IF(AE209*$H$13&gt;=AI209,1.0,(AI209/(AI209-AE209*$H$13)))</f>
        <v>0</v>
      </c>
      <c r="AH209">
        <f>(AG209-1)*100</f>
        <v>0</v>
      </c>
      <c r="AI209">
        <f>MAX(0,($B$13+$C$13*BG209)/(1+$D$13*BG209)*AZ209/(BB209+273)*$E$13)</f>
        <v>0</v>
      </c>
      <c r="AJ209">
        <f>$B$11*BH209+$C$11*BI209+$D$11*BT209</f>
        <v>0</v>
      </c>
      <c r="AK209">
        <f>AJ209*AL209</f>
        <v>0</v>
      </c>
      <c r="AL209">
        <f>($B$11*$D$9+$C$11*$D$9+$D$11*(BU209*$E$9+BV209*$G$9))/($B$11+$C$11+$D$11)</f>
        <v>0</v>
      </c>
      <c r="AM209">
        <f>($B$11*$K$9+$C$11*$K$9+$D$11*(BU209*$L$9+BV209*$N$9))/($B$11+$C$11+$D$11)</f>
        <v>0</v>
      </c>
      <c r="AN209">
        <v>3</v>
      </c>
      <c r="AO209">
        <v>0.5</v>
      </c>
      <c r="AP209" t="s">
        <v>331</v>
      </c>
      <c r="AQ209">
        <v>2</v>
      </c>
      <c r="AR209">
        <v>1773207613.599999</v>
      </c>
      <c r="AS209">
        <v>419.1318064516129</v>
      </c>
      <c r="AT209">
        <v>416.7774838709678</v>
      </c>
      <c r="AU209">
        <v>13.85073870967742</v>
      </c>
      <c r="AV209">
        <v>13.76857419354839</v>
      </c>
      <c r="AW209">
        <v>412.9005483870968</v>
      </c>
      <c r="AX209">
        <v>13.77015161290323</v>
      </c>
      <c r="AY209">
        <v>499.9852903225807</v>
      </c>
      <c r="AZ209">
        <v>99.99646129032259</v>
      </c>
      <c r="BA209">
        <v>0.04604879677419356</v>
      </c>
      <c r="BB209">
        <v>30.75781935483871</v>
      </c>
      <c r="BC209">
        <v>31.14311612903226</v>
      </c>
      <c r="BD209">
        <v>999.9000000000003</v>
      </c>
      <c r="BE209">
        <v>0</v>
      </c>
      <c r="BF209">
        <v>0</v>
      </c>
      <c r="BG209">
        <v>4997.693548387097</v>
      </c>
      <c r="BH209">
        <v>1.031037064516129</v>
      </c>
      <c r="BI209">
        <v>2008.817419354839</v>
      </c>
      <c r="BJ209">
        <v>2.354282903225807</v>
      </c>
      <c r="BK209">
        <v>425.0186774193548</v>
      </c>
      <c r="BL209">
        <v>422.5960322580646</v>
      </c>
      <c r="BM209">
        <v>0.08216110967741937</v>
      </c>
      <c r="BN209">
        <v>416.7774838709678</v>
      </c>
      <c r="BO209">
        <v>13.76857419354839</v>
      </c>
      <c r="BP209">
        <v>1.385024516129032</v>
      </c>
      <c r="BQ209">
        <v>1.37680870967742</v>
      </c>
      <c r="BR209">
        <v>11.75466451612903</v>
      </c>
      <c r="BS209">
        <v>11.6645935483871</v>
      </c>
      <c r="BT209">
        <v>0</v>
      </c>
      <c r="BU209">
        <v>0</v>
      </c>
      <c r="BV209">
        <v>0</v>
      </c>
      <c r="BW209">
        <v>36</v>
      </c>
      <c r="BX209">
        <v>62.25375483870968</v>
      </c>
      <c r="BY209">
        <v>1773196010</v>
      </c>
      <c r="BZ209" t="s">
        <v>332</v>
      </c>
      <c r="CA209">
        <v>1773196010</v>
      </c>
      <c r="CB209">
        <v>1773196005.5</v>
      </c>
      <c r="CC209">
        <v>2</v>
      </c>
      <c r="CD209">
        <v>-0.279</v>
      </c>
      <c r="CE209">
        <v>-0.021</v>
      </c>
      <c r="CF209">
        <v>6.231</v>
      </c>
      <c r="CG209">
        <v>0.081</v>
      </c>
      <c r="CH209">
        <v>432</v>
      </c>
      <c r="CI209">
        <v>21</v>
      </c>
      <c r="CJ209">
        <v>0.03</v>
      </c>
      <c r="CK209">
        <v>0.06</v>
      </c>
      <c r="CL209">
        <v>416.7816666666667</v>
      </c>
      <c r="CM209">
        <v>-0.3747096774195508</v>
      </c>
      <c r="CN209">
        <v>0.0324266694078972</v>
      </c>
      <c r="CO209">
        <v>-1</v>
      </c>
      <c r="CP209">
        <v>499.9816666666667</v>
      </c>
      <c r="CQ209">
        <v>-0.007474972190972753</v>
      </c>
      <c r="CR209">
        <v>0.03529620690984327</v>
      </c>
      <c r="CS209">
        <v>-1</v>
      </c>
      <c r="CT209">
        <v>0</v>
      </c>
      <c r="CU209">
        <v>0</v>
      </c>
      <c r="CV209" t="s">
        <v>333</v>
      </c>
      <c r="CW209">
        <v>3.17159</v>
      </c>
      <c r="CX209">
        <v>2.66652</v>
      </c>
      <c r="CY209">
        <v>0.0980946</v>
      </c>
      <c r="CZ209">
        <v>0.09884130000000001</v>
      </c>
      <c r="DA209">
        <v>0.0745296</v>
      </c>
      <c r="DB209">
        <v>0.0742626</v>
      </c>
      <c r="DC209">
        <v>21303.4</v>
      </c>
      <c r="DD209">
        <v>21896.2</v>
      </c>
      <c r="DE209">
        <v>22777.7</v>
      </c>
      <c r="DF209">
        <v>22249</v>
      </c>
      <c r="DG209">
        <v>31885.5</v>
      </c>
      <c r="DH209">
        <v>29012.1</v>
      </c>
      <c r="DI209">
        <v>40099.6</v>
      </c>
      <c r="DJ209">
        <v>36797.3</v>
      </c>
      <c r="DK209">
        <v>2.01738</v>
      </c>
      <c r="DL209">
        <v>1.4807</v>
      </c>
      <c r="DM209">
        <v>-0.104016</v>
      </c>
      <c r="DN209">
        <v>0</v>
      </c>
      <c r="DO209">
        <v>32.8436</v>
      </c>
      <c r="DP209">
        <v>999.9</v>
      </c>
      <c r="DQ209">
        <v>23</v>
      </c>
      <c r="DR209">
        <v>46.5</v>
      </c>
      <c r="DS209">
        <v>23.9437</v>
      </c>
      <c r="DT209">
        <v>30.3392</v>
      </c>
      <c r="DU209">
        <v>14.2748</v>
      </c>
      <c r="DV209">
        <v>1</v>
      </c>
      <c r="DW209">
        <v>0.9654779999999999</v>
      </c>
      <c r="DX209">
        <v>3.96037</v>
      </c>
      <c r="DY209">
        <v>20.307</v>
      </c>
      <c r="DZ209">
        <v>5.21034</v>
      </c>
      <c r="EA209">
        <v>11.8591</v>
      </c>
      <c r="EB209">
        <v>4.96692</v>
      </c>
      <c r="EC209">
        <v>3.293</v>
      </c>
      <c r="ED209">
        <v>879.4</v>
      </c>
      <c r="EE209">
        <v>9999</v>
      </c>
      <c r="EF209">
        <v>9999</v>
      </c>
      <c r="EG209">
        <v>79.2</v>
      </c>
      <c r="EH209">
        <v>4.9716</v>
      </c>
      <c r="EI209">
        <v>1.8721</v>
      </c>
      <c r="EJ209">
        <v>1.86951</v>
      </c>
      <c r="EK209">
        <v>1.8718</v>
      </c>
      <c r="EL209">
        <v>1.86965</v>
      </c>
      <c r="EM209">
        <v>1.8684</v>
      </c>
      <c r="EN209">
        <v>1.87016</v>
      </c>
      <c r="EO209">
        <v>1.87194</v>
      </c>
      <c r="EP209">
        <v>0</v>
      </c>
      <c r="EQ209">
        <v>0</v>
      </c>
      <c r="ER209">
        <v>0</v>
      </c>
      <c r="ES209">
        <v>0</v>
      </c>
      <c r="ET209" t="s">
        <v>334</v>
      </c>
      <c r="EU209" t="s">
        <v>335</v>
      </c>
      <c r="EV209" t="s">
        <v>336</v>
      </c>
      <c r="EW209" t="s">
        <v>336</v>
      </c>
      <c r="EX209" t="s">
        <v>336</v>
      </c>
      <c r="EY209" t="s">
        <v>336</v>
      </c>
      <c r="EZ209">
        <v>0</v>
      </c>
      <c r="FA209">
        <v>100</v>
      </c>
      <c r="FB209">
        <v>100</v>
      </c>
      <c r="FC209">
        <v>6.232</v>
      </c>
      <c r="FD209">
        <v>0.0806</v>
      </c>
      <c r="FE209">
        <v>6.23135000000002</v>
      </c>
      <c r="FF209">
        <v>0</v>
      </c>
      <c r="FG209">
        <v>0</v>
      </c>
      <c r="FH209">
        <v>0</v>
      </c>
      <c r="FI209">
        <v>0.08059047619047632</v>
      </c>
      <c r="FJ209">
        <v>0</v>
      </c>
      <c r="FK209">
        <v>0</v>
      </c>
      <c r="FL209">
        <v>0</v>
      </c>
      <c r="FM209">
        <v>-1</v>
      </c>
      <c r="FN209">
        <v>-1</v>
      </c>
      <c r="FO209">
        <v>-1</v>
      </c>
      <c r="FP209">
        <v>-1</v>
      </c>
      <c r="FQ209">
        <v>193.5</v>
      </c>
      <c r="FR209">
        <v>193.6</v>
      </c>
      <c r="FS209">
        <v>0.140381</v>
      </c>
      <c r="FT209">
        <v>4.99756</v>
      </c>
      <c r="FU209">
        <v>1.5979</v>
      </c>
      <c r="FV209">
        <v>2.10815</v>
      </c>
      <c r="FW209">
        <v>1.54785</v>
      </c>
      <c r="FX209">
        <v>2.48291</v>
      </c>
      <c r="FY209">
        <v>48.2396</v>
      </c>
      <c r="FZ209">
        <v>14.8763</v>
      </c>
      <c r="GA209">
        <v>3</v>
      </c>
      <c r="GB209">
        <v>520.997</v>
      </c>
      <c r="GC209">
        <v>285.024</v>
      </c>
      <c r="GD209">
        <v>27.6726</v>
      </c>
      <c r="GE209">
        <v>38.8197</v>
      </c>
      <c r="GF209">
        <v>30.0002</v>
      </c>
      <c r="GG209">
        <v>38.6971</v>
      </c>
      <c r="GH209">
        <v>38.6859</v>
      </c>
      <c r="GI209">
        <v>-1</v>
      </c>
      <c r="GJ209">
        <v>100</v>
      </c>
      <c r="GK209">
        <v>0</v>
      </c>
      <c r="GL209">
        <v>27.6789</v>
      </c>
      <c r="GM209">
        <v>1200</v>
      </c>
      <c r="GN209">
        <v>19.4378</v>
      </c>
      <c r="GO209">
        <v>100.874</v>
      </c>
      <c r="GP209">
        <v>96.09139999999999</v>
      </c>
    </row>
    <row r="210" spans="1:198">
      <c r="A210">
        <v>194</v>
      </c>
      <c r="B210">
        <v>1773207681.6</v>
      </c>
      <c r="C210">
        <v>11581.59999990463</v>
      </c>
      <c r="D210" t="s">
        <v>721</v>
      </c>
      <c r="E210" t="s">
        <v>722</v>
      </c>
      <c r="F210">
        <v>15</v>
      </c>
      <c r="G210">
        <v>1773207673.599999</v>
      </c>
      <c r="H210">
        <f>(I210)/1000</f>
        <v>0</v>
      </c>
      <c r="I210">
        <f>1000*AY210*AG210*(AU210-AV210)/(100*AN210*(1000-AG210*AU210))</f>
        <v>0</v>
      </c>
      <c r="J210">
        <f>AY210*AG210*(AT210-AS210*(1000-AG210*AV210)/(1000-AG210*AU210))/(100*AN210)</f>
        <v>0</v>
      </c>
      <c r="K210">
        <f>AS210 - IF(AG210&gt;1, J210*AN210*100.0/(AI210), 0)</f>
        <v>0</v>
      </c>
      <c r="L210">
        <f>((R210-H210/2)*K210-J210)/(R210+H210/2)</f>
        <v>0</v>
      </c>
      <c r="M210">
        <f>L210*(AZ210+BA210)/1000.0</f>
        <v>0</v>
      </c>
      <c r="N210">
        <f>(AS210 - IF(AG210&gt;1, J210*AN210*100.0/(AI210), 0))*(AZ210+BA210)/1000.0</f>
        <v>0</v>
      </c>
      <c r="O210">
        <f>2.0/((1/Q210-1/P210)+SIGN(Q210)*SQRT((1/Q210-1/P210)*(1/Q210-1/P210) + 4*AO210/((AO210+1)*(AO210+1))*(2*1/Q210*1/P210-1/P210*1/P210)))</f>
        <v>0</v>
      </c>
      <c r="P210">
        <f>IF(LEFT(AP210,1)&lt;&gt;"0",IF(LEFT(AP210,1)="1",3.0,AQ210),$D$5+$E$5*(BG210*AZ210/($K$5*1000))+$F$5*(BG210*AZ210/($K$5*1000))*MAX(MIN(AN210,$J$5),$I$5)*MAX(MIN(AN210,$J$5),$I$5)+$G$5*MAX(MIN(AN210,$J$5),$I$5)*(BG210*AZ210/($K$5*1000))+$H$5*(BG210*AZ210/($K$5*1000))*(BG210*AZ210/($K$5*1000)))</f>
        <v>0</v>
      </c>
      <c r="Q210">
        <f>H210*(1000-(1000*0.61365*exp(17.502*U210/(240.97+U210))/(AZ210+BA210)+AU210)/2)/(1000*0.61365*exp(17.502*U210/(240.97+U210))/(AZ210+BA210)-AU210)</f>
        <v>0</v>
      </c>
      <c r="R210">
        <f>1/((AO210+1)/(O210/1.6)+1/(P210/1.37)) + AO210/((AO210+1)/(O210/1.6) + AO210/(P210/1.37))</f>
        <v>0</v>
      </c>
      <c r="S210">
        <f>(AJ210*AM210)</f>
        <v>0</v>
      </c>
      <c r="T210">
        <f>(BB210+(S210+2*0.95*5.67E-8*(((BB210+$B$7)+273)^4-(BB210+273)^4)-44100*H210)/(1.84*29.3*P210+8*0.95*5.67E-8*(BB210+273)^3))</f>
        <v>0</v>
      </c>
      <c r="U210">
        <f>($C$7*BC210+$D$7*BD210+$E$7*T210)</f>
        <v>0</v>
      </c>
      <c r="V210">
        <f>0.61365*exp(17.502*U210/(240.97+U210))</f>
        <v>0</v>
      </c>
      <c r="W210">
        <f>(X210/Y210*100)</f>
        <v>0</v>
      </c>
      <c r="X210">
        <f>AU210*(AZ210+BA210)/1000</f>
        <v>0</v>
      </c>
      <c r="Y210">
        <f>0.61365*exp(17.502*BB210/(240.97+BB210))</f>
        <v>0</v>
      </c>
      <c r="Z210">
        <f>(V210-AU210*(AZ210+BA210)/1000)</f>
        <v>0</v>
      </c>
      <c r="AA210">
        <f>(-H210*44100)</f>
        <v>0</v>
      </c>
      <c r="AB210">
        <f>2*29.3*P210*0.92*(BB210-U210)</f>
        <v>0</v>
      </c>
      <c r="AC210">
        <f>2*0.95*5.67E-8*(((BB210+$B$7)+273)^4-(U210+273)^4)</f>
        <v>0</v>
      </c>
      <c r="AD210">
        <f>S210+AC210+AA210+AB210</f>
        <v>0</v>
      </c>
      <c r="AE210">
        <v>0</v>
      </c>
      <c r="AF210">
        <v>0</v>
      </c>
      <c r="AG210">
        <f>IF(AE210*$H$13&gt;=AI210,1.0,(AI210/(AI210-AE210*$H$13)))</f>
        <v>0</v>
      </c>
      <c r="AH210">
        <f>(AG210-1)*100</f>
        <v>0</v>
      </c>
      <c r="AI210">
        <f>MAX(0,($B$13+$C$13*BG210)/(1+$D$13*BG210)*AZ210/(BB210+273)*$E$13)</f>
        <v>0</v>
      </c>
      <c r="AJ210">
        <f>$B$11*BH210+$C$11*BI210+$D$11*BT210</f>
        <v>0</v>
      </c>
      <c r="AK210">
        <f>AJ210*AL210</f>
        <v>0</v>
      </c>
      <c r="AL210">
        <f>($B$11*$D$9+$C$11*$D$9+$D$11*(BU210*$E$9+BV210*$G$9))/($B$11+$C$11+$D$11)</f>
        <v>0</v>
      </c>
      <c r="AM210">
        <f>($B$11*$K$9+$C$11*$K$9+$D$11*(BU210*$L$9+BV210*$N$9))/($B$11+$C$11+$D$11)</f>
        <v>0</v>
      </c>
      <c r="AN210">
        <v>3</v>
      </c>
      <c r="AO210">
        <v>0.5</v>
      </c>
      <c r="AP210" t="s">
        <v>331</v>
      </c>
      <c r="AQ210">
        <v>2</v>
      </c>
      <c r="AR210">
        <v>1773207673.599999</v>
      </c>
      <c r="AS210">
        <v>419.0255161290323</v>
      </c>
      <c r="AT210">
        <v>416.6968064516129</v>
      </c>
      <c r="AU210">
        <v>13.92004838709677</v>
      </c>
      <c r="AV210">
        <v>13.82667419354839</v>
      </c>
      <c r="AW210">
        <v>412.7940322580646</v>
      </c>
      <c r="AX210">
        <v>13.83946129032258</v>
      </c>
      <c r="AY210">
        <v>499.9411935483872</v>
      </c>
      <c r="AZ210">
        <v>99.99397096774194</v>
      </c>
      <c r="BA210">
        <v>0.04543587096774194</v>
      </c>
      <c r="BB210">
        <v>30.80742258064516</v>
      </c>
      <c r="BC210">
        <v>31.18882258064516</v>
      </c>
      <c r="BD210">
        <v>999.9000000000003</v>
      </c>
      <c r="BE210">
        <v>0</v>
      </c>
      <c r="BF210">
        <v>0</v>
      </c>
      <c r="BG210">
        <v>4994.564516129032</v>
      </c>
      <c r="BH210">
        <v>1.009029741935484</v>
      </c>
      <c r="BI210">
        <v>1976.855161290323</v>
      </c>
      <c r="BJ210">
        <v>2.328661290322581</v>
      </c>
      <c r="BK210">
        <v>424.9406774193549</v>
      </c>
      <c r="BL210">
        <v>422.5391935483871</v>
      </c>
      <c r="BM210">
        <v>0.09337453548387097</v>
      </c>
      <c r="BN210">
        <v>416.6968064516129</v>
      </c>
      <c r="BO210">
        <v>13.82667419354839</v>
      </c>
      <c r="BP210">
        <v>1.39192</v>
      </c>
      <c r="BQ210">
        <v>1.382584193548387</v>
      </c>
      <c r="BR210">
        <v>11.8299</v>
      </c>
      <c r="BS210">
        <v>11.72795483870967</v>
      </c>
      <c r="BT210">
        <v>0</v>
      </c>
      <c r="BU210">
        <v>0</v>
      </c>
      <c r="BV210">
        <v>0</v>
      </c>
      <c r="BW210">
        <v>36</v>
      </c>
      <c r="BX210">
        <v>62</v>
      </c>
      <c r="BY210">
        <v>1773196010</v>
      </c>
      <c r="BZ210" t="s">
        <v>332</v>
      </c>
      <c r="CA210">
        <v>1773196010</v>
      </c>
      <c r="CB210">
        <v>1773196005.5</v>
      </c>
      <c r="CC210">
        <v>2</v>
      </c>
      <c r="CD210">
        <v>-0.279</v>
      </c>
      <c r="CE210">
        <v>-0.021</v>
      </c>
      <c r="CF210">
        <v>6.231</v>
      </c>
      <c r="CG210">
        <v>0.081</v>
      </c>
      <c r="CH210">
        <v>432</v>
      </c>
      <c r="CI210">
        <v>21</v>
      </c>
      <c r="CJ210">
        <v>0.03</v>
      </c>
      <c r="CK210">
        <v>0.06</v>
      </c>
      <c r="CL210">
        <v>416.6958666666667</v>
      </c>
      <c r="CM210">
        <v>-0.06540600667226532</v>
      </c>
      <c r="CN210">
        <v>0.0170014378476921</v>
      </c>
      <c r="CO210">
        <v>-1</v>
      </c>
      <c r="CP210">
        <v>499.9507</v>
      </c>
      <c r="CQ210">
        <v>-0.4088008898774836</v>
      </c>
      <c r="CR210">
        <v>0.05251358554380401</v>
      </c>
      <c r="CS210">
        <v>-1</v>
      </c>
      <c r="CT210">
        <v>0</v>
      </c>
      <c r="CU210">
        <v>0</v>
      </c>
      <c r="CV210" t="s">
        <v>333</v>
      </c>
      <c r="CW210">
        <v>3.1715</v>
      </c>
      <c r="CX210">
        <v>2.66751</v>
      </c>
      <c r="CY210">
        <v>0.09806960000000001</v>
      </c>
      <c r="CZ210">
        <v>0.0988306</v>
      </c>
      <c r="DA210">
        <v>0.07476869999999999</v>
      </c>
      <c r="DB210">
        <v>0.07445110000000001</v>
      </c>
      <c r="DC210">
        <v>21301.6</v>
      </c>
      <c r="DD210">
        <v>21894.5</v>
      </c>
      <c r="DE210">
        <v>22775.3</v>
      </c>
      <c r="DF210">
        <v>22247.2</v>
      </c>
      <c r="DG210">
        <v>31874.1</v>
      </c>
      <c r="DH210">
        <v>29003.9</v>
      </c>
      <c r="DI210">
        <v>40095.6</v>
      </c>
      <c r="DJ210">
        <v>36794.3</v>
      </c>
      <c r="DK210">
        <v>2.01682</v>
      </c>
      <c r="DL210">
        <v>1.4795</v>
      </c>
      <c r="DM210">
        <v>-0.09977220000000001</v>
      </c>
      <c r="DN210">
        <v>0</v>
      </c>
      <c r="DO210">
        <v>32.8153</v>
      </c>
      <c r="DP210">
        <v>999.9</v>
      </c>
      <c r="DQ210">
        <v>23.2</v>
      </c>
      <c r="DR210">
        <v>46.5</v>
      </c>
      <c r="DS210">
        <v>24.1514</v>
      </c>
      <c r="DT210">
        <v>30.0692</v>
      </c>
      <c r="DU210">
        <v>14.6114</v>
      </c>
      <c r="DV210">
        <v>1</v>
      </c>
      <c r="DW210">
        <v>0.97276</v>
      </c>
      <c r="DX210">
        <v>4.28961</v>
      </c>
      <c r="DY210">
        <v>20.2966</v>
      </c>
      <c r="DZ210">
        <v>5.2089</v>
      </c>
      <c r="EA210">
        <v>11.859</v>
      </c>
      <c r="EB210">
        <v>4.96628</v>
      </c>
      <c r="EC210">
        <v>3.29284</v>
      </c>
      <c r="ED210">
        <v>879.4</v>
      </c>
      <c r="EE210">
        <v>9999</v>
      </c>
      <c r="EF210">
        <v>9999</v>
      </c>
      <c r="EG210">
        <v>79.2</v>
      </c>
      <c r="EH210">
        <v>4.97158</v>
      </c>
      <c r="EI210">
        <v>1.8721</v>
      </c>
      <c r="EJ210">
        <v>1.86949</v>
      </c>
      <c r="EK210">
        <v>1.8718</v>
      </c>
      <c r="EL210">
        <v>1.86962</v>
      </c>
      <c r="EM210">
        <v>1.86837</v>
      </c>
      <c r="EN210">
        <v>1.87017</v>
      </c>
      <c r="EO210">
        <v>1.87195</v>
      </c>
      <c r="EP210">
        <v>0</v>
      </c>
      <c r="EQ210">
        <v>0</v>
      </c>
      <c r="ER210">
        <v>0</v>
      </c>
      <c r="ES210">
        <v>0</v>
      </c>
      <c r="ET210" t="s">
        <v>334</v>
      </c>
      <c r="EU210" t="s">
        <v>335</v>
      </c>
      <c r="EV210" t="s">
        <v>336</v>
      </c>
      <c r="EW210" t="s">
        <v>336</v>
      </c>
      <c r="EX210" t="s">
        <v>336</v>
      </c>
      <c r="EY210" t="s">
        <v>336</v>
      </c>
      <c r="EZ210">
        <v>0</v>
      </c>
      <c r="FA210">
        <v>100</v>
      </c>
      <c r="FB210">
        <v>100</v>
      </c>
      <c r="FC210">
        <v>6.232</v>
      </c>
      <c r="FD210">
        <v>0.0806</v>
      </c>
      <c r="FE210">
        <v>6.23135000000002</v>
      </c>
      <c r="FF210">
        <v>0</v>
      </c>
      <c r="FG210">
        <v>0</v>
      </c>
      <c r="FH210">
        <v>0</v>
      </c>
      <c r="FI210">
        <v>0.08059047619047632</v>
      </c>
      <c r="FJ210">
        <v>0</v>
      </c>
      <c r="FK210">
        <v>0</v>
      </c>
      <c r="FL210">
        <v>0</v>
      </c>
      <c r="FM210">
        <v>-1</v>
      </c>
      <c r="FN210">
        <v>-1</v>
      </c>
      <c r="FO210">
        <v>-1</v>
      </c>
      <c r="FP210">
        <v>-1</v>
      </c>
      <c r="FQ210">
        <v>194.5</v>
      </c>
      <c r="FR210">
        <v>194.6</v>
      </c>
      <c r="FS210">
        <v>0.140381</v>
      </c>
      <c r="FT210">
        <v>4.99756</v>
      </c>
      <c r="FU210">
        <v>1.5979</v>
      </c>
      <c r="FV210">
        <v>2.10815</v>
      </c>
      <c r="FW210">
        <v>1.54785</v>
      </c>
      <c r="FX210">
        <v>2.48779</v>
      </c>
      <c r="FY210">
        <v>48.3316</v>
      </c>
      <c r="FZ210">
        <v>14.8588</v>
      </c>
      <c r="GA210">
        <v>3</v>
      </c>
      <c r="GB210">
        <v>520.8920000000001</v>
      </c>
      <c r="GC210">
        <v>284.592</v>
      </c>
      <c r="GD210">
        <v>27.5977</v>
      </c>
      <c r="GE210">
        <v>38.8542</v>
      </c>
      <c r="GF210">
        <v>30</v>
      </c>
      <c r="GG210">
        <v>38.7321</v>
      </c>
      <c r="GH210">
        <v>38.7193</v>
      </c>
      <c r="GI210">
        <v>-1</v>
      </c>
      <c r="GJ210">
        <v>100</v>
      </c>
      <c r="GK210">
        <v>0</v>
      </c>
      <c r="GL210">
        <v>27.6289</v>
      </c>
      <c r="GM210">
        <v>1200</v>
      </c>
      <c r="GN210">
        <v>19.4378</v>
      </c>
      <c r="GO210">
        <v>100.864</v>
      </c>
      <c r="GP210">
        <v>96.08369999999999</v>
      </c>
    </row>
    <row r="211" spans="1:198">
      <c r="A211">
        <v>195</v>
      </c>
      <c r="B211">
        <v>1773207741.6</v>
      </c>
      <c r="C211">
        <v>11641.59999990463</v>
      </c>
      <c r="D211" t="s">
        <v>723</v>
      </c>
      <c r="E211" t="s">
        <v>724</v>
      </c>
      <c r="F211">
        <v>15</v>
      </c>
      <c r="G211">
        <v>1773207733.599999</v>
      </c>
      <c r="H211">
        <f>(I211)/1000</f>
        <v>0</v>
      </c>
      <c r="I211">
        <f>1000*AY211*AG211*(AU211-AV211)/(100*AN211*(1000-AG211*AU211))</f>
        <v>0</v>
      </c>
      <c r="J211">
        <f>AY211*AG211*(AT211-AS211*(1000-AG211*AV211)/(1000-AG211*AU211))/(100*AN211)</f>
        <v>0</v>
      </c>
      <c r="K211">
        <f>AS211 - IF(AG211&gt;1, J211*AN211*100.0/(AI211), 0)</f>
        <v>0</v>
      </c>
      <c r="L211">
        <f>((R211-H211/2)*K211-J211)/(R211+H211/2)</f>
        <v>0</v>
      </c>
      <c r="M211">
        <f>L211*(AZ211+BA211)/1000.0</f>
        <v>0</v>
      </c>
      <c r="N211">
        <f>(AS211 - IF(AG211&gt;1, J211*AN211*100.0/(AI211), 0))*(AZ211+BA211)/1000.0</f>
        <v>0</v>
      </c>
      <c r="O211">
        <f>2.0/((1/Q211-1/P211)+SIGN(Q211)*SQRT((1/Q211-1/P211)*(1/Q211-1/P211) + 4*AO211/((AO211+1)*(AO211+1))*(2*1/Q211*1/P211-1/P211*1/P211)))</f>
        <v>0</v>
      </c>
      <c r="P211">
        <f>IF(LEFT(AP211,1)&lt;&gt;"0",IF(LEFT(AP211,1)="1",3.0,AQ211),$D$5+$E$5*(BG211*AZ211/($K$5*1000))+$F$5*(BG211*AZ211/($K$5*1000))*MAX(MIN(AN211,$J$5),$I$5)*MAX(MIN(AN211,$J$5),$I$5)+$G$5*MAX(MIN(AN211,$J$5),$I$5)*(BG211*AZ211/($K$5*1000))+$H$5*(BG211*AZ211/($K$5*1000))*(BG211*AZ211/($K$5*1000)))</f>
        <v>0</v>
      </c>
      <c r="Q211">
        <f>H211*(1000-(1000*0.61365*exp(17.502*U211/(240.97+U211))/(AZ211+BA211)+AU211)/2)/(1000*0.61365*exp(17.502*U211/(240.97+U211))/(AZ211+BA211)-AU211)</f>
        <v>0</v>
      </c>
      <c r="R211">
        <f>1/((AO211+1)/(O211/1.6)+1/(P211/1.37)) + AO211/((AO211+1)/(O211/1.6) + AO211/(P211/1.37))</f>
        <v>0</v>
      </c>
      <c r="S211">
        <f>(AJ211*AM211)</f>
        <v>0</v>
      </c>
      <c r="T211">
        <f>(BB211+(S211+2*0.95*5.67E-8*(((BB211+$B$7)+273)^4-(BB211+273)^4)-44100*H211)/(1.84*29.3*P211+8*0.95*5.67E-8*(BB211+273)^3))</f>
        <v>0</v>
      </c>
      <c r="U211">
        <f>($C$7*BC211+$D$7*BD211+$E$7*T211)</f>
        <v>0</v>
      </c>
      <c r="V211">
        <f>0.61365*exp(17.502*U211/(240.97+U211))</f>
        <v>0</v>
      </c>
      <c r="W211">
        <f>(X211/Y211*100)</f>
        <v>0</v>
      </c>
      <c r="X211">
        <f>AU211*(AZ211+BA211)/1000</f>
        <v>0</v>
      </c>
      <c r="Y211">
        <f>0.61365*exp(17.502*BB211/(240.97+BB211))</f>
        <v>0</v>
      </c>
      <c r="Z211">
        <f>(V211-AU211*(AZ211+BA211)/1000)</f>
        <v>0</v>
      </c>
      <c r="AA211">
        <f>(-H211*44100)</f>
        <v>0</v>
      </c>
      <c r="AB211">
        <f>2*29.3*P211*0.92*(BB211-U211)</f>
        <v>0</v>
      </c>
      <c r="AC211">
        <f>2*0.95*5.67E-8*(((BB211+$B$7)+273)^4-(U211+273)^4)</f>
        <v>0</v>
      </c>
      <c r="AD211">
        <f>S211+AC211+AA211+AB211</f>
        <v>0</v>
      </c>
      <c r="AE211">
        <v>0</v>
      </c>
      <c r="AF211">
        <v>0</v>
      </c>
      <c r="AG211">
        <f>IF(AE211*$H$13&gt;=AI211,1.0,(AI211/(AI211-AE211*$H$13)))</f>
        <v>0</v>
      </c>
      <c r="AH211">
        <f>(AG211-1)*100</f>
        <v>0</v>
      </c>
      <c r="AI211">
        <f>MAX(0,($B$13+$C$13*BG211)/(1+$D$13*BG211)*AZ211/(BB211+273)*$E$13)</f>
        <v>0</v>
      </c>
      <c r="AJ211">
        <f>$B$11*BH211+$C$11*BI211+$D$11*BT211</f>
        <v>0</v>
      </c>
      <c r="AK211">
        <f>AJ211*AL211</f>
        <v>0</v>
      </c>
      <c r="AL211">
        <f>($B$11*$D$9+$C$11*$D$9+$D$11*(BU211*$E$9+BV211*$G$9))/($B$11+$C$11+$D$11)</f>
        <v>0</v>
      </c>
      <c r="AM211">
        <f>($B$11*$K$9+$C$11*$K$9+$D$11*(BU211*$L$9+BV211*$N$9))/($B$11+$C$11+$D$11)</f>
        <v>0</v>
      </c>
      <c r="AN211">
        <v>3</v>
      </c>
      <c r="AO211">
        <v>0.5</v>
      </c>
      <c r="AP211" t="s">
        <v>331</v>
      </c>
      <c r="AQ211">
        <v>2</v>
      </c>
      <c r="AR211">
        <v>1773207733.599999</v>
      </c>
      <c r="AS211">
        <v>419.2233225806452</v>
      </c>
      <c r="AT211">
        <v>416.876935483871</v>
      </c>
      <c r="AU211">
        <v>13.94888387096774</v>
      </c>
      <c r="AV211">
        <v>13.85925161290322</v>
      </c>
      <c r="AW211">
        <v>412.991870967742</v>
      </c>
      <c r="AX211">
        <v>13.8682935483871</v>
      </c>
      <c r="AY211">
        <v>499.9914838709678</v>
      </c>
      <c r="AZ211">
        <v>99.99110967741936</v>
      </c>
      <c r="BA211">
        <v>0.04607332580645161</v>
      </c>
      <c r="BB211">
        <v>30.8564</v>
      </c>
      <c r="BC211">
        <v>31.22324838709677</v>
      </c>
      <c r="BD211">
        <v>999.9000000000003</v>
      </c>
      <c r="BE211">
        <v>0</v>
      </c>
      <c r="BF211">
        <v>0</v>
      </c>
      <c r="BG211">
        <v>4995.241935483871</v>
      </c>
      <c r="BH211">
        <v>1.051416129032258</v>
      </c>
      <c r="BI211">
        <v>1966.469677419355</v>
      </c>
      <c r="BJ211">
        <v>2.346351935483871</v>
      </c>
      <c r="BK211">
        <v>425.1536129032259</v>
      </c>
      <c r="BL211">
        <v>422.7357419354839</v>
      </c>
      <c r="BM211">
        <v>0.08963104193548387</v>
      </c>
      <c r="BN211">
        <v>416.876935483871</v>
      </c>
      <c r="BO211">
        <v>13.85925161290322</v>
      </c>
      <c r="BP211">
        <v>1.394764838709677</v>
      </c>
      <c r="BQ211">
        <v>1.385801612903226</v>
      </c>
      <c r="BR211">
        <v>11.86083870967742</v>
      </c>
      <c r="BS211">
        <v>11.76316774193548</v>
      </c>
      <c r="BT211">
        <v>0</v>
      </c>
      <c r="BU211">
        <v>0</v>
      </c>
      <c r="BV211">
        <v>0</v>
      </c>
      <c r="BW211">
        <v>36</v>
      </c>
      <c r="BX211">
        <v>62.00107419354839</v>
      </c>
      <c r="BY211">
        <v>1773196010</v>
      </c>
      <c r="BZ211" t="s">
        <v>332</v>
      </c>
      <c r="CA211">
        <v>1773196010</v>
      </c>
      <c r="CB211">
        <v>1773196005.5</v>
      </c>
      <c r="CC211">
        <v>2</v>
      </c>
      <c r="CD211">
        <v>-0.279</v>
      </c>
      <c r="CE211">
        <v>-0.021</v>
      </c>
      <c r="CF211">
        <v>6.231</v>
      </c>
      <c r="CG211">
        <v>0.081</v>
      </c>
      <c r="CH211">
        <v>432</v>
      </c>
      <c r="CI211">
        <v>21</v>
      </c>
      <c r="CJ211">
        <v>0.03</v>
      </c>
      <c r="CK211">
        <v>0.06</v>
      </c>
      <c r="CL211">
        <v>416.88</v>
      </c>
      <c r="CM211">
        <v>-0.4845483870980393</v>
      </c>
      <c r="CN211">
        <v>0.03880389072610915</v>
      </c>
      <c r="CO211">
        <v>-1</v>
      </c>
      <c r="CP211">
        <v>499.9900645161291</v>
      </c>
      <c r="CQ211">
        <v>0.07858064516099733</v>
      </c>
      <c r="CR211">
        <v>0.03630421239565872</v>
      </c>
      <c r="CS211">
        <v>-1</v>
      </c>
      <c r="CT211">
        <v>0</v>
      </c>
      <c r="CU211">
        <v>0</v>
      </c>
      <c r="CV211" t="s">
        <v>333</v>
      </c>
      <c r="CW211">
        <v>3.17174</v>
      </c>
      <c r="CX211">
        <v>2.66845</v>
      </c>
      <c r="CY211">
        <v>0.0981007</v>
      </c>
      <c r="CZ211">
        <v>0.0988435</v>
      </c>
      <c r="DA211">
        <v>0.0748702</v>
      </c>
      <c r="DB211">
        <v>0.0745875</v>
      </c>
      <c r="DC211">
        <v>21300.2</v>
      </c>
      <c r="DD211">
        <v>21893.5</v>
      </c>
      <c r="DE211">
        <v>22774.7</v>
      </c>
      <c r="DF211">
        <v>22246.5</v>
      </c>
      <c r="DG211">
        <v>31869.7</v>
      </c>
      <c r="DH211">
        <v>28998.6</v>
      </c>
      <c r="DI211">
        <v>40094.5</v>
      </c>
      <c r="DJ211">
        <v>36793</v>
      </c>
      <c r="DK211">
        <v>2.01678</v>
      </c>
      <c r="DL211">
        <v>1.47804</v>
      </c>
      <c r="DM211">
        <v>-0.105333</v>
      </c>
      <c r="DN211">
        <v>0</v>
      </c>
      <c r="DO211">
        <v>32.9029</v>
      </c>
      <c r="DP211">
        <v>999.9</v>
      </c>
      <c r="DQ211">
        <v>23.3</v>
      </c>
      <c r="DR211">
        <v>46.5</v>
      </c>
      <c r="DS211">
        <v>24.2572</v>
      </c>
      <c r="DT211">
        <v>30.6392</v>
      </c>
      <c r="DU211">
        <v>14.1947</v>
      </c>
      <c r="DV211">
        <v>1</v>
      </c>
      <c r="DW211">
        <v>0.981358</v>
      </c>
      <c r="DX211">
        <v>5.31</v>
      </c>
      <c r="DY211">
        <v>20.262</v>
      </c>
      <c r="DZ211">
        <v>5.20818</v>
      </c>
      <c r="EA211">
        <v>11.86</v>
      </c>
      <c r="EB211">
        <v>4.96612</v>
      </c>
      <c r="EC211">
        <v>3.29292</v>
      </c>
      <c r="ED211">
        <v>879.4</v>
      </c>
      <c r="EE211">
        <v>9999</v>
      </c>
      <c r="EF211">
        <v>9999</v>
      </c>
      <c r="EG211">
        <v>79.3</v>
      </c>
      <c r="EH211">
        <v>4.97157</v>
      </c>
      <c r="EI211">
        <v>1.8721</v>
      </c>
      <c r="EJ211">
        <v>1.8695</v>
      </c>
      <c r="EK211">
        <v>1.8718</v>
      </c>
      <c r="EL211">
        <v>1.86957</v>
      </c>
      <c r="EM211">
        <v>1.86843</v>
      </c>
      <c r="EN211">
        <v>1.87012</v>
      </c>
      <c r="EO211">
        <v>1.87194</v>
      </c>
      <c r="EP211">
        <v>0</v>
      </c>
      <c r="EQ211">
        <v>0</v>
      </c>
      <c r="ER211">
        <v>0</v>
      </c>
      <c r="ES211">
        <v>0</v>
      </c>
      <c r="ET211" t="s">
        <v>334</v>
      </c>
      <c r="EU211" t="s">
        <v>335</v>
      </c>
      <c r="EV211" t="s">
        <v>336</v>
      </c>
      <c r="EW211" t="s">
        <v>336</v>
      </c>
      <c r="EX211" t="s">
        <v>336</v>
      </c>
      <c r="EY211" t="s">
        <v>336</v>
      </c>
      <c r="EZ211">
        <v>0</v>
      </c>
      <c r="FA211">
        <v>100</v>
      </c>
      <c r="FB211">
        <v>100</v>
      </c>
      <c r="FC211">
        <v>6.231</v>
      </c>
      <c r="FD211">
        <v>0.0806</v>
      </c>
      <c r="FE211">
        <v>6.23135000000002</v>
      </c>
      <c r="FF211">
        <v>0</v>
      </c>
      <c r="FG211">
        <v>0</v>
      </c>
      <c r="FH211">
        <v>0</v>
      </c>
      <c r="FI211">
        <v>0.08059047619047632</v>
      </c>
      <c r="FJ211">
        <v>0</v>
      </c>
      <c r="FK211">
        <v>0</v>
      </c>
      <c r="FL211">
        <v>0</v>
      </c>
      <c r="FM211">
        <v>-1</v>
      </c>
      <c r="FN211">
        <v>-1</v>
      </c>
      <c r="FO211">
        <v>-1</v>
      </c>
      <c r="FP211">
        <v>-1</v>
      </c>
      <c r="FQ211">
        <v>195.5</v>
      </c>
      <c r="FR211">
        <v>195.6</v>
      </c>
      <c r="FS211">
        <v>0.140381</v>
      </c>
      <c r="FT211">
        <v>4.99756</v>
      </c>
      <c r="FU211">
        <v>1.5979</v>
      </c>
      <c r="FV211">
        <v>2.10815</v>
      </c>
      <c r="FW211">
        <v>1.54785</v>
      </c>
      <c r="FX211">
        <v>2.38281</v>
      </c>
      <c r="FY211">
        <v>48.3623</v>
      </c>
      <c r="FZ211">
        <v>14.8238</v>
      </c>
      <c r="GA211">
        <v>3</v>
      </c>
      <c r="GB211">
        <v>521.013</v>
      </c>
      <c r="GC211">
        <v>283.985</v>
      </c>
      <c r="GD211">
        <v>26.8239</v>
      </c>
      <c r="GE211">
        <v>38.879</v>
      </c>
      <c r="GF211">
        <v>30.0001</v>
      </c>
      <c r="GG211">
        <v>38.7537</v>
      </c>
      <c r="GH211">
        <v>38.7385</v>
      </c>
      <c r="GI211">
        <v>-1</v>
      </c>
      <c r="GJ211">
        <v>100</v>
      </c>
      <c r="GK211">
        <v>0</v>
      </c>
      <c r="GL211">
        <v>26.8243</v>
      </c>
      <c r="GM211">
        <v>1200</v>
      </c>
      <c r="GN211">
        <v>19.4378</v>
      </c>
      <c r="GO211">
        <v>100.861</v>
      </c>
      <c r="GP211">
        <v>96.0805</v>
      </c>
    </row>
    <row r="212" spans="1:198">
      <c r="A212">
        <v>196</v>
      </c>
      <c r="B212">
        <v>1773207801.6</v>
      </c>
      <c r="C212">
        <v>11701.59999990463</v>
      </c>
      <c r="D212" t="s">
        <v>725</v>
      </c>
      <c r="E212" t="s">
        <v>726</v>
      </c>
      <c r="F212">
        <v>15</v>
      </c>
      <c r="G212">
        <v>1773207793.599999</v>
      </c>
      <c r="H212">
        <f>(I212)/1000</f>
        <v>0</v>
      </c>
      <c r="I212">
        <f>1000*AY212*AG212*(AU212-AV212)/(100*AN212*(1000-AG212*AU212))</f>
        <v>0</v>
      </c>
      <c r="J212">
        <f>AY212*AG212*(AT212-AS212*(1000-AG212*AV212)/(1000-AG212*AU212))/(100*AN212)</f>
        <v>0</v>
      </c>
      <c r="K212">
        <f>AS212 - IF(AG212&gt;1, J212*AN212*100.0/(AI212), 0)</f>
        <v>0</v>
      </c>
      <c r="L212">
        <f>((R212-H212/2)*K212-J212)/(R212+H212/2)</f>
        <v>0</v>
      </c>
      <c r="M212">
        <f>L212*(AZ212+BA212)/1000.0</f>
        <v>0</v>
      </c>
      <c r="N212">
        <f>(AS212 - IF(AG212&gt;1, J212*AN212*100.0/(AI212), 0))*(AZ212+BA212)/1000.0</f>
        <v>0</v>
      </c>
      <c r="O212">
        <f>2.0/((1/Q212-1/P212)+SIGN(Q212)*SQRT((1/Q212-1/P212)*(1/Q212-1/P212) + 4*AO212/((AO212+1)*(AO212+1))*(2*1/Q212*1/P212-1/P212*1/P212)))</f>
        <v>0</v>
      </c>
      <c r="P212">
        <f>IF(LEFT(AP212,1)&lt;&gt;"0",IF(LEFT(AP212,1)="1",3.0,AQ212),$D$5+$E$5*(BG212*AZ212/($K$5*1000))+$F$5*(BG212*AZ212/($K$5*1000))*MAX(MIN(AN212,$J$5),$I$5)*MAX(MIN(AN212,$J$5),$I$5)+$G$5*MAX(MIN(AN212,$J$5),$I$5)*(BG212*AZ212/($K$5*1000))+$H$5*(BG212*AZ212/($K$5*1000))*(BG212*AZ212/($K$5*1000)))</f>
        <v>0</v>
      </c>
      <c r="Q212">
        <f>H212*(1000-(1000*0.61365*exp(17.502*U212/(240.97+U212))/(AZ212+BA212)+AU212)/2)/(1000*0.61365*exp(17.502*U212/(240.97+U212))/(AZ212+BA212)-AU212)</f>
        <v>0</v>
      </c>
      <c r="R212">
        <f>1/((AO212+1)/(O212/1.6)+1/(P212/1.37)) + AO212/((AO212+1)/(O212/1.6) + AO212/(P212/1.37))</f>
        <v>0</v>
      </c>
      <c r="S212">
        <f>(AJ212*AM212)</f>
        <v>0</v>
      </c>
      <c r="T212">
        <f>(BB212+(S212+2*0.95*5.67E-8*(((BB212+$B$7)+273)^4-(BB212+273)^4)-44100*H212)/(1.84*29.3*P212+8*0.95*5.67E-8*(BB212+273)^3))</f>
        <v>0</v>
      </c>
      <c r="U212">
        <f>($C$7*BC212+$D$7*BD212+$E$7*T212)</f>
        <v>0</v>
      </c>
      <c r="V212">
        <f>0.61365*exp(17.502*U212/(240.97+U212))</f>
        <v>0</v>
      </c>
      <c r="W212">
        <f>(X212/Y212*100)</f>
        <v>0</v>
      </c>
      <c r="X212">
        <f>AU212*(AZ212+BA212)/1000</f>
        <v>0</v>
      </c>
      <c r="Y212">
        <f>0.61365*exp(17.502*BB212/(240.97+BB212))</f>
        <v>0</v>
      </c>
      <c r="Z212">
        <f>(V212-AU212*(AZ212+BA212)/1000)</f>
        <v>0</v>
      </c>
      <c r="AA212">
        <f>(-H212*44100)</f>
        <v>0</v>
      </c>
      <c r="AB212">
        <f>2*29.3*P212*0.92*(BB212-U212)</f>
        <v>0</v>
      </c>
      <c r="AC212">
        <f>2*0.95*5.67E-8*(((BB212+$B$7)+273)^4-(U212+273)^4)</f>
        <v>0</v>
      </c>
      <c r="AD212">
        <f>S212+AC212+AA212+AB212</f>
        <v>0</v>
      </c>
      <c r="AE212">
        <v>0</v>
      </c>
      <c r="AF212">
        <v>0</v>
      </c>
      <c r="AG212">
        <f>IF(AE212*$H$13&gt;=AI212,1.0,(AI212/(AI212-AE212*$H$13)))</f>
        <v>0</v>
      </c>
      <c r="AH212">
        <f>(AG212-1)*100</f>
        <v>0</v>
      </c>
      <c r="AI212">
        <f>MAX(0,($B$13+$C$13*BG212)/(1+$D$13*BG212)*AZ212/(BB212+273)*$E$13)</f>
        <v>0</v>
      </c>
      <c r="AJ212">
        <f>$B$11*BH212+$C$11*BI212+$D$11*BT212</f>
        <v>0</v>
      </c>
      <c r="AK212">
        <f>AJ212*AL212</f>
        <v>0</v>
      </c>
      <c r="AL212">
        <f>($B$11*$D$9+$C$11*$D$9+$D$11*(BU212*$E$9+BV212*$G$9))/($B$11+$C$11+$D$11)</f>
        <v>0</v>
      </c>
      <c r="AM212">
        <f>($B$11*$K$9+$C$11*$K$9+$D$11*(BU212*$L$9+BV212*$N$9))/($B$11+$C$11+$D$11)</f>
        <v>0</v>
      </c>
      <c r="AN212">
        <v>3</v>
      </c>
      <c r="AO212">
        <v>0.5</v>
      </c>
      <c r="AP212" t="s">
        <v>331</v>
      </c>
      <c r="AQ212">
        <v>2</v>
      </c>
      <c r="AR212">
        <v>1773207793.599999</v>
      </c>
      <c r="AS212">
        <v>418.7372258064516</v>
      </c>
      <c r="AT212">
        <v>416.3396451612903</v>
      </c>
      <c r="AU212">
        <v>13.93749354838709</v>
      </c>
      <c r="AV212">
        <v>13.83132903225806</v>
      </c>
      <c r="AW212">
        <v>412.5058387096774</v>
      </c>
      <c r="AX212">
        <v>13.85689677419355</v>
      </c>
      <c r="AY212">
        <v>500.009129032258</v>
      </c>
      <c r="AZ212">
        <v>99.99182258064515</v>
      </c>
      <c r="BA212">
        <v>0.04542608387096774</v>
      </c>
      <c r="BB212">
        <v>30.74146129032258</v>
      </c>
      <c r="BC212">
        <v>31.11</v>
      </c>
      <c r="BD212">
        <v>999.9000000000003</v>
      </c>
      <c r="BE212">
        <v>0</v>
      </c>
      <c r="BF212">
        <v>0</v>
      </c>
      <c r="BG212">
        <v>5003.693548387097</v>
      </c>
      <c r="BH212">
        <v>1.033074225806452</v>
      </c>
      <c r="BI212">
        <v>2007.211612903225</v>
      </c>
      <c r="BJ212">
        <v>2.397574516129032</v>
      </c>
      <c r="BK212">
        <v>424.6559032258065</v>
      </c>
      <c r="BL212">
        <v>422.178870967742</v>
      </c>
      <c r="BM212">
        <v>0.1061566774193548</v>
      </c>
      <c r="BN212">
        <v>416.3396451612903</v>
      </c>
      <c r="BO212">
        <v>13.83132903225806</v>
      </c>
      <c r="BP212">
        <v>1.393634838709678</v>
      </c>
      <c r="BQ212">
        <v>1.383021290322581</v>
      </c>
      <c r="BR212">
        <v>11.84855806451613</v>
      </c>
      <c r="BS212">
        <v>11.73272903225806</v>
      </c>
      <c r="BT212">
        <v>0</v>
      </c>
      <c r="BU212">
        <v>0</v>
      </c>
      <c r="BV212">
        <v>0</v>
      </c>
      <c r="BW212">
        <v>36</v>
      </c>
      <c r="BX212">
        <v>63</v>
      </c>
      <c r="BY212">
        <v>1773196010</v>
      </c>
      <c r="BZ212" t="s">
        <v>332</v>
      </c>
      <c r="CA212">
        <v>1773196010</v>
      </c>
      <c r="CB212">
        <v>1773196005.5</v>
      </c>
      <c r="CC212">
        <v>2</v>
      </c>
      <c r="CD212">
        <v>-0.279</v>
      </c>
      <c r="CE212">
        <v>-0.021</v>
      </c>
      <c r="CF212">
        <v>6.231</v>
      </c>
      <c r="CG212">
        <v>0.081</v>
      </c>
      <c r="CH212">
        <v>432</v>
      </c>
      <c r="CI212">
        <v>21</v>
      </c>
      <c r="CJ212">
        <v>0.03</v>
      </c>
      <c r="CK212">
        <v>0.06</v>
      </c>
      <c r="CL212">
        <v>416.3372000000001</v>
      </c>
      <c r="CM212">
        <v>-0.3561290322580118</v>
      </c>
      <c r="CN212">
        <v>0.02921118507238777</v>
      </c>
      <c r="CO212">
        <v>-1</v>
      </c>
      <c r="CP212">
        <v>500.0092</v>
      </c>
      <c r="CQ212">
        <v>-0.7445606229139811</v>
      </c>
      <c r="CR212">
        <v>0.06882896677029665</v>
      </c>
      <c r="CS212">
        <v>-1</v>
      </c>
      <c r="CT212">
        <v>0</v>
      </c>
      <c r="CU212">
        <v>0</v>
      </c>
      <c r="CV212" t="s">
        <v>333</v>
      </c>
      <c r="CW212">
        <v>3.17166</v>
      </c>
      <c r="CX212">
        <v>2.66641</v>
      </c>
      <c r="CY212">
        <v>0.0979945</v>
      </c>
      <c r="CZ212">
        <v>0.0987459</v>
      </c>
      <c r="DA212">
        <v>0.0747859</v>
      </c>
      <c r="DB212">
        <v>0.07442840000000001</v>
      </c>
      <c r="DC212">
        <v>21302.8</v>
      </c>
      <c r="DD212">
        <v>21896.3</v>
      </c>
      <c r="DE212">
        <v>22774.8</v>
      </c>
      <c r="DF212">
        <v>22247</v>
      </c>
      <c r="DG212">
        <v>31872.9</v>
      </c>
      <c r="DH212">
        <v>29003.9</v>
      </c>
      <c r="DI212">
        <v>40094.9</v>
      </c>
      <c r="DJ212">
        <v>36793.6</v>
      </c>
      <c r="DK212">
        <v>2.0167</v>
      </c>
      <c r="DL212">
        <v>1.47902</v>
      </c>
      <c r="DM212">
        <v>-0.106567</v>
      </c>
      <c r="DN212">
        <v>0</v>
      </c>
      <c r="DO212">
        <v>32.8267</v>
      </c>
      <c r="DP212">
        <v>999.9</v>
      </c>
      <c r="DQ212">
        <v>23.2</v>
      </c>
      <c r="DR212">
        <v>46.6</v>
      </c>
      <c r="DS212">
        <v>24.2767</v>
      </c>
      <c r="DT212">
        <v>30.2792</v>
      </c>
      <c r="DU212">
        <v>14.2588</v>
      </c>
      <c r="DV212">
        <v>1</v>
      </c>
      <c r="DW212">
        <v>0.972157</v>
      </c>
      <c r="DX212">
        <v>4.0494</v>
      </c>
      <c r="DY212">
        <v>20.305</v>
      </c>
      <c r="DZ212">
        <v>5.20807</v>
      </c>
      <c r="EA212">
        <v>11.8591</v>
      </c>
      <c r="EB212">
        <v>4.96668</v>
      </c>
      <c r="EC212">
        <v>3.29292</v>
      </c>
      <c r="ED212">
        <v>879.4</v>
      </c>
      <c r="EE212">
        <v>9999</v>
      </c>
      <c r="EF212">
        <v>9999</v>
      </c>
      <c r="EG212">
        <v>79.3</v>
      </c>
      <c r="EH212">
        <v>4.97162</v>
      </c>
      <c r="EI212">
        <v>1.8721</v>
      </c>
      <c r="EJ212">
        <v>1.8695</v>
      </c>
      <c r="EK212">
        <v>1.8718</v>
      </c>
      <c r="EL212">
        <v>1.86958</v>
      </c>
      <c r="EM212">
        <v>1.86843</v>
      </c>
      <c r="EN212">
        <v>1.87015</v>
      </c>
      <c r="EO212">
        <v>1.87195</v>
      </c>
      <c r="EP212">
        <v>0</v>
      </c>
      <c r="EQ212">
        <v>0</v>
      </c>
      <c r="ER212">
        <v>0</v>
      </c>
      <c r="ES212">
        <v>0</v>
      </c>
      <c r="ET212" t="s">
        <v>334</v>
      </c>
      <c r="EU212" t="s">
        <v>335</v>
      </c>
      <c r="EV212" t="s">
        <v>336</v>
      </c>
      <c r="EW212" t="s">
        <v>336</v>
      </c>
      <c r="EX212" t="s">
        <v>336</v>
      </c>
      <c r="EY212" t="s">
        <v>336</v>
      </c>
      <c r="EZ212">
        <v>0</v>
      </c>
      <c r="FA212">
        <v>100</v>
      </c>
      <c r="FB212">
        <v>100</v>
      </c>
      <c r="FC212">
        <v>6.231</v>
      </c>
      <c r="FD212">
        <v>0.0806</v>
      </c>
      <c r="FE212">
        <v>6.23135000000002</v>
      </c>
      <c r="FF212">
        <v>0</v>
      </c>
      <c r="FG212">
        <v>0</v>
      </c>
      <c r="FH212">
        <v>0</v>
      </c>
      <c r="FI212">
        <v>0.08059047619047632</v>
      </c>
      <c r="FJ212">
        <v>0</v>
      </c>
      <c r="FK212">
        <v>0</v>
      </c>
      <c r="FL212">
        <v>0</v>
      </c>
      <c r="FM212">
        <v>-1</v>
      </c>
      <c r="FN212">
        <v>-1</v>
      </c>
      <c r="FO212">
        <v>-1</v>
      </c>
      <c r="FP212">
        <v>-1</v>
      </c>
      <c r="FQ212">
        <v>196.5</v>
      </c>
      <c r="FR212">
        <v>196.6</v>
      </c>
      <c r="FS212">
        <v>0.140381</v>
      </c>
      <c r="FT212">
        <v>4.99756</v>
      </c>
      <c r="FU212">
        <v>1.5979</v>
      </c>
      <c r="FV212">
        <v>2.10815</v>
      </c>
      <c r="FW212">
        <v>1.54785</v>
      </c>
      <c r="FX212">
        <v>2.44629</v>
      </c>
      <c r="FY212">
        <v>48.3623</v>
      </c>
      <c r="FZ212">
        <v>14.8413</v>
      </c>
      <c r="GA212">
        <v>3</v>
      </c>
      <c r="GB212">
        <v>521.011</v>
      </c>
      <c r="GC212">
        <v>284.452</v>
      </c>
      <c r="GD212">
        <v>27.4131</v>
      </c>
      <c r="GE212">
        <v>38.8885</v>
      </c>
      <c r="GF212">
        <v>29.9993</v>
      </c>
      <c r="GG212">
        <v>38.7606</v>
      </c>
      <c r="GH212">
        <v>38.7419</v>
      </c>
      <c r="GI212">
        <v>-1</v>
      </c>
      <c r="GJ212">
        <v>100</v>
      </c>
      <c r="GK212">
        <v>0</v>
      </c>
      <c r="GL212">
        <v>27.4359</v>
      </c>
      <c r="GM212">
        <v>1200</v>
      </c>
      <c r="GN212">
        <v>19.4378</v>
      </c>
      <c r="GO212">
        <v>100.862</v>
      </c>
      <c r="GP212">
        <v>96.0822</v>
      </c>
    </row>
    <row r="213" spans="1:198">
      <c r="A213">
        <v>197</v>
      </c>
      <c r="B213">
        <v>1773207861.6</v>
      </c>
      <c r="C213">
        <v>11761.59999990463</v>
      </c>
      <c r="D213" t="s">
        <v>727</v>
      </c>
      <c r="E213" t="s">
        <v>728</v>
      </c>
      <c r="F213">
        <v>15</v>
      </c>
      <c r="G213">
        <v>1773207853.599999</v>
      </c>
      <c r="H213">
        <f>(I213)/1000</f>
        <v>0</v>
      </c>
      <c r="I213">
        <f>1000*AY213*AG213*(AU213-AV213)/(100*AN213*(1000-AG213*AU213))</f>
        <v>0</v>
      </c>
      <c r="J213">
        <f>AY213*AG213*(AT213-AS213*(1000-AG213*AV213)/(1000-AG213*AU213))/(100*AN213)</f>
        <v>0</v>
      </c>
      <c r="K213">
        <f>AS213 - IF(AG213&gt;1, J213*AN213*100.0/(AI213), 0)</f>
        <v>0</v>
      </c>
      <c r="L213">
        <f>((R213-H213/2)*K213-J213)/(R213+H213/2)</f>
        <v>0</v>
      </c>
      <c r="M213">
        <f>L213*(AZ213+BA213)/1000.0</f>
        <v>0</v>
      </c>
      <c r="N213">
        <f>(AS213 - IF(AG213&gt;1, J213*AN213*100.0/(AI213), 0))*(AZ213+BA213)/1000.0</f>
        <v>0</v>
      </c>
      <c r="O213">
        <f>2.0/((1/Q213-1/P213)+SIGN(Q213)*SQRT((1/Q213-1/P213)*(1/Q213-1/P213) + 4*AO213/((AO213+1)*(AO213+1))*(2*1/Q213*1/P213-1/P213*1/P213)))</f>
        <v>0</v>
      </c>
      <c r="P213">
        <f>IF(LEFT(AP213,1)&lt;&gt;"0",IF(LEFT(AP213,1)="1",3.0,AQ213),$D$5+$E$5*(BG213*AZ213/($K$5*1000))+$F$5*(BG213*AZ213/($K$5*1000))*MAX(MIN(AN213,$J$5),$I$5)*MAX(MIN(AN213,$J$5),$I$5)+$G$5*MAX(MIN(AN213,$J$5),$I$5)*(BG213*AZ213/($K$5*1000))+$H$5*(BG213*AZ213/($K$5*1000))*(BG213*AZ213/($K$5*1000)))</f>
        <v>0</v>
      </c>
      <c r="Q213">
        <f>H213*(1000-(1000*0.61365*exp(17.502*U213/(240.97+U213))/(AZ213+BA213)+AU213)/2)/(1000*0.61365*exp(17.502*U213/(240.97+U213))/(AZ213+BA213)-AU213)</f>
        <v>0</v>
      </c>
      <c r="R213">
        <f>1/((AO213+1)/(O213/1.6)+1/(P213/1.37)) + AO213/((AO213+1)/(O213/1.6) + AO213/(P213/1.37))</f>
        <v>0</v>
      </c>
      <c r="S213">
        <f>(AJ213*AM213)</f>
        <v>0</v>
      </c>
      <c r="T213">
        <f>(BB213+(S213+2*0.95*5.67E-8*(((BB213+$B$7)+273)^4-(BB213+273)^4)-44100*H213)/(1.84*29.3*P213+8*0.95*5.67E-8*(BB213+273)^3))</f>
        <v>0</v>
      </c>
      <c r="U213">
        <f>($C$7*BC213+$D$7*BD213+$E$7*T213)</f>
        <v>0</v>
      </c>
      <c r="V213">
        <f>0.61365*exp(17.502*U213/(240.97+U213))</f>
        <v>0</v>
      </c>
      <c r="W213">
        <f>(X213/Y213*100)</f>
        <v>0</v>
      </c>
      <c r="X213">
        <f>AU213*(AZ213+BA213)/1000</f>
        <v>0</v>
      </c>
      <c r="Y213">
        <f>0.61365*exp(17.502*BB213/(240.97+BB213))</f>
        <v>0</v>
      </c>
      <c r="Z213">
        <f>(V213-AU213*(AZ213+BA213)/1000)</f>
        <v>0</v>
      </c>
      <c r="AA213">
        <f>(-H213*44100)</f>
        <v>0</v>
      </c>
      <c r="AB213">
        <f>2*29.3*P213*0.92*(BB213-U213)</f>
        <v>0</v>
      </c>
      <c r="AC213">
        <f>2*0.95*5.67E-8*(((BB213+$B$7)+273)^4-(U213+273)^4)</f>
        <v>0</v>
      </c>
      <c r="AD213">
        <f>S213+AC213+AA213+AB213</f>
        <v>0</v>
      </c>
      <c r="AE213">
        <v>0</v>
      </c>
      <c r="AF213">
        <v>0</v>
      </c>
      <c r="AG213">
        <f>IF(AE213*$H$13&gt;=AI213,1.0,(AI213/(AI213-AE213*$H$13)))</f>
        <v>0</v>
      </c>
      <c r="AH213">
        <f>(AG213-1)*100</f>
        <v>0</v>
      </c>
      <c r="AI213">
        <f>MAX(0,($B$13+$C$13*BG213)/(1+$D$13*BG213)*AZ213/(BB213+273)*$E$13)</f>
        <v>0</v>
      </c>
      <c r="AJ213">
        <f>$B$11*BH213+$C$11*BI213+$D$11*BT213</f>
        <v>0</v>
      </c>
      <c r="AK213">
        <f>AJ213*AL213</f>
        <v>0</v>
      </c>
      <c r="AL213">
        <f>($B$11*$D$9+$C$11*$D$9+$D$11*(BU213*$E$9+BV213*$G$9))/($B$11+$C$11+$D$11)</f>
        <v>0</v>
      </c>
      <c r="AM213">
        <f>($B$11*$K$9+$C$11*$K$9+$D$11*(BU213*$L$9+BV213*$N$9))/($B$11+$C$11+$D$11)</f>
        <v>0</v>
      </c>
      <c r="AN213">
        <v>3</v>
      </c>
      <c r="AO213">
        <v>0.5</v>
      </c>
      <c r="AP213" t="s">
        <v>331</v>
      </c>
      <c r="AQ213">
        <v>2</v>
      </c>
      <c r="AR213">
        <v>1773207853.599999</v>
      </c>
      <c r="AS213">
        <v>418.5935483870967</v>
      </c>
      <c r="AT213">
        <v>416.2189354838709</v>
      </c>
      <c r="AU213">
        <v>13.95154516129032</v>
      </c>
      <c r="AV213">
        <v>13.85748387096774</v>
      </c>
      <c r="AW213">
        <v>412.3621612903225</v>
      </c>
      <c r="AX213">
        <v>13.87095161290323</v>
      </c>
      <c r="AY213">
        <v>500.015064516129</v>
      </c>
      <c r="AZ213">
        <v>99.98910967741935</v>
      </c>
      <c r="BA213">
        <v>0.0457625806451613</v>
      </c>
      <c r="BB213">
        <v>30.77191290322581</v>
      </c>
      <c r="BC213">
        <v>31.13533225806452</v>
      </c>
      <c r="BD213">
        <v>999.9000000000003</v>
      </c>
      <c r="BE213">
        <v>0</v>
      </c>
      <c r="BF213">
        <v>0</v>
      </c>
      <c r="BG213">
        <v>5005.096774193548</v>
      </c>
      <c r="BH213">
        <v>1.017507258064516</v>
      </c>
      <c r="BI213">
        <v>1997.721935483871</v>
      </c>
      <c r="BJ213">
        <v>2.374626129032259</v>
      </c>
      <c r="BK213">
        <v>424.5160967741936</v>
      </c>
      <c r="BL213">
        <v>422.0677419354838</v>
      </c>
      <c r="BM213">
        <v>0.09406252258064514</v>
      </c>
      <c r="BN213">
        <v>416.2189354838709</v>
      </c>
      <c r="BO213">
        <v>13.85748387096774</v>
      </c>
      <c r="BP213">
        <v>1.395001935483871</v>
      </c>
      <c r="BQ213">
        <v>1.385596774193549</v>
      </c>
      <c r="BR213">
        <v>11.8634064516129</v>
      </c>
      <c r="BS213">
        <v>11.76090322580645</v>
      </c>
      <c r="BT213">
        <v>0</v>
      </c>
      <c r="BU213">
        <v>0</v>
      </c>
      <c r="BV213">
        <v>0</v>
      </c>
      <c r="BW213">
        <v>36</v>
      </c>
      <c r="BX213">
        <v>63</v>
      </c>
      <c r="BY213">
        <v>1773196010</v>
      </c>
      <c r="BZ213" t="s">
        <v>332</v>
      </c>
      <c r="CA213">
        <v>1773196010</v>
      </c>
      <c r="CB213">
        <v>1773196005.5</v>
      </c>
      <c r="CC213">
        <v>2</v>
      </c>
      <c r="CD213">
        <v>-0.279</v>
      </c>
      <c r="CE213">
        <v>-0.021</v>
      </c>
      <c r="CF213">
        <v>6.231</v>
      </c>
      <c r="CG213">
        <v>0.081</v>
      </c>
      <c r="CH213">
        <v>432</v>
      </c>
      <c r="CI213">
        <v>21</v>
      </c>
      <c r="CJ213">
        <v>0.03</v>
      </c>
      <c r="CK213">
        <v>0.06</v>
      </c>
      <c r="CL213">
        <v>416.220258064516</v>
      </c>
      <c r="CM213">
        <v>-0.11433870967726</v>
      </c>
      <c r="CN213">
        <v>0.01631142038460963</v>
      </c>
      <c r="CO213">
        <v>-1</v>
      </c>
      <c r="CP213">
        <v>500.0161612903227</v>
      </c>
      <c r="CQ213">
        <v>-0.1693548387104538</v>
      </c>
      <c r="CR213">
        <v>0.04156230982916239</v>
      </c>
      <c r="CS213">
        <v>-1</v>
      </c>
      <c r="CT213">
        <v>0</v>
      </c>
      <c r="CU213">
        <v>0</v>
      </c>
      <c r="CV213" t="s">
        <v>333</v>
      </c>
      <c r="CW213">
        <v>3.17165</v>
      </c>
      <c r="CX213">
        <v>2.66703</v>
      </c>
      <c r="CY213">
        <v>0.0979767</v>
      </c>
      <c r="CZ213">
        <v>0.09872549999999999</v>
      </c>
      <c r="DA213">
        <v>0.0748829</v>
      </c>
      <c r="DB213">
        <v>0.07455589999999999</v>
      </c>
      <c r="DC213">
        <v>21303.7</v>
      </c>
      <c r="DD213">
        <v>21897.6</v>
      </c>
      <c r="DE213">
        <v>22775.2</v>
      </c>
      <c r="DF213">
        <v>22247.7</v>
      </c>
      <c r="DG213">
        <v>31870.2</v>
      </c>
      <c r="DH213">
        <v>29001.1</v>
      </c>
      <c r="DI213">
        <v>40095.6</v>
      </c>
      <c r="DJ213">
        <v>36794.9</v>
      </c>
      <c r="DK213">
        <v>2.01658</v>
      </c>
      <c r="DL213">
        <v>1.47962</v>
      </c>
      <c r="DM213">
        <v>-0.101766</v>
      </c>
      <c r="DN213">
        <v>0</v>
      </c>
      <c r="DO213">
        <v>32.7727</v>
      </c>
      <c r="DP213">
        <v>999.9</v>
      </c>
      <c r="DQ213">
        <v>22.9</v>
      </c>
      <c r="DR213">
        <v>46.6</v>
      </c>
      <c r="DS213">
        <v>23.961</v>
      </c>
      <c r="DT213">
        <v>29.9792</v>
      </c>
      <c r="DU213">
        <v>14.4391</v>
      </c>
      <c r="DV213">
        <v>1</v>
      </c>
      <c r="DW213">
        <v>0.968329</v>
      </c>
      <c r="DX213">
        <v>3.75434</v>
      </c>
      <c r="DY213">
        <v>20.3127</v>
      </c>
      <c r="DZ213">
        <v>5.20926</v>
      </c>
      <c r="EA213">
        <v>11.8585</v>
      </c>
      <c r="EB213">
        <v>4.96708</v>
      </c>
      <c r="EC213">
        <v>3.29296</v>
      </c>
      <c r="ED213">
        <v>879.4</v>
      </c>
      <c r="EE213">
        <v>9999</v>
      </c>
      <c r="EF213">
        <v>9999</v>
      </c>
      <c r="EG213">
        <v>79.3</v>
      </c>
      <c r="EH213">
        <v>4.97155</v>
      </c>
      <c r="EI213">
        <v>1.8721</v>
      </c>
      <c r="EJ213">
        <v>1.8695</v>
      </c>
      <c r="EK213">
        <v>1.8718</v>
      </c>
      <c r="EL213">
        <v>1.86959</v>
      </c>
      <c r="EM213">
        <v>1.86837</v>
      </c>
      <c r="EN213">
        <v>1.87018</v>
      </c>
      <c r="EO213">
        <v>1.87195</v>
      </c>
      <c r="EP213">
        <v>0</v>
      </c>
      <c r="EQ213">
        <v>0</v>
      </c>
      <c r="ER213">
        <v>0</v>
      </c>
      <c r="ES213">
        <v>0</v>
      </c>
      <c r="ET213" t="s">
        <v>334</v>
      </c>
      <c r="EU213" t="s">
        <v>335</v>
      </c>
      <c r="EV213" t="s">
        <v>336</v>
      </c>
      <c r="EW213" t="s">
        <v>336</v>
      </c>
      <c r="EX213" t="s">
        <v>336</v>
      </c>
      <c r="EY213" t="s">
        <v>336</v>
      </c>
      <c r="EZ213">
        <v>0</v>
      </c>
      <c r="FA213">
        <v>100</v>
      </c>
      <c r="FB213">
        <v>100</v>
      </c>
      <c r="FC213">
        <v>6.231</v>
      </c>
      <c r="FD213">
        <v>0.0806</v>
      </c>
      <c r="FE213">
        <v>6.23135000000002</v>
      </c>
      <c r="FF213">
        <v>0</v>
      </c>
      <c r="FG213">
        <v>0</v>
      </c>
      <c r="FH213">
        <v>0</v>
      </c>
      <c r="FI213">
        <v>0.08059047619047632</v>
      </c>
      <c r="FJ213">
        <v>0</v>
      </c>
      <c r="FK213">
        <v>0</v>
      </c>
      <c r="FL213">
        <v>0</v>
      </c>
      <c r="FM213">
        <v>-1</v>
      </c>
      <c r="FN213">
        <v>-1</v>
      </c>
      <c r="FO213">
        <v>-1</v>
      </c>
      <c r="FP213">
        <v>-1</v>
      </c>
      <c r="FQ213">
        <v>197.5</v>
      </c>
      <c r="FR213">
        <v>197.6</v>
      </c>
      <c r="FS213">
        <v>0.140381</v>
      </c>
      <c r="FT213">
        <v>4.99756</v>
      </c>
      <c r="FU213">
        <v>1.5979</v>
      </c>
      <c r="FV213">
        <v>2.10938</v>
      </c>
      <c r="FW213">
        <v>1.54785</v>
      </c>
      <c r="FX213">
        <v>2.48657</v>
      </c>
      <c r="FY213">
        <v>48.3623</v>
      </c>
      <c r="FZ213">
        <v>14.8413</v>
      </c>
      <c r="GA213">
        <v>3</v>
      </c>
      <c r="GB213">
        <v>520.89</v>
      </c>
      <c r="GC213">
        <v>284.716</v>
      </c>
      <c r="GD213">
        <v>27.842</v>
      </c>
      <c r="GE213">
        <v>38.8674</v>
      </c>
      <c r="GF213">
        <v>29.9999</v>
      </c>
      <c r="GG213">
        <v>38.7541</v>
      </c>
      <c r="GH213">
        <v>38.7382</v>
      </c>
      <c r="GI213">
        <v>-1</v>
      </c>
      <c r="GJ213">
        <v>100</v>
      </c>
      <c r="GK213">
        <v>0</v>
      </c>
      <c r="GL213">
        <v>27.8515</v>
      </c>
      <c r="GM213">
        <v>1200</v>
      </c>
      <c r="GN213">
        <v>19.4378</v>
      </c>
      <c r="GO213">
        <v>100.864</v>
      </c>
      <c r="GP213">
        <v>96.0855</v>
      </c>
    </row>
    <row r="214" spans="1:198">
      <c r="A214">
        <v>198</v>
      </c>
      <c r="B214">
        <v>1773207921.6</v>
      </c>
      <c r="C214">
        <v>11821.59999990463</v>
      </c>
      <c r="D214" t="s">
        <v>729</v>
      </c>
      <c r="E214" t="s">
        <v>730</v>
      </c>
      <c r="F214">
        <v>15</v>
      </c>
      <c r="G214">
        <v>1773207913.599999</v>
      </c>
      <c r="H214">
        <f>(I214)/1000</f>
        <v>0</v>
      </c>
      <c r="I214">
        <f>1000*AY214*AG214*(AU214-AV214)/(100*AN214*(1000-AG214*AU214))</f>
        <v>0</v>
      </c>
      <c r="J214">
        <f>AY214*AG214*(AT214-AS214*(1000-AG214*AV214)/(1000-AG214*AU214))/(100*AN214)</f>
        <v>0</v>
      </c>
      <c r="K214">
        <f>AS214 - IF(AG214&gt;1, J214*AN214*100.0/(AI214), 0)</f>
        <v>0</v>
      </c>
      <c r="L214">
        <f>((R214-H214/2)*K214-J214)/(R214+H214/2)</f>
        <v>0</v>
      </c>
      <c r="M214">
        <f>L214*(AZ214+BA214)/1000.0</f>
        <v>0</v>
      </c>
      <c r="N214">
        <f>(AS214 - IF(AG214&gt;1, J214*AN214*100.0/(AI214), 0))*(AZ214+BA214)/1000.0</f>
        <v>0</v>
      </c>
      <c r="O214">
        <f>2.0/((1/Q214-1/P214)+SIGN(Q214)*SQRT((1/Q214-1/P214)*(1/Q214-1/P214) + 4*AO214/((AO214+1)*(AO214+1))*(2*1/Q214*1/P214-1/P214*1/P214)))</f>
        <v>0</v>
      </c>
      <c r="P214">
        <f>IF(LEFT(AP214,1)&lt;&gt;"0",IF(LEFT(AP214,1)="1",3.0,AQ214),$D$5+$E$5*(BG214*AZ214/($K$5*1000))+$F$5*(BG214*AZ214/($K$5*1000))*MAX(MIN(AN214,$J$5),$I$5)*MAX(MIN(AN214,$J$5),$I$5)+$G$5*MAX(MIN(AN214,$J$5),$I$5)*(BG214*AZ214/($K$5*1000))+$H$5*(BG214*AZ214/($K$5*1000))*(BG214*AZ214/($K$5*1000)))</f>
        <v>0</v>
      </c>
      <c r="Q214">
        <f>H214*(1000-(1000*0.61365*exp(17.502*U214/(240.97+U214))/(AZ214+BA214)+AU214)/2)/(1000*0.61365*exp(17.502*U214/(240.97+U214))/(AZ214+BA214)-AU214)</f>
        <v>0</v>
      </c>
      <c r="R214">
        <f>1/((AO214+1)/(O214/1.6)+1/(P214/1.37)) + AO214/((AO214+1)/(O214/1.6) + AO214/(P214/1.37))</f>
        <v>0</v>
      </c>
      <c r="S214">
        <f>(AJ214*AM214)</f>
        <v>0</v>
      </c>
      <c r="T214">
        <f>(BB214+(S214+2*0.95*5.67E-8*(((BB214+$B$7)+273)^4-(BB214+273)^4)-44100*H214)/(1.84*29.3*P214+8*0.95*5.67E-8*(BB214+273)^3))</f>
        <v>0</v>
      </c>
      <c r="U214">
        <f>($C$7*BC214+$D$7*BD214+$E$7*T214)</f>
        <v>0</v>
      </c>
      <c r="V214">
        <f>0.61365*exp(17.502*U214/(240.97+U214))</f>
        <v>0</v>
      </c>
      <c r="W214">
        <f>(X214/Y214*100)</f>
        <v>0</v>
      </c>
      <c r="X214">
        <f>AU214*(AZ214+BA214)/1000</f>
        <v>0</v>
      </c>
      <c r="Y214">
        <f>0.61365*exp(17.502*BB214/(240.97+BB214))</f>
        <v>0</v>
      </c>
      <c r="Z214">
        <f>(V214-AU214*(AZ214+BA214)/1000)</f>
        <v>0</v>
      </c>
      <c r="AA214">
        <f>(-H214*44100)</f>
        <v>0</v>
      </c>
      <c r="AB214">
        <f>2*29.3*P214*0.92*(BB214-U214)</f>
        <v>0</v>
      </c>
      <c r="AC214">
        <f>2*0.95*5.67E-8*(((BB214+$B$7)+273)^4-(U214+273)^4)</f>
        <v>0</v>
      </c>
      <c r="AD214">
        <f>S214+AC214+AA214+AB214</f>
        <v>0</v>
      </c>
      <c r="AE214">
        <v>0</v>
      </c>
      <c r="AF214">
        <v>0</v>
      </c>
      <c r="AG214">
        <f>IF(AE214*$H$13&gt;=AI214,1.0,(AI214/(AI214-AE214*$H$13)))</f>
        <v>0</v>
      </c>
      <c r="AH214">
        <f>(AG214-1)*100</f>
        <v>0</v>
      </c>
      <c r="AI214">
        <f>MAX(0,($B$13+$C$13*BG214)/(1+$D$13*BG214)*AZ214/(BB214+273)*$E$13)</f>
        <v>0</v>
      </c>
      <c r="AJ214">
        <f>$B$11*BH214+$C$11*BI214+$D$11*BT214</f>
        <v>0</v>
      </c>
      <c r="AK214">
        <f>AJ214*AL214</f>
        <v>0</v>
      </c>
      <c r="AL214">
        <f>($B$11*$D$9+$C$11*$D$9+$D$11*(BU214*$E$9+BV214*$G$9))/($B$11+$C$11+$D$11)</f>
        <v>0</v>
      </c>
      <c r="AM214">
        <f>($B$11*$K$9+$C$11*$K$9+$D$11*(BU214*$L$9+BV214*$N$9))/($B$11+$C$11+$D$11)</f>
        <v>0</v>
      </c>
      <c r="AN214">
        <v>3</v>
      </c>
      <c r="AO214">
        <v>0.5</v>
      </c>
      <c r="AP214" t="s">
        <v>331</v>
      </c>
      <c r="AQ214">
        <v>2</v>
      </c>
      <c r="AR214">
        <v>1773207913.599999</v>
      </c>
      <c r="AS214">
        <v>418.3519032258065</v>
      </c>
      <c r="AT214">
        <v>415.9633548387097</v>
      </c>
      <c r="AU214">
        <v>13.91707419354839</v>
      </c>
      <c r="AV214">
        <v>13.81097419354838</v>
      </c>
      <c r="AW214">
        <v>412.1205161290324</v>
      </c>
      <c r="AX214">
        <v>13.83648387096774</v>
      </c>
      <c r="AY214">
        <v>499.9547419354839</v>
      </c>
      <c r="AZ214">
        <v>99.98865161290321</v>
      </c>
      <c r="BA214">
        <v>0.04490162903225806</v>
      </c>
      <c r="BB214">
        <v>30.74410967741936</v>
      </c>
      <c r="BC214">
        <v>31.08503225806452</v>
      </c>
      <c r="BD214">
        <v>999.9000000000003</v>
      </c>
      <c r="BE214">
        <v>0</v>
      </c>
      <c r="BF214">
        <v>0</v>
      </c>
      <c r="BG214">
        <v>4998.483870967741</v>
      </c>
      <c r="BH214">
        <v>1.060817741935484</v>
      </c>
      <c r="BI214">
        <v>2000.20064516129</v>
      </c>
      <c r="BJ214">
        <v>2.388461290322581</v>
      </c>
      <c r="BK214">
        <v>424.2563225806451</v>
      </c>
      <c r="BL214">
        <v>421.7888064516129</v>
      </c>
      <c r="BM214">
        <v>0.1060882258064516</v>
      </c>
      <c r="BN214">
        <v>415.9633548387097</v>
      </c>
      <c r="BO214">
        <v>13.81097419354838</v>
      </c>
      <c r="BP214">
        <v>1.391549677419355</v>
      </c>
      <c r="BQ214">
        <v>1.380941935483871</v>
      </c>
      <c r="BR214">
        <v>11.82585161290323</v>
      </c>
      <c r="BS214">
        <v>11.70995483870968</v>
      </c>
      <c r="BT214">
        <v>0</v>
      </c>
      <c r="BU214">
        <v>0</v>
      </c>
      <c r="BV214">
        <v>0</v>
      </c>
      <c r="BW214">
        <v>35.9344193548387</v>
      </c>
      <c r="BX214">
        <v>63.17419032258064</v>
      </c>
      <c r="BY214">
        <v>1773196010</v>
      </c>
      <c r="BZ214" t="s">
        <v>332</v>
      </c>
      <c r="CA214">
        <v>1773196010</v>
      </c>
      <c r="CB214">
        <v>1773196005.5</v>
      </c>
      <c r="CC214">
        <v>2</v>
      </c>
      <c r="CD214">
        <v>-0.279</v>
      </c>
      <c r="CE214">
        <v>-0.021</v>
      </c>
      <c r="CF214">
        <v>6.231</v>
      </c>
      <c r="CG214">
        <v>0.081</v>
      </c>
      <c r="CH214">
        <v>432</v>
      </c>
      <c r="CI214">
        <v>21</v>
      </c>
      <c r="CJ214">
        <v>0.03</v>
      </c>
      <c r="CK214">
        <v>0.06</v>
      </c>
      <c r="CL214">
        <v>415.9643548387097</v>
      </c>
      <c r="CM214">
        <v>-0.2656451612911813</v>
      </c>
      <c r="CN214">
        <v>0.02408526304489489</v>
      </c>
      <c r="CO214">
        <v>-1</v>
      </c>
      <c r="CP214">
        <v>499.9624838709677</v>
      </c>
      <c r="CQ214">
        <v>-0.1263870967744183</v>
      </c>
      <c r="CR214">
        <v>0.05154382474056982</v>
      </c>
      <c r="CS214">
        <v>-1</v>
      </c>
      <c r="CT214">
        <v>0</v>
      </c>
      <c r="CU214">
        <v>0</v>
      </c>
      <c r="CV214" t="s">
        <v>333</v>
      </c>
      <c r="CW214">
        <v>3.17151</v>
      </c>
      <c r="CX214">
        <v>2.66601</v>
      </c>
      <c r="CY214">
        <v>0.0979389</v>
      </c>
      <c r="CZ214">
        <v>0.0986875</v>
      </c>
      <c r="DA214">
        <v>0.0747385</v>
      </c>
      <c r="DB214">
        <v>0.0743825</v>
      </c>
      <c r="DC214">
        <v>21307</v>
      </c>
      <c r="DD214">
        <v>21901.1</v>
      </c>
      <c r="DE214">
        <v>22777.5</v>
      </c>
      <c r="DF214">
        <v>22250.2</v>
      </c>
      <c r="DG214">
        <v>31878.1</v>
      </c>
      <c r="DH214">
        <v>29009.7</v>
      </c>
      <c r="DI214">
        <v>40099.2</v>
      </c>
      <c r="DJ214">
        <v>36798.9</v>
      </c>
      <c r="DK214">
        <v>2.01722</v>
      </c>
      <c r="DL214">
        <v>1.48004</v>
      </c>
      <c r="DM214">
        <v>-0.0911772</v>
      </c>
      <c r="DN214">
        <v>0</v>
      </c>
      <c r="DO214">
        <v>32.5884</v>
      </c>
      <c r="DP214">
        <v>999.9</v>
      </c>
      <c r="DQ214">
        <v>23</v>
      </c>
      <c r="DR214">
        <v>46.6</v>
      </c>
      <c r="DS214">
        <v>24.0678</v>
      </c>
      <c r="DT214">
        <v>29.8292</v>
      </c>
      <c r="DU214">
        <v>14.4191</v>
      </c>
      <c r="DV214">
        <v>1</v>
      </c>
      <c r="DW214">
        <v>0.959004</v>
      </c>
      <c r="DX214">
        <v>3.17338</v>
      </c>
      <c r="DY214">
        <v>20.3274</v>
      </c>
      <c r="DZ214">
        <v>5.20962</v>
      </c>
      <c r="EA214">
        <v>11.8567</v>
      </c>
      <c r="EB214">
        <v>4.9672</v>
      </c>
      <c r="EC214">
        <v>3.29298</v>
      </c>
      <c r="ED214">
        <v>879.4</v>
      </c>
      <c r="EE214">
        <v>9999</v>
      </c>
      <c r="EF214">
        <v>9999</v>
      </c>
      <c r="EG214">
        <v>79.3</v>
      </c>
      <c r="EH214">
        <v>4.97157</v>
      </c>
      <c r="EI214">
        <v>1.8721</v>
      </c>
      <c r="EJ214">
        <v>1.86951</v>
      </c>
      <c r="EK214">
        <v>1.8718</v>
      </c>
      <c r="EL214">
        <v>1.86955</v>
      </c>
      <c r="EM214">
        <v>1.86836</v>
      </c>
      <c r="EN214">
        <v>1.87016</v>
      </c>
      <c r="EO214">
        <v>1.87195</v>
      </c>
      <c r="EP214">
        <v>0</v>
      </c>
      <c r="EQ214">
        <v>0</v>
      </c>
      <c r="ER214">
        <v>0</v>
      </c>
      <c r="ES214">
        <v>0</v>
      </c>
      <c r="ET214" t="s">
        <v>334</v>
      </c>
      <c r="EU214" t="s">
        <v>335</v>
      </c>
      <c r="EV214" t="s">
        <v>336</v>
      </c>
      <c r="EW214" t="s">
        <v>336</v>
      </c>
      <c r="EX214" t="s">
        <v>336</v>
      </c>
      <c r="EY214" t="s">
        <v>336</v>
      </c>
      <c r="EZ214">
        <v>0</v>
      </c>
      <c r="FA214">
        <v>100</v>
      </c>
      <c r="FB214">
        <v>100</v>
      </c>
      <c r="FC214">
        <v>6.231</v>
      </c>
      <c r="FD214">
        <v>0.0806</v>
      </c>
      <c r="FE214">
        <v>6.23135000000002</v>
      </c>
      <c r="FF214">
        <v>0</v>
      </c>
      <c r="FG214">
        <v>0</v>
      </c>
      <c r="FH214">
        <v>0</v>
      </c>
      <c r="FI214">
        <v>0.08059047619047632</v>
      </c>
      <c r="FJ214">
        <v>0</v>
      </c>
      <c r="FK214">
        <v>0</v>
      </c>
      <c r="FL214">
        <v>0</v>
      </c>
      <c r="FM214">
        <v>-1</v>
      </c>
      <c r="FN214">
        <v>-1</v>
      </c>
      <c r="FO214">
        <v>-1</v>
      </c>
      <c r="FP214">
        <v>-1</v>
      </c>
      <c r="FQ214">
        <v>198.5</v>
      </c>
      <c r="FR214">
        <v>198.6</v>
      </c>
      <c r="FS214">
        <v>0.140381</v>
      </c>
      <c r="FT214">
        <v>4.99756</v>
      </c>
      <c r="FU214">
        <v>1.5979</v>
      </c>
      <c r="FV214">
        <v>2.10938</v>
      </c>
      <c r="FW214">
        <v>1.54785</v>
      </c>
      <c r="FX214">
        <v>2.46338</v>
      </c>
      <c r="FY214">
        <v>48.3316</v>
      </c>
      <c r="FZ214">
        <v>14.8413</v>
      </c>
      <c r="GA214">
        <v>3</v>
      </c>
      <c r="GB214">
        <v>521.056</v>
      </c>
      <c r="GC214">
        <v>284.79</v>
      </c>
      <c r="GD214">
        <v>28.2765</v>
      </c>
      <c r="GE214">
        <v>38.806</v>
      </c>
      <c r="GF214">
        <v>29.9995</v>
      </c>
      <c r="GG214">
        <v>38.7197</v>
      </c>
      <c r="GH214">
        <v>38.7051</v>
      </c>
      <c r="GI214">
        <v>-1</v>
      </c>
      <c r="GJ214">
        <v>100</v>
      </c>
      <c r="GK214">
        <v>0</v>
      </c>
      <c r="GL214">
        <v>28.2838</v>
      </c>
      <c r="GM214">
        <v>1200</v>
      </c>
      <c r="GN214">
        <v>19.4378</v>
      </c>
      <c r="GO214">
        <v>100.873</v>
      </c>
      <c r="GP214">
        <v>96.096</v>
      </c>
    </row>
    <row r="215" spans="1:198">
      <c r="A215">
        <v>199</v>
      </c>
      <c r="B215">
        <v>1773207981.6</v>
      </c>
      <c r="C215">
        <v>11881.59999990463</v>
      </c>
      <c r="D215" t="s">
        <v>731</v>
      </c>
      <c r="E215" t="s">
        <v>732</v>
      </c>
      <c r="F215">
        <v>15</v>
      </c>
      <c r="G215">
        <v>1773207973.599999</v>
      </c>
      <c r="H215">
        <f>(I215)/1000</f>
        <v>0</v>
      </c>
      <c r="I215">
        <f>1000*AY215*AG215*(AU215-AV215)/(100*AN215*(1000-AG215*AU215))</f>
        <v>0</v>
      </c>
      <c r="J215">
        <f>AY215*AG215*(AT215-AS215*(1000-AG215*AV215)/(1000-AG215*AU215))/(100*AN215)</f>
        <v>0</v>
      </c>
      <c r="K215">
        <f>AS215 - IF(AG215&gt;1, J215*AN215*100.0/(AI215), 0)</f>
        <v>0</v>
      </c>
      <c r="L215">
        <f>((R215-H215/2)*K215-J215)/(R215+H215/2)</f>
        <v>0</v>
      </c>
      <c r="M215">
        <f>L215*(AZ215+BA215)/1000.0</f>
        <v>0</v>
      </c>
      <c r="N215">
        <f>(AS215 - IF(AG215&gt;1, J215*AN215*100.0/(AI215), 0))*(AZ215+BA215)/1000.0</f>
        <v>0</v>
      </c>
      <c r="O215">
        <f>2.0/((1/Q215-1/P215)+SIGN(Q215)*SQRT((1/Q215-1/P215)*(1/Q215-1/P215) + 4*AO215/((AO215+1)*(AO215+1))*(2*1/Q215*1/P215-1/P215*1/P215)))</f>
        <v>0</v>
      </c>
      <c r="P215">
        <f>IF(LEFT(AP215,1)&lt;&gt;"0",IF(LEFT(AP215,1)="1",3.0,AQ215),$D$5+$E$5*(BG215*AZ215/($K$5*1000))+$F$5*(BG215*AZ215/($K$5*1000))*MAX(MIN(AN215,$J$5),$I$5)*MAX(MIN(AN215,$J$5),$I$5)+$G$5*MAX(MIN(AN215,$J$5),$I$5)*(BG215*AZ215/($K$5*1000))+$H$5*(BG215*AZ215/($K$5*1000))*(BG215*AZ215/($K$5*1000)))</f>
        <v>0</v>
      </c>
      <c r="Q215">
        <f>H215*(1000-(1000*0.61365*exp(17.502*U215/(240.97+U215))/(AZ215+BA215)+AU215)/2)/(1000*0.61365*exp(17.502*U215/(240.97+U215))/(AZ215+BA215)-AU215)</f>
        <v>0</v>
      </c>
      <c r="R215">
        <f>1/((AO215+1)/(O215/1.6)+1/(P215/1.37)) + AO215/((AO215+1)/(O215/1.6) + AO215/(P215/1.37))</f>
        <v>0</v>
      </c>
      <c r="S215">
        <f>(AJ215*AM215)</f>
        <v>0</v>
      </c>
      <c r="T215">
        <f>(BB215+(S215+2*0.95*5.67E-8*(((BB215+$B$7)+273)^4-(BB215+273)^4)-44100*H215)/(1.84*29.3*P215+8*0.95*5.67E-8*(BB215+273)^3))</f>
        <v>0</v>
      </c>
      <c r="U215">
        <f>($C$7*BC215+$D$7*BD215+$E$7*T215)</f>
        <v>0</v>
      </c>
      <c r="V215">
        <f>0.61365*exp(17.502*U215/(240.97+U215))</f>
        <v>0</v>
      </c>
      <c r="W215">
        <f>(X215/Y215*100)</f>
        <v>0</v>
      </c>
      <c r="X215">
        <f>AU215*(AZ215+BA215)/1000</f>
        <v>0</v>
      </c>
      <c r="Y215">
        <f>0.61365*exp(17.502*BB215/(240.97+BB215))</f>
        <v>0</v>
      </c>
      <c r="Z215">
        <f>(V215-AU215*(AZ215+BA215)/1000)</f>
        <v>0</v>
      </c>
      <c r="AA215">
        <f>(-H215*44100)</f>
        <v>0</v>
      </c>
      <c r="AB215">
        <f>2*29.3*P215*0.92*(BB215-U215)</f>
        <v>0</v>
      </c>
      <c r="AC215">
        <f>2*0.95*5.67E-8*(((BB215+$B$7)+273)^4-(U215+273)^4)</f>
        <v>0</v>
      </c>
      <c r="AD215">
        <f>S215+AC215+AA215+AB215</f>
        <v>0</v>
      </c>
      <c r="AE215">
        <v>0</v>
      </c>
      <c r="AF215">
        <v>0</v>
      </c>
      <c r="AG215">
        <f>IF(AE215*$H$13&gt;=AI215,1.0,(AI215/(AI215-AE215*$H$13)))</f>
        <v>0</v>
      </c>
      <c r="AH215">
        <f>(AG215-1)*100</f>
        <v>0</v>
      </c>
      <c r="AI215">
        <f>MAX(0,($B$13+$C$13*BG215)/(1+$D$13*BG215)*AZ215/(BB215+273)*$E$13)</f>
        <v>0</v>
      </c>
      <c r="AJ215">
        <f>$B$11*BH215+$C$11*BI215+$D$11*BT215</f>
        <v>0</v>
      </c>
      <c r="AK215">
        <f>AJ215*AL215</f>
        <v>0</v>
      </c>
      <c r="AL215">
        <f>($B$11*$D$9+$C$11*$D$9+$D$11*(BU215*$E$9+BV215*$G$9))/($B$11+$C$11+$D$11)</f>
        <v>0</v>
      </c>
      <c r="AM215">
        <f>($B$11*$K$9+$C$11*$K$9+$D$11*(BU215*$L$9+BV215*$N$9))/($B$11+$C$11+$D$11)</f>
        <v>0</v>
      </c>
      <c r="AN215">
        <v>3</v>
      </c>
      <c r="AO215">
        <v>0.5</v>
      </c>
      <c r="AP215" t="s">
        <v>331</v>
      </c>
      <c r="AQ215">
        <v>2</v>
      </c>
      <c r="AR215">
        <v>1773207973.599999</v>
      </c>
      <c r="AS215">
        <v>418.464935483871</v>
      </c>
      <c r="AT215">
        <v>416.048129032258</v>
      </c>
      <c r="AU215">
        <v>13.91773225806451</v>
      </c>
      <c r="AV215">
        <v>13.81420967741935</v>
      </c>
      <c r="AW215">
        <v>412.2335806451613</v>
      </c>
      <c r="AX215">
        <v>13.83714193548387</v>
      </c>
      <c r="AY215">
        <v>500.0264516129032</v>
      </c>
      <c r="AZ215">
        <v>99.98644516129032</v>
      </c>
      <c r="BA215">
        <v>0.04569708709677419</v>
      </c>
      <c r="BB215">
        <v>30.83321935483871</v>
      </c>
      <c r="BC215">
        <v>31.15203870967741</v>
      </c>
      <c r="BD215">
        <v>999.9000000000003</v>
      </c>
      <c r="BE215">
        <v>0</v>
      </c>
      <c r="BF215">
        <v>0</v>
      </c>
      <c r="BG215">
        <v>5004.16129032258</v>
      </c>
      <c r="BH215">
        <v>1.038160516129032</v>
      </c>
      <c r="BI215">
        <v>1971.472580645161</v>
      </c>
      <c r="BJ215">
        <v>2.41674935483871</v>
      </c>
      <c r="BK215">
        <v>424.3712258064516</v>
      </c>
      <c r="BL215">
        <v>421.8759677419355</v>
      </c>
      <c r="BM215">
        <v>0.1035184838709678</v>
      </c>
      <c r="BN215">
        <v>416.048129032258</v>
      </c>
      <c r="BO215">
        <v>13.81420967741935</v>
      </c>
      <c r="BP215">
        <v>1.391583225806452</v>
      </c>
      <c r="BQ215">
        <v>1.381233225806451</v>
      </c>
      <c r="BR215">
        <v>11.82623870967742</v>
      </c>
      <c r="BS215">
        <v>11.71315806451613</v>
      </c>
      <c r="BT215">
        <v>0</v>
      </c>
      <c r="BU215">
        <v>0</v>
      </c>
      <c r="BV215">
        <v>0</v>
      </c>
      <c r="BW215">
        <v>35</v>
      </c>
      <c r="BX215">
        <v>63.0430064516129</v>
      </c>
      <c r="BY215">
        <v>1773196010</v>
      </c>
      <c r="BZ215" t="s">
        <v>332</v>
      </c>
      <c r="CA215">
        <v>1773196010</v>
      </c>
      <c r="CB215">
        <v>1773196005.5</v>
      </c>
      <c r="CC215">
        <v>2</v>
      </c>
      <c r="CD215">
        <v>-0.279</v>
      </c>
      <c r="CE215">
        <v>-0.021</v>
      </c>
      <c r="CF215">
        <v>6.231</v>
      </c>
      <c r="CG215">
        <v>0.081</v>
      </c>
      <c r="CH215">
        <v>432</v>
      </c>
      <c r="CI215">
        <v>21</v>
      </c>
      <c r="CJ215">
        <v>0.03</v>
      </c>
      <c r="CK215">
        <v>0.06</v>
      </c>
      <c r="CL215">
        <v>416.0453666666666</v>
      </c>
      <c r="CM215">
        <v>-0.4837641824240119</v>
      </c>
      <c r="CN215">
        <v>0.03893625845176488</v>
      </c>
      <c r="CO215">
        <v>-1</v>
      </c>
      <c r="CP215">
        <v>500.0361</v>
      </c>
      <c r="CQ215">
        <v>1.328382647387064</v>
      </c>
      <c r="CR215">
        <v>0.1300887773791359</v>
      </c>
      <c r="CS215">
        <v>-1</v>
      </c>
      <c r="CT215">
        <v>0</v>
      </c>
      <c r="CU215">
        <v>0</v>
      </c>
      <c r="CV215" t="s">
        <v>333</v>
      </c>
      <c r="CW215">
        <v>3.1718</v>
      </c>
      <c r="CX215">
        <v>2.666</v>
      </c>
      <c r="CY215">
        <v>0.0979671</v>
      </c>
      <c r="CZ215">
        <v>0.0987061</v>
      </c>
      <c r="DA215">
        <v>0.07473539999999999</v>
      </c>
      <c r="DB215">
        <v>0.0743767</v>
      </c>
      <c r="DC215">
        <v>21309.2</v>
      </c>
      <c r="DD215">
        <v>21903.2</v>
      </c>
      <c r="DE215">
        <v>22780.3</v>
      </c>
      <c r="DF215">
        <v>22252.5</v>
      </c>
      <c r="DG215">
        <v>31881.9</v>
      </c>
      <c r="DH215">
        <v>29013.4</v>
      </c>
      <c r="DI215">
        <v>40103.8</v>
      </c>
      <c r="DJ215">
        <v>36803.2</v>
      </c>
      <c r="DK215">
        <v>2.01844</v>
      </c>
      <c r="DL215">
        <v>1.48036</v>
      </c>
      <c r="DM215">
        <v>-0.0888646</v>
      </c>
      <c r="DN215">
        <v>0</v>
      </c>
      <c r="DO215">
        <v>32.5881</v>
      </c>
      <c r="DP215">
        <v>999.9</v>
      </c>
      <c r="DQ215">
        <v>22.7</v>
      </c>
      <c r="DR215">
        <v>46.6</v>
      </c>
      <c r="DS215">
        <v>23.7551</v>
      </c>
      <c r="DT215">
        <v>29.7392</v>
      </c>
      <c r="DU215">
        <v>14.4391</v>
      </c>
      <c r="DV215">
        <v>1</v>
      </c>
      <c r="DW215">
        <v>0.96088</v>
      </c>
      <c r="DX215">
        <v>4.35012</v>
      </c>
      <c r="DY215">
        <v>20.2953</v>
      </c>
      <c r="DZ215">
        <v>5.2095</v>
      </c>
      <c r="EA215">
        <v>11.8577</v>
      </c>
      <c r="EB215">
        <v>4.96704</v>
      </c>
      <c r="EC215">
        <v>3.29296</v>
      </c>
      <c r="ED215">
        <v>879.4</v>
      </c>
      <c r="EE215">
        <v>9999</v>
      </c>
      <c r="EF215">
        <v>9999</v>
      </c>
      <c r="EG215">
        <v>79.3</v>
      </c>
      <c r="EH215">
        <v>4.97159</v>
      </c>
      <c r="EI215">
        <v>1.8721</v>
      </c>
      <c r="EJ215">
        <v>1.8695</v>
      </c>
      <c r="EK215">
        <v>1.8718</v>
      </c>
      <c r="EL215">
        <v>1.86954</v>
      </c>
      <c r="EM215">
        <v>1.86837</v>
      </c>
      <c r="EN215">
        <v>1.87019</v>
      </c>
      <c r="EO215">
        <v>1.87194</v>
      </c>
      <c r="EP215">
        <v>0</v>
      </c>
      <c r="EQ215">
        <v>0</v>
      </c>
      <c r="ER215">
        <v>0</v>
      </c>
      <c r="ES215">
        <v>0</v>
      </c>
      <c r="ET215" t="s">
        <v>334</v>
      </c>
      <c r="EU215" t="s">
        <v>335</v>
      </c>
      <c r="EV215" t="s">
        <v>336</v>
      </c>
      <c r="EW215" t="s">
        <v>336</v>
      </c>
      <c r="EX215" t="s">
        <v>336</v>
      </c>
      <c r="EY215" t="s">
        <v>336</v>
      </c>
      <c r="EZ215">
        <v>0</v>
      </c>
      <c r="FA215">
        <v>100</v>
      </c>
      <c r="FB215">
        <v>100</v>
      </c>
      <c r="FC215">
        <v>6.231</v>
      </c>
      <c r="FD215">
        <v>0.0806</v>
      </c>
      <c r="FE215">
        <v>6.23135000000002</v>
      </c>
      <c r="FF215">
        <v>0</v>
      </c>
      <c r="FG215">
        <v>0</v>
      </c>
      <c r="FH215">
        <v>0</v>
      </c>
      <c r="FI215">
        <v>0.08059047619047632</v>
      </c>
      <c r="FJ215">
        <v>0</v>
      </c>
      <c r="FK215">
        <v>0</v>
      </c>
      <c r="FL215">
        <v>0</v>
      </c>
      <c r="FM215">
        <v>-1</v>
      </c>
      <c r="FN215">
        <v>-1</v>
      </c>
      <c r="FO215">
        <v>-1</v>
      </c>
      <c r="FP215">
        <v>-1</v>
      </c>
      <c r="FQ215">
        <v>199.5</v>
      </c>
      <c r="FR215">
        <v>199.6</v>
      </c>
      <c r="FS215">
        <v>0.140381</v>
      </c>
      <c r="FT215">
        <v>4.99634</v>
      </c>
      <c r="FU215">
        <v>1.5979</v>
      </c>
      <c r="FV215">
        <v>2.10938</v>
      </c>
      <c r="FW215">
        <v>1.54785</v>
      </c>
      <c r="FX215">
        <v>2.48535</v>
      </c>
      <c r="FY215">
        <v>48.3009</v>
      </c>
      <c r="FZ215">
        <v>14.815</v>
      </c>
      <c r="GA215">
        <v>3</v>
      </c>
      <c r="GB215">
        <v>521.478</v>
      </c>
      <c r="GC215">
        <v>284.773</v>
      </c>
      <c r="GD215">
        <v>27.4853</v>
      </c>
      <c r="GE215">
        <v>38.7376</v>
      </c>
      <c r="GF215">
        <v>29.9998</v>
      </c>
      <c r="GG215">
        <v>38.6699</v>
      </c>
      <c r="GH215">
        <v>38.6602</v>
      </c>
      <c r="GI215">
        <v>-1</v>
      </c>
      <c r="GJ215">
        <v>100</v>
      </c>
      <c r="GK215">
        <v>0</v>
      </c>
      <c r="GL215">
        <v>27.4735</v>
      </c>
      <c r="GM215">
        <v>1200</v>
      </c>
      <c r="GN215">
        <v>19.4378</v>
      </c>
      <c r="GO215">
        <v>100.885</v>
      </c>
      <c r="GP215">
        <v>96.1069</v>
      </c>
    </row>
    <row r="216" spans="1:198">
      <c r="A216">
        <v>200</v>
      </c>
      <c r="B216">
        <v>1773208041.6</v>
      </c>
      <c r="C216">
        <v>11941.59999990463</v>
      </c>
      <c r="D216" t="s">
        <v>733</v>
      </c>
      <c r="E216" t="s">
        <v>734</v>
      </c>
      <c r="F216">
        <v>15</v>
      </c>
      <c r="G216">
        <v>1773208033.599999</v>
      </c>
      <c r="H216">
        <f>(I216)/1000</f>
        <v>0</v>
      </c>
      <c r="I216">
        <f>1000*AY216*AG216*(AU216-AV216)/(100*AN216*(1000-AG216*AU216))</f>
        <v>0</v>
      </c>
      <c r="J216">
        <f>AY216*AG216*(AT216-AS216*(1000-AG216*AV216)/(1000-AG216*AU216))/(100*AN216)</f>
        <v>0</v>
      </c>
      <c r="K216">
        <f>AS216 - IF(AG216&gt;1, J216*AN216*100.0/(AI216), 0)</f>
        <v>0</v>
      </c>
      <c r="L216">
        <f>((R216-H216/2)*K216-J216)/(R216+H216/2)</f>
        <v>0</v>
      </c>
      <c r="M216">
        <f>L216*(AZ216+BA216)/1000.0</f>
        <v>0</v>
      </c>
      <c r="N216">
        <f>(AS216 - IF(AG216&gt;1, J216*AN216*100.0/(AI216), 0))*(AZ216+BA216)/1000.0</f>
        <v>0</v>
      </c>
      <c r="O216">
        <f>2.0/((1/Q216-1/P216)+SIGN(Q216)*SQRT((1/Q216-1/P216)*(1/Q216-1/P216) + 4*AO216/((AO216+1)*(AO216+1))*(2*1/Q216*1/P216-1/P216*1/P216)))</f>
        <v>0</v>
      </c>
      <c r="P216">
        <f>IF(LEFT(AP216,1)&lt;&gt;"0",IF(LEFT(AP216,1)="1",3.0,AQ216),$D$5+$E$5*(BG216*AZ216/($K$5*1000))+$F$5*(BG216*AZ216/($K$5*1000))*MAX(MIN(AN216,$J$5),$I$5)*MAX(MIN(AN216,$J$5),$I$5)+$G$5*MAX(MIN(AN216,$J$5),$I$5)*(BG216*AZ216/($K$5*1000))+$H$5*(BG216*AZ216/($K$5*1000))*(BG216*AZ216/($K$5*1000)))</f>
        <v>0</v>
      </c>
      <c r="Q216">
        <f>H216*(1000-(1000*0.61365*exp(17.502*U216/(240.97+U216))/(AZ216+BA216)+AU216)/2)/(1000*0.61365*exp(17.502*U216/(240.97+U216))/(AZ216+BA216)-AU216)</f>
        <v>0</v>
      </c>
      <c r="R216">
        <f>1/((AO216+1)/(O216/1.6)+1/(P216/1.37)) + AO216/((AO216+1)/(O216/1.6) + AO216/(P216/1.37))</f>
        <v>0</v>
      </c>
      <c r="S216">
        <f>(AJ216*AM216)</f>
        <v>0</v>
      </c>
      <c r="T216">
        <f>(BB216+(S216+2*0.95*5.67E-8*(((BB216+$B$7)+273)^4-(BB216+273)^4)-44100*H216)/(1.84*29.3*P216+8*0.95*5.67E-8*(BB216+273)^3))</f>
        <v>0</v>
      </c>
      <c r="U216">
        <f>($C$7*BC216+$D$7*BD216+$E$7*T216)</f>
        <v>0</v>
      </c>
      <c r="V216">
        <f>0.61365*exp(17.502*U216/(240.97+U216))</f>
        <v>0</v>
      </c>
      <c r="W216">
        <f>(X216/Y216*100)</f>
        <v>0</v>
      </c>
      <c r="X216">
        <f>AU216*(AZ216+BA216)/1000</f>
        <v>0</v>
      </c>
      <c r="Y216">
        <f>0.61365*exp(17.502*BB216/(240.97+BB216))</f>
        <v>0</v>
      </c>
      <c r="Z216">
        <f>(V216-AU216*(AZ216+BA216)/1000)</f>
        <v>0</v>
      </c>
      <c r="AA216">
        <f>(-H216*44100)</f>
        <v>0</v>
      </c>
      <c r="AB216">
        <f>2*29.3*P216*0.92*(BB216-U216)</f>
        <v>0</v>
      </c>
      <c r="AC216">
        <f>2*0.95*5.67E-8*(((BB216+$B$7)+273)^4-(U216+273)^4)</f>
        <v>0</v>
      </c>
      <c r="AD216">
        <f>S216+AC216+AA216+AB216</f>
        <v>0</v>
      </c>
      <c r="AE216">
        <v>0</v>
      </c>
      <c r="AF216">
        <v>0</v>
      </c>
      <c r="AG216">
        <f>IF(AE216*$H$13&gt;=AI216,1.0,(AI216/(AI216-AE216*$H$13)))</f>
        <v>0</v>
      </c>
      <c r="AH216">
        <f>(AG216-1)*100</f>
        <v>0</v>
      </c>
      <c r="AI216">
        <f>MAX(0,($B$13+$C$13*BG216)/(1+$D$13*BG216)*AZ216/(BB216+273)*$E$13)</f>
        <v>0</v>
      </c>
      <c r="AJ216">
        <f>$B$11*BH216+$C$11*BI216+$D$11*BT216</f>
        <v>0</v>
      </c>
      <c r="AK216">
        <f>AJ216*AL216</f>
        <v>0</v>
      </c>
      <c r="AL216">
        <f>($B$11*$D$9+$C$11*$D$9+$D$11*(BU216*$E$9+BV216*$G$9))/($B$11+$C$11+$D$11)</f>
        <v>0</v>
      </c>
      <c r="AM216">
        <f>($B$11*$K$9+$C$11*$K$9+$D$11*(BU216*$L$9+BV216*$N$9))/($B$11+$C$11+$D$11)</f>
        <v>0</v>
      </c>
      <c r="AN216">
        <v>3</v>
      </c>
      <c r="AO216">
        <v>0.5</v>
      </c>
      <c r="AP216" t="s">
        <v>331</v>
      </c>
      <c r="AQ216">
        <v>2</v>
      </c>
      <c r="AR216">
        <v>1773208033.599999</v>
      </c>
      <c r="AS216">
        <v>418.2211935483871</v>
      </c>
      <c r="AT216">
        <v>415.8662580645162</v>
      </c>
      <c r="AU216">
        <v>13.89070967741936</v>
      </c>
      <c r="AV216">
        <v>13.79214193548387</v>
      </c>
      <c r="AW216">
        <v>411.9897741935484</v>
      </c>
      <c r="AX216">
        <v>13.81011612903226</v>
      </c>
      <c r="AY216">
        <v>499.9706129032258</v>
      </c>
      <c r="AZ216">
        <v>99.98605161290324</v>
      </c>
      <c r="BA216">
        <v>0.04479496451612903</v>
      </c>
      <c r="BB216">
        <v>30.80873225806452</v>
      </c>
      <c r="BC216">
        <v>31.13504193548387</v>
      </c>
      <c r="BD216">
        <v>999.9000000000003</v>
      </c>
      <c r="BE216">
        <v>0</v>
      </c>
      <c r="BF216">
        <v>0</v>
      </c>
      <c r="BG216">
        <v>4996.516129032259</v>
      </c>
      <c r="BH216">
        <v>1.032303580645161</v>
      </c>
      <c r="BI216">
        <v>1960.442903225807</v>
      </c>
      <c r="BJ216">
        <v>2.354815161290323</v>
      </c>
      <c r="BK216">
        <v>424.1123548387097</v>
      </c>
      <c r="BL216">
        <v>421.6822903225807</v>
      </c>
      <c r="BM216">
        <v>0.0985658258064516</v>
      </c>
      <c r="BN216">
        <v>415.8662580645162</v>
      </c>
      <c r="BO216">
        <v>13.79214193548387</v>
      </c>
      <c r="BP216">
        <v>1.388876451612903</v>
      </c>
      <c r="BQ216">
        <v>1.37902129032258</v>
      </c>
      <c r="BR216">
        <v>11.79672580645161</v>
      </c>
      <c r="BS216">
        <v>11.6889</v>
      </c>
      <c r="BT216">
        <v>0</v>
      </c>
      <c r="BU216">
        <v>0</v>
      </c>
      <c r="BV216">
        <v>0</v>
      </c>
      <c r="BW216">
        <v>35</v>
      </c>
      <c r="BX216">
        <v>63.05592580645163</v>
      </c>
      <c r="BY216">
        <v>1773196010</v>
      </c>
      <c r="BZ216" t="s">
        <v>332</v>
      </c>
      <c r="CA216">
        <v>1773196010</v>
      </c>
      <c r="CB216">
        <v>1773196005.5</v>
      </c>
      <c r="CC216">
        <v>2</v>
      </c>
      <c r="CD216">
        <v>-0.279</v>
      </c>
      <c r="CE216">
        <v>-0.021</v>
      </c>
      <c r="CF216">
        <v>6.231</v>
      </c>
      <c r="CG216">
        <v>0.081</v>
      </c>
      <c r="CH216">
        <v>432</v>
      </c>
      <c r="CI216">
        <v>21</v>
      </c>
      <c r="CJ216">
        <v>0.03</v>
      </c>
      <c r="CK216">
        <v>0.06</v>
      </c>
      <c r="CL216">
        <v>415.8637419354839</v>
      </c>
      <c r="CM216">
        <v>0.2477419354825823</v>
      </c>
      <c r="CN216">
        <v>0.02058494241717269</v>
      </c>
      <c r="CO216">
        <v>-1</v>
      </c>
      <c r="CP216">
        <v>499.9716451612903</v>
      </c>
      <c r="CQ216">
        <v>0.06590322580583786</v>
      </c>
      <c r="CR216">
        <v>0.07824549802038716</v>
      </c>
      <c r="CS216">
        <v>-1</v>
      </c>
      <c r="CT216">
        <v>0</v>
      </c>
      <c r="CU216">
        <v>0</v>
      </c>
      <c r="CV216" t="s">
        <v>333</v>
      </c>
      <c r="CW216">
        <v>3.17169</v>
      </c>
      <c r="CX216">
        <v>2.66593</v>
      </c>
      <c r="CY216">
        <v>0.0979508</v>
      </c>
      <c r="CZ216">
        <v>0.098705</v>
      </c>
      <c r="DA216">
        <v>0.0746508</v>
      </c>
      <c r="DB216">
        <v>0.0743182</v>
      </c>
      <c r="DC216">
        <v>21312.6</v>
      </c>
      <c r="DD216">
        <v>21906.2</v>
      </c>
      <c r="DE216">
        <v>22783.2</v>
      </c>
      <c r="DF216">
        <v>22255.3</v>
      </c>
      <c r="DG216">
        <v>31888.6</v>
      </c>
      <c r="DH216">
        <v>29019</v>
      </c>
      <c r="DI216">
        <v>40108.4</v>
      </c>
      <c r="DJ216">
        <v>36807.9</v>
      </c>
      <c r="DK216">
        <v>2.01846</v>
      </c>
      <c r="DL216">
        <v>1.48148</v>
      </c>
      <c r="DM216">
        <v>-0.0910401</v>
      </c>
      <c r="DN216">
        <v>0</v>
      </c>
      <c r="DO216">
        <v>32.6194</v>
      </c>
      <c r="DP216">
        <v>999.9</v>
      </c>
      <c r="DQ216">
        <v>22.7</v>
      </c>
      <c r="DR216">
        <v>46.6</v>
      </c>
      <c r="DS216">
        <v>23.7521</v>
      </c>
      <c r="DT216">
        <v>29.7092</v>
      </c>
      <c r="DU216">
        <v>14.4832</v>
      </c>
      <c r="DV216">
        <v>1</v>
      </c>
      <c r="DW216">
        <v>0.954037</v>
      </c>
      <c r="DX216">
        <v>4.39417</v>
      </c>
      <c r="DY216">
        <v>20.2942</v>
      </c>
      <c r="DZ216">
        <v>5.20974</v>
      </c>
      <c r="EA216">
        <v>11.8589</v>
      </c>
      <c r="EB216">
        <v>4.96728</v>
      </c>
      <c r="EC216">
        <v>3.293</v>
      </c>
      <c r="ED216">
        <v>879.4</v>
      </c>
      <c r="EE216">
        <v>9999</v>
      </c>
      <c r="EF216">
        <v>9999</v>
      </c>
      <c r="EG216">
        <v>79.3</v>
      </c>
      <c r="EH216">
        <v>4.97158</v>
      </c>
      <c r="EI216">
        <v>1.8721</v>
      </c>
      <c r="EJ216">
        <v>1.86948</v>
      </c>
      <c r="EK216">
        <v>1.8718</v>
      </c>
      <c r="EL216">
        <v>1.86952</v>
      </c>
      <c r="EM216">
        <v>1.8684</v>
      </c>
      <c r="EN216">
        <v>1.87015</v>
      </c>
      <c r="EO216">
        <v>1.87195</v>
      </c>
      <c r="EP216">
        <v>0</v>
      </c>
      <c r="EQ216">
        <v>0</v>
      </c>
      <c r="ER216">
        <v>0</v>
      </c>
      <c r="ES216">
        <v>0</v>
      </c>
      <c r="ET216" t="s">
        <v>334</v>
      </c>
      <c r="EU216" t="s">
        <v>335</v>
      </c>
      <c r="EV216" t="s">
        <v>336</v>
      </c>
      <c r="EW216" t="s">
        <v>336</v>
      </c>
      <c r="EX216" t="s">
        <v>336</v>
      </c>
      <c r="EY216" t="s">
        <v>336</v>
      </c>
      <c r="EZ216">
        <v>0</v>
      </c>
      <c r="FA216">
        <v>100</v>
      </c>
      <c r="FB216">
        <v>100</v>
      </c>
      <c r="FC216">
        <v>6.231</v>
      </c>
      <c r="FD216">
        <v>0.0806</v>
      </c>
      <c r="FE216">
        <v>6.23135000000002</v>
      </c>
      <c r="FF216">
        <v>0</v>
      </c>
      <c r="FG216">
        <v>0</v>
      </c>
      <c r="FH216">
        <v>0</v>
      </c>
      <c r="FI216">
        <v>0.08059047619047632</v>
      </c>
      <c r="FJ216">
        <v>0</v>
      </c>
      <c r="FK216">
        <v>0</v>
      </c>
      <c r="FL216">
        <v>0</v>
      </c>
      <c r="FM216">
        <v>-1</v>
      </c>
      <c r="FN216">
        <v>-1</v>
      </c>
      <c r="FO216">
        <v>-1</v>
      </c>
      <c r="FP216">
        <v>-1</v>
      </c>
      <c r="FQ216">
        <v>200.5</v>
      </c>
      <c r="FR216">
        <v>200.6</v>
      </c>
      <c r="FS216">
        <v>0.140381</v>
      </c>
      <c r="FT216">
        <v>4.99756</v>
      </c>
      <c r="FU216">
        <v>1.5979</v>
      </c>
      <c r="FV216">
        <v>2.10938</v>
      </c>
      <c r="FW216">
        <v>1.54785</v>
      </c>
      <c r="FX216">
        <v>2.45972</v>
      </c>
      <c r="FY216">
        <v>48.2396</v>
      </c>
      <c r="FZ216">
        <v>14.7975</v>
      </c>
      <c r="GA216">
        <v>3</v>
      </c>
      <c r="GB216">
        <v>521.066</v>
      </c>
      <c r="GC216">
        <v>285.077</v>
      </c>
      <c r="GD216">
        <v>27.2791</v>
      </c>
      <c r="GE216">
        <v>38.6636</v>
      </c>
      <c r="GF216">
        <v>29.9996</v>
      </c>
      <c r="GG216">
        <v>38.6094</v>
      </c>
      <c r="GH216">
        <v>38.6021</v>
      </c>
      <c r="GI216">
        <v>-1</v>
      </c>
      <c r="GJ216">
        <v>100</v>
      </c>
      <c r="GK216">
        <v>0</v>
      </c>
      <c r="GL216">
        <v>27.278</v>
      </c>
      <c r="GM216">
        <v>1200</v>
      </c>
      <c r="GN216">
        <v>19.4378</v>
      </c>
      <c r="GO216">
        <v>100.897</v>
      </c>
      <c r="GP216">
        <v>96.1191</v>
      </c>
    </row>
    <row r="217" spans="1:198">
      <c r="A217">
        <v>201</v>
      </c>
      <c r="B217">
        <v>1773208101.6</v>
      </c>
      <c r="C217">
        <v>12001.59999990463</v>
      </c>
      <c r="D217" t="s">
        <v>735</v>
      </c>
      <c r="E217" t="s">
        <v>736</v>
      </c>
      <c r="F217">
        <v>15</v>
      </c>
      <c r="G217">
        <v>1773208093.599999</v>
      </c>
      <c r="H217">
        <f>(I217)/1000</f>
        <v>0</v>
      </c>
      <c r="I217">
        <f>1000*AY217*AG217*(AU217-AV217)/(100*AN217*(1000-AG217*AU217))</f>
        <v>0</v>
      </c>
      <c r="J217">
        <f>AY217*AG217*(AT217-AS217*(1000-AG217*AV217)/(1000-AG217*AU217))/(100*AN217)</f>
        <v>0</v>
      </c>
      <c r="K217">
        <f>AS217 - IF(AG217&gt;1, J217*AN217*100.0/(AI217), 0)</f>
        <v>0</v>
      </c>
      <c r="L217">
        <f>((R217-H217/2)*K217-J217)/(R217+H217/2)</f>
        <v>0</v>
      </c>
      <c r="M217">
        <f>L217*(AZ217+BA217)/1000.0</f>
        <v>0</v>
      </c>
      <c r="N217">
        <f>(AS217 - IF(AG217&gt;1, J217*AN217*100.0/(AI217), 0))*(AZ217+BA217)/1000.0</f>
        <v>0</v>
      </c>
      <c r="O217">
        <f>2.0/((1/Q217-1/P217)+SIGN(Q217)*SQRT((1/Q217-1/P217)*(1/Q217-1/P217) + 4*AO217/((AO217+1)*(AO217+1))*(2*1/Q217*1/P217-1/P217*1/P217)))</f>
        <v>0</v>
      </c>
      <c r="P217">
        <f>IF(LEFT(AP217,1)&lt;&gt;"0",IF(LEFT(AP217,1)="1",3.0,AQ217),$D$5+$E$5*(BG217*AZ217/($K$5*1000))+$F$5*(BG217*AZ217/($K$5*1000))*MAX(MIN(AN217,$J$5),$I$5)*MAX(MIN(AN217,$J$5),$I$5)+$G$5*MAX(MIN(AN217,$J$5),$I$5)*(BG217*AZ217/($K$5*1000))+$H$5*(BG217*AZ217/($K$5*1000))*(BG217*AZ217/($K$5*1000)))</f>
        <v>0</v>
      </c>
      <c r="Q217">
        <f>H217*(1000-(1000*0.61365*exp(17.502*U217/(240.97+U217))/(AZ217+BA217)+AU217)/2)/(1000*0.61365*exp(17.502*U217/(240.97+U217))/(AZ217+BA217)-AU217)</f>
        <v>0</v>
      </c>
      <c r="R217">
        <f>1/((AO217+1)/(O217/1.6)+1/(P217/1.37)) + AO217/((AO217+1)/(O217/1.6) + AO217/(P217/1.37))</f>
        <v>0</v>
      </c>
      <c r="S217">
        <f>(AJ217*AM217)</f>
        <v>0</v>
      </c>
      <c r="T217">
        <f>(BB217+(S217+2*0.95*5.67E-8*(((BB217+$B$7)+273)^4-(BB217+273)^4)-44100*H217)/(1.84*29.3*P217+8*0.95*5.67E-8*(BB217+273)^3))</f>
        <v>0</v>
      </c>
      <c r="U217">
        <f>($C$7*BC217+$D$7*BD217+$E$7*T217)</f>
        <v>0</v>
      </c>
      <c r="V217">
        <f>0.61365*exp(17.502*U217/(240.97+U217))</f>
        <v>0</v>
      </c>
      <c r="W217">
        <f>(X217/Y217*100)</f>
        <v>0</v>
      </c>
      <c r="X217">
        <f>AU217*(AZ217+BA217)/1000</f>
        <v>0</v>
      </c>
      <c r="Y217">
        <f>0.61365*exp(17.502*BB217/(240.97+BB217))</f>
        <v>0</v>
      </c>
      <c r="Z217">
        <f>(V217-AU217*(AZ217+BA217)/1000)</f>
        <v>0</v>
      </c>
      <c r="AA217">
        <f>(-H217*44100)</f>
        <v>0</v>
      </c>
      <c r="AB217">
        <f>2*29.3*P217*0.92*(BB217-U217)</f>
        <v>0</v>
      </c>
      <c r="AC217">
        <f>2*0.95*5.67E-8*(((BB217+$B$7)+273)^4-(U217+273)^4)</f>
        <v>0</v>
      </c>
      <c r="AD217">
        <f>S217+AC217+AA217+AB217</f>
        <v>0</v>
      </c>
      <c r="AE217">
        <v>0</v>
      </c>
      <c r="AF217">
        <v>0</v>
      </c>
      <c r="AG217">
        <f>IF(AE217*$H$13&gt;=AI217,1.0,(AI217/(AI217-AE217*$H$13)))</f>
        <v>0</v>
      </c>
      <c r="AH217">
        <f>(AG217-1)*100</f>
        <v>0</v>
      </c>
      <c r="AI217">
        <f>MAX(0,($B$13+$C$13*BG217)/(1+$D$13*BG217)*AZ217/(BB217+273)*$E$13)</f>
        <v>0</v>
      </c>
      <c r="AJ217">
        <f>$B$11*BH217+$C$11*BI217+$D$11*BT217</f>
        <v>0</v>
      </c>
      <c r="AK217">
        <f>AJ217*AL217</f>
        <v>0</v>
      </c>
      <c r="AL217">
        <f>($B$11*$D$9+$C$11*$D$9+$D$11*(BU217*$E$9+BV217*$G$9))/($B$11+$C$11+$D$11)</f>
        <v>0</v>
      </c>
      <c r="AM217">
        <f>($B$11*$K$9+$C$11*$K$9+$D$11*(BU217*$L$9+BV217*$N$9))/($B$11+$C$11+$D$11)</f>
        <v>0</v>
      </c>
      <c r="AN217">
        <v>3</v>
      </c>
      <c r="AO217">
        <v>0.5</v>
      </c>
      <c r="AP217" t="s">
        <v>331</v>
      </c>
      <c r="AQ217">
        <v>2</v>
      </c>
      <c r="AR217">
        <v>1773208093.599999</v>
      </c>
      <c r="AS217">
        <v>419.4148387096774</v>
      </c>
      <c r="AT217">
        <v>416.363064516129</v>
      </c>
      <c r="AU217">
        <v>13.91084193548387</v>
      </c>
      <c r="AV217">
        <v>13.81789032258065</v>
      </c>
      <c r="AW217">
        <v>413.1834193548387</v>
      </c>
      <c r="AX217">
        <v>13.83025806451613</v>
      </c>
      <c r="AY217">
        <v>500.0356451612902</v>
      </c>
      <c r="AZ217">
        <v>99.98589354838708</v>
      </c>
      <c r="BA217">
        <v>0.04474105483870967</v>
      </c>
      <c r="BB217">
        <v>30.82693548387097</v>
      </c>
      <c r="BC217">
        <v>31.16231290322581</v>
      </c>
      <c r="BD217">
        <v>999.9000000000003</v>
      </c>
      <c r="BE217">
        <v>0</v>
      </c>
      <c r="BF217">
        <v>0</v>
      </c>
      <c r="BG217">
        <v>5003.419354838709</v>
      </c>
      <c r="BH217">
        <v>1.027681774193548</v>
      </c>
      <c r="BI217">
        <v>1935.638064516129</v>
      </c>
      <c r="BJ217">
        <v>3.051723225806452</v>
      </c>
      <c r="BK217">
        <v>425.3315806451614</v>
      </c>
      <c r="BL217">
        <v>422.1969032258065</v>
      </c>
      <c r="BM217">
        <v>0.09295515806451611</v>
      </c>
      <c r="BN217">
        <v>416.363064516129</v>
      </c>
      <c r="BO217">
        <v>13.81789032258065</v>
      </c>
      <c r="BP217">
        <v>1.390887741935484</v>
      </c>
      <c r="BQ217">
        <v>1.381593548387096</v>
      </c>
      <c r="BR217">
        <v>11.81865806451613</v>
      </c>
      <c r="BS217">
        <v>11.7171064516129</v>
      </c>
      <c r="BT217">
        <v>0</v>
      </c>
      <c r="BU217">
        <v>0</v>
      </c>
      <c r="BV217">
        <v>0</v>
      </c>
      <c r="BW217">
        <v>35.01074193548387</v>
      </c>
      <c r="BX217">
        <v>62.9785</v>
      </c>
      <c r="BY217">
        <v>1773196010</v>
      </c>
      <c r="BZ217" t="s">
        <v>332</v>
      </c>
      <c r="CA217">
        <v>1773196010</v>
      </c>
      <c r="CB217">
        <v>1773196005.5</v>
      </c>
      <c r="CC217">
        <v>2</v>
      </c>
      <c r="CD217">
        <v>-0.279</v>
      </c>
      <c r="CE217">
        <v>-0.021</v>
      </c>
      <c r="CF217">
        <v>6.231</v>
      </c>
      <c r="CG217">
        <v>0.081</v>
      </c>
      <c r="CH217">
        <v>432</v>
      </c>
      <c r="CI217">
        <v>21</v>
      </c>
      <c r="CJ217">
        <v>0.03</v>
      </c>
      <c r="CK217">
        <v>0.06</v>
      </c>
      <c r="CL217">
        <v>416.383064516129</v>
      </c>
      <c r="CM217">
        <v>-2.525806451614269</v>
      </c>
      <c r="CN217">
        <v>0.193708949529939</v>
      </c>
      <c r="CO217">
        <v>-1</v>
      </c>
      <c r="CP217">
        <v>500.0319677419354</v>
      </c>
      <c r="CQ217">
        <v>0.07935483870889637</v>
      </c>
      <c r="CR217">
        <v>0.06367279455048555</v>
      </c>
      <c r="CS217">
        <v>-1</v>
      </c>
      <c r="CT217">
        <v>0</v>
      </c>
      <c r="CU217">
        <v>0</v>
      </c>
      <c r="CV217" t="s">
        <v>333</v>
      </c>
      <c r="CW217">
        <v>3.17167</v>
      </c>
      <c r="CX217">
        <v>2.66562</v>
      </c>
      <c r="CY217">
        <v>0.0980675</v>
      </c>
      <c r="CZ217">
        <v>0.0987552</v>
      </c>
      <c r="DA217">
        <v>0.0747574</v>
      </c>
      <c r="DB217">
        <v>0.0744524</v>
      </c>
      <c r="DC217">
        <v>21312.1</v>
      </c>
      <c r="DD217">
        <v>21906.7</v>
      </c>
      <c r="DE217">
        <v>22785.4</v>
      </c>
      <c r="DF217">
        <v>22256.9</v>
      </c>
      <c r="DG217">
        <v>31888</v>
      </c>
      <c r="DH217">
        <v>29017.3</v>
      </c>
      <c r="DI217">
        <v>40112.1</v>
      </c>
      <c r="DJ217">
        <v>36810.9</v>
      </c>
      <c r="DK217">
        <v>2.01912</v>
      </c>
      <c r="DL217">
        <v>1.48304</v>
      </c>
      <c r="DM217">
        <v>-0.0946403</v>
      </c>
      <c r="DN217">
        <v>0</v>
      </c>
      <c r="DO217">
        <v>32.6809</v>
      </c>
      <c r="DP217">
        <v>999.9</v>
      </c>
      <c r="DQ217">
        <v>22.5</v>
      </c>
      <c r="DR217">
        <v>46.6</v>
      </c>
      <c r="DS217">
        <v>23.545</v>
      </c>
      <c r="DT217">
        <v>29.8592</v>
      </c>
      <c r="DU217">
        <v>14.2548</v>
      </c>
      <c r="DV217">
        <v>1</v>
      </c>
      <c r="DW217">
        <v>0.949004</v>
      </c>
      <c r="DX217">
        <v>4.40692</v>
      </c>
      <c r="DY217">
        <v>20.2941</v>
      </c>
      <c r="DZ217">
        <v>5.20962</v>
      </c>
      <c r="EA217">
        <v>11.8574</v>
      </c>
      <c r="EB217">
        <v>4.96716</v>
      </c>
      <c r="EC217">
        <v>3.29296</v>
      </c>
      <c r="ED217">
        <v>879.4</v>
      </c>
      <c r="EE217">
        <v>9999</v>
      </c>
      <c r="EF217">
        <v>9999</v>
      </c>
      <c r="EG217">
        <v>79.40000000000001</v>
      </c>
      <c r="EH217">
        <v>4.97155</v>
      </c>
      <c r="EI217">
        <v>1.8721</v>
      </c>
      <c r="EJ217">
        <v>1.86947</v>
      </c>
      <c r="EK217">
        <v>1.8718</v>
      </c>
      <c r="EL217">
        <v>1.86953</v>
      </c>
      <c r="EM217">
        <v>1.8683</v>
      </c>
      <c r="EN217">
        <v>1.87015</v>
      </c>
      <c r="EO217">
        <v>1.87194</v>
      </c>
      <c r="EP217">
        <v>0</v>
      </c>
      <c r="EQ217">
        <v>0</v>
      </c>
      <c r="ER217">
        <v>0</v>
      </c>
      <c r="ES217">
        <v>0</v>
      </c>
      <c r="ET217" t="s">
        <v>334</v>
      </c>
      <c r="EU217" t="s">
        <v>335</v>
      </c>
      <c r="EV217" t="s">
        <v>336</v>
      </c>
      <c r="EW217" t="s">
        <v>336</v>
      </c>
      <c r="EX217" t="s">
        <v>336</v>
      </c>
      <c r="EY217" t="s">
        <v>336</v>
      </c>
      <c r="EZ217">
        <v>0</v>
      </c>
      <c r="FA217">
        <v>100</v>
      </c>
      <c r="FB217">
        <v>100</v>
      </c>
      <c r="FC217">
        <v>6.231</v>
      </c>
      <c r="FD217">
        <v>0.0805</v>
      </c>
      <c r="FE217">
        <v>6.23135000000002</v>
      </c>
      <c r="FF217">
        <v>0</v>
      </c>
      <c r="FG217">
        <v>0</v>
      </c>
      <c r="FH217">
        <v>0</v>
      </c>
      <c r="FI217">
        <v>0.08059047619047632</v>
      </c>
      <c r="FJ217">
        <v>0</v>
      </c>
      <c r="FK217">
        <v>0</v>
      </c>
      <c r="FL217">
        <v>0</v>
      </c>
      <c r="FM217">
        <v>-1</v>
      </c>
      <c r="FN217">
        <v>-1</v>
      </c>
      <c r="FO217">
        <v>-1</v>
      </c>
      <c r="FP217">
        <v>-1</v>
      </c>
      <c r="FQ217">
        <v>201.5</v>
      </c>
      <c r="FR217">
        <v>201.6</v>
      </c>
      <c r="FS217">
        <v>0.140381</v>
      </c>
      <c r="FT217">
        <v>4.99756</v>
      </c>
      <c r="FU217">
        <v>1.5979</v>
      </c>
      <c r="FV217">
        <v>2.10815</v>
      </c>
      <c r="FW217">
        <v>1.54785</v>
      </c>
      <c r="FX217">
        <v>2.44507</v>
      </c>
      <c r="FY217">
        <v>48.1785</v>
      </c>
      <c r="FZ217">
        <v>14.7975</v>
      </c>
      <c r="GA217">
        <v>3</v>
      </c>
      <c r="GB217">
        <v>521.1130000000001</v>
      </c>
      <c r="GC217">
        <v>285.618</v>
      </c>
      <c r="GD217">
        <v>27.4088</v>
      </c>
      <c r="GE217">
        <v>38.6062</v>
      </c>
      <c r="GF217">
        <v>30</v>
      </c>
      <c r="GG217">
        <v>38.5567</v>
      </c>
      <c r="GH217">
        <v>38.553</v>
      </c>
      <c r="GI217">
        <v>-1</v>
      </c>
      <c r="GJ217">
        <v>100</v>
      </c>
      <c r="GK217">
        <v>0</v>
      </c>
      <c r="GL217">
        <v>27.4047</v>
      </c>
      <c r="GM217">
        <v>1200</v>
      </c>
      <c r="GN217">
        <v>19.4378</v>
      </c>
      <c r="GO217">
        <v>100.907</v>
      </c>
      <c r="GP217">
        <v>96.1266</v>
      </c>
    </row>
    <row r="218" spans="1:198">
      <c r="A218">
        <v>202</v>
      </c>
      <c r="B218">
        <v>1773208161.6</v>
      </c>
      <c r="C218">
        <v>12061.59999990463</v>
      </c>
      <c r="D218" t="s">
        <v>737</v>
      </c>
      <c r="E218" t="s">
        <v>738</v>
      </c>
      <c r="F218">
        <v>15</v>
      </c>
      <c r="G218">
        <v>1773208153.599999</v>
      </c>
      <c r="H218">
        <f>(I218)/1000</f>
        <v>0</v>
      </c>
      <c r="I218">
        <f>1000*AY218*AG218*(AU218-AV218)/(100*AN218*(1000-AG218*AU218))</f>
        <v>0</v>
      </c>
      <c r="J218">
        <f>AY218*AG218*(AT218-AS218*(1000-AG218*AV218)/(1000-AG218*AU218))/(100*AN218)</f>
        <v>0</v>
      </c>
      <c r="K218">
        <f>AS218 - IF(AG218&gt;1, J218*AN218*100.0/(AI218), 0)</f>
        <v>0</v>
      </c>
      <c r="L218">
        <f>((R218-H218/2)*K218-J218)/(R218+H218/2)</f>
        <v>0</v>
      </c>
      <c r="M218">
        <f>L218*(AZ218+BA218)/1000.0</f>
        <v>0</v>
      </c>
      <c r="N218">
        <f>(AS218 - IF(AG218&gt;1, J218*AN218*100.0/(AI218), 0))*(AZ218+BA218)/1000.0</f>
        <v>0</v>
      </c>
      <c r="O218">
        <f>2.0/((1/Q218-1/P218)+SIGN(Q218)*SQRT((1/Q218-1/P218)*(1/Q218-1/P218) + 4*AO218/((AO218+1)*(AO218+1))*(2*1/Q218*1/P218-1/P218*1/P218)))</f>
        <v>0</v>
      </c>
      <c r="P218">
        <f>IF(LEFT(AP218,1)&lt;&gt;"0",IF(LEFT(AP218,1)="1",3.0,AQ218),$D$5+$E$5*(BG218*AZ218/($K$5*1000))+$F$5*(BG218*AZ218/($K$5*1000))*MAX(MIN(AN218,$J$5),$I$5)*MAX(MIN(AN218,$J$5),$I$5)+$G$5*MAX(MIN(AN218,$J$5),$I$5)*(BG218*AZ218/($K$5*1000))+$H$5*(BG218*AZ218/($K$5*1000))*(BG218*AZ218/($K$5*1000)))</f>
        <v>0</v>
      </c>
      <c r="Q218">
        <f>H218*(1000-(1000*0.61365*exp(17.502*U218/(240.97+U218))/(AZ218+BA218)+AU218)/2)/(1000*0.61365*exp(17.502*U218/(240.97+U218))/(AZ218+BA218)-AU218)</f>
        <v>0</v>
      </c>
      <c r="R218">
        <f>1/((AO218+1)/(O218/1.6)+1/(P218/1.37)) + AO218/((AO218+1)/(O218/1.6) + AO218/(P218/1.37))</f>
        <v>0</v>
      </c>
      <c r="S218">
        <f>(AJ218*AM218)</f>
        <v>0</v>
      </c>
      <c r="T218">
        <f>(BB218+(S218+2*0.95*5.67E-8*(((BB218+$B$7)+273)^4-(BB218+273)^4)-44100*H218)/(1.84*29.3*P218+8*0.95*5.67E-8*(BB218+273)^3))</f>
        <v>0</v>
      </c>
      <c r="U218">
        <f>($C$7*BC218+$D$7*BD218+$E$7*T218)</f>
        <v>0</v>
      </c>
      <c r="V218">
        <f>0.61365*exp(17.502*U218/(240.97+U218))</f>
        <v>0</v>
      </c>
      <c r="W218">
        <f>(X218/Y218*100)</f>
        <v>0</v>
      </c>
      <c r="X218">
        <f>AU218*(AZ218+BA218)/1000</f>
        <v>0</v>
      </c>
      <c r="Y218">
        <f>0.61365*exp(17.502*BB218/(240.97+BB218))</f>
        <v>0</v>
      </c>
      <c r="Z218">
        <f>(V218-AU218*(AZ218+BA218)/1000)</f>
        <v>0</v>
      </c>
      <c r="AA218">
        <f>(-H218*44100)</f>
        <v>0</v>
      </c>
      <c r="AB218">
        <f>2*29.3*P218*0.92*(BB218-U218)</f>
        <v>0</v>
      </c>
      <c r="AC218">
        <f>2*0.95*5.67E-8*(((BB218+$B$7)+273)^4-(U218+273)^4)</f>
        <v>0</v>
      </c>
      <c r="AD218">
        <f>S218+AC218+AA218+AB218</f>
        <v>0</v>
      </c>
      <c r="AE218">
        <v>0</v>
      </c>
      <c r="AF218">
        <v>0</v>
      </c>
      <c r="AG218">
        <f>IF(AE218*$H$13&gt;=AI218,1.0,(AI218/(AI218-AE218*$H$13)))</f>
        <v>0</v>
      </c>
      <c r="AH218">
        <f>(AG218-1)*100</f>
        <v>0</v>
      </c>
      <c r="AI218">
        <f>MAX(0,($B$13+$C$13*BG218)/(1+$D$13*BG218)*AZ218/(BB218+273)*$E$13)</f>
        <v>0</v>
      </c>
      <c r="AJ218">
        <f>$B$11*BH218+$C$11*BI218+$D$11*BT218</f>
        <v>0</v>
      </c>
      <c r="AK218">
        <f>AJ218*AL218</f>
        <v>0</v>
      </c>
      <c r="AL218">
        <f>($B$11*$D$9+$C$11*$D$9+$D$11*(BU218*$E$9+BV218*$G$9))/($B$11+$C$11+$D$11)</f>
        <v>0</v>
      </c>
      <c r="AM218">
        <f>($B$11*$K$9+$C$11*$K$9+$D$11*(BU218*$L$9+BV218*$N$9))/($B$11+$C$11+$D$11)</f>
        <v>0</v>
      </c>
      <c r="AN218">
        <v>3</v>
      </c>
      <c r="AO218">
        <v>0.5</v>
      </c>
      <c r="AP218" t="s">
        <v>331</v>
      </c>
      <c r="AQ218">
        <v>2</v>
      </c>
      <c r="AR218">
        <v>1773208153.599999</v>
      </c>
      <c r="AS218">
        <v>418.244935483871</v>
      </c>
      <c r="AT218">
        <v>415.9100645161291</v>
      </c>
      <c r="AU218">
        <v>13.93769677419355</v>
      </c>
      <c r="AV218">
        <v>13.84716129032258</v>
      </c>
      <c r="AW218">
        <v>412.0135161290322</v>
      </c>
      <c r="AX218">
        <v>13.85710322580645</v>
      </c>
      <c r="AY218">
        <v>499.984741935484</v>
      </c>
      <c r="AZ218">
        <v>99.98361612903226</v>
      </c>
      <c r="BA218">
        <v>0.04531931290322581</v>
      </c>
      <c r="BB218">
        <v>30.77574838709678</v>
      </c>
      <c r="BC218">
        <v>31.11479032258065</v>
      </c>
      <c r="BD218">
        <v>999.9000000000003</v>
      </c>
      <c r="BE218">
        <v>0</v>
      </c>
      <c r="BF218">
        <v>0</v>
      </c>
      <c r="BG218">
        <v>5007.048387096775</v>
      </c>
      <c r="BH218">
        <v>1.05003064516129</v>
      </c>
      <c r="BI218">
        <v>1943.641935483871</v>
      </c>
      <c r="BJ218">
        <v>2.334849677419355</v>
      </c>
      <c r="BK218">
        <v>424.1567096774194</v>
      </c>
      <c r="BL218">
        <v>421.7500967741934</v>
      </c>
      <c r="BM218">
        <v>0.0905325129032258</v>
      </c>
      <c r="BN218">
        <v>415.9100645161291</v>
      </c>
      <c r="BO218">
        <v>13.84716129032258</v>
      </c>
      <c r="BP218">
        <v>1.393541612903226</v>
      </c>
      <c r="BQ218">
        <v>1.384488387096775</v>
      </c>
      <c r="BR218">
        <v>11.84751935483871</v>
      </c>
      <c r="BS218">
        <v>11.74880967741936</v>
      </c>
      <c r="BT218">
        <v>0</v>
      </c>
      <c r="BU218">
        <v>0</v>
      </c>
      <c r="BV218">
        <v>0</v>
      </c>
      <c r="BW218">
        <v>35.01289032258065</v>
      </c>
      <c r="BX218">
        <v>63.35482258064516</v>
      </c>
      <c r="BY218">
        <v>1773196010</v>
      </c>
      <c r="BZ218" t="s">
        <v>332</v>
      </c>
      <c r="CA218">
        <v>1773196010</v>
      </c>
      <c r="CB218">
        <v>1773196005.5</v>
      </c>
      <c r="CC218">
        <v>2</v>
      </c>
      <c r="CD218">
        <v>-0.279</v>
      </c>
      <c r="CE218">
        <v>-0.021</v>
      </c>
      <c r="CF218">
        <v>6.231</v>
      </c>
      <c r="CG218">
        <v>0.081</v>
      </c>
      <c r="CH218">
        <v>432</v>
      </c>
      <c r="CI218">
        <v>21</v>
      </c>
      <c r="CJ218">
        <v>0.03</v>
      </c>
      <c r="CK218">
        <v>0.06</v>
      </c>
      <c r="CL218">
        <v>415.9096</v>
      </c>
      <c r="CM218">
        <v>-0.3354660734152476</v>
      </c>
      <c r="CN218">
        <v>0.0297809782691331</v>
      </c>
      <c r="CO218">
        <v>-1</v>
      </c>
      <c r="CP218">
        <v>499.9857000000001</v>
      </c>
      <c r="CQ218">
        <v>0.09720133481718701</v>
      </c>
      <c r="CR218">
        <v>0.03760686993976575</v>
      </c>
      <c r="CS218">
        <v>-1</v>
      </c>
      <c r="CT218">
        <v>0</v>
      </c>
      <c r="CU218">
        <v>0</v>
      </c>
      <c r="CV218" t="s">
        <v>333</v>
      </c>
      <c r="CW218">
        <v>3.17154</v>
      </c>
      <c r="CX218">
        <v>2.66614</v>
      </c>
      <c r="CY218">
        <v>0.0979701</v>
      </c>
      <c r="CZ218">
        <v>0.0987164</v>
      </c>
      <c r="DA218">
        <v>0.074875</v>
      </c>
      <c r="DB218">
        <v>0.0745744</v>
      </c>
      <c r="DC218">
        <v>21317.1</v>
      </c>
      <c r="DD218">
        <v>21910.3</v>
      </c>
      <c r="DE218">
        <v>22788</v>
      </c>
      <c r="DF218">
        <v>22259.5</v>
      </c>
      <c r="DG218">
        <v>31887.3</v>
      </c>
      <c r="DH218">
        <v>29017</v>
      </c>
      <c r="DI218">
        <v>40116.3</v>
      </c>
      <c r="DJ218">
        <v>36815.2</v>
      </c>
      <c r="DK218">
        <v>2.01932</v>
      </c>
      <c r="DL218">
        <v>1.48386</v>
      </c>
      <c r="DM218">
        <v>-0.0962973</v>
      </c>
      <c r="DN218">
        <v>0</v>
      </c>
      <c r="DO218">
        <v>32.6809</v>
      </c>
      <c r="DP218">
        <v>999.9</v>
      </c>
      <c r="DQ218">
        <v>22.6</v>
      </c>
      <c r="DR218">
        <v>46.6</v>
      </c>
      <c r="DS218">
        <v>23.6494</v>
      </c>
      <c r="DT218">
        <v>29.7092</v>
      </c>
      <c r="DU218">
        <v>14.3309</v>
      </c>
      <c r="DV218">
        <v>1</v>
      </c>
      <c r="DW218">
        <v>0.941569</v>
      </c>
      <c r="DX218">
        <v>4.05139</v>
      </c>
      <c r="DY218">
        <v>20.3048</v>
      </c>
      <c r="DZ218">
        <v>5.20854</v>
      </c>
      <c r="EA218">
        <v>11.8558</v>
      </c>
      <c r="EB218">
        <v>4.96684</v>
      </c>
      <c r="EC218">
        <v>3.29288</v>
      </c>
      <c r="ED218">
        <v>879.4</v>
      </c>
      <c r="EE218">
        <v>9999</v>
      </c>
      <c r="EF218">
        <v>9999</v>
      </c>
      <c r="EG218">
        <v>79.40000000000001</v>
      </c>
      <c r="EH218">
        <v>4.97155</v>
      </c>
      <c r="EI218">
        <v>1.8721</v>
      </c>
      <c r="EJ218">
        <v>1.8695</v>
      </c>
      <c r="EK218">
        <v>1.87179</v>
      </c>
      <c r="EL218">
        <v>1.86951</v>
      </c>
      <c r="EM218">
        <v>1.86834</v>
      </c>
      <c r="EN218">
        <v>1.87014</v>
      </c>
      <c r="EO218">
        <v>1.87194</v>
      </c>
      <c r="EP218">
        <v>0</v>
      </c>
      <c r="EQ218">
        <v>0</v>
      </c>
      <c r="ER218">
        <v>0</v>
      </c>
      <c r="ES218">
        <v>0</v>
      </c>
      <c r="ET218" t="s">
        <v>334</v>
      </c>
      <c r="EU218" t="s">
        <v>335</v>
      </c>
      <c r="EV218" t="s">
        <v>336</v>
      </c>
      <c r="EW218" t="s">
        <v>336</v>
      </c>
      <c r="EX218" t="s">
        <v>336</v>
      </c>
      <c r="EY218" t="s">
        <v>336</v>
      </c>
      <c r="EZ218">
        <v>0</v>
      </c>
      <c r="FA218">
        <v>100</v>
      </c>
      <c r="FB218">
        <v>100</v>
      </c>
      <c r="FC218">
        <v>6.231</v>
      </c>
      <c r="FD218">
        <v>0.0806</v>
      </c>
      <c r="FE218">
        <v>6.23135000000002</v>
      </c>
      <c r="FF218">
        <v>0</v>
      </c>
      <c r="FG218">
        <v>0</v>
      </c>
      <c r="FH218">
        <v>0</v>
      </c>
      <c r="FI218">
        <v>0.08059047619047632</v>
      </c>
      <c r="FJ218">
        <v>0</v>
      </c>
      <c r="FK218">
        <v>0</v>
      </c>
      <c r="FL218">
        <v>0</v>
      </c>
      <c r="FM218">
        <v>-1</v>
      </c>
      <c r="FN218">
        <v>-1</v>
      </c>
      <c r="FO218">
        <v>-1</v>
      </c>
      <c r="FP218">
        <v>-1</v>
      </c>
      <c r="FQ218">
        <v>202.5</v>
      </c>
      <c r="FR218">
        <v>202.6</v>
      </c>
      <c r="FS218">
        <v>0.140381</v>
      </c>
      <c r="FT218">
        <v>4.99756</v>
      </c>
      <c r="FU218">
        <v>1.5979</v>
      </c>
      <c r="FV218">
        <v>2.10815</v>
      </c>
      <c r="FW218">
        <v>1.54785</v>
      </c>
      <c r="FX218">
        <v>2.44141</v>
      </c>
      <c r="FY218">
        <v>48.1479</v>
      </c>
      <c r="FZ218">
        <v>14.7887</v>
      </c>
      <c r="GA218">
        <v>3</v>
      </c>
      <c r="GB218">
        <v>520.9109999999999</v>
      </c>
      <c r="GC218">
        <v>285.833</v>
      </c>
      <c r="GD218">
        <v>27.494</v>
      </c>
      <c r="GE218">
        <v>38.5572</v>
      </c>
      <c r="GF218">
        <v>29.9999</v>
      </c>
      <c r="GG218">
        <v>38.5099</v>
      </c>
      <c r="GH218">
        <v>38.5084</v>
      </c>
      <c r="GI218">
        <v>-1</v>
      </c>
      <c r="GJ218">
        <v>100</v>
      </c>
      <c r="GK218">
        <v>0</v>
      </c>
      <c r="GL218">
        <v>27.4911</v>
      </c>
      <c r="GM218">
        <v>1200</v>
      </c>
      <c r="GN218">
        <v>19.4378</v>
      </c>
      <c r="GO218">
        <v>100.917</v>
      </c>
      <c r="GP218">
        <v>96.1377</v>
      </c>
    </row>
    <row r="219" spans="1:198">
      <c r="A219">
        <v>203</v>
      </c>
      <c r="B219">
        <v>1773208221.6</v>
      </c>
      <c r="C219">
        <v>12121.59999990463</v>
      </c>
      <c r="D219" t="s">
        <v>739</v>
      </c>
      <c r="E219" t="s">
        <v>740</v>
      </c>
      <c r="F219">
        <v>15</v>
      </c>
      <c r="G219">
        <v>1773208213.599999</v>
      </c>
      <c r="H219">
        <f>(I219)/1000</f>
        <v>0</v>
      </c>
      <c r="I219">
        <f>1000*AY219*AG219*(AU219-AV219)/(100*AN219*(1000-AG219*AU219))</f>
        <v>0</v>
      </c>
      <c r="J219">
        <f>AY219*AG219*(AT219-AS219*(1000-AG219*AV219)/(1000-AG219*AU219))/(100*AN219)</f>
        <v>0</v>
      </c>
      <c r="K219">
        <f>AS219 - IF(AG219&gt;1, J219*AN219*100.0/(AI219), 0)</f>
        <v>0</v>
      </c>
      <c r="L219">
        <f>((R219-H219/2)*K219-J219)/(R219+H219/2)</f>
        <v>0</v>
      </c>
      <c r="M219">
        <f>L219*(AZ219+BA219)/1000.0</f>
        <v>0</v>
      </c>
      <c r="N219">
        <f>(AS219 - IF(AG219&gt;1, J219*AN219*100.0/(AI219), 0))*(AZ219+BA219)/1000.0</f>
        <v>0</v>
      </c>
      <c r="O219">
        <f>2.0/((1/Q219-1/P219)+SIGN(Q219)*SQRT((1/Q219-1/P219)*(1/Q219-1/P219) + 4*AO219/((AO219+1)*(AO219+1))*(2*1/Q219*1/P219-1/P219*1/P219)))</f>
        <v>0</v>
      </c>
      <c r="P219">
        <f>IF(LEFT(AP219,1)&lt;&gt;"0",IF(LEFT(AP219,1)="1",3.0,AQ219),$D$5+$E$5*(BG219*AZ219/($K$5*1000))+$F$5*(BG219*AZ219/($K$5*1000))*MAX(MIN(AN219,$J$5),$I$5)*MAX(MIN(AN219,$J$5),$I$5)+$G$5*MAX(MIN(AN219,$J$5),$I$5)*(BG219*AZ219/($K$5*1000))+$H$5*(BG219*AZ219/($K$5*1000))*(BG219*AZ219/($K$5*1000)))</f>
        <v>0</v>
      </c>
      <c r="Q219">
        <f>H219*(1000-(1000*0.61365*exp(17.502*U219/(240.97+U219))/(AZ219+BA219)+AU219)/2)/(1000*0.61365*exp(17.502*U219/(240.97+U219))/(AZ219+BA219)-AU219)</f>
        <v>0</v>
      </c>
      <c r="R219">
        <f>1/((AO219+1)/(O219/1.6)+1/(P219/1.37)) + AO219/((AO219+1)/(O219/1.6) + AO219/(P219/1.37))</f>
        <v>0</v>
      </c>
      <c r="S219">
        <f>(AJ219*AM219)</f>
        <v>0</v>
      </c>
      <c r="T219">
        <f>(BB219+(S219+2*0.95*5.67E-8*(((BB219+$B$7)+273)^4-(BB219+273)^4)-44100*H219)/(1.84*29.3*P219+8*0.95*5.67E-8*(BB219+273)^3))</f>
        <v>0</v>
      </c>
      <c r="U219">
        <f>($C$7*BC219+$D$7*BD219+$E$7*T219)</f>
        <v>0</v>
      </c>
      <c r="V219">
        <f>0.61365*exp(17.502*U219/(240.97+U219))</f>
        <v>0</v>
      </c>
      <c r="W219">
        <f>(X219/Y219*100)</f>
        <v>0</v>
      </c>
      <c r="X219">
        <f>AU219*(AZ219+BA219)/1000</f>
        <v>0</v>
      </c>
      <c r="Y219">
        <f>0.61365*exp(17.502*BB219/(240.97+BB219))</f>
        <v>0</v>
      </c>
      <c r="Z219">
        <f>(V219-AU219*(AZ219+BA219)/1000)</f>
        <v>0</v>
      </c>
      <c r="AA219">
        <f>(-H219*44100)</f>
        <v>0</v>
      </c>
      <c r="AB219">
        <f>2*29.3*P219*0.92*(BB219-U219)</f>
        <v>0</v>
      </c>
      <c r="AC219">
        <f>2*0.95*5.67E-8*(((BB219+$B$7)+273)^4-(U219+273)^4)</f>
        <v>0</v>
      </c>
      <c r="AD219">
        <f>S219+AC219+AA219+AB219</f>
        <v>0</v>
      </c>
      <c r="AE219">
        <v>0</v>
      </c>
      <c r="AF219">
        <v>0</v>
      </c>
      <c r="AG219">
        <f>IF(AE219*$H$13&gt;=AI219,1.0,(AI219/(AI219-AE219*$H$13)))</f>
        <v>0</v>
      </c>
      <c r="AH219">
        <f>(AG219-1)*100</f>
        <v>0</v>
      </c>
      <c r="AI219">
        <f>MAX(0,($B$13+$C$13*BG219)/(1+$D$13*BG219)*AZ219/(BB219+273)*$E$13)</f>
        <v>0</v>
      </c>
      <c r="AJ219">
        <f>$B$11*BH219+$C$11*BI219+$D$11*BT219</f>
        <v>0</v>
      </c>
      <c r="AK219">
        <f>AJ219*AL219</f>
        <v>0</v>
      </c>
      <c r="AL219">
        <f>($B$11*$D$9+$C$11*$D$9+$D$11*(BU219*$E$9+BV219*$G$9))/($B$11+$C$11+$D$11)</f>
        <v>0</v>
      </c>
      <c r="AM219">
        <f>($B$11*$K$9+$C$11*$K$9+$D$11*(BU219*$L$9+BV219*$N$9))/($B$11+$C$11+$D$11)</f>
        <v>0</v>
      </c>
      <c r="AN219">
        <v>3</v>
      </c>
      <c r="AO219">
        <v>0.5</v>
      </c>
      <c r="AP219" t="s">
        <v>331</v>
      </c>
      <c r="AQ219">
        <v>2</v>
      </c>
      <c r="AR219">
        <v>1773208213.599999</v>
      </c>
      <c r="AS219">
        <v>418.355064516129</v>
      </c>
      <c r="AT219">
        <v>416.0229032258065</v>
      </c>
      <c r="AU219">
        <v>13.99015483870968</v>
      </c>
      <c r="AV219">
        <v>13.90389677419355</v>
      </c>
      <c r="AW219">
        <v>412.1236451612903</v>
      </c>
      <c r="AX219">
        <v>13.90956129032258</v>
      </c>
      <c r="AY219">
        <v>500.0155806451613</v>
      </c>
      <c r="AZ219">
        <v>99.98477096774191</v>
      </c>
      <c r="BA219">
        <v>0.04421895161290323</v>
      </c>
      <c r="BB219">
        <v>30.81420967741935</v>
      </c>
      <c r="BC219">
        <v>31.17862258064516</v>
      </c>
      <c r="BD219">
        <v>999.9000000000003</v>
      </c>
      <c r="BE219">
        <v>0</v>
      </c>
      <c r="BF219">
        <v>0</v>
      </c>
      <c r="BG219">
        <v>5011.532258064516</v>
      </c>
      <c r="BH219">
        <v>1.039084032258065</v>
      </c>
      <c r="BI219">
        <v>1940.220967741936</v>
      </c>
      <c r="BJ219">
        <v>2.332046129032258</v>
      </c>
      <c r="BK219">
        <v>424.2908709677419</v>
      </c>
      <c r="BL219">
        <v>421.8888387096774</v>
      </c>
      <c r="BM219">
        <v>0.08626286451612902</v>
      </c>
      <c r="BN219">
        <v>416.0229032258065</v>
      </c>
      <c r="BO219">
        <v>13.90389677419355</v>
      </c>
      <c r="BP219">
        <v>1.398801935483871</v>
      </c>
      <c r="BQ219">
        <v>1.390177419354839</v>
      </c>
      <c r="BR219">
        <v>11.90463870967742</v>
      </c>
      <c r="BS219">
        <v>11.81090967741935</v>
      </c>
      <c r="BT219">
        <v>0</v>
      </c>
      <c r="BU219">
        <v>0</v>
      </c>
      <c r="BV219">
        <v>0</v>
      </c>
      <c r="BW219">
        <v>36</v>
      </c>
      <c r="BX219">
        <v>63.89033225806451</v>
      </c>
      <c r="BY219">
        <v>1773196010</v>
      </c>
      <c r="BZ219" t="s">
        <v>332</v>
      </c>
      <c r="CA219">
        <v>1773196010</v>
      </c>
      <c r="CB219">
        <v>1773196005.5</v>
      </c>
      <c r="CC219">
        <v>2</v>
      </c>
      <c r="CD219">
        <v>-0.279</v>
      </c>
      <c r="CE219">
        <v>-0.021</v>
      </c>
      <c r="CF219">
        <v>6.231</v>
      </c>
      <c r="CG219">
        <v>0.081</v>
      </c>
      <c r="CH219">
        <v>432</v>
      </c>
      <c r="CI219">
        <v>21</v>
      </c>
      <c r="CJ219">
        <v>0.03</v>
      </c>
      <c r="CK219">
        <v>0.06</v>
      </c>
      <c r="CL219">
        <v>416.0215666666667</v>
      </c>
      <c r="CM219">
        <v>0.00317686318177553</v>
      </c>
      <c r="CN219">
        <v>0.02034483281382321</v>
      </c>
      <c r="CO219">
        <v>-1</v>
      </c>
      <c r="CP219">
        <v>500.0136666666667</v>
      </c>
      <c r="CQ219">
        <v>-0.2007030033371024</v>
      </c>
      <c r="CR219">
        <v>0.06515230020668701</v>
      </c>
      <c r="CS219">
        <v>-1</v>
      </c>
      <c r="CT219">
        <v>0</v>
      </c>
      <c r="CU219">
        <v>0</v>
      </c>
      <c r="CV219" t="s">
        <v>333</v>
      </c>
      <c r="CW219">
        <v>3.17171</v>
      </c>
      <c r="CX219">
        <v>2.66536</v>
      </c>
      <c r="CY219">
        <v>0.0979994</v>
      </c>
      <c r="CZ219">
        <v>0.0987566</v>
      </c>
      <c r="DA219">
        <v>0.0751132</v>
      </c>
      <c r="DB219">
        <v>0.0748349</v>
      </c>
      <c r="DC219">
        <v>21316.3</v>
      </c>
      <c r="DD219">
        <v>21909.5</v>
      </c>
      <c r="DE219">
        <v>22787.9</v>
      </c>
      <c r="DF219">
        <v>22259.6</v>
      </c>
      <c r="DG219">
        <v>31878.9</v>
      </c>
      <c r="DH219">
        <v>29009.2</v>
      </c>
      <c r="DI219">
        <v>40115.9</v>
      </c>
      <c r="DJ219">
        <v>36815.6</v>
      </c>
      <c r="DK219">
        <v>2.01982</v>
      </c>
      <c r="DL219">
        <v>1.48398</v>
      </c>
      <c r="DM219">
        <v>-0.0972986</v>
      </c>
      <c r="DN219">
        <v>0</v>
      </c>
      <c r="DO219">
        <v>32.761</v>
      </c>
      <c r="DP219">
        <v>999.9</v>
      </c>
      <c r="DQ219">
        <v>22.6</v>
      </c>
      <c r="DR219">
        <v>46.6</v>
      </c>
      <c r="DS219">
        <v>23.6486</v>
      </c>
      <c r="DT219">
        <v>30.1892</v>
      </c>
      <c r="DU219">
        <v>14.399</v>
      </c>
      <c r="DV219">
        <v>1</v>
      </c>
      <c r="DW219">
        <v>0.94186</v>
      </c>
      <c r="DX219">
        <v>4.2907</v>
      </c>
      <c r="DY219">
        <v>20.2977</v>
      </c>
      <c r="DZ219">
        <v>5.2095</v>
      </c>
      <c r="EA219">
        <v>11.8579</v>
      </c>
      <c r="EB219">
        <v>4.9672</v>
      </c>
      <c r="EC219">
        <v>3.29292</v>
      </c>
      <c r="ED219">
        <v>879.4</v>
      </c>
      <c r="EE219">
        <v>9999</v>
      </c>
      <c r="EF219">
        <v>9999</v>
      </c>
      <c r="EG219">
        <v>79.40000000000001</v>
      </c>
      <c r="EH219">
        <v>4.97155</v>
      </c>
      <c r="EI219">
        <v>1.8721</v>
      </c>
      <c r="EJ219">
        <v>1.86947</v>
      </c>
      <c r="EK219">
        <v>1.87178</v>
      </c>
      <c r="EL219">
        <v>1.86951</v>
      </c>
      <c r="EM219">
        <v>1.86837</v>
      </c>
      <c r="EN219">
        <v>1.87014</v>
      </c>
      <c r="EO219">
        <v>1.87195</v>
      </c>
      <c r="EP219">
        <v>0</v>
      </c>
      <c r="EQ219">
        <v>0</v>
      </c>
      <c r="ER219">
        <v>0</v>
      </c>
      <c r="ES219">
        <v>0</v>
      </c>
      <c r="ET219" t="s">
        <v>334</v>
      </c>
      <c r="EU219" t="s">
        <v>335</v>
      </c>
      <c r="EV219" t="s">
        <v>336</v>
      </c>
      <c r="EW219" t="s">
        <v>336</v>
      </c>
      <c r="EX219" t="s">
        <v>336</v>
      </c>
      <c r="EY219" t="s">
        <v>336</v>
      </c>
      <c r="EZ219">
        <v>0</v>
      </c>
      <c r="FA219">
        <v>100</v>
      </c>
      <c r="FB219">
        <v>100</v>
      </c>
      <c r="FC219">
        <v>6.231</v>
      </c>
      <c r="FD219">
        <v>0.0806</v>
      </c>
      <c r="FE219">
        <v>6.23135000000002</v>
      </c>
      <c r="FF219">
        <v>0</v>
      </c>
      <c r="FG219">
        <v>0</v>
      </c>
      <c r="FH219">
        <v>0</v>
      </c>
      <c r="FI219">
        <v>0.08059047619047632</v>
      </c>
      <c r="FJ219">
        <v>0</v>
      </c>
      <c r="FK219">
        <v>0</v>
      </c>
      <c r="FL219">
        <v>0</v>
      </c>
      <c r="FM219">
        <v>-1</v>
      </c>
      <c r="FN219">
        <v>-1</v>
      </c>
      <c r="FO219">
        <v>-1</v>
      </c>
      <c r="FP219">
        <v>-1</v>
      </c>
      <c r="FQ219">
        <v>203.5</v>
      </c>
      <c r="FR219">
        <v>203.6</v>
      </c>
      <c r="FS219">
        <v>0.140381</v>
      </c>
      <c r="FT219">
        <v>4.99756</v>
      </c>
      <c r="FU219">
        <v>1.5979</v>
      </c>
      <c r="FV219">
        <v>2.10815</v>
      </c>
      <c r="FW219">
        <v>1.54785</v>
      </c>
      <c r="FX219">
        <v>2.44751</v>
      </c>
      <c r="FY219">
        <v>48.1174</v>
      </c>
      <c r="FZ219">
        <v>14.7887</v>
      </c>
      <c r="GA219">
        <v>3</v>
      </c>
      <c r="GB219">
        <v>521.04</v>
      </c>
      <c r="GC219">
        <v>285.794</v>
      </c>
      <c r="GD219">
        <v>27.4612</v>
      </c>
      <c r="GE219">
        <v>38.5347</v>
      </c>
      <c r="GF219">
        <v>30.0001</v>
      </c>
      <c r="GG219">
        <v>38.4833</v>
      </c>
      <c r="GH219">
        <v>38.4829</v>
      </c>
      <c r="GI219">
        <v>-1</v>
      </c>
      <c r="GJ219">
        <v>100</v>
      </c>
      <c r="GK219">
        <v>0</v>
      </c>
      <c r="GL219">
        <v>27.4537</v>
      </c>
      <c r="GM219">
        <v>1200</v>
      </c>
      <c r="GN219">
        <v>19.4378</v>
      </c>
      <c r="GO219">
        <v>100.917</v>
      </c>
      <c r="GP219">
        <v>96.1386</v>
      </c>
    </row>
    <row r="220" spans="1:198">
      <c r="A220">
        <v>204</v>
      </c>
      <c r="B220">
        <v>1773208281.6</v>
      </c>
      <c r="C220">
        <v>12181.59999990463</v>
      </c>
      <c r="D220" t="s">
        <v>741</v>
      </c>
      <c r="E220" t="s">
        <v>742</v>
      </c>
      <c r="F220">
        <v>15</v>
      </c>
      <c r="G220">
        <v>1773208273.599999</v>
      </c>
      <c r="H220">
        <f>(I220)/1000</f>
        <v>0</v>
      </c>
      <c r="I220">
        <f>1000*AY220*AG220*(AU220-AV220)/(100*AN220*(1000-AG220*AU220))</f>
        <v>0</v>
      </c>
      <c r="J220">
        <f>AY220*AG220*(AT220-AS220*(1000-AG220*AV220)/(1000-AG220*AU220))/(100*AN220)</f>
        <v>0</v>
      </c>
      <c r="K220">
        <f>AS220 - IF(AG220&gt;1, J220*AN220*100.0/(AI220), 0)</f>
        <v>0</v>
      </c>
      <c r="L220">
        <f>((R220-H220/2)*K220-J220)/(R220+H220/2)</f>
        <v>0</v>
      </c>
      <c r="M220">
        <f>L220*(AZ220+BA220)/1000.0</f>
        <v>0</v>
      </c>
      <c r="N220">
        <f>(AS220 - IF(AG220&gt;1, J220*AN220*100.0/(AI220), 0))*(AZ220+BA220)/1000.0</f>
        <v>0</v>
      </c>
      <c r="O220">
        <f>2.0/((1/Q220-1/P220)+SIGN(Q220)*SQRT((1/Q220-1/P220)*(1/Q220-1/P220) + 4*AO220/((AO220+1)*(AO220+1))*(2*1/Q220*1/P220-1/P220*1/P220)))</f>
        <v>0</v>
      </c>
      <c r="P220">
        <f>IF(LEFT(AP220,1)&lt;&gt;"0",IF(LEFT(AP220,1)="1",3.0,AQ220),$D$5+$E$5*(BG220*AZ220/($K$5*1000))+$F$5*(BG220*AZ220/($K$5*1000))*MAX(MIN(AN220,$J$5),$I$5)*MAX(MIN(AN220,$J$5),$I$5)+$G$5*MAX(MIN(AN220,$J$5),$I$5)*(BG220*AZ220/($K$5*1000))+$H$5*(BG220*AZ220/($K$5*1000))*(BG220*AZ220/($K$5*1000)))</f>
        <v>0</v>
      </c>
      <c r="Q220">
        <f>H220*(1000-(1000*0.61365*exp(17.502*U220/(240.97+U220))/(AZ220+BA220)+AU220)/2)/(1000*0.61365*exp(17.502*U220/(240.97+U220))/(AZ220+BA220)-AU220)</f>
        <v>0</v>
      </c>
      <c r="R220">
        <f>1/((AO220+1)/(O220/1.6)+1/(P220/1.37)) + AO220/((AO220+1)/(O220/1.6) + AO220/(P220/1.37))</f>
        <v>0</v>
      </c>
      <c r="S220">
        <f>(AJ220*AM220)</f>
        <v>0</v>
      </c>
      <c r="T220">
        <f>(BB220+(S220+2*0.95*5.67E-8*(((BB220+$B$7)+273)^4-(BB220+273)^4)-44100*H220)/(1.84*29.3*P220+8*0.95*5.67E-8*(BB220+273)^3))</f>
        <v>0</v>
      </c>
      <c r="U220">
        <f>($C$7*BC220+$D$7*BD220+$E$7*T220)</f>
        <v>0</v>
      </c>
      <c r="V220">
        <f>0.61365*exp(17.502*U220/(240.97+U220))</f>
        <v>0</v>
      </c>
      <c r="W220">
        <f>(X220/Y220*100)</f>
        <v>0</v>
      </c>
      <c r="X220">
        <f>AU220*(AZ220+BA220)/1000</f>
        <v>0</v>
      </c>
      <c r="Y220">
        <f>0.61365*exp(17.502*BB220/(240.97+BB220))</f>
        <v>0</v>
      </c>
      <c r="Z220">
        <f>(V220-AU220*(AZ220+BA220)/1000)</f>
        <v>0</v>
      </c>
      <c r="AA220">
        <f>(-H220*44100)</f>
        <v>0</v>
      </c>
      <c r="AB220">
        <f>2*29.3*P220*0.92*(BB220-U220)</f>
        <v>0</v>
      </c>
      <c r="AC220">
        <f>2*0.95*5.67E-8*(((BB220+$B$7)+273)^4-(U220+273)^4)</f>
        <v>0</v>
      </c>
      <c r="AD220">
        <f>S220+AC220+AA220+AB220</f>
        <v>0</v>
      </c>
      <c r="AE220">
        <v>0</v>
      </c>
      <c r="AF220">
        <v>0</v>
      </c>
      <c r="AG220">
        <f>IF(AE220*$H$13&gt;=AI220,1.0,(AI220/(AI220-AE220*$H$13)))</f>
        <v>0</v>
      </c>
      <c r="AH220">
        <f>(AG220-1)*100</f>
        <v>0</v>
      </c>
      <c r="AI220">
        <f>MAX(0,($B$13+$C$13*BG220)/(1+$D$13*BG220)*AZ220/(BB220+273)*$E$13)</f>
        <v>0</v>
      </c>
      <c r="AJ220">
        <f>$B$11*BH220+$C$11*BI220+$D$11*BT220</f>
        <v>0</v>
      </c>
      <c r="AK220">
        <f>AJ220*AL220</f>
        <v>0</v>
      </c>
      <c r="AL220">
        <f>($B$11*$D$9+$C$11*$D$9+$D$11*(BU220*$E$9+BV220*$G$9))/($B$11+$C$11+$D$11)</f>
        <v>0</v>
      </c>
      <c r="AM220">
        <f>($B$11*$K$9+$C$11*$K$9+$D$11*(BU220*$L$9+BV220*$N$9))/($B$11+$C$11+$D$11)</f>
        <v>0</v>
      </c>
      <c r="AN220">
        <v>3</v>
      </c>
      <c r="AO220">
        <v>0.5</v>
      </c>
      <c r="AP220" t="s">
        <v>331</v>
      </c>
      <c r="AQ220">
        <v>2</v>
      </c>
      <c r="AR220">
        <v>1773208273.599999</v>
      </c>
      <c r="AS220">
        <v>418.4915806451612</v>
      </c>
      <c r="AT220">
        <v>416.2229032258064</v>
      </c>
      <c r="AU220">
        <v>14.07076451612903</v>
      </c>
      <c r="AV220">
        <v>13.99275806451613</v>
      </c>
      <c r="AW220">
        <v>412.2603225806451</v>
      </c>
      <c r="AX220">
        <v>13.99017419354839</v>
      </c>
      <c r="AY220">
        <v>499.9289032258064</v>
      </c>
      <c r="AZ220">
        <v>99.98245483870967</v>
      </c>
      <c r="BA220">
        <v>0.04519042258064516</v>
      </c>
      <c r="BB220">
        <v>30.81684516129032</v>
      </c>
      <c r="BC220">
        <v>31.1872</v>
      </c>
      <c r="BD220">
        <v>999.9000000000003</v>
      </c>
      <c r="BE220">
        <v>0</v>
      </c>
      <c r="BF220">
        <v>0</v>
      </c>
      <c r="BG220">
        <v>4994.080645161291</v>
      </c>
      <c r="BH220">
        <v>1.043400322580645</v>
      </c>
      <c r="BI220">
        <v>1947.150967741936</v>
      </c>
      <c r="BJ220">
        <v>2.268619677419355</v>
      </c>
      <c r="BK220">
        <v>424.4642580645161</v>
      </c>
      <c r="BL220">
        <v>422.1298064516129</v>
      </c>
      <c r="BM220">
        <v>0.07801302580645163</v>
      </c>
      <c r="BN220">
        <v>416.2229032258064</v>
      </c>
      <c r="BO220">
        <v>13.99275806451613</v>
      </c>
      <c r="BP220">
        <v>1.406830645161291</v>
      </c>
      <c r="BQ220">
        <v>1.39903</v>
      </c>
      <c r="BR220">
        <v>11.99145161290323</v>
      </c>
      <c r="BS220">
        <v>11.90712580645161</v>
      </c>
      <c r="BT220">
        <v>0</v>
      </c>
      <c r="BU220">
        <v>0</v>
      </c>
      <c r="BV220">
        <v>0</v>
      </c>
      <c r="BW220">
        <v>36</v>
      </c>
      <c r="BX220">
        <v>64</v>
      </c>
      <c r="BY220">
        <v>1773196010</v>
      </c>
      <c r="BZ220" t="s">
        <v>332</v>
      </c>
      <c r="CA220">
        <v>1773196010</v>
      </c>
      <c r="CB220">
        <v>1773196005.5</v>
      </c>
      <c r="CC220">
        <v>2</v>
      </c>
      <c r="CD220">
        <v>-0.279</v>
      </c>
      <c r="CE220">
        <v>-0.021</v>
      </c>
      <c r="CF220">
        <v>6.231</v>
      </c>
      <c r="CG220">
        <v>0.081</v>
      </c>
      <c r="CH220">
        <v>432</v>
      </c>
      <c r="CI220">
        <v>21</v>
      </c>
      <c r="CJ220">
        <v>0.03</v>
      </c>
      <c r="CK220">
        <v>0.06</v>
      </c>
      <c r="CL220">
        <v>416.2238333333333</v>
      </c>
      <c r="CM220">
        <v>0.1652235817582545</v>
      </c>
      <c r="CN220">
        <v>0.0150223906959679</v>
      </c>
      <c r="CO220">
        <v>-1</v>
      </c>
      <c r="CP220">
        <v>499.9267333333333</v>
      </c>
      <c r="CQ220">
        <v>-0.5030122358178094</v>
      </c>
      <c r="CR220">
        <v>0.08924981170226125</v>
      </c>
      <c r="CS220">
        <v>-1</v>
      </c>
      <c r="CT220">
        <v>0</v>
      </c>
      <c r="CU220">
        <v>0</v>
      </c>
      <c r="CV220" t="s">
        <v>333</v>
      </c>
      <c r="CW220">
        <v>3.17162</v>
      </c>
      <c r="CX220">
        <v>2.6667</v>
      </c>
      <c r="CY220">
        <v>0.0980235</v>
      </c>
      <c r="CZ220">
        <v>0.0987878</v>
      </c>
      <c r="DA220">
        <v>0.0754541</v>
      </c>
      <c r="DB220">
        <v>0.07519439999999999</v>
      </c>
      <c r="DC220">
        <v>21314.7</v>
      </c>
      <c r="DD220">
        <v>21907.7</v>
      </c>
      <c r="DE220">
        <v>22786.8</v>
      </c>
      <c r="DF220">
        <v>22258.5</v>
      </c>
      <c r="DG220">
        <v>31865.8</v>
      </c>
      <c r="DH220">
        <v>28996.5</v>
      </c>
      <c r="DI220">
        <v>40114.1</v>
      </c>
      <c r="DJ220">
        <v>36813.8</v>
      </c>
      <c r="DK220">
        <v>2.02026</v>
      </c>
      <c r="DL220">
        <v>1.48318</v>
      </c>
      <c r="DM220">
        <v>-0.102711</v>
      </c>
      <c r="DN220">
        <v>0</v>
      </c>
      <c r="DO220">
        <v>32.8545</v>
      </c>
      <c r="DP220">
        <v>999.9</v>
      </c>
      <c r="DQ220">
        <v>22.7</v>
      </c>
      <c r="DR220">
        <v>46.6</v>
      </c>
      <c r="DS220">
        <v>23.7559</v>
      </c>
      <c r="DT220">
        <v>29.7992</v>
      </c>
      <c r="DU220">
        <v>14.2909</v>
      </c>
      <c r="DV220">
        <v>1</v>
      </c>
      <c r="DW220">
        <v>0.945921</v>
      </c>
      <c r="DX220">
        <v>4.60119</v>
      </c>
      <c r="DY220">
        <v>20.2877</v>
      </c>
      <c r="DZ220">
        <v>5.20938</v>
      </c>
      <c r="EA220">
        <v>11.8571</v>
      </c>
      <c r="EB220">
        <v>4.96692</v>
      </c>
      <c r="EC220">
        <v>3.29294</v>
      </c>
      <c r="ED220">
        <v>879.4</v>
      </c>
      <c r="EE220">
        <v>9999</v>
      </c>
      <c r="EF220">
        <v>9999</v>
      </c>
      <c r="EG220">
        <v>79.40000000000001</v>
      </c>
      <c r="EH220">
        <v>4.97159</v>
      </c>
      <c r="EI220">
        <v>1.8721</v>
      </c>
      <c r="EJ220">
        <v>1.86948</v>
      </c>
      <c r="EK220">
        <v>1.87179</v>
      </c>
      <c r="EL220">
        <v>1.86953</v>
      </c>
      <c r="EM220">
        <v>1.86832</v>
      </c>
      <c r="EN220">
        <v>1.87014</v>
      </c>
      <c r="EO220">
        <v>1.87195</v>
      </c>
      <c r="EP220">
        <v>0</v>
      </c>
      <c r="EQ220">
        <v>0</v>
      </c>
      <c r="ER220">
        <v>0</v>
      </c>
      <c r="ES220">
        <v>0</v>
      </c>
      <c r="ET220" t="s">
        <v>334</v>
      </c>
      <c r="EU220" t="s">
        <v>335</v>
      </c>
      <c r="EV220" t="s">
        <v>336</v>
      </c>
      <c r="EW220" t="s">
        <v>336</v>
      </c>
      <c r="EX220" t="s">
        <v>336</v>
      </c>
      <c r="EY220" t="s">
        <v>336</v>
      </c>
      <c r="EZ220">
        <v>0</v>
      </c>
      <c r="FA220">
        <v>100</v>
      </c>
      <c r="FB220">
        <v>100</v>
      </c>
      <c r="FC220">
        <v>6.232</v>
      </c>
      <c r="FD220">
        <v>0.0806</v>
      </c>
      <c r="FE220">
        <v>6.23135000000002</v>
      </c>
      <c r="FF220">
        <v>0</v>
      </c>
      <c r="FG220">
        <v>0</v>
      </c>
      <c r="FH220">
        <v>0</v>
      </c>
      <c r="FI220">
        <v>0.08059047619047632</v>
      </c>
      <c r="FJ220">
        <v>0</v>
      </c>
      <c r="FK220">
        <v>0</v>
      </c>
      <c r="FL220">
        <v>0</v>
      </c>
      <c r="FM220">
        <v>-1</v>
      </c>
      <c r="FN220">
        <v>-1</v>
      </c>
      <c r="FO220">
        <v>-1</v>
      </c>
      <c r="FP220">
        <v>-1</v>
      </c>
      <c r="FQ220">
        <v>204.5</v>
      </c>
      <c r="FR220">
        <v>204.6</v>
      </c>
      <c r="FS220">
        <v>0.140381</v>
      </c>
      <c r="FT220">
        <v>4.99756</v>
      </c>
      <c r="FU220">
        <v>1.5979</v>
      </c>
      <c r="FV220">
        <v>2.10815</v>
      </c>
      <c r="FW220">
        <v>1.54785</v>
      </c>
      <c r="FX220">
        <v>2.46704</v>
      </c>
      <c r="FY220">
        <v>48.1479</v>
      </c>
      <c r="FZ220">
        <v>14.7625</v>
      </c>
      <c r="GA220">
        <v>3</v>
      </c>
      <c r="GB220">
        <v>521.323</v>
      </c>
      <c r="GC220">
        <v>285.43</v>
      </c>
      <c r="GD220">
        <v>27.2115</v>
      </c>
      <c r="GE220">
        <v>38.5495</v>
      </c>
      <c r="GF220">
        <v>30.0005</v>
      </c>
      <c r="GG220">
        <v>38.4836</v>
      </c>
      <c r="GH220">
        <v>38.4848</v>
      </c>
      <c r="GI220">
        <v>-1</v>
      </c>
      <c r="GJ220">
        <v>100</v>
      </c>
      <c r="GK220">
        <v>0</v>
      </c>
      <c r="GL220">
        <v>27.2077</v>
      </c>
      <c r="GM220">
        <v>1200</v>
      </c>
      <c r="GN220">
        <v>19.4378</v>
      </c>
      <c r="GO220">
        <v>100.912</v>
      </c>
      <c r="GP220">
        <v>96.13379999999999</v>
      </c>
    </row>
    <row r="221" spans="1:198">
      <c r="A221">
        <v>205</v>
      </c>
      <c r="B221">
        <v>1773208341.6</v>
      </c>
      <c r="C221">
        <v>12241.59999990463</v>
      </c>
      <c r="D221" t="s">
        <v>743</v>
      </c>
      <c r="E221" t="s">
        <v>744</v>
      </c>
      <c r="F221">
        <v>15</v>
      </c>
      <c r="G221">
        <v>1773208333.599999</v>
      </c>
      <c r="H221">
        <f>(I221)/1000</f>
        <v>0</v>
      </c>
      <c r="I221">
        <f>1000*AY221*AG221*(AU221-AV221)/(100*AN221*(1000-AG221*AU221))</f>
        <v>0</v>
      </c>
      <c r="J221">
        <f>AY221*AG221*(AT221-AS221*(1000-AG221*AV221)/(1000-AG221*AU221))/(100*AN221)</f>
        <v>0</v>
      </c>
      <c r="K221">
        <f>AS221 - IF(AG221&gt;1, J221*AN221*100.0/(AI221), 0)</f>
        <v>0</v>
      </c>
      <c r="L221">
        <f>((R221-H221/2)*K221-J221)/(R221+H221/2)</f>
        <v>0</v>
      </c>
      <c r="M221">
        <f>L221*(AZ221+BA221)/1000.0</f>
        <v>0</v>
      </c>
      <c r="N221">
        <f>(AS221 - IF(AG221&gt;1, J221*AN221*100.0/(AI221), 0))*(AZ221+BA221)/1000.0</f>
        <v>0</v>
      </c>
      <c r="O221">
        <f>2.0/((1/Q221-1/P221)+SIGN(Q221)*SQRT((1/Q221-1/P221)*(1/Q221-1/P221) + 4*AO221/((AO221+1)*(AO221+1))*(2*1/Q221*1/P221-1/P221*1/P221)))</f>
        <v>0</v>
      </c>
      <c r="P221">
        <f>IF(LEFT(AP221,1)&lt;&gt;"0",IF(LEFT(AP221,1)="1",3.0,AQ221),$D$5+$E$5*(BG221*AZ221/($K$5*1000))+$F$5*(BG221*AZ221/($K$5*1000))*MAX(MIN(AN221,$J$5),$I$5)*MAX(MIN(AN221,$J$5),$I$5)+$G$5*MAX(MIN(AN221,$J$5),$I$5)*(BG221*AZ221/($K$5*1000))+$H$5*(BG221*AZ221/($K$5*1000))*(BG221*AZ221/($K$5*1000)))</f>
        <v>0</v>
      </c>
      <c r="Q221">
        <f>H221*(1000-(1000*0.61365*exp(17.502*U221/(240.97+U221))/(AZ221+BA221)+AU221)/2)/(1000*0.61365*exp(17.502*U221/(240.97+U221))/(AZ221+BA221)-AU221)</f>
        <v>0</v>
      </c>
      <c r="R221">
        <f>1/((AO221+1)/(O221/1.6)+1/(P221/1.37)) + AO221/((AO221+1)/(O221/1.6) + AO221/(P221/1.37))</f>
        <v>0</v>
      </c>
      <c r="S221">
        <f>(AJ221*AM221)</f>
        <v>0</v>
      </c>
      <c r="T221">
        <f>(BB221+(S221+2*0.95*5.67E-8*(((BB221+$B$7)+273)^4-(BB221+273)^4)-44100*H221)/(1.84*29.3*P221+8*0.95*5.67E-8*(BB221+273)^3))</f>
        <v>0</v>
      </c>
      <c r="U221">
        <f>($C$7*BC221+$D$7*BD221+$E$7*T221)</f>
        <v>0</v>
      </c>
      <c r="V221">
        <f>0.61365*exp(17.502*U221/(240.97+U221))</f>
        <v>0</v>
      </c>
      <c r="W221">
        <f>(X221/Y221*100)</f>
        <v>0</v>
      </c>
      <c r="X221">
        <f>AU221*(AZ221+BA221)/1000</f>
        <v>0</v>
      </c>
      <c r="Y221">
        <f>0.61365*exp(17.502*BB221/(240.97+BB221))</f>
        <v>0</v>
      </c>
      <c r="Z221">
        <f>(V221-AU221*(AZ221+BA221)/1000)</f>
        <v>0</v>
      </c>
      <c r="AA221">
        <f>(-H221*44100)</f>
        <v>0</v>
      </c>
      <c r="AB221">
        <f>2*29.3*P221*0.92*(BB221-U221)</f>
        <v>0</v>
      </c>
      <c r="AC221">
        <f>2*0.95*5.67E-8*(((BB221+$B$7)+273)^4-(U221+273)^4)</f>
        <v>0</v>
      </c>
      <c r="AD221">
        <f>S221+AC221+AA221+AB221</f>
        <v>0</v>
      </c>
      <c r="AE221">
        <v>0</v>
      </c>
      <c r="AF221">
        <v>0</v>
      </c>
      <c r="AG221">
        <f>IF(AE221*$H$13&gt;=AI221,1.0,(AI221/(AI221-AE221*$H$13)))</f>
        <v>0</v>
      </c>
      <c r="AH221">
        <f>(AG221-1)*100</f>
        <v>0</v>
      </c>
      <c r="AI221">
        <f>MAX(0,($B$13+$C$13*BG221)/(1+$D$13*BG221)*AZ221/(BB221+273)*$E$13)</f>
        <v>0</v>
      </c>
      <c r="AJ221">
        <f>$B$11*BH221+$C$11*BI221+$D$11*BT221</f>
        <v>0</v>
      </c>
      <c r="AK221">
        <f>AJ221*AL221</f>
        <v>0</v>
      </c>
      <c r="AL221">
        <f>($B$11*$D$9+$C$11*$D$9+$D$11*(BU221*$E$9+BV221*$G$9))/($B$11+$C$11+$D$11)</f>
        <v>0</v>
      </c>
      <c r="AM221">
        <f>($B$11*$K$9+$C$11*$K$9+$D$11*(BU221*$L$9+BV221*$N$9))/($B$11+$C$11+$D$11)</f>
        <v>0</v>
      </c>
      <c r="AN221">
        <v>3</v>
      </c>
      <c r="AO221">
        <v>0.5</v>
      </c>
      <c r="AP221" t="s">
        <v>331</v>
      </c>
      <c r="AQ221">
        <v>2</v>
      </c>
      <c r="AR221">
        <v>1773208333.599999</v>
      </c>
      <c r="AS221">
        <v>418.501064516129</v>
      </c>
      <c r="AT221">
        <v>416.1724516129032</v>
      </c>
      <c r="AU221">
        <v>14.13986451612903</v>
      </c>
      <c r="AV221">
        <v>14.06033870967742</v>
      </c>
      <c r="AW221">
        <v>412.2696451612903</v>
      </c>
      <c r="AX221">
        <v>14.05927741935484</v>
      </c>
      <c r="AY221">
        <v>500.020935483871</v>
      </c>
      <c r="AZ221">
        <v>99.97938064516127</v>
      </c>
      <c r="BA221">
        <v>0.04580589354838711</v>
      </c>
      <c r="BB221">
        <v>30.80880967741936</v>
      </c>
      <c r="BC221">
        <v>31.17058709677419</v>
      </c>
      <c r="BD221">
        <v>999.9000000000003</v>
      </c>
      <c r="BE221">
        <v>0</v>
      </c>
      <c r="BF221">
        <v>0</v>
      </c>
      <c r="BG221">
        <v>5007.193548387097</v>
      </c>
      <c r="BH221">
        <v>1.065134193548387</v>
      </c>
      <c r="BI221">
        <v>1950.083870967742</v>
      </c>
      <c r="BJ221">
        <v>2.328582258064516</v>
      </c>
      <c r="BK221">
        <v>424.5034838709678</v>
      </c>
      <c r="BL221">
        <v>422.1075161290323</v>
      </c>
      <c r="BM221">
        <v>0.07952578709677419</v>
      </c>
      <c r="BN221">
        <v>416.1724516129032</v>
      </c>
      <c r="BO221">
        <v>14.06033870967742</v>
      </c>
      <c r="BP221">
        <v>1.413694838709677</v>
      </c>
      <c r="BQ221">
        <v>1.405744516129032</v>
      </c>
      <c r="BR221">
        <v>12.06533870967742</v>
      </c>
      <c r="BS221">
        <v>11.97973548387097</v>
      </c>
      <c r="BT221">
        <v>0</v>
      </c>
      <c r="BU221">
        <v>0</v>
      </c>
      <c r="BV221">
        <v>0</v>
      </c>
      <c r="BW221">
        <v>36</v>
      </c>
      <c r="BX221">
        <v>64.05483870967741</v>
      </c>
      <c r="BY221">
        <v>1773196010</v>
      </c>
      <c r="BZ221" t="s">
        <v>332</v>
      </c>
      <c r="CA221">
        <v>1773196010</v>
      </c>
      <c r="CB221">
        <v>1773196005.5</v>
      </c>
      <c r="CC221">
        <v>2</v>
      </c>
      <c r="CD221">
        <v>-0.279</v>
      </c>
      <c r="CE221">
        <v>-0.021</v>
      </c>
      <c r="CF221">
        <v>6.231</v>
      </c>
      <c r="CG221">
        <v>0.081</v>
      </c>
      <c r="CH221">
        <v>432</v>
      </c>
      <c r="CI221">
        <v>21</v>
      </c>
      <c r="CJ221">
        <v>0.03</v>
      </c>
      <c r="CK221">
        <v>0.06</v>
      </c>
      <c r="CL221">
        <v>416.1751333333333</v>
      </c>
      <c r="CM221">
        <v>0.004591768632217033</v>
      </c>
      <c r="CN221">
        <v>0.02596758663325568</v>
      </c>
      <c r="CO221">
        <v>-1</v>
      </c>
      <c r="CP221">
        <v>500.0101333333333</v>
      </c>
      <c r="CQ221">
        <v>1.511065628475896</v>
      </c>
      <c r="CR221">
        <v>0.1470842691188358</v>
      </c>
      <c r="CS221">
        <v>-1</v>
      </c>
      <c r="CT221">
        <v>0</v>
      </c>
      <c r="CU221">
        <v>0</v>
      </c>
      <c r="CV221" t="s">
        <v>333</v>
      </c>
      <c r="CW221">
        <v>3.17171</v>
      </c>
      <c r="CX221">
        <v>2.66675</v>
      </c>
      <c r="CY221">
        <v>0.09802379999999999</v>
      </c>
      <c r="CZ221">
        <v>0.0987623</v>
      </c>
      <c r="DA221">
        <v>0.0757162</v>
      </c>
      <c r="DB221">
        <v>0.07544629999999999</v>
      </c>
      <c r="DC221">
        <v>21313.5</v>
      </c>
      <c r="DD221">
        <v>21907.2</v>
      </c>
      <c r="DE221">
        <v>22785.7</v>
      </c>
      <c r="DF221">
        <v>22257.5</v>
      </c>
      <c r="DG221">
        <v>31855.1</v>
      </c>
      <c r="DH221">
        <v>28987.6</v>
      </c>
      <c r="DI221">
        <v>40112</v>
      </c>
      <c r="DJ221">
        <v>36812.4</v>
      </c>
      <c r="DK221">
        <v>2.01924</v>
      </c>
      <c r="DL221">
        <v>1.48322</v>
      </c>
      <c r="DM221">
        <v>-0.105083</v>
      </c>
      <c r="DN221">
        <v>0</v>
      </c>
      <c r="DO221">
        <v>32.8844</v>
      </c>
      <c r="DP221">
        <v>999.9</v>
      </c>
      <c r="DQ221">
        <v>22.6</v>
      </c>
      <c r="DR221">
        <v>46.6</v>
      </c>
      <c r="DS221">
        <v>23.6494</v>
      </c>
      <c r="DT221">
        <v>30.0692</v>
      </c>
      <c r="DU221">
        <v>14.5272</v>
      </c>
      <c r="DV221">
        <v>1</v>
      </c>
      <c r="DW221">
        <v>0.94963</v>
      </c>
      <c r="DX221">
        <v>4.7902</v>
      </c>
      <c r="DY221">
        <v>20.2821</v>
      </c>
      <c r="DZ221">
        <v>5.20627</v>
      </c>
      <c r="EA221">
        <v>11.8572</v>
      </c>
      <c r="EB221">
        <v>4.96728</v>
      </c>
      <c r="EC221">
        <v>3.29294</v>
      </c>
      <c r="ED221">
        <v>879.4</v>
      </c>
      <c r="EE221">
        <v>9999</v>
      </c>
      <c r="EF221">
        <v>9999</v>
      </c>
      <c r="EG221">
        <v>79.40000000000001</v>
      </c>
      <c r="EH221">
        <v>4.97156</v>
      </c>
      <c r="EI221">
        <v>1.8721</v>
      </c>
      <c r="EJ221">
        <v>1.86948</v>
      </c>
      <c r="EK221">
        <v>1.87179</v>
      </c>
      <c r="EL221">
        <v>1.86952</v>
      </c>
      <c r="EM221">
        <v>1.86831</v>
      </c>
      <c r="EN221">
        <v>1.87014</v>
      </c>
      <c r="EO221">
        <v>1.87195</v>
      </c>
      <c r="EP221">
        <v>0</v>
      </c>
      <c r="EQ221">
        <v>0</v>
      </c>
      <c r="ER221">
        <v>0</v>
      </c>
      <c r="ES221">
        <v>0</v>
      </c>
      <c r="ET221" t="s">
        <v>334</v>
      </c>
      <c r="EU221" t="s">
        <v>335</v>
      </c>
      <c r="EV221" t="s">
        <v>336</v>
      </c>
      <c r="EW221" t="s">
        <v>336</v>
      </c>
      <c r="EX221" t="s">
        <v>336</v>
      </c>
      <c r="EY221" t="s">
        <v>336</v>
      </c>
      <c r="EZ221">
        <v>0</v>
      </c>
      <c r="FA221">
        <v>100</v>
      </c>
      <c r="FB221">
        <v>100</v>
      </c>
      <c r="FC221">
        <v>6.232</v>
      </c>
      <c r="FD221">
        <v>0.0805</v>
      </c>
      <c r="FE221">
        <v>6.23135000000002</v>
      </c>
      <c r="FF221">
        <v>0</v>
      </c>
      <c r="FG221">
        <v>0</v>
      </c>
      <c r="FH221">
        <v>0</v>
      </c>
      <c r="FI221">
        <v>0.08059047619047632</v>
      </c>
      <c r="FJ221">
        <v>0</v>
      </c>
      <c r="FK221">
        <v>0</v>
      </c>
      <c r="FL221">
        <v>0</v>
      </c>
      <c r="FM221">
        <v>-1</v>
      </c>
      <c r="FN221">
        <v>-1</v>
      </c>
      <c r="FO221">
        <v>-1</v>
      </c>
      <c r="FP221">
        <v>-1</v>
      </c>
      <c r="FQ221">
        <v>205.5</v>
      </c>
      <c r="FR221">
        <v>205.6</v>
      </c>
      <c r="FS221">
        <v>0.140381</v>
      </c>
      <c r="FT221">
        <v>4.99756</v>
      </c>
      <c r="FU221">
        <v>1.5979</v>
      </c>
      <c r="FV221">
        <v>2.10815</v>
      </c>
      <c r="FW221">
        <v>1.54785</v>
      </c>
      <c r="FX221">
        <v>2.49756</v>
      </c>
      <c r="FY221">
        <v>48.1785</v>
      </c>
      <c r="FZ221">
        <v>14.7537</v>
      </c>
      <c r="GA221">
        <v>3</v>
      </c>
      <c r="GB221">
        <v>520.739</v>
      </c>
      <c r="GC221">
        <v>285.469</v>
      </c>
      <c r="GD221">
        <v>26.944</v>
      </c>
      <c r="GE221">
        <v>38.5775</v>
      </c>
      <c r="GF221">
        <v>30.0002</v>
      </c>
      <c r="GG221">
        <v>38.4927</v>
      </c>
      <c r="GH221">
        <v>38.4903</v>
      </c>
      <c r="GI221">
        <v>-1</v>
      </c>
      <c r="GJ221">
        <v>100</v>
      </c>
      <c r="GK221">
        <v>0</v>
      </c>
      <c r="GL221">
        <v>26.9412</v>
      </c>
      <c r="GM221">
        <v>1200</v>
      </c>
      <c r="GN221">
        <v>19.4378</v>
      </c>
      <c r="GO221">
        <v>100.907</v>
      </c>
      <c r="GP221">
        <v>96.13</v>
      </c>
    </row>
    <row r="222" spans="1:198">
      <c r="A222">
        <v>206</v>
      </c>
      <c r="B222">
        <v>1773208401.6</v>
      </c>
      <c r="C222">
        <v>12301.59999990463</v>
      </c>
      <c r="D222" t="s">
        <v>745</v>
      </c>
      <c r="E222" t="s">
        <v>746</v>
      </c>
      <c r="F222">
        <v>15</v>
      </c>
      <c r="G222">
        <v>1773208393.599999</v>
      </c>
      <c r="H222">
        <f>(I222)/1000</f>
        <v>0</v>
      </c>
      <c r="I222">
        <f>1000*AY222*AG222*(AU222-AV222)/(100*AN222*(1000-AG222*AU222))</f>
        <v>0</v>
      </c>
      <c r="J222">
        <f>AY222*AG222*(AT222-AS222*(1000-AG222*AV222)/(1000-AG222*AU222))/(100*AN222)</f>
        <v>0</v>
      </c>
      <c r="K222">
        <f>AS222 - IF(AG222&gt;1, J222*AN222*100.0/(AI222), 0)</f>
        <v>0</v>
      </c>
      <c r="L222">
        <f>((R222-H222/2)*K222-J222)/(R222+H222/2)</f>
        <v>0</v>
      </c>
      <c r="M222">
        <f>L222*(AZ222+BA222)/1000.0</f>
        <v>0</v>
      </c>
      <c r="N222">
        <f>(AS222 - IF(AG222&gt;1, J222*AN222*100.0/(AI222), 0))*(AZ222+BA222)/1000.0</f>
        <v>0</v>
      </c>
      <c r="O222">
        <f>2.0/((1/Q222-1/P222)+SIGN(Q222)*SQRT((1/Q222-1/P222)*(1/Q222-1/P222) + 4*AO222/((AO222+1)*(AO222+1))*(2*1/Q222*1/P222-1/P222*1/P222)))</f>
        <v>0</v>
      </c>
      <c r="P222">
        <f>IF(LEFT(AP222,1)&lt;&gt;"0",IF(LEFT(AP222,1)="1",3.0,AQ222),$D$5+$E$5*(BG222*AZ222/($K$5*1000))+$F$5*(BG222*AZ222/($K$5*1000))*MAX(MIN(AN222,$J$5),$I$5)*MAX(MIN(AN222,$J$5),$I$5)+$G$5*MAX(MIN(AN222,$J$5),$I$5)*(BG222*AZ222/($K$5*1000))+$H$5*(BG222*AZ222/($K$5*1000))*(BG222*AZ222/($K$5*1000)))</f>
        <v>0</v>
      </c>
      <c r="Q222">
        <f>H222*(1000-(1000*0.61365*exp(17.502*U222/(240.97+U222))/(AZ222+BA222)+AU222)/2)/(1000*0.61365*exp(17.502*U222/(240.97+U222))/(AZ222+BA222)-AU222)</f>
        <v>0</v>
      </c>
      <c r="R222">
        <f>1/((AO222+1)/(O222/1.6)+1/(P222/1.37)) + AO222/((AO222+1)/(O222/1.6) + AO222/(P222/1.37))</f>
        <v>0</v>
      </c>
      <c r="S222">
        <f>(AJ222*AM222)</f>
        <v>0</v>
      </c>
      <c r="T222">
        <f>(BB222+(S222+2*0.95*5.67E-8*(((BB222+$B$7)+273)^4-(BB222+273)^4)-44100*H222)/(1.84*29.3*P222+8*0.95*5.67E-8*(BB222+273)^3))</f>
        <v>0</v>
      </c>
      <c r="U222">
        <f>($C$7*BC222+$D$7*BD222+$E$7*T222)</f>
        <v>0</v>
      </c>
      <c r="V222">
        <f>0.61365*exp(17.502*U222/(240.97+U222))</f>
        <v>0</v>
      </c>
      <c r="W222">
        <f>(X222/Y222*100)</f>
        <v>0</v>
      </c>
      <c r="X222">
        <f>AU222*(AZ222+BA222)/1000</f>
        <v>0</v>
      </c>
      <c r="Y222">
        <f>0.61365*exp(17.502*BB222/(240.97+BB222))</f>
        <v>0</v>
      </c>
      <c r="Z222">
        <f>(V222-AU222*(AZ222+BA222)/1000)</f>
        <v>0</v>
      </c>
      <c r="AA222">
        <f>(-H222*44100)</f>
        <v>0</v>
      </c>
      <c r="AB222">
        <f>2*29.3*P222*0.92*(BB222-U222)</f>
        <v>0</v>
      </c>
      <c r="AC222">
        <f>2*0.95*5.67E-8*(((BB222+$B$7)+273)^4-(U222+273)^4)</f>
        <v>0</v>
      </c>
      <c r="AD222">
        <f>S222+AC222+AA222+AB222</f>
        <v>0</v>
      </c>
      <c r="AE222">
        <v>0</v>
      </c>
      <c r="AF222">
        <v>0</v>
      </c>
      <c r="AG222">
        <f>IF(AE222*$H$13&gt;=AI222,1.0,(AI222/(AI222-AE222*$H$13)))</f>
        <v>0</v>
      </c>
      <c r="AH222">
        <f>(AG222-1)*100</f>
        <v>0</v>
      </c>
      <c r="AI222">
        <f>MAX(0,($B$13+$C$13*BG222)/(1+$D$13*BG222)*AZ222/(BB222+273)*$E$13)</f>
        <v>0</v>
      </c>
      <c r="AJ222">
        <f>$B$11*BH222+$C$11*BI222+$D$11*BT222</f>
        <v>0</v>
      </c>
      <c r="AK222">
        <f>AJ222*AL222</f>
        <v>0</v>
      </c>
      <c r="AL222">
        <f>($B$11*$D$9+$C$11*$D$9+$D$11*(BU222*$E$9+BV222*$G$9))/($B$11+$C$11+$D$11)</f>
        <v>0</v>
      </c>
      <c r="AM222">
        <f>($B$11*$K$9+$C$11*$K$9+$D$11*(BU222*$L$9+BV222*$N$9))/($B$11+$C$11+$D$11)</f>
        <v>0</v>
      </c>
      <c r="AN222">
        <v>3</v>
      </c>
      <c r="AO222">
        <v>0.5</v>
      </c>
      <c r="AP222" t="s">
        <v>331</v>
      </c>
      <c r="AQ222">
        <v>2</v>
      </c>
      <c r="AR222">
        <v>1773208393.599999</v>
      </c>
      <c r="AS222">
        <v>418.3153225806452</v>
      </c>
      <c r="AT222">
        <v>415.9863870967742</v>
      </c>
      <c r="AU222">
        <v>14.2055064516129</v>
      </c>
      <c r="AV222">
        <v>14.12527741935484</v>
      </c>
      <c r="AW222">
        <v>412.0840000000001</v>
      </c>
      <c r="AX222">
        <v>14.12491612903226</v>
      </c>
      <c r="AY222">
        <v>499.9825806451612</v>
      </c>
      <c r="AZ222">
        <v>99.98027419354838</v>
      </c>
      <c r="BA222">
        <v>0.04456351935483872</v>
      </c>
      <c r="BB222">
        <v>30.82864193548387</v>
      </c>
      <c r="BC222">
        <v>31.21726129032258</v>
      </c>
      <c r="BD222">
        <v>999.9000000000003</v>
      </c>
      <c r="BE222">
        <v>0</v>
      </c>
      <c r="BF222">
        <v>0</v>
      </c>
      <c r="BG222">
        <v>4999.5</v>
      </c>
      <c r="BH222">
        <v>1.058660322580645</v>
      </c>
      <c r="BI222">
        <v>1948.316774193549</v>
      </c>
      <c r="BJ222">
        <v>2.328931290322581</v>
      </c>
      <c r="BK222">
        <v>424.3432903225807</v>
      </c>
      <c r="BL222">
        <v>421.9465161290323</v>
      </c>
      <c r="BM222">
        <v>0.08021895806451612</v>
      </c>
      <c r="BN222">
        <v>415.9863870967742</v>
      </c>
      <c r="BO222">
        <v>14.12527741935484</v>
      </c>
      <c r="BP222">
        <v>1.420269032258064</v>
      </c>
      <c r="BQ222">
        <v>1.412249032258064</v>
      </c>
      <c r="BR222">
        <v>12.1358</v>
      </c>
      <c r="BS222">
        <v>12.04979677419355</v>
      </c>
      <c r="BT222">
        <v>0</v>
      </c>
      <c r="BU222">
        <v>0</v>
      </c>
      <c r="BV222">
        <v>0</v>
      </c>
      <c r="BW222">
        <v>36</v>
      </c>
      <c r="BX222">
        <v>64.08280967741936</v>
      </c>
      <c r="BY222">
        <v>1773196010</v>
      </c>
      <c r="BZ222" t="s">
        <v>332</v>
      </c>
      <c r="CA222">
        <v>1773196010</v>
      </c>
      <c r="CB222">
        <v>1773196005.5</v>
      </c>
      <c r="CC222">
        <v>2</v>
      </c>
      <c r="CD222">
        <v>-0.279</v>
      </c>
      <c r="CE222">
        <v>-0.021</v>
      </c>
      <c r="CF222">
        <v>6.231</v>
      </c>
      <c r="CG222">
        <v>0.081</v>
      </c>
      <c r="CH222">
        <v>432</v>
      </c>
      <c r="CI222">
        <v>21</v>
      </c>
      <c r="CJ222">
        <v>0.03</v>
      </c>
      <c r="CK222">
        <v>0.06</v>
      </c>
      <c r="CL222">
        <v>415.9880967741935</v>
      </c>
      <c r="CM222">
        <v>-0.1473387096781678</v>
      </c>
      <c r="CN222">
        <v>0.01428817430877894</v>
      </c>
      <c r="CO222">
        <v>-1</v>
      </c>
      <c r="CP222">
        <v>499.981</v>
      </c>
      <c r="CQ222">
        <v>0.06638709677281877</v>
      </c>
      <c r="CR222">
        <v>0.04420918018809196</v>
      </c>
      <c r="CS222">
        <v>-1</v>
      </c>
      <c r="CT222">
        <v>0</v>
      </c>
      <c r="CU222">
        <v>0</v>
      </c>
      <c r="CV222" t="s">
        <v>333</v>
      </c>
      <c r="CW222">
        <v>3.17171</v>
      </c>
      <c r="CX222">
        <v>2.66527</v>
      </c>
      <c r="CY222">
        <v>0.0979858</v>
      </c>
      <c r="CZ222">
        <v>0.0987299</v>
      </c>
      <c r="DA222">
        <v>0.0759876</v>
      </c>
      <c r="DB222">
        <v>0.07573149999999999</v>
      </c>
      <c r="DC222">
        <v>21312.5</v>
      </c>
      <c r="DD222">
        <v>21906.8</v>
      </c>
      <c r="DE222">
        <v>22783.8</v>
      </c>
      <c r="DF222">
        <v>22256.4</v>
      </c>
      <c r="DG222">
        <v>31843.2</v>
      </c>
      <c r="DH222">
        <v>28977.1</v>
      </c>
      <c r="DI222">
        <v>40108.9</v>
      </c>
      <c r="DJ222">
        <v>36810.4</v>
      </c>
      <c r="DK222">
        <v>2.01924</v>
      </c>
      <c r="DL222">
        <v>1.4835</v>
      </c>
      <c r="DM222">
        <v>-0.107267</v>
      </c>
      <c r="DN222">
        <v>0</v>
      </c>
      <c r="DO222">
        <v>32.9628</v>
      </c>
      <c r="DP222">
        <v>999.9</v>
      </c>
      <c r="DQ222">
        <v>22.5</v>
      </c>
      <c r="DR222">
        <v>46.6</v>
      </c>
      <c r="DS222">
        <v>23.5465</v>
      </c>
      <c r="DT222">
        <v>30.5192</v>
      </c>
      <c r="DU222">
        <v>14.1506</v>
      </c>
      <c r="DV222">
        <v>1</v>
      </c>
      <c r="DW222">
        <v>0.953053</v>
      </c>
      <c r="DX222">
        <v>4.82966</v>
      </c>
      <c r="DY222">
        <v>20.2805</v>
      </c>
      <c r="DZ222">
        <v>5.2101</v>
      </c>
      <c r="EA222">
        <v>11.8565</v>
      </c>
      <c r="EB222">
        <v>4.96704</v>
      </c>
      <c r="EC222">
        <v>3.29288</v>
      </c>
      <c r="ED222">
        <v>879.4</v>
      </c>
      <c r="EE222">
        <v>9999</v>
      </c>
      <c r="EF222">
        <v>9999</v>
      </c>
      <c r="EG222">
        <v>79.40000000000001</v>
      </c>
      <c r="EH222">
        <v>4.97157</v>
      </c>
      <c r="EI222">
        <v>1.8721</v>
      </c>
      <c r="EJ222">
        <v>1.8695</v>
      </c>
      <c r="EK222">
        <v>1.8718</v>
      </c>
      <c r="EL222">
        <v>1.86958</v>
      </c>
      <c r="EM222">
        <v>1.86837</v>
      </c>
      <c r="EN222">
        <v>1.87015</v>
      </c>
      <c r="EO222">
        <v>1.87195</v>
      </c>
      <c r="EP222">
        <v>0</v>
      </c>
      <c r="EQ222">
        <v>0</v>
      </c>
      <c r="ER222">
        <v>0</v>
      </c>
      <c r="ES222">
        <v>0</v>
      </c>
      <c r="ET222" t="s">
        <v>334</v>
      </c>
      <c r="EU222" t="s">
        <v>335</v>
      </c>
      <c r="EV222" t="s">
        <v>336</v>
      </c>
      <c r="EW222" t="s">
        <v>336</v>
      </c>
      <c r="EX222" t="s">
        <v>336</v>
      </c>
      <c r="EY222" t="s">
        <v>336</v>
      </c>
      <c r="EZ222">
        <v>0</v>
      </c>
      <c r="FA222">
        <v>100</v>
      </c>
      <c r="FB222">
        <v>100</v>
      </c>
      <c r="FC222">
        <v>6.232</v>
      </c>
      <c r="FD222">
        <v>0.0806</v>
      </c>
      <c r="FE222">
        <v>6.23135000000002</v>
      </c>
      <c r="FF222">
        <v>0</v>
      </c>
      <c r="FG222">
        <v>0</v>
      </c>
      <c r="FH222">
        <v>0</v>
      </c>
      <c r="FI222">
        <v>0.08059047619047632</v>
      </c>
      <c r="FJ222">
        <v>0</v>
      </c>
      <c r="FK222">
        <v>0</v>
      </c>
      <c r="FL222">
        <v>0</v>
      </c>
      <c r="FM222">
        <v>-1</v>
      </c>
      <c r="FN222">
        <v>-1</v>
      </c>
      <c r="FO222">
        <v>-1</v>
      </c>
      <c r="FP222">
        <v>-1</v>
      </c>
      <c r="FQ222">
        <v>206.5</v>
      </c>
      <c r="FR222">
        <v>206.6</v>
      </c>
      <c r="FS222">
        <v>0.140381</v>
      </c>
      <c r="FT222">
        <v>4.99756</v>
      </c>
      <c r="FU222">
        <v>1.5979</v>
      </c>
      <c r="FV222">
        <v>2.10938</v>
      </c>
      <c r="FW222">
        <v>1.54785</v>
      </c>
      <c r="FX222">
        <v>2.39746</v>
      </c>
      <c r="FY222">
        <v>48.2396</v>
      </c>
      <c r="FZ222">
        <v>14.7362</v>
      </c>
      <c r="GA222">
        <v>3</v>
      </c>
      <c r="GB222">
        <v>520.866</v>
      </c>
      <c r="GC222">
        <v>285.654</v>
      </c>
      <c r="GD222">
        <v>27.0671</v>
      </c>
      <c r="GE222">
        <v>38.611</v>
      </c>
      <c r="GF222">
        <v>30.0005</v>
      </c>
      <c r="GG222">
        <v>38.511</v>
      </c>
      <c r="GH222">
        <v>38.5054</v>
      </c>
      <c r="GI222">
        <v>-1</v>
      </c>
      <c r="GJ222">
        <v>100</v>
      </c>
      <c r="GK222">
        <v>0</v>
      </c>
      <c r="GL222">
        <v>27.0625</v>
      </c>
      <c r="GM222">
        <v>1200</v>
      </c>
      <c r="GN222">
        <v>19.4378</v>
      </c>
      <c r="GO222">
        <v>100.899</v>
      </c>
      <c r="GP222">
        <v>96.125</v>
      </c>
    </row>
    <row r="223" spans="1:198">
      <c r="A223">
        <v>207</v>
      </c>
      <c r="B223">
        <v>1773208461.6</v>
      </c>
      <c r="C223">
        <v>12361.59999990463</v>
      </c>
      <c r="D223" t="s">
        <v>747</v>
      </c>
      <c r="E223" t="s">
        <v>748</v>
      </c>
      <c r="F223">
        <v>15</v>
      </c>
      <c r="G223">
        <v>1773208453.599999</v>
      </c>
      <c r="H223">
        <f>(I223)/1000</f>
        <v>0</v>
      </c>
      <c r="I223">
        <f>1000*AY223*AG223*(AU223-AV223)/(100*AN223*(1000-AG223*AU223))</f>
        <v>0</v>
      </c>
      <c r="J223">
        <f>AY223*AG223*(AT223-AS223*(1000-AG223*AV223)/(1000-AG223*AU223))/(100*AN223)</f>
        <v>0</v>
      </c>
      <c r="K223">
        <f>AS223 - IF(AG223&gt;1, J223*AN223*100.0/(AI223), 0)</f>
        <v>0</v>
      </c>
      <c r="L223">
        <f>((R223-H223/2)*K223-J223)/(R223+H223/2)</f>
        <v>0</v>
      </c>
      <c r="M223">
        <f>L223*(AZ223+BA223)/1000.0</f>
        <v>0</v>
      </c>
      <c r="N223">
        <f>(AS223 - IF(AG223&gt;1, J223*AN223*100.0/(AI223), 0))*(AZ223+BA223)/1000.0</f>
        <v>0</v>
      </c>
      <c r="O223">
        <f>2.0/((1/Q223-1/P223)+SIGN(Q223)*SQRT((1/Q223-1/P223)*(1/Q223-1/P223) + 4*AO223/((AO223+1)*(AO223+1))*(2*1/Q223*1/P223-1/P223*1/P223)))</f>
        <v>0</v>
      </c>
      <c r="P223">
        <f>IF(LEFT(AP223,1)&lt;&gt;"0",IF(LEFT(AP223,1)="1",3.0,AQ223),$D$5+$E$5*(BG223*AZ223/($K$5*1000))+$F$5*(BG223*AZ223/($K$5*1000))*MAX(MIN(AN223,$J$5),$I$5)*MAX(MIN(AN223,$J$5),$I$5)+$G$5*MAX(MIN(AN223,$J$5),$I$5)*(BG223*AZ223/($K$5*1000))+$H$5*(BG223*AZ223/($K$5*1000))*(BG223*AZ223/($K$5*1000)))</f>
        <v>0</v>
      </c>
      <c r="Q223">
        <f>H223*(1000-(1000*0.61365*exp(17.502*U223/(240.97+U223))/(AZ223+BA223)+AU223)/2)/(1000*0.61365*exp(17.502*U223/(240.97+U223))/(AZ223+BA223)-AU223)</f>
        <v>0</v>
      </c>
      <c r="R223">
        <f>1/((AO223+1)/(O223/1.6)+1/(P223/1.37)) + AO223/((AO223+1)/(O223/1.6) + AO223/(P223/1.37))</f>
        <v>0</v>
      </c>
      <c r="S223">
        <f>(AJ223*AM223)</f>
        <v>0</v>
      </c>
      <c r="T223">
        <f>(BB223+(S223+2*0.95*5.67E-8*(((BB223+$B$7)+273)^4-(BB223+273)^4)-44100*H223)/(1.84*29.3*P223+8*0.95*5.67E-8*(BB223+273)^3))</f>
        <v>0</v>
      </c>
      <c r="U223">
        <f>($C$7*BC223+$D$7*BD223+$E$7*T223)</f>
        <v>0</v>
      </c>
      <c r="V223">
        <f>0.61365*exp(17.502*U223/(240.97+U223))</f>
        <v>0</v>
      </c>
      <c r="W223">
        <f>(X223/Y223*100)</f>
        <v>0</v>
      </c>
      <c r="X223">
        <f>AU223*(AZ223+BA223)/1000</f>
        <v>0</v>
      </c>
      <c r="Y223">
        <f>0.61365*exp(17.502*BB223/(240.97+BB223))</f>
        <v>0</v>
      </c>
      <c r="Z223">
        <f>(V223-AU223*(AZ223+BA223)/1000)</f>
        <v>0</v>
      </c>
      <c r="AA223">
        <f>(-H223*44100)</f>
        <v>0</v>
      </c>
      <c r="AB223">
        <f>2*29.3*P223*0.92*(BB223-U223)</f>
        <v>0</v>
      </c>
      <c r="AC223">
        <f>2*0.95*5.67E-8*(((BB223+$B$7)+273)^4-(U223+273)^4)</f>
        <v>0</v>
      </c>
      <c r="AD223">
        <f>S223+AC223+AA223+AB223</f>
        <v>0</v>
      </c>
      <c r="AE223">
        <v>0</v>
      </c>
      <c r="AF223">
        <v>0</v>
      </c>
      <c r="AG223">
        <f>IF(AE223*$H$13&gt;=AI223,1.0,(AI223/(AI223-AE223*$H$13)))</f>
        <v>0</v>
      </c>
      <c r="AH223">
        <f>(AG223-1)*100</f>
        <v>0</v>
      </c>
      <c r="AI223">
        <f>MAX(0,($B$13+$C$13*BG223)/(1+$D$13*BG223)*AZ223/(BB223+273)*$E$13)</f>
        <v>0</v>
      </c>
      <c r="AJ223">
        <f>$B$11*BH223+$C$11*BI223+$D$11*BT223</f>
        <v>0</v>
      </c>
      <c r="AK223">
        <f>AJ223*AL223</f>
        <v>0</v>
      </c>
      <c r="AL223">
        <f>($B$11*$D$9+$C$11*$D$9+$D$11*(BU223*$E$9+BV223*$G$9))/($B$11+$C$11+$D$11)</f>
        <v>0</v>
      </c>
      <c r="AM223">
        <f>($B$11*$K$9+$C$11*$K$9+$D$11*(BU223*$L$9+BV223*$N$9))/($B$11+$C$11+$D$11)</f>
        <v>0</v>
      </c>
      <c r="AN223">
        <v>3</v>
      </c>
      <c r="AO223">
        <v>0.5</v>
      </c>
      <c r="AP223" t="s">
        <v>331</v>
      </c>
      <c r="AQ223">
        <v>2</v>
      </c>
      <c r="AR223">
        <v>1773208453.599999</v>
      </c>
      <c r="AS223">
        <v>418.2807419354838</v>
      </c>
      <c r="AT223">
        <v>415.9491612903224</v>
      </c>
      <c r="AU223">
        <v>14.31623548387097</v>
      </c>
      <c r="AV223">
        <v>14.25033548387097</v>
      </c>
      <c r="AW223">
        <v>412.0493548387097</v>
      </c>
      <c r="AX223">
        <v>14.23563870967742</v>
      </c>
      <c r="AY223">
        <v>500.0419032258065</v>
      </c>
      <c r="AZ223">
        <v>99.97357096774194</v>
      </c>
      <c r="BA223">
        <v>0.04538685483870968</v>
      </c>
      <c r="BB223">
        <v>30.79850322580645</v>
      </c>
      <c r="BC223">
        <v>31.19942580645161</v>
      </c>
      <c r="BD223">
        <v>999.9000000000003</v>
      </c>
      <c r="BE223">
        <v>0</v>
      </c>
      <c r="BF223">
        <v>0</v>
      </c>
      <c r="BG223">
        <v>5029.516129032259</v>
      </c>
      <c r="BH223">
        <v>1.093958064516129</v>
      </c>
      <c r="BI223">
        <v>1922.672580645162</v>
      </c>
      <c r="BJ223">
        <v>2.331575806451613</v>
      </c>
      <c r="BK223">
        <v>424.3559032258065</v>
      </c>
      <c r="BL223">
        <v>421.9622580645161</v>
      </c>
      <c r="BM223">
        <v>0.06589910967741937</v>
      </c>
      <c r="BN223">
        <v>415.9491612903224</v>
      </c>
      <c r="BO223">
        <v>14.25033548387097</v>
      </c>
      <c r="BP223">
        <v>1.431244193548387</v>
      </c>
      <c r="BQ223">
        <v>1.424656129032258</v>
      </c>
      <c r="BR223">
        <v>12.25277096774194</v>
      </c>
      <c r="BS223">
        <v>12.18263548387097</v>
      </c>
      <c r="BT223">
        <v>0</v>
      </c>
      <c r="BU223">
        <v>0</v>
      </c>
      <c r="BV223">
        <v>0</v>
      </c>
      <c r="BW223">
        <v>36</v>
      </c>
      <c r="BX223">
        <v>64</v>
      </c>
      <c r="BY223">
        <v>1773196010</v>
      </c>
      <c r="BZ223" t="s">
        <v>332</v>
      </c>
      <c r="CA223">
        <v>1773196010</v>
      </c>
      <c r="CB223">
        <v>1773196005.5</v>
      </c>
      <c r="CC223">
        <v>2</v>
      </c>
      <c r="CD223">
        <v>-0.279</v>
      </c>
      <c r="CE223">
        <v>-0.021</v>
      </c>
      <c r="CF223">
        <v>6.231</v>
      </c>
      <c r="CG223">
        <v>0.081</v>
      </c>
      <c r="CH223">
        <v>432</v>
      </c>
      <c r="CI223">
        <v>21</v>
      </c>
      <c r="CJ223">
        <v>0.03</v>
      </c>
      <c r="CK223">
        <v>0.06</v>
      </c>
      <c r="CL223">
        <v>415.9490333333332</v>
      </c>
      <c r="CM223">
        <v>0.198754171300854</v>
      </c>
      <c r="CN223">
        <v>0.01824734379452217</v>
      </c>
      <c r="CO223">
        <v>-1</v>
      </c>
      <c r="CP223">
        <v>500.0435333333334</v>
      </c>
      <c r="CQ223">
        <v>-0.02845828698569312</v>
      </c>
      <c r="CR223">
        <v>0.04559951266796386</v>
      </c>
      <c r="CS223">
        <v>-1</v>
      </c>
      <c r="CT223">
        <v>0</v>
      </c>
      <c r="CU223">
        <v>0</v>
      </c>
      <c r="CV223" t="s">
        <v>333</v>
      </c>
      <c r="CW223">
        <v>3.17177</v>
      </c>
      <c r="CX223">
        <v>2.66724</v>
      </c>
      <c r="CY223">
        <v>0.09796199999999999</v>
      </c>
      <c r="CZ223">
        <v>0.098714</v>
      </c>
      <c r="DA223">
        <v>0.0764416</v>
      </c>
      <c r="DB223">
        <v>0.0762192</v>
      </c>
      <c r="DC223">
        <v>21309.9</v>
      </c>
      <c r="DD223">
        <v>21904.6</v>
      </c>
      <c r="DE223">
        <v>22780.8</v>
      </c>
      <c r="DF223">
        <v>22254</v>
      </c>
      <c r="DG223">
        <v>31823.8</v>
      </c>
      <c r="DH223">
        <v>28958.4</v>
      </c>
      <c r="DI223">
        <v>40104.1</v>
      </c>
      <c r="DJ223">
        <v>36806.2</v>
      </c>
      <c r="DK223">
        <v>2.01848</v>
      </c>
      <c r="DL223">
        <v>1.4819</v>
      </c>
      <c r="DM223">
        <v>-0.114954</v>
      </c>
      <c r="DN223">
        <v>0</v>
      </c>
      <c r="DO223">
        <v>33.0766</v>
      </c>
      <c r="DP223">
        <v>999.9</v>
      </c>
      <c r="DQ223">
        <v>22.5</v>
      </c>
      <c r="DR223">
        <v>46.6</v>
      </c>
      <c r="DS223">
        <v>23.5473</v>
      </c>
      <c r="DT223">
        <v>30.0392</v>
      </c>
      <c r="DU223">
        <v>14.2869</v>
      </c>
      <c r="DV223">
        <v>1</v>
      </c>
      <c r="DW223">
        <v>0.95828</v>
      </c>
      <c r="DX223">
        <v>4.69176</v>
      </c>
      <c r="DY223">
        <v>20.285</v>
      </c>
      <c r="DZ223">
        <v>5.20663</v>
      </c>
      <c r="EA223">
        <v>11.8572</v>
      </c>
      <c r="EB223">
        <v>4.96652</v>
      </c>
      <c r="EC223">
        <v>3.2922</v>
      </c>
      <c r="ED223">
        <v>879.4</v>
      </c>
      <c r="EE223">
        <v>9999</v>
      </c>
      <c r="EF223">
        <v>9999</v>
      </c>
      <c r="EG223">
        <v>79.5</v>
      </c>
      <c r="EH223">
        <v>4.97157</v>
      </c>
      <c r="EI223">
        <v>1.8721</v>
      </c>
      <c r="EJ223">
        <v>1.8695</v>
      </c>
      <c r="EK223">
        <v>1.8718</v>
      </c>
      <c r="EL223">
        <v>1.86957</v>
      </c>
      <c r="EM223">
        <v>1.86836</v>
      </c>
      <c r="EN223">
        <v>1.87017</v>
      </c>
      <c r="EO223">
        <v>1.87195</v>
      </c>
      <c r="EP223">
        <v>0</v>
      </c>
      <c r="EQ223">
        <v>0</v>
      </c>
      <c r="ER223">
        <v>0</v>
      </c>
      <c r="ES223">
        <v>0</v>
      </c>
      <c r="ET223" t="s">
        <v>334</v>
      </c>
      <c r="EU223" t="s">
        <v>335</v>
      </c>
      <c r="EV223" t="s">
        <v>336</v>
      </c>
      <c r="EW223" t="s">
        <v>336</v>
      </c>
      <c r="EX223" t="s">
        <v>336</v>
      </c>
      <c r="EY223" t="s">
        <v>336</v>
      </c>
      <c r="EZ223">
        <v>0</v>
      </c>
      <c r="FA223">
        <v>100</v>
      </c>
      <c r="FB223">
        <v>100</v>
      </c>
      <c r="FC223">
        <v>6.231</v>
      </c>
      <c r="FD223">
        <v>0.0806</v>
      </c>
      <c r="FE223">
        <v>6.23135000000002</v>
      </c>
      <c r="FF223">
        <v>0</v>
      </c>
      <c r="FG223">
        <v>0</v>
      </c>
      <c r="FH223">
        <v>0</v>
      </c>
      <c r="FI223">
        <v>0.08059047619047632</v>
      </c>
      <c r="FJ223">
        <v>0</v>
      </c>
      <c r="FK223">
        <v>0</v>
      </c>
      <c r="FL223">
        <v>0</v>
      </c>
      <c r="FM223">
        <v>-1</v>
      </c>
      <c r="FN223">
        <v>-1</v>
      </c>
      <c r="FO223">
        <v>-1</v>
      </c>
      <c r="FP223">
        <v>-1</v>
      </c>
      <c r="FQ223">
        <v>207.5</v>
      </c>
      <c r="FR223">
        <v>207.6</v>
      </c>
      <c r="FS223">
        <v>0.140381</v>
      </c>
      <c r="FT223">
        <v>4.99756</v>
      </c>
      <c r="FU223">
        <v>1.5979</v>
      </c>
      <c r="FV223">
        <v>2.10938</v>
      </c>
      <c r="FW223">
        <v>1.54785</v>
      </c>
      <c r="FX223">
        <v>2.49146</v>
      </c>
      <c r="FY223">
        <v>48.3316</v>
      </c>
      <c r="FZ223">
        <v>14.7362</v>
      </c>
      <c r="GA223">
        <v>3</v>
      </c>
      <c r="GB223">
        <v>520.794</v>
      </c>
      <c r="GC223">
        <v>285.117</v>
      </c>
      <c r="GD223">
        <v>27.0596</v>
      </c>
      <c r="GE223">
        <v>38.693</v>
      </c>
      <c r="GF223">
        <v>30.0012</v>
      </c>
      <c r="GG223">
        <v>38.5688</v>
      </c>
      <c r="GH223">
        <v>38.5607</v>
      </c>
      <c r="GI223">
        <v>-1</v>
      </c>
      <c r="GJ223">
        <v>100</v>
      </c>
      <c r="GK223">
        <v>0</v>
      </c>
      <c r="GL223">
        <v>27.0193</v>
      </c>
      <c r="GM223">
        <v>1200</v>
      </c>
      <c r="GN223">
        <v>19.4378</v>
      </c>
      <c r="GO223">
        <v>100.886</v>
      </c>
      <c r="GP223">
        <v>96.11409999999999</v>
      </c>
    </row>
    <row r="224" spans="1:198">
      <c r="A224">
        <v>208</v>
      </c>
      <c r="B224">
        <v>1773208521.6</v>
      </c>
      <c r="C224">
        <v>12421.59999990463</v>
      </c>
      <c r="D224" t="s">
        <v>749</v>
      </c>
      <c r="E224" t="s">
        <v>750</v>
      </c>
      <c r="F224">
        <v>15</v>
      </c>
      <c r="G224">
        <v>1773208513.599999</v>
      </c>
      <c r="H224">
        <f>(I224)/1000</f>
        <v>0</v>
      </c>
      <c r="I224">
        <f>1000*AY224*AG224*(AU224-AV224)/(100*AN224*(1000-AG224*AU224))</f>
        <v>0</v>
      </c>
      <c r="J224">
        <f>AY224*AG224*(AT224-AS224*(1000-AG224*AV224)/(1000-AG224*AU224))/(100*AN224)</f>
        <v>0</v>
      </c>
      <c r="K224">
        <f>AS224 - IF(AG224&gt;1, J224*AN224*100.0/(AI224), 0)</f>
        <v>0</v>
      </c>
      <c r="L224">
        <f>((R224-H224/2)*K224-J224)/(R224+H224/2)</f>
        <v>0</v>
      </c>
      <c r="M224">
        <f>L224*(AZ224+BA224)/1000.0</f>
        <v>0</v>
      </c>
      <c r="N224">
        <f>(AS224 - IF(AG224&gt;1, J224*AN224*100.0/(AI224), 0))*(AZ224+BA224)/1000.0</f>
        <v>0</v>
      </c>
      <c r="O224">
        <f>2.0/((1/Q224-1/P224)+SIGN(Q224)*SQRT((1/Q224-1/P224)*(1/Q224-1/P224) + 4*AO224/((AO224+1)*(AO224+1))*(2*1/Q224*1/P224-1/P224*1/P224)))</f>
        <v>0</v>
      </c>
      <c r="P224">
        <f>IF(LEFT(AP224,1)&lt;&gt;"0",IF(LEFT(AP224,1)="1",3.0,AQ224),$D$5+$E$5*(BG224*AZ224/($K$5*1000))+$F$5*(BG224*AZ224/($K$5*1000))*MAX(MIN(AN224,$J$5),$I$5)*MAX(MIN(AN224,$J$5),$I$5)+$G$5*MAX(MIN(AN224,$J$5),$I$5)*(BG224*AZ224/($K$5*1000))+$H$5*(BG224*AZ224/($K$5*1000))*(BG224*AZ224/($K$5*1000)))</f>
        <v>0</v>
      </c>
      <c r="Q224">
        <f>H224*(1000-(1000*0.61365*exp(17.502*U224/(240.97+U224))/(AZ224+BA224)+AU224)/2)/(1000*0.61365*exp(17.502*U224/(240.97+U224))/(AZ224+BA224)-AU224)</f>
        <v>0</v>
      </c>
      <c r="R224">
        <f>1/((AO224+1)/(O224/1.6)+1/(P224/1.37)) + AO224/((AO224+1)/(O224/1.6) + AO224/(P224/1.37))</f>
        <v>0</v>
      </c>
      <c r="S224">
        <f>(AJ224*AM224)</f>
        <v>0</v>
      </c>
      <c r="T224">
        <f>(BB224+(S224+2*0.95*5.67E-8*(((BB224+$B$7)+273)^4-(BB224+273)^4)-44100*H224)/(1.84*29.3*P224+8*0.95*5.67E-8*(BB224+273)^3))</f>
        <v>0</v>
      </c>
      <c r="U224">
        <f>($C$7*BC224+$D$7*BD224+$E$7*T224)</f>
        <v>0</v>
      </c>
      <c r="V224">
        <f>0.61365*exp(17.502*U224/(240.97+U224))</f>
        <v>0</v>
      </c>
      <c r="W224">
        <f>(X224/Y224*100)</f>
        <v>0</v>
      </c>
      <c r="X224">
        <f>AU224*(AZ224+BA224)/1000</f>
        <v>0</v>
      </c>
      <c r="Y224">
        <f>0.61365*exp(17.502*BB224/(240.97+BB224))</f>
        <v>0</v>
      </c>
      <c r="Z224">
        <f>(V224-AU224*(AZ224+BA224)/1000)</f>
        <v>0</v>
      </c>
      <c r="AA224">
        <f>(-H224*44100)</f>
        <v>0</v>
      </c>
      <c r="AB224">
        <f>2*29.3*P224*0.92*(BB224-U224)</f>
        <v>0</v>
      </c>
      <c r="AC224">
        <f>2*0.95*5.67E-8*(((BB224+$B$7)+273)^4-(U224+273)^4)</f>
        <v>0</v>
      </c>
      <c r="AD224">
        <f>S224+AC224+AA224+AB224</f>
        <v>0</v>
      </c>
      <c r="AE224">
        <v>0</v>
      </c>
      <c r="AF224">
        <v>0</v>
      </c>
      <c r="AG224">
        <f>IF(AE224*$H$13&gt;=AI224,1.0,(AI224/(AI224-AE224*$H$13)))</f>
        <v>0</v>
      </c>
      <c r="AH224">
        <f>(AG224-1)*100</f>
        <v>0</v>
      </c>
      <c r="AI224">
        <f>MAX(0,($B$13+$C$13*BG224)/(1+$D$13*BG224)*AZ224/(BB224+273)*$E$13)</f>
        <v>0</v>
      </c>
      <c r="AJ224">
        <f>$B$11*BH224+$C$11*BI224+$D$11*BT224</f>
        <v>0</v>
      </c>
      <c r="AK224">
        <f>AJ224*AL224</f>
        <v>0</v>
      </c>
      <c r="AL224">
        <f>($B$11*$D$9+$C$11*$D$9+$D$11*(BU224*$E$9+BV224*$G$9))/($B$11+$C$11+$D$11)</f>
        <v>0</v>
      </c>
      <c r="AM224">
        <f>($B$11*$K$9+$C$11*$K$9+$D$11*(BU224*$L$9+BV224*$N$9))/($B$11+$C$11+$D$11)</f>
        <v>0</v>
      </c>
      <c r="AN224">
        <v>3</v>
      </c>
      <c r="AO224">
        <v>0.5</v>
      </c>
      <c r="AP224" t="s">
        <v>331</v>
      </c>
      <c r="AQ224">
        <v>2</v>
      </c>
      <c r="AR224">
        <v>1773208513.599999</v>
      </c>
      <c r="AS224">
        <v>417.9770322580645</v>
      </c>
      <c r="AT224">
        <v>415.4915161290323</v>
      </c>
      <c r="AU224">
        <v>14.36192580645161</v>
      </c>
      <c r="AV224">
        <v>14.26872580645161</v>
      </c>
      <c r="AW224">
        <v>411.7456129032258</v>
      </c>
      <c r="AX224">
        <v>14.28133225806452</v>
      </c>
      <c r="AY224">
        <v>500.0097741935484</v>
      </c>
      <c r="AZ224">
        <v>99.97223225806452</v>
      </c>
      <c r="BA224">
        <v>0.04573412258064516</v>
      </c>
      <c r="BB224">
        <v>30.81828387096774</v>
      </c>
      <c r="BC224">
        <v>31.18477096774193</v>
      </c>
      <c r="BD224">
        <v>999.9000000000003</v>
      </c>
      <c r="BE224">
        <v>0</v>
      </c>
      <c r="BF224">
        <v>0</v>
      </c>
      <c r="BG224">
        <v>5000.241935483871</v>
      </c>
      <c r="BH224">
        <v>1.073146774193548</v>
      </c>
      <c r="BI224">
        <v>1944.802903225806</v>
      </c>
      <c r="BJ224">
        <v>2.485450967741935</v>
      </c>
      <c r="BK224">
        <v>424.0673548387096</v>
      </c>
      <c r="BL224">
        <v>421.506</v>
      </c>
      <c r="BM224">
        <v>0.09319425483870969</v>
      </c>
      <c r="BN224">
        <v>415.4915161290323</v>
      </c>
      <c r="BO224">
        <v>14.26872580645161</v>
      </c>
      <c r="BP224">
        <v>1.435793548387097</v>
      </c>
      <c r="BQ224">
        <v>1.426477419354839</v>
      </c>
      <c r="BR224">
        <v>12.30102580645161</v>
      </c>
      <c r="BS224">
        <v>12.20204516129032</v>
      </c>
      <c r="BT224">
        <v>0</v>
      </c>
      <c r="BU224">
        <v>0</v>
      </c>
      <c r="BV224">
        <v>0</v>
      </c>
      <c r="BW224">
        <v>36</v>
      </c>
      <c r="BX224">
        <v>64.74085483870969</v>
      </c>
      <c r="BY224">
        <v>1773196010</v>
      </c>
      <c r="BZ224" t="s">
        <v>332</v>
      </c>
      <c r="CA224">
        <v>1773196010</v>
      </c>
      <c r="CB224">
        <v>1773196005.5</v>
      </c>
      <c r="CC224">
        <v>2</v>
      </c>
      <c r="CD224">
        <v>-0.279</v>
      </c>
      <c r="CE224">
        <v>-0.021</v>
      </c>
      <c r="CF224">
        <v>6.231</v>
      </c>
      <c r="CG224">
        <v>0.081</v>
      </c>
      <c r="CH224">
        <v>432</v>
      </c>
      <c r="CI224">
        <v>21</v>
      </c>
      <c r="CJ224">
        <v>0.03</v>
      </c>
      <c r="CK224">
        <v>0.06</v>
      </c>
      <c r="CL224">
        <v>415.4928064516129</v>
      </c>
      <c r="CM224">
        <v>-0.1916612903233774</v>
      </c>
      <c r="CN224">
        <v>0.02537133174481409</v>
      </c>
      <c r="CO224">
        <v>-1</v>
      </c>
      <c r="CP224">
        <v>500.0105161290323</v>
      </c>
      <c r="CQ224">
        <v>-0.04146774193584122</v>
      </c>
      <c r="CR224">
        <v>0.02905375548179702</v>
      </c>
      <c r="CS224">
        <v>-1</v>
      </c>
      <c r="CT224">
        <v>0</v>
      </c>
      <c r="CU224">
        <v>0</v>
      </c>
      <c r="CV224" t="s">
        <v>333</v>
      </c>
      <c r="CW224">
        <v>3.17172</v>
      </c>
      <c r="CX224">
        <v>2.6667</v>
      </c>
      <c r="CY224">
        <v>0.09787170000000001</v>
      </c>
      <c r="CZ224">
        <v>0.0986191</v>
      </c>
      <c r="DA224">
        <v>0.076515</v>
      </c>
      <c r="DB224">
        <v>0.07619919999999999</v>
      </c>
      <c r="DC224">
        <v>21308.8</v>
      </c>
      <c r="DD224">
        <v>21903.2</v>
      </c>
      <c r="DE224">
        <v>22777.5</v>
      </c>
      <c r="DF224">
        <v>22250.5</v>
      </c>
      <c r="DG224">
        <v>31816.8</v>
      </c>
      <c r="DH224">
        <v>28954.1</v>
      </c>
      <c r="DI224">
        <v>40098.7</v>
      </c>
      <c r="DJ224">
        <v>36799.9</v>
      </c>
      <c r="DK224">
        <v>2.01782</v>
      </c>
      <c r="DL224">
        <v>1.48138</v>
      </c>
      <c r="DM224">
        <v>-0.111616</v>
      </c>
      <c r="DN224">
        <v>0</v>
      </c>
      <c r="DO224">
        <v>32.9801</v>
      </c>
      <c r="DP224">
        <v>999.9</v>
      </c>
      <c r="DQ224">
        <v>22.3</v>
      </c>
      <c r="DR224">
        <v>46.6</v>
      </c>
      <c r="DS224">
        <v>23.3412</v>
      </c>
      <c r="DT224">
        <v>30.5792</v>
      </c>
      <c r="DU224">
        <v>14.5152</v>
      </c>
      <c r="DV224">
        <v>1</v>
      </c>
      <c r="DW224">
        <v>0.967915</v>
      </c>
      <c r="DX224">
        <v>4.96837</v>
      </c>
      <c r="DY224">
        <v>20.2754</v>
      </c>
      <c r="DZ224">
        <v>5.2101</v>
      </c>
      <c r="EA224">
        <v>11.858</v>
      </c>
      <c r="EB224">
        <v>4.96736</v>
      </c>
      <c r="EC224">
        <v>3.2929</v>
      </c>
      <c r="ED224">
        <v>879.4</v>
      </c>
      <c r="EE224">
        <v>9999</v>
      </c>
      <c r="EF224">
        <v>9999</v>
      </c>
      <c r="EG224">
        <v>79.5</v>
      </c>
      <c r="EH224">
        <v>4.97157</v>
      </c>
      <c r="EI224">
        <v>1.8721</v>
      </c>
      <c r="EJ224">
        <v>1.86951</v>
      </c>
      <c r="EK224">
        <v>1.8718</v>
      </c>
      <c r="EL224">
        <v>1.86952</v>
      </c>
      <c r="EM224">
        <v>1.86835</v>
      </c>
      <c r="EN224">
        <v>1.87012</v>
      </c>
      <c r="EO224">
        <v>1.87194</v>
      </c>
      <c r="EP224">
        <v>0</v>
      </c>
      <c r="EQ224">
        <v>0</v>
      </c>
      <c r="ER224">
        <v>0</v>
      </c>
      <c r="ES224">
        <v>0</v>
      </c>
      <c r="ET224" t="s">
        <v>334</v>
      </c>
      <c r="EU224" t="s">
        <v>335</v>
      </c>
      <c r="EV224" t="s">
        <v>336</v>
      </c>
      <c r="EW224" t="s">
        <v>336</v>
      </c>
      <c r="EX224" t="s">
        <v>336</v>
      </c>
      <c r="EY224" t="s">
        <v>336</v>
      </c>
      <c r="EZ224">
        <v>0</v>
      </c>
      <c r="FA224">
        <v>100</v>
      </c>
      <c r="FB224">
        <v>100</v>
      </c>
      <c r="FC224">
        <v>6.231</v>
      </c>
      <c r="FD224">
        <v>0.0806</v>
      </c>
      <c r="FE224">
        <v>6.23135000000002</v>
      </c>
      <c r="FF224">
        <v>0</v>
      </c>
      <c r="FG224">
        <v>0</v>
      </c>
      <c r="FH224">
        <v>0</v>
      </c>
      <c r="FI224">
        <v>0.08059047619047632</v>
      </c>
      <c r="FJ224">
        <v>0</v>
      </c>
      <c r="FK224">
        <v>0</v>
      </c>
      <c r="FL224">
        <v>0</v>
      </c>
      <c r="FM224">
        <v>-1</v>
      </c>
      <c r="FN224">
        <v>-1</v>
      </c>
      <c r="FO224">
        <v>-1</v>
      </c>
      <c r="FP224">
        <v>-1</v>
      </c>
      <c r="FQ224">
        <v>208.5</v>
      </c>
      <c r="FR224">
        <v>208.6</v>
      </c>
      <c r="FS224">
        <v>0.140381</v>
      </c>
      <c r="FT224">
        <v>4.99756</v>
      </c>
      <c r="FU224">
        <v>1.5979</v>
      </c>
      <c r="FV224">
        <v>2.10938</v>
      </c>
      <c r="FW224">
        <v>1.54785</v>
      </c>
      <c r="FX224">
        <v>2.46948</v>
      </c>
      <c r="FY224">
        <v>48.3623</v>
      </c>
      <c r="FZ224">
        <v>14.7187</v>
      </c>
      <c r="GA224">
        <v>3</v>
      </c>
      <c r="GB224">
        <v>520.7089999999999</v>
      </c>
      <c r="GC224">
        <v>285.026</v>
      </c>
      <c r="GD224">
        <v>26.8458</v>
      </c>
      <c r="GE224">
        <v>38.7529</v>
      </c>
      <c r="GF224">
        <v>30.0003</v>
      </c>
      <c r="GG224">
        <v>38.6164</v>
      </c>
      <c r="GH224">
        <v>38.601</v>
      </c>
      <c r="GI224">
        <v>-1</v>
      </c>
      <c r="GJ224">
        <v>100</v>
      </c>
      <c r="GK224">
        <v>0</v>
      </c>
      <c r="GL224">
        <v>26.8464</v>
      </c>
      <c r="GM224">
        <v>1200</v>
      </c>
      <c r="GN224">
        <v>19.4378</v>
      </c>
      <c r="GO224">
        <v>100.872</v>
      </c>
      <c r="GP224">
        <v>96.0981</v>
      </c>
    </row>
    <row r="225" spans="1:198">
      <c r="A225">
        <v>209</v>
      </c>
      <c r="B225">
        <v>1773208581.6</v>
      </c>
      <c r="C225">
        <v>12481.59999990463</v>
      </c>
      <c r="D225" t="s">
        <v>751</v>
      </c>
      <c r="E225" t="s">
        <v>752</v>
      </c>
      <c r="F225">
        <v>15</v>
      </c>
      <c r="G225">
        <v>1773208573.599999</v>
      </c>
      <c r="H225">
        <f>(I225)/1000</f>
        <v>0</v>
      </c>
      <c r="I225">
        <f>1000*AY225*AG225*(AU225-AV225)/(100*AN225*(1000-AG225*AU225))</f>
        <v>0</v>
      </c>
      <c r="J225">
        <f>AY225*AG225*(AT225-AS225*(1000-AG225*AV225)/(1000-AG225*AU225))/(100*AN225)</f>
        <v>0</v>
      </c>
      <c r="K225">
        <f>AS225 - IF(AG225&gt;1, J225*AN225*100.0/(AI225), 0)</f>
        <v>0</v>
      </c>
      <c r="L225">
        <f>((R225-H225/2)*K225-J225)/(R225+H225/2)</f>
        <v>0</v>
      </c>
      <c r="M225">
        <f>L225*(AZ225+BA225)/1000.0</f>
        <v>0</v>
      </c>
      <c r="N225">
        <f>(AS225 - IF(AG225&gt;1, J225*AN225*100.0/(AI225), 0))*(AZ225+BA225)/1000.0</f>
        <v>0</v>
      </c>
      <c r="O225">
        <f>2.0/((1/Q225-1/P225)+SIGN(Q225)*SQRT((1/Q225-1/P225)*(1/Q225-1/P225) + 4*AO225/((AO225+1)*(AO225+1))*(2*1/Q225*1/P225-1/P225*1/P225)))</f>
        <v>0</v>
      </c>
      <c r="P225">
        <f>IF(LEFT(AP225,1)&lt;&gt;"0",IF(LEFT(AP225,1)="1",3.0,AQ225),$D$5+$E$5*(BG225*AZ225/($K$5*1000))+$F$5*(BG225*AZ225/($K$5*1000))*MAX(MIN(AN225,$J$5),$I$5)*MAX(MIN(AN225,$J$5),$I$5)+$G$5*MAX(MIN(AN225,$J$5),$I$5)*(BG225*AZ225/($K$5*1000))+$H$5*(BG225*AZ225/($K$5*1000))*(BG225*AZ225/($K$5*1000)))</f>
        <v>0</v>
      </c>
      <c r="Q225">
        <f>H225*(1000-(1000*0.61365*exp(17.502*U225/(240.97+U225))/(AZ225+BA225)+AU225)/2)/(1000*0.61365*exp(17.502*U225/(240.97+U225))/(AZ225+BA225)-AU225)</f>
        <v>0</v>
      </c>
      <c r="R225">
        <f>1/((AO225+1)/(O225/1.6)+1/(P225/1.37)) + AO225/((AO225+1)/(O225/1.6) + AO225/(P225/1.37))</f>
        <v>0</v>
      </c>
      <c r="S225">
        <f>(AJ225*AM225)</f>
        <v>0</v>
      </c>
      <c r="T225">
        <f>(BB225+(S225+2*0.95*5.67E-8*(((BB225+$B$7)+273)^4-(BB225+273)^4)-44100*H225)/(1.84*29.3*P225+8*0.95*5.67E-8*(BB225+273)^3))</f>
        <v>0</v>
      </c>
      <c r="U225">
        <f>($C$7*BC225+$D$7*BD225+$E$7*T225)</f>
        <v>0</v>
      </c>
      <c r="V225">
        <f>0.61365*exp(17.502*U225/(240.97+U225))</f>
        <v>0</v>
      </c>
      <c r="W225">
        <f>(X225/Y225*100)</f>
        <v>0</v>
      </c>
      <c r="X225">
        <f>AU225*(AZ225+BA225)/1000</f>
        <v>0</v>
      </c>
      <c r="Y225">
        <f>0.61365*exp(17.502*BB225/(240.97+BB225))</f>
        <v>0</v>
      </c>
      <c r="Z225">
        <f>(V225-AU225*(AZ225+BA225)/1000)</f>
        <v>0</v>
      </c>
      <c r="AA225">
        <f>(-H225*44100)</f>
        <v>0</v>
      </c>
      <c r="AB225">
        <f>2*29.3*P225*0.92*(BB225-U225)</f>
        <v>0</v>
      </c>
      <c r="AC225">
        <f>2*0.95*5.67E-8*(((BB225+$B$7)+273)^4-(U225+273)^4)</f>
        <v>0</v>
      </c>
      <c r="AD225">
        <f>S225+AC225+AA225+AB225</f>
        <v>0</v>
      </c>
      <c r="AE225">
        <v>0</v>
      </c>
      <c r="AF225">
        <v>0</v>
      </c>
      <c r="AG225">
        <f>IF(AE225*$H$13&gt;=AI225,1.0,(AI225/(AI225-AE225*$H$13)))</f>
        <v>0</v>
      </c>
      <c r="AH225">
        <f>(AG225-1)*100</f>
        <v>0</v>
      </c>
      <c r="AI225">
        <f>MAX(0,($B$13+$C$13*BG225)/(1+$D$13*BG225)*AZ225/(BB225+273)*$E$13)</f>
        <v>0</v>
      </c>
      <c r="AJ225">
        <f>$B$11*BH225+$C$11*BI225+$D$11*BT225</f>
        <v>0</v>
      </c>
      <c r="AK225">
        <f>AJ225*AL225</f>
        <v>0</v>
      </c>
      <c r="AL225">
        <f>($B$11*$D$9+$C$11*$D$9+$D$11*(BU225*$E$9+BV225*$G$9))/($B$11+$C$11+$D$11)</f>
        <v>0</v>
      </c>
      <c r="AM225">
        <f>($B$11*$K$9+$C$11*$K$9+$D$11*(BU225*$L$9+BV225*$N$9))/($B$11+$C$11+$D$11)</f>
        <v>0</v>
      </c>
      <c r="AN225">
        <v>3</v>
      </c>
      <c r="AO225">
        <v>0.5</v>
      </c>
      <c r="AP225" t="s">
        <v>331</v>
      </c>
      <c r="AQ225">
        <v>2</v>
      </c>
      <c r="AR225">
        <v>1773208573.599999</v>
      </c>
      <c r="AS225">
        <v>418.0375483870968</v>
      </c>
      <c r="AT225">
        <v>415.6899032258065</v>
      </c>
      <c r="AU225">
        <v>14.37210967741936</v>
      </c>
      <c r="AV225">
        <v>14.29754838709677</v>
      </c>
      <c r="AW225">
        <v>411.8061290322581</v>
      </c>
      <c r="AX225">
        <v>14.29152258064516</v>
      </c>
      <c r="AY225">
        <v>499.9982580645161</v>
      </c>
      <c r="AZ225">
        <v>99.96613225806453</v>
      </c>
      <c r="BA225">
        <v>0.04524922580645161</v>
      </c>
      <c r="BB225">
        <v>30.79167419354838</v>
      </c>
      <c r="BC225">
        <v>31.16942258064516</v>
      </c>
      <c r="BD225">
        <v>999.9000000000003</v>
      </c>
      <c r="BE225">
        <v>0</v>
      </c>
      <c r="BF225">
        <v>0</v>
      </c>
      <c r="BG225">
        <v>5003.387096774193</v>
      </c>
      <c r="BH225">
        <v>1.064978064516129</v>
      </c>
      <c r="BI225">
        <v>1925.725483870968</v>
      </c>
      <c r="BJ225">
        <v>2.347604516129032</v>
      </c>
      <c r="BK225">
        <v>424.1333225806451</v>
      </c>
      <c r="BL225">
        <v>421.7194838709677</v>
      </c>
      <c r="BM225">
        <v>0.07456357741935483</v>
      </c>
      <c r="BN225">
        <v>415.6899032258065</v>
      </c>
      <c r="BO225">
        <v>14.29754838709677</v>
      </c>
      <c r="BP225">
        <v>1.436724838709678</v>
      </c>
      <c r="BQ225">
        <v>1.42927064516129</v>
      </c>
      <c r="BR225">
        <v>12.31088709677419</v>
      </c>
      <c r="BS225">
        <v>12.23178709677419</v>
      </c>
      <c r="BT225">
        <v>0</v>
      </c>
      <c r="BU225">
        <v>0</v>
      </c>
      <c r="BV225">
        <v>0</v>
      </c>
      <c r="BW225">
        <v>36</v>
      </c>
      <c r="BX225">
        <v>64</v>
      </c>
      <c r="BY225">
        <v>1773196010</v>
      </c>
      <c r="BZ225" t="s">
        <v>332</v>
      </c>
      <c r="CA225">
        <v>1773196010</v>
      </c>
      <c r="CB225">
        <v>1773196005.5</v>
      </c>
      <c r="CC225">
        <v>2</v>
      </c>
      <c r="CD225">
        <v>-0.279</v>
      </c>
      <c r="CE225">
        <v>-0.021</v>
      </c>
      <c r="CF225">
        <v>6.231</v>
      </c>
      <c r="CG225">
        <v>0.081</v>
      </c>
      <c r="CH225">
        <v>432</v>
      </c>
      <c r="CI225">
        <v>21</v>
      </c>
      <c r="CJ225">
        <v>0.03</v>
      </c>
      <c r="CK225">
        <v>0.06</v>
      </c>
      <c r="CL225">
        <v>415.6884333333333</v>
      </c>
      <c r="CM225">
        <v>-0.2083648498318097</v>
      </c>
      <c r="CN225">
        <v>0.03206418909347537</v>
      </c>
      <c r="CO225">
        <v>-1</v>
      </c>
      <c r="CP225">
        <v>499.9974</v>
      </c>
      <c r="CQ225">
        <v>-0.1375394883196805</v>
      </c>
      <c r="CR225">
        <v>0.02824134085579887</v>
      </c>
      <c r="CS225">
        <v>-1</v>
      </c>
      <c r="CT225">
        <v>0</v>
      </c>
      <c r="CU225">
        <v>0</v>
      </c>
      <c r="CV225" t="s">
        <v>333</v>
      </c>
      <c r="CW225">
        <v>3.17172</v>
      </c>
      <c r="CX225">
        <v>2.66654</v>
      </c>
      <c r="CY225">
        <v>0.0978755</v>
      </c>
      <c r="CZ225">
        <v>0.09863570000000001</v>
      </c>
      <c r="DA225">
        <v>0.076623</v>
      </c>
      <c r="DB225">
        <v>0.0763977</v>
      </c>
      <c r="DC225">
        <v>21305.7</v>
      </c>
      <c r="DD225">
        <v>21900.3</v>
      </c>
      <c r="DE225">
        <v>22774.6</v>
      </c>
      <c r="DF225">
        <v>22248.2</v>
      </c>
      <c r="DG225">
        <v>31809.4</v>
      </c>
      <c r="DH225">
        <v>28944.5</v>
      </c>
      <c r="DI225">
        <v>40094.1</v>
      </c>
      <c r="DJ225">
        <v>36795.7</v>
      </c>
      <c r="DK225">
        <v>2.01736</v>
      </c>
      <c r="DL225">
        <v>1.4813</v>
      </c>
      <c r="DM225">
        <v>-0.113305</v>
      </c>
      <c r="DN225">
        <v>0</v>
      </c>
      <c r="DO225">
        <v>33.0146</v>
      </c>
      <c r="DP225">
        <v>999.9</v>
      </c>
      <c r="DQ225">
        <v>22.4</v>
      </c>
      <c r="DR225">
        <v>46.6</v>
      </c>
      <c r="DS225">
        <v>23.4422</v>
      </c>
      <c r="DT225">
        <v>30.2792</v>
      </c>
      <c r="DU225">
        <v>14.4952</v>
      </c>
      <c r="DV225">
        <v>1</v>
      </c>
      <c r="DW225">
        <v>0.972366</v>
      </c>
      <c r="DX225">
        <v>4.77904</v>
      </c>
      <c r="DY225">
        <v>20.2824</v>
      </c>
      <c r="DZ225">
        <v>5.20998</v>
      </c>
      <c r="EA225">
        <v>11.8597</v>
      </c>
      <c r="EB225">
        <v>4.96732</v>
      </c>
      <c r="EC225">
        <v>3.29288</v>
      </c>
      <c r="ED225">
        <v>879.4</v>
      </c>
      <c r="EE225">
        <v>9999</v>
      </c>
      <c r="EF225">
        <v>9999</v>
      </c>
      <c r="EG225">
        <v>79.5</v>
      </c>
      <c r="EH225">
        <v>4.97156</v>
      </c>
      <c r="EI225">
        <v>1.8721</v>
      </c>
      <c r="EJ225">
        <v>1.86951</v>
      </c>
      <c r="EK225">
        <v>1.8718</v>
      </c>
      <c r="EL225">
        <v>1.86957</v>
      </c>
      <c r="EM225">
        <v>1.86836</v>
      </c>
      <c r="EN225">
        <v>1.87015</v>
      </c>
      <c r="EO225">
        <v>1.87194</v>
      </c>
      <c r="EP225">
        <v>0</v>
      </c>
      <c r="EQ225">
        <v>0</v>
      </c>
      <c r="ER225">
        <v>0</v>
      </c>
      <c r="ES225">
        <v>0</v>
      </c>
      <c r="ET225" t="s">
        <v>334</v>
      </c>
      <c r="EU225" t="s">
        <v>335</v>
      </c>
      <c r="EV225" t="s">
        <v>336</v>
      </c>
      <c r="EW225" t="s">
        <v>336</v>
      </c>
      <c r="EX225" t="s">
        <v>336</v>
      </c>
      <c r="EY225" t="s">
        <v>336</v>
      </c>
      <c r="EZ225">
        <v>0</v>
      </c>
      <c r="FA225">
        <v>100</v>
      </c>
      <c r="FB225">
        <v>100</v>
      </c>
      <c r="FC225">
        <v>6.231</v>
      </c>
      <c r="FD225">
        <v>0.0806</v>
      </c>
      <c r="FE225">
        <v>6.23135000000002</v>
      </c>
      <c r="FF225">
        <v>0</v>
      </c>
      <c r="FG225">
        <v>0</v>
      </c>
      <c r="FH225">
        <v>0</v>
      </c>
      <c r="FI225">
        <v>0.08059047619047632</v>
      </c>
      <c r="FJ225">
        <v>0</v>
      </c>
      <c r="FK225">
        <v>0</v>
      </c>
      <c r="FL225">
        <v>0</v>
      </c>
      <c r="FM225">
        <v>-1</v>
      </c>
      <c r="FN225">
        <v>-1</v>
      </c>
      <c r="FO225">
        <v>-1</v>
      </c>
      <c r="FP225">
        <v>-1</v>
      </c>
      <c r="FQ225">
        <v>209.5</v>
      </c>
      <c r="FR225">
        <v>209.6</v>
      </c>
      <c r="FS225">
        <v>0.140381</v>
      </c>
      <c r="FT225">
        <v>4.99756</v>
      </c>
      <c r="FU225">
        <v>1.5979</v>
      </c>
      <c r="FV225">
        <v>2.10938</v>
      </c>
      <c r="FW225">
        <v>1.54785</v>
      </c>
      <c r="FX225">
        <v>2.46948</v>
      </c>
      <c r="FY225">
        <v>48.4238</v>
      </c>
      <c r="FZ225">
        <v>14.7187</v>
      </c>
      <c r="GA225">
        <v>3</v>
      </c>
      <c r="GB225">
        <v>520.807</v>
      </c>
      <c r="GC225">
        <v>285.19</v>
      </c>
      <c r="GD225">
        <v>26.9836</v>
      </c>
      <c r="GE225">
        <v>38.8239</v>
      </c>
      <c r="GF225">
        <v>30.0006</v>
      </c>
      <c r="GG225">
        <v>38.672</v>
      </c>
      <c r="GH225">
        <v>38.6554</v>
      </c>
      <c r="GI225">
        <v>-1</v>
      </c>
      <c r="GJ225">
        <v>100</v>
      </c>
      <c r="GK225">
        <v>0</v>
      </c>
      <c r="GL225">
        <v>26.9832</v>
      </c>
      <c r="GM225">
        <v>1200</v>
      </c>
      <c r="GN225">
        <v>19.4378</v>
      </c>
      <c r="GO225">
        <v>100.86</v>
      </c>
      <c r="GP225">
        <v>96.08759999999999</v>
      </c>
    </row>
    <row r="226" spans="1:198">
      <c r="A226">
        <v>210</v>
      </c>
      <c r="B226">
        <v>1773208641.6</v>
      </c>
      <c r="C226">
        <v>12541.59999990463</v>
      </c>
      <c r="D226" t="s">
        <v>753</v>
      </c>
      <c r="E226" t="s">
        <v>754</v>
      </c>
      <c r="F226">
        <v>15</v>
      </c>
      <c r="G226">
        <v>1773208633.599999</v>
      </c>
      <c r="H226">
        <f>(I226)/1000</f>
        <v>0</v>
      </c>
      <c r="I226">
        <f>1000*AY226*AG226*(AU226-AV226)/(100*AN226*(1000-AG226*AU226))</f>
        <v>0</v>
      </c>
      <c r="J226">
        <f>AY226*AG226*(AT226-AS226*(1000-AG226*AV226)/(1000-AG226*AU226))/(100*AN226)</f>
        <v>0</v>
      </c>
      <c r="K226">
        <f>AS226 - IF(AG226&gt;1, J226*AN226*100.0/(AI226), 0)</f>
        <v>0</v>
      </c>
      <c r="L226">
        <f>((R226-H226/2)*K226-J226)/(R226+H226/2)</f>
        <v>0</v>
      </c>
      <c r="M226">
        <f>L226*(AZ226+BA226)/1000.0</f>
        <v>0</v>
      </c>
      <c r="N226">
        <f>(AS226 - IF(AG226&gt;1, J226*AN226*100.0/(AI226), 0))*(AZ226+BA226)/1000.0</f>
        <v>0</v>
      </c>
      <c r="O226">
        <f>2.0/((1/Q226-1/P226)+SIGN(Q226)*SQRT((1/Q226-1/P226)*(1/Q226-1/P226) + 4*AO226/((AO226+1)*(AO226+1))*(2*1/Q226*1/P226-1/P226*1/P226)))</f>
        <v>0</v>
      </c>
      <c r="P226">
        <f>IF(LEFT(AP226,1)&lt;&gt;"0",IF(LEFT(AP226,1)="1",3.0,AQ226),$D$5+$E$5*(BG226*AZ226/($K$5*1000))+$F$5*(BG226*AZ226/($K$5*1000))*MAX(MIN(AN226,$J$5),$I$5)*MAX(MIN(AN226,$J$5),$I$5)+$G$5*MAX(MIN(AN226,$J$5),$I$5)*(BG226*AZ226/($K$5*1000))+$H$5*(BG226*AZ226/($K$5*1000))*(BG226*AZ226/($K$5*1000)))</f>
        <v>0</v>
      </c>
      <c r="Q226">
        <f>H226*(1000-(1000*0.61365*exp(17.502*U226/(240.97+U226))/(AZ226+BA226)+AU226)/2)/(1000*0.61365*exp(17.502*U226/(240.97+U226))/(AZ226+BA226)-AU226)</f>
        <v>0</v>
      </c>
      <c r="R226">
        <f>1/((AO226+1)/(O226/1.6)+1/(P226/1.37)) + AO226/((AO226+1)/(O226/1.6) + AO226/(P226/1.37))</f>
        <v>0</v>
      </c>
      <c r="S226">
        <f>(AJ226*AM226)</f>
        <v>0</v>
      </c>
      <c r="T226">
        <f>(BB226+(S226+2*0.95*5.67E-8*(((BB226+$B$7)+273)^4-(BB226+273)^4)-44100*H226)/(1.84*29.3*P226+8*0.95*5.67E-8*(BB226+273)^3))</f>
        <v>0</v>
      </c>
      <c r="U226">
        <f>($C$7*BC226+$D$7*BD226+$E$7*T226)</f>
        <v>0</v>
      </c>
      <c r="V226">
        <f>0.61365*exp(17.502*U226/(240.97+U226))</f>
        <v>0</v>
      </c>
      <c r="W226">
        <f>(X226/Y226*100)</f>
        <v>0</v>
      </c>
      <c r="X226">
        <f>AU226*(AZ226+BA226)/1000</f>
        <v>0</v>
      </c>
      <c r="Y226">
        <f>0.61365*exp(17.502*BB226/(240.97+BB226))</f>
        <v>0</v>
      </c>
      <c r="Z226">
        <f>(V226-AU226*(AZ226+BA226)/1000)</f>
        <v>0</v>
      </c>
      <c r="AA226">
        <f>(-H226*44100)</f>
        <v>0</v>
      </c>
      <c r="AB226">
        <f>2*29.3*P226*0.92*(BB226-U226)</f>
        <v>0</v>
      </c>
      <c r="AC226">
        <f>2*0.95*5.67E-8*(((BB226+$B$7)+273)^4-(U226+273)^4)</f>
        <v>0</v>
      </c>
      <c r="AD226">
        <f>S226+AC226+AA226+AB226</f>
        <v>0</v>
      </c>
      <c r="AE226">
        <v>0</v>
      </c>
      <c r="AF226">
        <v>0</v>
      </c>
      <c r="AG226">
        <f>IF(AE226*$H$13&gt;=AI226,1.0,(AI226/(AI226-AE226*$H$13)))</f>
        <v>0</v>
      </c>
      <c r="AH226">
        <f>(AG226-1)*100</f>
        <v>0</v>
      </c>
      <c r="AI226">
        <f>MAX(0,($B$13+$C$13*BG226)/(1+$D$13*BG226)*AZ226/(BB226+273)*$E$13)</f>
        <v>0</v>
      </c>
      <c r="AJ226">
        <f>$B$11*BH226+$C$11*BI226+$D$11*BT226</f>
        <v>0</v>
      </c>
      <c r="AK226">
        <f>AJ226*AL226</f>
        <v>0</v>
      </c>
      <c r="AL226">
        <f>($B$11*$D$9+$C$11*$D$9+$D$11*(BU226*$E$9+BV226*$G$9))/($B$11+$C$11+$D$11)</f>
        <v>0</v>
      </c>
      <c r="AM226">
        <f>($B$11*$K$9+$C$11*$K$9+$D$11*(BU226*$L$9+BV226*$N$9))/($B$11+$C$11+$D$11)</f>
        <v>0</v>
      </c>
      <c r="AN226">
        <v>3</v>
      </c>
      <c r="AO226">
        <v>0.5</v>
      </c>
      <c r="AP226" t="s">
        <v>331</v>
      </c>
      <c r="AQ226">
        <v>2</v>
      </c>
      <c r="AR226">
        <v>1773208633.599999</v>
      </c>
      <c r="AS226">
        <v>418.1409354838709</v>
      </c>
      <c r="AT226">
        <v>415.866129032258</v>
      </c>
      <c r="AU226">
        <v>14.50006451612903</v>
      </c>
      <c r="AV226">
        <v>14.43701935483871</v>
      </c>
      <c r="AW226">
        <v>411.9094838709677</v>
      </c>
      <c r="AX226">
        <v>14.41947419354839</v>
      </c>
      <c r="AY226">
        <v>499.9899677419356</v>
      </c>
      <c r="AZ226">
        <v>99.96314838709675</v>
      </c>
      <c r="BA226">
        <v>0.04498982903225806</v>
      </c>
      <c r="BB226">
        <v>30.82009999999999</v>
      </c>
      <c r="BC226">
        <v>31.21025483870968</v>
      </c>
      <c r="BD226">
        <v>999.9000000000003</v>
      </c>
      <c r="BE226">
        <v>0</v>
      </c>
      <c r="BF226">
        <v>0</v>
      </c>
      <c r="BG226">
        <v>4989.032258064516</v>
      </c>
      <c r="BH226">
        <v>1.061432258064516</v>
      </c>
      <c r="BI226">
        <v>1933.482580645161</v>
      </c>
      <c r="BJ226">
        <v>2.274719677419355</v>
      </c>
      <c r="BK226">
        <v>424.2931612903225</v>
      </c>
      <c r="BL226">
        <v>421.9579354838709</v>
      </c>
      <c r="BM226">
        <v>0.06304380967741936</v>
      </c>
      <c r="BN226">
        <v>415.866129032258</v>
      </c>
      <c r="BO226">
        <v>14.43701935483871</v>
      </c>
      <c r="BP226">
        <v>1.449471935483871</v>
      </c>
      <c r="BQ226">
        <v>1.443169677419355</v>
      </c>
      <c r="BR226">
        <v>12.44532258064516</v>
      </c>
      <c r="BS226">
        <v>12.37899677419355</v>
      </c>
      <c r="BT226">
        <v>0</v>
      </c>
      <c r="BU226">
        <v>0</v>
      </c>
      <c r="BV226">
        <v>0</v>
      </c>
      <c r="BW226">
        <v>37</v>
      </c>
      <c r="BX226">
        <v>64</v>
      </c>
      <c r="BY226">
        <v>1773196010</v>
      </c>
      <c r="BZ226" t="s">
        <v>332</v>
      </c>
      <c r="CA226">
        <v>1773196010</v>
      </c>
      <c r="CB226">
        <v>1773196005.5</v>
      </c>
      <c r="CC226">
        <v>2</v>
      </c>
      <c r="CD226">
        <v>-0.279</v>
      </c>
      <c r="CE226">
        <v>-0.021</v>
      </c>
      <c r="CF226">
        <v>6.231</v>
      </c>
      <c r="CG226">
        <v>0.081</v>
      </c>
      <c r="CH226">
        <v>432</v>
      </c>
      <c r="CI226">
        <v>21</v>
      </c>
      <c r="CJ226">
        <v>0.03</v>
      </c>
      <c r="CK226">
        <v>0.06</v>
      </c>
      <c r="CL226">
        <v>415.8652666666666</v>
      </c>
      <c r="CM226">
        <v>0.2925383759720034</v>
      </c>
      <c r="CN226">
        <v>0.03973238253895627</v>
      </c>
      <c r="CO226">
        <v>-1</v>
      </c>
      <c r="CP226">
        <v>499.9850666666667</v>
      </c>
      <c r="CQ226">
        <v>-0.2245161290327058</v>
      </c>
      <c r="CR226">
        <v>0.04129804945622768</v>
      </c>
      <c r="CS226">
        <v>-1</v>
      </c>
      <c r="CT226">
        <v>0</v>
      </c>
      <c r="CU226">
        <v>0</v>
      </c>
      <c r="CV226" t="s">
        <v>333</v>
      </c>
      <c r="CW226">
        <v>3.17184</v>
      </c>
      <c r="CX226">
        <v>2.66674</v>
      </c>
      <c r="CY226">
        <v>0.09789249999999999</v>
      </c>
      <c r="CZ226">
        <v>0.09864290000000001</v>
      </c>
      <c r="DA226">
        <v>0.07715669999999999</v>
      </c>
      <c r="DB226">
        <v>0.0769719</v>
      </c>
      <c r="DC226">
        <v>21301.7</v>
      </c>
      <c r="DD226">
        <v>21897.3</v>
      </c>
      <c r="DE226">
        <v>22771.1</v>
      </c>
      <c r="DF226">
        <v>22245.4</v>
      </c>
      <c r="DG226">
        <v>31786.5</v>
      </c>
      <c r="DH226">
        <v>28923.2</v>
      </c>
      <c r="DI226">
        <v>40088.5</v>
      </c>
      <c r="DJ226">
        <v>36791.5</v>
      </c>
      <c r="DK226">
        <v>2.01666</v>
      </c>
      <c r="DL226">
        <v>1.48058</v>
      </c>
      <c r="DM226">
        <v>-0.115383</v>
      </c>
      <c r="DN226">
        <v>0</v>
      </c>
      <c r="DO226">
        <v>33.089</v>
      </c>
      <c r="DP226">
        <v>999.9</v>
      </c>
      <c r="DQ226">
        <v>22.1</v>
      </c>
      <c r="DR226">
        <v>46.6</v>
      </c>
      <c r="DS226">
        <v>23.1315</v>
      </c>
      <c r="DT226">
        <v>30.5492</v>
      </c>
      <c r="DU226">
        <v>14.4511</v>
      </c>
      <c r="DV226">
        <v>1</v>
      </c>
      <c r="DW226">
        <v>0.9815390000000001</v>
      </c>
      <c r="DX226">
        <v>5.05251</v>
      </c>
      <c r="DY226">
        <v>20.2719</v>
      </c>
      <c r="DZ226">
        <v>5.2101</v>
      </c>
      <c r="EA226">
        <v>11.859</v>
      </c>
      <c r="EB226">
        <v>4.96732</v>
      </c>
      <c r="EC226">
        <v>3.29298</v>
      </c>
      <c r="ED226">
        <v>879.4</v>
      </c>
      <c r="EE226">
        <v>9999</v>
      </c>
      <c r="EF226">
        <v>9999</v>
      </c>
      <c r="EG226">
        <v>79.5</v>
      </c>
      <c r="EH226">
        <v>4.97156</v>
      </c>
      <c r="EI226">
        <v>1.8721</v>
      </c>
      <c r="EJ226">
        <v>1.8695</v>
      </c>
      <c r="EK226">
        <v>1.8718</v>
      </c>
      <c r="EL226">
        <v>1.86957</v>
      </c>
      <c r="EM226">
        <v>1.86837</v>
      </c>
      <c r="EN226">
        <v>1.87012</v>
      </c>
      <c r="EO226">
        <v>1.87194</v>
      </c>
      <c r="EP226">
        <v>0</v>
      </c>
      <c r="EQ226">
        <v>0</v>
      </c>
      <c r="ER226">
        <v>0</v>
      </c>
      <c r="ES226">
        <v>0</v>
      </c>
      <c r="ET226" t="s">
        <v>334</v>
      </c>
      <c r="EU226" t="s">
        <v>335</v>
      </c>
      <c r="EV226" t="s">
        <v>336</v>
      </c>
      <c r="EW226" t="s">
        <v>336</v>
      </c>
      <c r="EX226" t="s">
        <v>336</v>
      </c>
      <c r="EY226" t="s">
        <v>336</v>
      </c>
      <c r="EZ226">
        <v>0</v>
      </c>
      <c r="FA226">
        <v>100</v>
      </c>
      <c r="FB226">
        <v>100</v>
      </c>
      <c r="FC226">
        <v>6.232</v>
      </c>
      <c r="FD226">
        <v>0.0806</v>
      </c>
      <c r="FE226">
        <v>6.23135000000002</v>
      </c>
      <c r="FF226">
        <v>0</v>
      </c>
      <c r="FG226">
        <v>0</v>
      </c>
      <c r="FH226">
        <v>0</v>
      </c>
      <c r="FI226">
        <v>0.08059047619047632</v>
      </c>
      <c r="FJ226">
        <v>0</v>
      </c>
      <c r="FK226">
        <v>0</v>
      </c>
      <c r="FL226">
        <v>0</v>
      </c>
      <c r="FM226">
        <v>-1</v>
      </c>
      <c r="FN226">
        <v>-1</v>
      </c>
      <c r="FO226">
        <v>-1</v>
      </c>
      <c r="FP226">
        <v>-1</v>
      </c>
      <c r="FQ226">
        <v>210.5</v>
      </c>
      <c r="FR226">
        <v>210.6</v>
      </c>
      <c r="FS226">
        <v>0.140381</v>
      </c>
      <c r="FT226">
        <v>4.99756</v>
      </c>
      <c r="FU226">
        <v>1.5979</v>
      </c>
      <c r="FV226">
        <v>2.10938</v>
      </c>
      <c r="FW226">
        <v>1.54785</v>
      </c>
      <c r="FX226">
        <v>2.46948</v>
      </c>
      <c r="FY226">
        <v>48.547</v>
      </c>
      <c r="FZ226">
        <v>14.7012</v>
      </c>
      <c r="GA226">
        <v>3</v>
      </c>
      <c r="GB226">
        <v>520.835</v>
      </c>
      <c r="GC226">
        <v>285.104</v>
      </c>
      <c r="GD226">
        <v>26.9655</v>
      </c>
      <c r="GE226">
        <v>38.9036</v>
      </c>
      <c r="GF226">
        <v>30.0013</v>
      </c>
      <c r="GG226">
        <v>38.7392</v>
      </c>
      <c r="GH226">
        <v>38.7226</v>
      </c>
      <c r="GI226">
        <v>-1</v>
      </c>
      <c r="GJ226">
        <v>100</v>
      </c>
      <c r="GK226">
        <v>0</v>
      </c>
      <c r="GL226">
        <v>26.9567</v>
      </c>
      <c r="GM226">
        <v>1200</v>
      </c>
      <c r="GN226">
        <v>19.4378</v>
      </c>
      <c r="GO226">
        <v>100.846</v>
      </c>
      <c r="GP226">
        <v>96.0762</v>
      </c>
    </row>
    <row r="227" spans="1:198">
      <c r="A227">
        <v>211</v>
      </c>
      <c r="B227">
        <v>1773208701.6</v>
      </c>
      <c r="C227">
        <v>12601.59999990463</v>
      </c>
      <c r="D227" t="s">
        <v>755</v>
      </c>
      <c r="E227" t="s">
        <v>756</v>
      </c>
      <c r="F227">
        <v>15</v>
      </c>
      <c r="G227">
        <v>1773208693.599999</v>
      </c>
      <c r="H227">
        <f>(I227)/1000</f>
        <v>0</v>
      </c>
      <c r="I227">
        <f>1000*AY227*AG227*(AU227-AV227)/(100*AN227*(1000-AG227*AU227))</f>
        <v>0</v>
      </c>
      <c r="J227">
        <f>AY227*AG227*(AT227-AS227*(1000-AG227*AV227)/(1000-AG227*AU227))/(100*AN227)</f>
        <v>0</v>
      </c>
      <c r="K227">
        <f>AS227 - IF(AG227&gt;1, J227*AN227*100.0/(AI227), 0)</f>
        <v>0</v>
      </c>
      <c r="L227">
        <f>((R227-H227/2)*K227-J227)/(R227+H227/2)</f>
        <v>0</v>
      </c>
      <c r="M227">
        <f>L227*(AZ227+BA227)/1000.0</f>
        <v>0</v>
      </c>
      <c r="N227">
        <f>(AS227 - IF(AG227&gt;1, J227*AN227*100.0/(AI227), 0))*(AZ227+BA227)/1000.0</f>
        <v>0</v>
      </c>
      <c r="O227">
        <f>2.0/((1/Q227-1/P227)+SIGN(Q227)*SQRT((1/Q227-1/P227)*(1/Q227-1/P227) + 4*AO227/((AO227+1)*(AO227+1))*(2*1/Q227*1/P227-1/P227*1/P227)))</f>
        <v>0</v>
      </c>
      <c r="P227">
        <f>IF(LEFT(AP227,1)&lt;&gt;"0",IF(LEFT(AP227,1)="1",3.0,AQ227),$D$5+$E$5*(BG227*AZ227/($K$5*1000))+$F$5*(BG227*AZ227/($K$5*1000))*MAX(MIN(AN227,$J$5),$I$5)*MAX(MIN(AN227,$J$5),$I$5)+$G$5*MAX(MIN(AN227,$J$5),$I$5)*(BG227*AZ227/($K$5*1000))+$H$5*(BG227*AZ227/($K$5*1000))*(BG227*AZ227/($K$5*1000)))</f>
        <v>0</v>
      </c>
      <c r="Q227">
        <f>H227*(1000-(1000*0.61365*exp(17.502*U227/(240.97+U227))/(AZ227+BA227)+AU227)/2)/(1000*0.61365*exp(17.502*U227/(240.97+U227))/(AZ227+BA227)-AU227)</f>
        <v>0</v>
      </c>
      <c r="R227">
        <f>1/((AO227+1)/(O227/1.6)+1/(P227/1.37)) + AO227/((AO227+1)/(O227/1.6) + AO227/(P227/1.37))</f>
        <v>0</v>
      </c>
      <c r="S227">
        <f>(AJ227*AM227)</f>
        <v>0</v>
      </c>
      <c r="T227">
        <f>(BB227+(S227+2*0.95*5.67E-8*(((BB227+$B$7)+273)^4-(BB227+273)^4)-44100*H227)/(1.84*29.3*P227+8*0.95*5.67E-8*(BB227+273)^3))</f>
        <v>0</v>
      </c>
      <c r="U227">
        <f>($C$7*BC227+$D$7*BD227+$E$7*T227)</f>
        <v>0</v>
      </c>
      <c r="V227">
        <f>0.61365*exp(17.502*U227/(240.97+U227))</f>
        <v>0</v>
      </c>
      <c r="W227">
        <f>(X227/Y227*100)</f>
        <v>0</v>
      </c>
      <c r="X227">
        <f>AU227*(AZ227+BA227)/1000</f>
        <v>0</v>
      </c>
      <c r="Y227">
        <f>0.61365*exp(17.502*BB227/(240.97+BB227))</f>
        <v>0</v>
      </c>
      <c r="Z227">
        <f>(V227-AU227*(AZ227+BA227)/1000)</f>
        <v>0</v>
      </c>
      <c r="AA227">
        <f>(-H227*44100)</f>
        <v>0</v>
      </c>
      <c r="AB227">
        <f>2*29.3*P227*0.92*(BB227-U227)</f>
        <v>0</v>
      </c>
      <c r="AC227">
        <f>2*0.95*5.67E-8*(((BB227+$B$7)+273)^4-(U227+273)^4)</f>
        <v>0</v>
      </c>
      <c r="AD227">
        <f>S227+AC227+AA227+AB227</f>
        <v>0</v>
      </c>
      <c r="AE227">
        <v>0</v>
      </c>
      <c r="AF227">
        <v>0</v>
      </c>
      <c r="AG227">
        <f>IF(AE227*$H$13&gt;=AI227,1.0,(AI227/(AI227-AE227*$H$13)))</f>
        <v>0</v>
      </c>
      <c r="AH227">
        <f>(AG227-1)*100</f>
        <v>0</v>
      </c>
      <c r="AI227">
        <f>MAX(0,($B$13+$C$13*BG227)/(1+$D$13*BG227)*AZ227/(BB227+273)*$E$13)</f>
        <v>0</v>
      </c>
      <c r="AJ227">
        <f>$B$11*BH227+$C$11*BI227+$D$11*BT227</f>
        <v>0</v>
      </c>
      <c r="AK227">
        <f>AJ227*AL227</f>
        <v>0</v>
      </c>
      <c r="AL227">
        <f>($B$11*$D$9+$C$11*$D$9+$D$11*(BU227*$E$9+BV227*$G$9))/($B$11+$C$11+$D$11)</f>
        <v>0</v>
      </c>
      <c r="AM227">
        <f>($B$11*$K$9+$C$11*$K$9+$D$11*(BU227*$L$9+BV227*$N$9))/($B$11+$C$11+$D$11)</f>
        <v>0</v>
      </c>
      <c r="AN227">
        <v>3</v>
      </c>
      <c r="AO227">
        <v>0.5</v>
      </c>
      <c r="AP227" t="s">
        <v>331</v>
      </c>
      <c r="AQ227">
        <v>2</v>
      </c>
      <c r="AR227">
        <v>1773208693.599999</v>
      </c>
      <c r="AS227">
        <v>418.142064516129</v>
      </c>
      <c r="AT227">
        <v>415.8480322580645</v>
      </c>
      <c r="AU227">
        <v>14.65349032258064</v>
      </c>
      <c r="AV227">
        <v>14.59775806451613</v>
      </c>
      <c r="AW227">
        <v>411.9107096774194</v>
      </c>
      <c r="AX227">
        <v>14.57289677419354</v>
      </c>
      <c r="AY227">
        <v>500.0132580645161</v>
      </c>
      <c r="AZ227">
        <v>99.96162580645162</v>
      </c>
      <c r="BA227">
        <v>0.04512011612903225</v>
      </c>
      <c r="BB227">
        <v>30.81179032258065</v>
      </c>
      <c r="BC227">
        <v>31.20798387096774</v>
      </c>
      <c r="BD227">
        <v>999.9000000000003</v>
      </c>
      <c r="BE227">
        <v>0</v>
      </c>
      <c r="BF227">
        <v>0</v>
      </c>
      <c r="BG227">
        <v>4997.112903225807</v>
      </c>
      <c r="BH227">
        <v>1.096729677419355</v>
      </c>
      <c r="BI227">
        <v>1917.518387096774</v>
      </c>
      <c r="BJ227">
        <v>2.29404870967742</v>
      </c>
      <c r="BK227">
        <v>424.3605806451613</v>
      </c>
      <c r="BL227">
        <v>422.0083870967742</v>
      </c>
      <c r="BM227">
        <v>0.05574666129032259</v>
      </c>
      <c r="BN227">
        <v>415.8480322580645</v>
      </c>
      <c r="BO227">
        <v>14.59775806451613</v>
      </c>
      <c r="BP227">
        <v>1.464787741935484</v>
      </c>
      <c r="BQ227">
        <v>1.459214838709677</v>
      </c>
      <c r="BR227">
        <v>12.60547096774193</v>
      </c>
      <c r="BS227">
        <v>12.54736774193548</v>
      </c>
      <c r="BT227">
        <v>0</v>
      </c>
      <c r="BU227">
        <v>0</v>
      </c>
      <c r="BV227">
        <v>0</v>
      </c>
      <c r="BW227">
        <v>37</v>
      </c>
      <c r="BX227">
        <v>63.99677419354838</v>
      </c>
      <c r="BY227">
        <v>1773196010</v>
      </c>
      <c r="BZ227" t="s">
        <v>332</v>
      </c>
      <c r="CA227">
        <v>1773196010</v>
      </c>
      <c r="CB227">
        <v>1773196005.5</v>
      </c>
      <c r="CC227">
        <v>2</v>
      </c>
      <c r="CD227">
        <v>-0.279</v>
      </c>
      <c r="CE227">
        <v>-0.021</v>
      </c>
      <c r="CF227">
        <v>6.231</v>
      </c>
      <c r="CG227">
        <v>0.081</v>
      </c>
      <c r="CH227">
        <v>432</v>
      </c>
      <c r="CI227">
        <v>21</v>
      </c>
      <c r="CJ227">
        <v>0.03</v>
      </c>
      <c r="CK227">
        <v>0.06</v>
      </c>
      <c r="CL227">
        <v>415.8498666666667</v>
      </c>
      <c r="CM227">
        <v>0.1287296996677303</v>
      </c>
      <c r="CN227">
        <v>0.03164673056661188</v>
      </c>
      <c r="CO227">
        <v>-1</v>
      </c>
      <c r="CP227">
        <v>500.0125999999999</v>
      </c>
      <c r="CQ227">
        <v>-0.1933348164621701</v>
      </c>
      <c r="CR227">
        <v>0.03697440556204555</v>
      </c>
      <c r="CS227">
        <v>-1</v>
      </c>
      <c r="CT227">
        <v>0</v>
      </c>
      <c r="CU227">
        <v>0</v>
      </c>
      <c r="CV227" t="s">
        <v>333</v>
      </c>
      <c r="CW227">
        <v>3.17188</v>
      </c>
      <c r="CX227">
        <v>2.66678</v>
      </c>
      <c r="CY227">
        <v>0.09786789999999999</v>
      </c>
      <c r="CZ227">
        <v>0.098618</v>
      </c>
      <c r="DA227">
        <v>0.07775609999999999</v>
      </c>
      <c r="DB227">
        <v>0.0776037</v>
      </c>
      <c r="DC227">
        <v>21298.2</v>
      </c>
      <c r="DD227">
        <v>21893.9</v>
      </c>
      <c r="DE227">
        <v>22767.2</v>
      </c>
      <c r="DF227">
        <v>22241.7</v>
      </c>
      <c r="DG227">
        <v>31761</v>
      </c>
      <c r="DH227">
        <v>28898.3</v>
      </c>
      <c r="DI227">
        <v>40082.4</v>
      </c>
      <c r="DJ227">
        <v>36785</v>
      </c>
      <c r="DK227">
        <v>2.01546</v>
      </c>
      <c r="DL227">
        <v>1.47966</v>
      </c>
      <c r="DM227">
        <v>-0.121558</v>
      </c>
      <c r="DN227">
        <v>0</v>
      </c>
      <c r="DO227">
        <v>33.1817</v>
      </c>
      <c r="DP227">
        <v>999.9</v>
      </c>
      <c r="DQ227">
        <v>22.1</v>
      </c>
      <c r="DR227">
        <v>46.7</v>
      </c>
      <c r="DS227">
        <v>23.2497</v>
      </c>
      <c r="DT227">
        <v>30.5192</v>
      </c>
      <c r="DU227">
        <v>14.2628</v>
      </c>
      <c r="DV227">
        <v>1</v>
      </c>
      <c r="DW227">
        <v>0.993376</v>
      </c>
      <c r="DX227">
        <v>5.38433</v>
      </c>
      <c r="DY227">
        <v>20.2599</v>
      </c>
      <c r="DZ227">
        <v>5.21022</v>
      </c>
      <c r="EA227">
        <v>11.8594</v>
      </c>
      <c r="EB227">
        <v>4.9674</v>
      </c>
      <c r="EC227">
        <v>3.29294</v>
      </c>
      <c r="ED227">
        <v>879.4</v>
      </c>
      <c r="EE227">
        <v>9999</v>
      </c>
      <c r="EF227">
        <v>9999</v>
      </c>
      <c r="EG227">
        <v>79.5</v>
      </c>
      <c r="EH227">
        <v>4.97153</v>
      </c>
      <c r="EI227">
        <v>1.8721</v>
      </c>
      <c r="EJ227">
        <v>1.86951</v>
      </c>
      <c r="EK227">
        <v>1.8718</v>
      </c>
      <c r="EL227">
        <v>1.86955</v>
      </c>
      <c r="EM227">
        <v>1.86837</v>
      </c>
      <c r="EN227">
        <v>1.87012</v>
      </c>
      <c r="EO227">
        <v>1.87192</v>
      </c>
      <c r="EP227">
        <v>0</v>
      </c>
      <c r="EQ227">
        <v>0</v>
      </c>
      <c r="ER227">
        <v>0</v>
      </c>
      <c r="ES227">
        <v>0</v>
      </c>
      <c r="ET227" t="s">
        <v>334</v>
      </c>
      <c r="EU227" t="s">
        <v>335</v>
      </c>
      <c r="EV227" t="s">
        <v>336</v>
      </c>
      <c r="EW227" t="s">
        <v>336</v>
      </c>
      <c r="EX227" t="s">
        <v>336</v>
      </c>
      <c r="EY227" t="s">
        <v>336</v>
      </c>
      <c r="EZ227">
        <v>0</v>
      </c>
      <c r="FA227">
        <v>100</v>
      </c>
      <c r="FB227">
        <v>100</v>
      </c>
      <c r="FC227">
        <v>6.231</v>
      </c>
      <c r="FD227">
        <v>0.0806</v>
      </c>
      <c r="FE227">
        <v>6.23135000000002</v>
      </c>
      <c r="FF227">
        <v>0</v>
      </c>
      <c r="FG227">
        <v>0</v>
      </c>
      <c r="FH227">
        <v>0</v>
      </c>
      <c r="FI227">
        <v>0.08059047619047632</v>
      </c>
      <c r="FJ227">
        <v>0</v>
      </c>
      <c r="FK227">
        <v>0</v>
      </c>
      <c r="FL227">
        <v>0</v>
      </c>
      <c r="FM227">
        <v>-1</v>
      </c>
      <c r="FN227">
        <v>-1</v>
      </c>
      <c r="FO227">
        <v>-1</v>
      </c>
      <c r="FP227">
        <v>-1</v>
      </c>
      <c r="FQ227">
        <v>211.5</v>
      </c>
      <c r="FR227">
        <v>211.6</v>
      </c>
      <c r="FS227">
        <v>0.140381</v>
      </c>
      <c r="FT227">
        <v>4.99756</v>
      </c>
      <c r="FU227">
        <v>1.5979</v>
      </c>
      <c r="FV227">
        <v>2.10938</v>
      </c>
      <c r="FW227">
        <v>1.54785</v>
      </c>
      <c r="FX227">
        <v>2.48535</v>
      </c>
      <c r="FY227">
        <v>48.7326</v>
      </c>
      <c r="FZ227">
        <v>14.6837</v>
      </c>
      <c r="GA227">
        <v>3</v>
      </c>
      <c r="GB227">
        <v>520.726</v>
      </c>
      <c r="GC227">
        <v>285.02</v>
      </c>
      <c r="GD227">
        <v>26.6864</v>
      </c>
      <c r="GE227">
        <v>39.016</v>
      </c>
      <c r="GF227">
        <v>30.001</v>
      </c>
      <c r="GG227">
        <v>38.8322</v>
      </c>
      <c r="GH227">
        <v>38.8156</v>
      </c>
      <c r="GI227">
        <v>-1</v>
      </c>
      <c r="GJ227">
        <v>100</v>
      </c>
      <c r="GK227">
        <v>0</v>
      </c>
      <c r="GL227">
        <v>26.6842</v>
      </c>
      <c r="GM227">
        <v>1200</v>
      </c>
      <c r="GN227">
        <v>19.4378</v>
      </c>
      <c r="GO227">
        <v>100.83</v>
      </c>
      <c r="GP227">
        <v>96.0596</v>
      </c>
    </row>
    <row r="228" spans="1:198">
      <c r="A228">
        <v>212</v>
      </c>
      <c r="B228">
        <v>1773208761.6</v>
      </c>
      <c r="C228">
        <v>12661.59999990463</v>
      </c>
      <c r="D228" t="s">
        <v>757</v>
      </c>
      <c r="E228" t="s">
        <v>758</v>
      </c>
      <c r="F228">
        <v>15</v>
      </c>
      <c r="G228">
        <v>1773208753.599999</v>
      </c>
      <c r="H228">
        <f>(I228)/1000</f>
        <v>0</v>
      </c>
      <c r="I228">
        <f>1000*AY228*AG228*(AU228-AV228)/(100*AN228*(1000-AG228*AU228))</f>
        <v>0</v>
      </c>
      <c r="J228">
        <f>AY228*AG228*(AT228-AS228*(1000-AG228*AV228)/(1000-AG228*AU228))/(100*AN228)</f>
        <v>0</v>
      </c>
      <c r="K228">
        <f>AS228 - IF(AG228&gt;1, J228*AN228*100.0/(AI228), 0)</f>
        <v>0</v>
      </c>
      <c r="L228">
        <f>((R228-H228/2)*K228-J228)/(R228+H228/2)</f>
        <v>0</v>
      </c>
      <c r="M228">
        <f>L228*(AZ228+BA228)/1000.0</f>
        <v>0</v>
      </c>
      <c r="N228">
        <f>(AS228 - IF(AG228&gt;1, J228*AN228*100.0/(AI228), 0))*(AZ228+BA228)/1000.0</f>
        <v>0</v>
      </c>
      <c r="O228">
        <f>2.0/((1/Q228-1/P228)+SIGN(Q228)*SQRT((1/Q228-1/P228)*(1/Q228-1/P228) + 4*AO228/((AO228+1)*(AO228+1))*(2*1/Q228*1/P228-1/P228*1/P228)))</f>
        <v>0</v>
      </c>
      <c r="P228">
        <f>IF(LEFT(AP228,1)&lt;&gt;"0",IF(LEFT(AP228,1)="1",3.0,AQ228),$D$5+$E$5*(BG228*AZ228/($K$5*1000))+$F$5*(BG228*AZ228/($K$5*1000))*MAX(MIN(AN228,$J$5),$I$5)*MAX(MIN(AN228,$J$5),$I$5)+$G$5*MAX(MIN(AN228,$J$5),$I$5)*(BG228*AZ228/($K$5*1000))+$H$5*(BG228*AZ228/($K$5*1000))*(BG228*AZ228/($K$5*1000)))</f>
        <v>0</v>
      </c>
      <c r="Q228">
        <f>H228*(1000-(1000*0.61365*exp(17.502*U228/(240.97+U228))/(AZ228+BA228)+AU228)/2)/(1000*0.61365*exp(17.502*U228/(240.97+U228))/(AZ228+BA228)-AU228)</f>
        <v>0</v>
      </c>
      <c r="R228">
        <f>1/((AO228+1)/(O228/1.6)+1/(P228/1.37)) + AO228/((AO228+1)/(O228/1.6) + AO228/(P228/1.37))</f>
        <v>0</v>
      </c>
      <c r="S228">
        <f>(AJ228*AM228)</f>
        <v>0</v>
      </c>
      <c r="T228">
        <f>(BB228+(S228+2*0.95*5.67E-8*(((BB228+$B$7)+273)^4-(BB228+273)^4)-44100*H228)/(1.84*29.3*P228+8*0.95*5.67E-8*(BB228+273)^3))</f>
        <v>0</v>
      </c>
      <c r="U228">
        <f>($C$7*BC228+$D$7*BD228+$E$7*T228)</f>
        <v>0</v>
      </c>
      <c r="V228">
        <f>0.61365*exp(17.502*U228/(240.97+U228))</f>
        <v>0</v>
      </c>
      <c r="W228">
        <f>(X228/Y228*100)</f>
        <v>0</v>
      </c>
      <c r="X228">
        <f>AU228*(AZ228+BA228)/1000</f>
        <v>0</v>
      </c>
      <c r="Y228">
        <f>0.61365*exp(17.502*BB228/(240.97+BB228))</f>
        <v>0</v>
      </c>
      <c r="Z228">
        <f>(V228-AU228*(AZ228+BA228)/1000)</f>
        <v>0</v>
      </c>
      <c r="AA228">
        <f>(-H228*44100)</f>
        <v>0</v>
      </c>
      <c r="AB228">
        <f>2*29.3*P228*0.92*(BB228-U228)</f>
        <v>0</v>
      </c>
      <c r="AC228">
        <f>2*0.95*5.67E-8*(((BB228+$B$7)+273)^4-(U228+273)^4)</f>
        <v>0</v>
      </c>
      <c r="AD228">
        <f>S228+AC228+AA228+AB228</f>
        <v>0</v>
      </c>
      <c r="AE228">
        <v>0</v>
      </c>
      <c r="AF228">
        <v>0</v>
      </c>
      <c r="AG228">
        <f>IF(AE228*$H$13&gt;=AI228,1.0,(AI228/(AI228-AE228*$H$13)))</f>
        <v>0</v>
      </c>
      <c r="AH228">
        <f>(AG228-1)*100</f>
        <v>0</v>
      </c>
      <c r="AI228">
        <f>MAX(0,($B$13+$C$13*BG228)/(1+$D$13*BG228)*AZ228/(BB228+273)*$E$13)</f>
        <v>0</v>
      </c>
      <c r="AJ228">
        <f>$B$11*BH228+$C$11*BI228+$D$11*BT228</f>
        <v>0</v>
      </c>
      <c r="AK228">
        <f>AJ228*AL228</f>
        <v>0</v>
      </c>
      <c r="AL228">
        <f>($B$11*$D$9+$C$11*$D$9+$D$11*(BU228*$E$9+BV228*$G$9))/($B$11+$C$11+$D$11)</f>
        <v>0</v>
      </c>
      <c r="AM228">
        <f>($B$11*$K$9+$C$11*$K$9+$D$11*(BU228*$L$9+BV228*$N$9))/($B$11+$C$11+$D$11)</f>
        <v>0</v>
      </c>
      <c r="AN228">
        <v>3</v>
      </c>
      <c r="AO228">
        <v>0.5</v>
      </c>
      <c r="AP228" t="s">
        <v>331</v>
      </c>
      <c r="AQ228">
        <v>2</v>
      </c>
      <c r="AR228">
        <v>1773208753.599999</v>
      </c>
      <c r="AS228">
        <v>418.1605483870968</v>
      </c>
      <c r="AT228">
        <v>415.9444193548387</v>
      </c>
      <c r="AU228">
        <v>14.82588709677419</v>
      </c>
      <c r="AV228">
        <v>14.76895161290322</v>
      </c>
      <c r="AW228">
        <v>411.9291935483871</v>
      </c>
      <c r="AX228">
        <v>14.74529677419355</v>
      </c>
      <c r="AY228">
        <v>499.9962258064517</v>
      </c>
      <c r="AZ228">
        <v>99.95391612903229</v>
      </c>
      <c r="BA228">
        <v>0.0452601677419355</v>
      </c>
      <c r="BB228">
        <v>30.85173870967741</v>
      </c>
      <c r="BC228">
        <v>31.26162580645161</v>
      </c>
      <c r="BD228">
        <v>999.9000000000003</v>
      </c>
      <c r="BE228">
        <v>0</v>
      </c>
      <c r="BF228">
        <v>0</v>
      </c>
      <c r="BG228">
        <v>4996.596774193548</v>
      </c>
      <c r="BH228">
        <v>1.066365967741935</v>
      </c>
      <c r="BI228">
        <v>1895.585161290323</v>
      </c>
      <c r="BJ228">
        <v>2.216149032258064</v>
      </c>
      <c r="BK228">
        <v>424.4534838709677</v>
      </c>
      <c r="BL228">
        <v>422.1795161290323</v>
      </c>
      <c r="BM228">
        <v>0.05693565483870968</v>
      </c>
      <c r="BN228">
        <v>415.9444193548387</v>
      </c>
      <c r="BO228">
        <v>14.76895161290322</v>
      </c>
      <c r="BP228">
        <v>1.481904838709677</v>
      </c>
      <c r="BQ228">
        <v>1.476213870967742</v>
      </c>
      <c r="BR228">
        <v>12.78272258064516</v>
      </c>
      <c r="BS228">
        <v>12.72399677419355</v>
      </c>
      <c r="BT228">
        <v>0</v>
      </c>
      <c r="BU228">
        <v>0</v>
      </c>
      <c r="BV228">
        <v>0</v>
      </c>
      <c r="BW228">
        <v>37.09140322580645</v>
      </c>
      <c r="BX228">
        <v>63.57956129032259</v>
      </c>
      <c r="BY228">
        <v>1773196010</v>
      </c>
      <c r="BZ228" t="s">
        <v>332</v>
      </c>
      <c r="CA228">
        <v>1773196010</v>
      </c>
      <c r="CB228">
        <v>1773196005.5</v>
      </c>
      <c r="CC228">
        <v>2</v>
      </c>
      <c r="CD228">
        <v>-0.279</v>
      </c>
      <c r="CE228">
        <v>-0.021</v>
      </c>
      <c r="CF228">
        <v>6.231</v>
      </c>
      <c r="CG228">
        <v>0.081</v>
      </c>
      <c r="CH228">
        <v>432</v>
      </c>
      <c r="CI228">
        <v>21</v>
      </c>
      <c r="CJ228">
        <v>0.03</v>
      </c>
      <c r="CK228">
        <v>0.06</v>
      </c>
      <c r="CL228">
        <v>415.9377419354839</v>
      </c>
      <c r="CM228">
        <v>0.9361451612899327</v>
      </c>
      <c r="CN228">
        <v>0.07749670866765256</v>
      </c>
      <c r="CO228">
        <v>-1</v>
      </c>
      <c r="CP228">
        <v>499.9991612903227</v>
      </c>
      <c r="CQ228">
        <v>-0.3029516129052062</v>
      </c>
      <c r="CR228">
        <v>0.04788568159231956</v>
      </c>
      <c r="CS228">
        <v>-1</v>
      </c>
      <c r="CT228">
        <v>0</v>
      </c>
      <c r="CU228">
        <v>0</v>
      </c>
      <c r="CV228" t="s">
        <v>333</v>
      </c>
      <c r="CW228">
        <v>3.17175</v>
      </c>
      <c r="CX228">
        <v>2.66655</v>
      </c>
      <c r="CY228">
        <v>0.0978561</v>
      </c>
      <c r="CZ228">
        <v>0.0986065</v>
      </c>
      <c r="DA228">
        <v>0.0784152</v>
      </c>
      <c r="DB228">
        <v>0.078249</v>
      </c>
      <c r="DC228">
        <v>21292.6</v>
      </c>
      <c r="DD228">
        <v>21888.6</v>
      </c>
      <c r="DE228">
        <v>22761.5</v>
      </c>
      <c r="DF228">
        <v>22236.5</v>
      </c>
      <c r="DG228">
        <v>31730.8</v>
      </c>
      <c r="DH228">
        <v>28871.1</v>
      </c>
      <c r="DI228">
        <v>40073</v>
      </c>
      <c r="DJ228">
        <v>36776.2</v>
      </c>
      <c r="DK228">
        <v>2.01454</v>
      </c>
      <c r="DL228">
        <v>1.47698</v>
      </c>
      <c r="DM228">
        <v>-0.123382</v>
      </c>
      <c r="DN228">
        <v>0</v>
      </c>
      <c r="DO228">
        <v>33.2695</v>
      </c>
      <c r="DP228">
        <v>999.9</v>
      </c>
      <c r="DQ228">
        <v>22.3</v>
      </c>
      <c r="DR228">
        <v>46.7</v>
      </c>
      <c r="DS228">
        <v>23.4631</v>
      </c>
      <c r="DT228">
        <v>30.6692</v>
      </c>
      <c r="DU228">
        <v>14.4431</v>
      </c>
      <c r="DV228">
        <v>1</v>
      </c>
      <c r="DW228">
        <v>1.00867</v>
      </c>
      <c r="DX228">
        <v>5.7989</v>
      </c>
      <c r="DY228">
        <v>20.2421</v>
      </c>
      <c r="DZ228">
        <v>5.21022</v>
      </c>
      <c r="EA228">
        <v>11.8594</v>
      </c>
      <c r="EB228">
        <v>4.9674</v>
      </c>
      <c r="EC228">
        <v>3.29298</v>
      </c>
      <c r="ED228">
        <v>879.4</v>
      </c>
      <c r="EE228">
        <v>9999</v>
      </c>
      <c r="EF228">
        <v>9999</v>
      </c>
      <c r="EG228">
        <v>79.5</v>
      </c>
      <c r="EH228">
        <v>4.97154</v>
      </c>
      <c r="EI228">
        <v>1.8721</v>
      </c>
      <c r="EJ228">
        <v>1.8695</v>
      </c>
      <c r="EK228">
        <v>1.8718</v>
      </c>
      <c r="EL228">
        <v>1.86952</v>
      </c>
      <c r="EM228">
        <v>1.86834</v>
      </c>
      <c r="EN228">
        <v>1.87012</v>
      </c>
      <c r="EO228">
        <v>1.87191</v>
      </c>
      <c r="EP228">
        <v>0</v>
      </c>
      <c r="EQ228">
        <v>0</v>
      </c>
      <c r="ER228">
        <v>0</v>
      </c>
      <c r="ES228">
        <v>0</v>
      </c>
      <c r="ET228" t="s">
        <v>334</v>
      </c>
      <c r="EU228" t="s">
        <v>335</v>
      </c>
      <c r="EV228" t="s">
        <v>336</v>
      </c>
      <c r="EW228" t="s">
        <v>336</v>
      </c>
      <c r="EX228" t="s">
        <v>336</v>
      </c>
      <c r="EY228" t="s">
        <v>336</v>
      </c>
      <c r="EZ228">
        <v>0</v>
      </c>
      <c r="FA228">
        <v>100</v>
      </c>
      <c r="FB228">
        <v>100</v>
      </c>
      <c r="FC228">
        <v>6.232</v>
      </c>
      <c r="FD228">
        <v>0.0806</v>
      </c>
      <c r="FE228">
        <v>6.23135000000002</v>
      </c>
      <c r="FF228">
        <v>0</v>
      </c>
      <c r="FG228">
        <v>0</v>
      </c>
      <c r="FH228">
        <v>0</v>
      </c>
      <c r="FI228">
        <v>0.08059047619047632</v>
      </c>
      <c r="FJ228">
        <v>0</v>
      </c>
      <c r="FK228">
        <v>0</v>
      </c>
      <c r="FL228">
        <v>0</v>
      </c>
      <c r="FM228">
        <v>-1</v>
      </c>
      <c r="FN228">
        <v>-1</v>
      </c>
      <c r="FO228">
        <v>-1</v>
      </c>
      <c r="FP228">
        <v>-1</v>
      </c>
      <c r="FQ228">
        <v>212.5</v>
      </c>
      <c r="FR228">
        <v>212.6</v>
      </c>
      <c r="FS228">
        <v>0.140381</v>
      </c>
      <c r="FT228">
        <v>4.99756</v>
      </c>
      <c r="FU228">
        <v>1.5979</v>
      </c>
      <c r="FV228">
        <v>2.10938</v>
      </c>
      <c r="FW228">
        <v>1.54785</v>
      </c>
      <c r="FX228">
        <v>2.43042</v>
      </c>
      <c r="FY228">
        <v>48.9503</v>
      </c>
      <c r="FZ228">
        <v>14.6661</v>
      </c>
      <c r="GA228">
        <v>3</v>
      </c>
      <c r="GB228">
        <v>520.951</v>
      </c>
      <c r="GC228">
        <v>284.185</v>
      </c>
      <c r="GD228">
        <v>26.6454</v>
      </c>
      <c r="GE228">
        <v>39.1542</v>
      </c>
      <c r="GF228">
        <v>30.0021</v>
      </c>
      <c r="GG228">
        <v>38.9478</v>
      </c>
      <c r="GH228">
        <v>38.9267</v>
      </c>
      <c r="GI228">
        <v>-1</v>
      </c>
      <c r="GJ228">
        <v>100</v>
      </c>
      <c r="GK228">
        <v>0</v>
      </c>
      <c r="GL228">
        <v>26.6162</v>
      </c>
      <c r="GM228">
        <v>1200</v>
      </c>
      <c r="GN228">
        <v>19.4378</v>
      </c>
      <c r="GO228">
        <v>100.806</v>
      </c>
      <c r="GP228">
        <v>96.0368</v>
      </c>
    </row>
    <row r="229" spans="1:198">
      <c r="A229">
        <v>213</v>
      </c>
      <c r="B229">
        <v>1773208821.6</v>
      </c>
      <c r="C229">
        <v>12721.59999990463</v>
      </c>
      <c r="D229" t="s">
        <v>759</v>
      </c>
      <c r="E229" t="s">
        <v>760</v>
      </c>
      <c r="F229">
        <v>15</v>
      </c>
      <c r="G229">
        <v>1773208813.599999</v>
      </c>
      <c r="H229">
        <f>(I229)/1000</f>
        <v>0</v>
      </c>
      <c r="I229">
        <f>1000*AY229*AG229*(AU229-AV229)/(100*AN229*(1000-AG229*AU229))</f>
        <v>0</v>
      </c>
      <c r="J229">
        <f>AY229*AG229*(AT229-AS229*(1000-AG229*AV229)/(1000-AG229*AU229))/(100*AN229)</f>
        <v>0</v>
      </c>
      <c r="K229">
        <f>AS229 - IF(AG229&gt;1, J229*AN229*100.0/(AI229), 0)</f>
        <v>0</v>
      </c>
      <c r="L229">
        <f>((R229-H229/2)*K229-J229)/(R229+H229/2)</f>
        <v>0</v>
      </c>
      <c r="M229">
        <f>L229*(AZ229+BA229)/1000.0</f>
        <v>0</v>
      </c>
      <c r="N229">
        <f>(AS229 - IF(AG229&gt;1, J229*AN229*100.0/(AI229), 0))*(AZ229+BA229)/1000.0</f>
        <v>0</v>
      </c>
      <c r="O229">
        <f>2.0/((1/Q229-1/P229)+SIGN(Q229)*SQRT((1/Q229-1/P229)*(1/Q229-1/P229) + 4*AO229/((AO229+1)*(AO229+1))*(2*1/Q229*1/P229-1/P229*1/P229)))</f>
        <v>0</v>
      </c>
      <c r="P229">
        <f>IF(LEFT(AP229,1)&lt;&gt;"0",IF(LEFT(AP229,1)="1",3.0,AQ229),$D$5+$E$5*(BG229*AZ229/($K$5*1000))+$F$5*(BG229*AZ229/($K$5*1000))*MAX(MIN(AN229,$J$5),$I$5)*MAX(MIN(AN229,$J$5),$I$5)+$G$5*MAX(MIN(AN229,$J$5),$I$5)*(BG229*AZ229/($K$5*1000))+$H$5*(BG229*AZ229/($K$5*1000))*(BG229*AZ229/($K$5*1000)))</f>
        <v>0</v>
      </c>
      <c r="Q229">
        <f>H229*(1000-(1000*0.61365*exp(17.502*U229/(240.97+U229))/(AZ229+BA229)+AU229)/2)/(1000*0.61365*exp(17.502*U229/(240.97+U229))/(AZ229+BA229)-AU229)</f>
        <v>0</v>
      </c>
      <c r="R229">
        <f>1/((AO229+1)/(O229/1.6)+1/(P229/1.37)) + AO229/((AO229+1)/(O229/1.6) + AO229/(P229/1.37))</f>
        <v>0</v>
      </c>
      <c r="S229">
        <f>(AJ229*AM229)</f>
        <v>0</v>
      </c>
      <c r="T229">
        <f>(BB229+(S229+2*0.95*5.67E-8*(((BB229+$B$7)+273)^4-(BB229+273)^4)-44100*H229)/(1.84*29.3*P229+8*0.95*5.67E-8*(BB229+273)^3))</f>
        <v>0</v>
      </c>
      <c r="U229">
        <f>($C$7*BC229+$D$7*BD229+$E$7*T229)</f>
        <v>0</v>
      </c>
      <c r="V229">
        <f>0.61365*exp(17.502*U229/(240.97+U229))</f>
        <v>0</v>
      </c>
      <c r="W229">
        <f>(X229/Y229*100)</f>
        <v>0</v>
      </c>
      <c r="X229">
        <f>AU229*(AZ229+BA229)/1000</f>
        <v>0</v>
      </c>
      <c r="Y229">
        <f>0.61365*exp(17.502*BB229/(240.97+BB229))</f>
        <v>0</v>
      </c>
      <c r="Z229">
        <f>(V229-AU229*(AZ229+BA229)/1000)</f>
        <v>0</v>
      </c>
      <c r="AA229">
        <f>(-H229*44100)</f>
        <v>0</v>
      </c>
      <c r="AB229">
        <f>2*29.3*P229*0.92*(BB229-U229)</f>
        <v>0</v>
      </c>
      <c r="AC229">
        <f>2*0.95*5.67E-8*(((BB229+$B$7)+273)^4-(U229+273)^4)</f>
        <v>0</v>
      </c>
      <c r="AD229">
        <f>S229+AC229+AA229+AB229</f>
        <v>0</v>
      </c>
      <c r="AE229">
        <v>0</v>
      </c>
      <c r="AF229">
        <v>0</v>
      </c>
      <c r="AG229">
        <f>IF(AE229*$H$13&gt;=AI229,1.0,(AI229/(AI229-AE229*$H$13)))</f>
        <v>0</v>
      </c>
      <c r="AH229">
        <f>(AG229-1)*100</f>
        <v>0</v>
      </c>
      <c r="AI229">
        <f>MAX(0,($B$13+$C$13*BG229)/(1+$D$13*BG229)*AZ229/(BB229+273)*$E$13)</f>
        <v>0</v>
      </c>
      <c r="AJ229">
        <f>$B$11*BH229+$C$11*BI229+$D$11*BT229</f>
        <v>0</v>
      </c>
      <c r="AK229">
        <f>AJ229*AL229</f>
        <v>0</v>
      </c>
      <c r="AL229">
        <f>($B$11*$D$9+$C$11*$D$9+$D$11*(BU229*$E$9+BV229*$G$9))/($B$11+$C$11+$D$11)</f>
        <v>0</v>
      </c>
      <c r="AM229">
        <f>($B$11*$K$9+$C$11*$K$9+$D$11*(BU229*$L$9+BV229*$N$9))/($B$11+$C$11+$D$11)</f>
        <v>0</v>
      </c>
      <c r="AN229">
        <v>3</v>
      </c>
      <c r="AO229">
        <v>0.5</v>
      </c>
      <c r="AP229" t="s">
        <v>331</v>
      </c>
      <c r="AQ229">
        <v>2</v>
      </c>
      <c r="AR229">
        <v>1773208813.599999</v>
      </c>
      <c r="AS229">
        <v>418.2132258064516</v>
      </c>
      <c r="AT229">
        <v>415.8681612903225</v>
      </c>
      <c r="AU229">
        <v>14.91985483870968</v>
      </c>
      <c r="AV229">
        <v>14.84731612903226</v>
      </c>
      <c r="AW229">
        <v>411.982</v>
      </c>
      <c r="AX229">
        <v>14.83925806451613</v>
      </c>
      <c r="AY229">
        <v>500.0333548387098</v>
      </c>
      <c r="AZ229">
        <v>99.95404838709679</v>
      </c>
      <c r="BA229">
        <v>0.04604627419354838</v>
      </c>
      <c r="BB229">
        <v>30.82368064516129</v>
      </c>
      <c r="BC229">
        <v>31.19587741935484</v>
      </c>
      <c r="BD229">
        <v>999.9000000000003</v>
      </c>
      <c r="BE229">
        <v>0</v>
      </c>
      <c r="BF229">
        <v>0</v>
      </c>
      <c r="BG229">
        <v>5003.209677419355</v>
      </c>
      <c r="BH229">
        <v>1.032766451612903</v>
      </c>
      <c r="BI229">
        <v>1752.777419354838</v>
      </c>
      <c r="BJ229">
        <v>2.345115806451613</v>
      </c>
      <c r="BK229">
        <v>424.5474516129033</v>
      </c>
      <c r="BL229">
        <v>422.1357096774193</v>
      </c>
      <c r="BM229">
        <v>0.07253699354838708</v>
      </c>
      <c r="BN229">
        <v>415.8681612903225</v>
      </c>
      <c r="BO229">
        <v>14.84731612903226</v>
      </c>
      <c r="BP229">
        <v>1.491299032258065</v>
      </c>
      <c r="BQ229">
        <v>1.48404935483871</v>
      </c>
      <c r="BR229">
        <v>12.87924838709677</v>
      </c>
      <c r="BS229">
        <v>12.8047935483871</v>
      </c>
      <c r="BT229">
        <v>0</v>
      </c>
      <c r="BU229">
        <v>0</v>
      </c>
      <c r="BV229">
        <v>0</v>
      </c>
      <c r="BW229">
        <v>37</v>
      </c>
      <c r="BX229">
        <v>60.84409677419354</v>
      </c>
      <c r="BY229">
        <v>1773196010</v>
      </c>
      <c r="BZ229" t="s">
        <v>332</v>
      </c>
      <c r="CA229">
        <v>1773196010</v>
      </c>
      <c r="CB229">
        <v>1773196005.5</v>
      </c>
      <c r="CC229">
        <v>2</v>
      </c>
      <c r="CD229">
        <v>-0.279</v>
      </c>
      <c r="CE229">
        <v>-0.021</v>
      </c>
      <c r="CF229">
        <v>6.231</v>
      </c>
      <c r="CG229">
        <v>0.081</v>
      </c>
      <c r="CH229">
        <v>432</v>
      </c>
      <c r="CI229">
        <v>21</v>
      </c>
      <c r="CJ229">
        <v>0.03</v>
      </c>
      <c r="CK229">
        <v>0.06</v>
      </c>
      <c r="CL229">
        <v>415.8665483870968</v>
      </c>
      <c r="CM229">
        <v>0.03972580645061313</v>
      </c>
      <c r="CN229">
        <v>0.01517603949710864</v>
      </c>
      <c r="CO229">
        <v>-1</v>
      </c>
      <c r="CP229">
        <v>500.0286129032259</v>
      </c>
      <c r="CQ229">
        <v>0.4381451612885544</v>
      </c>
      <c r="CR229">
        <v>0.06140961226606294</v>
      </c>
      <c r="CS229">
        <v>-1</v>
      </c>
      <c r="CT229">
        <v>0</v>
      </c>
      <c r="CU229">
        <v>0</v>
      </c>
      <c r="CV229" t="s">
        <v>333</v>
      </c>
      <c r="CW229">
        <v>3.17206</v>
      </c>
      <c r="CX229">
        <v>2.66708</v>
      </c>
      <c r="CY229">
        <v>0.0978185</v>
      </c>
      <c r="CZ229">
        <v>0.0985746</v>
      </c>
      <c r="DA229">
        <v>0.0786838</v>
      </c>
      <c r="DB229">
        <v>0.0784509</v>
      </c>
      <c r="DC229">
        <v>21288.9</v>
      </c>
      <c r="DD229">
        <v>21886.1</v>
      </c>
      <c r="DE229">
        <v>22757.1</v>
      </c>
      <c r="DF229">
        <v>22233.5</v>
      </c>
      <c r="DG229">
        <v>31715.7</v>
      </c>
      <c r="DH229">
        <v>28860.1</v>
      </c>
      <c r="DI229">
        <v>40065.9</v>
      </c>
      <c r="DJ229">
        <v>36770.3</v>
      </c>
      <c r="DK229">
        <v>2.01344</v>
      </c>
      <c r="DL229">
        <v>1.47488</v>
      </c>
      <c r="DM229">
        <v>-0.126886</v>
      </c>
      <c r="DN229">
        <v>0</v>
      </c>
      <c r="DO229">
        <v>33.2263</v>
      </c>
      <c r="DP229">
        <v>999.9</v>
      </c>
      <c r="DQ229">
        <v>22</v>
      </c>
      <c r="DR229">
        <v>46.8</v>
      </c>
      <c r="DS229">
        <v>23.2644</v>
      </c>
      <c r="DT229">
        <v>30.6092</v>
      </c>
      <c r="DU229">
        <v>14.2067</v>
      </c>
      <c r="DV229">
        <v>1</v>
      </c>
      <c r="DW229">
        <v>1.02169</v>
      </c>
      <c r="DX229">
        <v>6.24068</v>
      </c>
      <c r="DY229">
        <v>20.2242</v>
      </c>
      <c r="DZ229">
        <v>5.21094</v>
      </c>
      <c r="EA229">
        <v>11.86</v>
      </c>
      <c r="EB229">
        <v>4.96768</v>
      </c>
      <c r="EC229">
        <v>3.293</v>
      </c>
      <c r="ED229">
        <v>879.4</v>
      </c>
      <c r="EE229">
        <v>9999</v>
      </c>
      <c r="EF229">
        <v>9999</v>
      </c>
      <c r="EG229">
        <v>79.59999999999999</v>
      </c>
      <c r="EH229">
        <v>4.97152</v>
      </c>
      <c r="EI229">
        <v>1.8721</v>
      </c>
      <c r="EJ229">
        <v>1.86949</v>
      </c>
      <c r="EK229">
        <v>1.8718</v>
      </c>
      <c r="EL229">
        <v>1.86952</v>
      </c>
      <c r="EM229">
        <v>1.86832</v>
      </c>
      <c r="EN229">
        <v>1.87012</v>
      </c>
      <c r="EO229">
        <v>1.87189</v>
      </c>
      <c r="EP229">
        <v>0</v>
      </c>
      <c r="EQ229">
        <v>0</v>
      </c>
      <c r="ER229">
        <v>0</v>
      </c>
      <c r="ES229">
        <v>0</v>
      </c>
      <c r="ET229" t="s">
        <v>334</v>
      </c>
      <c r="EU229" t="s">
        <v>335</v>
      </c>
      <c r="EV229" t="s">
        <v>336</v>
      </c>
      <c r="EW229" t="s">
        <v>336</v>
      </c>
      <c r="EX229" t="s">
        <v>336</v>
      </c>
      <c r="EY229" t="s">
        <v>336</v>
      </c>
      <c r="EZ229">
        <v>0</v>
      </c>
      <c r="FA229">
        <v>100</v>
      </c>
      <c r="FB229">
        <v>100</v>
      </c>
      <c r="FC229">
        <v>6.231</v>
      </c>
      <c r="FD229">
        <v>0.0806</v>
      </c>
      <c r="FE229">
        <v>6.23135000000002</v>
      </c>
      <c r="FF229">
        <v>0</v>
      </c>
      <c r="FG229">
        <v>0</v>
      </c>
      <c r="FH229">
        <v>0</v>
      </c>
      <c r="FI229">
        <v>0.08059047619047632</v>
      </c>
      <c r="FJ229">
        <v>0</v>
      </c>
      <c r="FK229">
        <v>0</v>
      </c>
      <c r="FL229">
        <v>0</v>
      </c>
      <c r="FM229">
        <v>-1</v>
      </c>
      <c r="FN229">
        <v>-1</v>
      </c>
      <c r="FO229">
        <v>-1</v>
      </c>
      <c r="FP229">
        <v>-1</v>
      </c>
      <c r="FQ229">
        <v>213.5</v>
      </c>
      <c r="FR229">
        <v>213.6</v>
      </c>
      <c r="FS229">
        <v>0.140381</v>
      </c>
      <c r="FT229">
        <v>4.99756</v>
      </c>
      <c r="FU229">
        <v>1.5979</v>
      </c>
      <c r="FV229">
        <v>2.1106</v>
      </c>
      <c r="FW229">
        <v>1.54785</v>
      </c>
      <c r="FX229">
        <v>2.39624</v>
      </c>
      <c r="FY229">
        <v>49.0753</v>
      </c>
      <c r="FZ229">
        <v>14.6311</v>
      </c>
      <c r="GA229">
        <v>3</v>
      </c>
      <c r="GB229">
        <v>520.914</v>
      </c>
      <c r="GC229">
        <v>283.518</v>
      </c>
      <c r="GD229">
        <v>25.9381</v>
      </c>
      <c r="GE229">
        <v>39.2666</v>
      </c>
      <c r="GF229">
        <v>30.0003</v>
      </c>
      <c r="GG229">
        <v>39.0425</v>
      </c>
      <c r="GH229">
        <v>39.01</v>
      </c>
      <c r="GI229">
        <v>-1</v>
      </c>
      <c r="GJ229">
        <v>100</v>
      </c>
      <c r="GK229">
        <v>0</v>
      </c>
      <c r="GL229">
        <v>25.9417</v>
      </c>
      <c r="GM229">
        <v>1200</v>
      </c>
      <c r="GN229">
        <v>19.4378</v>
      </c>
      <c r="GO229">
        <v>100.787</v>
      </c>
      <c r="GP229">
        <v>96.0223</v>
      </c>
    </row>
    <row r="230" spans="1:198">
      <c r="A230">
        <v>214</v>
      </c>
      <c r="B230">
        <v>1773208881.6</v>
      </c>
      <c r="C230">
        <v>12781.59999990463</v>
      </c>
      <c r="D230" t="s">
        <v>761</v>
      </c>
      <c r="E230" t="s">
        <v>762</v>
      </c>
      <c r="F230">
        <v>15</v>
      </c>
      <c r="G230">
        <v>1773208873.599999</v>
      </c>
      <c r="H230">
        <f>(I230)/1000</f>
        <v>0</v>
      </c>
      <c r="I230">
        <f>1000*AY230*AG230*(AU230-AV230)/(100*AN230*(1000-AG230*AU230))</f>
        <v>0</v>
      </c>
      <c r="J230">
        <f>AY230*AG230*(AT230-AS230*(1000-AG230*AV230)/(1000-AG230*AU230))/(100*AN230)</f>
        <v>0</v>
      </c>
      <c r="K230">
        <f>AS230 - IF(AG230&gt;1, J230*AN230*100.0/(AI230), 0)</f>
        <v>0</v>
      </c>
      <c r="L230">
        <f>((R230-H230/2)*K230-J230)/(R230+H230/2)</f>
        <v>0</v>
      </c>
      <c r="M230">
        <f>L230*(AZ230+BA230)/1000.0</f>
        <v>0</v>
      </c>
      <c r="N230">
        <f>(AS230 - IF(AG230&gt;1, J230*AN230*100.0/(AI230), 0))*(AZ230+BA230)/1000.0</f>
        <v>0</v>
      </c>
      <c r="O230">
        <f>2.0/((1/Q230-1/P230)+SIGN(Q230)*SQRT((1/Q230-1/P230)*(1/Q230-1/P230) + 4*AO230/((AO230+1)*(AO230+1))*(2*1/Q230*1/P230-1/P230*1/P230)))</f>
        <v>0</v>
      </c>
      <c r="P230">
        <f>IF(LEFT(AP230,1)&lt;&gt;"0",IF(LEFT(AP230,1)="1",3.0,AQ230),$D$5+$E$5*(BG230*AZ230/($K$5*1000))+$F$5*(BG230*AZ230/($K$5*1000))*MAX(MIN(AN230,$J$5),$I$5)*MAX(MIN(AN230,$J$5),$I$5)+$G$5*MAX(MIN(AN230,$J$5),$I$5)*(BG230*AZ230/($K$5*1000))+$H$5*(BG230*AZ230/($K$5*1000))*(BG230*AZ230/($K$5*1000)))</f>
        <v>0</v>
      </c>
      <c r="Q230">
        <f>H230*(1000-(1000*0.61365*exp(17.502*U230/(240.97+U230))/(AZ230+BA230)+AU230)/2)/(1000*0.61365*exp(17.502*U230/(240.97+U230))/(AZ230+BA230)-AU230)</f>
        <v>0</v>
      </c>
      <c r="R230">
        <f>1/((AO230+1)/(O230/1.6)+1/(P230/1.37)) + AO230/((AO230+1)/(O230/1.6) + AO230/(P230/1.37))</f>
        <v>0</v>
      </c>
      <c r="S230">
        <f>(AJ230*AM230)</f>
        <v>0</v>
      </c>
      <c r="T230">
        <f>(BB230+(S230+2*0.95*5.67E-8*(((BB230+$B$7)+273)^4-(BB230+273)^4)-44100*H230)/(1.84*29.3*P230+8*0.95*5.67E-8*(BB230+273)^3))</f>
        <v>0</v>
      </c>
      <c r="U230">
        <f>($C$7*BC230+$D$7*BD230+$E$7*T230)</f>
        <v>0</v>
      </c>
      <c r="V230">
        <f>0.61365*exp(17.502*U230/(240.97+U230))</f>
        <v>0</v>
      </c>
      <c r="W230">
        <f>(X230/Y230*100)</f>
        <v>0</v>
      </c>
      <c r="X230">
        <f>AU230*(AZ230+BA230)/1000</f>
        <v>0</v>
      </c>
      <c r="Y230">
        <f>0.61365*exp(17.502*BB230/(240.97+BB230))</f>
        <v>0</v>
      </c>
      <c r="Z230">
        <f>(V230-AU230*(AZ230+BA230)/1000)</f>
        <v>0</v>
      </c>
      <c r="AA230">
        <f>(-H230*44100)</f>
        <v>0</v>
      </c>
      <c r="AB230">
        <f>2*29.3*P230*0.92*(BB230-U230)</f>
        <v>0</v>
      </c>
      <c r="AC230">
        <f>2*0.95*5.67E-8*(((BB230+$B$7)+273)^4-(U230+273)^4)</f>
        <v>0</v>
      </c>
      <c r="AD230">
        <f>S230+AC230+AA230+AB230</f>
        <v>0</v>
      </c>
      <c r="AE230">
        <v>0</v>
      </c>
      <c r="AF230">
        <v>0</v>
      </c>
      <c r="AG230">
        <f>IF(AE230*$H$13&gt;=AI230,1.0,(AI230/(AI230-AE230*$H$13)))</f>
        <v>0</v>
      </c>
      <c r="AH230">
        <f>(AG230-1)*100</f>
        <v>0</v>
      </c>
      <c r="AI230">
        <f>MAX(0,($B$13+$C$13*BG230)/(1+$D$13*BG230)*AZ230/(BB230+273)*$E$13)</f>
        <v>0</v>
      </c>
      <c r="AJ230">
        <f>$B$11*BH230+$C$11*BI230+$D$11*BT230</f>
        <v>0</v>
      </c>
      <c r="AK230">
        <f>AJ230*AL230</f>
        <v>0</v>
      </c>
      <c r="AL230">
        <f>($B$11*$D$9+$C$11*$D$9+$D$11*(BU230*$E$9+BV230*$G$9))/($B$11+$C$11+$D$11)</f>
        <v>0</v>
      </c>
      <c r="AM230">
        <f>($B$11*$K$9+$C$11*$K$9+$D$11*(BU230*$L$9+BV230*$N$9))/($B$11+$C$11+$D$11)</f>
        <v>0</v>
      </c>
      <c r="AN230">
        <v>3</v>
      </c>
      <c r="AO230">
        <v>0.5</v>
      </c>
      <c r="AP230" t="s">
        <v>331</v>
      </c>
      <c r="AQ230">
        <v>2</v>
      </c>
      <c r="AR230">
        <v>1773208873.599999</v>
      </c>
      <c r="AS230">
        <v>418.0596129032259</v>
      </c>
      <c r="AT230">
        <v>415.6409032258065</v>
      </c>
      <c r="AU230">
        <v>14.91347096774194</v>
      </c>
      <c r="AV230">
        <v>14.82571935483871</v>
      </c>
      <c r="AW230">
        <v>411.8282580645161</v>
      </c>
      <c r="AX230">
        <v>14.83288064516129</v>
      </c>
      <c r="AY230">
        <v>500.0507096774194</v>
      </c>
      <c r="AZ230">
        <v>99.95416774193548</v>
      </c>
      <c r="BA230">
        <v>0.0452646258064516</v>
      </c>
      <c r="BB230">
        <v>30.79487096774194</v>
      </c>
      <c r="BC230">
        <v>31.15409677419354</v>
      </c>
      <c r="BD230">
        <v>999.9000000000003</v>
      </c>
      <c r="BE230">
        <v>0</v>
      </c>
      <c r="BF230">
        <v>0</v>
      </c>
      <c r="BG230">
        <v>5002.822580645161</v>
      </c>
      <c r="BH230">
        <v>1.04047164516129</v>
      </c>
      <c r="BI230">
        <v>1760.868064516129</v>
      </c>
      <c r="BJ230">
        <v>2.418666129032258</v>
      </c>
      <c r="BK230">
        <v>424.3886451612903</v>
      </c>
      <c r="BL230">
        <v>421.895935483871</v>
      </c>
      <c r="BM230">
        <v>0.08775308387096774</v>
      </c>
      <c r="BN230">
        <v>415.6409032258065</v>
      </c>
      <c r="BO230">
        <v>14.82571935483871</v>
      </c>
      <c r="BP230">
        <v>1.490663225806452</v>
      </c>
      <c r="BQ230">
        <v>1.481892580645161</v>
      </c>
      <c r="BR230">
        <v>12.87272903225806</v>
      </c>
      <c r="BS230">
        <v>12.7826</v>
      </c>
      <c r="BT230">
        <v>0</v>
      </c>
      <c r="BU230">
        <v>0</v>
      </c>
      <c r="BV230">
        <v>0</v>
      </c>
      <c r="BW230">
        <v>36.43225483870967</v>
      </c>
      <c r="BX230">
        <v>60.89247419354838</v>
      </c>
      <c r="BY230">
        <v>1773196010</v>
      </c>
      <c r="BZ230" t="s">
        <v>332</v>
      </c>
      <c r="CA230">
        <v>1773196010</v>
      </c>
      <c r="CB230">
        <v>1773196005.5</v>
      </c>
      <c r="CC230">
        <v>2</v>
      </c>
      <c r="CD230">
        <v>-0.279</v>
      </c>
      <c r="CE230">
        <v>-0.021</v>
      </c>
      <c r="CF230">
        <v>6.231</v>
      </c>
      <c r="CG230">
        <v>0.081</v>
      </c>
      <c r="CH230">
        <v>432</v>
      </c>
      <c r="CI230">
        <v>21</v>
      </c>
      <c r="CJ230">
        <v>0.03</v>
      </c>
      <c r="CK230">
        <v>0.06</v>
      </c>
      <c r="CL230">
        <v>415.6419666666667</v>
      </c>
      <c r="CM230">
        <v>-0.1135394883206377</v>
      </c>
      <c r="CN230">
        <v>0.01997745952039088</v>
      </c>
      <c r="CO230">
        <v>-1</v>
      </c>
      <c r="CP230">
        <v>500.0574</v>
      </c>
      <c r="CQ230">
        <v>-0.725659621801076</v>
      </c>
      <c r="CR230">
        <v>0.09280754279690948</v>
      </c>
      <c r="CS230">
        <v>-1</v>
      </c>
      <c r="CT230">
        <v>0</v>
      </c>
      <c r="CU230">
        <v>0</v>
      </c>
      <c r="CV230" t="s">
        <v>333</v>
      </c>
      <c r="CW230">
        <v>3.17179</v>
      </c>
      <c r="CX230">
        <v>2.66587</v>
      </c>
      <c r="CY230">
        <v>0.0977765</v>
      </c>
      <c r="CZ230">
        <v>0.0985255</v>
      </c>
      <c r="DA230">
        <v>0.07863199999999999</v>
      </c>
      <c r="DB230">
        <v>0.0783567</v>
      </c>
      <c r="DC230">
        <v>21288.7</v>
      </c>
      <c r="DD230">
        <v>21886.6</v>
      </c>
      <c r="DE230">
        <v>22755.9</v>
      </c>
      <c r="DF230">
        <v>22232.9</v>
      </c>
      <c r="DG230">
        <v>31716</v>
      </c>
      <c r="DH230">
        <v>28862.1</v>
      </c>
      <c r="DI230">
        <v>40064.1</v>
      </c>
      <c r="DJ230">
        <v>36769.2</v>
      </c>
      <c r="DK230">
        <v>2.0129</v>
      </c>
      <c r="DL230">
        <v>1.47356</v>
      </c>
      <c r="DM230">
        <v>-0.1192</v>
      </c>
      <c r="DN230">
        <v>0</v>
      </c>
      <c r="DO230">
        <v>33.084</v>
      </c>
      <c r="DP230">
        <v>999.9</v>
      </c>
      <c r="DQ230">
        <v>22.2</v>
      </c>
      <c r="DR230">
        <v>46.8</v>
      </c>
      <c r="DS230">
        <v>23.475</v>
      </c>
      <c r="DT230">
        <v>30.6992</v>
      </c>
      <c r="DU230">
        <v>14.4872</v>
      </c>
      <c r="DV230">
        <v>1</v>
      </c>
      <c r="DW230">
        <v>1.01864</v>
      </c>
      <c r="DX230">
        <v>5.51979</v>
      </c>
      <c r="DY230">
        <v>20.2554</v>
      </c>
      <c r="DZ230">
        <v>5.21118</v>
      </c>
      <c r="EA230">
        <v>11.8598</v>
      </c>
      <c r="EB230">
        <v>4.96772</v>
      </c>
      <c r="EC230">
        <v>3.29296</v>
      </c>
      <c r="ED230">
        <v>879.4</v>
      </c>
      <c r="EE230">
        <v>9999</v>
      </c>
      <c r="EF230">
        <v>9999</v>
      </c>
      <c r="EG230">
        <v>79.59999999999999</v>
      </c>
      <c r="EH230">
        <v>4.97155</v>
      </c>
      <c r="EI230">
        <v>1.8721</v>
      </c>
      <c r="EJ230">
        <v>1.86951</v>
      </c>
      <c r="EK230">
        <v>1.8718</v>
      </c>
      <c r="EL230">
        <v>1.86955</v>
      </c>
      <c r="EM230">
        <v>1.86837</v>
      </c>
      <c r="EN230">
        <v>1.87014</v>
      </c>
      <c r="EO230">
        <v>1.87195</v>
      </c>
      <c r="EP230">
        <v>0</v>
      </c>
      <c r="EQ230">
        <v>0</v>
      </c>
      <c r="ER230">
        <v>0</v>
      </c>
      <c r="ES230">
        <v>0</v>
      </c>
      <c r="ET230" t="s">
        <v>334</v>
      </c>
      <c r="EU230" t="s">
        <v>335</v>
      </c>
      <c r="EV230" t="s">
        <v>336</v>
      </c>
      <c r="EW230" t="s">
        <v>336</v>
      </c>
      <c r="EX230" t="s">
        <v>336</v>
      </c>
      <c r="EY230" t="s">
        <v>336</v>
      </c>
      <c r="EZ230">
        <v>0</v>
      </c>
      <c r="FA230">
        <v>100</v>
      </c>
      <c r="FB230">
        <v>100</v>
      </c>
      <c r="FC230">
        <v>6.231</v>
      </c>
      <c r="FD230">
        <v>0.0806</v>
      </c>
      <c r="FE230">
        <v>6.23135000000002</v>
      </c>
      <c r="FF230">
        <v>0</v>
      </c>
      <c r="FG230">
        <v>0</v>
      </c>
      <c r="FH230">
        <v>0</v>
      </c>
      <c r="FI230">
        <v>0.08059047619047632</v>
      </c>
      <c r="FJ230">
        <v>0</v>
      </c>
      <c r="FK230">
        <v>0</v>
      </c>
      <c r="FL230">
        <v>0</v>
      </c>
      <c r="FM230">
        <v>-1</v>
      </c>
      <c r="FN230">
        <v>-1</v>
      </c>
      <c r="FO230">
        <v>-1</v>
      </c>
      <c r="FP230">
        <v>-1</v>
      </c>
      <c r="FQ230">
        <v>214.5</v>
      </c>
      <c r="FR230">
        <v>214.6</v>
      </c>
      <c r="FS230">
        <v>0.140381</v>
      </c>
      <c r="FT230">
        <v>4.99756</v>
      </c>
      <c r="FU230">
        <v>1.5979</v>
      </c>
      <c r="FV230">
        <v>2.10938</v>
      </c>
      <c r="FW230">
        <v>1.54785</v>
      </c>
      <c r="FX230">
        <v>2.51465</v>
      </c>
      <c r="FY230">
        <v>49.1379</v>
      </c>
      <c r="FZ230">
        <v>14.6486</v>
      </c>
      <c r="GA230">
        <v>3</v>
      </c>
      <c r="GB230">
        <v>520.886</v>
      </c>
      <c r="GC230">
        <v>283.048</v>
      </c>
      <c r="GD230">
        <v>26.4008</v>
      </c>
      <c r="GE230">
        <v>39.3076</v>
      </c>
      <c r="GF230">
        <v>29.9999</v>
      </c>
      <c r="GG230">
        <v>39.0874</v>
      </c>
      <c r="GH230">
        <v>39.0488</v>
      </c>
      <c r="GI230">
        <v>-1</v>
      </c>
      <c r="GJ230">
        <v>100</v>
      </c>
      <c r="GK230">
        <v>0</v>
      </c>
      <c r="GL230">
        <v>26.406</v>
      </c>
      <c r="GM230">
        <v>1200</v>
      </c>
      <c r="GN230">
        <v>19.4378</v>
      </c>
      <c r="GO230">
        <v>100.782</v>
      </c>
      <c r="GP230">
        <v>96.01949999999999</v>
      </c>
    </row>
    <row r="231" spans="1:198">
      <c r="A231">
        <v>215</v>
      </c>
      <c r="B231">
        <v>1773208942</v>
      </c>
      <c r="C231">
        <v>12842</v>
      </c>
      <c r="D231" t="s">
        <v>763</v>
      </c>
      <c r="E231" t="s">
        <v>764</v>
      </c>
      <c r="F231">
        <v>15</v>
      </c>
      <c r="G231">
        <v>1773208934.080645</v>
      </c>
      <c r="H231">
        <f>(I231)/1000</f>
        <v>0</v>
      </c>
      <c r="I231">
        <f>1000*AY231*AG231*(AU231-AV231)/(100*AN231*(1000-AG231*AU231))</f>
        <v>0</v>
      </c>
      <c r="J231">
        <f>AY231*AG231*(AT231-AS231*(1000-AG231*AV231)/(1000-AG231*AU231))/(100*AN231)</f>
        <v>0</v>
      </c>
      <c r="K231">
        <f>AS231 - IF(AG231&gt;1, J231*AN231*100.0/(AI231), 0)</f>
        <v>0</v>
      </c>
      <c r="L231">
        <f>((R231-H231/2)*K231-J231)/(R231+H231/2)</f>
        <v>0</v>
      </c>
      <c r="M231">
        <f>L231*(AZ231+BA231)/1000.0</f>
        <v>0</v>
      </c>
      <c r="N231">
        <f>(AS231 - IF(AG231&gt;1, J231*AN231*100.0/(AI231), 0))*(AZ231+BA231)/1000.0</f>
        <v>0</v>
      </c>
      <c r="O231">
        <f>2.0/((1/Q231-1/P231)+SIGN(Q231)*SQRT((1/Q231-1/P231)*(1/Q231-1/P231) + 4*AO231/((AO231+1)*(AO231+1))*(2*1/Q231*1/P231-1/P231*1/P231)))</f>
        <v>0</v>
      </c>
      <c r="P231">
        <f>IF(LEFT(AP231,1)&lt;&gt;"0",IF(LEFT(AP231,1)="1",3.0,AQ231),$D$5+$E$5*(BG231*AZ231/($K$5*1000))+$F$5*(BG231*AZ231/($K$5*1000))*MAX(MIN(AN231,$J$5),$I$5)*MAX(MIN(AN231,$J$5),$I$5)+$G$5*MAX(MIN(AN231,$J$5),$I$5)*(BG231*AZ231/($K$5*1000))+$H$5*(BG231*AZ231/($K$5*1000))*(BG231*AZ231/($K$5*1000)))</f>
        <v>0</v>
      </c>
      <c r="Q231">
        <f>H231*(1000-(1000*0.61365*exp(17.502*U231/(240.97+U231))/(AZ231+BA231)+AU231)/2)/(1000*0.61365*exp(17.502*U231/(240.97+U231))/(AZ231+BA231)-AU231)</f>
        <v>0</v>
      </c>
      <c r="R231">
        <f>1/((AO231+1)/(O231/1.6)+1/(P231/1.37)) + AO231/((AO231+1)/(O231/1.6) + AO231/(P231/1.37))</f>
        <v>0</v>
      </c>
      <c r="S231">
        <f>(AJ231*AM231)</f>
        <v>0</v>
      </c>
      <c r="T231">
        <f>(BB231+(S231+2*0.95*5.67E-8*(((BB231+$B$7)+273)^4-(BB231+273)^4)-44100*H231)/(1.84*29.3*P231+8*0.95*5.67E-8*(BB231+273)^3))</f>
        <v>0</v>
      </c>
      <c r="U231">
        <f>($C$7*BC231+$D$7*BD231+$E$7*T231)</f>
        <v>0</v>
      </c>
      <c r="V231">
        <f>0.61365*exp(17.502*U231/(240.97+U231))</f>
        <v>0</v>
      </c>
      <c r="W231">
        <f>(X231/Y231*100)</f>
        <v>0</v>
      </c>
      <c r="X231">
        <f>AU231*(AZ231+BA231)/1000</f>
        <v>0</v>
      </c>
      <c r="Y231">
        <f>0.61365*exp(17.502*BB231/(240.97+BB231))</f>
        <v>0</v>
      </c>
      <c r="Z231">
        <f>(V231-AU231*(AZ231+BA231)/1000)</f>
        <v>0</v>
      </c>
      <c r="AA231">
        <f>(-H231*44100)</f>
        <v>0</v>
      </c>
      <c r="AB231">
        <f>2*29.3*P231*0.92*(BB231-U231)</f>
        <v>0</v>
      </c>
      <c r="AC231">
        <f>2*0.95*5.67E-8*(((BB231+$B$7)+273)^4-(U231+273)^4)</f>
        <v>0</v>
      </c>
      <c r="AD231">
        <f>S231+AC231+AA231+AB231</f>
        <v>0</v>
      </c>
      <c r="AE231">
        <v>0</v>
      </c>
      <c r="AF231">
        <v>0</v>
      </c>
      <c r="AG231">
        <f>IF(AE231*$H$13&gt;=AI231,1.0,(AI231/(AI231-AE231*$H$13)))</f>
        <v>0</v>
      </c>
      <c r="AH231">
        <f>(AG231-1)*100</f>
        <v>0</v>
      </c>
      <c r="AI231">
        <f>MAX(0,($B$13+$C$13*BG231)/(1+$D$13*BG231)*AZ231/(BB231+273)*$E$13)</f>
        <v>0</v>
      </c>
      <c r="AJ231">
        <f>$B$11*BH231+$C$11*BI231+$D$11*BT231</f>
        <v>0</v>
      </c>
      <c r="AK231">
        <f>AJ231*AL231</f>
        <v>0</v>
      </c>
      <c r="AL231">
        <f>($B$11*$D$9+$C$11*$D$9+$D$11*(BU231*$E$9+BV231*$G$9))/($B$11+$C$11+$D$11)</f>
        <v>0</v>
      </c>
      <c r="AM231">
        <f>($B$11*$K$9+$C$11*$K$9+$D$11*(BU231*$L$9+BV231*$N$9))/($B$11+$C$11+$D$11)</f>
        <v>0</v>
      </c>
      <c r="AN231">
        <v>3</v>
      </c>
      <c r="AO231">
        <v>0.5</v>
      </c>
      <c r="AP231" t="s">
        <v>331</v>
      </c>
      <c r="AQ231">
        <v>2</v>
      </c>
      <c r="AR231">
        <v>1773208934.080645</v>
      </c>
      <c r="AS231">
        <v>417.9967741935484</v>
      </c>
      <c r="AT231">
        <v>415.6489677419355</v>
      </c>
      <c r="AU231">
        <v>14.91665161290323</v>
      </c>
      <c r="AV231">
        <v>14.83204193548387</v>
      </c>
      <c r="AW231">
        <v>411.7653548387096</v>
      </c>
      <c r="AX231">
        <v>14.83606129032258</v>
      </c>
      <c r="AY231">
        <v>499.9729677419354</v>
      </c>
      <c r="AZ231">
        <v>99.95171612903226</v>
      </c>
      <c r="BA231">
        <v>0.04598437419354839</v>
      </c>
      <c r="BB231">
        <v>30.80996774193548</v>
      </c>
      <c r="BC231">
        <v>31.1753</v>
      </c>
      <c r="BD231">
        <v>999.9000000000003</v>
      </c>
      <c r="BE231">
        <v>0</v>
      </c>
      <c r="BF231">
        <v>0</v>
      </c>
      <c r="BG231">
        <v>5001.290322580645</v>
      </c>
      <c r="BH231">
        <v>1.032304548387097</v>
      </c>
      <c r="BI231">
        <v>1746.465806451613</v>
      </c>
      <c r="BJ231">
        <v>2.34779064516129</v>
      </c>
      <c r="BK231">
        <v>424.3261935483871</v>
      </c>
      <c r="BL231">
        <v>421.9066774193548</v>
      </c>
      <c r="BM231">
        <v>0.08461352258064517</v>
      </c>
      <c r="BN231">
        <v>415.6489677419355</v>
      </c>
      <c r="BO231">
        <v>14.83204193548387</v>
      </c>
      <c r="BP231">
        <v>1.490945483870968</v>
      </c>
      <c r="BQ231">
        <v>1.482487741935484</v>
      </c>
      <c r="BR231">
        <v>12.87562258064516</v>
      </c>
      <c r="BS231">
        <v>12.78873870967742</v>
      </c>
      <c r="BT231">
        <v>0</v>
      </c>
      <c r="BU231">
        <v>0</v>
      </c>
      <c r="BV231">
        <v>0</v>
      </c>
      <c r="BW231">
        <v>36.00214838709677</v>
      </c>
      <c r="BX231">
        <v>60.99354838709678</v>
      </c>
      <c r="BY231">
        <v>1773196010</v>
      </c>
      <c r="BZ231" t="s">
        <v>332</v>
      </c>
      <c r="CA231">
        <v>1773196010</v>
      </c>
      <c r="CB231">
        <v>1773196005.5</v>
      </c>
      <c r="CC231">
        <v>2</v>
      </c>
      <c r="CD231">
        <v>-0.279</v>
      </c>
      <c r="CE231">
        <v>-0.021</v>
      </c>
      <c r="CF231">
        <v>6.231</v>
      </c>
      <c r="CG231">
        <v>0.081</v>
      </c>
      <c r="CH231">
        <v>432</v>
      </c>
      <c r="CI231">
        <v>21</v>
      </c>
      <c r="CJ231">
        <v>0.03</v>
      </c>
      <c r="CK231">
        <v>0.06</v>
      </c>
      <c r="CL231">
        <v>415.644935483871</v>
      </c>
      <c r="CM231">
        <v>0.2620718404211573</v>
      </c>
      <c r="CN231">
        <v>0.02580814510572669</v>
      </c>
      <c r="CO231">
        <v>-1</v>
      </c>
      <c r="CP231">
        <v>499.9666129032258</v>
      </c>
      <c r="CQ231">
        <v>-2.149779062645006</v>
      </c>
      <c r="CR231">
        <v>0.2483416841602942</v>
      </c>
      <c r="CS231">
        <v>-1</v>
      </c>
      <c r="CT231">
        <v>0</v>
      </c>
      <c r="CU231">
        <v>0</v>
      </c>
      <c r="CV231" t="s">
        <v>333</v>
      </c>
      <c r="CW231">
        <v>3.17223</v>
      </c>
      <c r="CX231">
        <v>2.66866</v>
      </c>
      <c r="CY231">
        <v>0.09776990000000001</v>
      </c>
      <c r="CZ231">
        <v>0.0985332</v>
      </c>
      <c r="DA231">
        <v>0.078671</v>
      </c>
      <c r="DB231">
        <v>0.0783909</v>
      </c>
      <c r="DC231">
        <v>21289.3</v>
      </c>
      <c r="DD231">
        <v>21887.3</v>
      </c>
      <c r="DE231">
        <v>22756.4</v>
      </c>
      <c r="DF231">
        <v>22233.7</v>
      </c>
      <c r="DG231">
        <v>31715.4</v>
      </c>
      <c r="DH231">
        <v>28861.9</v>
      </c>
      <c r="DI231">
        <v>40064.9</v>
      </c>
      <c r="DJ231">
        <v>36770.3</v>
      </c>
      <c r="DK231">
        <v>2.01334</v>
      </c>
      <c r="DL231">
        <v>1.47132</v>
      </c>
      <c r="DM231">
        <v>-0.114584</v>
      </c>
      <c r="DN231">
        <v>0</v>
      </c>
      <c r="DO231">
        <v>33.0465</v>
      </c>
      <c r="DP231">
        <v>999.9</v>
      </c>
      <c r="DQ231">
        <v>22.3</v>
      </c>
      <c r="DR231">
        <v>46.9</v>
      </c>
      <c r="DS231">
        <v>23.7036</v>
      </c>
      <c r="DT231">
        <v>30.6492</v>
      </c>
      <c r="DU231">
        <v>14.5713</v>
      </c>
      <c r="DV231">
        <v>1</v>
      </c>
      <c r="DW231">
        <v>1.01865</v>
      </c>
      <c r="DX231">
        <v>5.62879</v>
      </c>
      <c r="DY231">
        <v>20.2507</v>
      </c>
      <c r="DZ231">
        <v>5.21118</v>
      </c>
      <c r="EA231">
        <v>11.8595</v>
      </c>
      <c r="EB231">
        <v>4.96768</v>
      </c>
      <c r="EC231">
        <v>3.293</v>
      </c>
      <c r="ED231">
        <v>879.4</v>
      </c>
      <c r="EE231">
        <v>9999</v>
      </c>
      <c r="EF231">
        <v>9999</v>
      </c>
      <c r="EG231">
        <v>79.59999999999999</v>
      </c>
      <c r="EH231">
        <v>4.97154</v>
      </c>
      <c r="EI231">
        <v>1.8721</v>
      </c>
      <c r="EJ231">
        <v>1.86951</v>
      </c>
      <c r="EK231">
        <v>1.8718</v>
      </c>
      <c r="EL231">
        <v>1.86958</v>
      </c>
      <c r="EM231">
        <v>1.86837</v>
      </c>
      <c r="EN231">
        <v>1.87012</v>
      </c>
      <c r="EO231">
        <v>1.87194</v>
      </c>
      <c r="EP231">
        <v>0</v>
      </c>
      <c r="EQ231">
        <v>0</v>
      </c>
      <c r="ER231">
        <v>0</v>
      </c>
      <c r="ES231">
        <v>0</v>
      </c>
      <c r="ET231" t="s">
        <v>334</v>
      </c>
      <c r="EU231" t="s">
        <v>335</v>
      </c>
      <c r="EV231" t="s">
        <v>336</v>
      </c>
      <c r="EW231" t="s">
        <v>336</v>
      </c>
      <c r="EX231" t="s">
        <v>336</v>
      </c>
      <c r="EY231" t="s">
        <v>336</v>
      </c>
      <c r="EZ231">
        <v>0</v>
      </c>
      <c r="FA231">
        <v>100</v>
      </c>
      <c r="FB231">
        <v>100</v>
      </c>
      <c r="FC231">
        <v>6.232</v>
      </c>
      <c r="FD231">
        <v>0.0806</v>
      </c>
      <c r="FE231">
        <v>6.23135000000002</v>
      </c>
      <c r="FF231">
        <v>0</v>
      </c>
      <c r="FG231">
        <v>0</v>
      </c>
      <c r="FH231">
        <v>0</v>
      </c>
      <c r="FI231">
        <v>0.08059047619047632</v>
      </c>
      <c r="FJ231">
        <v>0</v>
      </c>
      <c r="FK231">
        <v>0</v>
      </c>
      <c r="FL231">
        <v>0</v>
      </c>
      <c r="FM231">
        <v>-1</v>
      </c>
      <c r="FN231">
        <v>-1</v>
      </c>
      <c r="FO231">
        <v>-1</v>
      </c>
      <c r="FP231">
        <v>-1</v>
      </c>
      <c r="FQ231">
        <v>215.5</v>
      </c>
      <c r="FR231">
        <v>215.6</v>
      </c>
      <c r="FS231">
        <v>0.140381</v>
      </c>
      <c r="FT231">
        <v>4.99756</v>
      </c>
      <c r="FU231">
        <v>1.5979</v>
      </c>
      <c r="FV231">
        <v>2.1106</v>
      </c>
      <c r="FW231">
        <v>1.54785</v>
      </c>
      <c r="FX231">
        <v>2.36572</v>
      </c>
      <c r="FY231">
        <v>49.1379</v>
      </c>
      <c r="FZ231">
        <v>14.6224</v>
      </c>
      <c r="GA231">
        <v>3</v>
      </c>
      <c r="GB231">
        <v>521.258</v>
      </c>
      <c r="GC231">
        <v>282.068</v>
      </c>
      <c r="GD231">
        <v>26.444</v>
      </c>
      <c r="GE231">
        <v>39.3039</v>
      </c>
      <c r="GF231">
        <v>30.0005</v>
      </c>
      <c r="GG231">
        <v>39.0998</v>
      </c>
      <c r="GH231">
        <v>39.0639</v>
      </c>
      <c r="GI231">
        <v>-1</v>
      </c>
      <c r="GJ231">
        <v>100</v>
      </c>
      <c r="GK231">
        <v>0</v>
      </c>
      <c r="GL231">
        <v>26.4211</v>
      </c>
      <c r="GM231">
        <v>1200</v>
      </c>
      <c r="GN231">
        <v>19.4378</v>
      </c>
      <c r="GO231">
        <v>100.784</v>
      </c>
      <c r="GP231">
        <v>96.0228</v>
      </c>
    </row>
    <row r="232" spans="1:198">
      <c r="A232">
        <v>216</v>
      </c>
      <c r="B232">
        <v>1773209002</v>
      </c>
      <c r="C232">
        <v>12902</v>
      </c>
      <c r="D232" t="s">
        <v>765</v>
      </c>
      <c r="E232" t="s">
        <v>766</v>
      </c>
      <c r="F232">
        <v>15</v>
      </c>
      <c r="G232">
        <v>1773208994</v>
      </c>
      <c r="H232">
        <f>(I232)/1000</f>
        <v>0</v>
      </c>
      <c r="I232">
        <f>1000*AY232*AG232*(AU232-AV232)/(100*AN232*(1000-AG232*AU232))</f>
        <v>0</v>
      </c>
      <c r="J232">
        <f>AY232*AG232*(AT232-AS232*(1000-AG232*AV232)/(1000-AG232*AU232))/(100*AN232)</f>
        <v>0</v>
      </c>
      <c r="K232">
        <f>AS232 - IF(AG232&gt;1, J232*AN232*100.0/(AI232), 0)</f>
        <v>0</v>
      </c>
      <c r="L232">
        <f>((R232-H232/2)*K232-J232)/(R232+H232/2)</f>
        <v>0</v>
      </c>
      <c r="M232">
        <f>L232*(AZ232+BA232)/1000.0</f>
        <v>0</v>
      </c>
      <c r="N232">
        <f>(AS232 - IF(AG232&gt;1, J232*AN232*100.0/(AI232), 0))*(AZ232+BA232)/1000.0</f>
        <v>0</v>
      </c>
      <c r="O232">
        <f>2.0/((1/Q232-1/P232)+SIGN(Q232)*SQRT((1/Q232-1/P232)*(1/Q232-1/P232) + 4*AO232/((AO232+1)*(AO232+1))*(2*1/Q232*1/P232-1/P232*1/P232)))</f>
        <v>0</v>
      </c>
      <c r="P232">
        <f>IF(LEFT(AP232,1)&lt;&gt;"0",IF(LEFT(AP232,1)="1",3.0,AQ232),$D$5+$E$5*(BG232*AZ232/($K$5*1000))+$F$5*(BG232*AZ232/($K$5*1000))*MAX(MIN(AN232,$J$5),$I$5)*MAX(MIN(AN232,$J$5),$I$5)+$G$5*MAX(MIN(AN232,$J$5),$I$5)*(BG232*AZ232/($K$5*1000))+$H$5*(BG232*AZ232/($K$5*1000))*(BG232*AZ232/($K$5*1000)))</f>
        <v>0</v>
      </c>
      <c r="Q232">
        <f>H232*(1000-(1000*0.61365*exp(17.502*U232/(240.97+U232))/(AZ232+BA232)+AU232)/2)/(1000*0.61365*exp(17.502*U232/(240.97+U232))/(AZ232+BA232)-AU232)</f>
        <v>0</v>
      </c>
      <c r="R232">
        <f>1/((AO232+1)/(O232/1.6)+1/(P232/1.37)) + AO232/((AO232+1)/(O232/1.6) + AO232/(P232/1.37))</f>
        <v>0</v>
      </c>
      <c r="S232">
        <f>(AJ232*AM232)</f>
        <v>0</v>
      </c>
      <c r="T232">
        <f>(BB232+(S232+2*0.95*5.67E-8*(((BB232+$B$7)+273)^4-(BB232+273)^4)-44100*H232)/(1.84*29.3*P232+8*0.95*5.67E-8*(BB232+273)^3))</f>
        <v>0</v>
      </c>
      <c r="U232">
        <f>($C$7*BC232+$D$7*BD232+$E$7*T232)</f>
        <v>0</v>
      </c>
      <c r="V232">
        <f>0.61365*exp(17.502*U232/(240.97+U232))</f>
        <v>0</v>
      </c>
      <c r="W232">
        <f>(X232/Y232*100)</f>
        <v>0</v>
      </c>
      <c r="X232">
        <f>AU232*(AZ232+BA232)/1000</f>
        <v>0</v>
      </c>
      <c r="Y232">
        <f>0.61365*exp(17.502*BB232/(240.97+BB232))</f>
        <v>0</v>
      </c>
      <c r="Z232">
        <f>(V232-AU232*(AZ232+BA232)/1000)</f>
        <v>0</v>
      </c>
      <c r="AA232">
        <f>(-H232*44100)</f>
        <v>0</v>
      </c>
      <c r="AB232">
        <f>2*29.3*P232*0.92*(BB232-U232)</f>
        <v>0</v>
      </c>
      <c r="AC232">
        <f>2*0.95*5.67E-8*(((BB232+$B$7)+273)^4-(U232+273)^4)</f>
        <v>0</v>
      </c>
      <c r="AD232">
        <f>S232+AC232+AA232+AB232</f>
        <v>0</v>
      </c>
      <c r="AE232">
        <v>0</v>
      </c>
      <c r="AF232">
        <v>0</v>
      </c>
      <c r="AG232">
        <f>IF(AE232*$H$13&gt;=AI232,1.0,(AI232/(AI232-AE232*$H$13)))</f>
        <v>0</v>
      </c>
      <c r="AH232">
        <f>(AG232-1)*100</f>
        <v>0</v>
      </c>
      <c r="AI232">
        <f>MAX(0,($B$13+$C$13*BG232)/(1+$D$13*BG232)*AZ232/(BB232+273)*$E$13)</f>
        <v>0</v>
      </c>
      <c r="AJ232">
        <f>$B$11*BH232+$C$11*BI232+$D$11*BT232</f>
        <v>0</v>
      </c>
      <c r="AK232">
        <f>AJ232*AL232</f>
        <v>0</v>
      </c>
      <c r="AL232">
        <f>($B$11*$D$9+$C$11*$D$9+$D$11*(BU232*$E$9+BV232*$G$9))/($B$11+$C$11+$D$11)</f>
        <v>0</v>
      </c>
      <c r="AM232">
        <f>($B$11*$K$9+$C$11*$K$9+$D$11*(BU232*$L$9+BV232*$N$9))/($B$11+$C$11+$D$11)</f>
        <v>0</v>
      </c>
      <c r="AN232">
        <v>3</v>
      </c>
      <c r="AO232">
        <v>0.5</v>
      </c>
      <c r="AP232" t="s">
        <v>331</v>
      </c>
      <c r="AQ232">
        <v>2</v>
      </c>
      <c r="AR232">
        <v>1773208994</v>
      </c>
      <c r="AS232">
        <v>417.6344193548386</v>
      </c>
      <c r="AT232">
        <v>415.2434838709677</v>
      </c>
      <c r="AU232">
        <v>14.89096129032258</v>
      </c>
      <c r="AV232">
        <v>14.79297741935484</v>
      </c>
      <c r="AW232">
        <v>411.4030645161289</v>
      </c>
      <c r="AX232">
        <v>14.81036451612903</v>
      </c>
      <c r="AY232">
        <v>500.0224193548387</v>
      </c>
      <c r="AZ232">
        <v>99.95370322580644</v>
      </c>
      <c r="BA232">
        <v>0.04730429677419354</v>
      </c>
      <c r="BB232">
        <v>30.78170967741935</v>
      </c>
      <c r="BC232">
        <v>31.10758387096774</v>
      </c>
      <c r="BD232">
        <v>999.9000000000003</v>
      </c>
      <c r="BE232">
        <v>0</v>
      </c>
      <c r="BF232">
        <v>0</v>
      </c>
      <c r="BG232">
        <v>4996.903225806452</v>
      </c>
      <c r="BH232">
        <v>1.063284193548387</v>
      </c>
      <c r="BI232">
        <v>1778.509354838709</v>
      </c>
      <c r="BJ232">
        <v>2.390886774193548</v>
      </c>
      <c r="BK232">
        <v>423.9473548387097</v>
      </c>
      <c r="BL232">
        <v>421.4785161290323</v>
      </c>
      <c r="BM232">
        <v>0.09797785806451612</v>
      </c>
      <c r="BN232">
        <v>415.2434838709677</v>
      </c>
      <c r="BO232">
        <v>14.79297741935484</v>
      </c>
      <c r="BP232">
        <v>1.488407096774194</v>
      </c>
      <c r="BQ232">
        <v>1.478612903225806</v>
      </c>
      <c r="BR232">
        <v>12.84957419354839</v>
      </c>
      <c r="BS232">
        <v>12.74877741935484</v>
      </c>
      <c r="BT232">
        <v>0</v>
      </c>
      <c r="BU232">
        <v>0</v>
      </c>
      <c r="BV232">
        <v>0</v>
      </c>
      <c r="BW232">
        <v>36</v>
      </c>
      <c r="BX232">
        <v>61.87742903225808</v>
      </c>
      <c r="BY232">
        <v>1773196010</v>
      </c>
      <c r="BZ232" t="s">
        <v>332</v>
      </c>
      <c r="CA232">
        <v>1773196010</v>
      </c>
      <c r="CB232">
        <v>1773196005.5</v>
      </c>
      <c r="CC232">
        <v>2</v>
      </c>
      <c r="CD232">
        <v>-0.279</v>
      </c>
      <c r="CE232">
        <v>-0.021</v>
      </c>
      <c r="CF232">
        <v>6.231</v>
      </c>
      <c r="CG232">
        <v>0.081</v>
      </c>
      <c r="CH232">
        <v>432</v>
      </c>
      <c r="CI232">
        <v>21</v>
      </c>
      <c r="CJ232">
        <v>0.03</v>
      </c>
      <c r="CK232">
        <v>0.06</v>
      </c>
      <c r="CL232">
        <v>415.248935483871</v>
      </c>
      <c r="CM232">
        <v>-0.5473548387105974</v>
      </c>
      <c r="CN232">
        <v>0.04683735446364484</v>
      </c>
      <c r="CO232">
        <v>-1</v>
      </c>
      <c r="CP232">
        <v>500.0302903225806</v>
      </c>
      <c r="CQ232">
        <v>0.9451935483872635</v>
      </c>
      <c r="CR232">
        <v>0.1093795385560481</v>
      </c>
      <c r="CS232">
        <v>-1</v>
      </c>
      <c r="CT232">
        <v>0</v>
      </c>
      <c r="CU232">
        <v>0</v>
      </c>
      <c r="CV232" t="s">
        <v>333</v>
      </c>
      <c r="CW232">
        <v>3.17192</v>
      </c>
      <c r="CX232">
        <v>2.66684</v>
      </c>
      <c r="CY232">
        <v>0.0977031</v>
      </c>
      <c r="CZ232">
        <v>0.0984462</v>
      </c>
      <c r="DA232">
        <v>0.0785233</v>
      </c>
      <c r="DB232">
        <v>0.0781926</v>
      </c>
      <c r="DC232">
        <v>21293.5</v>
      </c>
      <c r="DD232">
        <v>21892.6</v>
      </c>
      <c r="DE232">
        <v>22759</v>
      </c>
      <c r="DF232">
        <v>22236.8</v>
      </c>
      <c r="DG232">
        <v>31723.8</v>
      </c>
      <c r="DH232">
        <v>28872.3</v>
      </c>
      <c r="DI232">
        <v>40069</v>
      </c>
      <c r="DJ232">
        <v>36775.6</v>
      </c>
      <c r="DK232">
        <v>2.01356</v>
      </c>
      <c r="DL232">
        <v>1.4723</v>
      </c>
      <c r="DM232">
        <v>-0.110424</v>
      </c>
      <c r="DN232">
        <v>0</v>
      </c>
      <c r="DO232">
        <v>32.8835</v>
      </c>
      <c r="DP232">
        <v>999.9</v>
      </c>
      <c r="DQ232">
        <v>22.3</v>
      </c>
      <c r="DR232">
        <v>46.9</v>
      </c>
      <c r="DS232">
        <v>23.7051</v>
      </c>
      <c r="DT232">
        <v>30.4992</v>
      </c>
      <c r="DU232">
        <v>14.387</v>
      </c>
      <c r="DV232">
        <v>1</v>
      </c>
      <c r="DW232">
        <v>1.01024</v>
      </c>
      <c r="DX232">
        <v>5.29002</v>
      </c>
      <c r="DY232">
        <v>20.2644</v>
      </c>
      <c r="DZ232">
        <v>5.20591</v>
      </c>
      <c r="EA232">
        <v>11.8592</v>
      </c>
      <c r="EB232">
        <v>4.96732</v>
      </c>
      <c r="EC232">
        <v>3.29298</v>
      </c>
      <c r="ED232">
        <v>879.4</v>
      </c>
      <c r="EE232">
        <v>9999</v>
      </c>
      <c r="EF232">
        <v>9999</v>
      </c>
      <c r="EG232">
        <v>79.59999999999999</v>
      </c>
      <c r="EH232">
        <v>4.97154</v>
      </c>
      <c r="EI232">
        <v>1.8721</v>
      </c>
      <c r="EJ232">
        <v>1.8695</v>
      </c>
      <c r="EK232">
        <v>1.8718</v>
      </c>
      <c r="EL232">
        <v>1.86955</v>
      </c>
      <c r="EM232">
        <v>1.86836</v>
      </c>
      <c r="EN232">
        <v>1.87012</v>
      </c>
      <c r="EO232">
        <v>1.87192</v>
      </c>
      <c r="EP232">
        <v>0</v>
      </c>
      <c r="EQ232">
        <v>0</v>
      </c>
      <c r="ER232">
        <v>0</v>
      </c>
      <c r="ES232">
        <v>0</v>
      </c>
      <c r="ET232" t="s">
        <v>334</v>
      </c>
      <c r="EU232" t="s">
        <v>335</v>
      </c>
      <c r="EV232" t="s">
        <v>336</v>
      </c>
      <c r="EW232" t="s">
        <v>336</v>
      </c>
      <c r="EX232" t="s">
        <v>336</v>
      </c>
      <c r="EY232" t="s">
        <v>336</v>
      </c>
      <c r="EZ232">
        <v>0</v>
      </c>
      <c r="FA232">
        <v>100</v>
      </c>
      <c r="FB232">
        <v>100</v>
      </c>
      <c r="FC232">
        <v>6.231</v>
      </c>
      <c r="FD232">
        <v>0.0806</v>
      </c>
      <c r="FE232">
        <v>6.23135000000002</v>
      </c>
      <c r="FF232">
        <v>0</v>
      </c>
      <c r="FG232">
        <v>0</v>
      </c>
      <c r="FH232">
        <v>0</v>
      </c>
      <c r="FI232">
        <v>0.08059047619047632</v>
      </c>
      <c r="FJ232">
        <v>0</v>
      </c>
      <c r="FK232">
        <v>0</v>
      </c>
      <c r="FL232">
        <v>0</v>
      </c>
      <c r="FM232">
        <v>-1</v>
      </c>
      <c r="FN232">
        <v>-1</v>
      </c>
      <c r="FO232">
        <v>-1</v>
      </c>
      <c r="FP232">
        <v>-1</v>
      </c>
      <c r="FQ232">
        <v>216.5</v>
      </c>
      <c r="FR232">
        <v>216.6</v>
      </c>
      <c r="FS232">
        <v>0.140381</v>
      </c>
      <c r="FT232">
        <v>4.99756</v>
      </c>
      <c r="FU232">
        <v>1.5979</v>
      </c>
      <c r="FV232">
        <v>2.10938</v>
      </c>
      <c r="FW232">
        <v>1.54785</v>
      </c>
      <c r="FX232">
        <v>2.38403</v>
      </c>
      <c r="FY232">
        <v>49.0753</v>
      </c>
      <c r="FZ232">
        <v>14.6224</v>
      </c>
      <c r="GA232">
        <v>3</v>
      </c>
      <c r="GB232">
        <v>521.1900000000001</v>
      </c>
      <c r="GC232">
        <v>282.409</v>
      </c>
      <c r="GD232">
        <v>26.4442</v>
      </c>
      <c r="GE232">
        <v>39.243</v>
      </c>
      <c r="GF232">
        <v>29.9992</v>
      </c>
      <c r="GG232">
        <v>39.0708</v>
      </c>
      <c r="GH232">
        <v>39.033</v>
      </c>
      <c r="GI232">
        <v>-1</v>
      </c>
      <c r="GJ232">
        <v>100</v>
      </c>
      <c r="GK232">
        <v>0</v>
      </c>
      <c r="GL232">
        <v>26.465</v>
      </c>
      <c r="GM232">
        <v>1200</v>
      </c>
      <c r="GN232">
        <v>19.4378</v>
      </c>
      <c r="GO232">
        <v>100.795</v>
      </c>
      <c r="GP232">
        <v>96.0363</v>
      </c>
    </row>
    <row r="233" spans="1:198">
      <c r="A233">
        <v>217</v>
      </c>
      <c r="B233">
        <v>1773209062</v>
      </c>
      <c r="C233">
        <v>12962</v>
      </c>
      <c r="D233" t="s">
        <v>767</v>
      </c>
      <c r="E233" t="s">
        <v>768</v>
      </c>
      <c r="F233">
        <v>15</v>
      </c>
      <c r="G233">
        <v>1773209054</v>
      </c>
      <c r="H233">
        <f>(I233)/1000</f>
        <v>0</v>
      </c>
      <c r="I233">
        <f>1000*AY233*AG233*(AU233-AV233)/(100*AN233*(1000-AG233*AU233))</f>
        <v>0</v>
      </c>
      <c r="J233">
        <f>AY233*AG233*(AT233-AS233*(1000-AG233*AV233)/(1000-AG233*AU233))/(100*AN233)</f>
        <v>0</v>
      </c>
      <c r="K233">
        <f>AS233 - IF(AG233&gt;1, J233*AN233*100.0/(AI233), 0)</f>
        <v>0</v>
      </c>
      <c r="L233">
        <f>((R233-H233/2)*K233-J233)/(R233+H233/2)</f>
        <v>0</v>
      </c>
      <c r="M233">
        <f>L233*(AZ233+BA233)/1000.0</f>
        <v>0</v>
      </c>
      <c r="N233">
        <f>(AS233 - IF(AG233&gt;1, J233*AN233*100.0/(AI233), 0))*(AZ233+BA233)/1000.0</f>
        <v>0</v>
      </c>
      <c r="O233">
        <f>2.0/((1/Q233-1/P233)+SIGN(Q233)*SQRT((1/Q233-1/P233)*(1/Q233-1/P233) + 4*AO233/((AO233+1)*(AO233+1))*(2*1/Q233*1/P233-1/P233*1/P233)))</f>
        <v>0</v>
      </c>
      <c r="P233">
        <f>IF(LEFT(AP233,1)&lt;&gt;"0",IF(LEFT(AP233,1)="1",3.0,AQ233),$D$5+$E$5*(BG233*AZ233/($K$5*1000))+$F$5*(BG233*AZ233/($K$5*1000))*MAX(MIN(AN233,$J$5),$I$5)*MAX(MIN(AN233,$J$5),$I$5)+$G$5*MAX(MIN(AN233,$J$5),$I$5)*(BG233*AZ233/($K$5*1000))+$H$5*(BG233*AZ233/($K$5*1000))*(BG233*AZ233/($K$5*1000)))</f>
        <v>0</v>
      </c>
      <c r="Q233">
        <f>H233*(1000-(1000*0.61365*exp(17.502*U233/(240.97+U233))/(AZ233+BA233)+AU233)/2)/(1000*0.61365*exp(17.502*U233/(240.97+U233))/(AZ233+BA233)-AU233)</f>
        <v>0</v>
      </c>
      <c r="R233">
        <f>1/((AO233+1)/(O233/1.6)+1/(P233/1.37)) + AO233/((AO233+1)/(O233/1.6) + AO233/(P233/1.37))</f>
        <v>0</v>
      </c>
      <c r="S233">
        <f>(AJ233*AM233)</f>
        <v>0</v>
      </c>
      <c r="T233">
        <f>(BB233+(S233+2*0.95*5.67E-8*(((BB233+$B$7)+273)^4-(BB233+273)^4)-44100*H233)/(1.84*29.3*P233+8*0.95*5.67E-8*(BB233+273)^3))</f>
        <v>0</v>
      </c>
      <c r="U233">
        <f>($C$7*BC233+$D$7*BD233+$E$7*T233)</f>
        <v>0</v>
      </c>
      <c r="V233">
        <f>0.61365*exp(17.502*U233/(240.97+U233))</f>
        <v>0</v>
      </c>
      <c r="W233">
        <f>(X233/Y233*100)</f>
        <v>0</v>
      </c>
      <c r="X233">
        <f>AU233*(AZ233+BA233)/1000</f>
        <v>0</v>
      </c>
      <c r="Y233">
        <f>0.61365*exp(17.502*BB233/(240.97+BB233))</f>
        <v>0</v>
      </c>
      <c r="Z233">
        <f>(V233-AU233*(AZ233+BA233)/1000)</f>
        <v>0</v>
      </c>
      <c r="AA233">
        <f>(-H233*44100)</f>
        <v>0</v>
      </c>
      <c r="AB233">
        <f>2*29.3*P233*0.92*(BB233-U233)</f>
        <v>0</v>
      </c>
      <c r="AC233">
        <f>2*0.95*5.67E-8*(((BB233+$B$7)+273)^4-(U233+273)^4)</f>
        <v>0</v>
      </c>
      <c r="AD233">
        <f>S233+AC233+AA233+AB233</f>
        <v>0</v>
      </c>
      <c r="AE233">
        <v>0</v>
      </c>
      <c r="AF233">
        <v>0</v>
      </c>
      <c r="AG233">
        <f>IF(AE233*$H$13&gt;=AI233,1.0,(AI233/(AI233-AE233*$H$13)))</f>
        <v>0</v>
      </c>
      <c r="AH233">
        <f>(AG233-1)*100</f>
        <v>0</v>
      </c>
      <c r="AI233">
        <f>MAX(0,($B$13+$C$13*BG233)/(1+$D$13*BG233)*AZ233/(BB233+273)*$E$13)</f>
        <v>0</v>
      </c>
      <c r="AJ233">
        <f>$B$11*BH233+$C$11*BI233+$D$11*BT233</f>
        <v>0</v>
      </c>
      <c r="AK233">
        <f>AJ233*AL233</f>
        <v>0</v>
      </c>
      <c r="AL233">
        <f>($B$11*$D$9+$C$11*$D$9+$D$11*(BU233*$E$9+BV233*$G$9))/($B$11+$C$11+$D$11)</f>
        <v>0</v>
      </c>
      <c r="AM233">
        <f>($B$11*$K$9+$C$11*$K$9+$D$11*(BU233*$L$9+BV233*$N$9))/($B$11+$C$11+$D$11)</f>
        <v>0</v>
      </c>
      <c r="AN233">
        <v>3</v>
      </c>
      <c r="AO233">
        <v>0.5</v>
      </c>
      <c r="AP233" t="s">
        <v>331</v>
      </c>
      <c r="AQ233">
        <v>2</v>
      </c>
      <c r="AR233">
        <v>1773209054</v>
      </c>
      <c r="AS233">
        <v>417.6593548387096</v>
      </c>
      <c r="AT233">
        <v>415.3071612903225</v>
      </c>
      <c r="AU233">
        <v>14.82218387096774</v>
      </c>
      <c r="AV233">
        <v>14.72454193548387</v>
      </c>
      <c r="AW233">
        <v>411.427935483871</v>
      </c>
      <c r="AX233">
        <v>14.74159032258065</v>
      </c>
      <c r="AY233">
        <v>500.0100322580645</v>
      </c>
      <c r="AZ233">
        <v>99.95354838709679</v>
      </c>
      <c r="BA233">
        <v>0.04641613548387098</v>
      </c>
      <c r="BB233">
        <v>30.76675161290323</v>
      </c>
      <c r="BC233">
        <v>31.07904838709678</v>
      </c>
      <c r="BD233">
        <v>999.9000000000003</v>
      </c>
      <c r="BE233">
        <v>0</v>
      </c>
      <c r="BF233">
        <v>0</v>
      </c>
      <c r="BG233">
        <v>5005.693548387097</v>
      </c>
      <c r="BH233">
        <v>1.081626129032258</v>
      </c>
      <c r="BI233">
        <v>1845.011935483871</v>
      </c>
      <c r="BJ233">
        <v>2.352152580645162</v>
      </c>
      <c r="BK233">
        <v>423.943</v>
      </c>
      <c r="BL233">
        <v>421.5137096774194</v>
      </c>
      <c r="BM233">
        <v>0.09764366451612902</v>
      </c>
      <c r="BN233">
        <v>415.3071612903225</v>
      </c>
      <c r="BO233">
        <v>14.72454193548387</v>
      </c>
      <c r="BP233">
        <v>1.481529354838709</v>
      </c>
      <c r="BQ233">
        <v>1.47177064516129</v>
      </c>
      <c r="BR233">
        <v>12.77886129032258</v>
      </c>
      <c r="BS233">
        <v>12.67799677419355</v>
      </c>
      <c r="BT233">
        <v>0</v>
      </c>
      <c r="BU233">
        <v>0</v>
      </c>
      <c r="BV233">
        <v>0</v>
      </c>
      <c r="BW233">
        <v>36</v>
      </c>
      <c r="BX233">
        <v>63.10537741935484</v>
      </c>
      <c r="BY233">
        <v>1773196010</v>
      </c>
      <c r="BZ233" t="s">
        <v>332</v>
      </c>
      <c r="CA233">
        <v>1773196010</v>
      </c>
      <c r="CB233">
        <v>1773196005.5</v>
      </c>
      <c r="CC233">
        <v>2</v>
      </c>
      <c r="CD233">
        <v>-0.279</v>
      </c>
      <c r="CE233">
        <v>-0.021</v>
      </c>
      <c r="CF233">
        <v>6.231</v>
      </c>
      <c r="CG233">
        <v>0.081</v>
      </c>
      <c r="CH233">
        <v>432</v>
      </c>
      <c r="CI233">
        <v>21</v>
      </c>
      <c r="CJ233">
        <v>0.03</v>
      </c>
      <c r="CK233">
        <v>0.06</v>
      </c>
      <c r="CL233">
        <v>415.3093548387097</v>
      </c>
      <c r="CM233">
        <v>-0.08608064516196894</v>
      </c>
      <c r="CN233">
        <v>0.02040010813870143</v>
      </c>
      <c r="CO233">
        <v>-1</v>
      </c>
      <c r="CP233">
        <v>500.0114193548387</v>
      </c>
      <c r="CQ233">
        <v>-0.06609677419498727</v>
      </c>
      <c r="CR233">
        <v>0.05591051271309797</v>
      </c>
      <c r="CS233">
        <v>-1</v>
      </c>
      <c r="CT233">
        <v>0</v>
      </c>
      <c r="CU233">
        <v>0</v>
      </c>
      <c r="CV233" t="s">
        <v>333</v>
      </c>
      <c r="CW233">
        <v>3.17199</v>
      </c>
      <c r="CX233">
        <v>2.66693</v>
      </c>
      <c r="CY233">
        <v>0.0977302</v>
      </c>
      <c r="CZ233">
        <v>0.0984696</v>
      </c>
      <c r="DA233">
        <v>0.0782819</v>
      </c>
      <c r="DB233">
        <v>0.0779615</v>
      </c>
      <c r="DC233">
        <v>21297.7</v>
      </c>
      <c r="DD233">
        <v>21896.5</v>
      </c>
      <c r="DE233">
        <v>22763.6</v>
      </c>
      <c r="DF233">
        <v>22241.1</v>
      </c>
      <c r="DG233">
        <v>31738.3</v>
      </c>
      <c r="DH233">
        <v>28885.8</v>
      </c>
      <c r="DI233">
        <v>40076.7</v>
      </c>
      <c r="DJ233">
        <v>36783.4</v>
      </c>
      <c r="DK233">
        <v>2.01436</v>
      </c>
      <c r="DL233">
        <v>1.47462</v>
      </c>
      <c r="DM233">
        <v>-0.103647</v>
      </c>
      <c r="DN233">
        <v>0</v>
      </c>
      <c r="DO233">
        <v>32.7531</v>
      </c>
      <c r="DP233">
        <v>999.9</v>
      </c>
      <c r="DQ233">
        <v>22.2</v>
      </c>
      <c r="DR233">
        <v>46.9</v>
      </c>
      <c r="DS233">
        <v>23.5956</v>
      </c>
      <c r="DT233">
        <v>30.6792</v>
      </c>
      <c r="DU233">
        <v>14.2428</v>
      </c>
      <c r="DV233">
        <v>1</v>
      </c>
      <c r="DW233">
        <v>0.996283</v>
      </c>
      <c r="DX233">
        <v>4.81131</v>
      </c>
      <c r="DY233">
        <v>20.2811</v>
      </c>
      <c r="DZ233">
        <v>5.21046</v>
      </c>
      <c r="EA233">
        <v>11.8591</v>
      </c>
      <c r="EB233">
        <v>4.96628</v>
      </c>
      <c r="EC233">
        <v>3.29298</v>
      </c>
      <c r="ED233">
        <v>879.4</v>
      </c>
      <c r="EE233">
        <v>9999</v>
      </c>
      <c r="EF233">
        <v>9999</v>
      </c>
      <c r="EG233">
        <v>79.59999999999999</v>
      </c>
      <c r="EH233">
        <v>4.97154</v>
      </c>
      <c r="EI233">
        <v>1.8721</v>
      </c>
      <c r="EJ233">
        <v>1.86951</v>
      </c>
      <c r="EK233">
        <v>1.8718</v>
      </c>
      <c r="EL233">
        <v>1.86956</v>
      </c>
      <c r="EM233">
        <v>1.86836</v>
      </c>
      <c r="EN233">
        <v>1.87014</v>
      </c>
      <c r="EO233">
        <v>1.87194</v>
      </c>
      <c r="EP233">
        <v>0</v>
      </c>
      <c r="EQ233">
        <v>0</v>
      </c>
      <c r="ER233">
        <v>0</v>
      </c>
      <c r="ES233">
        <v>0</v>
      </c>
      <c r="ET233" t="s">
        <v>334</v>
      </c>
      <c r="EU233" t="s">
        <v>335</v>
      </c>
      <c r="EV233" t="s">
        <v>336</v>
      </c>
      <c r="EW233" t="s">
        <v>336</v>
      </c>
      <c r="EX233" t="s">
        <v>336</v>
      </c>
      <c r="EY233" t="s">
        <v>336</v>
      </c>
      <c r="EZ233">
        <v>0</v>
      </c>
      <c r="FA233">
        <v>100</v>
      </c>
      <c r="FB233">
        <v>100</v>
      </c>
      <c r="FC233">
        <v>6.232</v>
      </c>
      <c r="FD233">
        <v>0.0806</v>
      </c>
      <c r="FE233">
        <v>6.23135000000002</v>
      </c>
      <c r="FF233">
        <v>0</v>
      </c>
      <c r="FG233">
        <v>0</v>
      </c>
      <c r="FH233">
        <v>0</v>
      </c>
      <c r="FI233">
        <v>0.08059047619047632</v>
      </c>
      <c r="FJ233">
        <v>0</v>
      </c>
      <c r="FK233">
        <v>0</v>
      </c>
      <c r="FL233">
        <v>0</v>
      </c>
      <c r="FM233">
        <v>-1</v>
      </c>
      <c r="FN233">
        <v>-1</v>
      </c>
      <c r="FO233">
        <v>-1</v>
      </c>
      <c r="FP233">
        <v>-1</v>
      </c>
      <c r="FQ233">
        <v>217.5</v>
      </c>
      <c r="FR233">
        <v>217.6</v>
      </c>
      <c r="FS233">
        <v>0.140381</v>
      </c>
      <c r="FT233">
        <v>4.99756</v>
      </c>
      <c r="FU233">
        <v>1.5979</v>
      </c>
      <c r="FV233">
        <v>2.10938</v>
      </c>
      <c r="FW233">
        <v>1.54785</v>
      </c>
      <c r="FX233">
        <v>2.49023</v>
      </c>
      <c r="FY233">
        <v>48.9503</v>
      </c>
      <c r="FZ233">
        <v>14.6311</v>
      </c>
      <c r="GA233">
        <v>3</v>
      </c>
      <c r="GB233">
        <v>521.1950000000001</v>
      </c>
      <c r="GC233">
        <v>283.246</v>
      </c>
      <c r="GD233">
        <v>26.7577</v>
      </c>
      <c r="GE233">
        <v>39.1308</v>
      </c>
      <c r="GF233">
        <v>29.9991</v>
      </c>
      <c r="GG233">
        <v>38.9988</v>
      </c>
      <c r="GH233">
        <v>38.9683</v>
      </c>
      <c r="GI233">
        <v>-1</v>
      </c>
      <c r="GJ233">
        <v>100</v>
      </c>
      <c r="GK233">
        <v>0</v>
      </c>
      <c r="GL233">
        <v>26.7889</v>
      </c>
      <c r="GM233">
        <v>1200</v>
      </c>
      <c r="GN233">
        <v>19.4378</v>
      </c>
      <c r="GO233">
        <v>100.815</v>
      </c>
      <c r="GP233">
        <v>96.056</v>
      </c>
    </row>
    <row r="234" spans="1:198">
      <c r="A234">
        <v>218</v>
      </c>
      <c r="B234">
        <v>1773209122</v>
      </c>
      <c r="C234">
        <v>13022</v>
      </c>
      <c r="D234" t="s">
        <v>769</v>
      </c>
      <c r="E234" t="s">
        <v>770</v>
      </c>
      <c r="F234">
        <v>15</v>
      </c>
      <c r="G234">
        <v>1773209114</v>
      </c>
      <c r="H234">
        <f>(I234)/1000</f>
        <v>0</v>
      </c>
      <c r="I234">
        <f>1000*AY234*AG234*(AU234-AV234)/(100*AN234*(1000-AG234*AU234))</f>
        <v>0</v>
      </c>
      <c r="J234">
        <f>AY234*AG234*(AT234-AS234*(1000-AG234*AV234)/(1000-AG234*AU234))/(100*AN234)</f>
        <v>0</v>
      </c>
      <c r="K234">
        <f>AS234 - IF(AG234&gt;1, J234*AN234*100.0/(AI234), 0)</f>
        <v>0</v>
      </c>
      <c r="L234">
        <f>((R234-H234/2)*K234-J234)/(R234+H234/2)</f>
        <v>0</v>
      </c>
      <c r="M234">
        <f>L234*(AZ234+BA234)/1000.0</f>
        <v>0</v>
      </c>
      <c r="N234">
        <f>(AS234 - IF(AG234&gt;1, J234*AN234*100.0/(AI234), 0))*(AZ234+BA234)/1000.0</f>
        <v>0</v>
      </c>
      <c r="O234">
        <f>2.0/((1/Q234-1/P234)+SIGN(Q234)*SQRT((1/Q234-1/P234)*(1/Q234-1/P234) + 4*AO234/((AO234+1)*(AO234+1))*(2*1/Q234*1/P234-1/P234*1/P234)))</f>
        <v>0</v>
      </c>
      <c r="P234">
        <f>IF(LEFT(AP234,1)&lt;&gt;"0",IF(LEFT(AP234,1)="1",3.0,AQ234),$D$5+$E$5*(BG234*AZ234/($K$5*1000))+$F$5*(BG234*AZ234/($K$5*1000))*MAX(MIN(AN234,$J$5),$I$5)*MAX(MIN(AN234,$J$5),$I$5)+$G$5*MAX(MIN(AN234,$J$5),$I$5)*(BG234*AZ234/($K$5*1000))+$H$5*(BG234*AZ234/($K$5*1000))*(BG234*AZ234/($K$5*1000)))</f>
        <v>0</v>
      </c>
      <c r="Q234">
        <f>H234*(1000-(1000*0.61365*exp(17.502*U234/(240.97+U234))/(AZ234+BA234)+AU234)/2)/(1000*0.61365*exp(17.502*U234/(240.97+U234))/(AZ234+BA234)-AU234)</f>
        <v>0</v>
      </c>
      <c r="R234">
        <f>1/((AO234+1)/(O234/1.6)+1/(P234/1.37)) + AO234/((AO234+1)/(O234/1.6) + AO234/(P234/1.37))</f>
        <v>0</v>
      </c>
      <c r="S234">
        <f>(AJ234*AM234)</f>
        <v>0</v>
      </c>
      <c r="T234">
        <f>(BB234+(S234+2*0.95*5.67E-8*(((BB234+$B$7)+273)^4-(BB234+273)^4)-44100*H234)/(1.84*29.3*P234+8*0.95*5.67E-8*(BB234+273)^3))</f>
        <v>0</v>
      </c>
      <c r="U234">
        <f>($C$7*BC234+$D$7*BD234+$E$7*T234)</f>
        <v>0</v>
      </c>
      <c r="V234">
        <f>0.61365*exp(17.502*U234/(240.97+U234))</f>
        <v>0</v>
      </c>
      <c r="W234">
        <f>(X234/Y234*100)</f>
        <v>0</v>
      </c>
      <c r="X234">
        <f>AU234*(AZ234+BA234)/1000</f>
        <v>0</v>
      </c>
      <c r="Y234">
        <f>0.61365*exp(17.502*BB234/(240.97+BB234))</f>
        <v>0</v>
      </c>
      <c r="Z234">
        <f>(V234-AU234*(AZ234+BA234)/1000)</f>
        <v>0</v>
      </c>
      <c r="AA234">
        <f>(-H234*44100)</f>
        <v>0</v>
      </c>
      <c r="AB234">
        <f>2*29.3*P234*0.92*(BB234-U234)</f>
        <v>0</v>
      </c>
      <c r="AC234">
        <f>2*0.95*5.67E-8*(((BB234+$B$7)+273)^4-(U234+273)^4)</f>
        <v>0</v>
      </c>
      <c r="AD234">
        <f>S234+AC234+AA234+AB234</f>
        <v>0</v>
      </c>
      <c r="AE234">
        <v>0</v>
      </c>
      <c r="AF234">
        <v>0</v>
      </c>
      <c r="AG234">
        <f>IF(AE234*$H$13&gt;=AI234,1.0,(AI234/(AI234-AE234*$H$13)))</f>
        <v>0</v>
      </c>
      <c r="AH234">
        <f>(AG234-1)*100</f>
        <v>0</v>
      </c>
      <c r="AI234">
        <f>MAX(0,($B$13+$C$13*BG234)/(1+$D$13*BG234)*AZ234/(BB234+273)*$E$13)</f>
        <v>0</v>
      </c>
      <c r="AJ234">
        <f>$B$11*BH234+$C$11*BI234+$D$11*BT234</f>
        <v>0</v>
      </c>
      <c r="AK234">
        <f>AJ234*AL234</f>
        <v>0</v>
      </c>
      <c r="AL234">
        <f>($B$11*$D$9+$C$11*$D$9+$D$11*(BU234*$E$9+BV234*$G$9))/($B$11+$C$11+$D$11)</f>
        <v>0</v>
      </c>
      <c r="AM234">
        <f>($B$11*$K$9+$C$11*$K$9+$D$11*(BU234*$L$9+BV234*$N$9))/($B$11+$C$11+$D$11)</f>
        <v>0</v>
      </c>
      <c r="AN234">
        <v>3</v>
      </c>
      <c r="AO234">
        <v>0.5</v>
      </c>
      <c r="AP234" t="s">
        <v>331</v>
      </c>
      <c r="AQ234">
        <v>2</v>
      </c>
      <c r="AR234">
        <v>1773209114</v>
      </c>
      <c r="AS234">
        <v>417.694064516129</v>
      </c>
      <c r="AT234">
        <v>415.3340967741934</v>
      </c>
      <c r="AU234">
        <v>14.81645806451613</v>
      </c>
      <c r="AV234">
        <v>14.7331935483871</v>
      </c>
      <c r="AW234">
        <v>411.4627741935484</v>
      </c>
      <c r="AX234">
        <v>14.73586451612903</v>
      </c>
      <c r="AY234">
        <v>500.0281935483872</v>
      </c>
      <c r="AZ234">
        <v>99.95083225806451</v>
      </c>
      <c r="BA234">
        <v>0.0457441</v>
      </c>
      <c r="BB234">
        <v>30.7453806451613</v>
      </c>
      <c r="BC234">
        <v>31.05885483870967</v>
      </c>
      <c r="BD234">
        <v>999.9000000000003</v>
      </c>
      <c r="BE234">
        <v>0</v>
      </c>
      <c r="BF234">
        <v>0</v>
      </c>
      <c r="BG234">
        <v>5008.822580645161</v>
      </c>
      <c r="BH234">
        <v>1.099506774193548</v>
      </c>
      <c r="BI234">
        <v>1860.996451612903</v>
      </c>
      <c r="BJ234">
        <v>2.360061290322581</v>
      </c>
      <c r="BK234">
        <v>423.975935483871</v>
      </c>
      <c r="BL234">
        <v>421.5446451612902</v>
      </c>
      <c r="BM234">
        <v>0.08326751612903227</v>
      </c>
      <c r="BN234">
        <v>415.3340967741934</v>
      </c>
      <c r="BO234">
        <v>14.7331935483871</v>
      </c>
      <c r="BP234">
        <v>1.480918064516129</v>
      </c>
      <c r="BQ234">
        <v>1.472596129032258</v>
      </c>
      <c r="BR234">
        <v>12.77256129032259</v>
      </c>
      <c r="BS234">
        <v>12.68655161290322</v>
      </c>
      <c r="BT234">
        <v>0</v>
      </c>
      <c r="BU234">
        <v>0</v>
      </c>
      <c r="BV234">
        <v>0</v>
      </c>
      <c r="BW234">
        <v>36</v>
      </c>
      <c r="BX234">
        <v>63.99462258064516</v>
      </c>
      <c r="BY234">
        <v>1773196010</v>
      </c>
      <c r="BZ234" t="s">
        <v>332</v>
      </c>
      <c r="CA234">
        <v>1773196010</v>
      </c>
      <c r="CB234">
        <v>1773196005.5</v>
      </c>
      <c r="CC234">
        <v>2</v>
      </c>
      <c r="CD234">
        <v>-0.279</v>
      </c>
      <c r="CE234">
        <v>-0.021</v>
      </c>
      <c r="CF234">
        <v>6.231</v>
      </c>
      <c r="CG234">
        <v>0.081</v>
      </c>
      <c r="CH234">
        <v>432</v>
      </c>
      <c r="CI234">
        <v>21</v>
      </c>
      <c r="CJ234">
        <v>0.03</v>
      </c>
      <c r="CK234">
        <v>0.06</v>
      </c>
      <c r="CL234">
        <v>415.3333666666666</v>
      </c>
      <c r="CM234">
        <v>0.2170144605119117</v>
      </c>
      <c r="CN234">
        <v>0.01962903178683763</v>
      </c>
      <c r="CO234">
        <v>-1</v>
      </c>
      <c r="CP234">
        <v>500.0285666666667</v>
      </c>
      <c r="CQ234">
        <v>0.05571523915568052</v>
      </c>
      <c r="CR234">
        <v>0.06741299742796329</v>
      </c>
      <c r="CS234">
        <v>-1</v>
      </c>
      <c r="CT234">
        <v>0</v>
      </c>
      <c r="CU234">
        <v>0</v>
      </c>
      <c r="CV234" t="s">
        <v>333</v>
      </c>
      <c r="CW234">
        <v>3.17189</v>
      </c>
      <c r="CX234">
        <v>2.66636</v>
      </c>
      <c r="CY234">
        <v>0.0977563</v>
      </c>
      <c r="CZ234">
        <v>0.0985061</v>
      </c>
      <c r="DA234">
        <v>0.0783219</v>
      </c>
      <c r="DB234">
        <v>0.0780545</v>
      </c>
      <c r="DC234">
        <v>21301.4</v>
      </c>
      <c r="DD234">
        <v>21899.6</v>
      </c>
      <c r="DE234">
        <v>22767.8</v>
      </c>
      <c r="DF234">
        <v>22244.7</v>
      </c>
      <c r="DG234">
        <v>31742.5</v>
      </c>
      <c r="DH234">
        <v>28888</v>
      </c>
      <c r="DI234">
        <v>40083.6</v>
      </c>
      <c r="DJ234">
        <v>36789.7</v>
      </c>
      <c r="DK234">
        <v>2.0156</v>
      </c>
      <c r="DL234">
        <v>1.47676</v>
      </c>
      <c r="DM234">
        <v>-0.0996649</v>
      </c>
      <c r="DN234">
        <v>0</v>
      </c>
      <c r="DO234">
        <v>32.6873</v>
      </c>
      <c r="DP234">
        <v>999.9</v>
      </c>
      <c r="DQ234">
        <v>22.3</v>
      </c>
      <c r="DR234">
        <v>46.9</v>
      </c>
      <c r="DS234">
        <v>23.7018</v>
      </c>
      <c r="DT234">
        <v>30.0192</v>
      </c>
      <c r="DU234">
        <v>14.379</v>
      </c>
      <c r="DV234">
        <v>1</v>
      </c>
      <c r="DW234">
        <v>0.982746</v>
      </c>
      <c r="DX234">
        <v>4.29133</v>
      </c>
      <c r="DY234">
        <v>20.2983</v>
      </c>
      <c r="DZ234">
        <v>5.21082</v>
      </c>
      <c r="EA234">
        <v>11.8597</v>
      </c>
      <c r="EB234">
        <v>4.96756</v>
      </c>
      <c r="EC234">
        <v>3.29292</v>
      </c>
      <c r="ED234">
        <v>879.4</v>
      </c>
      <c r="EE234">
        <v>9999</v>
      </c>
      <c r="EF234">
        <v>9999</v>
      </c>
      <c r="EG234">
        <v>79.59999999999999</v>
      </c>
      <c r="EH234">
        <v>4.97155</v>
      </c>
      <c r="EI234">
        <v>1.8721</v>
      </c>
      <c r="EJ234">
        <v>1.8695</v>
      </c>
      <c r="EK234">
        <v>1.87179</v>
      </c>
      <c r="EL234">
        <v>1.86954</v>
      </c>
      <c r="EM234">
        <v>1.86836</v>
      </c>
      <c r="EN234">
        <v>1.87013</v>
      </c>
      <c r="EO234">
        <v>1.8719</v>
      </c>
      <c r="EP234">
        <v>0</v>
      </c>
      <c r="EQ234">
        <v>0</v>
      </c>
      <c r="ER234">
        <v>0</v>
      </c>
      <c r="ES234">
        <v>0</v>
      </c>
      <c r="ET234" t="s">
        <v>334</v>
      </c>
      <c r="EU234" t="s">
        <v>335</v>
      </c>
      <c r="EV234" t="s">
        <v>336</v>
      </c>
      <c r="EW234" t="s">
        <v>336</v>
      </c>
      <c r="EX234" t="s">
        <v>336</v>
      </c>
      <c r="EY234" t="s">
        <v>336</v>
      </c>
      <c r="EZ234">
        <v>0</v>
      </c>
      <c r="FA234">
        <v>100</v>
      </c>
      <c r="FB234">
        <v>100</v>
      </c>
      <c r="FC234">
        <v>6.231</v>
      </c>
      <c r="FD234">
        <v>0.0806</v>
      </c>
      <c r="FE234">
        <v>6.23135000000002</v>
      </c>
      <c r="FF234">
        <v>0</v>
      </c>
      <c r="FG234">
        <v>0</v>
      </c>
      <c r="FH234">
        <v>0</v>
      </c>
      <c r="FI234">
        <v>0.08059047619047632</v>
      </c>
      <c r="FJ234">
        <v>0</v>
      </c>
      <c r="FK234">
        <v>0</v>
      </c>
      <c r="FL234">
        <v>0</v>
      </c>
      <c r="FM234">
        <v>-1</v>
      </c>
      <c r="FN234">
        <v>-1</v>
      </c>
      <c r="FO234">
        <v>-1</v>
      </c>
      <c r="FP234">
        <v>-1</v>
      </c>
      <c r="FQ234">
        <v>218.5</v>
      </c>
      <c r="FR234">
        <v>218.6</v>
      </c>
      <c r="FS234">
        <v>0.13916</v>
      </c>
      <c r="FT234">
        <v>4.99756</v>
      </c>
      <c r="FU234">
        <v>1.5979</v>
      </c>
      <c r="FV234">
        <v>2.10938</v>
      </c>
      <c r="FW234">
        <v>1.54785</v>
      </c>
      <c r="FX234">
        <v>2.39868</v>
      </c>
      <c r="FY234">
        <v>48.8569</v>
      </c>
      <c r="FZ234">
        <v>14.6311</v>
      </c>
      <c r="GA234">
        <v>3</v>
      </c>
      <c r="GB234">
        <v>521.4589999999999</v>
      </c>
      <c r="GC234">
        <v>284.008</v>
      </c>
      <c r="GD234">
        <v>27.1641</v>
      </c>
      <c r="GE234">
        <v>39.0186</v>
      </c>
      <c r="GF234">
        <v>29.9994</v>
      </c>
      <c r="GG234">
        <v>38.9242</v>
      </c>
      <c r="GH234">
        <v>38.9061</v>
      </c>
      <c r="GI234">
        <v>-1</v>
      </c>
      <c r="GJ234">
        <v>100</v>
      </c>
      <c r="GK234">
        <v>0</v>
      </c>
      <c r="GL234">
        <v>27.2016</v>
      </c>
      <c r="GM234">
        <v>1200</v>
      </c>
      <c r="GN234">
        <v>19.4378</v>
      </c>
      <c r="GO234">
        <v>100.833</v>
      </c>
      <c r="GP234">
        <v>96.0722</v>
      </c>
    </row>
    <row r="235" spans="1:198">
      <c r="A235">
        <v>219</v>
      </c>
      <c r="B235">
        <v>1773209182</v>
      </c>
      <c r="C235">
        <v>13082</v>
      </c>
      <c r="D235" t="s">
        <v>771</v>
      </c>
      <c r="E235" t="s">
        <v>772</v>
      </c>
      <c r="F235">
        <v>15</v>
      </c>
      <c r="G235">
        <v>1773209174</v>
      </c>
      <c r="H235">
        <f>(I235)/1000</f>
        <v>0</v>
      </c>
      <c r="I235">
        <f>1000*AY235*AG235*(AU235-AV235)/(100*AN235*(1000-AG235*AU235))</f>
        <v>0</v>
      </c>
      <c r="J235">
        <f>AY235*AG235*(AT235-AS235*(1000-AG235*AV235)/(1000-AG235*AU235))/(100*AN235)</f>
        <v>0</v>
      </c>
      <c r="K235">
        <f>AS235 - IF(AG235&gt;1, J235*AN235*100.0/(AI235), 0)</f>
        <v>0</v>
      </c>
      <c r="L235">
        <f>((R235-H235/2)*K235-J235)/(R235+H235/2)</f>
        <v>0</v>
      </c>
      <c r="M235">
        <f>L235*(AZ235+BA235)/1000.0</f>
        <v>0</v>
      </c>
      <c r="N235">
        <f>(AS235 - IF(AG235&gt;1, J235*AN235*100.0/(AI235), 0))*(AZ235+BA235)/1000.0</f>
        <v>0</v>
      </c>
      <c r="O235">
        <f>2.0/((1/Q235-1/P235)+SIGN(Q235)*SQRT((1/Q235-1/P235)*(1/Q235-1/P235) + 4*AO235/((AO235+1)*(AO235+1))*(2*1/Q235*1/P235-1/P235*1/P235)))</f>
        <v>0</v>
      </c>
      <c r="P235">
        <f>IF(LEFT(AP235,1)&lt;&gt;"0",IF(LEFT(AP235,1)="1",3.0,AQ235),$D$5+$E$5*(BG235*AZ235/($K$5*1000))+$F$5*(BG235*AZ235/($K$5*1000))*MAX(MIN(AN235,$J$5),$I$5)*MAX(MIN(AN235,$J$5),$I$5)+$G$5*MAX(MIN(AN235,$J$5),$I$5)*(BG235*AZ235/($K$5*1000))+$H$5*(BG235*AZ235/($K$5*1000))*(BG235*AZ235/($K$5*1000)))</f>
        <v>0</v>
      </c>
      <c r="Q235">
        <f>H235*(1000-(1000*0.61365*exp(17.502*U235/(240.97+U235))/(AZ235+BA235)+AU235)/2)/(1000*0.61365*exp(17.502*U235/(240.97+U235))/(AZ235+BA235)-AU235)</f>
        <v>0</v>
      </c>
      <c r="R235">
        <f>1/((AO235+1)/(O235/1.6)+1/(P235/1.37)) + AO235/((AO235+1)/(O235/1.6) + AO235/(P235/1.37))</f>
        <v>0</v>
      </c>
      <c r="S235">
        <f>(AJ235*AM235)</f>
        <v>0</v>
      </c>
      <c r="T235">
        <f>(BB235+(S235+2*0.95*5.67E-8*(((BB235+$B$7)+273)^4-(BB235+273)^4)-44100*H235)/(1.84*29.3*P235+8*0.95*5.67E-8*(BB235+273)^3))</f>
        <v>0</v>
      </c>
      <c r="U235">
        <f>($C$7*BC235+$D$7*BD235+$E$7*T235)</f>
        <v>0</v>
      </c>
      <c r="V235">
        <f>0.61365*exp(17.502*U235/(240.97+U235))</f>
        <v>0</v>
      </c>
      <c r="W235">
        <f>(X235/Y235*100)</f>
        <v>0</v>
      </c>
      <c r="X235">
        <f>AU235*(AZ235+BA235)/1000</f>
        <v>0</v>
      </c>
      <c r="Y235">
        <f>0.61365*exp(17.502*BB235/(240.97+BB235))</f>
        <v>0</v>
      </c>
      <c r="Z235">
        <f>(V235-AU235*(AZ235+BA235)/1000)</f>
        <v>0</v>
      </c>
      <c r="AA235">
        <f>(-H235*44100)</f>
        <v>0</v>
      </c>
      <c r="AB235">
        <f>2*29.3*P235*0.92*(BB235-U235)</f>
        <v>0</v>
      </c>
      <c r="AC235">
        <f>2*0.95*5.67E-8*(((BB235+$B$7)+273)^4-(U235+273)^4)</f>
        <v>0</v>
      </c>
      <c r="AD235">
        <f>S235+AC235+AA235+AB235</f>
        <v>0</v>
      </c>
      <c r="AE235">
        <v>0</v>
      </c>
      <c r="AF235">
        <v>0</v>
      </c>
      <c r="AG235">
        <f>IF(AE235*$H$13&gt;=AI235,1.0,(AI235/(AI235-AE235*$H$13)))</f>
        <v>0</v>
      </c>
      <c r="AH235">
        <f>(AG235-1)*100</f>
        <v>0</v>
      </c>
      <c r="AI235">
        <f>MAX(0,($B$13+$C$13*BG235)/(1+$D$13*BG235)*AZ235/(BB235+273)*$E$13)</f>
        <v>0</v>
      </c>
      <c r="AJ235">
        <f>$B$11*BH235+$C$11*BI235+$D$11*BT235</f>
        <v>0</v>
      </c>
      <c r="AK235">
        <f>AJ235*AL235</f>
        <v>0</v>
      </c>
      <c r="AL235">
        <f>($B$11*$D$9+$C$11*$D$9+$D$11*(BU235*$E$9+BV235*$G$9))/($B$11+$C$11+$D$11)</f>
        <v>0</v>
      </c>
      <c r="AM235">
        <f>($B$11*$K$9+$C$11*$K$9+$D$11*(BU235*$L$9+BV235*$N$9))/($B$11+$C$11+$D$11)</f>
        <v>0</v>
      </c>
      <c r="AN235">
        <v>3</v>
      </c>
      <c r="AO235">
        <v>0.5</v>
      </c>
      <c r="AP235" t="s">
        <v>331</v>
      </c>
      <c r="AQ235">
        <v>2</v>
      </c>
      <c r="AR235">
        <v>1773209174</v>
      </c>
      <c r="AS235">
        <v>417.8196774193549</v>
      </c>
      <c r="AT235">
        <v>415.4598387096774</v>
      </c>
      <c r="AU235">
        <v>14.87760967741936</v>
      </c>
      <c r="AV235">
        <v>14.80538387096774</v>
      </c>
      <c r="AW235">
        <v>411.5880967741936</v>
      </c>
      <c r="AX235">
        <v>14.79701935483871</v>
      </c>
      <c r="AY235">
        <v>500.000935483871</v>
      </c>
      <c r="AZ235">
        <v>99.95105483870967</v>
      </c>
      <c r="BA235">
        <v>0.04544957741935485</v>
      </c>
      <c r="BB235">
        <v>30.78676129032258</v>
      </c>
      <c r="BC235">
        <v>31.1200064516129</v>
      </c>
      <c r="BD235">
        <v>999.9000000000003</v>
      </c>
      <c r="BE235">
        <v>0</v>
      </c>
      <c r="BF235">
        <v>0</v>
      </c>
      <c r="BG235">
        <v>4996.306451612903</v>
      </c>
      <c r="BH235">
        <v>1.109679032258065</v>
      </c>
      <c r="BI235">
        <v>1825.307741935484</v>
      </c>
      <c r="BJ235">
        <v>2.359637741935484</v>
      </c>
      <c r="BK235">
        <v>424.1295483870967</v>
      </c>
      <c r="BL235">
        <v>421.7033548387097</v>
      </c>
      <c r="BM235">
        <v>0.07222132903225807</v>
      </c>
      <c r="BN235">
        <v>415.4598387096774</v>
      </c>
      <c r="BO235">
        <v>14.80538387096774</v>
      </c>
      <c r="BP235">
        <v>1.487032580645161</v>
      </c>
      <c r="BQ235">
        <v>1.479814838709678</v>
      </c>
      <c r="BR235">
        <v>12.83547741935484</v>
      </c>
      <c r="BS235">
        <v>12.76118064516129</v>
      </c>
      <c r="BT235">
        <v>0</v>
      </c>
      <c r="BU235">
        <v>0</v>
      </c>
      <c r="BV235">
        <v>0</v>
      </c>
      <c r="BW235">
        <v>36</v>
      </c>
      <c r="BX235">
        <v>63</v>
      </c>
      <c r="BY235">
        <v>1773196010</v>
      </c>
      <c r="BZ235" t="s">
        <v>332</v>
      </c>
      <c r="CA235">
        <v>1773196010</v>
      </c>
      <c r="CB235">
        <v>1773196005.5</v>
      </c>
      <c r="CC235">
        <v>2</v>
      </c>
      <c r="CD235">
        <v>-0.279</v>
      </c>
      <c r="CE235">
        <v>-0.021</v>
      </c>
      <c r="CF235">
        <v>6.231</v>
      </c>
      <c r="CG235">
        <v>0.081</v>
      </c>
      <c r="CH235">
        <v>432</v>
      </c>
      <c r="CI235">
        <v>21</v>
      </c>
      <c r="CJ235">
        <v>0.03</v>
      </c>
      <c r="CK235">
        <v>0.06</v>
      </c>
      <c r="CL235">
        <v>415.4613333333333</v>
      </c>
      <c r="CM235">
        <v>-0.4654771968851977</v>
      </c>
      <c r="CN235">
        <v>0.03821285414912713</v>
      </c>
      <c r="CO235">
        <v>-1</v>
      </c>
      <c r="CP235">
        <v>500.0002666666667</v>
      </c>
      <c r="CQ235">
        <v>-0.03070077864466641</v>
      </c>
      <c r="CR235">
        <v>0.04120674162749704</v>
      </c>
      <c r="CS235">
        <v>-1</v>
      </c>
      <c r="CT235">
        <v>0</v>
      </c>
      <c r="CU235">
        <v>0</v>
      </c>
      <c r="CV235" t="s">
        <v>333</v>
      </c>
      <c r="CW235">
        <v>3.172</v>
      </c>
      <c r="CX235">
        <v>2.66624</v>
      </c>
      <c r="CY235">
        <v>0.0977715</v>
      </c>
      <c r="CZ235">
        <v>0.0985217</v>
      </c>
      <c r="DA235">
        <v>0.0785819</v>
      </c>
      <c r="DB235">
        <v>0.0783597</v>
      </c>
      <c r="DC235">
        <v>21301.9</v>
      </c>
      <c r="DD235">
        <v>21899.6</v>
      </c>
      <c r="DE235">
        <v>22768.5</v>
      </c>
      <c r="DF235">
        <v>22245</v>
      </c>
      <c r="DG235">
        <v>31734.5</v>
      </c>
      <c r="DH235">
        <v>28878.9</v>
      </c>
      <c r="DI235">
        <v>40084.6</v>
      </c>
      <c r="DJ235">
        <v>36790.1</v>
      </c>
      <c r="DK235">
        <v>2.01606</v>
      </c>
      <c r="DL235">
        <v>1.47728</v>
      </c>
      <c r="DM235">
        <v>-0.102687</v>
      </c>
      <c r="DN235">
        <v>0</v>
      </c>
      <c r="DO235">
        <v>32.7648</v>
      </c>
      <c r="DP235">
        <v>999.9</v>
      </c>
      <c r="DQ235">
        <v>22.4</v>
      </c>
      <c r="DR235">
        <v>46.9</v>
      </c>
      <c r="DS235">
        <v>23.8083</v>
      </c>
      <c r="DT235">
        <v>30.3192</v>
      </c>
      <c r="DU235">
        <v>14.1226</v>
      </c>
      <c r="DV235">
        <v>1</v>
      </c>
      <c r="DW235">
        <v>0.9844349999999999</v>
      </c>
      <c r="DX235">
        <v>4.83875</v>
      </c>
      <c r="DY235">
        <v>20.2802</v>
      </c>
      <c r="DZ235">
        <v>5.20807</v>
      </c>
      <c r="EA235">
        <v>11.8589</v>
      </c>
      <c r="EB235">
        <v>4.96744</v>
      </c>
      <c r="EC235">
        <v>3.29298</v>
      </c>
      <c r="ED235">
        <v>879.4</v>
      </c>
      <c r="EE235">
        <v>9999</v>
      </c>
      <c r="EF235">
        <v>9999</v>
      </c>
      <c r="EG235">
        <v>79.7</v>
      </c>
      <c r="EH235">
        <v>4.97155</v>
      </c>
      <c r="EI235">
        <v>1.8721</v>
      </c>
      <c r="EJ235">
        <v>1.8695</v>
      </c>
      <c r="EK235">
        <v>1.8718</v>
      </c>
      <c r="EL235">
        <v>1.86961</v>
      </c>
      <c r="EM235">
        <v>1.86839</v>
      </c>
      <c r="EN235">
        <v>1.87013</v>
      </c>
      <c r="EO235">
        <v>1.8719</v>
      </c>
      <c r="EP235">
        <v>0</v>
      </c>
      <c r="EQ235">
        <v>0</v>
      </c>
      <c r="ER235">
        <v>0</v>
      </c>
      <c r="ES235">
        <v>0</v>
      </c>
      <c r="ET235" t="s">
        <v>334</v>
      </c>
      <c r="EU235" t="s">
        <v>335</v>
      </c>
      <c r="EV235" t="s">
        <v>336</v>
      </c>
      <c r="EW235" t="s">
        <v>336</v>
      </c>
      <c r="EX235" t="s">
        <v>336</v>
      </c>
      <c r="EY235" t="s">
        <v>336</v>
      </c>
      <c r="EZ235">
        <v>0</v>
      </c>
      <c r="FA235">
        <v>100</v>
      </c>
      <c r="FB235">
        <v>100</v>
      </c>
      <c r="FC235">
        <v>6.231</v>
      </c>
      <c r="FD235">
        <v>0.0806</v>
      </c>
      <c r="FE235">
        <v>6.23135000000002</v>
      </c>
      <c r="FF235">
        <v>0</v>
      </c>
      <c r="FG235">
        <v>0</v>
      </c>
      <c r="FH235">
        <v>0</v>
      </c>
      <c r="FI235">
        <v>0.08059047619047632</v>
      </c>
      <c r="FJ235">
        <v>0</v>
      </c>
      <c r="FK235">
        <v>0</v>
      </c>
      <c r="FL235">
        <v>0</v>
      </c>
      <c r="FM235">
        <v>-1</v>
      </c>
      <c r="FN235">
        <v>-1</v>
      </c>
      <c r="FO235">
        <v>-1</v>
      </c>
      <c r="FP235">
        <v>-1</v>
      </c>
      <c r="FQ235">
        <v>219.5</v>
      </c>
      <c r="FR235">
        <v>219.6</v>
      </c>
      <c r="FS235">
        <v>0.13916</v>
      </c>
      <c r="FT235">
        <v>4.99756</v>
      </c>
      <c r="FU235">
        <v>1.5979</v>
      </c>
      <c r="FV235">
        <v>2.10938</v>
      </c>
      <c r="FW235">
        <v>1.54785</v>
      </c>
      <c r="FX235">
        <v>2.51221</v>
      </c>
      <c r="FY235">
        <v>48.8569</v>
      </c>
      <c r="FZ235">
        <v>14.6136</v>
      </c>
      <c r="GA235">
        <v>3</v>
      </c>
      <c r="GB235">
        <v>521.498</v>
      </c>
      <c r="GC235">
        <v>284.167</v>
      </c>
      <c r="GD235">
        <v>26.7747</v>
      </c>
      <c r="GE235">
        <v>38.9652</v>
      </c>
      <c r="GF235">
        <v>29.9979</v>
      </c>
      <c r="GG235">
        <v>38.8882</v>
      </c>
      <c r="GH235">
        <v>38.8836</v>
      </c>
      <c r="GI235">
        <v>-1</v>
      </c>
      <c r="GJ235">
        <v>100</v>
      </c>
      <c r="GK235">
        <v>0</v>
      </c>
      <c r="GL235">
        <v>26.8366</v>
      </c>
      <c r="GM235">
        <v>1200</v>
      </c>
      <c r="GN235">
        <v>19.4378</v>
      </c>
      <c r="GO235">
        <v>100.835</v>
      </c>
      <c r="GP235">
        <v>96.0733</v>
      </c>
    </row>
    <row r="236" spans="1:198">
      <c r="A236">
        <v>220</v>
      </c>
      <c r="B236">
        <v>1773209242</v>
      </c>
      <c r="C236">
        <v>13142</v>
      </c>
      <c r="D236" t="s">
        <v>773</v>
      </c>
      <c r="E236" t="s">
        <v>774</v>
      </c>
      <c r="F236">
        <v>15</v>
      </c>
      <c r="G236">
        <v>1773209234</v>
      </c>
      <c r="H236">
        <f>(I236)/1000</f>
        <v>0</v>
      </c>
      <c r="I236">
        <f>1000*AY236*AG236*(AU236-AV236)/(100*AN236*(1000-AG236*AU236))</f>
        <v>0</v>
      </c>
      <c r="J236">
        <f>AY236*AG236*(AT236-AS236*(1000-AG236*AV236)/(1000-AG236*AU236))/(100*AN236)</f>
        <v>0</v>
      </c>
      <c r="K236">
        <f>AS236 - IF(AG236&gt;1, J236*AN236*100.0/(AI236), 0)</f>
        <v>0</v>
      </c>
      <c r="L236">
        <f>((R236-H236/2)*K236-J236)/(R236+H236/2)</f>
        <v>0</v>
      </c>
      <c r="M236">
        <f>L236*(AZ236+BA236)/1000.0</f>
        <v>0</v>
      </c>
      <c r="N236">
        <f>(AS236 - IF(AG236&gt;1, J236*AN236*100.0/(AI236), 0))*(AZ236+BA236)/1000.0</f>
        <v>0</v>
      </c>
      <c r="O236">
        <f>2.0/((1/Q236-1/P236)+SIGN(Q236)*SQRT((1/Q236-1/P236)*(1/Q236-1/P236) + 4*AO236/((AO236+1)*(AO236+1))*(2*1/Q236*1/P236-1/P236*1/P236)))</f>
        <v>0</v>
      </c>
      <c r="P236">
        <f>IF(LEFT(AP236,1)&lt;&gt;"0",IF(LEFT(AP236,1)="1",3.0,AQ236),$D$5+$E$5*(BG236*AZ236/($K$5*1000))+$F$5*(BG236*AZ236/($K$5*1000))*MAX(MIN(AN236,$J$5),$I$5)*MAX(MIN(AN236,$J$5),$I$5)+$G$5*MAX(MIN(AN236,$J$5),$I$5)*(BG236*AZ236/($K$5*1000))+$H$5*(BG236*AZ236/($K$5*1000))*(BG236*AZ236/($K$5*1000)))</f>
        <v>0</v>
      </c>
      <c r="Q236">
        <f>H236*(1000-(1000*0.61365*exp(17.502*U236/(240.97+U236))/(AZ236+BA236)+AU236)/2)/(1000*0.61365*exp(17.502*U236/(240.97+U236))/(AZ236+BA236)-AU236)</f>
        <v>0</v>
      </c>
      <c r="R236">
        <f>1/((AO236+1)/(O236/1.6)+1/(P236/1.37)) + AO236/((AO236+1)/(O236/1.6) + AO236/(P236/1.37))</f>
        <v>0</v>
      </c>
      <c r="S236">
        <f>(AJ236*AM236)</f>
        <v>0</v>
      </c>
      <c r="T236">
        <f>(BB236+(S236+2*0.95*5.67E-8*(((BB236+$B$7)+273)^4-(BB236+273)^4)-44100*H236)/(1.84*29.3*P236+8*0.95*5.67E-8*(BB236+273)^3))</f>
        <v>0</v>
      </c>
      <c r="U236">
        <f>($C$7*BC236+$D$7*BD236+$E$7*T236)</f>
        <v>0</v>
      </c>
      <c r="V236">
        <f>0.61365*exp(17.502*U236/(240.97+U236))</f>
        <v>0</v>
      </c>
      <c r="W236">
        <f>(X236/Y236*100)</f>
        <v>0</v>
      </c>
      <c r="X236">
        <f>AU236*(AZ236+BA236)/1000</f>
        <v>0</v>
      </c>
      <c r="Y236">
        <f>0.61365*exp(17.502*BB236/(240.97+BB236))</f>
        <v>0</v>
      </c>
      <c r="Z236">
        <f>(V236-AU236*(AZ236+BA236)/1000)</f>
        <v>0</v>
      </c>
      <c r="AA236">
        <f>(-H236*44100)</f>
        <v>0</v>
      </c>
      <c r="AB236">
        <f>2*29.3*P236*0.92*(BB236-U236)</f>
        <v>0</v>
      </c>
      <c r="AC236">
        <f>2*0.95*5.67E-8*(((BB236+$B$7)+273)^4-(U236+273)^4)</f>
        <v>0</v>
      </c>
      <c r="AD236">
        <f>S236+AC236+AA236+AB236</f>
        <v>0</v>
      </c>
      <c r="AE236">
        <v>0</v>
      </c>
      <c r="AF236">
        <v>0</v>
      </c>
      <c r="AG236">
        <f>IF(AE236*$H$13&gt;=AI236,1.0,(AI236/(AI236-AE236*$H$13)))</f>
        <v>0</v>
      </c>
      <c r="AH236">
        <f>(AG236-1)*100</f>
        <v>0</v>
      </c>
      <c r="AI236">
        <f>MAX(0,($B$13+$C$13*BG236)/(1+$D$13*BG236)*AZ236/(BB236+273)*$E$13)</f>
        <v>0</v>
      </c>
      <c r="AJ236">
        <f>$B$11*BH236+$C$11*BI236+$D$11*BT236</f>
        <v>0</v>
      </c>
      <c r="AK236">
        <f>AJ236*AL236</f>
        <v>0</v>
      </c>
      <c r="AL236">
        <f>($B$11*$D$9+$C$11*$D$9+$D$11*(BU236*$E$9+BV236*$G$9))/($B$11+$C$11+$D$11)</f>
        <v>0</v>
      </c>
      <c r="AM236">
        <f>($B$11*$K$9+$C$11*$K$9+$D$11*(BU236*$L$9+BV236*$N$9))/($B$11+$C$11+$D$11)</f>
        <v>0</v>
      </c>
      <c r="AN236">
        <v>3</v>
      </c>
      <c r="AO236">
        <v>0.5</v>
      </c>
      <c r="AP236" t="s">
        <v>331</v>
      </c>
      <c r="AQ236">
        <v>2</v>
      </c>
      <c r="AR236">
        <v>1773209234</v>
      </c>
      <c r="AS236">
        <v>417.862935483871</v>
      </c>
      <c r="AT236">
        <v>415.4878709677419</v>
      </c>
      <c r="AU236">
        <v>14.98128064516129</v>
      </c>
      <c r="AV236">
        <v>14.91216451612903</v>
      </c>
      <c r="AW236">
        <v>411.6316129032259</v>
      </c>
      <c r="AX236">
        <v>14.90068387096774</v>
      </c>
      <c r="AY236">
        <v>499.9875161290324</v>
      </c>
      <c r="AZ236">
        <v>99.94697419354837</v>
      </c>
      <c r="BA236">
        <v>0.0461476129032258</v>
      </c>
      <c r="BB236">
        <v>30.79783548387097</v>
      </c>
      <c r="BC236">
        <v>31.15062903225807</v>
      </c>
      <c r="BD236">
        <v>999.9000000000003</v>
      </c>
      <c r="BE236">
        <v>0</v>
      </c>
      <c r="BF236">
        <v>0</v>
      </c>
      <c r="BG236">
        <v>5002.33870967742</v>
      </c>
      <c r="BH236">
        <v>1.103512258064516</v>
      </c>
      <c r="BI236">
        <v>1830.861612903226</v>
      </c>
      <c r="BJ236">
        <v>2.375057741935484</v>
      </c>
      <c r="BK236">
        <v>424.2182580645161</v>
      </c>
      <c r="BL236">
        <v>421.7775161290323</v>
      </c>
      <c r="BM236">
        <v>0.06912591290322581</v>
      </c>
      <c r="BN236">
        <v>415.4878709677419</v>
      </c>
      <c r="BO236">
        <v>14.91216451612903</v>
      </c>
      <c r="BP236">
        <v>1.497333225806452</v>
      </c>
      <c r="BQ236">
        <v>1.490425161290323</v>
      </c>
      <c r="BR236">
        <v>12.94096129032258</v>
      </c>
      <c r="BS236">
        <v>12.87028387096774</v>
      </c>
      <c r="BT236">
        <v>0</v>
      </c>
      <c r="BU236">
        <v>0</v>
      </c>
      <c r="BV236">
        <v>0</v>
      </c>
      <c r="BW236">
        <v>36</v>
      </c>
      <c r="BX236">
        <v>63.30537741935483</v>
      </c>
      <c r="BY236">
        <v>1773196010</v>
      </c>
      <c r="BZ236" t="s">
        <v>332</v>
      </c>
      <c r="CA236">
        <v>1773196010</v>
      </c>
      <c r="CB236">
        <v>1773196005.5</v>
      </c>
      <c r="CC236">
        <v>2</v>
      </c>
      <c r="CD236">
        <v>-0.279</v>
      </c>
      <c r="CE236">
        <v>-0.021</v>
      </c>
      <c r="CF236">
        <v>6.231</v>
      </c>
      <c r="CG236">
        <v>0.081</v>
      </c>
      <c r="CH236">
        <v>432</v>
      </c>
      <c r="CI236">
        <v>21</v>
      </c>
      <c r="CJ236">
        <v>0.03</v>
      </c>
      <c r="CK236">
        <v>0.06</v>
      </c>
      <c r="CL236">
        <v>415.4878709677419</v>
      </c>
      <c r="CM236">
        <v>-0.786629032258527</v>
      </c>
      <c r="CN236">
        <v>0.06474253821021932</v>
      </c>
      <c r="CO236">
        <v>-1</v>
      </c>
      <c r="CP236">
        <v>499.9875161290324</v>
      </c>
      <c r="CQ236">
        <v>-0.05680645161486747</v>
      </c>
      <c r="CR236">
        <v>0.05378084019529856</v>
      </c>
      <c r="CS236">
        <v>-1</v>
      </c>
      <c r="CT236">
        <v>0</v>
      </c>
      <c r="CU236">
        <v>0</v>
      </c>
      <c r="CV236" t="s">
        <v>333</v>
      </c>
      <c r="CW236">
        <v>3.17184</v>
      </c>
      <c r="CX236">
        <v>2.66817</v>
      </c>
      <c r="CY236">
        <v>0.09777429999999999</v>
      </c>
      <c r="CZ236">
        <v>0.0985183</v>
      </c>
      <c r="DA236">
        <v>0.0790003</v>
      </c>
      <c r="DB236">
        <v>0.0787807</v>
      </c>
      <c r="DC236">
        <v>21301</v>
      </c>
      <c r="DD236">
        <v>21899.2</v>
      </c>
      <c r="DE236">
        <v>22767.6</v>
      </c>
      <c r="DF236">
        <v>22244.5</v>
      </c>
      <c r="DG236">
        <v>31719</v>
      </c>
      <c r="DH236">
        <v>28865.2</v>
      </c>
      <c r="DI236">
        <v>40083.1</v>
      </c>
      <c r="DJ236">
        <v>36789.3</v>
      </c>
      <c r="DK236">
        <v>2.01592</v>
      </c>
      <c r="DL236">
        <v>1.47652</v>
      </c>
      <c r="DM236">
        <v>-0.106132</v>
      </c>
      <c r="DN236">
        <v>0</v>
      </c>
      <c r="DO236">
        <v>32.8718</v>
      </c>
      <c r="DP236">
        <v>999.9</v>
      </c>
      <c r="DQ236">
        <v>22.2</v>
      </c>
      <c r="DR236">
        <v>46.9</v>
      </c>
      <c r="DS236">
        <v>23.5965</v>
      </c>
      <c r="DT236">
        <v>30.5292</v>
      </c>
      <c r="DU236">
        <v>14.4271</v>
      </c>
      <c r="DV236">
        <v>1</v>
      </c>
      <c r="DW236">
        <v>0.986795</v>
      </c>
      <c r="DX236">
        <v>5.25498</v>
      </c>
      <c r="DY236">
        <v>20.2639</v>
      </c>
      <c r="DZ236">
        <v>5.20627</v>
      </c>
      <c r="EA236">
        <v>11.8588</v>
      </c>
      <c r="EB236">
        <v>4.96632</v>
      </c>
      <c r="EC236">
        <v>3.29292</v>
      </c>
      <c r="ED236">
        <v>879.4</v>
      </c>
      <c r="EE236">
        <v>9999</v>
      </c>
      <c r="EF236">
        <v>9999</v>
      </c>
      <c r="EG236">
        <v>79.7</v>
      </c>
      <c r="EH236">
        <v>4.97153</v>
      </c>
      <c r="EI236">
        <v>1.8721</v>
      </c>
      <c r="EJ236">
        <v>1.8695</v>
      </c>
      <c r="EK236">
        <v>1.8718</v>
      </c>
      <c r="EL236">
        <v>1.86957</v>
      </c>
      <c r="EM236">
        <v>1.86834</v>
      </c>
      <c r="EN236">
        <v>1.87012</v>
      </c>
      <c r="EO236">
        <v>1.87192</v>
      </c>
      <c r="EP236">
        <v>0</v>
      </c>
      <c r="EQ236">
        <v>0</v>
      </c>
      <c r="ER236">
        <v>0</v>
      </c>
      <c r="ES236">
        <v>0</v>
      </c>
      <c r="ET236" t="s">
        <v>334</v>
      </c>
      <c r="EU236" t="s">
        <v>335</v>
      </c>
      <c r="EV236" t="s">
        <v>336</v>
      </c>
      <c r="EW236" t="s">
        <v>336</v>
      </c>
      <c r="EX236" t="s">
        <v>336</v>
      </c>
      <c r="EY236" t="s">
        <v>336</v>
      </c>
      <c r="EZ236">
        <v>0</v>
      </c>
      <c r="FA236">
        <v>100</v>
      </c>
      <c r="FB236">
        <v>100</v>
      </c>
      <c r="FC236">
        <v>6.231</v>
      </c>
      <c r="FD236">
        <v>0.0806</v>
      </c>
      <c r="FE236">
        <v>6.23135000000002</v>
      </c>
      <c r="FF236">
        <v>0</v>
      </c>
      <c r="FG236">
        <v>0</v>
      </c>
      <c r="FH236">
        <v>0</v>
      </c>
      <c r="FI236">
        <v>0.08059047619047632</v>
      </c>
      <c r="FJ236">
        <v>0</v>
      </c>
      <c r="FK236">
        <v>0</v>
      </c>
      <c r="FL236">
        <v>0</v>
      </c>
      <c r="FM236">
        <v>-1</v>
      </c>
      <c r="FN236">
        <v>-1</v>
      </c>
      <c r="FO236">
        <v>-1</v>
      </c>
      <c r="FP236">
        <v>-1</v>
      </c>
      <c r="FQ236">
        <v>220.5</v>
      </c>
      <c r="FR236">
        <v>220.6</v>
      </c>
      <c r="FS236">
        <v>0.140381</v>
      </c>
      <c r="FT236">
        <v>4.99634</v>
      </c>
      <c r="FU236">
        <v>1.5979</v>
      </c>
      <c r="FV236">
        <v>2.10938</v>
      </c>
      <c r="FW236">
        <v>1.54785</v>
      </c>
      <c r="FX236">
        <v>2.44751</v>
      </c>
      <c r="FY236">
        <v>48.888</v>
      </c>
      <c r="FZ236">
        <v>14.5873</v>
      </c>
      <c r="GA236">
        <v>3</v>
      </c>
      <c r="GB236">
        <v>521.446</v>
      </c>
      <c r="GC236">
        <v>283.828</v>
      </c>
      <c r="GD236">
        <v>26.9503</v>
      </c>
      <c r="GE236">
        <v>38.9803</v>
      </c>
      <c r="GF236">
        <v>30.0015</v>
      </c>
      <c r="GG236">
        <v>38.8933</v>
      </c>
      <c r="GH236">
        <v>38.8874</v>
      </c>
      <c r="GI236">
        <v>-1</v>
      </c>
      <c r="GJ236">
        <v>100</v>
      </c>
      <c r="GK236">
        <v>0</v>
      </c>
      <c r="GL236">
        <v>26.8864</v>
      </c>
      <c r="GM236">
        <v>1200</v>
      </c>
      <c r="GN236">
        <v>19.4378</v>
      </c>
      <c r="GO236">
        <v>100.832</v>
      </c>
      <c r="GP236">
        <v>96.0712</v>
      </c>
    </row>
    <row r="237" spans="1:198">
      <c r="A237">
        <v>221</v>
      </c>
      <c r="B237">
        <v>1773209302</v>
      </c>
      <c r="C237">
        <v>13202</v>
      </c>
      <c r="D237" t="s">
        <v>775</v>
      </c>
      <c r="E237" t="s">
        <v>776</v>
      </c>
      <c r="F237">
        <v>15</v>
      </c>
      <c r="G237">
        <v>1773209294</v>
      </c>
      <c r="H237">
        <f>(I237)/1000</f>
        <v>0</v>
      </c>
      <c r="I237">
        <f>1000*AY237*AG237*(AU237-AV237)/(100*AN237*(1000-AG237*AU237))</f>
        <v>0</v>
      </c>
      <c r="J237">
        <f>AY237*AG237*(AT237-AS237*(1000-AG237*AV237)/(1000-AG237*AU237))/(100*AN237)</f>
        <v>0</v>
      </c>
      <c r="K237">
        <f>AS237 - IF(AG237&gt;1, J237*AN237*100.0/(AI237), 0)</f>
        <v>0</v>
      </c>
      <c r="L237">
        <f>((R237-H237/2)*K237-J237)/(R237+H237/2)</f>
        <v>0</v>
      </c>
      <c r="M237">
        <f>L237*(AZ237+BA237)/1000.0</f>
        <v>0</v>
      </c>
      <c r="N237">
        <f>(AS237 - IF(AG237&gt;1, J237*AN237*100.0/(AI237), 0))*(AZ237+BA237)/1000.0</f>
        <v>0</v>
      </c>
      <c r="O237">
        <f>2.0/((1/Q237-1/P237)+SIGN(Q237)*SQRT((1/Q237-1/P237)*(1/Q237-1/P237) + 4*AO237/((AO237+1)*(AO237+1))*(2*1/Q237*1/P237-1/P237*1/P237)))</f>
        <v>0</v>
      </c>
      <c r="P237">
        <f>IF(LEFT(AP237,1)&lt;&gt;"0",IF(LEFT(AP237,1)="1",3.0,AQ237),$D$5+$E$5*(BG237*AZ237/($K$5*1000))+$F$5*(BG237*AZ237/($K$5*1000))*MAX(MIN(AN237,$J$5),$I$5)*MAX(MIN(AN237,$J$5),$I$5)+$G$5*MAX(MIN(AN237,$J$5),$I$5)*(BG237*AZ237/($K$5*1000))+$H$5*(BG237*AZ237/($K$5*1000))*(BG237*AZ237/($K$5*1000)))</f>
        <v>0</v>
      </c>
      <c r="Q237">
        <f>H237*(1000-(1000*0.61365*exp(17.502*U237/(240.97+U237))/(AZ237+BA237)+AU237)/2)/(1000*0.61365*exp(17.502*U237/(240.97+U237))/(AZ237+BA237)-AU237)</f>
        <v>0</v>
      </c>
      <c r="R237">
        <f>1/((AO237+1)/(O237/1.6)+1/(P237/1.37)) + AO237/((AO237+1)/(O237/1.6) + AO237/(P237/1.37))</f>
        <v>0</v>
      </c>
      <c r="S237">
        <f>(AJ237*AM237)</f>
        <v>0</v>
      </c>
      <c r="T237">
        <f>(BB237+(S237+2*0.95*5.67E-8*(((BB237+$B$7)+273)^4-(BB237+273)^4)-44100*H237)/(1.84*29.3*P237+8*0.95*5.67E-8*(BB237+273)^3))</f>
        <v>0</v>
      </c>
      <c r="U237">
        <f>($C$7*BC237+$D$7*BD237+$E$7*T237)</f>
        <v>0</v>
      </c>
      <c r="V237">
        <f>0.61365*exp(17.502*U237/(240.97+U237))</f>
        <v>0</v>
      </c>
      <c r="W237">
        <f>(X237/Y237*100)</f>
        <v>0</v>
      </c>
      <c r="X237">
        <f>AU237*(AZ237+BA237)/1000</f>
        <v>0</v>
      </c>
      <c r="Y237">
        <f>0.61365*exp(17.502*BB237/(240.97+BB237))</f>
        <v>0</v>
      </c>
      <c r="Z237">
        <f>(V237-AU237*(AZ237+BA237)/1000)</f>
        <v>0</v>
      </c>
      <c r="AA237">
        <f>(-H237*44100)</f>
        <v>0</v>
      </c>
      <c r="AB237">
        <f>2*29.3*P237*0.92*(BB237-U237)</f>
        <v>0</v>
      </c>
      <c r="AC237">
        <f>2*0.95*5.67E-8*(((BB237+$B$7)+273)^4-(U237+273)^4)</f>
        <v>0</v>
      </c>
      <c r="AD237">
        <f>S237+AC237+AA237+AB237</f>
        <v>0</v>
      </c>
      <c r="AE237">
        <v>0</v>
      </c>
      <c r="AF237">
        <v>0</v>
      </c>
      <c r="AG237">
        <f>IF(AE237*$H$13&gt;=AI237,1.0,(AI237/(AI237-AE237*$H$13)))</f>
        <v>0</v>
      </c>
      <c r="AH237">
        <f>(AG237-1)*100</f>
        <v>0</v>
      </c>
      <c r="AI237">
        <f>MAX(0,($B$13+$C$13*BG237)/(1+$D$13*BG237)*AZ237/(BB237+273)*$E$13)</f>
        <v>0</v>
      </c>
      <c r="AJ237">
        <f>$B$11*BH237+$C$11*BI237+$D$11*BT237</f>
        <v>0</v>
      </c>
      <c r="AK237">
        <f>AJ237*AL237</f>
        <v>0</v>
      </c>
      <c r="AL237">
        <f>($B$11*$D$9+$C$11*$D$9+$D$11*(BU237*$E$9+BV237*$G$9))/($B$11+$C$11+$D$11)</f>
        <v>0</v>
      </c>
      <c r="AM237">
        <f>($B$11*$K$9+$C$11*$K$9+$D$11*(BU237*$L$9+BV237*$N$9))/($B$11+$C$11+$D$11)</f>
        <v>0</v>
      </c>
      <c r="AN237">
        <v>3</v>
      </c>
      <c r="AO237">
        <v>0.5</v>
      </c>
      <c r="AP237" t="s">
        <v>331</v>
      </c>
      <c r="AQ237">
        <v>2</v>
      </c>
      <c r="AR237">
        <v>1773209294</v>
      </c>
      <c r="AS237">
        <v>417.8865483870966</v>
      </c>
      <c r="AT237">
        <v>415.5874838709677</v>
      </c>
      <c r="AU237">
        <v>15.05193870967742</v>
      </c>
      <c r="AV237">
        <v>14.98121290322581</v>
      </c>
      <c r="AW237">
        <v>411.6552258064515</v>
      </c>
      <c r="AX237">
        <v>14.97134516129032</v>
      </c>
      <c r="AY237">
        <v>500.0320322580645</v>
      </c>
      <c r="AZ237">
        <v>99.94522903225806</v>
      </c>
      <c r="BA237">
        <v>0.04557376774193548</v>
      </c>
      <c r="BB237">
        <v>30.79096774193549</v>
      </c>
      <c r="BC237">
        <v>31.13099032258064</v>
      </c>
      <c r="BD237">
        <v>999.9000000000003</v>
      </c>
      <c r="BE237">
        <v>0</v>
      </c>
      <c r="BF237">
        <v>0</v>
      </c>
      <c r="BG237">
        <v>5001.580645161291</v>
      </c>
      <c r="BH237">
        <v>1.107517419354839</v>
      </c>
      <c r="BI237">
        <v>1844.797096774194</v>
      </c>
      <c r="BJ237">
        <v>2.299069354838709</v>
      </c>
      <c r="BK237">
        <v>424.2727741935485</v>
      </c>
      <c r="BL237">
        <v>421.9082580645162</v>
      </c>
      <c r="BM237">
        <v>0.07074069032258065</v>
      </c>
      <c r="BN237">
        <v>415.5874838709677</v>
      </c>
      <c r="BO237">
        <v>14.98121290322581</v>
      </c>
      <c r="BP237">
        <v>1.504369354838709</v>
      </c>
      <c r="BQ237">
        <v>1.4973</v>
      </c>
      <c r="BR237">
        <v>13.01265161290323</v>
      </c>
      <c r="BS237">
        <v>12.94061612903226</v>
      </c>
      <c r="BT237">
        <v>0</v>
      </c>
      <c r="BU237">
        <v>0</v>
      </c>
      <c r="BV237">
        <v>0</v>
      </c>
      <c r="BW237">
        <v>36</v>
      </c>
      <c r="BX237">
        <v>64</v>
      </c>
      <c r="BY237">
        <v>1773196010</v>
      </c>
      <c r="BZ237" t="s">
        <v>332</v>
      </c>
      <c r="CA237">
        <v>1773196010</v>
      </c>
      <c r="CB237">
        <v>1773196005.5</v>
      </c>
      <c r="CC237">
        <v>2</v>
      </c>
      <c r="CD237">
        <v>-0.279</v>
      </c>
      <c r="CE237">
        <v>-0.021</v>
      </c>
      <c r="CF237">
        <v>6.231</v>
      </c>
      <c r="CG237">
        <v>0.081</v>
      </c>
      <c r="CH237">
        <v>432</v>
      </c>
      <c r="CI237">
        <v>21</v>
      </c>
      <c r="CJ237">
        <v>0.03</v>
      </c>
      <c r="CK237">
        <v>0.06</v>
      </c>
      <c r="CL237">
        <v>415.5779677419354</v>
      </c>
      <c r="CM237">
        <v>0.6575806451602418</v>
      </c>
      <c r="CN237">
        <v>0.05194568122690253</v>
      </c>
      <c r="CO237">
        <v>-1</v>
      </c>
      <c r="CP237">
        <v>500.0330645161291</v>
      </c>
      <c r="CQ237">
        <v>-0.01374193548453782</v>
      </c>
      <c r="CR237">
        <v>0.0486408400579197</v>
      </c>
      <c r="CS237">
        <v>-1</v>
      </c>
      <c r="CT237">
        <v>0</v>
      </c>
      <c r="CU237">
        <v>0</v>
      </c>
      <c r="CV237" t="s">
        <v>333</v>
      </c>
      <c r="CW237">
        <v>3.17202</v>
      </c>
      <c r="CX237">
        <v>2.66681</v>
      </c>
      <c r="CY237">
        <v>0.09780949999999999</v>
      </c>
      <c r="CZ237">
        <v>0.0985616</v>
      </c>
      <c r="DA237">
        <v>0.07926850000000001</v>
      </c>
      <c r="DB237">
        <v>0.0790503</v>
      </c>
      <c r="DC237">
        <v>21300.3</v>
      </c>
      <c r="DD237">
        <v>21897.9</v>
      </c>
      <c r="DE237">
        <v>22767.8</v>
      </c>
      <c r="DF237">
        <v>22244.3</v>
      </c>
      <c r="DG237">
        <v>31710</v>
      </c>
      <c r="DH237">
        <v>28856.4</v>
      </c>
      <c r="DI237">
        <v>40083.4</v>
      </c>
      <c r="DJ237">
        <v>36788.8</v>
      </c>
      <c r="DK237">
        <v>2.01606</v>
      </c>
      <c r="DL237">
        <v>1.47762</v>
      </c>
      <c r="DM237">
        <v>-0.105768</v>
      </c>
      <c r="DN237">
        <v>0</v>
      </c>
      <c r="DO237">
        <v>32.8343</v>
      </c>
      <c r="DP237">
        <v>999.9</v>
      </c>
      <c r="DQ237">
        <v>22.2</v>
      </c>
      <c r="DR237">
        <v>46.9</v>
      </c>
      <c r="DS237">
        <v>23.5991</v>
      </c>
      <c r="DT237">
        <v>30.0792</v>
      </c>
      <c r="DU237">
        <v>14.2388</v>
      </c>
      <c r="DV237">
        <v>1</v>
      </c>
      <c r="DW237">
        <v>0.98414</v>
      </c>
      <c r="DX237">
        <v>4.75571</v>
      </c>
      <c r="DY237">
        <v>20.2829</v>
      </c>
      <c r="DZ237">
        <v>5.20962</v>
      </c>
      <c r="EA237">
        <v>11.8586</v>
      </c>
      <c r="EB237">
        <v>4.96696</v>
      </c>
      <c r="EC237">
        <v>3.293</v>
      </c>
      <c r="ED237">
        <v>879.4</v>
      </c>
      <c r="EE237">
        <v>9999</v>
      </c>
      <c r="EF237">
        <v>9999</v>
      </c>
      <c r="EG237">
        <v>79.7</v>
      </c>
      <c r="EH237">
        <v>4.97154</v>
      </c>
      <c r="EI237">
        <v>1.8721</v>
      </c>
      <c r="EJ237">
        <v>1.8695</v>
      </c>
      <c r="EK237">
        <v>1.87179</v>
      </c>
      <c r="EL237">
        <v>1.86958</v>
      </c>
      <c r="EM237">
        <v>1.86836</v>
      </c>
      <c r="EN237">
        <v>1.87013</v>
      </c>
      <c r="EO237">
        <v>1.87194</v>
      </c>
      <c r="EP237">
        <v>0</v>
      </c>
      <c r="EQ237">
        <v>0</v>
      </c>
      <c r="ER237">
        <v>0</v>
      </c>
      <c r="ES237">
        <v>0</v>
      </c>
      <c r="ET237" t="s">
        <v>334</v>
      </c>
      <c r="EU237" t="s">
        <v>335</v>
      </c>
      <c r="EV237" t="s">
        <v>336</v>
      </c>
      <c r="EW237" t="s">
        <v>336</v>
      </c>
      <c r="EX237" t="s">
        <v>336</v>
      </c>
      <c r="EY237" t="s">
        <v>336</v>
      </c>
      <c r="EZ237">
        <v>0</v>
      </c>
      <c r="FA237">
        <v>100</v>
      </c>
      <c r="FB237">
        <v>100</v>
      </c>
      <c r="FC237">
        <v>6.231</v>
      </c>
      <c r="FD237">
        <v>0.0805</v>
      </c>
      <c r="FE237">
        <v>6.23135000000002</v>
      </c>
      <c r="FF237">
        <v>0</v>
      </c>
      <c r="FG237">
        <v>0</v>
      </c>
      <c r="FH237">
        <v>0</v>
      </c>
      <c r="FI237">
        <v>0.08059047619047632</v>
      </c>
      <c r="FJ237">
        <v>0</v>
      </c>
      <c r="FK237">
        <v>0</v>
      </c>
      <c r="FL237">
        <v>0</v>
      </c>
      <c r="FM237">
        <v>-1</v>
      </c>
      <c r="FN237">
        <v>-1</v>
      </c>
      <c r="FO237">
        <v>-1</v>
      </c>
      <c r="FP237">
        <v>-1</v>
      </c>
      <c r="FQ237">
        <v>221.5</v>
      </c>
      <c r="FR237">
        <v>221.6</v>
      </c>
      <c r="FS237">
        <v>0.140381</v>
      </c>
      <c r="FT237">
        <v>4.99756</v>
      </c>
      <c r="FU237">
        <v>1.5979</v>
      </c>
      <c r="FV237">
        <v>2.10938</v>
      </c>
      <c r="FW237">
        <v>1.54785</v>
      </c>
      <c r="FX237">
        <v>2.51709</v>
      </c>
      <c r="FY237">
        <v>48.9503</v>
      </c>
      <c r="FZ237">
        <v>14.5961</v>
      </c>
      <c r="GA237">
        <v>3</v>
      </c>
      <c r="GB237">
        <v>521.477</v>
      </c>
      <c r="GC237">
        <v>284.297</v>
      </c>
      <c r="GD237">
        <v>26.9272</v>
      </c>
      <c r="GE237">
        <v>38.9727</v>
      </c>
      <c r="GF237">
        <v>29.9999</v>
      </c>
      <c r="GG237">
        <v>38.8852</v>
      </c>
      <c r="GH237">
        <v>38.8761</v>
      </c>
      <c r="GI237">
        <v>-1</v>
      </c>
      <c r="GJ237">
        <v>100</v>
      </c>
      <c r="GK237">
        <v>0</v>
      </c>
      <c r="GL237">
        <v>26.9393</v>
      </c>
      <c r="GM237">
        <v>1200</v>
      </c>
      <c r="GN237">
        <v>19.4378</v>
      </c>
      <c r="GO237">
        <v>100.832</v>
      </c>
      <c r="GP237">
        <v>96.06999999999999</v>
      </c>
    </row>
    <row r="238" spans="1:198">
      <c r="A238">
        <v>222</v>
      </c>
      <c r="B238">
        <v>1773209362</v>
      </c>
      <c r="C238">
        <v>13262</v>
      </c>
      <c r="D238" t="s">
        <v>777</v>
      </c>
      <c r="E238" t="s">
        <v>778</v>
      </c>
      <c r="F238">
        <v>15</v>
      </c>
      <c r="G238">
        <v>1773209354</v>
      </c>
      <c r="H238">
        <f>(I238)/1000</f>
        <v>0</v>
      </c>
      <c r="I238">
        <f>1000*AY238*AG238*(AU238-AV238)/(100*AN238*(1000-AG238*AU238))</f>
        <v>0</v>
      </c>
      <c r="J238">
        <f>AY238*AG238*(AT238-AS238*(1000-AG238*AV238)/(1000-AG238*AU238))/(100*AN238)</f>
        <v>0</v>
      </c>
      <c r="K238">
        <f>AS238 - IF(AG238&gt;1, J238*AN238*100.0/(AI238), 0)</f>
        <v>0</v>
      </c>
      <c r="L238">
        <f>((R238-H238/2)*K238-J238)/(R238+H238/2)</f>
        <v>0</v>
      </c>
      <c r="M238">
        <f>L238*(AZ238+BA238)/1000.0</f>
        <v>0</v>
      </c>
      <c r="N238">
        <f>(AS238 - IF(AG238&gt;1, J238*AN238*100.0/(AI238), 0))*(AZ238+BA238)/1000.0</f>
        <v>0</v>
      </c>
      <c r="O238">
        <f>2.0/((1/Q238-1/P238)+SIGN(Q238)*SQRT((1/Q238-1/P238)*(1/Q238-1/P238) + 4*AO238/((AO238+1)*(AO238+1))*(2*1/Q238*1/P238-1/P238*1/P238)))</f>
        <v>0</v>
      </c>
      <c r="P238">
        <f>IF(LEFT(AP238,1)&lt;&gt;"0",IF(LEFT(AP238,1)="1",3.0,AQ238),$D$5+$E$5*(BG238*AZ238/($K$5*1000))+$F$5*(BG238*AZ238/($K$5*1000))*MAX(MIN(AN238,$J$5),$I$5)*MAX(MIN(AN238,$J$5),$I$5)+$G$5*MAX(MIN(AN238,$J$5),$I$5)*(BG238*AZ238/($K$5*1000))+$H$5*(BG238*AZ238/($K$5*1000))*(BG238*AZ238/($K$5*1000)))</f>
        <v>0</v>
      </c>
      <c r="Q238">
        <f>H238*(1000-(1000*0.61365*exp(17.502*U238/(240.97+U238))/(AZ238+BA238)+AU238)/2)/(1000*0.61365*exp(17.502*U238/(240.97+U238))/(AZ238+BA238)-AU238)</f>
        <v>0</v>
      </c>
      <c r="R238">
        <f>1/((AO238+1)/(O238/1.6)+1/(P238/1.37)) + AO238/((AO238+1)/(O238/1.6) + AO238/(P238/1.37))</f>
        <v>0</v>
      </c>
      <c r="S238">
        <f>(AJ238*AM238)</f>
        <v>0</v>
      </c>
      <c r="T238">
        <f>(BB238+(S238+2*0.95*5.67E-8*(((BB238+$B$7)+273)^4-(BB238+273)^4)-44100*H238)/(1.84*29.3*P238+8*0.95*5.67E-8*(BB238+273)^3))</f>
        <v>0</v>
      </c>
      <c r="U238">
        <f>($C$7*BC238+$D$7*BD238+$E$7*T238)</f>
        <v>0</v>
      </c>
      <c r="V238">
        <f>0.61365*exp(17.502*U238/(240.97+U238))</f>
        <v>0</v>
      </c>
      <c r="W238">
        <f>(X238/Y238*100)</f>
        <v>0</v>
      </c>
      <c r="X238">
        <f>AU238*(AZ238+BA238)/1000</f>
        <v>0</v>
      </c>
      <c r="Y238">
        <f>0.61365*exp(17.502*BB238/(240.97+BB238))</f>
        <v>0</v>
      </c>
      <c r="Z238">
        <f>(V238-AU238*(AZ238+BA238)/1000)</f>
        <v>0</v>
      </c>
      <c r="AA238">
        <f>(-H238*44100)</f>
        <v>0</v>
      </c>
      <c r="AB238">
        <f>2*29.3*P238*0.92*(BB238-U238)</f>
        <v>0</v>
      </c>
      <c r="AC238">
        <f>2*0.95*5.67E-8*(((BB238+$B$7)+273)^4-(U238+273)^4)</f>
        <v>0</v>
      </c>
      <c r="AD238">
        <f>S238+AC238+AA238+AB238</f>
        <v>0</v>
      </c>
      <c r="AE238">
        <v>0</v>
      </c>
      <c r="AF238">
        <v>0</v>
      </c>
      <c r="AG238">
        <f>IF(AE238*$H$13&gt;=AI238,1.0,(AI238/(AI238-AE238*$H$13)))</f>
        <v>0</v>
      </c>
      <c r="AH238">
        <f>(AG238-1)*100</f>
        <v>0</v>
      </c>
      <c r="AI238">
        <f>MAX(0,($B$13+$C$13*BG238)/(1+$D$13*BG238)*AZ238/(BB238+273)*$E$13)</f>
        <v>0</v>
      </c>
      <c r="AJ238">
        <f>$B$11*BH238+$C$11*BI238+$D$11*BT238</f>
        <v>0</v>
      </c>
      <c r="AK238">
        <f>AJ238*AL238</f>
        <v>0</v>
      </c>
      <c r="AL238">
        <f>($B$11*$D$9+$C$11*$D$9+$D$11*(BU238*$E$9+BV238*$G$9))/($B$11+$C$11+$D$11)</f>
        <v>0</v>
      </c>
      <c r="AM238">
        <f>($B$11*$K$9+$C$11*$K$9+$D$11*(BU238*$L$9+BV238*$N$9))/($B$11+$C$11+$D$11)</f>
        <v>0</v>
      </c>
      <c r="AN238">
        <v>3</v>
      </c>
      <c r="AO238">
        <v>0.5</v>
      </c>
      <c r="AP238" t="s">
        <v>331</v>
      </c>
      <c r="AQ238">
        <v>2</v>
      </c>
      <c r="AR238">
        <v>1773209354</v>
      </c>
      <c r="AS238">
        <v>417.8140967741936</v>
      </c>
      <c r="AT238">
        <v>415.3302580645162</v>
      </c>
      <c r="AU238">
        <v>15.11307419354839</v>
      </c>
      <c r="AV238">
        <v>15.02687419354838</v>
      </c>
      <c r="AW238">
        <v>411.5826129032259</v>
      </c>
      <c r="AX238">
        <v>15.03248064516129</v>
      </c>
      <c r="AY238">
        <v>499.9623225806452</v>
      </c>
      <c r="AZ238">
        <v>99.9345</v>
      </c>
      <c r="BA238">
        <v>0.04551035483870969</v>
      </c>
      <c r="BB238">
        <v>30.79925806451613</v>
      </c>
      <c r="BC238">
        <v>31.12426774193548</v>
      </c>
      <c r="BD238">
        <v>999.9000000000003</v>
      </c>
      <c r="BE238">
        <v>0</v>
      </c>
      <c r="BF238">
        <v>0</v>
      </c>
      <c r="BG238">
        <v>4993.951612903225</v>
      </c>
      <c r="BH238">
        <v>1.082980322580645</v>
      </c>
      <c r="BI238">
        <v>1810.058064516129</v>
      </c>
      <c r="BJ238">
        <v>2.483773548387097</v>
      </c>
      <c r="BK238">
        <v>424.2253548387096</v>
      </c>
      <c r="BL238">
        <v>421.6666451612903</v>
      </c>
      <c r="BM238">
        <v>0.08620966129032258</v>
      </c>
      <c r="BN238">
        <v>415.3302580645162</v>
      </c>
      <c r="BO238">
        <v>15.02687419354838</v>
      </c>
      <c r="BP238">
        <v>1.510317419354839</v>
      </c>
      <c r="BQ238">
        <v>1.50170129032258</v>
      </c>
      <c r="BR238">
        <v>13.07301935483871</v>
      </c>
      <c r="BS238">
        <v>12.98551290322581</v>
      </c>
      <c r="BT238">
        <v>0</v>
      </c>
      <c r="BU238">
        <v>0</v>
      </c>
      <c r="BV238">
        <v>0</v>
      </c>
      <c r="BW238">
        <v>36</v>
      </c>
      <c r="BX238">
        <v>63</v>
      </c>
      <c r="BY238">
        <v>1773196010</v>
      </c>
      <c r="BZ238" t="s">
        <v>332</v>
      </c>
      <c r="CA238">
        <v>1773196010</v>
      </c>
      <c r="CB238">
        <v>1773196005.5</v>
      </c>
      <c r="CC238">
        <v>2</v>
      </c>
      <c r="CD238">
        <v>-0.279</v>
      </c>
      <c r="CE238">
        <v>-0.021</v>
      </c>
      <c r="CF238">
        <v>6.231</v>
      </c>
      <c r="CG238">
        <v>0.081</v>
      </c>
      <c r="CH238">
        <v>432</v>
      </c>
      <c r="CI238">
        <v>21</v>
      </c>
      <c r="CJ238">
        <v>0.03</v>
      </c>
      <c r="CK238">
        <v>0.06</v>
      </c>
      <c r="CL238">
        <v>415.3401290322581</v>
      </c>
      <c r="CM238">
        <v>-0.7890483870967987</v>
      </c>
      <c r="CN238">
        <v>0.06503782618251655</v>
      </c>
      <c r="CO238">
        <v>-1</v>
      </c>
      <c r="CP238">
        <v>499.9572903225807</v>
      </c>
      <c r="CQ238">
        <v>0.2759999999989958</v>
      </c>
      <c r="CR238">
        <v>0.1190289185649265</v>
      </c>
      <c r="CS238">
        <v>-1</v>
      </c>
      <c r="CT238">
        <v>0</v>
      </c>
      <c r="CU238">
        <v>0</v>
      </c>
      <c r="CV238" t="s">
        <v>333</v>
      </c>
      <c r="CW238">
        <v>3.17187</v>
      </c>
      <c r="CX238">
        <v>2.66648</v>
      </c>
      <c r="CY238">
        <v>0.09775150000000001</v>
      </c>
      <c r="CZ238">
        <v>0.0984951</v>
      </c>
      <c r="DA238">
        <v>0.0794528</v>
      </c>
      <c r="DB238">
        <v>0.07914649999999999</v>
      </c>
      <c r="DC238">
        <v>21300.9</v>
      </c>
      <c r="DD238">
        <v>21899.1</v>
      </c>
      <c r="DE238">
        <v>22767</v>
      </c>
      <c r="DF238">
        <v>22243.9</v>
      </c>
      <c r="DG238">
        <v>31702.6</v>
      </c>
      <c r="DH238">
        <v>28852.8</v>
      </c>
      <c r="DI238">
        <v>40081.9</v>
      </c>
      <c r="DJ238">
        <v>36788</v>
      </c>
      <c r="DK238">
        <v>2.01572</v>
      </c>
      <c r="DL238">
        <v>1.476</v>
      </c>
      <c r="DM238">
        <v>-0.102103</v>
      </c>
      <c r="DN238">
        <v>0</v>
      </c>
      <c r="DO238">
        <v>32.7958</v>
      </c>
      <c r="DP238">
        <v>999.9</v>
      </c>
      <c r="DQ238">
        <v>22.2</v>
      </c>
      <c r="DR238">
        <v>46.9</v>
      </c>
      <c r="DS238">
        <v>23.6002</v>
      </c>
      <c r="DT238">
        <v>30.6792</v>
      </c>
      <c r="DU238">
        <v>14.4271</v>
      </c>
      <c r="DV238">
        <v>1</v>
      </c>
      <c r="DW238">
        <v>0.9866239999999999</v>
      </c>
      <c r="DX238">
        <v>5.22461</v>
      </c>
      <c r="DY238">
        <v>20.2641</v>
      </c>
      <c r="DZ238">
        <v>5.20711</v>
      </c>
      <c r="EA238">
        <v>11.8585</v>
      </c>
      <c r="EB238">
        <v>4.96696</v>
      </c>
      <c r="EC238">
        <v>3.2922</v>
      </c>
      <c r="ED238">
        <v>879.4</v>
      </c>
      <c r="EE238">
        <v>9999</v>
      </c>
      <c r="EF238">
        <v>9999</v>
      </c>
      <c r="EG238">
        <v>79.7</v>
      </c>
      <c r="EH238">
        <v>4.97153</v>
      </c>
      <c r="EI238">
        <v>1.8721</v>
      </c>
      <c r="EJ238">
        <v>1.8695</v>
      </c>
      <c r="EK238">
        <v>1.87179</v>
      </c>
      <c r="EL238">
        <v>1.86956</v>
      </c>
      <c r="EM238">
        <v>1.86835</v>
      </c>
      <c r="EN238">
        <v>1.87013</v>
      </c>
      <c r="EO238">
        <v>1.87194</v>
      </c>
      <c r="EP238">
        <v>0</v>
      </c>
      <c r="EQ238">
        <v>0</v>
      </c>
      <c r="ER238">
        <v>0</v>
      </c>
      <c r="ES238">
        <v>0</v>
      </c>
      <c r="ET238" t="s">
        <v>334</v>
      </c>
      <c r="EU238" t="s">
        <v>335</v>
      </c>
      <c r="EV238" t="s">
        <v>336</v>
      </c>
      <c r="EW238" t="s">
        <v>336</v>
      </c>
      <c r="EX238" t="s">
        <v>336</v>
      </c>
      <c r="EY238" t="s">
        <v>336</v>
      </c>
      <c r="EZ238">
        <v>0</v>
      </c>
      <c r="FA238">
        <v>100</v>
      </c>
      <c r="FB238">
        <v>100</v>
      </c>
      <c r="FC238">
        <v>6.231</v>
      </c>
      <c r="FD238">
        <v>0.0806</v>
      </c>
      <c r="FE238">
        <v>6.23135000000002</v>
      </c>
      <c r="FF238">
        <v>0</v>
      </c>
      <c r="FG238">
        <v>0</v>
      </c>
      <c r="FH238">
        <v>0</v>
      </c>
      <c r="FI238">
        <v>0.08059047619047632</v>
      </c>
      <c r="FJ238">
        <v>0</v>
      </c>
      <c r="FK238">
        <v>0</v>
      </c>
      <c r="FL238">
        <v>0</v>
      </c>
      <c r="FM238">
        <v>-1</v>
      </c>
      <c r="FN238">
        <v>-1</v>
      </c>
      <c r="FO238">
        <v>-1</v>
      </c>
      <c r="FP238">
        <v>-1</v>
      </c>
      <c r="FQ238">
        <v>222.5</v>
      </c>
      <c r="FR238">
        <v>222.6</v>
      </c>
      <c r="FS238">
        <v>0.13916</v>
      </c>
      <c r="FT238">
        <v>4.99756</v>
      </c>
      <c r="FU238">
        <v>1.5979</v>
      </c>
      <c r="FV238">
        <v>2.10938</v>
      </c>
      <c r="FW238">
        <v>1.54785</v>
      </c>
      <c r="FX238">
        <v>2.38281</v>
      </c>
      <c r="FY238">
        <v>49.0127</v>
      </c>
      <c r="FZ238">
        <v>14.5698</v>
      </c>
      <c r="GA238">
        <v>3</v>
      </c>
      <c r="GB238">
        <v>521.309</v>
      </c>
      <c r="GC238">
        <v>283.561</v>
      </c>
      <c r="GD238">
        <v>27.1071</v>
      </c>
      <c r="GE238">
        <v>38.9803</v>
      </c>
      <c r="GF238">
        <v>30.0023</v>
      </c>
      <c r="GG238">
        <v>38.892</v>
      </c>
      <c r="GH238">
        <v>38.8799</v>
      </c>
      <c r="GI238">
        <v>-1</v>
      </c>
      <c r="GJ238">
        <v>100</v>
      </c>
      <c r="GK238">
        <v>0</v>
      </c>
      <c r="GL238">
        <v>26.9962</v>
      </c>
      <c r="GM238">
        <v>1200</v>
      </c>
      <c r="GN238">
        <v>19.4378</v>
      </c>
      <c r="GO238">
        <v>100.829</v>
      </c>
      <c r="GP238">
        <v>96.0681</v>
      </c>
    </row>
    <row r="239" spans="1:198">
      <c r="A239">
        <v>223</v>
      </c>
      <c r="B239">
        <v>1773209422</v>
      </c>
      <c r="C239">
        <v>13322</v>
      </c>
      <c r="D239" t="s">
        <v>779</v>
      </c>
      <c r="E239" t="s">
        <v>780</v>
      </c>
      <c r="F239">
        <v>15</v>
      </c>
      <c r="G239">
        <v>1773209414</v>
      </c>
      <c r="H239">
        <f>(I239)/1000</f>
        <v>0</v>
      </c>
      <c r="I239">
        <f>1000*AY239*AG239*(AU239-AV239)/(100*AN239*(1000-AG239*AU239))</f>
        <v>0</v>
      </c>
      <c r="J239">
        <f>AY239*AG239*(AT239-AS239*(1000-AG239*AV239)/(1000-AG239*AU239))/(100*AN239)</f>
        <v>0</v>
      </c>
      <c r="K239">
        <f>AS239 - IF(AG239&gt;1, J239*AN239*100.0/(AI239), 0)</f>
        <v>0</v>
      </c>
      <c r="L239">
        <f>((R239-H239/2)*K239-J239)/(R239+H239/2)</f>
        <v>0</v>
      </c>
      <c r="M239">
        <f>L239*(AZ239+BA239)/1000.0</f>
        <v>0</v>
      </c>
      <c r="N239">
        <f>(AS239 - IF(AG239&gt;1, J239*AN239*100.0/(AI239), 0))*(AZ239+BA239)/1000.0</f>
        <v>0</v>
      </c>
      <c r="O239">
        <f>2.0/((1/Q239-1/P239)+SIGN(Q239)*SQRT((1/Q239-1/P239)*(1/Q239-1/P239) + 4*AO239/((AO239+1)*(AO239+1))*(2*1/Q239*1/P239-1/P239*1/P239)))</f>
        <v>0</v>
      </c>
      <c r="P239">
        <f>IF(LEFT(AP239,1)&lt;&gt;"0",IF(LEFT(AP239,1)="1",3.0,AQ239),$D$5+$E$5*(BG239*AZ239/($K$5*1000))+$F$5*(BG239*AZ239/($K$5*1000))*MAX(MIN(AN239,$J$5),$I$5)*MAX(MIN(AN239,$J$5),$I$5)+$G$5*MAX(MIN(AN239,$J$5),$I$5)*(BG239*AZ239/($K$5*1000))+$H$5*(BG239*AZ239/($K$5*1000))*(BG239*AZ239/($K$5*1000)))</f>
        <v>0</v>
      </c>
      <c r="Q239">
        <f>H239*(1000-(1000*0.61365*exp(17.502*U239/(240.97+U239))/(AZ239+BA239)+AU239)/2)/(1000*0.61365*exp(17.502*U239/(240.97+U239))/(AZ239+BA239)-AU239)</f>
        <v>0</v>
      </c>
      <c r="R239">
        <f>1/((AO239+1)/(O239/1.6)+1/(P239/1.37)) + AO239/((AO239+1)/(O239/1.6) + AO239/(P239/1.37))</f>
        <v>0</v>
      </c>
      <c r="S239">
        <f>(AJ239*AM239)</f>
        <v>0</v>
      </c>
      <c r="T239">
        <f>(BB239+(S239+2*0.95*5.67E-8*(((BB239+$B$7)+273)^4-(BB239+273)^4)-44100*H239)/(1.84*29.3*P239+8*0.95*5.67E-8*(BB239+273)^3))</f>
        <v>0</v>
      </c>
      <c r="U239">
        <f>($C$7*BC239+$D$7*BD239+$E$7*T239)</f>
        <v>0</v>
      </c>
      <c r="V239">
        <f>0.61365*exp(17.502*U239/(240.97+U239))</f>
        <v>0</v>
      </c>
      <c r="W239">
        <f>(X239/Y239*100)</f>
        <v>0</v>
      </c>
      <c r="X239">
        <f>AU239*(AZ239+BA239)/1000</f>
        <v>0</v>
      </c>
      <c r="Y239">
        <f>0.61365*exp(17.502*BB239/(240.97+BB239))</f>
        <v>0</v>
      </c>
      <c r="Z239">
        <f>(V239-AU239*(AZ239+BA239)/1000)</f>
        <v>0</v>
      </c>
      <c r="AA239">
        <f>(-H239*44100)</f>
        <v>0</v>
      </c>
      <c r="AB239">
        <f>2*29.3*P239*0.92*(BB239-U239)</f>
        <v>0</v>
      </c>
      <c r="AC239">
        <f>2*0.95*5.67E-8*(((BB239+$B$7)+273)^4-(U239+273)^4)</f>
        <v>0</v>
      </c>
      <c r="AD239">
        <f>S239+AC239+AA239+AB239</f>
        <v>0</v>
      </c>
      <c r="AE239">
        <v>0</v>
      </c>
      <c r="AF239">
        <v>0</v>
      </c>
      <c r="AG239">
        <f>IF(AE239*$H$13&gt;=AI239,1.0,(AI239/(AI239-AE239*$H$13)))</f>
        <v>0</v>
      </c>
      <c r="AH239">
        <f>(AG239-1)*100</f>
        <v>0</v>
      </c>
      <c r="AI239">
        <f>MAX(0,($B$13+$C$13*BG239)/(1+$D$13*BG239)*AZ239/(BB239+273)*$E$13)</f>
        <v>0</v>
      </c>
      <c r="AJ239">
        <f>$B$11*BH239+$C$11*BI239+$D$11*BT239</f>
        <v>0</v>
      </c>
      <c r="AK239">
        <f>AJ239*AL239</f>
        <v>0</v>
      </c>
      <c r="AL239">
        <f>($B$11*$D$9+$C$11*$D$9+$D$11*(BU239*$E$9+BV239*$G$9))/($B$11+$C$11+$D$11)</f>
        <v>0</v>
      </c>
      <c r="AM239">
        <f>($B$11*$K$9+$C$11*$K$9+$D$11*(BU239*$L$9+BV239*$N$9))/($B$11+$C$11+$D$11)</f>
        <v>0</v>
      </c>
      <c r="AN239">
        <v>3</v>
      </c>
      <c r="AO239">
        <v>0.5</v>
      </c>
      <c r="AP239" t="s">
        <v>331</v>
      </c>
      <c r="AQ239">
        <v>2</v>
      </c>
      <c r="AR239">
        <v>1773209414</v>
      </c>
      <c r="AS239">
        <v>417.666193548387</v>
      </c>
      <c r="AT239">
        <v>415.3772258064516</v>
      </c>
      <c r="AU239">
        <v>15.09028709677419</v>
      </c>
      <c r="AV239">
        <v>15.00125483870968</v>
      </c>
      <c r="AW239">
        <v>411.4347419354838</v>
      </c>
      <c r="AX239">
        <v>15.00969032258064</v>
      </c>
      <c r="AY239">
        <v>499.8792580645161</v>
      </c>
      <c r="AZ239">
        <v>99.93708709677421</v>
      </c>
      <c r="BA239">
        <v>0.04634285806451612</v>
      </c>
      <c r="BB239">
        <v>30.84919032258065</v>
      </c>
      <c r="BC239">
        <v>31.17874193548387</v>
      </c>
      <c r="BD239">
        <v>999.9000000000003</v>
      </c>
      <c r="BE239">
        <v>0</v>
      </c>
      <c r="BF239">
        <v>0</v>
      </c>
      <c r="BG239">
        <v>4998.548387096775</v>
      </c>
      <c r="BH239">
        <v>1.105916451612903</v>
      </c>
      <c r="BI239">
        <v>1817.136774193548</v>
      </c>
      <c r="BJ239">
        <v>2.289041612903226</v>
      </c>
      <c r="BK239">
        <v>424.0654516129032</v>
      </c>
      <c r="BL239">
        <v>421.7031612903226</v>
      </c>
      <c r="BM239">
        <v>0.08901928387096775</v>
      </c>
      <c r="BN239">
        <v>415.3772258064516</v>
      </c>
      <c r="BO239">
        <v>15.00125483870968</v>
      </c>
      <c r="BP239">
        <v>1.508078387096774</v>
      </c>
      <c r="BQ239">
        <v>1.499183225806452</v>
      </c>
      <c r="BR239">
        <v>13.05032580645161</v>
      </c>
      <c r="BS239">
        <v>12.95983548387097</v>
      </c>
      <c r="BT239">
        <v>0</v>
      </c>
      <c r="BU239">
        <v>0</v>
      </c>
      <c r="BV239">
        <v>0</v>
      </c>
      <c r="BW239">
        <v>36</v>
      </c>
      <c r="BX239">
        <v>63.89032258064515</v>
      </c>
      <c r="BY239">
        <v>1773196010</v>
      </c>
      <c r="BZ239" t="s">
        <v>332</v>
      </c>
      <c r="CA239">
        <v>1773196010</v>
      </c>
      <c r="CB239">
        <v>1773196005.5</v>
      </c>
      <c r="CC239">
        <v>2</v>
      </c>
      <c r="CD239">
        <v>-0.279</v>
      </c>
      <c r="CE239">
        <v>-0.021</v>
      </c>
      <c r="CF239">
        <v>6.231</v>
      </c>
      <c r="CG239">
        <v>0.081</v>
      </c>
      <c r="CH239">
        <v>432</v>
      </c>
      <c r="CI239">
        <v>21</v>
      </c>
      <c r="CJ239">
        <v>0.03</v>
      </c>
      <c r="CK239">
        <v>0.06</v>
      </c>
      <c r="CL239">
        <v>415.3744</v>
      </c>
      <c r="CM239">
        <v>0.4573615127926726</v>
      </c>
      <c r="CN239">
        <v>0.04867552430808483</v>
      </c>
      <c r="CO239">
        <v>-1</v>
      </c>
      <c r="CP239">
        <v>499.8796666666666</v>
      </c>
      <c r="CQ239">
        <v>-1.56942380422548</v>
      </c>
      <c r="CR239">
        <v>0.2187562316572751</v>
      </c>
      <c r="CS239">
        <v>-1</v>
      </c>
      <c r="CT239">
        <v>0</v>
      </c>
      <c r="CU239">
        <v>0</v>
      </c>
      <c r="CV239" t="s">
        <v>333</v>
      </c>
      <c r="CW239">
        <v>3.17195</v>
      </c>
      <c r="CX239">
        <v>2.6689</v>
      </c>
      <c r="CY239">
        <v>0.0977517</v>
      </c>
      <c r="CZ239">
        <v>0.0985085</v>
      </c>
      <c r="DA239">
        <v>0.0793801</v>
      </c>
      <c r="DB239">
        <v>0.0790864</v>
      </c>
      <c r="DC239">
        <v>21299.8</v>
      </c>
      <c r="DD239">
        <v>21897.3</v>
      </c>
      <c r="DE239">
        <v>22765.9</v>
      </c>
      <c r="DF239">
        <v>22242.4</v>
      </c>
      <c r="DG239">
        <v>31703.6</v>
      </c>
      <c r="DH239">
        <v>28852.9</v>
      </c>
      <c r="DI239">
        <v>40080.1</v>
      </c>
      <c r="DJ239">
        <v>36785.9</v>
      </c>
      <c r="DK239">
        <v>2.01622</v>
      </c>
      <c r="DL239">
        <v>1.47512</v>
      </c>
      <c r="DM239">
        <v>-0.100178</v>
      </c>
      <c r="DN239">
        <v>0</v>
      </c>
      <c r="DO239">
        <v>32.8372</v>
      </c>
      <c r="DP239">
        <v>999.9</v>
      </c>
      <c r="DQ239">
        <v>22.3</v>
      </c>
      <c r="DR239">
        <v>46.9</v>
      </c>
      <c r="DS239">
        <v>23.7051</v>
      </c>
      <c r="DT239">
        <v>30.3792</v>
      </c>
      <c r="DU239">
        <v>14.3229</v>
      </c>
      <c r="DV239">
        <v>1</v>
      </c>
      <c r="DW239">
        <v>0.990805</v>
      </c>
      <c r="DX239">
        <v>5.28477</v>
      </c>
      <c r="DY239">
        <v>20.2634</v>
      </c>
      <c r="DZ239">
        <v>5.20591</v>
      </c>
      <c r="EA239">
        <v>11.8595</v>
      </c>
      <c r="EB239">
        <v>4.9672</v>
      </c>
      <c r="EC239">
        <v>3.29298</v>
      </c>
      <c r="ED239">
        <v>879.4</v>
      </c>
      <c r="EE239">
        <v>9999</v>
      </c>
      <c r="EF239">
        <v>9999</v>
      </c>
      <c r="EG239">
        <v>79.7</v>
      </c>
      <c r="EH239">
        <v>4.97154</v>
      </c>
      <c r="EI239">
        <v>1.8721</v>
      </c>
      <c r="EJ239">
        <v>1.86948</v>
      </c>
      <c r="EK239">
        <v>1.87179</v>
      </c>
      <c r="EL239">
        <v>1.86953</v>
      </c>
      <c r="EM239">
        <v>1.86833</v>
      </c>
      <c r="EN239">
        <v>1.87013</v>
      </c>
      <c r="EO239">
        <v>1.87193</v>
      </c>
      <c r="EP239">
        <v>0</v>
      </c>
      <c r="EQ239">
        <v>0</v>
      </c>
      <c r="ER239">
        <v>0</v>
      </c>
      <c r="ES239">
        <v>0</v>
      </c>
      <c r="ET239" t="s">
        <v>334</v>
      </c>
      <c r="EU239" t="s">
        <v>335</v>
      </c>
      <c r="EV239" t="s">
        <v>336</v>
      </c>
      <c r="EW239" t="s">
        <v>336</v>
      </c>
      <c r="EX239" t="s">
        <v>336</v>
      </c>
      <c r="EY239" t="s">
        <v>336</v>
      </c>
      <c r="EZ239">
        <v>0</v>
      </c>
      <c r="FA239">
        <v>100</v>
      </c>
      <c r="FB239">
        <v>100</v>
      </c>
      <c r="FC239">
        <v>6.232</v>
      </c>
      <c r="FD239">
        <v>0.0805</v>
      </c>
      <c r="FE239">
        <v>6.23135000000002</v>
      </c>
      <c r="FF239">
        <v>0</v>
      </c>
      <c r="FG239">
        <v>0</v>
      </c>
      <c r="FH239">
        <v>0</v>
      </c>
      <c r="FI239">
        <v>0.08059047619047632</v>
      </c>
      <c r="FJ239">
        <v>0</v>
      </c>
      <c r="FK239">
        <v>0</v>
      </c>
      <c r="FL239">
        <v>0</v>
      </c>
      <c r="FM239">
        <v>-1</v>
      </c>
      <c r="FN239">
        <v>-1</v>
      </c>
      <c r="FO239">
        <v>-1</v>
      </c>
      <c r="FP239">
        <v>-1</v>
      </c>
      <c r="FQ239">
        <v>223.5</v>
      </c>
      <c r="FR239">
        <v>223.6</v>
      </c>
      <c r="FS239">
        <v>0.13916</v>
      </c>
      <c r="FT239">
        <v>4.99756</v>
      </c>
      <c r="FU239">
        <v>1.5979</v>
      </c>
      <c r="FV239">
        <v>2.10938</v>
      </c>
      <c r="FW239">
        <v>1.54785</v>
      </c>
      <c r="FX239">
        <v>2.48901</v>
      </c>
      <c r="FY239">
        <v>49.044</v>
      </c>
      <c r="FZ239">
        <v>14.5698</v>
      </c>
      <c r="GA239">
        <v>3</v>
      </c>
      <c r="GB239">
        <v>521.691</v>
      </c>
      <c r="GC239">
        <v>283.199</v>
      </c>
      <c r="GD239">
        <v>26.8323</v>
      </c>
      <c r="GE239">
        <v>38.9956</v>
      </c>
      <c r="GF239">
        <v>30.0012</v>
      </c>
      <c r="GG239">
        <v>38.8995</v>
      </c>
      <c r="GH239">
        <v>38.8911</v>
      </c>
      <c r="GI239">
        <v>-1</v>
      </c>
      <c r="GJ239">
        <v>100</v>
      </c>
      <c r="GK239">
        <v>0</v>
      </c>
      <c r="GL239">
        <v>26.7384</v>
      </c>
      <c r="GM239">
        <v>1200</v>
      </c>
      <c r="GN239">
        <v>19.4378</v>
      </c>
      <c r="GO239">
        <v>100.824</v>
      </c>
      <c r="GP239">
        <v>96.0621</v>
      </c>
    </row>
    <row r="240" spans="1:198">
      <c r="A240">
        <v>224</v>
      </c>
      <c r="B240">
        <v>1773209482</v>
      </c>
      <c r="C240">
        <v>13382</v>
      </c>
      <c r="D240" t="s">
        <v>781</v>
      </c>
      <c r="E240" t="s">
        <v>782</v>
      </c>
      <c r="F240">
        <v>15</v>
      </c>
      <c r="G240">
        <v>1773209474</v>
      </c>
      <c r="H240">
        <f>(I240)/1000</f>
        <v>0</v>
      </c>
      <c r="I240">
        <f>1000*AY240*AG240*(AU240-AV240)/(100*AN240*(1000-AG240*AU240))</f>
        <v>0</v>
      </c>
      <c r="J240">
        <f>AY240*AG240*(AT240-AS240*(1000-AG240*AV240)/(1000-AG240*AU240))/(100*AN240)</f>
        <v>0</v>
      </c>
      <c r="K240">
        <f>AS240 - IF(AG240&gt;1, J240*AN240*100.0/(AI240), 0)</f>
        <v>0</v>
      </c>
      <c r="L240">
        <f>((R240-H240/2)*K240-J240)/(R240+H240/2)</f>
        <v>0</v>
      </c>
      <c r="M240">
        <f>L240*(AZ240+BA240)/1000.0</f>
        <v>0</v>
      </c>
      <c r="N240">
        <f>(AS240 - IF(AG240&gt;1, J240*AN240*100.0/(AI240), 0))*(AZ240+BA240)/1000.0</f>
        <v>0</v>
      </c>
      <c r="O240">
        <f>2.0/((1/Q240-1/P240)+SIGN(Q240)*SQRT((1/Q240-1/P240)*(1/Q240-1/P240) + 4*AO240/((AO240+1)*(AO240+1))*(2*1/Q240*1/P240-1/P240*1/P240)))</f>
        <v>0</v>
      </c>
      <c r="P240">
        <f>IF(LEFT(AP240,1)&lt;&gt;"0",IF(LEFT(AP240,1)="1",3.0,AQ240),$D$5+$E$5*(BG240*AZ240/($K$5*1000))+$F$5*(BG240*AZ240/($K$5*1000))*MAX(MIN(AN240,$J$5),$I$5)*MAX(MIN(AN240,$J$5),$I$5)+$G$5*MAX(MIN(AN240,$J$5),$I$5)*(BG240*AZ240/($K$5*1000))+$H$5*(BG240*AZ240/($K$5*1000))*(BG240*AZ240/($K$5*1000)))</f>
        <v>0</v>
      </c>
      <c r="Q240">
        <f>H240*(1000-(1000*0.61365*exp(17.502*U240/(240.97+U240))/(AZ240+BA240)+AU240)/2)/(1000*0.61365*exp(17.502*U240/(240.97+U240))/(AZ240+BA240)-AU240)</f>
        <v>0</v>
      </c>
      <c r="R240">
        <f>1/((AO240+1)/(O240/1.6)+1/(P240/1.37)) + AO240/((AO240+1)/(O240/1.6) + AO240/(P240/1.37))</f>
        <v>0</v>
      </c>
      <c r="S240">
        <f>(AJ240*AM240)</f>
        <v>0</v>
      </c>
      <c r="T240">
        <f>(BB240+(S240+2*0.95*5.67E-8*(((BB240+$B$7)+273)^4-(BB240+273)^4)-44100*H240)/(1.84*29.3*P240+8*0.95*5.67E-8*(BB240+273)^3))</f>
        <v>0</v>
      </c>
      <c r="U240">
        <f>($C$7*BC240+$D$7*BD240+$E$7*T240)</f>
        <v>0</v>
      </c>
      <c r="V240">
        <f>0.61365*exp(17.502*U240/(240.97+U240))</f>
        <v>0</v>
      </c>
      <c r="W240">
        <f>(X240/Y240*100)</f>
        <v>0</v>
      </c>
      <c r="X240">
        <f>AU240*(AZ240+BA240)/1000</f>
        <v>0</v>
      </c>
      <c r="Y240">
        <f>0.61365*exp(17.502*BB240/(240.97+BB240))</f>
        <v>0</v>
      </c>
      <c r="Z240">
        <f>(V240-AU240*(AZ240+BA240)/1000)</f>
        <v>0</v>
      </c>
      <c r="AA240">
        <f>(-H240*44100)</f>
        <v>0</v>
      </c>
      <c r="AB240">
        <f>2*29.3*P240*0.92*(BB240-U240)</f>
        <v>0</v>
      </c>
      <c r="AC240">
        <f>2*0.95*5.67E-8*(((BB240+$B$7)+273)^4-(U240+273)^4)</f>
        <v>0</v>
      </c>
      <c r="AD240">
        <f>S240+AC240+AA240+AB240</f>
        <v>0</v>
      </c>
      <c r="AE240">
        <v>0</v>
      </c>
      <c r="AF240">
        <v>0</v>
      </c>
      <c r="AG240">
        <f>IF(AE240*$H$13&gt;=AI240,1.0,(AI240/(AI240-AE240*$H$13)))</f>
        <v>0</v>
      </c>
      <c r="AH240">
        <f>(AG240-1)*100</f>
        <v>0</v>
      </c>
      <c r="AI240">
        <f>MAX(0,($B$13+$C$13*BG240)/(1+$D$13*BG240)*AZ240/(BB240+273)*$E$13)</f>
        <v>0</v>
      </c>
      <c r="AJ240">
        <f>$B$11*BH240+$C$11*BI240+$D$11*BT240</f>
        <v>0</v>
      </c>
      <c r="AK240">
        <f>AJ240*AL240</f>
        <v>0</v>
      </c>
      <c r="AL240">
        <f>($B$11*$D$9+$C$11*$D$9+$D$11*(BU240*$E$9+BV240*$G$9))/($B$11+$C$11+$D$11)</f>
        <v>0</v>
      </c>
      <c r="AM240">
        <f>($B$11*$K$9+$C$11*$K$9+$D$11*(BU240*$L$9+BV240*$N$9))/($B$11+$C$11+$D$11)</f>
        <v>0</v>
      </c>
      <c r="AN240">
        <v>3</v>
      </c>
      <c r="AO240">
        <v>0.5</v>
      </c>
      <c r="AP240" t="s">
        <v>331</v>
      </c>
      <c r="AQ240">
        <v>2</v>
      </c>
      <c r="AR240">
        <v>1773209474</v>
      </c>
      <c r="AS240">
        <v>417.3890322580644</v>
      </c>
      <c r="AT240">
        <v>414.9224838709678</v>
      </c>
      <c r="AU240">
        <v>15.05622580645161</v>
      </c>
      <c r="AV240">
        <v>14.9634064516129</v>
      </c>
      <c r="AW240">
        <v>411.1577096774192</v>
      </c>
      <c r="AX240">
        <v>14.97563225806452</v>
      </c>
      <c r="AY240">
        <v>500.0128709677419</v>
      </c>
      <c r="AZ240">
        <v>99.9367</v>
      </c>
      <c r="BA240">
        <v>0.04586324516129033</v>
      </c>
      <c r="BB240">
        <v>30.85410322580645</v>
      </c>
      <c r="BC240">
        <v>31.16003225806451</v>
      </c>
      <c r="BD240">
        <v>999.9000000000003</v>
      </c>
      <c r="BE240">
        <v>0</v>
      </c>
      <c r="BF240">
        <v>0</v>
      </c>
      <c r="BG240">
        <v>5002.451612903225</v>
      </c>
      <c r="BH240">
        <v>1.113866774193548</v>
      </c>
      <c r="BI240">
        <v>1833.625806451613</v>
      </c>
      <c r="BJ240">
        <v>2.466607096774194</v>
      </c>
      <c r="BK240">
        <v>423.7693870967741</v>
      </c>
      <c r="BL240">
        <v>421.2254838709677</v>
      </c>
      <c r="BM240">
        <v>0.0928254612903226</v>
      </c>
      <c r="BN240">
        <v>414.9224838709678</v>
      </c>
      <c r="BO240">
        <v>14.9634064516129</v>
      </c>
      <c r="BP240">
        <v>1.50467</v>
      </c>
      <c r="BQ240">
        <v>1.495392580645161</v>
      </c>
      <c r="BR240">
        <v>13.0157</v>
      </c>
      <c r="BS240">
        <v>12.92114193548387</v>
      </c>
      <c r="BT240">
        <v>0</v>
      </c>
      <c r="BU240">
        <v>0</v>
      </c>
      <c r="BV240">
        <v>0</v>
      </c>
      <c r="BW240">
        <v>36</v>
      </c>
      <c r="BX240">
        <v>62.89891612903224</v>
      </c>
      <c r="BY240">
        <v>1773196010</v>
      </c>
      <c r="BZ240" t="s">
        <v>332</v>
      </c>
      <c r="CA240">
        <v>1773196010</v>
      </c>
      <c r="CB240">
        <v>1773196005.5</v>
      </c>
      <c r="CC240">
        <v>2</v>
      </c>
      <c r="CD240">
        <v>-0.279</v>
      </c>
      <c r="CE240">
        <v>-0.021</v>
      </c>
      <c r="CF240">
        <v>6.231</v>
      </c>
      <c r="CG240">
        <v>0.081</v>
      </c>
      <c r="CH240">
        <v>432</v>
      </c>
      <c r="CI240">
        <v>21</v>
      </c>
      <c r="CJ240">
        <v>0.03</v>
      </c>
      <c r="CK240">
        <v>0.06</v>
      </c>
      <c r="CL240">
        <v>414.9224838709678</v>
      </c>
      <c r="CM240">
        <v>-0.6738387096784679</v>
      </c>
      <c r="CN240">
        <v>0.05454259712504139</v>
      </c>
      <c r="CO240">
        <v>-1</v>
      </c>
      <c r="CP240">
        <v>500.0128709677419</v>
      </c>
      <c r="CQ240">
        <v>-1.474887096776821</v>
      </c>
      <c r="CR240">
        <v>0.163639797575887</v>
      </c>
      <c r="CS240">
        <v>-1</v>
      </c>
      <c r="CT240">
        <v>0</v>
      </c>
      <c r="CU240">
        <v>0</v>
      </c>
      <c r="CV240" t="s">
        <v>333</v>
      </c>
      <c r="CW240">
        <v>3.17201</v>
      </c>
      <c r="CX240">
        <v>2.66774</v>
      </c>
      <c r="CY240">
        <v>0.0976751</v>
      </c>
      <c r="CZ240">
        <v>0.0984153</v>
      </c>
      <c r="DA240">
        <v>0.0791743</v>
      </c>
      <c r="DB240">
        <v>0.0788695</v>
      </c>
      <c r="DC240">
        <v>21301.3</v>
      </c>
      <c r="DD240">
        <v>21899.8</v>
      </c>
      <c r="DE240">
        <v>22765.6</v>
      </c>
      <c r="DF240">
        <v>22242.6</v>
      </c>
      <c r="DG240">
        <v>31709.9</v>
      </c>
      <c r="DH240">
        <v>28859.9</v>
      </c>
      <c r="DI240">
        <v>40079.1</v>
      </c>
      <c r="DJ240">
        <v>36786.1</v>
      </c>
      <c r="DK240">
        <v>2.01578</v>
      </c>
      <c r="DL240">
        <v>1.4734</v>
      </c>
      <c r="DM240">
        <v>-0.107253</v>
      </c>
      <c r="DN240">
        <v>0</v>
      </c>
      <c r="DO240">
        <v>32.8419</v>
      </c>
      <c r="DP240">
        <v>999.9</v>
      </c>
      <c r="DQ240">
        <v>21.9</v>
      </c>
      <c r="DR240">
        <v>46.9</v>
      </c>
      <c r="DS240">
        <v>23.2809</v>
      </c>
      <c r="DT240">
        <v>30.7692</v>
      </c>
      <c r="DU240">
        <v>14.6474</v>
      </c>
      <c r="DV240">
        <v>1</v>
      </c>
      <c r="DW240">
        <v>1.0009</v>
      </c>
      <c r="DX240">
        <v>6.53565</v>
      </c>
      <c r="DY240">
        <v>20.2118</v>
      </c>
      <c r="DZ240">
        <v>5.20878</v>
      </c>
      <c r="EA240">
        <v>11.8597</v>
      </c>
      <c r="EB240">
        <v>4.96608</v>
      </c>
      <c r="EC240">
        <v>3.29298</v>
      </c>
      <c r="ED240">
        <v>879.4</v>
      </c>
      <c r="EE240">
        <v>9999</v>
      </c>
      <c r="EF240">
        <v>9999</v>
      </c>
      <c r="EG240">
        <v>79.7</v>
      </c>
      <c r="EH240">
        <v>4.97152</v>
      </c>
      <c r="EI240">
        <v>1.8721</v>
      </c>
      <c r="EJ240">
        <v>1.86945</v>
      </c>
      <c r="EK240">
        <v>1.87178</v>
      </c>
      <c r="EL240">
        <v>1.86952</v>
      </c>
      <c r="EM240">
        <v>1.86831</v>
      </c>
      <c r="EN240">
        <v>1.87013</v>
      </c>
      <c r="EO240">
        <v>1.87192</v>
      </c>
      <c r="EP240">
        <v>0</v>
      </c>
      <c r="EQ240">
        <v>0</v>
      </c>
      <c r="ER240">
        <v>0</v>
      </c>
      <c r="ES240">
        <v>0</v>
      </c>
      <c r="ET240" t="s">
        <v>334</v>
      </c>
      <c r="EU240" t="s">
        <v>335</v>
      </c>
      <c r="EV240" t="s">
        <v>336</v>
      </c>
      <c r="EW240" t="s">
        <v>336</v>
      </c>
      <c r="EX240" t="s">
        <v>336</v>
      </c>
      <c r="EY240" t="s">
        <v>336</v>
      </c>
      <c r="EZ240">
        <v>0</v>
      </c>
      <c r="FA240">
        <v>100</v>
      </c>
      <c r="FB240">
        <v>100</v>
      </c>
      <c r="FC240">
        <v>6.231</v>
      </c>
      <c r="FD240">
        <v>0.0806</v>
      </c>
      <c r="FE240">
        <v>6.23135000000002</v>
      </c>
      <c r="FF240">
        <v>0</v>
      </c>
      <c r="FG240">
        <v>0</v>
      </c>
      <c r="FH240">
        <v>0</v>
      </c>
      <c r="FI240">
        <v>0.08059047619047632</v>
      </c>
      <c r="FJ240">
        <v>0</v>
      </c>
      <c r="FK240">
        <v>0</v>
      </c>
      <c r="FL240">
        <v>0</v>
      </c>
      <c r="FM240">
        <v>-1</v>
      </c>
      <c r="FN240">
        <v>-1</v>
      </c>
      <c r="FO240">
        <v>-1</v>
      </c>
      <c r="FP240">
        <v>-1</v>
      </c>
      <c r="FQ240">
        <v>224.5</v>
      </c>
      <c r="FR240">
        <v>224.6</v>
      </c>
      <c r="FS240">
        <v>0.13916</v>
      </c>
      <c r="FT240">
        <v>4.99756</v>
      </c>
      <c r="FU240">
        <v>1.5979</v>
      </c>
      <c r="FV240">
        <v>2.10938</v>
      </c>
      <c r="FW240">
        <v>1.54785</v>
      </c>
      <c r="FX240">
        <v>2.37793</v>
      </c>
      <c r="FY240">
        <v>48.9815</v>
      </c>
      <c r="FZ240">
        <v>14.4998</v>
      </c>
      <c r="GA240">
        <v>3</v>
      </c>
      <c r="GB240">
        <v>521.306</v>
      </c>
      <c r="GC240">
        <v>282.313</v>
      </c>
      <c r="GD240">
        <v>25.6332</v>
      </c>
      <c r="GE240">
        <v>38.9908</v>
      </c>
      <c r="GF240">
        <v>29.9991</v>
      </c>
      <c r="GG240">
        <v>38.8858</v>
      </c>
      <c r="GH240">
        <v>38.8672</v>
      </c>
      <c r="GI240">
        <v>-1</v>
      </c>
      <c r="GJ240">
        <v>100</v>
      </c>
      <c r="GK240">
        <v>0</v>
      </c>
      <c r="GL240">
        <v>25.6331</v>
      </c>
      <c r="GM240">
        <v>1200</v>
      </c>
      <c r="GN240">
        <v>19.4378</v>
      </c>
      <c r="GO240">
        <v>100.822</v>
      </c>
      <c r="GP240">
        <v>96.063</v>
      </c>
    </row>
    <row r="241" spans="1:198">
      <c r="A241">
        <v>225</v>
      </c>
      <c r="B241">
        <v>1773209542</v>
      </c>
      <c r="C241">
        <v>13442</v>
      </c>
      <c r="D241" t="s">
        <v>783</v>
      </c>
      <c r="E241" t="s">
        <v>784</v>
      </c>
      <c r="F241">
        <v>15</v>
      </c>
      <c r="G241">
        <v>1773209534</v>
      </c>
      <c r="H241">
        <f>(I241)/1000</f>
        <v>0</v>
      </c>
      <c r="I241">
        <f>1000*AY241*AG241*(AU241-AV241)/(100*AN241*(1000-AG241*AU241))</f>
        <v>0</v>
      </c>
      <c r="J241">
        <f>AY241*AG241*(AT241-AS241*(1000-AG241*AV241)/(1000-AG241*AU241))/(100*AN241)</f>
        <v>0</v>
      </c>
      <c r="K241">
        <f>AS241 - IF(AG241&gt;1, J241*AN241*100.0/(AI241), 0)</f>
        <v>0</v>
      </c>
      <c r="L241">
        <f>((R241-H241/2)*K241-J241)/(R241+H241/2)</f>
        <v>0</v>
      </c>
      <c r="M241">
        <f>L241*(AZ241+BA241)/1000.0</f>
        <v>0</v>
      </c>
      <c r="N241">
        <f>(AS241 - IF(AG241&gt;1, J241*AN241*100.0/(AI241), 0))*(AZ241+BA241)/1000.0</f>
        <v>0</v>
      </c>
      <c r="O241">
        <f>2.0/((1/Q241-1/P241)+SIGN(Q241)*SQRT((1/Q241-1/P241)*(1/Q241-1/P241) + 4*AO241/((AO241+1)*(AO241+1))*(2*1/Q241*1/P241-1/P241*1/P241)))</f>
        <v>0</v>
      </c>
      <c r="P241">
        <f>IF(LEFT(AP241,1)&lt;&gt;"0",IF(LEFT(AP241,1)="1",3.0,AQ241),$D$5+$E$5*(BG241*AZ241/($K$5*1000))+$F$5*(BG241*AZ241/($K$5*1000))*MAX(MIN(AN241,$J$5),$I$5)*MAX(MIN(AN241,$J$5),$I$5)+$G$5*MAX(MIN(AN241,$J$5),$I$5)*(BG241*AZ241/($K$5*1000))+$H$5*(BG241*AZ241/($K$5*1000))*(BG241*AZ241/($K$5*1000)))</f>
        <v>0</v>
      </c>
      <c r="Q241">
        <f>H241*(1000-(1000*0.61365*exp(17.502*U241/(240.97+U241))/(AZ241+BA241)+AU241)/2)/(1000*0.61365*exp(17.502*U241/(240.97+U241))/(AZ241+BA241)-AU241)</f>
        <v>0</v>
      </c>
      <c r="R241">
        <f>1/((AO241+1)/(O241/1.6)+1/(P241/1.37)) + AO241/((AO241+1)/(O241/1.6) + AO241/(P241/1.37))</f>
        <v>0</v>
      </c>
      <c r="S241">
        <f>(AJ241*AM241)</f>
        <v>0</v>
      </c>
      <c r="T241">
        <f>(BB241+(S241+2*0.95*5.67E-8*(((BB241+$B$7)+273)^4-(BB241+273)^4)-44100*H241)/(1.84*29.3*P241+8*0.95*5.67E-8*(BB241+273)^3))</f>
        <v>0</v>
      </c>
      <c r="U241">
        <f>($C$7*BC241+$D$7*BD241+$E$7*T241)</f>
        <v>0</v>
      </c>
      <c r="V241">
        <f>0.61365*exp(17.502*U241/(240.97+U241))</f>
        <v>0</v>
      </c>
      <c r="W241">
        <f>(X241/Y241*100)</f>
        <v>0</v>
      </c>
      <c r="X241">
        <f>AU241*(AZ241+BA241)/1000</f>
        <v>0</v>
      </c>
      <c r="Y241">
        <f>0.61365*exp(17.502*BB241/(240.97+BB241))</f>
        <v>0</v>
      </c>
      <c r="Z241">
        <f>(V241-AU241*(AZ241+BA241)/1000)</f>
        <v>0</v>
      </c>
      <c r="AA241">
        <f>(-H241*44100)</f>
        <v>0</v>
      </c>
      <c r="AB241">
        <f>2*29.3*P241*0.92*(BB241-U241)</f>
        <v>0</v>
      </c>
      <c r="AC241">
        <f>2*0.95*5.67E-8*(((BB241+$B$7)+273)^4-(U241+273)^4)</f>
        <v>0</v>
      </c>
      <c r="AD241">
        <f>S241+AC241+AA241+AB241</f>
        <v>0</v>
      </c>
      <c r="AE241">
        <v>0</v>
      </c>
      <c r="AF241">
        <v>0</v>
      </c>
      <c r="AG241">
        <f>IF(AE241*$H$13&gt;=AI241,1.0,(AI241/(AI241-AE241*$H$13)))</f>
        <v>0</v>
      </c>
      <c r="AH241">
        <f>(AG241-1)*100</f>
        <v>0</v>
      </c>
      <c r="AI241">
        <f>MAX(0,($B$13+$C$13*BG241)/(1+$D$13*BG241)*AZ241/(BB241+273)*$E$13)</f>
        <v>0</v>
      </c>
      <c r="AJ241">
        <f>$B$11*BH241+$C$11*BI241+$D$11*BT241</f>
        <v>0</v>
      </c>
      <c r="AK241">
        <f>AJ241*AL241</f>
        <v>0</v>
      </c>
      <c r="AL241">
        <f>($B$11*$D$9+$C$11*$D$9+$D$11*(BU241*$E$9+BV241*$G$9))/($B$11+$C$11+$D$11)</f>
        <v>0</v>
      </c>
      <c r="AM241">
        <f>($B$11*$K$9+$C$11*$K$9+$D$11*(BU241*$L$9+BV241*$N$9))/($B$11+$C$11+$D$11)</f>
        <v>0</v>
      </c>
      <c r="AN241">
        <v>3</v>
      </c>
      <c r="AO241">
        <v>0.5</v>
      </c>
      <c r="AP241" t="s">
        <v>331</v>
      </c>
      <c r="AQ241">
        <v>2</v>
      </c>
      <c r="AR241">
        <v>1773209534</v>
      </c>
      <c r="AS241">
        <v>417.3821612903226</v>
      </c>
      <c r="AT241">
        <v>415.0570000000001</v>
      </c>
      <c r="AU241">
        <v>14.98807096774194</v>
      </c>
      <c r="AV241">
        <v>14.89615483870968</v>
      </c>
      <c r="AW241">
        <v>411.1507096774193</v>
      </c>
      <c r="AX241">
        <v>14.90747741935484</v>
      </c>
      <c r="AY241">
        <v>499.9221612903226</v>
      </c>
      <c r="AZ241">
        <v>99.93730967741936</v>
      </c>
      <c r="BA241">
        <v>0.04607266451612902</v>
      </c>
      <c r="BB241">
        <v>30.83366774193549</v>
      </c>
      <c r="BC241">
        <v>31.15393548387097</v>
      </c>
      <c r="BD241">
        <v>999.9000000000003</v>
      </c>
      <c r="BE241">
        <v>0</v>
      </c>
      <c r="BF241">
        <v>0</v>
      </c>
      <c r="BG241">
        <v>5003.790322580645</v>
      </c>
      <c r="BH241">
        <v>1.133504516129032</v>
      </c>
      <c r="BI241">
        <v>1832.16</v>
      </c>
      <c r="BJ241">
        <v>2.325203548387096</v>
      </c>
      <c r="BK241">
        <v>423.7331935483871</v>
      </c>
      <c r="BL241">
        <v>421.3331935483871</v>
      </c>
      <c r="BM241">
        <v>0.09189756451612902</v>
      </c>
      <c r="BN241">
        <v>415.0570000000001</v>
      </c>
      <c r="BO241">
        <v>14.89615483870968</v>
      </c>
      <c r="BP241">
        <v>1.497866129032258</v>
      </c>
      <c r="BQ241">
        <v>1.488682258064516</v>
      </c>
      <c r="BR241">
        <v>12.9463935483871</v>
      </c>
      <c r="BS241">
        <v>12.85240967741936</v>
      </c>
      <c r="BT241">
        <v>0</v>
      </c>
      <c r="BU241">
        <v>0</v>
      </c>
      <c r="BV241">
        <v>0</v>
      </c>
      <c r="BW241">
        <v>36</v>
      </c>
      <c r="BX241">
        <v>62.66560322580645</v>
      </c>
      <c r="BY241">
        <v>1773196010</v>
      </c>
      <c r="BZ241" t="s">
        <v>332</v>
      </c>
      <c r="CA241">
        <v>1773196010</v>
      </c>
      <c r="CB241">
        <v>1773196005.5</v>
      </c>
      <c r="CC241">
        <v>2</v>
      </c>
      <c r="CD241">
        <v>-0.279</v>
      </c>
      <c r="CE241">
        <v>-0.021</v>
      </c>
      <c r="CF241">
        <v>6.231</v>
      </c>
      <c r="CG241">
        <v>0.081</v>
      </c>
      <c r="CH241">
        <v>432</v>
      </c>
      <c r="CI241">
        <v>21</v>
      </c>
      <c r="CJ241">
        <v>0.03</v>
      </c>
      <c r="CK241">
        <v>0.06</v>
      </c>
      <c r="CL241">
        <v>415.0538333333334</v>
      </c>
      <c r="CM241">
        <v>0.6485339265850384</v>
      </c>
      <c r="CN241">
        <v>0.04802713353465889</v>
      </c>
      <c r="CO241">
        <v>-1</v>
      </c>
      <c r="CP241">
        <v>499.9155333333334</v>
      </c>
      <c r="CQ241">
        <v>-0.7377797552830234</v>
      </c>
      <c r="CR241">
        <v>0.2823151588010958</v>
      </c>
      <c r="CS241">
        <v>-1</v>
      </c>
      <c r="CT241">
        <v>0</v>
      </c>
      <c r="CU241">
        <v>0</v>
      </c>
      <c r="CV241" t="s">
        <v>333</v>
      </c>
      <c r="CW241">
        <v>3.1722</v>
      </c>
      <c r="CX241">
        <v>2.66889</v>
      </c>
      <c r="CY241">
        <v>0.0977141</v>
      </c>
      <c r="CZ241">
        <v>0.0984728</v>
      </c>
      <c r="DA241">
        <v>0.0789653</v>
      </c>
      <c r="DB241">
        <v>0.0786732</v>
      </c>
      <c r="DC241">
        <v>21302.9</v>
      </c>
      <c r="DD241">
        <v>21900.7</v>
      </c>
      <c r="DE241">
        <v>22768.1</v>
      </c>
      <c r="DF241">
        <v>22244.8</v>
      </c>
      <c r="DG241">
        <v>31720.5</v>
      </c>
      <c r="DH241">
        <v>28868.8</v>
      </c>
      <c r="DI241">
        <v>40083.4</v>
      </c>
      <c r="DJ241">
        <v>36789.6</v>
      </c>
      <c r="DK241">
        <v>2.01658</v>
      </c>
      <c r="DL241">
        <v>1.47434</v>
      </c>
      <c r="DM241">
        <v>-0.104454</v>
      </c>
      <c r="DN241">
        <v>0</v>
      </c>
      <c r="DO241">
        <v>32.8552</v>
      </c>
      <c r="DP241">
        <v>999.9</v>
      </c>
      <c r="DQ241">
        <v>21.9</v>
      </c>
      <c r="DR241">
        <v>46.9</v>
      </c>
      <c r="DS241">
        <v>23.2794</v>
      </c>
      <c r="DT241">
        <v>30.6792</v>
      </c>
      <c r="DU241">
        <v>14.6875</v>
      </c>
      <c r="DV241">
        <v>1</v>
      </c>
      <c r="DW241">
        <v>0.990896</v>
      </c>
      <c r="DX241">
        <v>5.92075</v>
      </c>
      <c r="DY241">
        <v>20.2391</v>
      </c>
      <c r="DZ241">
        <v>5.20962</v>
      </c>
      <c r="EA241">
        <v>11.8598</v>
      </c>
      <c r="EB241">
        <v>4.96708</v>
      </c>
      <c r="EC241">
        <v>3.29294</v>
      </c>
      <c r="ED241">
        <v>879.4</v>
      </c>
      <c r="EE241">
        <v>9999</v>
      </c>
      <c r="EF241">
        <v>9999</v>
      </c>
      <c r="EG241">
        <v>79.8</v>
      </c>
      <c r="EH241">
        <v>4.97153</v>
      </c>
      <c r="EI241">
        <v>1.8721</v>
      </c>
      <c r="EJ241">
        <v>1.86944</v>
      </c>
      <c r="EK241">
        <v>1.8718</v>
      </c>
      <c r="EL241">
        <v>1.86951</v>
      </c>
      <c r="EM241">
        <v>1.86832</v>
      </c>
      <c r="EN241">
        <v>1.87012</v>
      </c>
      <c r="EO241">
        <v>1.87192</v>
      </c>
      <c r="EP241">
        <v>0</v>
      </c>
      <c r="EQ241">
        <v>0</v>
      </c>
      <c r="ER241">
        <v>0</v>
      </c>
      <c r="ES241">
        <v>0</v>
      </c>
      <c r="ET241" t="s">
        <v>334</v>
      </c>
      <c r="EU241" t="s">
        <v>335</v>
      </c>
      <c r="EV241" t="s">
        <v>336</v>
      </c>
      <c r="EW241" t="s">
        <v>336</v>
      </c>
      <c r="EX241" t="s">
        <v>336</v>
      </c>
      <c r="EY241" t="s">
        <v>336</v>
      </c>
      <c r="EZ241">
        <v>0</v>
      </c>
      <c r="FA241">
        <v>100</v>
      </c>
      <c r="FB241">
        <v>100</v>
      </c>
      <c r="FC241">
        <v>6.231</v>
      </c>
      <c r="FD241">
        <v>0.0806</v>
      </c>
      <c r="FE241">
        <v>6.23135000000002</v>
      </c>
      <c r="FF241">
        <v>0</v>
      </c>
      <c r="FG241">
        <v>0</v>
      </c>
      <c r="FH241">
        <v>0</v>
      </c>
      <c r="FI241">
        <v>0.08059047619047632</v>
      </c>
      <c r="FJ241">
        <v>0</v>
      </c>
      <c r="FK241">
        <v>0</v>
      </c>
      <c r="FL241">
        <v>0</v>
      </c>
      <c r="FM241">
        <v>-1</v>
      </c>
      <c r="FN241">
        <v>-1</v>
      </c>
      <c r="FO241">
        <v>-1</v>
      </c>
      <c r="FP241">
        <v>-1</v>
      </c>
      <c r="FQ241">
        <v>225.5</v>
      </c>
      <c r="FR241">
        <v>225.6</v>
      </c>
      <c r="FS241">
        <v>0.13916</v>
      </c>
      <c r="FT241">
        <v>4.99756</v>
      </c>
      <c r="FU241">
        <v>1.5979</v>
      </c>
      <c r="FV241">
        <v>2.10938</v>
      </c>
      <c r="FW241">
        <v>1.54785</v>
      </c>
      <c r="FX241">
        <v>2.44385</v>
      </c>
      <c r="FY241">
        <v>48.888</v>
      </c>
      <c r="FZ241">
        <v>14.5261</v>
      </c>
      <c r="GA241">
        <v>3</v>
      </c>
      <c r="GB241">
        <v>521.529</v>
      </c>
      <c r="GC241">
        <v>282.596</v>
      </c>
      <c r="GD241">
        <v>26.1284</v>
      </c>
      <c r="GE241">
        <v>38.9501</v>
      </c>
      <c r="GF241">
        <v>29.9999</v>
      </c>
      <c r="GG241">
        <v>38.8438</v>
      </c>
      <c r="GH241">
        <v>38.8254</v>
      </c>
      <c r="GI241">
        <v>-1</v>
      </c>
      <c r="GJ241">
        <v>100</v>
      </c>
      <c r="GK241">
        <v>0</v>
      </c>
      <c r="GL241">
        <v>26.0941</v>
      </c>
      <c r="GM241">
        <v>1200</v>
      </c>
      <c r="GN241">
        <v>19.4378</v>
      </c>
      <c r="GO241">
        <v>100.833</v>
      </c>
      <c r="GP241">
        <v>96.07210000000001</v>
      </c>
    </row>
    <row r="242" spans="1:198">
      <c r="A242">
        <v>226</v>
      </c>
      <c r="B242">
        <v>1773209602</v>
      </c>
      <c r="C242">
        <v>13502</v>
      </c>
      <c r="D242" t="s">
        <v>785</v>
      </c>
      <c r="E242" t="s">
        <v>786</v>
      </c>
      <c r="F242">
        <v>15</v>
      </c>
      <c r="G242">
        <v>1773209594</v>
      </c>
      <c r="H242">
        <f>(I242)/1000</f>
        <v>0</v>
      </c>
      <c r="I242">
        <f>1000*AY242*AG242*(AU242-AV242)/(100*AN242*(1000-AG242*AU242))</f>
        <v>0</v>
      </c>
      <c r="J242">
        <f>AY242*AG242*(AT242-AS242*(1000-AG242*AV242)/(1000-AG242*AU242))/(100*AN242)</f>
        <v>0</v>
      </c>
      <c r="K242">
        <f>AS242 - IF(AG242&gt;1, J242*AN242*100.0/(AI242), 0)</f>
        <v>0</v>
      </c>
      <c r="L242">
        <f>((R242-H242/2)*K242-J242)/(R242+H242/2)</f>
        <v>0</v>
      </c>
      <c r="M242">
        <f>L242*(AZ242+BA242)/1000.0</f>
        <v>0</v>
      </c>
      <c r="N242">
        <f>(AS242 - IF(AG242&gt;1, J242*AN242*100.0/(AI242), 0))*(AZ242+BA242)/1000.0</f>
        <v>0</v>
      </c>
      <c r="O242">
        <f>2.0/((1/Q242-1/P242)+SIGN(Q242)*SQRT((1/Q242-1/P242)*(1/Q242-1/P242) + 4*AO242/((AO242+1)*(AO242+1))*(2*1/Q242*1/P242-1/P242*1/P242)))</f>
        <v>0</v>
      </c>
      <c r="P242">
        <f>IF(LEFT(AP242,1)&lt;&gt;"0",IF(LEFT(AP242,1)="1",3.0,AQ242),$D$5+$E$5*(BG242*AZ242/($K$5*1000))+$F$5*(BG242*AZ242/($K$5*1000))*MAX(MIN(AN242,$J$5),$I$5)*MAX(MIN(AN242,$J$5),$I$5)+$G$5*MAX(MIN(AN242,$J$5),$I$5)*(BG242*AZ242/($K$5*1000))+$H$5*(BG242*AZ242/($K$5*1000))*(BG242*AZ242/($K$5*1000)))</f>
        <v>0</v>
      </c>
      <c r="Q242">
        <f>H242*(1000-(1000*0.61365*exp(17.502*U242/(240.97+U242))/(AZ242+BA242)+AU242)/2)/(1000*0.61365*exp(17.502*U242/(240.97+U242))/(AZ242+BA242)-AU242)</f>
        <v>0</v>
      </c>
      <c r="R242">
        <f>1/((AO242+1)/(O242/1.6)+1/(P242/1.37)) + AO242/((AO242+1)/(O242/1.6) + AO242/(P242/1.37))</f>
        <v>0</v>
      </c>
      <c r="S242">
        <f>(AJ242*AM242)</f>
        <v>0</v>
      </c>
      <c r="T242">
        <f>(BB242+(S242+2*0.95*5.67E-8*(((BB242+$B$7)+273)^4-(BB242+273)^4)-44100*H242)/(1.84*29.3*P242+8*0.95*5.67E-8*(BB242+273)^3))</f>
        <v>0</v>
      </c>
      <c r="U242">
        <f>($C$7*BC242+$D$7*BD242+$E$7*T242)</f>
        <v>0</v>
      </c>
      <c r="V242">
        <f>0.61365*exp(17.502*U242/(240.97+U242))</f>
        <v>0</v>
      </c>
      <c r="W242">
        <f>(X242/Y242*100)</f>
        <v>0</v>
      </c>
      <c r="X242">
        <f>AU242*(AZ242+BA242)/1000</f>
        <v>0</v>
      </c>
      <c r="Y242">
        <f>0.61365*exp(17.502*BB242/(240.97+BB242))</f>
        <v>0</v>
      </c>
      <c r="Z242">
        <f>(V242-AU242*(AZ242+BA242)/1000)</f>
        <v>0</v>
      </c>
      <c r="AA242">
        <f>(-H242*44100)</f>
        <v>0</v>
      </c>
      <c r="AB242">
        <f>2*29.3*P242*0.92*(BB242-U242)</f>
        <v>0</v>
      </c>
      <c r="AC242">
        <f>2*0.95*5.67E-8*(((BB242+$B$7)+273)^4-(U242+273)^4)</f>
        <v>0</v>
      </c>
      <c r="AD242">
        <f>S242+AC242+AA242+AB242</f>
        <v>0</v>
      </c>
      <c r="AE242">
        <v>0</v>
      </c>
      <c r="AF242">
        <v>0</v>
      </c>
      <c r="AG242">
        <f>IF(AE242*$H$13&gt;=AI242,1.0,(AI242/(AI242-AE242*$H$13)))</f>
        <v>0</v>
      </c>
      <c r="AH242">
        <f>(AG242-1)*100</f>
        <v>0</v>
      </c>
      <c r="AI242">
        <f>MAX(0,($B$13+$C$13*BG242)/(1+$D$13*BG242)*AZ242/(BB242+273)*$E$13)</f>
        <v>0</v>
      </c>
      <c r="AJ242">
        <f>$B$11*BH242+$C$11*BI242+$D$11*BT242</f>
        <v>0</v>
      </c>
      <c r="AK242">
        <f>AJ242*AL242</f>
        <v>0</v>
      </c>
      <c r="AL242">
        <f>($B$11*$D$9+$C$11*$D$9+$D$11*(BU242*$E$9+BV242*$G$9))/($B$11+$C$11+$D$11)</f>
        <v>0</v>
      </c>
      <c r="AM242">
        <f>($B$11*$K$9+$C$11*$K$9+$D$11*(BU242*$L$9+BV242*$N$9))/($B$11+$C$11+$D$11)</f>
        <v>0</v>
      </c>
      <c r="AN242">
        <v>3</v>
      </c>
      <c r="AO242">
        <v>0.5</v>
      </c>
      <c r="AP242" t="s">
        <v>331</v>
      </c>
      <c r="AQ242">
        <v>2</v>
      </c>
      <c r="AR242">
        <v>1773209594</v>
      </c>
      <c r="AS242">
        <v>417.3011935483871</v>
      </c>
      <c r="AT242">
        <v>414.9303548387097</v>
      </c>
      <c r="AU242">
        <v>14.94719032258064</v>
      </c>
      <c r="AV242">
        <v>14.84744193548387</v>
      </c>
      <c r="AW242">
        <v>411.0699354838711</v>
      </c>
      <c r="AX242">
        <v>14.86660322580645</v>
      </c>
      <c r="AY242">
        <v>499.944935483871</v>
      </c>
      <c r="AZ242">
        <v>99.93660322580646</v>
      </c>
      <c r="BA242">
        <v>0.04600019032258065</v>
      </c>
      <c r="BB242">
        <v>30.75929677419354</v>
      </c>
      <c r="BC242">
        <v>31.0783935483871</v>
      </c>
      <c r="BD242">
        <v>999.9000000000003</v>
      </c>
      <c r="BE242">
        <v>0</v>
      </c>
      <c r="BF242">
        <v>0</v>
      </c>
      <c r="BG242">
        <v>5001.548387096775</v>
      </c>
      <c r="BH242">
        <v>1.137945483870968</v>
      </c>
      <c r="BI242">
        <v>1840.281290322581</v>
      </c>
      <c r="BJ242">
        <v>2.370890322580645</v>
      </c>
      <c r="BK242">
        <v>423.633258064516</v>
      </c>
      <c r="BL242">
        <v>421.1838709677419</v>
      </c>
      <c r="BM242">
        <v>0.0997547516129032</v>
      </c>
      <c r="BN242">
        <v>414.9303548387097</v>
      </c>
      <c r="BO242">
        <v>14.84744193548387</v>
      </c>
      <c r="BP242">
        <v>1.493772580645161</v>
      </c>
      <c r="BQ242">
        <v>1.483802903225807</v>
      </c>
      <c r="BR242">
        <v>12.90456774193548</v>
      </c>
      <c r="BS242">
        <v>12.80227741935484</v>
      </c>
      <c r="BT242">
        <v>0</v>
      </c>
      <c r="BU242">
        <v>0</v>
      </c>
      <c r="BV242">
        <v>0</v>
      </c>
      <c r="BW242">
        <v>35.58924516129032</v>
      </c>
      <c r="BX242">
        <v>63.96774193548387</v>
      </c>
      <c r="BY242">
        <v>1773196010</v>
      </c>
      <c r="BZ242" t="s">
        <v>332</v>
      </c>
      <c r="CA242">
        <v>1773196010</v>
      </c>
      <c r="CB242">
        <v>1773196005.5</v>
      </c>
      <c r="CC242">
        <v>2</v>
      </c>
      <c r="CD242">
        <v>-0.279</v>
      </c>
      <c r="CE242">
        <v>-0.021</v>
      </c>
      <c r="CF242">
        <v>6.231</v>
      </c>
      <c r="CG242">
        <v>0.081</v>
      </c>
      <c r="CH242">
        <v>432</v>
      </c>
      <c r="CI242">
        <v>21</v>
      </c>
      <c r="CJ242">
        <v>0.03</v>
      </c>
      <c r="CK242">
        <v>0.06</v>
      </c>
      <c r="CL242">
        <v>414.9303548387097</v>
      </c>
      <c r="CM242">
        <v>0.09662903225668809</v>
      </c>
      <c r="CN242">
        <v>0.01772650355258214</v>
      </c>
      <c r="CO242">
        <v>-1</v>
      </c>
      <c r="CP242">
        <v>499.944935483871</v>
      </c>
      <c r="CQ242">
        <v>1.189596774191813</v>
      </c>
      <c r="CR242">
        <v>0.13051731697831</v>
      </c>
      <c r="CS242">
        <v>-1</v>
      </c>
      <c r="CT242">
        <v>0</v>
      </c>
      <c r="CU242">
        <v>0</v>
      </c>
      <c r="CV242" t="s">
        <v>333</v>
      </c>
      <c r="CW242">
        <v>3.17194</v>
      </c>
      <c r="CX242">
        <v>2.66798</v>
      </c>
      <c r="CY242">
        <v>0.09769559999999999</v>
      </c>
      <c r="CZ242">
        <v>0.09843590000000001</v>
      </c>
      <c r="DA242">
        <v>0.0787776</v>
      </c>
      <c r="DB242">
        <v>0.0784406</v>
      </c>
      <c r="DC242">
        <v>21306.1</v>
      </c>
      <c r="DD242">
        <v>21904.5</v>
      </c>
      <c r="DE242">
        <v>22770.8</v>
      </c>
      <c r="DF242">
        <v>22247.7</v>
      </c>
      <c r="DG242">
        <v>31730.5</v>
      </c>
      <c r="DH242">
        <v>28879.9</v>
      </c>
      <c r="DI242">
        <v>40087.8</v>
      </c>
      <c r="DJ242">
        <v>36794.5</v>
      </c>
      <c r="DK242">
        <v>2.01704</v>
      </c>
      <c r="DL242">
        <v>1.47522</v>
      </c>
      <c r="DM242">
        <v>-0.107595</v>
      </c>
      <c r="DN242">
        <v>0</v>
      </c>
      <c r="DO242">
        <v>32.8187</v>
      </c>
      <c r="DP242">
        <v>999.9</v>
      </c>
      <c r="DQ242">
        <v>21.7</v>
      </c>
      <c r="DR242">
        <v>46.9</v>
      </c>
      <c r="DS242">
        <v>23.0711</v>
      </c>
      <c r="DT242">
        <v>30.5892</v>
      </c>
      <c r="DU242">
        <v>14.7356</v>
      </c>
      <c r="DV242">
        <v>1</v>
      </c>
      <c r="DW242">
        <v>0.981039</v>
      </c>
      <c r="DX242">
        <v>5.32032</v>
      </c>
      <c r="DY242">
        <v>20.2647</v>
      </c>
      <c r="DZ242">
        <v>5.20807</v>
      </c>
      <c r="EA242">
        <v>11.859</v>
      </c>
      <c r="EB242">
        <v>4.96684</v>
      </c>
      <c r="EC242">
        <v>3.29294</v>
      </c>
      <c r="ED242">
        <v>879.4</v>
      </c>
      <c r="EE242">
        <v>9999</v>
      </c>
      <c r="EF242">
        <v>9999</v>
      </c>
      <c r="EG242">
        <v>79.8</v>
      </c>
      <c r="EH242">
        <v>4.97156</v>
      </c>
      <c r="EI242">
        <v>1.87209</v>
      </c>
      <c r="EJ242">
        <v>1.86949</v>
      </c>
      <c r="EK242">
        <v>1.8718</v>
      </c>
      <c r="EL242">
        <v>1.86953</v>
      </c>
      <c r="EM242">
        <v>1.86834</v>
      </c>
      <c r="EN242">
        <v>1.87014</v>
      </c>
      <c r="EO242">
        <v>1.87194</v>
      </c>
      <c r="EP242">
        <v>0</v>
      </c>
      <c r="EQ242">
        <v>0</v>
      </c>
      <c r="ER242">
        <v>0</v>
      </c>
      <c r="ES242">
        <v>0</v>
      </c>
      <c r="ET242" t="s">
        <v>334</v>
      </c>
      <c r="EU242" t="s">
        <v>335</v>
      </c>
      <c r="EV242" t="s">
        <v>336</v>
      </c>
      <c r="EW242" t="s">
        <v>336</v>
      </c>
      <c r="EX242" t="s">
        <v>336</v>
      </c>
      <c r="EY242" t="s">
        <v>336</v>
      </c>
      <c r="EZ242">
        <v>0</v>
      </c>
      <c r="FA242">
        <v>100</v>
      </c>
      <c r="FB242">
        <v>100</v>
      </c>
      <c r="FC242">
        <v>6.231</v>
      </c>
      <c r="FD242">
        <v>0.0806</v>
      </c>
      <c r="FE242">
        <v>6.23135000000002</v>
      </c>
      <c r="FF242">
        <v>0</v>
      </c>
      <c r="FG242">
        <v>0</v>
      </c>
      <c r="FH242">
        <v>0</v>
      </c>
      <c r="FI242">
        <v>0.08059047619047632</v>
      </c>
      <c r="FJ242">
        <v>0</v>
      </c>
      <c r="FK242">
        <v>0</v>
      </c>
      <c r="FL242">
        <v>0</v>
      </c>
      <c r="FM242">
        <v>-1</v>
      </c>
      <c r="FN242">
        <v>-1</v>
      </c>
      <c r="FO242">
        <v>-1</v>
      </c>
      <c r="FP242">
        <v>-1</v>
      </c>
      <c r="FQ242">
        <v>226.5</v>
      </c>
      <c r="FR242">
        <v>226.6</v>
      </c>
      <c r="FS242">
        <v>0.140381</v>
      </c>
      <c r="FT242">
        <v>4.99756</v>
      </c>
      <c r="FU242">
        <v>1.5979</v>
      </c>
      <c r="FV242">
        <v>2.10815</v>
      </c>
      <c r="FW242">
        <v>1.54785</v>
      </c>
      <c r="FX242">
        <v>2.37671</v>
      </c>
      <c r="FY242">
        <v>48.7326</v>
      </c>
      <c r="FZ242">
        <v>14.5173</v>
      </c>
      <c r="GA242">
        <v>3</v>
      </c>
      <c r="GB242">
        <v>521.482</v>
      </c>
      <c r="GC242">
        <v>282.824</v>
      </c>
      <c r="GD242">
        <v>26.2832</v>
      </c>
      <c r="GE242">
        <v>38.8995</v>
      </c>
      <c r="GF242">
        <v>29.9998</v>
      </c>
      <c r="GG242">
        <v>38.7965</v>
      </c>
      <c r="GH242">
        <v>38.7769</v>
      </c>
      <c r="GI242">
        <v>-1</v>
      </c>
      <c r="GJ242">
        <v>100</v>
      </c>
      <c r="GK242">
        <v>0</v>
      </c>
      <c r="GL242">
        <v>26.3218</v>
      </c>
      <c r="GM242">
        <v>1200</v>
      </c>
      <c r="GN242">
        <v>19.4378</v>
      </c>
      <c r="GO242">
        <v>100.844</v>
      </c>
      <c r="GP242">
        <v>96.0847</v>
      </c>
    </row>
    <row r="243" spans="1:198">
      <c r="A243">
        <v>227</v>
      </c>
      <c r="B243">
        <v>1773209662</v>
      </c>
      <c r="C243">
        <v>13562</v>
      </c>
      <c r="D243" t="s">
        <v>787</v>
      </c>
      <c r="E243" t="s">
        <v>788</v>
      </c>
      <c r="F243">
        <v>15</v>
      </c>
      <c r="G243">
        <v>1773209654</v>
      </c>
      <c r="H243">
        <f>(I243)/1000</f>
        <v>0</v>
      </c>
      <c r="I243">
        <f>1000*AY243*AG243*(AU243-AV243)/(100*AN243*(1000-AG243*AU243))</f>
        <v>0</v>
      </c>
      <c r="J243">
        <f>AY243*AG243*(AT243-AS243*(1000-AG243*AV243)/(1000-AG243*AU243))/(100*AN243)</f>
        <v>0</v>
      </c>
      <c r="K243">
        <f>AS243 - IF(AG243&gt;1, J243*AN243*100.0/(AI243), 0)</f>
        <v>0</v>
      </c>
      <c r="L243">
        <f>((R243-H243/2)*K243-J243)/(R243+H243/2)</f>
        <v>0</v>
      </c>
      <c r="M243">
        <f>L243*(AZ243+BA243)/1000.0</f>
        <v>0</v>
      </c>
      <c r="N243">
        <f>(AS243 - IF(AG243&gt;1, J243*AN243*100.0/(AI243), 0))*(AZ243+BA243)/1000.0</f>
        <v>0</v>
      </c>
      <c r="O243">
        <f>2.0/((1/Q243-1/P243)+SIGN(Q243)*SQRT((1/Q243-1/P243)*(1/Q243-1/P243) + 4*AO243/((AO243+1)*(AO243+1))*(2*1/Q243*1/P243-1/P243*1/P243)))</f>
        <v>0</v>
      </c>
      <c r="P243">
        <f>IF(LEFT(AP243,1)&lt;&gt;"0",IF(LEFT(AP243,1)="1",3.0,AQ243),$D$5+$E$5*(BG243*AZ243/($K$5*1000))+$F$5*(BG243*AZ243/($K$5*1000))*MAX(MIN(AN243,$J$5),$I$5)*MAX(MIN(AN243,$J$5),$I$5)+$G$5*MAX(MIN(AN243,$J$5),$I$5)*(BG243*AZ243/($K$5*1000))+$H$5*(BG243*AZ243/($K$5*1000))*(BG243*AZ243/($K$5*1000)))</f>
        <v>0</v>
      </c>
      <c r="Q243">
        <f>H243*(1000-(1000*0.61365*exp(17.502*U243/(240.97+U243))/(AZ243+BA243)+AU243)/2)/(1000*0.61365*exp(17.502*U243/(240.97+U243))/(AZ243+BA243)-AU243)</f>
        <v>0</v>
      </c>
      <c r="R243">
        <f>1/((AO243+1)/(O243/1.6)+1/(P243/1.37)) + AO243/((AO243+1)/(O243/1.6) + AO243/(P243/1.37))</f>
        <v>0</v>
      </c>
      <c r="S243">
        <f>(AJ243*AM243)</f>
        <v>0</v>
      </c>
      <c r="T243">
        <f>(BB243+(S243+2*0.95*5.67E-8*(((BB243+$B$7)+273)^4-(BB243+273)^4)-44100*H243)/(1.84*29.3*P243+8*0.95*5.67E-8*(BB243+273)^3))</f>
        <v>0</v>
      </c>
      <c r="U243">
        <f>($C$7*BC243+$D$7*BD243+$E$7*T243)</f>
        <v>0</v>
      </c>
      <c r="V243">
        <f>0.61365*exp(17.502*U243/(240.97+U243))</f>
        <v>0</v>
      </c>
      <c r="W243">
        <f>(X243/Y243*100)</f>
        <v>0</v>
      </c>
      <c r="X243">
        <f>AU243*(AZ243+BA243)/1000</f>
        <v>0</v>
      </c>
      <c r="Y243">
        <f>0.61365*exp(17.502*BB243/(240.97+BB243))</f>
        <v>0</v>
      </c>
      <c r="Z243">
        <f>(V243-AU243*(AZ243+BA243)/1000)</f>
        <v>0</v>
      </c>
      <c r="AA243">
        <f>(-H243*44100)</f>
        <v>0</v>
      </c>
      <c r="AB243">
        <f>2*29.3*P243*0.92*(BB243-U243)</f>
        <v>0</v>
      </c>
      <c r="AC243">
        <f>2*0.95*5.67E-8*(((BB243+$B$7)+273)^4-(U243+273)^4)</f>
        <v>0</v>
      </c>
      <c r="AD243">
        <f>S243+AC243+AA243+AB243</f>
        <v>0</v>
      </c>
      <c r="AE243">
        <v>0</v>
      </c>
      <c r="AF243">
        <v>0</v>
      </c>
      <c r="AG243">
        <f>IF(AE243*$H$13&gt;=AI243,1.0,(AI243/(AI243-AE243*$H$13)))</f>
        <v>0</v>
      </c>
      <c r="AH243">
        <f>(AG243-1)*100</f>
        <v>0</v>
      </c>
      <c r="AI243">
        <f>MAX(0,($B$13+$C$13*BG243)/(1+$D$13*BG243)*AZ243/(BB243+273)*$E$13)</f>
        <v>0</v>
      </c>
      <c r="AJ243">
        <f>$B$11*BH243+$C$11*BI243+$D$11*BT243</f>
        <v>0</v>
      </c>
      <c r="AK243">
        <f>AJ243*AL243</f>
        <v>0</v>
      </c>
      <c r="AL243">
        <f>($B$11*$D$9+$C$11*$D$9+$D$11*(BU243*$E$9+BV243*$G$9))/($B$11+$C$11+$D$11)</f>
        <v>0</v>
      </c>
      <c r="AM243">
        <f>($B$11*$K$9+$C$11*$K$9+$D$11*(BU243*$L$9+BV243*$N$9))/($B$11+$C$11+$D$11)</f>
        <v>0</v>
      </c>
      <c r="AN243">
        <v>3</v>
      </c>
      <c r="AO243">
        <v>0.5</v>
      </c>
      <c r="AP243" t="s">
        <v>331</v>
      </c>
      <c r="AQ243">
        <v>2</v>
      </c>
      <c r="AR243">
        <v>1773209654</v>
      </c>
      <c r="AS243">
        <v>417.188935483871</v>
      </c>
      <c r="AT243">
        <v>414.8175483870968</v>
      </c>
      <c r="AU243">
        <v>14.86733225806451</v>
      </c>
      <c r="AV243">
        <v>14.76154838709677</v>
      </c>
      <c r="AW243">
        <v>410.9576129032259</v>
      </c>
      <c r="AX243">
        <v>14.78674838709678</v>
      </c>
      <c r="AY243">
        <v>500.0644838709676</v>
      </c>
      <c r="AZ243">
        <v>99.94180322580647</v>
      </c>
      <c r="BA243">
        <v>0.04518328709677417</v>
      </c>
      <c r="BB243">
        <v>30.80601935483871</v>
      </c>
      <c r="BC243">
        <v>31.12116451612903</v>
      </c>
      <c r="BD243">
        <v>999.9000000000003</v>
      </c>
      <c r="BE243">
        <v>0</v>
      </c>
      <c r="BF243">
        <v>0</v>
      </c>
      <c r="BG243">
        <v>4994.935483870968</v>
      </c>
      <c r="BH243">
        <v>1.104004838709677</v>
      </c>
      <c r="BI243">
        <v>1826.240322580645</v>
      </c>
      <c r="BJ243">
        <v>2.371504838709678</v>
      </c>
      <c r="BK243">
        <v>423.4850322580645</v>
      </c>
      <c r="BL243">
        <v>421.0325483870969</v>
      </c>
      <c r="BM243">
        <v>0.1057833870967742</v>
      </c>
      <c r="BN243">
        <v>414.8175483870968</v>
      </c>
      <c r="BO243">
        <v>14.76154838709677</v>
      </c>
      <c r="BP243">
        <v>1.485867741935484</v>
      </c>
      <c r="BQ243">
        <v>1.475294838709677</v>
      </c>
      <c r="BR243">
        <v>12.82351612903226</v>
      </c>
      <c r="BS243">
        <v>12.71450967741935</v>
      </c>
      <c r="BT243">
        <v>0</v>
      </c>
      <c r="BU243">
        <v>0</v>
      </c>
      <c r="BV243">
        <v>0</v>
      </c>
      <c r="BW243">
        <v>35</v>
      </c>
      <c r="BX243">
        <v>63</v>
      </c>
      <c r="BY243">
        <v>1773196010</v>
      </c>
      <c r="BZ243" t="s">
        <v>332</v>
      </c>
      <c r="CA243">
        <v>1773196010</v>
      </c>
      <c r="CB243">
        <v>1773196005.5</v>
      </c>
      <c r="CC243">
        <v>2</v>
      </c>
      <c r="CD243">
        <v>-0.279</v>
      </c>
      <c r="CE243">
        <v>-0.021</v>
      </c>
      <c r="CF243">
        <v>6.231</v>
      </c>
      <c r="CG243">
        <v>0.081</v>
      </c>
      <c r="CH243">
        <v>432</v>
      </c>
      <c r="CI243">
        <v>21</v>
      </c>
      <c r="CJ243">
        <v>0.03</v>
      </c>
      <c r="CK243">
        <v>0.06</v>
      </c>
      <c r="CL243">
        <v>414.815935483871</v>
      </c>
      <c r="CM243">
        <v>0.1657258064512222</v>
      </c>
      <c r="CN243">
        <v>0.01839343410879018</v>
      </c>
      <c r="CO243">
        <v>-1</v>
      </c>
      <c r="CP243">
        <v>500.072129032258</v>
      </c>
      <c r="CQ243">
        <v>-0.2535967741962678</v>
      </c>
      <c r="CR243">
        <v>0.1843019510399403</v>
      </c>
      <c r="CS243">
        <v>-1</v>
      </c>
      <c r="CT243">
        <v>0</v>
      </c>
      <c r="CU243">
        <v>0</v>
      </c>
      <c r="CV243" t="s">
        <v>333</v>
      </c>
      <c r="CW243">
        <v>3.17199</v>
      </c>
      <c r="CX243">
        <v>2.66634</v>
      </c>
      <c r="CY243">
        <v>0.09769369999999999</v>
      </c>
      <c r="CZ243">
        <v>0.0984397</v>
      </c>
      <c r="DA243">
        <v>0.0784796</v>
      </c>
      <c r="DB243">
        <v>0.07813100000000001</v>
      </c>
      <c r="DC243">
        <v>21308.5</v>
      </c>
      <c r="DD243">
        <v>21907</v>
      </c>
      <c r="DE243">
        <v>22773</v>
      </c>
      <c r="DF243">
        <v>22250.1</v>
      </c>
      <c r="DG243">
        <v>31743.8</v>
      </c>
      <c r="DH243">
        <v>28893</v>
      </c>
      <c r="DI243">
        <v>40091.6</v>
      </c>
      <c r="DJ243">
        <v>36798.7</v>
      </c>
      <c r="DK243">
        <v>2.01724</v>
      </c>
      <c r="DL243">
        <v>1.47666</v>
      </c>
      <c r="DM243">
        <v>-0.101766</v>
      </c>
      <c r="DN243">
        <v>0</v>
      </c>
      <c r="DO243">
        <v>32.7793</v>
      </c>
      <c r="DP243">
        <v>999.9</v>
      </c>
      <c r="DQ243">
        <v>21.7</v>
      </c>
      <c r="DR243">
        <v>46.8</v>
      </c>
      <c r="DS243">
        <v>22.9502</v>
      </c>
      <c r="DT243">
        <v>30.7092</v>
      </c>
      <c r="DU243">
        <v>14.363</v>
      </c>
      <c r="DV243">
        <v>1</v>
      </c>
      <c r="DW243">
        <v>0.978453</v>
      </c>
      <c r="DX243">
        <v>5.72783</v>
      </c>
      <c r="DY243">
        <v>20.2476</v>
      </c>
      <c r="DZ243">
        <v>5.20579</v>
      </c>
      <c r="EA243">
        <v>11.8584</v>
      </c>
      <c r="EB243">
        <v>4.96696</v>
      </c>
      <c r="EC243">
        <v>3.29298</v>
      </c>
      <c r="ED243">
        <v>879.4</v>
      </c>
      <c r="EE243">
        <v>9999</v>
      </c>
      <c r="EF243">
        <v>9999</v>
      </c>
      <c r="EG243">
        <v>79.8</v>
      </c>
      <c r="EH243">
        <v>4.97155</v>
      </c>
      <c r="EI243">
        <v>1.87209</v>
      </c>
      <c r="EJ243">
        <v>1.86946</v>
      </c>
      <c r="EK243">
        <v>1.87179</v>
      </c>
      <c r="EL243">
        <v>1.86952</v>
      </c>
      <c r="EM243">
        <v>1.86831</v>
      </c>
      <c r="EN243">
        <v>1.87012</v>
      </c>
      <c r="EO243">
        <v>1.87192</v>
      </c>
      <c r="EP243">
        <v>0</v>
      </c>
      <c r="EQ243">
        <v>0</v>
      </c>
      <c r="ER243">
        <v>0</v>
      </c>
      <c r="ES243">
        <v>0</v>
      </c>
      <c r="ET243" t="s">
        <v>334</v>
      </c>
      <c r="EU243" t="s">
        <v>335</v>
      </c>
      <c r="EV243" t="s">
        <v>336</v>
      </c>
      <c r="EW243" t="s">
        <v>336</v>
      </c>
      <c r="EX243" t="s">
        <v>336</v>
      </c>
      <c r="EY243" t="s">
        <v>336</v>
      </c>
      <c r="EZ243">
        <v>0</v>
      </c>
      <c r="FA243">
        <v>100</v>
      </c>
      <c r="FB243">
        <v>100</v>
      </c>
      <c r="FC243">
        <v>6.231</v>
      </c>
      <c r="FD243">
        <v>0.0806</v>
      </c>
      <c r="FE243">
        <v>6.23135000000002</v>
      </c>
      <c r="FF243">
        <v>0</v>
      </c>
      <c r="FG243">
        <v>0</v>
      </c>
      <c r="FH243">
        <v>0</v>
      </c>
      <c r="FI243">
        <v>0.08059047619047632</v>
      </c>
      <c r="FJ243">
        <v>0</v>
      </c>
      <c r="FK243">
        <v>0</v>
      </c>
      <c r="FL243">
        <v>0</v>
      </c>
      <c r="FM243">
        <v>-1</v>
      </c>
      <c r="FN243">
        <v>-1</v>
      </c>
      <c r="FO243">
        <v>-1</v>
      </c>
      <c r="FP243">
        <v>-1</v>
      </c>
      <c r="FQ243">
        <v>227.5</v>
      </c>
      <c r="FR243">
        <v>227.6</v>
      </c>
      <c r="FS243">
        <v>0.140381</v>
      </c>
      <c r="FT243">
        <v>4.99756</v>
      </c>
      <c r="FU243">
        <v>1.5979</v>
      </c>
      <c r="FV243">
        <v>2.10815</v>
      </c>
      <c r="FW243">
        <v>1.54785</v>
      </c>
      <c r="FX243">
        <v>2.4939</v>
      </c>
      <c r="FY243">
        <v>48.6088</v>
      </c>
      <c r="FZ243">
        <v>14.5085</v>
      </c>
      <c r="GA243">
        <v>3</v>
      </c>
      <c r="GB243">
        <v>521.17</v>
      </c>
      <c r="GC243">
        <v>283.266</v>
      </c>
      <c r="GD243">
        <v>26.3265</v>
      </c>
      <c r="GE243">
        <v>38.8257</v>
      </c>
      <c r="GF243">
        <v>30.001</v>
      </c>
      <c r="GG243">
        <v>38.7343</v>
      </c>
      <c r="GH243">
        <v>38.716</v>
      </c>
      <c r="GI243">
        <v>-1</v>
      </c>
      <c r="GJ243">
        <v>100</v>
      </c>
      <c r="GK243">
        <v>0</v>
      </c>
      <c r="GL243">
        <v>26.3196</v>
      </c>
      <c r="GM243">
        <v>1200</v>
      </c>
      <c r="GN243">
        <v>19.4378</v>
      </c>
      <c r="GO243">
        <v>100.854</v>
      </c>
      <c r="GP243">
        <v>96.0956</v>
      </c>
    </row>
    <row r="244" spans="1:198">
      <c r="A244">
        <v>228</v>
      </c>
      <c r="B244">
        <v>1773209722</v>
      </c>
      <c r="C244">
        <v>13622</v>
      </c>
      <c r="D244" t="s">
        <v>789</v>
      </c>
      <c r="E244" t="s">
        <v>790</v>
      </c>
      <c r="F244">
        <v>15</v>
      </c>
      <c r="G244">
        <v>1773209714</v>
      </c>
      <c r="H244">
        <f>(I244)/1000</f>
        <v>0</v>
      </c>
      <c r="I244">
        <f>1000*AY244*AG244*(AU244-AV244)/(100*AN244*(1000-AG244*AU244))</f>
        <v>0</v>
      </c>
      <c r="J244">
        <f>AY244*AG244*(AT244-AS244*(1000-AG244*AV244)/(1000-AG244*AU244))/(100*AN244)</f>
        <v>0</v>
      </c>
      <c r="K244">
        <f>AS244 - IF(AG244&gt;1, J244*AN244*100.0/(AI244), 0)</f>
        <v>0</v>
      </c>
      <c r="L244">
        <f>((R244-H244/2)*K244-J244)/(R244+H244/2)</f>
        <v>0</v>
      </c>
      <c r="M244">
        <f>L244*(AZ244+BA244)/1000.0</f>
        <v>0</v>
      </c>
      <c r="N244">
        <f>(AS244 - IF(AG244&gt;1, J244*AN244*100.0/(AI244), 0))*(AZ244+BA244)/1000.0</f>
        <v>0</v>
      </c>
      <c r="O244">
        <f>2.0/((1/Q244-1/P244)+SIGN(Q244)*SQRT((1/Q244-1/P244)*(1/Q244-1/P244) + 4*AO244/((AO244+1)*(AO244+1))*(2*1/Q244*1/P244-1/P244*1/P244)))</f>
        <v>0</v>
      </c>
      <c r="P244">
        <f>IF(LEFT(AP244,1)&lt;&gt;"0",IF(LEFT(AP244,1)="1",3.0,AQ244),$D$5+$E$5*(BG244*AZ244/($K$5*1000))+$F$5*(BG244*AZ244/($K$5*1000))*MAX(MIN(AN244,$J$5),$I$5)*MAX(MIN(AN244,$J$5),$I$5)+$G$5*MAX(MIN(AN244,$J$5),$I$5)*(BG244*AZ244/($K$5*1000))+$H$5*(BG244*AZ244/($K$5*1000))*(BG244*AZ244/($K$5*1000)))</f>
        <v>0</v>
      </c>
      <c r="Q244">
        <f>H244*(1000-(1000*0.61365*exp(17.502*U244/(240.97+U244))/(AZ244+BA244)+AU244)/2)/(1000*0.61365*exp(17.502*U244/(240.97+U244))/(AZ244+BA244)-AU244)</f>
        <v>0</v>
      </c>
      <c r="R244">
        <f>1/((AO244+1)/(O244/1.6)+1/(P244/1.37)) + AO244/((AO244+1)/(O244/1.6) + AO244/(P244/1.37))</f>
        <v>0</v>
      </c>
      <c r="S244">
        <f>(AJ244*AM244)</f>
        <v>0</v>
      </c>
      <c r="T244">
        <f>(BB244+(S244+2*0.95*5.67E-8*(((BB244+$B$7)+273)^4-(BB244+273)^4)-44100*H244)/(1.84*29.3*P244+8*0.95*5.67E-8*(BB244+273)^3))</f>
        <v>0</v>
      </c>
      <c r="U244">
        <f>($C$7*BC244+$D$7*BD244+$E$7*T244)</f>
        <v>0</v>
      </c>
      <c r="V244">
        <f>0.61365*exp(17.502*U244/(240.97+U244))</f>
        <v>0</v>
      </c>
      <c r="W244">
        <f>(X244/Y244*100)</f>
        <v>0</v>
      </c>
      <c r="X244">
        <f>AU244*(AZ244+BA244)/1000</f>
        <v>0</v>
      </c>
      <c r="Y244">
        <f>0.61365*exp(17.502*BB244/(240.97+BB244))</f>
        <v>0</v>
      </c>
      <c r="Z244">
        <f>(V244-AU244*(AZ244+BA244)/1000)</f>
        <v>0</v>
      </c>
      <c r="AA244">
        <f>(-H244*44100)</f>
        <v>0</v>
      </c>
      <c r="AB244">
        <f>2*29.3*P244*0.92*(BB244-U244)</f>
        <v>0</v>
      </c>
      <c r="AC244">
        <f>2*0.95*5.67E-8*(((BB244+$B$7)+273)^4-(U244+273)^4)</f>
        <v>0</v>
      </c>
      <c r="AD244">
        <f>S244+AC244+AA244+AB244</f>
        <v>0</v>
      </c>
      <c r="AE244">
        <v>0</v>
      </c>
      <c r="AF244">
        <v>0</v>
      </c>
      <c r="AG244">
        <f>IF(AE244*$H$13&gt;=AI244,1.0,(AI244/(AI244-AE244*$H$13)))</f>
        <v>0</v>
      </c>
      <c r="AH244">
        <f>(AG244-1)*100</f>
        <v>0</v>
      </c>
      <c r="AI244">
        <f>MAX(0,($B$13+$C$13*BG244)/(1+$D$13*BG244)*AZ244/(BB244+273)*$E$13)</f>
        <v>0</v>
      </c>
      <c r="AJ244">
        <f>$B$11*BH244+$C$11*BI244+$D$11*BT244</f>
        <v>0</v>
      </c>
      <c r="AK244">
        <f>AJ244*AL244</f>
        <v>0</v>
      </c>
      <c r="AL244">
        <f>($B$11*$D$9+$C$11*$D$9+$D$11*(BU244*$E$9+BV244*$G$9))/($B$11+$C$11+$D$11)</f>
        <v>0</v>
      </c>
      <c r="AM244">
        <f>($B$11*$K$9+$C$11*$K$9+$D$11*(BU244*$L$9+BV244*$N$9))/($B$11+$C$11+$D$11)</f>
        <v>0</v>
      </c>
      <c r="AN244">
        <v>3</v>
      </c>
      <c r="AO244">
        <v>0.5</v>
      </c>
      <c r="AP244" t="s">
        <v>331</v>
      </c>
      <c r="AQ244">
        <v>2</v>
      </c>
      <c r="AR244">
        <v>1773209714</v>
      </c>
      <c r="AS244">
        <v>417.3117096774192</v>
      </c>
      <c r="AT244">
        <v>415.0073870967742</v>
      </c>
      <c r="AU244">
        <v>14.81595161290323</v>
      </c>
      <c r="AV244">
        <v>14.72360967741935</v>
      </c>
      <c r="AW244">
        <v>411.0804516129031</v>
      </c>
      <c r="AX244">
        <v>14.73536129032258</v>
      </c>
      <c r="AY244">
        <v>500.0061612903227</v>
      </c>
      <c r="AZ244">
        <v>99.94816774193548</v>
      </c>
      <c r="BA244">
        <v>0.04457863548387097</v>
      </c>
      <c r="BB244">
        <v>30.74182580645161</v>
      </c>
      <c r="BC244">
        <v>31.07187096774194</v>
      </c>
      <c r="BD244">
        <v>999.9000000000003</v>
      </c>
      <c r="BE244">
        <v>0</v>
      </c>
      <c r="BF244">
        <v>0</v>
      </c>
      <c r="BG244">
        <v>5006.096774193548</v>
      </c>
      <c r="BH244">
        <v>1.122344838709678</v>
      </c>
      <c r="BI244">
        <v>1829.378709677419</v>
      </c>
      <c r="BJ244">
        <v>2.304404516129032</v>
      </c>
      <c r="BK244">
        <v>423.5876129032258</v>
      </c>
      <c r="BL244">
        <v>421.2091290322581</v>
      </c>
      <c r="BM244">
        <v>0.09233595161290324</v>
      </c>
      <c r="BN244">
        <v>415.0073870967742</v>
      </c>
      <c r="BO244">
        <v>14.72360967741935</v>
      </c>
      <c r="BP244">
        <v>1.480826774193548</v>
      </c>
      <c r="BQ244">
        <v>1.47159935483871</v>
      </c>
      <c r="BR244">
        <v>12.77162580645161</v>
      </c>
      <c r="BS244">
        <v>12.67621290322581</v>
      </c>
      <c r="BT244">
        <v>0</v>
      </c>
      <c r="BU244">
        <v>0</v>
      </c>
      <c r="BV244">
        <v>0</v>
      </c>
      <c r="BW244">
        <v>35.17634838709677</v>
      </c>
      <c r="BX244">
        <v>63.86343548387097</v>
      </c>
      <c r="BY244">
        <v>1773196010</v>
      </c>
      <c r="BZ244" t="s">
        <v>332</v>
      </c>
      <c r="CA244">
        <v>1773196010</v>
      </c>
      <c r="CB244">
        <v>1773196005.5</v>
      </c>
      <c r="CC244">
        <v>2</v>
      </c>
      <c r="CD244">
        <v>-0.279</v>
      </c>
      <c r="CE244">
        <v>-0.021</v>
      </c>
      <c r="CF244">
        <v>6.231</v>
      </c>
      <c r="CG244">
        <v>0.081</v>
      </c>
      <c r="CH244">
        <v>432</v>
      </c>
      <c r="CI244">
        <v>21</v>
      </c>
      <c r="CJ244">
        <v>0.03</v>
      </c>
      <c r="CK244">
        <v>0.06</v>
      </c>
      <c r="CL244">
        <v>415.0076666666667</v>
      </c>
      <c r="CM244">
        <v>0.003630700779888446</v>
      </c>
      <c r="CN244">
        <v>0.00969994272606297</v>
      </c>
      <c r="CO244">
        <v>-1</v>
      </c>
      <c r="CP244">
        <v>500.0050333333334</v>
      </c>
      <c r="CQ244">
        <v>0.915390433815834</v>
      </c>
      <c r="CR244">
        <v>0.08730959601072344</v>
      </c>
      <c r="CS244">
        <v>-1</v>
      </c>
      <c r="CT244">
        <v>0</v>
      </c>
      <c r="CU244">
        <v>0</v>
      </c>
      <c r="CV244" t="s">
        <v>333</v>
      </c>
      <c r="CW244">
        <v>3.17192</v>
      </c>
      <c r="CX244">
        <v>2.66514</v>
      </c>
      <c r="CY244">
        <v>0.09774430000000001</v>
      </c>
      <c r="CZ244">
        <v>0.0984939</v>
      </c>
      <c r="DA244">
        <v>0.07834389999999999</v>
      </c>
      <c r="DB244">
        <v>0.0780436</v>
      </c>
      <c r="DC244">
        <v>21310.7</v>
      </c>
      <c r="DD244">
        <v>21908.8</v>
      </c>
      <c r="DE244">
        <v>22776.3</v>
      </c>
      <c r="DF244">
        <v>22253</v>
      </c>
      <c r="DG244">
        <v>31752.8</v>
      </c>
      <c r="DH244">
        <v>28899.9</v>
      </c>
      <c r="DI244">
        <v>40097</v>
      </c>
      <c r="DJ244">
        <v>36804</v>
      </c>
      <c r="DK244">
        <v>2.0182</v>
      </c>
      <c r="DL244">
        <v>1.47918</v>
      </c>
      <c r="DM244">
        <v>-0.10564</v>
      </c>
      <c r="DN244">
        <v>0</v>
      </c>
      <c r="DO244">
        <v>32.7973</v>
      </c>
      <c r="DP244">
        <v>999.9</v>
      </c>
      <c r="DQ244">
        <v>21.8</v>
      </c>
      <c r="DR244">
        <v>46.8</v>
      </c>
      <c r="DS244">
        <v>23.0552</v>
      </c>
      <c r="DT244">
        <v>30.4992</v>
      </c>
      <c r="DU244">
        <v>14.5553</v>
      </c>
      <c r="DV244">
        <v>1</v>
      </c>
      <c r="DW244">
        <v>0.964632</v>
      </c>
      <c r="DX244">
        <v>4.88168</v>
      </c>
      <c r="DY244">
        <v>20.2803</v>
      </c>
      <c r="DZ244">
        <v>5.2095</v>
      </c>
      <c r="EA244">
        <v>11.8586</v>
      </c>
      <c r="EB244">
        <v>4.9662</v>
      </c>
      <c r="EC244">
        <v>3.29298</v>
      </c>
      <c r="ED244">
        <v>879.4</v>
      </c>
      <c r="EE244">
        <v>9999</v>
      </c>
      <c r="EF244">
        <v>9999</v>
      </c>
      <c r="EG244">
        <v>79.8</v>
      </c>
      <c r="EH244">
        <v>4.97159</v>
      </c>
      <c r="EI244">
        <v>1.8721</v>
      </c>
      <c r="EJ244">
        <v>1.86948</v>
      </c>
      <c r="EK244">
        <v>1.8718</v>
      </c>
      <c r="EL244">
        <v>1.86957</v>
      </c>
      <c r="EM244">
        <v>1.86835</v>
      </c>
      <c r="EN244">
        <v>1.87014</v>
      </c>
      <c r="EO244">
        <v>1.87194</v>
      </c>
      <c r="EP244">
        <v>0</v>
      </c>
      <c r="EQ244">
        <v>0</v>
      </c>
      <c r="ER244">
        <v>0</v>
      </c>
      <c r="ES244">
        <v>0</v>
      </c>
      <c r="ET244" t="s">
        <v>334</v>
      </c>
      <c r="EU244" t="s">
        <v>335</v>
      </c>
      <c r="EV244" t="s">
        <v>336</v>
      </c>
      <c r="EW244" t="s">
        <v>336</v>
      </c>
      <c r="EX244" t="s">
        <v>336</v>
      </c>
      <c r="EY244" t="s">
        <v>336</v>
      </c>
      <c r="EZ244">
        <v>0</v>
      </c>
      <c r="FA244">
        <v>100</v>
      </c>
      <c r="FB244">
        <v>100</v>
      </c>
      <c r="FC244">
        <v>6.231</v>
      </c>
      <c r="FD244">
        <v>0.0806</v>
      </c>
      <c r="FE244">
        <v>6.23135000000002</v>
      </c>
      <c r="FF244">
        <v>0</v>
      </c>
      <c r="FG244">
        <v>0</v>
      </c>
      <c r="FH244">
        <v>0</v>
      </c>
      <c r="FI244">
        <v>0.08059047619047632</v>
      </c>
      <c r="FJ244">
        <v>0</v>
      </c>
      <c r="FK244">
        <v>0</v>
      </c>
      <c r="FL244">
        <v>0</v>
      </c>
      <c r="FM244">
        <v>-1</v>
      </c>
      <c r="FN244">
        <v>-1</v>
      </c>
      <c r="FO244">
        <v>-1</v>
      </c>
      <c r="FP244">
        <v>-1</v>
      </c>
      <c r="FQ244">
        <v>228.5</v>
      </c>
      <c r="FR244">
        <v>228.6</v>
      </c>
      <c r="FS244">
        <v>0.13916</v>
      </c>
      <c r="FT244">
        <v>4.99756</v>
      </c>
      <c r="FU244">
        <v>1.5979</v>
      </c>
      <c r="FV244">
        <v>2.10815</v>
      </c>
      <c r="FW244">
        <v>1.54785</v>
      </c>
      <c r="FX244">
        <v>2.37915</v>
      </c>
      <c r="FY244">
        <v>48.4854</v>
      </c>
      <c r="FZ244">
        <v>14.5085</v>
      </c>
      <c r="GA244">
        <v>3</v>
      </c>
      <c r="GB244">
        <v>521.353</v>
      </c>
      <c r="GC244">
        <v>284.228</v>
      </c>
      <c r="GD244">
        <v>26.5616</v>
      </c>
      <c r="GE244">
        <v>38.7523</v>
      </c>
      <c r="GF244">
        <v>29.9994</v>
      </c>
      <c r="GG244">
        <v>38.6739</v>
      </c>
      <c r="GH244">
        <v>38.661</v>
      </c>
      <c r="GI244">
        <v>-1</v>
      </c>
      <c r="GJ244">
        <v>100</v>
      </c>
      <c r="GK244">
        <v>0</v>
      </c>
      <c r="GL244">
        <v>26.6055</v>
      </c>
      <c r="GM244">
        <v>1200</v>
      </c>
      <c r="GN244">
        <v>19.4378</v>
      </c>
      <c r="GO244">
        <v>100.868</v>
      </c>
      <c r="GP244">
        <v>96.10890000000001</v>
      </c>
    </row>
    <row r="245" spans="1:198">
      <c r="A245">
        <v>229</v>
      </c>
      <c r="B245">
        <v>1773209782</v>
      </c>
      <c r="C245">
        <v>13682</v>
      </c>
      <c r="D245" t="s">
        <v>791</v>
      </c>
      <c r="E245" t="s">
        <v>792</v>
      </c>
      <c r="F245">
        <v>15</v>
      </c>
      <c r="G245">
        <v>1773209774</v>
      </c>
      <c r="H245">
        <f>(I245)/1000</f>
        <v>0</v>
      </c>
      <c r="I245">
        <f>1000*AY245*AG245*(AU245-AV245)/(100*AN245*(1000-AG245*AU245))</f>
        <v>0</v>
      </c>
      <c r="J245">
        <f>AY245*AG245*(AT245-AS245*(1000-AG245*AV245)/(1000-AG245*AU245))/(100*AN245)</f>
        <v>0</v>
      </c>
      <c r="K245">
        <f>AS245 - IF(AG245&gt;1, J245*AN245*100.0/(AI245), 0)</f>
        <v>0</v>
      </c>
      <c r="L245">
        <f>((R245-H245/2)*K245-J245)/(R245+H245/2)</f>
        <v>0</v>
      </c>
      <c r="M245">
        <f>L245*(AZ245+BA245)/1000.0</f>
        <v>0</v>
      </c>
      <c r="N245">
        <f>(AS245 - IF(AG245&gt;1, J245*AN245*100.0/(AI245), 0))*(AZ245+BA245)/1000.0</f>
        <v>0</v>
      </c>
      <c r="O245">
        <f>2.0/((1/Q245-1/P245)+SIGN(Q245)*SQRT((1/Q245-1/P245)*(1/Q245-1/P245) + 4*AO245/((AO245+1)*(AO245+1))*(2*1/Q245*1/P245-1/P245*1/P245)))</f>
        <v>0</v>
      </c>
      <c r="P245">
        <f>IF(LEFT(AP245,1)&lt;&gt;"0",IF(LEFT(AP245,1)="1",3.0,AQ245),$D$5+$E$5*(BG245*AZ245/($K$5*1000))+$F$5*(BG245*AZ245/($K$5*1000))*MAX(MIN(AN245,$J$5),$I$5)*MAX(MIN(AN245,$J$5),$I$5)+$G$5*MAX(MIN(AN245,$J$5),$I$5)*(BG245*AZ245/($K$5*1000))+$H$5*(BG245*AZ245/($K$5*1000))*(BG245*AZ245/($K$5*1000)))</f>
        <v>0</v>
      </c>
      <c r="Q245">
        <f>H245*(1000-(1000*0.61365*exp(17.502*U245/(240.97+U245))/(AZ245+BA245)+AU245)/2)/(1000*0.61365*exp(17.502*U245/(240.97+U245))/(AZ245+BA245)-AU245)</f>
        <v>0</v>
      </c>
      <c r="R245">
        <f>1/((AO245+1)/(O245/1.6)+1/(P245/1.37)) + AO245/((AO245+1)/(O245/1.6) + AO245/(P245/1.37))</f>
        <v>0</v>
      </c>
      <c r="S245">
        <f>(AJ245*AM245)</f>
        <v>0</v>
      </c>
      <c r="T245">
        <f>(BB245+(S245+2*0.95*5.67E-8*(((BB245+$B$7)+273)^4-(BB245+273)^4)-44100*H245)/(1.84*29.3*P245+8*0.95*5.67E-8*(BB245+273)^3))</f>
        <v>0</v>
      </c>
      <c r="U245">
        <f>($C$7*BC245+$D$7*BD245+$E$7*T245)</f>
        <v>0</v>
      </c>
      <c r="V245">
        <f>0.61365*exp(17.502*U245/(240.97+U245))</f>
        <v>0</v>
      </c>
      <c r="W245">
        <f>(X245/Y245*100)</f>
        <v>0</v>
      </c>
      <c r="X245">
        <f>AU245*(AZ245+BA245)/1000</f>
        <v>0</v>
      </c>
      <c r="Y245">
        <f>0.61365*exp(17.502*BB245/(240.97+BB245))</f>
        <v>0</v>
      </c>
      <c r="Z245">
        <f>(V245-AU245*(AZ245+BA245)/1000)</f>
        <v>0</v>
      </c>
      <c r="AA245">
        <f>(-H245*44100)</f>
        <v>0</v>
      </c>
      <c r="AB245">
        <f>2*29.3*P245*0.92*(BB245-U245)</f>
        <v>0</v>
      </c>
      <c r="AC245">
        <f>2*0.95*5.67E-8*(((BB245+$B$7)+273)^4-(U245+273)^4)</f>
        <v>0</v>
      </c>
      <c r="AD245">
        <f>S245+AC245+AA245+AB245</f>
        <v>0</v>
      </c>
      <c r="AE245">
        <v>0</v>
      </c>
      <c r="AF245">
        <v>0</v>
      </c>
      <c r="AG245">
        <f>IF(AE245*$H$13&gt;=AI245,1.0,(AI245/(AI245-AE245*$H$13)))</f>
        <v>0</v>
      </c>
      <c r="AH245">
        <f>(AG245-1)*100</f>
        <v>0</v>
      </c>
      <c r="AI245">
        <f>MAX(0,($B$13+$C$13*BG245)/(1+$D$13*BG245)*AZ245/(BB245+273)*$E$13)</f>
        <v>0</v>
      </c>
      <c r="AJ245">
        <f>$B$11*BH245+$C$11*BI245+$D$11*BT245</f>
        <v>0</v>
      </c>
      <c r="AK245">
        <f>AJ245*AL245</f>
        <v>0</v>
      </c>
      <c r="AL245">
        <f>($B$11*$D$9+$C$11*$D$9+$D$11*(BU245*$E$9+BV245*$G$9))/($B$11+$C$11+$D$11)</f>
        <v>0</v>
      </c>
      <c r="AM245">
        <f>($B$11*$K$9+$C$11*$K$9+$D$11*(BU245*$L$9+BV245*$N$9))/($B$11+$C$11+$D$11)</f>
        <v>0</v>
      </c>
      <c r="AN245">
        <v>3</v>
      </c>
      <c r="AO245">
        <v>0.5</v>
      </c>
      <c r="AP245" t="s">
        <v>331</v>
      </c>
      <c r="AQ245">
        <v>2</v>
      </c>
      <c r="AR245">
        <v>1773209774</v>
      </c>
      <c r="AS245">
        <v>417.6230967741936</v>
      </c>
      <c r="AT245">
        <v>415.2990967741936</v>
      </c>
      <c r="AU245">
        <v>14.86627741935484</v>
      </c>
      <c r="AV245">
        <v>14.78586451612903</v>
      </c>
      <c r="AW245">
        <v>411.3916774193548</v>
      </c>
      <c r="AX245">
        <v>14.78569677419355</v>
      </c>
      <c r="AY245">
        <v>500.0373548387098</v>
      </c>
      <c r="AZ245">
        <v>99.94669999999999</v>
      </c>
      <c r="BA245">
        <v>0.04417003870967743</v>
      </c>
      <c r="BB245">
        <v>30.78397419354839</v>
      </c>
      <c r="BC245">
        <v>31.15884516129032</v>
      </c>
      <c r="BD245">
        <v>999.9000000000003</v>
      </c>
      <c r="BE245">
        <v>0</v>
      </c>
      <c r="BF245">
        <v>0</v>
      </c>
      <c r="BG245">
        <v>4993.483870967741</v>
      </c>
      <c r="BH245">
        <v>1.111125483870968</v>
      </c>
      <c r="BI245">
        <v>1803.563225806452</v>
      </c>
      <c r="BJ245">
        <v>2.324056129032258</v>
      </c>
      <c r="BK245">
        <v>423.9253225806452</v>
      </c>
      <c r="BL245">
        <v>421.5317096774194</v>
      </c>
      <c r="BM245">
        <v>0.08041984193548389</v>
      </c>
      <c r="BN245">
        <v>415.2990967741936</v>
      </c>
      <c r="BO245">
        <v>14.78586451612903</v>
      </c>
      <c r="BP245">
        <v>1.485836129032258</v>
      </c>
      <c r="BQ245">
        <v>1.477798387096774</v>
      </c>
      <c r="BR245">
        <v>12.82317419354839</v>
      </c>
      <c r="BS245">
        <v>12.74036451612903</v>
      </c>
      <c r="BT245">
        <v>0</v>
      </c>
      <c r="BU245">
        <v>0</v>
      </c>
      <c r="BV245">
        <v>0</v>
      </c>
      <c r="BW245">
        <v>36</v>
      </c>
      <c r="BX245">
        <v>63</v>
      </c>
      <c r="BY245">
        <v>1773196010</v>
      </c>
      <c r="BZ245" t="s">
        <v>332</v>
      </c>
      <c r="CA245">
        <v>1773196010</v>
      </c>
      <c r="CB245">
        <v>1773196005.5</v>
      </c>
      <c r="CC245">
        <v>2</v>
      </c>
      <c r="CD245">
        <v>-0.279</v>
      </c>
      <c r="CE245">
        <v>-0.021</v>
      </c>
      <c r="CF245">
        <v>6.231</v>
      </c>
      <c r="CG245">
        <v>0.081</v>
      </c>
      <c r="CH245">
        <v>432</v>
      </c>
      <c r="CI245">
        <v>21</v>
      </c>
      <c r="CJ245">
        <v>0.03</v>
      </c>
      <c r="CK245">
        <v>0.06</v>
      </c>
      <c r="CL245">
        <v>415.2991000000001</v>
      </c>
      <c r="CM245">
        <v>0.09661401557262236</v>
      </c>
      <c r="CN245">
        <v>0.01734810268204124</v>
      </c>
      <c r="CO245">
        <v>-1</v>
      </c>
      <c r="CP245">
        <v>500.0405333333334</v>
      </c>
      <c r="CQ245">
        <v>-0.2368498331476191</v>
      </c>
      <c r="CR245">
        <v>0.03860115139330957</v>
      </c>
      <c r="CS245">
        <v>-1</v>
      </c>
      <c r="CT245">
        <v>0</v>
      </c>
      <c r="CU245">
        <v>0</v>
      </c>
      <c r="CV245" t="s">
        <v>333</v>
      </c>
      <c r="CW245">
        <v>3.17186</v>
      </c>
      <c r="CX245">
        <v>2.66587</v>
      </c>
      <c r="CY245">
        <v>0.0978053</v>
      </c>
      <c r="CZ245">
        <v>0.0985496</v>
      </c>
      <c r="DA245">
        <v>0.0785863</v>
      </c>
      <c r="DB245">
        <v>0.0783296</v>
      </c>
      <c r="DC245">
        <v>21309.4</v>
      </c>
      <c r="DD245">
        <v>21906.9</v>
      </c>
      <c r="DE245">
        <v>22776.5</v>
      </c>
      <c r="DF245">
        <v>22252.4</v>
      </c>
      <c r="DG245">
        <v>31744.5</v>
      </c>
      <c r="DH245">
        <v>28890.3</v>
      </c>
      <c r="DI245">
        <v>40096.9</v>
      </c>
      <c r="DJ245">
        <v>36803</v>
      </c>
      <c r="DK245">
        <v>2.01834</v>
      </c>
      <c r="DL245">
        <v>1.48004</v>
      </c>
      <c r="DM245">
        <v>-0.107396</v>
      </c>
      <c r="DN245">
        <v>0</v>
      </c>
      <c r="DO245">
        <v>32.9225</v>
      </c>
      <c r="DP245">
        <v>999.9</v>
      </c>
      <c r="DQ245">
        <v>21.9</v>
      </c>
      <c r="DR245">
        <v>46.8</v>
      </c>
      <c r="DS245">
        <v>23.1605</v>
      </c>
      <c r="DT245">
        <v>30.0192</v>
      </c>
      <c r="DU245">
        <v>14.4271</v>
      </c>
      <c r="DV245">
        <v>1</v>
      </c>
      <c r="DW245">
        <v>0.962862</v>
      </c>
      <c r="DX245">
        <v>4.75484</v>
      </c>
      <c r="DY245">
        <v>20.2834</v>
      </c>
      <c r="DZ245">
        <v>5.20974</v>
      </c>
      <c r="EA245">
        <v>11.8579</v>
      </c>
      <c r="EB245">
        <v>4.96728</v>
      </c>
      <c r="EC245">
        <v>3.29292</v>
      </c>
      <c r="ED245">
        <v>879.4</v>
      </c>
      <c r="EE245">
        <v>9999</v>
      </c>
      <c r="EF245">
        <v>9999</v>
      </c>
      <c r="EG245">
        <v>79.8</v>
      </c>
      <c r="EH245">
        <v>4.97155</v>
      </c>
      <c r="EI245">
        <v>1.8721</v>
      </c>
      <c r="EJ245">
        <v>1.86943</v>
      </c>
      <c r="EK245">
        <v>1.8718</v>
      </c>
      <c r="EL245">
        <v>1.86952</v>
      </c>
      <c r="EM245">
        <v>1.86831</v>
      </c>
      <c r="EN245">
        <v>1.87013</v>
      </c>
      <c r="EO245">
        <v>1.87192</v>
      </c>
      <c r="EP245">
        <v>0</v>
      </c>
      <c r="EQ245">
        <v>0</v>
      </c>
      <c r="ER245">
        <v>0</v>
      </c>
      <c r="ES245">
        <v>0</v>
      </c>
      <c r="ET245" t="s">
        <v>334</v>
      </c>
      <c r="EU245" t="s">
        <v>335</v>
      </c>
      <c r="EV245" t="s">
        <v>336</v>
      </c>
      <c r="EW245" t="s">
        <v>336</v>
      </c>
      <c r="EX245" t="s">
        <v>336</v>
      </c>
      <c r="EY245" t="s">
        <v>336</v>
      </c>
      <c r="EZ245">
        <v>0</v>
      </c>
      <c r="FA245">
        <v>100</v>
      </c>
      <c r="FB245">
        <v>100</v>
      </c>
      <c r="FC245">
        <v>6.231</v>
      </c>
      <c r="FD245">
        <v>0.0806</v>
      </c>
      <c r="FE245">
        <v>6.23135000000002</v>
      </c>
      <c r="FF245">
        <v>0</v>
      </c>
      <c r="FG245">
        <v>0</v>
      </c>
      <c r="FH245">
        <v>0</v>
      </c>
      <c r="FI245">
        <v>0.08059047619047632</v>
      </c>
      <c r="FJ245">
        <v>0</v>
      </c>
      <c r="FK245">
        <v>0</v>
      </c>
      <c r="FL245">
        <v>0</v>
      </c>
      <c r="FM245">
        <v>-1</v>
      </c>
      <c r="FN245">
        <v>-1</v>
      </c>
      <c r="FO245">
        <v>-1</v>
      </c>
      <c r="FP245">
        <v>-1</v>
      </c>
      <c r="FQ245">
        <v>229.5</v>
      </c>
      <c r="FR245">
        <v>229.6</v>
      </c>
      <c r="FS245">
        <v>0.140381</v>
      </c>
      <c r="FT245">
        <v>4.99756</v>
      </c>
      <c r="FU245">
        <v>1.5979</v>
      </c>
      <c r="FV245">
        <v>2.10815</v>
      </c>
      <c r="FW245">
        <v>1.54785</v>
      </c>
      <c r="FX245">
        <v>2.39868</v>
      </c>
      <c r="FY245">
        <v>48.4546</v>
      </c>
      <c r="FZ245">
        <v>14.5085</v>
      </c>
      <c r="GA245">
        <v>3</v>
      </c>
      <c r="GB245">
        <v>521.316</v>
      </c>
      <c r="GC245">
        <v>284.582</v>
      </c>
      <c r="GD245">
        <v>27.0047</v>
      </c>
      <c r="GE245">
        <v>38.7367</v>
      </c>
      <c r="GF245">
        <v>30.0006</v>
      </c>
      <c r="GG245">
        <v>38.6561</v>
      </c>
      <c r="GH245">
        <v>38.6491</v>
      </c>
      <c r="GI245">
        <v>-1</v>
      </c>
      <c r="GJ245">
        <v>100</v>
      </c>
      <c r="GK245">
        <v>0</v>
      </c>
      <c r="GL245">
        <v>26.9989</v>
      </c>
      <c r="GM245">
        <v>1200</v>
      </c>
      <c r="GN245">
        <v>19.4378</v>
      </c>
      <c r="GO245">
        <v>100.868</v>
      </c>
      <c r="GP245">
        <v>96.10639999999999</v>
      </c>
    </row>
    <row r="246" spans="1:198">
      <c r="A246">
        <v>230</v>
      </c>
      <c r="B246">
        <v>1773209842</v>
      </c>
      <c r="C246">
        <v>13742</v>
      </c>
      <c r="D246" t="s">
        <v>793</v>
      </c>
      <c r="E246" t="s">
        <v>794</v>
      </c>
      <c r="F246">
        <v>15</v>
      </c>
      <c r="G246">
        <v>1773209834</v>
      </c>
      <c r="H246">
        <f>(I246)/1000</f>
        <v>0</v>
      </c>
      <c r="I246">
        <f>1000*AY246*AG246*(AU246-AV246)/(100*AN246*(1000-AG246*AU246))</f>
        <v>0</v>
      </c>
      <c r="J246">
        <f>AY246*AG246*(AT246-AS246*(1000-AG246*AV246)/(1000-AG246*AU246))/(100*AN246)</f>
        <v>0</v>
      </c>
      <c r="K246">
        <f>AS246 - IF(AG246&gt;1, J246*AN246*100.0/(AI246), 0)</f>
        <v>0</v>
      </c>
      <c r="L246">
        <f>((R246-H246/2)*K246-J246)/(R246+H246/2)</f>
        <v>0</v>
      </c>
      <c r="M246">
        <f>L246*(AZ246+BA246)/1000.0</f>
        <v>0</v>
      </c>
      <c r="N246">
        <f>(AS246 - IF(AG246&gt;1, J246*AN246*100.0/(AI246), 0))*(AZ246+BA246)/1000.0</f>
        <v>0</v>
      </c>
      <c r="O246">
        <f>2.0/((1/Q246-1/P246)+SIGN(Q246)*SQRT((1/Q246-1/P246)*(1/Q246-1/P246) + 4*AO246/((AO246+1)*(AO246+1))*(2*1/Q246*1/P246-1/P246*1/P246)))</f>
        <v>0</v>
      </c>
      <c r="P246">
        <f>IF(LEFT(AP246,1)&lt;&gt;"0",IF(LEFT(AP246,1)="1",3.0,AQ246),$D$5+$E$5*(BG246*AZ246/($K$5*1000))+$F$5*(BG246*AZ246/($K$5*1000))*MAX(MIN(AN246,$J$5),$I$5)*MAX(MIN(AN246,$J$5),$I$5)+$G$5*MAX(MIN(AN246,$J$5),$I$5)*(BG246*AZ246/($K$5*1000))+$H$5*(BG246*AZ246/($K$5*1000))*(BG246*AZ246/($K$5*1000)))</f>
        <v>0</v>
      </c>
      <c r="Q246">
        <f>H246*(1000-(1000*0.61365*exp(17.502*U246/(240.97+U246))/(AZ246+BA246)+AU246)/2)/(1000*0.61365*exp(17.502*U246/(240.97+U246))/(AZ246+BA246)-AU246)</f>
        <v>0</v>
      </c>
      <c r="R246">
        <f>1/((AO246+1)/(O246/1.6)+1/(P246/1.37)) + AO246/((AO246+1)/(O246/1.6) + AO246/(P246/1.37))</f>
        <v>0</v>
      </c>
      <c r="S246">
        <f>(AJ246*AM246)</f>
        <v>0</v>
      </c>
      <c r="T246">
        <f>(BB246+(S246+2*0.95*5.67E-8*(((BB246+$B$7)+273)^4-(BB246+273)^4)-44100*H246)/(1.84*29.3*P246+8*0.95*5.67E-8*(BB246+273)^3))</f>
        <v>0</v>
      </c>
      <c r="U246">
        <f>($C$7*BC246+$D$7*BD246+$E$7*T246)</f>
        <v>0</v>
      </c>
      <c r="V246">
        <f>0.61365*exp(17.502*U246/(240.97+U246))</f>
        <v>0</v>
      </c>
      <c r="W246">
        <f>(X246/Y246*100)</f>
        <v>0</v>
      </c>
      <c r="X246">
        <f>AU246*(AZ246+BA246)/1000</f>
        <v>0</v>
      </c>
      <c r="Y246">
        <f>0.61365*exp(17.502*BB246/(240.97+BB246))</f>
        <v>0</v>
      </c>
      <c r="Z246">
        <f>(V246-AU246*(AZ246+BA246)/1000)</f>
        <v>0</v>
      </c>
      <c r="AA246">
        <f>(-H246*44100)</f>
        <v>0</v>
      </c>
      <c r="AB246">
        <f>2*29.3*P246*0.92*(BB246-U246)</f>
        <v>0</v>
      </c>
      <c r="AC246">
        <f>2*0.95*5.67E-8*(((BB246+$B$7)+273)^4-(U246+273)^4)</f>
        <v>0</v>
      </c>
      <c r="AD246">
        <f>S246+AC246+AA246+AB246</f>
        <v>0</v>
      </c>
      <c r="AE246">
        <v>0</v>
      </c>
      <c r="AF246">
        <v>0</v>
      </c>
      <c r="AG246">
        <f>IF(AE246*$H$13&gt;=AI246,1.0,(AI246/(AI246-AE246*$H$13)))</f>
        <v>0</v>
      </c>
      <c r="AH246">
        <f>(AG246-1)*100</f>
        <v>0</v>
      </c>
      <c r="AI246">
        <f>MAX(0,($B$13+$C$13*BG246)/(1+$D$13*BG246)*AZ246/(BB246+273)*$E$13)</f>
        <v>0</v>
      </c>
      <c r="AJ246">
        <f>$B$11*BH246+$C$11*BI246+$D$11*BT246</f>
        <v>0</v>
      </c>
      <c r="AK246">
        <f>AJ246*AL246</f>
        <v>0</v>
      </c>
      <c r="AL246">
        <f>($B$11*$D$9+$C$11*$D$9+$D$11*(BU246*$E$9+BV246*$G$9))/($B$11+$C$11+$D$11)</f>
        <v>0</v>
      </c>
      <c r="AM246">
        <f>($B$11*$K$9+$C$11*$K$9+$D$11*(BU246*$L$9+BV246*$N$9))/($B$11+$C$11+$D$11)</f>
        <v>0</v>
      </c>
      <c r="AN246">
        <v>3</v>
      </c>
      <c r="AO246">
        <v>0.5</v>
      </c>
      <c r="AP246" t="s">
        <v>331</v>
      </c>
      <c r="AQ246">
        <v>2</v>
      </c>
      <c r="AR246">
        <v>1773209834</v>
      </c>
      <c r="AS246">
        <v>417.7316774193548</v>
      </c>
      <c r="AT246">
        <v>415.3634193548386</v>
      </c>
      <c r="AU246">
        <v>14.96980322580645</v>
      </c>
      <c r="AV246">
        <v>14.89952903225806</v>
      </c>
      <c r="AW246">
        <v>411.5003225806452</v>
      </c>
      <c r="AX246">
        <v>14.88922258064516</v>
      </c>
      <c r="AY246">
        <v>500.0279677419355</v>
      </c>
      <c r="AZ246">
        <v>99.94022903225809</v>
      </c>
      <c r="BA246">
        <v>0.04454480967741935</v>
      </c>
      <c r="BB246">
        <v>30.80439677419355</v>
      </c>
      <c r="BC246">
        <v>31.18999677419355</v>
      </c>
      <c r="BD246">
        <v>999.9000000000003</v>
      </c>
      <c r="BE246">
        <v>0</v>
      </c>
      <c r="BF246">
        <v>0</v>
      </c>
      <c r="BG246">
        <v>4997.677419354839</v>
      </c>
      <c r="BH246">
        <v>1.128110967741935</v>
      </c>
      <c r="BI246">
        <v>1796.627741935484</v>
      </c>
      <c r="BJ246">
        <v>2.368247096774194</v>
      </c>
      <c r="BK246">
        <v>424.080064516129</v>
      </c>
      <c r="BL246">
        <v>421.6457419354838</v>
      </c>
      <c r="BM246">
        <v>0.07028164838709677</v>
      </c>
      <c r="BN246">
        <v>415.3634193548386</v>
      </c>
      <c r="BO246">
        <v>14.89952903225806</v>
      </c>
      <c r="BP246">
        <v>1.496086451612903</v>
      </c>
      <c r="BQ246">
        <v>1.489061935483871</v>
      </c>
      <c r="BR246">
        <v>12.92821935483871</v>
      </c>
      <c r="BS246">
        <v>12.85630322580645</v>
      </c>
      <c r="BT246">
        <v>0</v>
      </c>
      <c r="BU246">
        <v>0</v>
      </c>
      <c r="BV246">
        <v>0</v>
      </c>
      <c r="BW246">
        <v>36</v>
      </c>
      <c r="BX246">
        <v>63</v>
      </c>
      <c r="BY246">
        <v>1773196010</v>
      </c>
      <c r="BZ246" t="s">
        <v>332</v>
      </c>
      <c r="CA246">
        <v>1773196010</v>
      </c>
      <c r="CB246">
        <v>1773196005.5</v>
      </c>
      <c r="CC246">
        <v>2</v>
      </c>
      <c r="CD246">
        <v>-0.279</v>
      </c>
      <c r="CE246">
        <v>-0.021</v>
      </c>
      <c r="CF246">
        <v>6.231</v>
      </c>
      <c r="CG246">
        <v>0.081</v>
      </c>
      <c r="CH246">
        <v>432</v>
      </c>
      <c r="CI246">
        <v>21</v>
      </c>
      <c r="CJ246">
        <v>0.03</v>
      </c>
      <c r="CK246">
        <v>0.06</v>
      </c>
      <c r="CL246">
        <v>415.3632903225806</v>
      </c>
      <c r="CM246">
        <v>0.06653225806383904</v>
      </c>
      <c r="CN246">
        <v>0.01826364898068033</v>
      </c>
      <c r="CO246">
        <v>-1</v>
      </c>
      <c r="CP246">
        <v>500.0389032258065</v>
      </c>
      <c r="CQ246">
        <v>-0.7398387096777581</v>
      </c>
      <c r="CR246">
        <v>0.07117826545698493</v>
      </c>
      <c r="CS246">
        <v>-1</v>
      </c>
      <c r="CT246">
        <v>0</v>
      </c>
      <c r="CU246">
        <v>0</v>
      </c>
      <c r="CV246" t="s">
        <v>333</v>
      </c>
      <c r="CW246">
        <v>3.17192</v>
      </c>
      <c r="CX246">
        <v>2.66623</v>
      </c>
      <c r="CY246">
        <v>0.0978029</v>
      </c>
      <c r="CZ246">
        <v>0.09855650000000001</v>
      </c>
      <c r="DA246">
        <v>0.0789945</v>
      </c>
      <c r="DB246">
        <v>0.0787665</v>
      </c>
      <c r="DC246">
        <v>21307.7</v>
      </c>
      <c r="DD246">
        <v>21905.2</v>
      </c>
      <c r="DE246">
        <v>22774.7</v>
      </c>
      <c r="DF246">
        <v>22250.9</v>
      </c>
      <c r="DG246">
        <v>31728.5</v>
      </c>
      <c r="DH246">
        <v>28874.4</v>
      </c>
      <c r="DI246">
        <v>40094.4</v>
      </c>
      <c r="DJ246">
        <v>36800.2</v>
      </c>
      <c r="DK246">
        <v>2.01784</v>
      </c>
      <c r="DL246">
        <v>1.47892</v>
      </c>
      <c r="DM246">
        <v>-0.114137</v>
      </c>
      <c r="DN246">
        <v>0</v>
      </c>
      <c r="DO246">
        <v>33.0376</v>
      </c>
      <c r="DP246">
        <v>999.9</v>
      </c>
      <c r="DQ246">
        <v>22</v>
      </c>
      <c r="DR246">
        <v>46.7</v>
      </c>
      <c r="DS246">
        <v>23.1486</v>
      </c>
      <c r="DT246">
        <v>30.4692</v>
      </c>
      <c r="DU246">
        <v>14.4992</v>
      </c>
      <c r="DV246">
        <v>1</v>
      </c>
      <c r="DW246">
        <v>0.96998</v>
      </c>
      <c r="DX246">
        <v>5.25695</v>
      </c>
      <c r="DY246">
        <v>20.2661</v>
      </c>
      <c r="DZ246">
        <v>5.20962</v>
      </c>
      <c r="EA246">
        <v>11.8588</v>
      </c>
      <c r="EB246">
        <v>4.9672</v>
      </c>
      <c r="EC246">
        <v>3.293</v>
      </c>
      <c r="ED246">
        <v>879.4</v>
      </c>
      <c r="EE246">
        <v>9999</v>
      </c>
      <c r="EF246">
        <v>9999</v>
      </c>
      <c r="EG246">
        <v>79.8</v>
      </c>
      <c r="EH246">
        <v>4.97153</v>
      </c>
      <c r="EI246">
        <v>1.8721</v>
      </c>
      <c r="EJ246">
        <v>1.86943</v>
      </c>
      <c r="EK246">
        <v>1.87179</v>
      </c>
      <c r="EL246">
        <v>1.86951</v>
      </c>
      <c r="EM246">
        <v>1.86831</v>
      </c>
      <c r="EN246">
        <v>1.87012</v>
      </c>
      <c r="EO246">
        <v>1.87192</v>
      </c>
      <c r="EP246">
        <v>0</v>
      </c>
      <c r="EQ246">
        <v>0</v>
      </c>
      <c r="ER246">
        <v>0</v>
      </c>
      <c r="ES246">
        <v>0</v>
      </c>
      <c r="ET246" t="s">
        <v>334</v>
      </c>
      <c r="EU246" t="s">
        <v>335</v>
      </c>
      <c r="EV246" t="s">
        <v>336</v>
      </c>
      <c r="EW246" t="s">
        <v>336</v>
      </c>
      <c r="EX246" t="s">
        <v>336</v>
      </c>
      <c r="EY246" t="s">
        <v>336</v>
      </c>
      <c r="EZ246">
        <v>0</v>
      </c>
      <c r="FA246">
        <v>100</v>
      </c>
      <c r="FB246">
        <v>100</v>
      </c>
      <c r="FC246">
        <v>6.232</v>
      </c>
      <c r="FD246">
        <v>0.0806</v>
      </c>
      <c r="FE246">
        <v>6.23135000000002</v>
      </c>
      <c r="FF246">
        <v>0</v>
      </c>
      <c r="FG246">
        <v>0</v>
      </c>
      <c r="FH246">
        <v>0</v>
      </c>
      <c r="FI246">
        <v>0.08059047619047632</v>
      </c>
      <c r="FJ246">
        <v>0</v>
      </c>
      <c r="FK246">
        <v>0</v>
      </c>
      <c r="FL246">
        <v>0</v>
      </c>
      <c r="FM246">
        <v>-1</v>
      </c>
      <c r="FN246">
        <v>-1</v>
      </c>
      <c r="FO246">
        <v>-1</v>
      </c>
      <c r="FP246">
        <v>-1</v>
      </c>
      <c r="FQ246">
        <v>230.5</v>
      </c>
      <c r="FR246">
        <v>230.6</v>
      </c>
      <c r="FS246">
        <v>0.140381</v>
      </c>
      <c r="FT246">
        <v>4.99756</v>
      </c>
      <c r="FU246">
        <v>1.5979</v>
      </c>
      <c r="FV246">
        <v>2.10938</v>
      </c>
      <c r="FW246">
        <v>1.54785</v>
      </c>
      <c r="FX246">
        <v>2.47681</v>
      </c>
      <c r="FY246">
        <v>48.5162</v>
      </c>
      <c r="FZ246">
        <v>14.491</v>
      </c>
      <c r="GA246">
        <v>3</v>
      </c>
      <c r="GB246">
        <v>521.115</v>
      </c>
      <c r="GC246">
        <v>284.123</v>
      </c>
      <c r="GD246">
        <v>26.6214</v>
      </c>
      <c r="GE246">
        <v>38.7689</v>
      </c>
      <c r="GF246">
        <v>30.0004</v>
      </c>
      <c r="GG246">
        <v>38.6725</v>
      </c>
      <c r="GH246">
        <v>38.6653</v>
      </c>
      <c r="GI246">
        <v>-1</v>
      </c>
      <c r="GJ246">
        <v>100</v>
      </c>
      <c r="GK246">
        <v>0</v>
      </c>
      <c r="GL246">
        <v>26.6095</v>
      </c>
      <c r="GM246">
        <v>1200</v>
      </c>
      <c r="GN246">
        <v>19.4378</v>
      </c>
      <c r="GO246">
        <v>100.861</v>
      </c>
      <c r="GP246">
        <v>96.0994</v>
      </c>
    </row>
    <row r="247" spans="1:198">
      <c r="A247">
        <v>231</v>
      </c>
      <c r="B247">
        <v>1773209902</v>
      </c>
      <c r="C247">
        <v>13802</v>
      </c>
      <c r="D247" t="s">
        <v>795</v>
      </c>
      <c r="E247" t="s">
        <v>796</v>
      </c>
      <c r="F247">
        <v>15</v>
      </c>
      <c r="G247">
        <v>1773209894</v>
      </c>
      <c r="H247">
        <f>(I247)/1000</f>
        <v>0</v>
      </c>
      <c r="I247">
        <f>1000*AY247*AG247*(AU247-AV247)/(100*AN247*(1000-AG247*AU247))</f>
        <v>0</v>
      </c>
      <c r="J247">
        <f>AY247*AG247*(AT247-AS247*(1000-AG247*AV247)/(1000-AG247*AU247))/(100*AN247)</f>
        <v>0</v>
      </c>
      <c r="K247">
        <f>AS247 - IF(AG247&gt;1, J247*AN247*100.0/(AI247), 0)</f>
        <v>0</v>
      </c>
      <c r="L247">
        <f>((R247-H247/2)*K247-J247)/(R247+H247/2)</f>
        <v>0</v>
      </c>
      <c r="M247">
        <f>L247*(AZ247+BA247)/1000.0</f>
        <v>0</v>
      </c>
      <c r="N247">
        <f>(AS247 - IF(AG247&gt;1, J247*AN247*100.0/(AI247), 0))*(AZ247+BA247)/1000.0</f>
        <v>0</v>
      </c>
      <c r="O247">
        <f>2.0/((1/Q247-1/P247)+SIGN(Q247)*SQRT((1/Q247-1/P247)*(1/Q247-1/P247) + 4*AO247/((AO247+1)*(AO247+1))*(2*1/Q247*1/P247-1/P247*1/P247)))</f>
        <v>0</v>
      </c>
      <c r="P247">
        <f>IF(LEFT(AP247,1)&lt;&gt;"0",IF(LEFT(AP247,1)="1",3.0,AQ247),$D$5+$E$5*(BG247*AZ247/($K$5*1000))+$F$5*(BG247*AZ247/($K$5*1000))*MAX(MIN(AN247,$J$5),$I$5)*MAX(MIN(AN247,$J$5),$I$5)+$G$5*MAX(MIN(AN247,$J$5),$I$5)*(BG247*AZ247/($K$5*1000))+$H$5*(BG247*AZ247/($K$5*1000))*(BG247*AZ247/($K$5*1000)))</f>
        <v>0</v>
      </c>
      <c r="Q247">
        <f>H247*(1000-(1000*0.61365*exp(17.502*U247/(240.97+U247))/(AZ247+BA247)+AU247)/2)/(1000*0.61365*exp(17.502*U247/(240.97+U247))/(AZ247+BA247)-AU247)</f>
        <v>0</v>
      </c>
      <c r="R247">
        <f>1/((AO247+1)/(O247/1.6)+1/(P247/1.37)) + AO247/((AO247+1)/(O247/1.6) + AO247/(P247/1.37))</f>
        <v>0</v>
      </c>
      <c r="S247">
        <f>(AJ247*AM247)</f>
        <v>0</v>
      </c>
      <c r="T247">
        <f>(BB247+(S247+2*0.95*5.67E-8*(((BB247+$B$7)+273)^4-(BB247+273)^4)-44100*H247)/(1.84*29.3*P247+8*0.95*5.67E-8*(BB247+273)^3))</f>
        <v>0</v>
      </c>
      <c r="U247">
        <f>($C$7*BC247+$D$7*BD247+$E$7*T247)</f>
        <v>0</v>
      </c>
      <c r="V247">
        <f>0.61365*exp(17.502*U247/(240.97+U247))</f>
        <v>0</v>
      </c>
      <c r="W247">
        <f>(X247/Y247*100)</f>
        <v>0</v>
      </c>
      <c r="X247">
        <f>AU247*(AZ247+BA247)/1000</f>
        <v>0</v>
      </c>
      <c r="Y247">
        <f>0.61365*exp(17.502*BB247/(240.97+BB247))</f>
        <v>0</v>
      </c>
      <c r="Z247">
        <f>(V247-AU247*(AZ247+BA247)/1000)</f>
        <v>0</v>
      </c>
      <c r="AA247">
        <f>(-H247*44100)</f>
        <v>0</v>
      </c>
      <c r="AB247">
        <f>2*29.3*P247*0.92*(BB247-U247)</f>
        <v>0</v>
      </c>
      <c r="AC247">
        <f>2*0.95*5.67E-8*(((BB247+$B$7)+273)^4-(U247+273)^4)</f>
        <v>0</v>
      </c>
      <c r="AD247">
        <f>S247+AC247+AA247+AB247</f>
        <v>0</v>
      </c>
      <c r="AE247">
        <v>0</v>
      </c>
      <c r="AF247">
        <v>0</v>
      </c>
      <c r="AG247">
        <f>IF(AE247*$H$13&gt;=AI247,1.0,(AI247/(AI247-AE247*$H$13)))</f>
        <v>0</v>
      </c>
      <c r="AH247">
        <f>(AG247-1)*100</f>
        <v>0</v>
      </c>
      <c r="AI247">
        <f>MAX(0,($B$13+$C$13*BG247)/(1+$D$13*BG247)*AZ247/(BB247+273)*$E$13)</f>
        <v>0</v>
      </c>
      <c r="AJ247">
        <f>$B$11*BH247+$C$11*BI247+$D$11*BT247</f>
        <v>0</v>
      </c>
      <c r="AK247">
        <f>AJ247*AL247</f>
        <v>0</v>
      </c>
      <c r="AL247">
        <f>($B$11*$D$9+$C$11*$D$9+$D$11*(BU247*$E$9+BV247*$G$9))/($B$11+$C$11+$D$11)</f>
        <v>0</v>
      </c>
      <c r="AM247">
        <f>($B$11*$K$9+$C$11*$K$9+$D$11*(BU247*$L$9+BV247*$N$9))/($B$11+$C$11+$D$11)</f>
        <v>0</v>
      </c>
      <c r="AN247">
        <v>3</v>
      </c>
      <c r="AO247">
        <v>0.5</v>
      </c>
      <c r="AP247" t="s">
        <v>331</v>
      </c>
      <c r="AQ247">
        <v>2</v>
      </c>
      <c r="AR247">
        <v>1773209894</v>
      </c>
      <c r="AS247">
        <v>417.594</v>
      </c>
      <c r="AT247">
        <v>415.2126129032258</v>
      </c>
      <c r="AU247">
        <v>15.04772580645161</v>
      </c>
      <c r="AV247">
        <v>14.97497741935484</v>
      </c>
      <c r="AW247">
        <v>411.3626774193548</v>
      </c>
      <c r="AX247">
        <v>14.96713225806451</v>
      </c>
      <c r="AY247">
        <v>500.0021935483871</v>
      </c>
      <c r="AZ247">
        <v>99.93422903225806</v>
      </c>
      <c r="BA247">
        <v>0.04513288709677418</v>
      </c>
      <c r="BB247">
        <v>30.76031935483871</v>
      </c>
      <c r="BC247">
        <v>31.13725483870968</v>
      </c>
      <c r="BD247">
        <v>999.9000000000003</v>
      </c>
      <c r="BE247">
        <v>0</v>
      </c>
      <c r="BF247">
        <v>0</v>
      </c>
      <c r="BG247">
        <v>5005.016129032259</v>
      </c>
      <c r="BH247">
        <v>1.103297419354839</v>
      </c>
      <c r="BI247">
        <v>1809.302580645161</v>
      </c>
      <c r="BJ247">
        <v>2.38138</v>
      </c>
      <c r="BK247">
        <v>423.9739032258066</v>
      </c>
      <c r="BL247">
        <v>421.525064516129</v>
      </c>
      <c r="BM247">
        <v>0.07275507741935483</v>
      </c>
      <c r="BN247">
        <v>415.2126129032258</v>
      </c>
      <c r="BO247">
        <v>14.97497741935484</v>
      </c>
      <c r="BP247">
        <v>1.503783870967742</v>
      </c>
      <c r="BQ247">
        <v>1.496513225806452</v>
      </c>
      <c r="BR247">
        <v>13.00668709677419</v>
      </c>
      <c r="BS247">
        <v>12.93258064516129</v>
      </c>
      <c r="BT247">
        <v>0</v>
      </c>
      <c r="BU247">
        <v>0</v>
      </c>
      <c r="BV247">
        <v>0</v>
      </c>
      <c r="BW247">
        <v>36</v>
      </c>
      <c r="BX247">
        <v>63</v>
      </c>
      <c r="BY247">
        <v>1773196010</v>
      </c>
      <c r="BZ247" t="s">
        <v>332</v>
      </c>
      <c r="CA247">
        <v>1773196010</v>
      </c>
      <c r="CB247">
        <v>1773196005.5</v>
      </c>
      <c r="CC247">
        <v>2</v>
      </c>
      <c r="CD247">
        <v>-0.279</v>
      </c>
      <c r="CE247">
        <v>-0.021</v>
      </c>
      <c r="CF247">
        <v>6.231</v>
      </c>
      <c r="CG247">
        <v>0.081</v>
      </c>
      <c r="CH247">
        <v>432</v>
      </c>
      <c r="CI247">
        <v>21</v>
      </c>
      <c r="CJ247">
        <v>0.03</v>
      </c>
      <c r="CK247">
        <v>0.06</v>
      </c>
      <c r="CL247">
        <v>415.2138666666667</v>
      </c>
      <c r="CM247">
        <v>-0.210687430477887</v>
      </c>
      <c r="CN247">
        <v>0.01739872281391445</v>
      </c>
      <c r="CO247">
        <v>-1</v>
      </c>
      <c r="CP247">
        <v>500.0018</v>
      </c>
      <c r="CQ247">
        <v>0.4077063403787033</v>
      </c>
      <c r="CR247">
        <v>0.04619985569963112</v>
      </c>
      <c r="CS247">
        <v>-1</v>
      </c>
      <c r="CT247">
        <v>0</v>
      </c>
      <c r="CU247">
        <v>0</v>
      </c>
      <c r="CV247" t="s">
        <v>333</v>
      </c>
      <c r="CW247">
        <v>3.17202</v>
      </c>
      <c r="CX247">
        <v>2.66577</v>
      </c>
      <c r="CY247">
        <v>0.097765</v>
      </c>
      <c r="CZ247">
        <v>0.09850780000000001</v>
      </c>
      <c r="DA247">
        <v>0.0792722</v>
      </c>
      <c r="DB247">
        <v>0.0790348</v>
      </c>
      <c r="DC247">
        <v>21306.8</v>
      </c>
      <c r="DD247">
        <v>21905.3</v>
      </c>
      <c r="DE247">
        <v>22772.9</v>
      </c>
      <c r="DF247">
        <v>22249.9</v>
      </c>
      <c r="DG247">
        <v>31716.4</v>
      </c>
      <c r="DH247">
        <v>28864.8</v>
      </c>
      <c r="DI247">
        <v>40091.3</v>
      </c>
      <c r="DJ247">
        <v>36798.6</v>
      </c>
      <c r="DK247">
        <v>2.01776</v>
      </c>
      <c r="DL247">
        <v>1.4797</v>
      </c>
      <c r="DM247">
        <v>-0.117657</v>
      </c>
      <c r="DN247">
        <v>0</v>
      </c>
      <c r="DO247">
        <v>33.027</v>
      </c>
      <c r="DP247">
        <v>999.9</v>
      </c>
      <c r="DQ247">
        <v>21.7</v>
      </c>
      <c r="DR247">
        <v>46.7</v>
      </c>
      <c r="DS247">
        <v>22.8354</v>
      </c>
      <c r="DT247">
        <v>30.6792</v>
      </c>
      <c r="DU247">
        <v>14.3269</v>
      </c>
      <c r="DV247">
        <v>1</v>
      </c>
      <c r="DW247">
        <v>0.970907</v>
      </c>
      <c r="DX247">
        <v>4.92892</v>
      </c>
      <c r="DY247">
        <v>20.2776</v>
      </c>
      <c r="DZ247">
        <v>5.20974</v>
      </c>
      <c r="EA247">
        <v>11.8583</v>
      </c>
      <c r="EB247">
        <v>4.96696</v>
      </c>
      <c r="EC247">
        <v>3.29296</v>
      </c>
      <c r="ED247">
        <v>879.4</v>
      </c>
      <c r="EE247">
        <v>9999</v>
      </c>
      <c r="EF247">
        <v>9999</v>
      </c>
      <c r="EG247">
        <v>79.90000000000001</v>
      </c>
      <c r="EH247">
        <v>4.97155</v>
      </c>
      <c r="EI247">
        <v>1.8721</v>
      </c>
      <c r="EJ247">
        <v>1.86947</v>
      </c>
      <c r="EK247">
        <v>1.8718</v>
      </c>
      <c r="EL247">
        <v>1.86953</v>
      </c>
      <c r="EM247">
        <v>1.86835</v>
      </c>
      <c r="EN247">
        <v>1.87014</v>
      </c>
      <c r="EO247">
        <v>1.87192</v>
      </c>
      <c r="EP247">
        <v>0</v>
      </c>
      <c r="EQ247">
        <v>0</v>
      </c>
      <c r="ER247">
        <v>0</v>
      </c>
      <c r="ES247">
        <v>0</v>
      </c>
      <c r="ET247" t="s">
        <v>334</v>
      </c>
      <c r="EU247" t="s">
        <v>335</v>
      </c>
      <c r="EV247" t="s">
        <v>336</v>
      </c>
      <c r="EW247" t="s">
        <v>336</v>
      </c>
      <c r="EX247" t="s">
        <v>336</v>
      </c>
      <c r="EY247" t="s">
        <v>336</v>
      </c>
      <c r="EZ247">
        <v>0</v>
      </c>
      <c r="FA247">
        <v>100</v>
      </c>
      <c r="FB247">
        <v>100</v>
      </c>
      <c r="FC247">
        <v>6.232</v>
      </c>
      <c r="FD247">
        <v>0.0806</v>
      </c>
      <c r="FE247">
        <v>6.23135000000002</v>
      </c>
      <c r="FF247">
        <v>0</v>
      </c>
      <c r="FG247">
        <v>0</v>
      </c>
      <c r="FH247">
        <v>0</v>
      </c>
      <c r="FI247">
        <v>0.08059047619047632</v>
      </c>
      <c r="FJ247">
        <v>0</v>
      </c>
      <c r="FK247">
        <v>0</v>
      </c>
      <c r="FL247">
        <v>0</v>
      </c>
      <c r="FM247">
        <v>-1</v>
      </c>
      <c r="FN247">
        <v>-1</v>
      </c>
      <c r="FO247">
        <v>-1</v>
      </c>
      <c r="FP247">
        <v>-1</v>
      </c>
      <c r="FQ247">
        <v>231.5</v>
      </c>
      <c r="FR247">
        <v>231.6</v>
      </c>
      <c r="FS247">
        <v>0.13916</v>
      </c>
      <c r="FT247">
        <v>4.99756</v>
      </c>
      <c r="FU247">
        <v>1.5979</v>
      </c>
      <c r="FV247">
        <v>2.10938</v>
      </c>
      <c r="FW247">
        <v>1.54785</v>
      </c>
      <c r="FX247">
        <v>2.47681</v>
      </c>
      <c r="FY247">
        <v>48.6088</v>
      </c>
      <c r="FZ247">
        <v>14.491</v>
      </c>
      <c r="GA247">
        <v>3</v>
      </c>
      <c r="GB247">
        <v>521.211</v>
      </c>
      <c r="GC247">
        <v>284.548</v>
      </c>
      <c r="GD247">
        <v>26.7233</v>
      </c>
      <c r="GE247">
        <v>38.8064</v>
      </c>
      <c r="GF247">
        <v>30</v>
      </c>
      <c r="GG247">
        <v>38.6934</v>
      </c>
      <c r="GH247">
        <v>38.6825</v>
      </c>
      <c r="GI247">
        <v>-1</v>
      </c>
      <c r="GJ247">
        <v>100</v>
      </c>
      <c r="GK247">
        <v>0</v>
      </c>
      <c r="GL247">
        <v>26.7691</v>
      </c>
      <c r="GM247">
        <v>1200</v>
      </c>
      <c r="GN247">
        <v>19.4378</v>
      </c>
      <c r="GO247">
        <v>100.853</v>
      </c>
      <c r="GP247">
        <v>96.0951</v>
      </c>
    </row>
    <row r="248" spans="1:198">
      <c r="A248">
        <v>232</v>
      </c>
      <c r="B248">
        <v>1773209962</v>
      </c>
      <c r="C248">
        <v>13862</v>
      </c>
      <c r="D248" t="s">
        <v>797</v>
      </c>
      <c r="E248" t="s">
        <v>798</v>
      </c>
      <c r="F248">
        <v>15</v>
      </c>
      <c r="G248">
        <v>1773209954</v>
      </c>
      <c r="H248">
        <f>(I248)/1000</f>
        <v>0</v>
      </c>
      <c r="I248">
        <f>1000*AY248*AG248*(AU248-AV248)/(100*AN248*(1000-AG248*AU248))</f>
        <v>0</v>
      </c>
      <c r="J248">
        <f>AY248*AG248*(AT248-AS248*(1000-AG248*AV248)/(1000-AG248*AU248))/(100*AN248)</f>
        <v>0</v>
      </c>
      <c r="K248">
        <f>AS248 - IF(AG248&gt;1, J248*AN248*100.0/(AI248), 0)</f>
        <v>0</v>
      </c>
      <c r="L248">
        <f>((R248-H248/2)*K248-J248)/(R248+H248/2)</f>
        <v>0</v>
      </c>
      <c r="M248">
        <f>L248*(AZ248+BA248)/1000.0</f>
        <v>0</v>
      </c>
      <c r="N248">
        <f>(AS248 - IF(AG248&gt;1, J248*AN248*100.0/(AI248), 0))*(AZ248+BA248)/1000.0</f>
        <v>0</v>
      </c>
      <c r="O248">
        <f>2.0/((1/Q248-1/P248)+SIGN(Q248)*SQRT((1/Q248-1/P248)*(1/Q248-1/P248) + 4*AO248/((AO248+1)*(AO248+1))*(2*1/Q248*1/P248-1/P248*1/P248)))</f>
        <v>0</v>
      </c>
      <c r="P248">
        <f>IF(LEFT(AP248,1)&lt;&gt;"0",IF(LEFT(AP248,1)="1",3.0,AQ248),$D$5+$E$5*(BG248*AZ248/($K$5*1000))+$F$5*(BG248*AZ248/($K$5*1000))*MAX(MIN(AN248,$J$5),$I$5)*MAX(MIN(AN248,$J$5),$I$5)+$G$5*MAX(MIN(AN248,$J$5),$I$5)*(BG248*AZ248/($K$5*1000))+$H$5*(BG248*AZ248/($K$5*1000))*(BG248*AZ248/($K$5*1000)))</f>
        <v>0</v>
      </c>
      <c r="Q248">
        <f>H248*(1000-(1000*0.61365*exp(17.502*U248/(240.97+U248))/(AZ248+BA248)+AU248)/2)/(1000*0.61365*exp(17.502*U248/(240.97+U248))/(AZ248+BA248)-AU248)</f>
        <v>0</v>
      </c>
      <c r="R248">
        <f>1/((AO248+1)/(O248/1.6)+1/(P248/1.37)) + AO248/((AO248+1)/(O248/1.6) + AO248/(P248/1.37))</f>
        <v>0</v>
      </c>
      <c r="S248">
        <f>(AJ248*AM248)</f>
        <v>0</v>
      </c>
      <c r="T248">
        <f>(BB248+(S248+2*0.95*5.67E-8*(((BB248+$B$7)+273)^4-(BB248+273)^4)-44100*H248)/(1.84*29.3*P248+8*0.95*5.67E-8*(BB248+273)^3))</f>
        <v>0</v>
      </c>
      <c r="U248">
        <f>($C$7*BC248+$D$7*BD248+$E$7*T248)</f>
        <v>0</v>
      </c>
      <c r="V248">
        <f>0.61365*exp(17.502*U248/(240.97+U248))</f>
        <v>0</v>
      </c>
      <c r="W248">
        <f>(X248/Y248*100)</f>
        <v>0</v>
      </c>
      <c r="X248">
        <f>AU248*(AZ248+BA248)/1000</f>
        <v>0</v>
      </c>
      <c r="Y248">
        <f>0.61365*exp(17.502*BB248/(240.97+BB248))</f>
        <v>0</v>
      </c>
      <c r="Z248">
        <f>(V248-AU248*(AZ248+BA248)/1000)</f>
        <v>0</v>
      </c>
      <c r="AA248">
        <f>(-H248*44100)</f>
        <v>0</v>
      </c>
      <c r="AB248">
        <f>2*29.3*P248*0.92*(BB248-U248)</f>
        <v>0</v>
      </c>
      <c r="AC248">
        <f>2*0.95*5.67E-8*(((BB248+$B$7)+273)^4-(U248+273)^4)</f>
        <v>0</v>
      </c>
      <c r="AD248">
        <f>S248+AC248+AA248+AB248</f>
        <v>0</v>
      </c>
      <c r="AE248">
        <v>0</v>
      </c>
      <c r="AF248">
        <v>0</v>
      </c>
      <c r="AG248">
        <f>IF(AE248*$H$13&gt;=AI248,1.0,(AI248/(AI248-AE248*$H$13)))</f>
        <v>0</v>
      </c>
      <c r="AH248">
        <f>(AG248-1)*100</f>
        <v>0</v>
      </c>
      <c r="AI248">
        <f>MAX(0,($B$13+$C$13*BG248)/(1+$D$13*BG248)*AZ248/(BB248+273)*$E$13)</f>
        <v>0</v>
      </c>
      <c r="AJ248">
        <f>$B$11*BH248+$C$11*BI248+$D$11*BT248</f>
        <v>0</v>
      </c>
      <c r="AK248">
        <f>AJ248*AL248</f>
        <v>0</v>
      </c>
      <c r="AL248">
        <f>($B$11*$D$9+$C$11*$D$9+$D$11*(BU248*$E$9+BV248*$G$9))/($B$11+$C$11+$D$11)</f>
        <v>0</v>
      </c>
      <c r="AM248">
        <f>($B$11*$K$9+$C$11*$K$9+$D$11*(BU248*$L$9+BV248*$N$9))/($B$11+$C$11+$D$11)</f>
        <v>0</v>
      </c>
      <c r="AN248">
        <v>3</v>
      </c>
      <c r="AO248">
        <v>0.5</v>
      </c>
      <c r="AP248" t="s">
        <v>331</v>
      </c>
      <c r="AQ248">
        <v>2</v>
      </c>
      <c r="AR248">
        <v>1773209954</v>
      </c>
      <c r="AS248">
        <v>417.7591612903227</v>
      </c>
      <c r="AT248">
        <v>415.4442903225806</v>
      </c>
      <c r="AU248">
        <v>15.10832903225807</v>
      </c>
      <c r="AV248">
        <v>15.02631612903226</v>
      </c>
      <c r="AW248">
        <v>411.5279032258065</v>
      </c>
      <c r="AX248">
        <v>15.02773548387097</v>
      </c>
      <c r="AY248">
        <v>499.9929032258065</v>
      </c>
      <c r="AZ248">
        <v>99.92924516129034</v>
      </c>
      <c r="BA248">
        <v>0.04533648709677421</v>
      </c>
      <c r="BB248">
        <v>30.81373548387097</v>
      </c>
      <c r="BC248">
        <v>31.2033064516129</v>
      </c>
      <c r="BD248">
        <v>999.9000000000003</v>
      </c>
      <c r="BE248">
        <v>0</v>
      </c>
      <c r="BF248">
        <v>0</v>
      </c>
      <c r="BG248">
        <v>4987.064516129032</v>
      </c>
      <c r="BH248">
        <v>1.131102903225806</v>
      </c>
      <c r="BI248">
        <v>1809.79064516129</v>
      </c>
      <c r="BJ248">
        <v>2.314855483870968</v>
      </c>
      <c r="BK248">
        <v>424.1677096774194</v>
      </c>
      <c r="BL248">
        <v>421.7822258064515</v>
      </c>
      <c r="BM248">
        <v>0.08200940967741936</v>
      </c>
      <c r="BN248">
        <v>415.4442903225806</v>
      </c>
      <c r="BO248">
        <v>15.02631612903226</v>
      </c>
      <c r="BP248">
        <v>1.509763548387097</v>
      </c>
      <c r="BQ248">
        <v>1.501568387096774</v>
      </c>
      <c r="BR248">
        <v>13.0674</v>
      </c>
      <c r="BS248">
        <v>12.98414516129032</v>
      </c>
      <c r="BT248">
        <v>0</v>
      </c>
      <c r="BU248">
        <v>0</v>
      </c>
      <c r="BV248">
        <v>0</v>
      </c>
      <c r="BW248">
        <v>36</v>
      </c>
      <c r="BX248">
        <v>63.87956774193548</v>
      </c>
      <c r="BY248">
        <v>1773196010</v>
      </c>
      <c r="BZ248" t="s">
        <v>332</v>
      </c>
      <c r="CA248">
        <v>1773196010</v>
      </c>
      <c r="CB248">
        <v>1773196005.5</v>
      </c>
      <c r="CC248">
        <v>2</v>
      </c>
      <c r="CD248">
        <v>-0.279</v>
      </c>
      <c r="CE248">
        <v>-0.021</v>
      </c>
      <c r="CF248">
        <v>6.231</v>
      </c>
      <c r="CG248">
        <v>0.081</v>
      </c>
      <c r="CH248">
        <v>432</v>
      </c>
      <c r="CI248">
        <v>21</v>
      </c>
      <c r="CJ248">
        <v>0.03</v>
      </c>
      <c r="CK248">
        <v>0.06</v>
      </c>
      <c r="CL248">
        <v>415.4442903225806</v>
      </c>
      <c r="CM248">
        <v>0.5709193548386815</v>
      </c>
      <c r="CN248">
        <v>0.04557531416442916</v>
      </c>
      <c r="CO248">
        <v>-1</v>
      </c>
      <c r="CP248">
        <v>499.9929032258065</v>
      </c>
      <c r="CQ248">
        <v>-0.7474838709677858</v>
      </c>
      <c r="CR248">
        <v>0.07016954345229363</v>
      </c>
      <c r="CS248">
        <v>-1</v>
      </c>
      <c r="CT248">
        <v>0</v>
      </c>
      <c r="CU248">
        <v>0</v>
      </c>
      <c r="CV248" t="s">
        <v>333</v>
      </c>
      <c r="CW248">
        <v>3.17203</v>
      </c>
      <c r="CX248">
        <v>2.66618</v>
      </c>
      <c r="CY248">
        <v>0.09780220000000001</v>
      </c>
      <c r="CZ248">
        <v>0.0985603</v>
      </c>
      <c r="DA248">
        <v>0.0794889</v>
      </c>
      <c r="DB248">
        <v>0.0792288</v>
      </c>
      <c r="DC248">
        <v>21303.9</v>
      </c>
      <c r="DD248">
        <v>21901.8</v>
      </c>
      <c r="DE248">
        <v>22770.9</v>
      </c>
      <c r="DF248">
        <v>22247.8</v>
      </c>
      <c r="DG248">
        <v>31706.2</v>
      </c>
      <c r="DH248">
        <v>28856.3</v>
      </c>
      <c r="DI248">
        <v>40087.8</v>
      </c>
      <c r="DJ248">
        <v>36795.5</v>
      </c>
      <c r="DK248">
        <v>2.0171</v>
      </c>
      <c r="DL248">
        <v>1.47854</v>
      </c>
      <c r="DM248">
        <v>-0.111398</v>
      </c>
      <c r="DN248">
        <v>0</v>
      </c>
      <c r="DO248">
        <v>33.0176</v>
      </c>
      <c r="DP248">
        <v>999.9</v>
      </c>
      <c r="DQ248">
        <v>21.7</v>
      </c>
      <c r="DR248">
        <v>46.7</v>
      </c>
      <c r="DS248">
        <v>22.8366</v>
      </c>
      <c r="DT248">
        <v>30.7392</v>
      </c>
      <c r="DU248">
        <v>14.1947</v>
      </c>
      <c r="DV248">
        <v>1</v>
      </c>
      <c r="DW248">
        <v>0.979945</v>
      </c>
      <c r="DX248">
        <v>5.50047</v>
      </c>
      <c r="DY248">
        <v>20.2544</v>
      </c>
      <c r="DZ248">
        <v>5.20962</v>
      </c>
      <c r="EA248">
        <v>11.8592</v>
      </c>
      <c r="EB248">
        <v>4.96716</v>
      </c>
      <c r="EC248">
        <v>3.293</v>
      </c>
      <c r="ED248">
        <v>879.4</v>
      </c>
      <c r="EE248">
        <v>9999</v>
      </c>
      <c r="EF248">
        <v>9999</v>
      </c>
      <c r="EG248">
        <v>79.90000000000001</v>
      </c>
      <c r="EH248">
        <v>4.97154</v>
      </c>
      <c r="EI248">
        <v>1.8721</v>
      </c>
      <c r="EJ248">
        <v>1.86949</v>
      </c>
      <c r="EK248">
        <v>1.8718</v>
      </c>
      <c r="EL248">
        <v>1.86952</v>
      </c>
      <c r="EM248">
        <v>1.86838</v>
      </c>
      <c r="EN248">
        <v>1.87013</v>
      </c>
      <c r="EO248">
        <v>1.87192</v>
      </c>
      <c r="EP248">
        <v>0</v>
      </c>
      <c r="EQ248">
        <v>0</v>
      </c>
      <c r="ER248">
        <v>0</v>
      </c>
      <c r="ES248">
        <v>0</v>
      </c>
      <c r="ET248" t="s">
        <v>334</v>
      </c>
      <c r="EU248" t="s">
        <v>335</v>
      </c>
      <c r="EV248" t="s">
        <v>336</v>
      </c>
      <c r="EW248" t="s">
        <v>336</v>
      </c>
      <c r="EX248" t="s">
        <v>336</v>
      </c>
      <c r="EY248" t="s">
        <v>336</v>
      </c>
      <c r="EZ248">
        <v>0</v>
      </c>
      <c r="FA248">
        <v>100</v>
      </c>
      <c r="FB248">
        <v>100</v>
      </c>
      <c r="FC248">
        <v>6.231</v>
      </c>
      <c r="FD248">
        <v>0.0806</v>
      </c>
      <c r="FE248">
        <v>6.23135000000002</v>
      </c>
      <c r="FF248">
        <v>0</v>
      </c>
      <c r="FG248">
        <v>0</v>
      </c>
      <c r="FH248">
        <v>0</v>
      </c>
      <c r="FI248">
        <v>0.08059047619047632</v>
      </c>
      <c r="FJ248">
        <v>0</v>
      </c>
      <c r="FK248">
        <v>0</v>
      </c>
      <c r="FL248">
        <v>0</v>
      </c>
      <c r="FM248">
        <v>-1</v>
      </c>
      <c r="FN248">
        <v>-1</v>
      </c>
      <c r="FO248">
        <v>-1</v>
      </c>
      <c r="FP248">
        <v>-1</v>
      </c>
      <c r="FQ248">
        <v>232.5</v>
      </c>
      <c r="FR248">
        <v>232.6</v>
      </c>
      <c r="FS248">
        <v>0.140381</v>
      </c>
      <c r="FT248">
        <v>4.99756</v>
      </c>
      <c r="FU248">
        <v>1.5979</v>
      </c>
      <c r="FV248">
        <v>2.10938</v>
      </c>
      <c r="FW248">
        <v>1.54785</v>
      </c>
      <c r="FX248">
        <v>2.46704</v>
      </c>
      <c r="FY248">
        <v>48.7016</v>
      </c>
      <c r="FZ248">
        <v>14.4735</v>
      </c>
      <c r="GA248">
        <v>3</v>
      </c>
      <c r="GB248">
        <v>520.971</v>
      </c>
      <c r="GC248">
        <v>284.093</v>
      </c>
      <c r="GD248">
        <v>26.8042</v>
      </c>
      <c r="GE248">
        <v>38.8417</v>
      </c>
      <c r="GF248">
        <v>30.0026</v>
      </c>
      <c r="GG248">
        <v>38.7188</v>
      </c>
      <c r="GH248">
        <v>38.7048</v>
      </c>
      <c r="GI248">
        <v>-1</v>
      </c>
      <c r="GJ248">
        <v>100</v>
      </c>
      <c r="GK248">
        <v>0</v>
      </c>
      <c r="GL248">
        <v>26.7855</v>
      </c>
      <c r="GM248">
        <v>1200</v>
      </c>
      <c r="GN248">
        <v>19.4378</v>
      </c>
      <c r="GO248">
        <v>100.844</v>
      </c>
      <c r="GP248">
        <v>96.08669999999999</v>
      </c>
    </row>
    <row r="249" spans="1:198">
      <c r="A249">
        <v>233</v>
      </c>
      <c r="B249">
        <v>1773210022</v>
      </c>
      <c r="C249">
        <v>13922</v>
      </c>
      <c r="D249" t="s">
        <v>799</v>
      </c>
      <c r="E249" t="s">
        <v>800</v>
      </c>
      <c r="F249">
        <v>15</v>
      </c>
      <c r="G249">
        <v>1773210014</v>
      </c>
      <c r="H249">
        <f>(I249)/1000</f>
        <v>0</v>
      </c>
      <c r="I249">
        <f>1000*AY249*AG249*(AU249-AV249)/(100*AN249*(1000-AG249*AU249))</f>
        <v>0</v>
      </c>
      <c r="J249">
        <f>AY249*AG249*(AT249-AS249*(1000-AG249*AV249)/(1000-AG249*AU249))/(100*AN249)</f>
        <v>0</v>
      </c>
      <c r="K249">
        <f>AS249 - IF(AG249&gt;1, J249*AN249*100.0/(AI249), 0)</f>
        <v>0</v>
      </c>
      <c r="L249">
        <f>((R249-H249/2)*K249-J249)/(R249+H249/2)</f>
        <v>0</v>
      </c>
      <c r="M249">
        <f>L249*(AZ249+BA249)/1000.0</f>
        <v>0</v>
      </c>
      <c r="N249">
        <f>(AS249 - IF(AG249&gt;1, J249*AN249*100.0/(AI249), 0))*(AZ249+BA249)/1000.0</f>
        <v>0</v>
      </c>
      <c r="O249">
        <f>2.0/((1/Q249-1/P249)+SIGN(Q249)*SQRT((1/Q249-1/P249)*(1/Q249-1/P249) + 4*AO249/((AO249+1)*(AO249+1))*(2*1/Q249*1/P249-1/P249*1/P249)))</f>
        <v>0</v>
      </c>
      <c r="P249">
        <f>IF(LEFT(AP249,1)&lt;&gt;"0",IF(LEFT(AP249,1)="1",3.0,AQ249),$D$5+$E$5*(BG249*AZ249/($K$5*1000))+$F$5*(BG249*AZ249/($K$5*1000))*MAX(MIN(AN249,$J$5),$I$5)*MAX(MIN(AN249,$J$5),$I$5)+$G$5*MAX(MIN(AN249,$J$5),$I$5)*(BG249*AZ249/($K$5*1000))+$H$5*(BG249*AZ249/($K$5*1000))*(BG249*AZ249/($K$5*1000)))</f>
        <v>0</v>
      </c>
      <c r="Q249">
        <f>H249*(1000-(1000*0.61365*exp(17.502*U249/(240.97+U249))/(AZ249+BA249)+AU249)/2)/(1000*0.61365*exp(17.502*U249/(240.97+U249))/(AZ249+BA249)-AU249)</f>
        <v>0</v>
      </c>
      <c r="R249">
        <f>1/((AO249+1)/(O249/1.6)+1/(P249/1.37)) + AO249/((AO249+1)/(O249/1.6) + AO249/(P249/1.37))</f>
        <v>0</v>
      </c>
      <c r="S249">
        <f>(AJ249*AM249)</f>
        <v>0</v>
      </c>
      <c r="T249">
        <f>(BB249+(S249+2*0.95*5.67E-8*(((BB249+$B$7)+273)^4-(BB249+273)^4)-44100*H249)/(1.84*29.3*P249+8*0.95*5.67E-8*(BB249+273)^3))</f>
        <v>0</v>
      </c>
      <c r="U249">
        <f>($C$7*BC249+$D$7*BD249+$E$7*T249)</f>
        <v>0</v>
      </c>
      <c r="V249">
        <f>0.61365*exp(17.502*U249/(240.97+U249))</f>
        <v>0</v>
      </c>
      <c r="W249">
        <f>(X249/Y249*100)</f>
        <v>0</v>
      </c>
      <c r="X249">
        <f>AU249*(AZ249+BA249)/1000</f>
        <v>0</v>
      </c>
      <c r="Y249">
        <f>0.61365*exp(17.502*BB249/(240.97+BB249))</f>
        <v>0</v>
      </c>
      <c r="Z249">
        <f>(V249-AU249*(AZ249+BA249)/1000)</f>
        <v>0</v>
      </c>
      <c r="AA249">
        <f>(-H249*44100)</f>
        <v>0</v>
      </c>
      <c r="AB249">
        <f>2*29.3*P249*0.92*(BB249-U249)</f>
        <v>0</v>
      </c>
      <c r="AC249">
        <f>2*0.95*5.67E-8*(((BB249+$B$7)+273)^4-(U249+273)^4)</f>
        <v>0</v>
      </c>
      <c r="AD249">
        <f>S249+AC249+AA249+AB249</f>
        <v>0</v>
      </c>
      <c r="AE249">
        <v>0</v>
      </c>
      <c r="AF249">
        <v>0</v>
      </c>
      <c r="AG249">
        <f>IF(AE249*$H$13&gt;=AI249,1.0,(AI249/(AI249-AE249*$H$13)))</f>
        <v>0</v>
      </c>
      <c r="AH249">
        <f>(AG249-1)*100</f>
        <v>0</v>
      </c>
      <c r="AI249">
        <f>MAX(0,($B$13+$C$13*BG249)/(1+$D$13*BG249)*AZ249/(BB249+273)*$E$13)</f>
        <v>0</v>
      </c>
      <c r="AJ249">
        <f>$B$11*BH249+$C$11*BI249+$D$11*BT249</f>
        <v>0</v>
      </c>
      <c r="AK249">
        <f>AJ249*AL249</f>
        <v>0</v>
      </c>
      <c r="AL249">
        <f>($B$11*$D$9+$C$11*$D$9+$D$11*(BU249*$E$9+BV249*$G$9))/($B$11+$C$11+$D$11)</f>
        <v>0</v>
      </c>
      <c r="AM249">
        <f>($B$11*$K$9+$C$11*$K$9+$D$11*(BU249*$L$9+BV249*$N$9))/($B$11+$C$11+$D$11)</f>
        <v>0</v>
      </c>
      <c r="AN249">
        <v>3</v>
      </c>
      <c r="AO249">
        <v>0.5</v>
      </c>
      <c r="AP249" t="s">
        <v>331</v>
      </c>
      <c r="AQ249">
        <v>2</v>
      </c>
      <c r="AR249">
        <v>1773210014</v>
      </c>
      <c r="AS249">
        <v>417.9387419354838</v>
      </c>
      <c r="AT249">
        <v>415.5712903225806</v>
      </c>
      <c r="AU249">
        <v>15.16653870967742</v>
      </c>
      <c r="AV249">
        <v>15.09531290322581</v>
      </c>
      <c r="AW249">
        <v>411.7073870967741</v>
      </c>
      <c r="AX249">
        <v>15.08594516129032</v>
      </c>
      <c r="AY249">
        <v>500.0357741935484</v>
      </c>
      <c r="AZ249">
        <v>99.9274129032258</v>
      </c>
      <c r="BA249">
        <v>0.04518891612903225</v>
      </c>
      <c r="BB249">
        <v>30.8358193548387</v>
      </c>
      <c r="BC249">
        <v>31.21555161290323</v>
      </c>
      <c r="BD249">
        <v>999.9000000000003</v>
      </c>
      <c r="BE249">
        <v>0</v>
      </c>
      <c r="BF249">
        <v>0</v>
      </c>
      <c r="BG249">
        <v>4997.516129032259</v>
      </c>
      <c r="BH249">
        <v>1.141056774193548</v>
      </c>
      <c r="BI249">
        <v>1814.052580645161</v>
      </c>
      <c r="BJ249">
        <v>2.367415483870968</v>
      </c>
      <c r="BK249">
        <v>424.3749677419354</v>
      </c>
      <c r="BL249">
        <v>421.9405806451613</v>
      </c>
      <c r="BM249">
        <v>0.0712247612903226</v>
      </c>
      <c r="BN249">
        <v>415.5712903225806</v>
      </c>
      <c r="BO249">
        <v>15.09531290322581</v>
      </c>
      <c r="BP249">
        <v>1.515552258064516</v>
      </c>
      <c r="BQ249">
        <v>1.508434838709677</v>
      </c>
      <c r="BR249">
        <v>13.12597419354839</v>
      </c>
      <c r="BS249">
        <v>13.05393870967742</v>
      </c>
      <c r="BT249">
        <v>0</v>
      </c>
      <c r="BU249">
        <v>0</v>
      </c>
      <c r="BV249">
        <v>0</v>
      </c>
      <c r="BW249">
        <v>36</v>
      </c>
      <c r="BX249">
        <v>63.96774193548387</v>
      </c>
      <c r="BY249">
        <v>1773196010</v>
      </c>
      <c r="BZ249" t="s">
        <v>332</v>
      </c>
      <c r="CA249">
        <v>1773196010</v>
      </c>
      <c r="CB249">
        <v>1773196005.5</v>
      </c>
      <c r="CC249">
        <v>2</v>
      </c>
      <c r="CD249">
        <v>-0.279</v>
      </c>
      <c r="CE249">
        <v>-0.021</v>
      </c>
      <c r="CF249">
        <v>6.231</v>
      </c>
      <c r="CG249">
        <v>0.081</v>
      </c>
      <c r="CH249">
        <v>432</v>
      </c>
      <c r="CI249">
        <v>21</v>
      </c>
      <c r="CJ249">
        <v>0.03</v>
      </c>
      <c r="CK249">
        <v>0.06</v>
      </c>
      <c r="CL249">
        <v>415.5719333333333</v>
      </c>
      <c r="CM249">
        <v>0.02413348164667457</v>
      </c>
      <c r="CN249">
        <v>0.01173295453933654</v>
      </c>
      <c r="CO249">
        <v>-1</v>
      </c>
      <c r="CP249">
        <v>500.0420333333333</v>
      </c>
      <c r="CQ249">
        <v>0.8999599555068392</v>
      </c>
      <c r="CR249">
        <v>0.1807937099446682</v>
      </c>
      <c r="CS249">
        <v>-1</v>
      </c>
      <c r="CT249">
        <v>0</v>
      </c>
      <c r="CU249">
        <v>0</v>
      </c>
      <c r="CV249" t="s">
        <v>333</v>
      </c>
      <c r="CW249">
        <v>3.17172</v>
      </c>
      <c r="CX249">
        <v>2.66563</v>
      </c>
      <c r="CY249">
        <v>0.09781620000000001</v>
      </c>
      <c r="CZ249">
        <v>0.0985615</v>
      </c>
      <c r="DA249">
        <v>0.0797259</v>
      </c>
      <c r="DB249">
        <v>0.0795054</v>
      </c>
      <c r="DC249">
        <v>21301.5</v>
      </c>
      <c r="DD249">
        <v>21900.3</v>
      </c>
      <c r="DE249">
        <v>22768.9</v>
      </c>
      <c r="DF249">
        <v>22246.5</v>
      </c>
      <c r="DG249">
        <v>31695.4</v>
      </c>
      <c r="DH249">
        <v>28845.5</v>
      </c>
      <c r="DI249">
        <v>40084.5</v>
      </c>
      <c r="DJ249">
        <v>36792.7</v>
      </c>
      <c r="DK249">
        <v>2.01658</v>
      </c>
      <c r="DL249">
        <v>1.47884</v>
      </c>
      <c r="DM249">
        <v>-0.115371</v>
      </c>
      <c r="DN249">
        <v>0</v>
      </c>
      <c r="DO249">
        <v>33.0855</v>
      </c>
      <c r="DP249">
        <v>999.9</v>
      </c>
      <c r="DQ249">
        <v>21.6</v>
      </c>
      <c r="DR249">
        <v>46.7</v>
      </c>
      <c r="DS249">
        <v>22.7337</v>
      </c>
      <c r="DT249">
        <v>30.5892</v>
      </c>
      <c r="DU249">
        <v>14.5994</v>
      </c>
      <c r="DV249">
        <v>1</v>
      </c>
      <c r="DW249">
        <v>0.983811</v>
      </c>
      <c r="DX249">
        <v>5.68862</v>
      </c>
      <c r="DY249">
        <v>20.2479</v>
      </c>
      <c r="DZ249">
        <v>5.20986</v>
      </c>
      <c r="EA249">
        <v>11.8589</v>
      </c>
      <c r="EB249">
        <v>4.96716</v>
      </c>
      <c r="EC249">
        <v>3.29298</v>
      </c>
      <c r="ED249">
        <v>879.4</v>
      </c>
      <c r="EE249">
        <v>9999</v>
      </c>
      <c r="EF249">
        <v>9999</v>
      </c>
      <c r="EG249">
        <v>79.90000000000001</v>
      </c>
      <c r="EH249">
        <v>4.97153</v>
      </c>
      <c r="EI249">
        <v>1.8721</v>
      </c>
      <c r="EJ249">
        <v>1.86945</v>
      </c>
      <c r="EK249">
        <v>1.87179</v>
      </c>
      <c r="EL249">
        <v>1.86952</v>
      </c>
      <c r="EM249">
        <v>1.86833</v>
      </c>
      <c r="EN249">
        <v>1.87014</v>
      </c>
      <c r="EO249">
        <v>1.87194</v>
      </c>
      <c r="EP249">
        <v>0</v>
      </c>
      <c r="EQ249">
        <v>0</v>
      </c>
      <c r="ER249">
        <v>0</v>
      </c>
      <c r="ES249">
        <v>0</v>
      </c>
      <c r="ET249" t="s">
        <v>334</v>
      </c>
      <c r="EU249" t="s">
        <v>335</v>
      </c>
      <c r="EV249" t="s">
        <v>336</v>
      </c>
      <c r="EW249" t="s">
        <v>336</v>
      </c>
      <c r="EX249" t="s">
        <v>336</v>
      </c>
      <c r="EY249" t="s">
        <v>336</v>
      </c>
      <c r="EZ249">
        <v>0</v>
      </c>
      <c r="FA249">
        <v>100</v>
      </c>
      <c r="FB249">
        <v>100</v>
      </c>
      <c r="FC249">
        <v>6.231</v>
      </c>
      <c r="FD249">
        <v>0.0805</v>
      </c>
      <c r="FE249">
        <v>6.23135000000002</v>
      </c>
      <c r="FF249">
        <v>0</v>
      </c>
      <c r="FG249">
        <v>0</v>
      </c>
      <c r="FH249">
        <v>0</v>
      </c>
      <c r="FI249">
        <v>0.08059047619047632</v>
      </c>
      <c r="FJ249">
        <v>0</v>
      </c>
      <c r="FK249">
        <v>0</v>
      </c>
      <c r="FL249">
        <v>0</v>
      </c>
      <c r="FM249">
        <v>-1</v>
      </c>
      <c r="FN249">
        <v>-1</v>
      </c>
      <c r="FO249">
        <v>-1</v>
      </c>
      <c r="FP249">
        <v>-1</v>
      </c>
      <c r="FQ249">
        <v>233.5</v>
      </c>
      <c r="FR249">
        <v>233.6</v>
      </c>
      <c r="FS249">
        <v>0.140381</v>
      </c>
      <c r="FT249">
        <v>4.99756</v>
      </c>
      <c r="FU249">
        <v>1.5979</v>
      </c>
      <c r="FV249">
        <v>2.10815</v>
      </c>
      <c r="FW249">
        <v>1.54785</v>
      </c>
      <c r="FX249">
        <v>2.43774</v>
      </c>
      <c r="FY249">
        <v>48.7947</v>
      </c>
      <c r="FZ249">
        <v>14.4472</v>
      </c>
      <c r="GA249">
        <v>3</v>
      </c>
      <c r="GB249">
        <v>520.862</v>
      </c>
      <c r="GC249">
        <v>284.344</v>
      </c>
      <c r="GD249">
        <v>26.4522</v>
      </c>
      <c r="GE249">
        <v>38.8853</v>
      </c>
      <c r="GF249">
        <v>30.001</v>
      </c>
      <c r="GG249">
        <v>38.7502</v>
      </c>
      <c r="GH249">
        <v>38.7351</v>
      </c>
      <c r="GI249">
        <v>-1</v>
      </c>
      <c r="GJ249">
        <v>100</v>
      </c>
      <c r="GK249">
        <v>0</v>
      </c>
      <c r="GL249">
        <v>26.4025</v>
      </c>
      <c r="GM249">
        <v>1200</v>
      </c>
      <c r="GN249">
        <v>19.4378</v>
      </c>
      <c r="GO249">
        <v>100.836</v>
      </c>
      <c r="GP249">
        <v>96.08</v>
      </c>
    </row>
    <row r="250" spans="1:198">
      <c r="A250">
        <v>234</v>
      </c>
      <c r="B250">
        <v>1773210082</v>
      </c>
      <c r="C250">
        <v>13982</v>
      </c>
      <c r="D250" t="s">
        <v>801</v>
      </c>
      <c r="E250" t="s">
        <v>802</v>
      </c>
      <c r="F250">
        <v>15</v>
      </c>
      <c r="G250">
        <v>1773210074</v>
      </c>
      <c r="H250">
        <f>(I250)/1000</f>
        <v>0</v>
      </c>
      <c r="I250">
        <f>1000*AY250*AG250*(AU250-AV250)/(100*AN250*(1000-AG250*AU250))</f>
        <v>0</v>
      </c>
      <c r="J250">
        <f>AY250*AG250*(AT250-AS250*(1000-AG250*AV250)/(1000-AG250*AU250))/(100*AN250)</f>
        <v>0</v>
      </c>
      <c r="K250">
        <f>AS250 - IF(AG250&gt;1, J250*AN250*100.0/(AI250), 0)</f>
        <v>0</v>
      </c>
      <c r="L250">
        <f>((R250-H250/2)*K250-J250)/(R250+H250/2)</f>
        <v>0</v>
      </c>
      <c r="M250">
        <f>L250*(AZ250+BA250)/1000.0</f>
        <v>0</v>
      </c>
      <c r="N250">
        <f>(AS250 - IF(AG250&gt;1, J250*AN250*100.0/(AI250), 0))*(AZ250+BA250)/1000.0</f>
        <v>0</v>
      </c>
      <c r="O250">
        <f>2.0/((1/Q250-1/P250)+SIGN(Q250)*SQRT((1/Q250-1/P250)*(1/Q250-1/P250) + 4*AO250/((AO250+1)*(AO250+1))*(2*1/Q250*1/P250-1/P250*1/P250)))</f>
        <v>0</v>
      </c>
      <c r="P250">
        <f>IF(LEFT(AP250,1)&lt;&gt;"0",IF(LEFT(AP250,1)="1",3.0,AQ250),$D$5+$E$5*(BG250*AZ250/($K$5*1000))+$F$5*(BG250*AZ250/($K$5*1000))*MAX(MIN(AN250,$J$5),$I$5)*MAX(MIN(AN250,$J$5),$I$5)+$G$5*MAX(MIN(AN250,$J$5),$I$5)*(BG250*AZ250/($K$5*1000))+$H$5*(BG250*AZ250/($K$5*1000))*(BG250*AZ250/($K$5*1000)))</f>
        <v>0</v>
      </c>
      <c r="Q250">
        <f>H250*(1000-(1000*0.61365*exp(17.502*U250/(240.97+U250))/(AZ250+BA250)+AU250)/2)/(1000*0.61365*exp(17.502*U250/(240.97+U250))/(AZ250+BA250)-AU250)</f>
        <v>0</v>
      </c>
      <c r="R250">
        <f>1/((AO250+1)/(O250/1.6)+1/(P250/1.37)) + AO250/((AO250+1)/(O250/1.6) + AO250/(P250/1.37))</f>
        <v>0</v>
      </c>
      <c r="S250">
        <f>(AJ250*AM250)</f>
        <v>0</v>
      </c>
      <c r="T250">
        <f>(BB250+(S250+2*0.95*5.67E-8*(((BB250+$B$7)+273)^4-(BB250+273)^4)-44100*H250)/(1.84*29.3*P250+8*0.95*5.67E-8*(BB250+273)^3))</f>
        <v>0</v>
      </c>
      <c r="U250">
        <f>($C$7*BC250+$D$7*BD250+$E$7*T250)</f>
        <v>0</v>
      </c>
      <c r="V250">
        <f>0.61365*exp(17.502*U250/(240.97+U250))</f>
        <v>0</v>
      </c>
      <c r="W250">
        <f>(X250/Y250*100)</f>
        <v>0</v>
      </c>
      <c r="X250">
        <f>AU250*(AZ250+BA250)/1000</f>
        <v>0</v>
      </c>
      <c r="Y250">
        <f>0.61365*exp(17.502*BB250/(240.97+BB250))</f>
        <v>0</v>
      </c>
      <c r="Z250">
        <f>(V250-AU250*(AZ250+BA250)/1000)</f>
        <v>0</v>
      </c>
      <c r="AA250">
        <f>(-H250*44100)</f>
        <v>0</v>
      </c>
      <c r="AB250">
        <f>2*29.3*P250*0.92*(BB250-U250)</f>
        <v>0</v>
      </c>
      <c r="AC250">
        <f>2*0.95*5.67E-8*(((BB250+$B$7)+273)^4-(U250+273)^4)</f>
        <v>0</v>
      </c>
      <c r="AD250">
        <f>S250+AC250+AA250+AB250</f>
        <v>0</v>
      </c>
      <c r="AE250">
        <v>0</v>
      </c>
      <c r="AF250">
        <v>0</v>
      </c>
      <c r="AG250">
        <f>IF(AE250*$H$13&gt;=AI250,1.0,(AI250/(AI250-AE250*$H$13)))</f>
        <v>0</v>
      </c>
      <c r="AH250">
        <f>(AG250-1)*100</f>
        <v>0</v>
      </c>
      <c r="AI250">
        <f>MAX(0,($B$13+$C$13*BG250)/(1+$D$13*BG250)*AZ250/(BB250+273)*$E$13)</f>
        <v>0</v>
      </c>
      <c r="AJ250">
        <f>$B$11*BH250+$C$11*BI250+$D$11*BT250</f>
        <v>0</v>
      </c>
      <c r="AK250">
        <f>AJ250*AL250</f>
        <v>0</v>
      </c>
      <c r="AL250">
        <f>($B$11*$D$9+$C$11*$D$9+$D$11*(BU250*$E$9+BV250*$G$9))/($B$11+$C$11+$D$11)</f>
        <v>0</v>
      </c>
      <c r="AM250">
        <f>($B$11*$K$9+$C$11*$K$9+$D$11*(BU250*$L$9+BV250*$N$9))/($B$11+$C$11+$D$11)</f>
        <v>0</v>
      </c>
      <c r="AN250">
        <v>3</v>
      </c>
      <c r="AO250">
        <v>0.5</v>
      </c>
      <c r="AP250" t="s">
        <v>331</v>
      </c>
      <c r="AQ250">
        <v>2</v>
      </c>
      <c r="AR250">
        <v>1773210074</v>
      </c>
      <c r="AS250">
        <v>417.7531290322581</v>
      </c>
      <c r="AT250">
        <v>415.4008387096774</v>
      </c>
      <c r="AU250">
        <v>15.2219935483871</v>
      </c>
      <c r="AV250">
        <v>15.14348709677419</v>
      </c>
      <c r="AW250">
        <v>411.5218064516129</v>
      </c>
      <c r="AX250">
        <v>15.14139677419355</v>
      </c>
      <c r="AY250">
        <v>500.0354193548387</v>
      </c>
      <c r="AZ250">
        <v>99.92370967741937</v>
      </c>
      <c r="BA250">
        <v>0.04674448709677421</v>
      </c>
      <c r="BB250">
        <v>30.8661129032258</v>
      </c>
      <c r="BC250">
        <v>31.24295483870968</v>
      </c>
      <c r="BD250">
        <v>999.9000000000003</v>
      </c>
      <c r="BE250">
        <v>0</v>
      </c>
      <c r="BF250">
        <v>0</v>
      </c>
      <c r="BG250">
        <v>4996.951612903225</v>
      </c>
      <c r="BH250">
        <v>1.142937741935484</v>
      </c>
      <c r="BI250">
        <v>1793.312258064516</v>
      </c>
      <c r="BJ250">
        <v>2.352296129032258</v>
      </c>
      <c r="BK250">
        <v>424.2104516129032</v>
      </c>
      <c r="BL250">
        <v>421.7881612903225</v>
      </c>
      <c r="BM250">
        <v>0.0785039806451613</v>
      </c>
      <c r="BN250">
        <v>415.4008387096774</v>
      </c>
      <c r="BO250">
        <v>15.14348709677419</v>
      </c>
      <c r="BP250">
        <v>1.521037741935484</v>
      </c>
      <c r="BQ250">
        <v>1.513193870967742</v>
      </c>
      <c r="BR250">
        <v>13.1813</v>
      </c>
      <c r="BS250">
        <v>13.10213548387097</v>
      </c>
      <c r="BT250">
        <v>0</v>
      </c>
      <c r="BU250">
        <v>0</v>
      </c>
      <c r="BV250">
        <v>0</v>
      </c>
      <c r="BW250">
        <v>36</v>
      </c>
      <c r="BX250">
        <v>63.08708709677419</v>
      </c>
      <c r="BY250">
        <v>1773196010</v>
      </c>
      <c r="BZ250" t="s">
        <v>332</v>
      </c>
      <c r="CA250">
        <v>1773196010</v>
      </c>
      <c r="CB250">
        <v>1773196005.5</v>
      </c>
      <c r="CC250">
        <v>2</v>
      </c>
      <c r="CD250">
        <v>-0.279</v>
      </c>
      <c r="CE250">
        <v>-0.021</v>
      </c>
      <c r="CF250">
        <v>6.231</v>
      </c>
      <c r="CG250">
        <v>0.081</v>
      </c>
      <c r="CH250">
        <v>432</v>
      </c>
      <c r="CI250">
        <v>21</v>
      </c>
      <c r="CJ250">
        <v>0.03</v>
      </c>
      <c r="CK250">
        <v>0.06</v>
      </c>
      <c r="CL250">
        <v>415.4025666666666</v>
      </c>
      <c r="CM250">
        <v>0.3523114571746839</v>
      </c>
      <c r="CN250">
        <v>0.03340128074723557</v>
      </c>
      <c r="CO250">
        <v>-1</v>
      </c>
      <c r="CP250">
        <v>500.0291</v>
      </c>
      <c r="CQ250">
        <v>3.501677419356071</v>
      </c>
      <c r="CR250">
        <v>0.298713279472693</v>
      </c>
      <c r="CS250">
        <v>-1</v>
      </c>
      <c r="CT250">
        <v>0</v>
      </c>
      <c r="CU250">
        <v>0</v>
      </c>
      <c r="CV250" t="s">
        <v>333</v>
      </c>
      <c r="CW250">
        <v>3.1722</v>
      </c>
      <c r="CX250">
        <v>2.66663</v>
      </c>
      <c r="CY250">
        <v>0.097773</v>
      </c>
      <c r="CZ250">
        <v>0.09851409999999999</v>
      </c>
      <c r="DA250">
        <v>0.0799155</v>
      </c>
      <c r="DB250">
        <v>0.0796621</v>
      </c>
      <c r="DC250">
        <v>21300.2</v>
      </c>
      <c r="DD250">
        <v>21899.3</v>
      </c>
      <c r="DE250">
        <v>22766.6</v>
      </c>
      <c r="DF250">
        <v>22244.4</v>
      </c>
      <c r="DG250">
        <v>31686</v>
      </c>
      <c r="DH250">
        <v>28837.8</v>
      </c>
      <c r="DI250">
        <v>40080.9</v>
      </c>
      <c r="DJ250">
        <v>36789.2</v>
      </c>
      <c r="DK250">
        <v>2.0165</v>
      </c>
      <c r="DL250">
        <v>1.47616</v>
      </c>
      <c r="DM250">
        <v>-0.118166</v>
      </c>
      <c r="DN250">
        <v>0</v>
      </c>
      <c r="DO250">
        <v>33.1625</v>
      </c>
      <c r="DP250">
        <v>999.9</v>
      </c>
      <c r="DQ250">
        <v>21.5</v>
      </c>
      <c r="DR250">
        <v>46.7</v>
      </c>
      <c r="DS250">
        <v>22.6259</v>
      </c>
      <c r="DT250">
        <v>30.7692</v>
      </c>
      <c r="DU250">
        <v>14.2548</v>
      </c>
      <c r="DV250">
        <v>1</v>
      </c>
      <c r="DW250">
        <v>0.993835</v>
      </c>
      <c r="DX250">
        <v>6.48918</v>
      </c>
      <c r="DY250">
        <v>20.2134</v>
      </c>
      <c r="DZ250">
        <v>5.20962</v>
      </c>
      <c r="EA250">
        <v>11.8594</v>
      </c>
      <c r="EB250">
        <v>4.96712</v>
      </c>
      <c r="EC250">
        <v>3.2929</v>
      </c>
      <c r="ED250">
        <v>879.4</v>
      </c>
      <c r="EE250">
        <v>9999</v>
      </c>
      <c r="EF250">
        <v>9999</v>
      </c>
      <c r="EG250">
        <v>79.90000000000001</v>
      </c>
      <c r="EH250">
        <v>4.9715</v>
      </c>
      <c r="EI250">
        <v>1.87209</v>
      </c>
      <c r="EJ250">
        <v>1.86942</v>
      </c>
      <c r="EK250">
        <v>1.87178</v>
      </c>
      <c r="EL250">
        <v>1.86951</v>
      </c>
      <c r="EM250">
        <v>1.86832</v>
      </c>
      <c r="EN250">
        <v>1.87013</v>
      </c>
      <c r="EO250">
        <v>1.87191</v>
      </c>
      <c r="EP250">
        <v>0</v>
      </c>
      <c r="EQ250">
        <v>0</v>
      </c>
      <c r="ER250">
        <v>0</v>
      </c>
      <c r="ES250">
        <v>0</v>
      </c>
      <c r="ET250" t="s">
        <v>334</v>
      </c>
      <c r="EU250" t="s">
        <v>335</v>
      </c>
      <c r="EV250" t="s">
        <v>336</v>
      </c>
      <c r="EW250" t="s">
        <v>336</v>
      </c>
      <c r="EX250" t="s">
        <v>336</v>
      </c>
      <c r="EY250" t="s">
        <v>336</v>
      </c>
      <c r="EZ250">
        <v>0</v>
      </c>
      <c r="FA250">
        <v>100</v>
      </c>
      <c r="FB250">
        <v>100</v>
      </c>
      <c r="FC250">
        <v>6.232</v>
      </c>
      <c r="FD250">
        <v>0.0806</v>
      </c>
      <c r="FE250">
        <v>6.23135000000002</v>
      </c>
      <c r="FF250">
        <v>0</v>
      </c>
      <c r="FG250">
        <v>0</v>
      </c>
      <c r="FH250">
        <v>0</v>
      </c>
      <c r="FI250">
        <v>0.08059047619047632</v>
      </c>
      <c r="FJ250">
        <v>0</v>
      </c>
      <c r="FK250">
        <v>0</v>
      </c>
      <c r="FL250">
        <v>0</v>
      </c>
      <c r="FM250">
        <v>-1</v>
      </c>
      <c r="FN250">
        <v>-1</v>
      </c>
      <c r="FO250">
        <v>-1</v>
      </c>
      <c r="FP250">
        <v>-1</v>
      </c>
      <c r="FQ250">
        <v>234.5</v>
      </c>
      <c r="FR250">
        <v>234.6</v>
      </c>
      <c r="FS250">
        <v>0.140381</v>
      </c>
      <c r="FT250">
        <v>4.99756</v>
      </c>
      <c r="FU250">
        <v>1.5979</v>
      </c>
      <c r="FV250">
        <v>2.10938</v>
      </c>
      <c r="FW250">
        <v>1.54785</v>
      </c>
      <c r="FX250">
        <v>2.50366</v>
      </c>
      <c r="FY250">
        <v>48.8569</v>
      </c>
      <c r="FZ250">
        <v>14.4122</v>
      </c>
      <c r="GA250">
        <v>3</v>
      </c>
      <c r="GB250">
        <v>521.053</v>
      </c>
      <c r="GC250">
        <v>283.213</v>
      </c>
      <c r="GD250">
        <v>25.9449</v>
      </c>
      <c r="GE250">
        <v>38.9351</v>
      </c>
      <c r="GF250">
        <v>30.0013</v>
      </c>
      <c r="GG250">
        <v>38.7847</v>
      </c>
      <c r="GH250">
        <v>38.7649</v>
      </c>
      <c r="GI250">
        <v>-1</v>
      </c>
      <c r="GJ250">
        <v>100</v>
      </c>
      <c r="GK250">
        <v>0</v>
      </c>
      <c r="GL250">
        <v>25.8485</v>
      </c>
      <c r="GM250">
        <v>1200</v>
      </c>
      <c r="GN250">
        <v>19.4378</v>
      </c>
      <c r="GO250">
        <v>100.826</v>
      </c>
      <c r="GP250">
        <v>96.07089999999999</v>
      </c>
    </row>
    <row r="251" spans="1:198">
      <c r="A251">
        <v>235</v>
      </c>
      <c r="B251">
        <v>1773210142</v>
      </c>
      <c r="C251">
        <v>14042</v>
      </c>
      <c r="D251" t="s">
        <v>803</v>
      </c>
      <c r="E251" t="s">
        <v>804</v>
      </c>
      <c r="F251">
        <v>15</v>
      </c>
      <c r="G251">
        <v>1773210134</v>
      </c>
      <c r="H251">
        <f>(I251)/1000</f>
        <v>0</v>
      </c>
      <c r="I251">
        <f>1000*AY251*AG251*(AU251-AV251)/(100*AN251*(1000-AG251*AU251))</f>
        <v>0</v>
      </c>
      <c r="J251">
        <f>AY251*AG251*(AT251-AS251*(1000-AG251*AV251)/(1000-AG251*AU251))/(100*AN251)</f>
        <v>0</v>
      </c>
      <c r="K251">
        <f>AS251 - IF(AG251&gt;1, J251*AN251*100.0/(AI251), 0)</f>
        <v>0</v>
      </c>
      <c r="L251">
        <f>((R251-H251/2)*K251-J251)/(R251+H251/2)</f>
        <v>0</v>
      </c>
      <c r="M251">
        <f>L251*(AZ251+BA251)/1000.0</f>
        <v>0</v>
      </c>
      <c r="N251">
        <f>(AS251 - IF(AG251&gt;1, J251*AN251*100.0/(AI251), 0))*(AZ251+BA251)/1000.0</f>
        <v>0</v>
      </c>
      <c r="O251">
        <f>2.0/((1/Q251-1/P251)+SIGN(Q251)*SQRT((1/Q251-1/P251)*(1/Q251-1/P251) + 4*AO251/((AO251+1)*(AO251+1))*(2*1/Q251*1/P251-1/P251*1/P251)))</f>
        <v>0</v>
      </c>
      <c r="P251">
        <f>IF(LEFT(AP251,1)&lt;&gt;"0",IF(LEFT(AP251,1)="1",3.0,AQ251),$D$5+$E$5*(BG251*AZ251/($K$5*1000))+$F$5*(BG251*AZ251/($K$5*1000))*MAX(MIN(AN251,$J$5),$I$5)*MAX(MIN(AN251,$J$5),$I$5)+$G$5*MAX(MIN(AN251,$J$5),$I$5)*(BG251*AZ251/($K$5*1000))+$H$5*(BG251*AZ251/($K$5*1000))*(BG251*AZ251/($K$5*1000)))</f>
        <v>0</v>
      </c>
      <c r="Q251">
        <f>H251*(1000-(1000*0.61365*exp(17.502*U251/(240.97+U251))/(AZ251+BA251)+AU251)/2)/(1000*0.61365*exp(17.502*U251/(240.97+U251))/(AZ251+BA251)-AU251)</f>
        <v>0</v>
      </c>
      <c r="R251">
        <f>1/((AO251+1)/(O251/1.6)+1/(P251/1.37)) + AO251/((AO251+1)/(O251/1.6) + AO251/(P251/1.37))</f>
        <v>0</v>
      </c>
      <c r="S251">
        <f>(AJ251*AM251)</f>
        <v>0</v>
      </c>
      <c r="T251">
        <f>(BB251+(S251+2*0.95*5.67E-8*(((BB251+$B$7)+273)^4-(BB251+273)^4)-44100*H251)/(1.84*29.3*P251+8*0.95*5.67E-8*(BB251+273)^3))</f>
        <v>0</v>
      </c>
      <c r="U251">
        <f>($C$7*BC251+$D$7*BD251+$E$7*T251)</f>
        <v>0</v>
      </c>
      <c r="V251">
        <f>0.61365*exp(17.502*U251/(240.97+U251))</f>
        <v>0</v>
      </c>
      <c r="W251">
        <f>(X251/Y251*100)</f>
        <v>0</v>
      </c>
      <c r="X251">
        <f>AU251*(AZ251+BA251)/1000</f>
        <v>0</v>
      </c>
      <c r="Y251">
        <f>0.61365*exp(17.502*BB251/(240.97+BB251))</f>
        <v>0</v>
      </c>
      <c r="Z251">
        <f>(V251-AU251*(AZ251+BA251)/1000)</f>
        <v>0</v>
      </c>
      <c r="AA251">
        <f>(-H251*44100)</f>
        <v>0</v>
      </c>
      <c r="AB251">
        <f>2*29.3*P251*0.92*(BB251-U251)</f>
        <v>0</v>
      </c>
      <c r="AC251">
        <f>2*0.95*5.67E-8*(((BB251+$B$7)+273)^4-(U251+273)^4)</f>
        <v>0</v>
      </c>
      <c r="AD251">
        <f>S251+AC251+AA251+AB251</f>
        <v>0</v>
      </c>
      <c r="AE251">
        <v>0</v>
      </c>
      <c r="AF251">
        <v>0</v>
      </c>
      <c r="AG251">
        <f>IF(AE251*$H$13&gt;=AI251,1.0,(AI251/(AI251-AE251*$H$13)))</f>
        <v>0</v>
      </c>
      <c r="AH251">
        <f>(AG251-1)*100</f>
        <v>0</v>
      </c>
      <c r="AI251">
        <f>MAX(0,($B$13+$C$13*BG251)/(1+$D$13*BG251)*AZ251/(BB251+273)*$E$13)</f>
        <v>0</v>
      </c>
      <c r="AJ251">
        <f>$B$11*BH251+$C$11*BI251+$D$11*BT251</f>
        <v>0</v>
      </c>
      <c r="AK251">
        <f>AJ251*AL251</f>
        <v>0</v>
      </c>
      <c r="AL251">
        <f>($B$11*$D$9+$C$11*$D$9+$D$11*(BU251*$E$9+BV251*$G$9))/($B$11+$C$11+$D$11)</f>
        <v>0</v>
      </c>
      <c r="AM251">
        <f>($B$11*$K$9+$C$11*$K$9+$D$11*(BU251*$L$9+BV251*$N$9))/($B$11+$C$11+$D$11)</f>
        <v>0</v>
      </c>
      <c r="AN251">
        <v>3</v>
      </c>
      <c r="AO251">
        <v>0.5</v>
      </c>
      <c r="AP251" t="s">
        <v>331</v>
      </c>
      <c r="AQ251">
        <v>2</v>
      </c>
      <c r="AR251">
        <v>1773210134</v>
      </c>
      <c r="AS251">
        <v>417.8694838709678</v>
      </c>
      <c r="AT251">
        <v>415.5852258064517</v>
      </c>
      <c r="AU251">
        <v>15.23344193548387</v>
      </c>
      <c r="AV251">
        <v>15.15968709677419</v>
      </c>
      <c r="AW251">
        <v>411.6381612903227</v>
      </c>
      <c r="AX251">
        <v>15.15284838709677</v>
      </c>
      <c r="AY251">
        <v>500.0121612903226</v>
      </c>
      <c r="AZ251">
        <v>99.92746129032261</v>
      </c>
      <c r="BA251">
        <v>0.04537543548387097</v>
      </c>
      <c r="BB251">
        <v>30.78212258064516</v>
      </c>
      <c r="BC251">
        <v>31.17354838709677</v>
      </c>
      <c r="BD251">
        <v>999.9000000000003</v>
      </c>
      <c r="BE251">
        <v>0</v>
      </c>
      <c r="BF251">
        <v>0</v>
      </c>
      <c r="BG251">
        <v>5015.322580645161</v>
      </c>
      <c r="BH251">
        <v>1.150271935483871</v>
      </c>
      <c r="BI251">
        <v>1781.328387096774</v>
      </c>
      <c r="BJ251">
        <v>2.284173870967742</v>
      </c>
      <c r="BK251">
        <v>424.3334838709676</v>
      </c>
      <c r="BL251">
        <v>421.9824838709678</v>
      </c>
      <c r="BM251">
        <v>0.0737591387096774</v>
      </c>
      <c r="BN251">
        <v>415.5852258064517</v>
      </c>
      <c r="BO251">
        <v>15.15968709677419</v>
      </c>
      <c r="BP251">
        <v>1.522239677419355</v>
      </c>
      <c r="BQ251">
        <v>1.51486870967742</v>
      </c>
      <c r="BR251">
        <v>13.1933935483871</v>
      </c>
      <c r="BS251">
        <v>13.11906774193548</v>
      </c>
      <c r="BT251">
        <v>0</v>
      </c>
      <c r="BU251">
        <v>0</v>
      </c>
      <c r="BV251">
        <v>0</v>
      </c>
      <c r="BW251">
        <v>36</v>
      </c>
      <c r="BX251">
        <v>63.10750645161288</v>
      </c>
      <c r="BY251">
        <v>1773196010</v>
      </c>
      <c r="BZ251" t="s">
        <v>332</v>
      </c>
      <c r="CA251">
        <v>1773196010</v>
      </c>
      <c r="CB251">
        <v>1773196005.5</v>
      </c>
      <c r="CC251">
        <v>2</v>
      </c>
      <c r="CD251">
        <v>-0.279</v>
      </c>
      <c r="CE251">
        <v>-0.021</v>
      </c>
      <c r="CF251">
        <v>6.231</v>
      </c>
      <c r="CG251">
        <v>0.081</v>
      </c>
      <c r="CH251">
        <v>432</v>
      </c>
      <c r="CI251">
        <v>21</v>
      </c>
      <c r="CJ251">
        <v>0.03</v>
      </c>
      <c r="CK251">
        <v>0.06</v>
      </c>
      <c r="CL251">
        <v>415.5852258064517</v>
      </c>
      <c r="CM251">
        <v>0.1444838709665546</v>
      </c>
      <c r="CN251">
        <v>0.03798616868606935</v>
      </c>
      <c r="CO251">
        <v>-1</v>
      </c>
      <c r="CP251">
        <v>500.0121612903226</v>
      </c>
      <c r="CQ251">
        <v>0.2385483870956342</v>
      </c>
      <c r="CR251">
        <v>0.07707478428467333</v>
      </c>
      <c r="CS251">
        <v>-1</v>
      </c>
      <c r="CT251">
        <v>0</v>
      </c>
      <c r="CU251">
        <v>0</v>
      </c>
      <c r="CV251" t="s">
        <v>333</v>
      </c>
      <c r="CW251">
        <v>3.1721</v>
      </c>
      <c r="CX251">
        <v>2.66707</v>
      </c>
      <c r="CY251">
        <v>0.09779450000000001</v>
      </c>
      <c r="CZ251">
        <v>0.0985441</v>
      </c>
      <c r="DA251">
        <v>0.0799879</v>
      </c>
      <c r="DB251">
        <v>0.0797496</v>
      </c>
      <c r="DC251">
        <v>21299.4</v>
      </c>
      <c r="DD251">
        <v>21898.6</v>
      </c>
      <c r="DE251">
        <v>22766.5</v>
      </c>
      <c r="DF251">
        <v>22244.6</v>
      </c>
      <c r="DG251">
        <v>31683.4</v>
      </c>
      <c r="DH251">
        <v>28835</v>
      </c>
      <c r="DI251">
        <v>40080.9</v>
      </c>
      <c r="DJ251">
        <v>36789.2</v>
      </c>
      <c r="DK251">
        <v>2.01644</v>
      </c>
      <c r="DL251">
        <v>1.47674</v>
      </c>
      <c r="DM251">
        <v>-0.126079</v>
      </c>
      <c r="DN251">
        <v>0</v>
      </c>
      <c r="DO251">
        <v>33.2312</v>
      </c>
      <c r="DP251">
        <v>999.9</v>
      </c>
      <c r="DQ251">
        <v>21.7</v>
      </c>
      <c r="DR251">
        <v>46.7</v>
      </c>
      <c r="DS251">
        <v>22.8389</v>
      </c>
      <c r="DT251">
        <v>30.6492</v>
      </c>
      <c r="DU251">
        <v>14.0905</v>
      </c>
      <c r="DV251">
        <v>1</v>
      </c>
      <c r="DW251">
        <v>0.980272</v>
      </c>
      <c r="DX251">
        <v>4.69163</v>
      </c>
      <c r="DY251">
        <v>20.2897</v>
      </c>
      <c r="DZ251">
        <v>5.20795</v>
      </c>
      <c r="EA251">
        <v>11.8585</v>
      </c>
      <c r="EB251">
        <v>4.96716</v>
      </c>
      <c r="EC251">
        <v>3.29296</v>
      </c>
      <c r="ED251">
        <v>879.4</v>
      </c>
      <c r="EE251">
        <v>9999</v>
      </c>
      <c r="EF251">
        <v>9999</v>
      </c>
      <c r="EG251">
        <v>79.90000000000001</v>
      </c>
      <c r="EH251">
        <v>4.97154</v>
      </c>
      <c r="EI251">
        <v>1.8721</v>
      </c>
      <c r="EJ251">
        <v>1.8695</v>
      </c>
      <c r="EK251">
        <v>1.87179</v>
      </c>
      <c r="EL251">
        <v>1.86955</v>
      </c>
      <c r="EM251">
        <v>1.86837</v>
      </c>
      <c r="EN251">
        <v>1.87017</v>
      </c>
      <c r="EO251">
        <v>1.87194</v>
      </c>
      <c r="EP251">
        <v>0</v>
      </c>
      <c r="EQ251">
        <v>0</v>
      </c>
      <c r="ER251">
        <v>0</v>
      </c>
      <c r="ES251">
        <v>0</v>
      </c>
      <c r="ET251" t="s">
        <v>334</v>
      </c>
      <c r="EU251" t="s">
        <v>335</v>
      </c>
      <c r="EV251" t="s">
        <v>336</v>
      </c>
      <c r="EW251" t="s">
        <v>336</v>
      </c>
      <c r="EX251" t="s">
        <v>336</v>
      </c>
      <c r="EY251" t="s">
        <v>336</v>
      </c>
      <c r="EZ251">
        <v>0</v>
      </c>
      <c r="FA251">
        <v>100</v>
      </c>
      <c r="FB251">
        <v>100</v>
      </c>
      <c r="FC251">
        <v>6.232</v>
      </c>
      <c r="FD251">
        <v>0.0806</v>
      </c>
      <c r="FE251">
        <v>6.23135000000002</v>
      </c>
      <c r="FF251">
        <v>0</v>
      </c>
      <c r="FG251">
        <v>0</v>
      </c>
      <c r="FH251">
        <v>0</v>
      </c>
      <c r="FI251">
        <v>0.08059047619047632</v>
      </c>
      <c r="FJ251">
        <v>0</v>
      </c>
      <c r="FK251">
        <v>0</v>
      </c>
      <c r="FL251">
        <v>0</v>
      </c>
      <c r="FM251">
        <v>-1</v>
      </c>
      <c r="FN251">
        <v>-1</v>
      </c>
      <c r="FO251">
        <v>-1</v>
      </c>
      <c r="FP251">
        <v>-1</v>
      </c>
      <c r="FQ251">
        <v>235.5</v>
      </c>
      <c r="FR251">
        <v>235.6</v>
      </c>
      <c r="FS251">
        <v>0.13916</v>
      </c>
      <c r="FT251">
        <v>4.99756</v>
      </c>
      <c r="FU251">
        <v>1.5979</v>
      </c>
      <c r="FV251">
        <v>2.10938</v>
      </c>
      <c r="FW251">
        <v>1.54785</v>
      </c>
      <c r="FX251">
        <v>2.49146</v>
      </c>
      <c r="FY251">
        <v>48.888</v>
      </c>
      <c r="FZ251">
        <v>14.4385</v>
      </c>
      <c r="GA251">
        <v>3</v>
      </c>
      <c r="GB251">
        <v>521.245</v>
      </c>
      <c r="GC251">
        <v>283.593</v>
      </c>
      <c r="GD251">
        <v>26.2399</v>
      </c>
      <c r="GE251">
        <v>38.9857</v>
      </c>
      <c r="GF251">
        <v>29.9952</v>
      </c>
      <c r="GG251">
        <v>38.8177</v>
      </c>
      <c r="GH251">
        <v>38.7954</v>
      </c>
      <c r="GI251">
        <v>-1</v>
      </c>
      <c r="GJ251">
        <v>100</v>
      </c>
      <c r="GK251">
        <v>0</v>
      </c>
      <c r="GL251">
        <v>26.2279</v>
      </c>
      <c r="GM251">
        <v>1200</v>
      </c>
      <c r="GN251">
        <v>19.4378</v>
      </c>
      <c r="GO251">
        <v>100.826</v>
      </c>
      <c r="GP251">
        <v>96.0712</v>
      </c>
    </row>
    <row r="252" spans="1:198">
      <c r="A252">
        <v>236</v>
      </c>
      <c r="B252">
        <v>1773210202</v>
      </c>
      <c r="C252">
        <v>14102</v>
      </c>
      <c r="D252" t="s">
        <v>805</v>
      </c>
      <c r="E252" t="s">
        <v>806</v>
      </c>
      <c r="F252">
        <v>15</v>
      </c>
      <c r="G252">
        <v>1773210194</v>
      </c>
      <c r="H252">
        <f>(I252)/1000</f>
        <v>0</v>
      </c>
      <c r="I252">
        <f>1000*AY252*AG252*(AU252-AV252)/(100*AN252*(1000-AG252*AU252))</f>
        <v>0</v>
      </c>
      <c r="J252">
        <f>AY252*AG252*(AT252-AS252*(1000-AG252*AV252)/(1000-AG252*AU252))/(100*AN252)</f>
        <v>0</v>
      </c>
      <c r="K252">
        <f>AS252 - IF(AG252&gt;1, J252*AN252*100.0/(AI252), 0)</f>
        <v>0</v>
      </c>
      <c r="L252">
        <f>((R252-H252/2)*K252-J252)/(R252+H252/2)</f>
        <v>0</v>
      </c>
      <c r="M252">
        <f>L252*(AZ252+BA252)/1000.0</f>
        <v>0</v>
      </c>
      <c r="N252">
        <f>(AS252 - IF(AG252&gt;1, J252*AN252*100.0/(AI252), 0))*(AZ252+BA252)/1000.0</f>
        <v>0</v>
      </c>
      <c r="O252">
        <f>2.0/((1/Q252-1/P252)+SIGN(Q252)*SQRT((1/Q252-1/P252)*(1/Q252-1/P252) + 4*AO252/((AO252+1)*(AO252+1))*(2*1/Q252*1/P252-1/P252*1/P252)))</f>
        <v>0</v>
      </c>
      <c r="P252">
        <f>IF(LEFT(AP252,1)&lt;&gt;"0",IF(LEFT(AP252,1)="1",3.0,AQ252),$D$5+$E$5*(BG252*AZ252/($K$5*1000))+$F$5*(BG252*AZ252/($K$5*1000))*MAX(MIN(AN252,$J$5),$I$5)*MAX(MIN(AN252,$J$5),$I$5)+$G$5*MAX(MIN(AN252,$J$5),$I$5)*(BG252*AZ252/($K$5*1000))+$H$5*(BG252*AZ252/($K$5*1000))*(BG252*AZ252/($K$5*1000)))</f>
        <v>0</v>
      </c>
      <c r="Q252">
        <f>H252*(1000-(1000*0.61365*exp(17.502*U252/(240.97+U252))/(AZ252+BA252)+AU252)/2)/(1000*0.61365*exp(17.502*U252/(240.97+U252))/(AZ252+BA252)-AU252)</f>
        <v>0</v>
      </c>
      <c r="R252">
        <f>1/((AO252+1)/(O252/1.6)+1/(P252/1.37)) + AO252/((AO252+1)/(O252/1.6) + AO252/(P252/1.37))</f>
        <v>0</v>
      </c>
      <c r="S252">
        <f>(AJ252*AM252)</f>
        <v>0</v>
      </c>
      <c r="T252">
        <f>(BB252+(S252+2*0.95*5.67E-8*(((BB252+$B$7)+273)^4-(BB252+273)^4)-44100*H252)/(1.84*29.3*P252+8*0.95*5.67E-8*(BB252+273)^3))</f>
        <v>0</v>
      </c>
      <c r="U252">
        <f>($C$7*BC252+$D$7*BD252+$E$7*T252)</f>
        <v>0</v>
      </c>
      <c r="V252">
        <f>0.61365*exp(17.502*U252/(240.97+U252))</f>
        <v>0</v>
      </c>
      <c r="W252">
        <f>(X252/Y252*100)</f>
        <v>0</v>
      </c>
      <c r="X252">
        <f>AU252*(AZ252+BA252)/1000</f>
        <v>0</v>
      </c>
      <c r="Y252">
        <f>0.61365*exp(17.502*BB252/(240.97+BB252))</f>
        <v>0</v>
      </c>
      <c r="Z252">
        <f>(V252-AU252*(AZ252+BA252)/1000)</f>
        <v>0</v>
      </c>
      <c r="AA252">
        <f>(-H252*44100)</f>
        <v>0</v>
      </c>
      <c r="AB252">
        <f>2*29.3*P252*0.92*(BB252-U252)</f>
        <v>0</v>
      </c>
      <c r="AC252">
        <f>2*0.95*5.67E-8*(((BB252+$B$7)+273)^4-(U252+273)^4)</f>
        <v>0</v>
      </c>
      <c r="AD252">
        <f>S252+AC252+AA252+AB252</f>
        <v>0</v>
      </c>
      <c r="AE252">
        <v>0</v>
      </c>
      <c r="AF252">
        <v>0</v>
      </c>
      <c r="AG252">
        <f>IF(AE252*$H$13&gt;=AI252,1.0,(AI252/(AI252-AE252*$H$13)))</f>
        <v>0</v>
      </c>
      <c r="AH252">
        <f>(AG252-1)*100</f>
        <v>0</v>
      </c>
      <c r="AI252">
        <f>MAX(0,($B$13+$C$13*BG252)/(1+$D$13*BG252)*AZ252/(BB252+273)*$E$13)</f>
        <v>0</v>
      </c>
      <c r="AJ252">
        <f>$B$11*BH252+$C$11*BI252+$D$11*BT252</f>
        <v>0</v>
      </c>
      <c r="AK252">
        <f>AJ252*AL252</f>
        <v>0</v>
      </c>
      <c r="AL252">
        <f>($B$11*$D$9+$C$11*$D$9+$D$11*(BU252*$E$9+BV252*$G$9))/($B$11+$C$11+$D$11)</f>
        <v>0</v>
      </c>
      <c r="AM252">
        <f>($B$11*$K$9+$C$11*$K$9+$D$11*(BU252*$L$9+BV252*$N$9))/($B$11+$C$11+$D$11)</f>
        <v>0</v>
      </c>
      <c r="AN252">
        <v>3</v>
      </c>
      <c r="AO252">
        <v>0.5</v>
      </c>
      <c r="AP252" t="s">
        <v>331</v>
      </c>
      <c r="AQ252">
        <v>2</v>
      </c>
      <c r="AR252">
        <v>1773210194</v>
      </c>
      <c r="AS252">
        <v>417.5576129032257</v>
      </c>
      <c r="AT252">
        <v>415.1807096774193</v>
      </c>
      <c r="AU252">
        <v>15.29555806451612</v>
      </c>
      <c r="AV252">
        <v>15.21840967741935</v>
      </c>
      <c r="AW252">
        <v>411.3262903225806</v>
      </c>
      <c r="AX252">
        <v>15.21497096774193</v>
      </c>
      <c r="AY252">
        <v>500.0135483870967</v>
      </c>
      <c r="AZ252">
        <v>99.9269193548387</v>
      </c>
      <c r="BA252">
        <v>0.04529858387096774</v>
      </c>
      <c r="BB252">
        <v>30.75775161290322</v>
      </c>
      <c r="BC252">
        <v>31.16266451612903</v>
      </c>
      <c r="BD252">
        <v>999.9000000000003</v>
      </c>
      <c r="BE252">
        <v>0</v>
      </c>
      <c r="BF252">
        <v>0</v>
      </c>
      <c r="BG252">
        <v>5001.064516129032</v>
      </c>
      <c r="BH252">
        <v>1.114702903225806</v>
      </c>
      <c r="BI252">
        <v>1760.787096774194</v>
      </c>
      <c r="BJ252">
        <v>2.376927419354839</v>
      </c>
      <c r="BK252">
        <v>424.0436129032259</v>
      </c>
      <c r="BL252">
        <v>421.5967741935484</v>
      </c>
      <c r="BM252">
        <v>0.07714800645161292</v>
      </c>
      <c r="BN252">
        <v>415.1807096774193</v>
      </c>
      <c r="BO252">
        <v>15.21840967741935</v>
      </c>
      <c r="BP252">
        <v>1.528438064516129</v>
      </c>
      <c r="BQ252">
        <v>1.52072935483871</v>
      </c>
      <c r="BR252">
        <v>13.25565483870968</v>
      </c>
      <c r="BS252">
        <v>13.1782</v>
      </c>
      <c r="BT252">
        <v>0</v>
      </c>
      <c r="BU252">
        <v>0</v>
      </c>
      <c r="BV252">
        <v>0</v>
      </c>
      <c r="BW252">
        <v>36.12472580645161</v>
      </c>
      <c r="BX252">
        <v>63.1118193548387</v>
      </c>
      <c r="BY252">
        <v>1773196010</v>
      </c>
      <c r="BZ252" t="s">
        <v>332</v>
      </c>
      <c r="CA252">
        <v>1773196010</v>
      </c>
      <c r="CB252">
        <v>1773196005.5</v>
      </c>
      <c r="CC252">
        <v>2</v>
      </c>
      <c r="CD252">
        <v>-0.279</v>
      </c>
      <c r="CE252">
        <v>-0.021</v>
      </c>
      <c r="CF252">
        <v>6.231</v>
      </c>
      <c r="CG252">
        <v>0.081</v>
      </c>
      <c r="CH252">
        <v>432</v>
      </c>
      <c r="CI252">
        <v>21</v>
      </c>
      <c r="CJ252">
        <v>0.03</v>
      </c>
      <c r="CK252">
        <v>0.06</v>
      </c>
      <c r="CL252">
        <v>415.1776129032257</v>
      </c>
      <c r="CM252">
        <v>0.05356451612804206</v>
      </c>
      <c r="CN252">
        <v>0.02041927839765495</v>
      </c>
      <c r="CO252">
        <v>-1</v>
      </c>
      <c r="CP252">
        <v>500.0145161290323</v>
      </c>
      <c r="CQ252">
        <v>0.727306451612216</v>
      </c>
      <c r="CR252">
        <v>0.1006965646233789</v>
      </c>
      <c r="CS252">
        <v>-1</v>
      </c>
      <c r="CT252">
        <v>0</v>
      </c>
      <c r="CU252">
        <v>0</v>
      </c>
      <c r="CV252" t="s">
        <v>333</v>
      </c>
      <c r="CW252">
        <v>3.17207</v>
      </c>
      <c r="CX252">
        <v>2.66688</v>
      </c>
      <c r="CY252">
        <v>0.0977109</v>
      </c>
      <c r="CZ252">
        <v>0.0984806</v>
      </c>
      <c r="DA252">
        <v>0.08020289999999999</v>
      </c>
      <c r="DB252">
        <v>0.07994610000000001</v>
      </c>
      <c r="DC252">
        <v>21297.1</v>
      </c>
      <c r="DD252">
        <v>21895.6</v>
      </c>
      <c r="DE252">
        <v>22762.3</v>
      </c>
      <c r="DF252">
        <v>22240.2</v>
      </c>
      <c r="DG252">
        <v>31670.6</v>
      </c>
      <c r="DH252">
        <v>28822.8</v>
      </c>
      <c r="DI252">
        <v>40074.2</v>
      </c>
      <c r="DJ252">
        <v>36781.6</v>
      </c>
      <c r="DK252">
        <v>2.01546</v>
      </c>
      <c r="DL252">
        <v>1.47592</v>
      </c>
      <c r="DM252">
        <v>-0.127852</v>
      </c>
      <c r="DN252">
        <v>0</v>
      </c>
      <c r="DO252">
        <v>33.2397</v>
      </c>
      <c r="DP252">
        <v>999.9</v>
      </c>
      <c r="DQ252">
        <v>21.6</v>
      </c>
      <c r="DR252">
        <v>46.7</v>
      </c>
      <c r="DS252">
        <v>22.732</v>
      </c>
      <c r="DT252">
        <v>30.4992</v>
      </c>
      <c r="DU252">
        <v>14.2268</v>
      </c>
      <c r="DV252">
        <v>1</v>
      </c>
      <c r="DW252">
        <v>0.996974</v>
      </c>
      <c r="DX252">
        <v>5.42773</v>
      </c>
      <c r="DY252">
        <v>20.2601</v>
      </c>
      <c r="DZ252">
        <v>5.2095</v>
      </c>
      <c r="EA252">
        <v>11.8597</v>
      </c>
      <c r="EB252">
        <v>4.96596</v>
      </c>
      <c r="EC252">
        <v>3.29298</v>
      </c>
      <c r="ED252">
        <v>879.4</v>
      </c>
      <c r="EE252">
        <v>9999</v>
      </c>
      <c r="EF252">
        <v>9999</v>
      </c>
      <c r="EG252">
        <v>79.90000000000001</v>
      </c>
      <c r="EH252">
        <v>4.97154</v>
      </c>
      <c r="EI252">
        <v>1.8721</v>
      </c>
      <c r="EJ252">
        <v>1.86946</v>
      </c>
      <c r="EK252">
        <v>1.87179</v>
      </c>
      <c r="EL252">
        <v>1.86955</v>
      </c>
      <c r="EM252">
        <v>1.86836</v>
      </c>
      <c r="EN252">
        <v>1.87012</v>
      </c>
      <c r="EO252">
        <v>1.87194</v>
      </c>
      <c r="EP252">
        <v>0</v>
      </c>
      <c r="EQ252">
        <v>0</v>
      </c>
      <c r="ER252">
        <v>0</v>
      </c>
      <c r="ES252">
        <v>0</v>
      </c>
      <c r="ET252" t="s">
        <v>334</v>
      </c>
      <c r="EU252" t="s">
        <v>335</v>
      </c>
      <c r="EV252" t="s">
        <v>336</v>
      </c>
      <c r="EW252" t="s">
        <v>336</v>
      </c>
      <c r="EX252" t="s">
        <v>336</v>
      </c>
      <c r="EY252" t="s">
        <v>336</v>
      </c>
      <c r="EZ252">
        <v>0</v>
      </c>
      <c r="FA252">
        <v>100</v>
      </c>
      <c r="FB252">
        <v>100</v>
      </c>
      <c r="FC252">
        <v>6.231</v>
      </c>
      <c r="FD252">
        <v>0.0805</v>
      </c>
      <c r="FE252">
        <v>6.23135000000002</v>
      </c>
      <c r="FF252">
        <v>0</v>
      </c>
      <c r="FG252">
        <v>0</v>
      </c>
      <c r="FH252">
        <v>0</v>
      </c>
      <c r="FI252">
        <v>0.08059047619047632</v>
      </c>
      <c r="FJ252">
        <v>0</v>
      </c>
      <c r="FK252">
        <v>0</v>
      </c>
      <c r="FL252">
        <v>0</v>
      </c>
      <c r="FM252">
        <v>-1</v>
      </c>
      <c r="FN252">
        <v>-1</v>
      </c>
      <c r="FO252">
        <v>-1</v>
      </c>
      <c r="FP252">
        <v>-1</v>
      </c>
      <c r="FQ252">
        <v>236.5</v>
      </c>
      <c r="FR252">
        <v>236.6</v>
      </c>
      <c r="FS252">
        <v>0.13916</v>
      </c>
      <c r="FT252">
        <v>4.99756</v>
      </c>
      <c r="FU252">
        <v>1.5979</v>
      </c>
      <c r="FV252">
        <v>2.10938</v>
      </c>
      <c r="FW252">
        <v>1.54785</v>
      </c>
      <c r="FX252">
        <v>2.47192</v>
      </c>
      <c r="FY252">
        <v>48.9503</v>
      </c>
      <c r="FZ252">
        <v>14.4122</v>
      </c>
      <c r="GA252">
        <v>3</v>
      </c>
      <c r="GB252">
        <v>521.024</v>
      </c>
      <c r="GC252">
        <v>283.408</v>
      </c>
      <c r="GD252">
        <v>26.3739</v>
      </c>
      <c r="GE252">
        <v>39.0614</v>
      </c>
      <c r="GF252">
        <v>30.0003</v>
      </c>
      <c r="GG252">
        <v>38.8747</v>
      </c>
      <c r="GH252">
        <v>38.8484</v>
      </c>
      <c r="GI252">
        <v>-1</v>
      </c>
      <c r="GJ252">
        <v>100</v>
      </c>
      <c r="GK252">
        <v>0</v>
      </c>
      <c r="GL252">
        <v>26.4086</v>
      </c>
      <c r="GM252">
        <v>1200</v>
      </c>
      <c r="GN252">
        <v>19.4378</v>
      </c>
      <c r="GO252">
        <v>100.809</v>
      </c>
      <c r="GP252">
        <v>96.05159999999999</v>
      </c>
    </row>
    <row r="253" spans="1:198">
      <c r="A253">
        <v>237</v>
      </c>
      <c r="B253">
        <v>1773210262</v>
      </c>
      <c r="C253">
        <v>14162</v>
      </c>
      <c r="D253" t="s">
        <v>807</v>
      </c>
      <c r="E253" t="s">
        <v>808</v>
      </c>
      <c r="F253">
        <v>15</v>
      </c>
      <c r="G253">
        <v>1773210254</v>
      </c>
      <c r="H253">
        <f>(I253)/1000</f>
        <v>0</v>
      </c>
      <c r="I253">
        <f>1000*AY253*AG253*(AU253-AV253)/(100*AN253*(1000-AG253*AU253))</f>
        <v>0</v>
      </c>
      <c r="J253">
        <f>AY253*AG253*(AT253-AS253*(1000-AG253*AV253)/(1000-AG253*AU253))/(100*AN253)</f>
        <v>0</v>
      </c>
      <c r="K253">
        <f>AS253 - IF(AG253&gt;1, J253*AN253*100.0/(AI253), 0)</f>
        <v>0</v>
      </c>
      <c r="L253">
        <f>((R253-H253/2)*K253-J253)/(R253+H253/2)</f>
        <v>0</v>
      </c>
      <c r="M253">
        <f>L253*(AZ253+BA253)/1000.0</f>
        <v>0</v>
      </c>
      <c r="N253">
        <f>(AS253 - IF(AG253&gt;1, J253*AN253*100.0/(AI253), 0))*(AZ253+BA253)/1000.0</f>
        <v>0</v>
      </c>
      <c r="O253">
        <f>2.0/((1/Q253-1/P253)+SIGN(Q253)*SQRT((1/Q253-1/P253)*(1/Q253-1/P253) + 4*AO253/((AO253+1)*(AO253+1))*(2*1/Q253*1/P253-1/P253*1/P253)))</f>
        <v>0</v>
      </c>
      <c r="P253">
        <f>IF(LEFT(AP253,1)&lt;&gt;"0",IF(LEFT(AP253,1)="1",3.0,AQ253),$D$5+$E$5*(BG253*AZ253/($K$5*1000))+$F$5*(BG253*AZ253/($K$5*1000))*MAX(MIN(AN253,$J$5),$I$5)*MAX(MIN(AN253,$J$5),$I$5)+$G$5*MAX(MIN(AN253,$J$5),$I$5)*(BG253*AZ253/($K$5*1000))+$H$5*(BG253*AZ253/($K$5*1000))*(BG253*AZ253/($K$5*1000)))</f>
        <v>0</v>
      </c>
      <c r="Q253">
        <f>H253*(1000-(1000*0.61365*exp(17.502*U253/(240.97+U253))/(AZ253+BA253)+AU253)/2)/(1000*0.61365*exp(17.502*U253/(240.97+U253))/(AZ253+BA253)-AU253)</f>
        <v>0</v>
      </c>
      <c r="R253">
        <f>1/((AO253+1)/(O253/1.6)+1/(P253/1.37)) + AO253/((AO253+1)/(O253/1.6) + AO253/(P253/1.37))</f>
        <v>0</v>
      </c>
      <c r="S253">
        <f>(AJ253*AM253)</f>
        <v>0</v>
      </c>
      <c r="T253">
        <f>(BB253+(S253+2*0.95*5.67E-8*(((BB253+$B$7)+273)^4-(BB253+273)^4)-44100*H253)/(1.84*29.3*P253+8*0.95*5.67E-8*(BB253+273)^3))</f>
        <v>0</v>
      </c>
      <c r="U253">
        <f>($C$7*BC253+$D$7*BD253+$E$7*T253)</f>
        <v>0</v>
      </c>
      <c r="V253">
        <f>0.61365*exp(17.502*U253/(240.97+U253))</f>
        <v>0</v>
      </c>
      <c r="W253">
        <f>(X253/Y253*100)</f>
        <v>0</v>
      </c>
      <c r="X253">
        <f>AU253*(AZ253+BA253)/1000</f>
        <v>0</v>
      </c>
      <c r="Y253">
        <f>0.61365*exp(17.502*BB253/(240.97+BB253))</f>
        <v>0</v>
      </c>
      <c r="Z253">
        <f>(V253-AU253*(AZ253+BA253)/1000)</f>
        <v>0</v>
      </c>
      <c r="AA253">
        <f>(-H253*44100)</f>
        <v>0</v>
      </c>
      <c r="AB253">
        <f>2*29.3*P253*0.92*(BB253-U253)</f>
        <v>0</v>
      </c>
      <c r="AC253">
        <f>2*0.95*5.67E-8*(((BB253+$B$7)+273)^4-(U253+273)^4)</f>
        <v>0</v>
      </c>
      <c r="AD253">
        <f>S253+AC253+AA253+AB253</f>
        <v>0</v>
      </c>
      <c r="AE253">
        <v>0</v>
      </c>
      <c r="AF253">
        <v>0</v>
      </c>
      <c r="AG253">
        <f>IF(AE253*$H$13&gt;=AI253,1.0,(AI253/(AI253-AE253*$H$13)))</f>
        <v>0</v>
      </c>
      <c r="AH253">
        <f>(AG253-1)*100</f>
        <v>0</v>
      </c>
      <c r="AI253">
        <f>MAX(0,($B$13+$C$13*BG253)/(1+$D$13*BG253)*AZ253/(BB253+273)*$E$13)</f>
        <v>0</v>
      </c>
      <c r="AJ253">
        <f>$B$11*BH253+$C$11*BI253+$D$11*BT253</f>
        <v>0</v>
      </c>
      <c r="AK253">
        <f>AJ253*AL253</f>
        <v>0</v>
      </c>
      <c r="AL253">
        <f>($B$11*$D$9+$C$11*$D$9+$D$11*(BU253*$E$9+BV253*$G$9))/($B$11+$C$11+$D$11)</f>
        <v>0</v>
      </c>
      <c r="AM253">
        <f>($B$11*$K$9+$C$11*$K$9+$D$11*(BU253*$L$9+BV253*$N$9))/($B$11+$C$11+$D$11)</f>
        <v>0</v>
      </c>
      <c r="AN253">
        <v>3</v>
      </c>
      <c r="AO253">
        <v>0.5</v>
      </c>
      <c r="AP253" t="s">
        <v>331</v>
      </c>
      <c r="AQ253">
        <v>2</v>
      </c>
      <c r="AR253">
        <v>1773210254</v>
      </c>
      <c r="AS253">
        <v>417.3454516129033</v>
      </c>
      <c r="AT253">
        <v>414.8977419354839</v>
      </c>
      <c r="AU253">
        <v>15.30798387096774</v>
      </c>
      <c r="AV253">
        <v>15.21795806451613</v>
      </c>
      <c r="AW253">
        <v>411.1140322580645</v>
      </c>
      <c r="AX253">
        <v>15.22738709677419</v>
      </c>
      <c r="AY253">
        <v>499.9922903225807</v>
      </c>
      <c r="AZ253">
        <v>99.92216451612903</v>
      </c>
      <c r="BA253">
        <v>0.04581959032258065</v>
      </c>
      <c r="BB253">
        <v>30.74546774193548</v>
      </c>
      <c r="BC253">
        <v>31.13384193548387</v>
      </c>
      <c r="BD253">
        <v>999.9000000000003</v>
      </c>
      <c r="BE253">
        <v>0</v>
      </c>
      <c r="BF253">
        <v>0</v>
      </c>
      <c r="BG253">
        <v>5005.790322580645</v>
      </c>
      <c r="BH253">
        <v>1.10391064516129</v>
      </c>
      <c r="BI253">
        <v>1726.305161290323</v>
      </c>
      <c r="BJ253">
        <v>2.447739677419355</v>
      </c>
      <c r="BK253">
        <v>423.8335483870966</v>
      </c>
      <c r="BL253">
        <v>421.3091612903225</v>
      </c>
      <c r="BM253">
        <v>0.09001980967741935</v>
      </c>
      <c r="BN253">
        <v>414.8977419354839</v>
      </c>
      <c r="BO253">
        <v>15.21795806451613</v>
      </c>
      <c r="BP253">
        <v>1.529606774193549</v>
      </c>
      <c r="BQ253">
        <v>1.520611290322581</v>
      </c>
      <c r="BR253">
        <v>13.26736129032258</v>
      </c>
      <c r="BS253">
        <v>13.17700322580645</v>
      </c>
      <c r="BT253">
        <v>0</v>
      </c>
      <c r="BU253">
        <v>0</v>
      </c>
      <c r="BV253">
        <v>0</v>
      </c>
      <c r="BW253">
        <v>36</v>
      </c>
      <c r="BX253">
        <v>63</v>
      </c>
      <c r="BY253">
        <v>1773196010</v>
      </c>
      <c r="BZ253" t="s">
        <v>332</v>
      </c>
      <c r="CA253">
        <v>1773196010</v>
      </c>
      <c r="CB253">
        <v>1773196005.5</v>
      </c>
      <c r="CC253">
        <v>2</v>
      </c>
      <c r="CD253">
        <v>-0.279</v>
      </c>
      <c r="CE253">
        <v>-0.021</v>
      </c>
      <c r="CF253">
        <v>6.231</v>
      </c>
      <c r="CG253">
        <v>0.081</v>
      </c>
      <c r="CH253">
        <v>432</v>
      </c>
      <c r="CI253">
        <v>21</v>
      </c>
      <c r="CJ253">
        <v>0.03</v>
      </c>
      <c r="CK253">
        <v>0.06</v>
      </c>
      <c r="CL253">
        <v>414.9036774193549</v>
      </c>
      <c r="CM253">
        <v>-0.2661290322601264</v>
      </c>
      <c r="CN253">
        <v>0.02153524807075994</v>
      </c>
      <c r="CO253">
        <v>-1</v>
      </c>
      <c r="CP253">
        <v>499.9904838709678</v>
      </c>
      <c r="CQ253">
        <v>-0.02695161290368497</v>
      </c>
      <c r="CR253">
        <v>0.0536126314965327</v>
      </c>
      <c r="CS253">
        <v>-1</v>
      </c>
      <c r="CT253">
        <v>0</v>
      </c>
      <c r="CU253">
        <v>0</v>
      </c>
      <c r="CV253" t="s">
        <v>333</v>
      </c>
      <c r="CW253">
        <v>3.17211</v>
      </c>
      <c r="CX253">
        <v>2.66655</v>
      </c>
      <c r="CY253">
        <v>0.0976503</v>
      </c>
      <c r="CZ253">
        <v>0.09838959999999999</v>
      </c>
      <c r="DA253">
        <v>0.0801864</v>
      </c>
      <c r="DB253">
        <v>0.07986699999999999</v>
      </c>
      <c r="DC253">
        <v>21296.4</v>
      </c>
      <c r="DD253">
        <v>21896.1</v>
      </c>
      <c r="DE253">
        <v>22760.1</v>
      </c>
      <c r="DF253">
        <v>22238.6</v>
      </c>
      <c r="DG253">
        <v>31668.3</v>
      </c>
      <c r="DH253">
        <v>28823.2</v>
      </c>
      <c r="DI253">
        <v>40070.6</v>
      </c>
      <c r="DJ253">
        <v>36779</v>
      </c>
      <c r="DK253">
        <v>2.01486</v>
      </c>
      <c r="DL253">
        <v>1.47548</v>
      </c>
      <c r="DM253">
        <v>-0.12233</v>
      </c>
      <c r="DN253">
        <v>0</v>
      </c>
      <c r="DO253">
        <v>33.1119</v>
      </c>
      <c r="DP253">
        <v>999.9</v>
      </c>
      <c r="DQ253">
        <v>21.3</v>
      </c>
      <c r="DR253">
        <v>46.8</v>
      </c>
      <c r="DS253">
        <v>22.5307</v>
      </c>
      <c r="DT253">
        <v>30.4392</v>
      </c>
      <c r="DU253">
        <v>14.3149</v>
      </c>
      <c r="DV253">
        <v>1</v>
      </c>
      <c r="DW253">
        <v>0.997173</v>
      </c>
      <c r="DX253">
        <v>4.87317</v>
      </c>
      <c r="DY253">
        <v>20.2791</v>
      </c>
      <c r="DZ253">
        <v>5.20639</v>
      </c>
      <c r="EA253">
        <v>11.8586</v>
      </c>
      <c r="EB253">
        <v>4.96652</v>
      </c>
      <c r="EC253">
        <v>3.2922</v>
      </c>
      <c r="ED253">
        <v>879.4</v>
      </c>
      <c r="EE253">
        <v>9999</v>
      </c>
      <c r="EF253">
        <v>9999</v>
      </c>
      <c r="EG253">
        <v>80</v>
      </c>
      <c r="EH253">
        <v>4.97156</v>
      </c>
      <c r="EI253">
        <v>1.8721</v>
      </c>
      <c r="EJ253">
        <v>1.86951</v>
      </c>
      <c r="EK253">
        <v>1.8718</v>
      </c>
      <c r="EL253">
        <v>1.86953</v>
      </c>
      <c r="EM253">
        <v>1.86837</v>
      </c>
      <c r="EN253">
        <v>1.87014</v>
      </c>
      <c r="EO253">
        <v>1.87194</v>
      </c>
      <c r="EP253">
        <v>0</v>
      </c>
      <c r="EQ253">
        <v>0</v>
      </c>
      <c r="ER253">
        <v>0</v>
      </c>
      <c r="ES253">
        <v>0</v>
      </c>
      <c r="ET253" t="s">
        <v>334</v>
      </c>
      <c r="EU253" t="s">
        <v>335</v>
      </c>
      <c r="EV253" t="s">
        <v>336</v>
      </c>
      <c r="EW253" t="s">
        <v>336</v>
      </c>
      <c r="EX253" t="s">
        <v>336</v>
      </c>
      <c r="EY253" t="s">
        <v>336</v>
      </c>
      <c r="EZ253">
        <v>0</v>
      </c>
      <c r="FA253">
        <v>100</v>
      </c>
      <c r="FB253">
        <v>100</v>
      </c>
      <c r="FC253">
        <v>6.231</v>
      </c>
      <c r="FD253">
        <v>0.0806</v>
      </c>
      <c r="FE253">
        <v>6.23135000000002</v>
      </c>
      <c r="FF253">
        <v>0</v>
      </c>
      <c r="FG253">
        <v>0</v>
      </c>
      <c r="FH253">
        <v>0</v>
      </c>
      <c r="FI253">
        <v>0.08059047619047632</v>
      </c>
      <c r="FJ253">
        <v>0</v>
      </c>
      <c r="FK253">
        <v>0</v>
      </c>
      <c r="FL253">
        <v>0</v>
      </c>
      <c r="FM253">
        <v>-1</v>
      </c>
      <c r="FN253">
        <v>-1</v>
      </c>
      <c r="FO253">
        <v>-1</v>
      </c>
      <c r="FP253">
        <v>-1</v>
      </c>
      <c r="FQ253">
        <v>237.5</v>
      </c>
      <c r="FR253">
        <v>237.6</v>
      </c>
      <c r="FS253">
        <v>0.13916</v>
      </c>
      <c r="FT253">
        <v>4.99756</v>
      </c>
      <c r="FU253">
        <v>1.5979</v>
      </c>
      <c r="FV253">
        <v>2.10938</v>
      </c>
      <c r="FW253">
        <v>1.54785</v>
      </c>
      <c r="FX253">
        <v>2.45728</v>
      </c>
      <c r="FY253">
        <v>49.0127</v>
      </c>
      <c r="FZ253">
        <v>14.421</v>
      </c>
      <c r="GA253">
        <v>3</v>
      </c>
      <c r="GB253">
        <v>520.949</v>
      </c>
      <c r="GC253">
        <v>283.347</v>
      </c>
      <c r="GD253">
        <v>26.7568</v>
      </c>
      <c r="GE253">
        <v>39.1092</v>
      </c>
      <c r="GF253">
        <v>29.9999</v>
      </c>
      <c r="GG253">
        <v>38.9183</v>
      </c>
      <c r="GH253">
        <v>38.8874</v>
      </c>
      <c r="GI253">
        <v>-1</v>
      </c>
      <c r="GJ253">
        <v>100</v>
      </c>
      <c r="GK253">
        <v>0</v>
      </c>
      <c r="GL253">
        <v>26.8064</v>
      </c>
      <c r="GM253">
        <v>1200</v>
      </c>
      <c r="GN253">
        <v>19.4378</v>
      </c>
      <c r="GO253">
        <v>100.799</v>
      </c>
      <c r="GP253">
        <v>96.0448</v>
      </c>
    </row>
    <row r="254" spans="1:198">
      <c r="A254">
        <v>238</v>
      </c>
      <c r="B254">
        <v>1773210322</v>
      </c>
      <c r="C254">
        <v>14222</v>
      </c>
      <c r="D254" t="s">
        <v>809</v>
      </c>
      <c r="E254" t="s">
        <v>810</v>
      </c>
      <c r="F254">
        <v>15</v>
      </c>
      <c r="G254">
        <v>1773210314</v>
      </c>
      <c r="H254">
        <f>(I254)/1000</f>
        <v>0</v>
      </c>
      <c r="I254">
        <f>1000*AY254*AG254*(AU254-AV254)/(100*AN254*(1000-AG254*AU254))</f>
        <v>0</v>
      </c>
      <c r="J254">
        <f>AY254*AG254*(AT254-AS254*(1000-AG254*AV254)/(1000-AG254*AU254))/(100*AN254)</f>
        <v>0</v>
      </c>
      <c r="K254">
        <f>AS254 - IF(AG254&gt;1, J254*AN254*100.0/(AI254), 0)</f>
        <v>0</v>
      </c>
      <c r="L254">
        <f>((R254-H254/2)*K254-J254)/(R254+H254/2)</f>
        <v>0</v>
      </c>
      <c r="M254">
        <f>L254*(AZ254+BA254)/1000.0</f>
        <v>0</v>
      </c>
      <c r="N254">
        <f>(AS254 - IF(AG254&gt;1, J254*AN254*100.0/(AI254), 0))*(AZ254+BA254)/1000.0</f>
        <v>0</v>
      </c>
      <c r="O254">
        <f>2.0/((1/Q254-1/P254)+SIGN(Q254)*SQRT((1/Q254-1/P254)*(1/Q254-1/P254) + 4*AO254/((AO254+1)*(AO254+1))*(2*1/Q254*1/P254-1/P254*1/P254)))</f>
        <v>0</v>
      </c>
      <c r="P254">
        <f>IF(LEFT(AP254,1)&lt;&gt;"0",IF(LEFT(AP254,1)="1",3.0,AQ254),$D$5+$E$5*(BG254*AZ254/($K$5*1000))+$F$5*(BG254*AZ254/($K$5*1000))*MAX(MIN(AN254,$J$5),$I$5)*MAX(MIN(AN254,$J$5),$I$5)+$G$5*MAX(MIN(AN254,$J$5),$I$5)*(BG254*AZ254/($K$5*1000))+$H$5*(BG254*AZ254/($K$5*1000))*(BG254*AZ254/($K$5*1000)))</f>
        <v>0</v>
      </c>
      <c r="Q254">
        <f>H254*(1000-(1000*0.61365*exp(17.502*U254/(240.97+U254))/(AZ254+BA254)+AU254)/2)/(1000*0.61365*exp(17.502*U254/(240.97+U254))/(AZ254+BA254)-AU254)</f>
        <v>0</v>
      </c>
      <c r="R254">
        <f>1/((AO254+1)/(O254/1.6)+1/(P254/1.37)) + AO254/((AO254+1)/(O254/1.6) + AO254/(P254/1.37))</f>
        <v>0</v>
      </c>
      <c r="S254">
        <f>(AJ254*AM254)</f>
        <v>0</v>
      </c>
      <c r="T254">
        <f>(BB254+(S254+2*0.95*5.67E-8*(((BB254+$B$7)+273)^4-(BB254+273)^4)-44100*H254)/(1.84*29.3*P254+8*0.95*5.67E-8*(BB254+273)^3))</f>
        <v>0</v>
      </c>
      <c r="U254">
        <f>($C$7*BC254+$D$7*BD254+$E$7*T254)</f>
        <v>0</v>
      </c>
      <c r="V254">
        <f>0.61365*exp(17.502*U254/(240.97+U254))</f>
        <v>0</v>
      </c>
      <c r="W254">
        <f>(X254/Y254*100)</f>
        <v>0</v>
      </c>
      <c r="X254">
        <f>AU254*(AZ254+BA254)/1000</f>
        <v>0</v>
      </c>
      <c r="Y254">
        <f>0.61365*exp(17.502*BB254/(240.97+BB254))</f>
        <v>0</v>
      </c>
      <c r="Z254">
        <f>(V254-AU254*(AZ254+BA254)/1000)</f>
        <v>0</v>
      </c>
      <c r="AA254">
        <f>(-H254*44100)</f>
        <v>0</v>
      </c>
      <c r="AB254">
        <f>2*29.3*P254*0.92*(BB254-U254)</f>
        <v>0</v>
      </c>
      <c r="AC254">
        <f>2*0.95*5.67E-8*(((BB254+$B$7)+273)^4-(U254+273)^4)</f>
        <v>0</v>
      </c>
      <c r="AD254">
        <f>S254+AC254+AA254+AB254</f>
        <v>0</v>
      </c>
      <c r="AE254">
        <v>0</v>
      </c>
      <c r="AF254">
        <v>0</v>
      </c>
      <c r="AG254">
        <f>IF(AE254*$H$13&gt;=AI254,1.0,(AI254/(AI254-AE254*$H$13)))</f>
        <v>0</v>
      </c>
      <c r="AH254">
        <f>(AG254-1)*100</f>
        <v>0</v>
      </c>
      <c r="AI254">
        <f>MAX(0,($B$13+$C$13*BG254)/(1+$D$13*BG254)*AZ254/(BB254+273)*$E$13)</f>
        <v>0</v>
      </c>
      <c r="AJ254">
        <f>$B$11*BH254+$C$11*BI254+$D$11*BT254</f>
        <v>0</v>
      </c>
      <c r="AK254">
        <f>AJ254*AL254</f>
        <v>0</v>
      </c>
      <c r="AL254">
        <f>($B$11*$D$9+$C$11*$D$9+$D$11*(BU254*$E$9+BV254*$G$9))/($B$11+$C$11+$D$11)</f>
        <v>0</v>
      </c>
      <c r="AM254">
        <f>($B$11*$K$9+$C$11*$K$9+$D$11*(BU254*$L$9+BV254*$N$9))/($B$11+$C$11+$D$11)</f>
        <v>0</v>
      </c>
      <c r="AN254">
        <v>3</v>
      </c>
      <c r="AO254">
        <v>0.5</v>
      </c>
      <c r="AP254" t="s">
        <v>331</v>
      </c>
      <c r="AQ254">
        <v>2</v>
      </c>
      <c r="AR254">
        <v>1773210314</v>
      </c>
      <c r="AS254">
        <v>417.0773870967743</v>
      </c>
      <c r="AT254">
        <v>414.6780322580646</v>
      </c>
      <c r="AU254">
        <v>15.26926774193549</v>
      </c>
      <c r="AV254">
        <v>15.17780967741935</v>
      </c>
      <c r="AW254">
        <v>410.8460322580645</v>
      </c>
      <c r="AX254">
        <v>15.18868064516129</v>
      </c>
      <c r="AY254">
        <v>499.955064516129</v>
      </c>
      <c r="AZ254">
        <v>99.9214935483871</v>
      </c>
      <c r="BA254">
        <v>0.04466024193548387</v>
      </c>
      <c r="BB254">
        <v>30.78951612903226</v>
      </c>
      <c r="BC254">
        <v>31.15673225806452</v>
      </c>
      <c r="BD254">
        <v>999.9000000000003</v>
      </c>
      <c r="BE254">
        <v>0</v>
      </c>
      <c r="BF254">
        <v>0</v>
      </c>
      <c r="BG254">
        <v>5000.064516129032</v>
      </c>
      <c r="BH254">
        <v>1.120344193548387</v>
      </c>
      <c r="BI254">
        <v>1713.788064516129</v>
      </c>
      <c r="BJ254">
        <v>2.399341935483871</v>
      </c>
      <c r="BK254">
        <v>423.5446129032259</v>
      </c>
      <c r="BL254">
        <v>421.0688387096774</v>
      </c>
      <c r="BM254">
        <v>0.09145823225806451</v>
      </c>
      <c r="BN254">
        <v>414.6780322580646</v>
      </c>
      <c r="BO254">
        <v>15.17780967741935</v>
      </c>
      <c r="BP254">
        <v>1.525728709677419</v>
      </c>
      <c r="BQ254">
        <v>1.516590322580645</v>
      </c>
      <c r="BR254">
        <v>13.22845806451613</v>
      </c>
      <c r="BS254">
        <v>13.13644193548387</v>
      </c>
      <c r="BT254">
        <v>0</v>
      </c>
      <c r="BU254">
        <v>0</v>
      </c>
      <c r="BV254">
        <v>0</v>
      </c>
      <c r="BW254">
        <v>36</v>
      </c>
      <c r="BX254">
        <v>63</v>
      </c>
      <c r="BY254">
        <v>1773196010</v>
      </c>
      <c r="BZ254" t="s">
        <v>332</v>
      </c>
      <c r="CA254">
        <v>1773196010</v>
      </c>
      <c r="CB254">
        <v>1773196005.5</v>
      </c>
      <c r="CC254">
        <v>2</v>
      </c>
      <c r="CD254">
        <v>-0.279</v>
      </c>
      <c r="CE254">
        <v>-0.021</v>
      </c>
      <c r="CF254">
        <v>6.231</v>
      </c>
      <c r="CG254">
        <v>0.081</v>
      </c>
      <c r="CH254">
        <v>432</v>
      </c>
      <c r="CI254">
        <v>21</v>
      </c>
      <c r="CJ254">
        <v>0.03</v>
      </c>
      <c r="CK254">
        <v>0.06</v>
      </c>
      <c r="CL254">
        <v>414.6812903225807</v>
      </c>
      <c r="CM254">
        <v>-0.3924193548394088</v>
      </c>
      <c r="CN254">
        <v>0.03242976882969808</v>
      </c>
      <c r="CO254">
        <v>-1</v>
      </c>
      <c r="CP254">
        <v>499.9760322580644</v>
      </c>
      <c r="CQ254">
        <v>-0.5193387096794984</v>
      </c>
      <c r="CR254">
        <v>0.06844610965686224</v>
      </c>
      <c r="CS254">
        <v>-1</v>
      </c>
      <c r="CT254">
        <v>0</v>
      </c>
      <c r="CU254">
        <v>0</v>
      </c>
      <c r="CV254" t="s">
        <v>333</v>
      </c>
      <c r="CW254">
        <v>3.17169</v>
      </c>
      <c r="CX254">
        <v>2.66686</v>
      </c>
      <c r="CY254">
        <v>0.09760480000000001</v>
      </c>
      <c r="CZ254">
        <v>0.09834569999999999</v>
      </c>
      <c r="DA254">
        <v>0.0800597</v>
      </c>
      <c r="DB254">
        <v>0.07976179999999999</v>
      </c>
      <c r="DC254">
        <v>21296.8</v>
      </c>
      <c r="DD254">
        <v>21896.6</v>
      </c>
      <c r="DE254">
        <v>22759.5</v>
      </c>
      <c r="DF254">
        <v>22238</v>
      </c>
      <c r="DG254">
        <v>31671.7</v>
      </c>
      <c r="DH254">
        <v>28825.5</v>
      </c>
      <c r="DI254">
        <v>40069.4</v>
      </c>
      <c r="DJ254">
        <v>36777.8</v>
      </c>
      <c r="DK254">
        <v>2.0141</v>
      </c>
      <c r="DL254">
        <v>1.4756</v>
      </c>
      <c r="DM254">
        <v>-0.112462</v>
      </c>
      <c r="DN254">
        <v>0</v>
      </c>
      <c r="DO254">
        <v>32.9969</v>
      </c>
      <c r="DP254">
        <v>999.9</v>
      </c>
      <c r="DQ254">
        <v>21.3</v>
      </c>
      <c r="DR254">
        <v>46.8</v>
      </c>
      <c r="DS254">
        <v>22.5337</v>
      </c>
      <c r="DT254">
        <v>29.9592</v>
      </c>
      <c r="DU254">
        <v>14.351</v>
      </c>
      <c r="DV254">
        <v>1</v>
      </c>
      <c r="DW254">
        <v>0.997301</v>
      </c>
      <c r="DX254">
        <v>4.75105</v>
      </c>
      <c r="DY254">
        <v>20.2829</v>
      </c>
      <c r="DZ254">
        <v>5.20998</v>
      </c>
      <c r="EA254">
        <v>11.86</v>
      </c>
      <c r="EB254">
        <v>4.96728</v>
      </c>
      <c r="EC254">
        <v>3.29294</v>
      </c>
      <c r="ED254">
        <v>879.4</v>
      </c>
      <c r="EE254">
        <v>9999</v>
      </c>
      <c r="EF254">
        <v>9999</v>
      </c>
      <c r="EG254">
        <v>80</v>
      </c>
      <c r="EH254">
        <v>4.97155</v>
      </c>
      <c r="EI254">
        <v>1.87209</v>
      </c>
      <c r="EJ254">
        <v>1.8695</v>
      </c>
      <c r="EK254">
        <v>1.8718</v>
      </c>
      <c r="EL254">
        <v>1.86955</v>
      </c>
      <c r="EM254">
        <v>1.86836</v>
      </c>
      <c r="EN254">
        <v>1.87014</v>
      </c>
      <c r="EO254">
        <v>1.87194</v>
      </c>
      <c r="EP254">
        <v>0</v>
      </c>
      <c r="EQ254">
        <v>0</v>
      </c>
      <c r="ER254">
        <v>0</v>
      </c>
      <c r="ES254">
        <v>0</v>
      </c>
      <c r="ET254" t="s">
        <v>334</v>
      </c>
      <c r="EU254" t="s">
        <v>335</v>
      </c>
      <c r="EV254" t="s">
        <v>336</v>
      </c>
      <c r="EW254" t="s">
        <v>336</v>
      </c>
      <c r="EX254" t="s">
        <v>336</v>
      </c>
      <c r="EY254" t="s">
        <v>336</v>
      </c>
      <c r="EZ254">
        <v>0</v>
      </c>
      <c r="FA254">
        <v>100</v>
      </c>
      <c r="FB254">
        <v>100</v>
      </c>
      <c r="FC254">
        <v>6.231</v>
      </c>
      <c r="FD254">
        <v>0.0806</v>
      </c>
      <c r="FE254">
        <v>6.23135000000002</v>
      </c>
      <c r="FF254">
        <v>0</v>
      </c>
      <c r="FG254">
        <v>0</v>
      </c>
      <c r="FH254">
        <v>0</v>
      </c>
      <c r="FI254">
        <v>0.08059047619047632</v>
      </c>
      <c r="FJ254">
        <v>0</v>
      </c>
      <c r="FK254">
        <v>0</v>
      </c>
      <c r="FL254">
        <v>0</v>
      </c>
      <c r="FM254">
        <v>-1</v>
      </c>
      <c r="FN254">
        <v>-1</v>
      </c>
      <c r="FO254">
        <v>-1</v>
      </c>
      <c r="FP254">
        <v>-1</v>
      </c>
      <c r="FQ254">
        <v>238.5</v>
      </c>
      <c r="FR254">
        <v>238.6</v>
      </c>
      <c r="FS254">
        <v>0.140381</v>
      </c>
      <c r="FT254">
        <v>4.99756</v>
      </c>
      <c r="FU254">
        <v>1.5979</v>
      </c>
      <c r="FV254">
        <v>2.10938</v>
      </c>
      <c r="FW254">
        <v>1.54785</v>
      </c>
      <c r="FX254">
        <v>2.49512</v>
      </c>
      <c r="FY254">
        <v>49.044</v>
      </c>
      <c r="FZ254">
        <v>14.421</v>
      </c>
      <c r="GA254">
        <v>3</v>
      </c>
      <c r="GB254">
        <v>520.631</v>
      </c>
      <c r="GC254">
        <v>283.485</v>
      </c>
      <c r="GD254">
        <v>27.0587</v>
      </c>
      <c r="GE254">
        <v>39.1168</v>
      </c>
      <c r="GF254">
        <v>30.0002</v>
      </c>
      <c r="GG254">
        <v>38.941</v>
      </c>
      <c r="GH254">
        <v>38.9098</v>
      </c>
      <c r="GI254">
        <v>-1</v>
      </c>
      <c r="GJ254">
        <v>100</v>
      </c>
      <c r="GK254">
        <v>0</v>
      </c>
      <c r="GL254">
        <v>26.6513</v>
      </c>
      <c r="GM254">
        <v>1200</v>
      </c>
      <c r="GN254">
        <v>19.4378</v>
      </c>
      <c r="GO254">
        <v>100.797</v>
      </c>
      <c r="GP254">
        <v>96.0419</v>
      </c>
    </row>
    <row r="255" spans="1:198">
      <c r="A255">
        <v>239</v>
      </c>
      <c r="B255">
        <v>1773210382</v>
      </c>
      <c r="C255">
        <v>14282</v>
      </c>
      <c r="D255" t="s">
        <v>811</v>
      </c>
      <c r="E255" t="s">
        <v>812</v>
      </c>
      <c r="F255">
        <v>15</v>
      </c>
      <c r="G255">
        <v>1773210374</v>
      </c>
      <c r="H255">
        <f>(I255)/1000</f>
        <v>0</v>
      </c>
      <c r="I255">
        <f>1000*AY255*AG255*(AU255-AV255)/(100*AN255*(1000-AG255*AU255))</f>
        <v>0</v>
      </c>
      <c r="J255">
        <f>AY255*AG255*(AT255-AS255*(1000-AG255*AV255)/(1000-AG255*AU255))/(100*AN255)</f>
        <v>0</v>
      </c>
      <c r="K255">
        <f>AS255 - IF(AG255&gt;1, J255*AN255*100.0/(AI255), 0)</f>
        <v>0</v>
      </c>
      <c r="L255">
        <f>((R255-H255/2)*K255-J255)/(R255+H255/2)</f>
        <v>0</v>
      </c>
      <c r="M255">
        <f>L255*(AZ255+BA255)/1000.0</f>
        <v>0</v>
      </c>
      <c r="N255">
        <f>(AS255 - IF(AG255&gt;1, J255*AN255*100.0/(AI255), 0))*(AZ255+BA255)/1000.0</f>
        <v>0</v>
      </c>
      <c r="O255">
        <f>2.0/((1/Q255-1/P255)+SIGN(Q255)*SQRT((1/Q255-1/P255)*(1/Q255-1/P255) + 4*AO255/((AO255+1)*(AO255+1))*(2*1/Q255*1/P255-1/P255*1/P255)))</f>
        <v>0</v>
      </c>
      <c r="P255">
        <f>IF(LEFT(AP255,1)&lt;&gt;"0",IF(LEFT(AP255,1)="1",3.0,AQ255),$D$5+$E$5*(BG255*AZ255/($K$5*1000))+$F$5*(BG255*AZ255/($K$5*1000))*MAX(MIN(AN255,$J$5),$I$5)*MAX(MIN(AN255,$J$5),$I$5)+$G$5*MAX(MIN(AN255,$J$5),$I$5)*(BG255*AZ255/($K$5*1000))+$H$5*(BG255*AZ255/($K$5*1000))*(BG255*AZ255/($K$5*1000)))</f>
        <v>0</v>
      </c>
      <c r="Q255">
        <f>H255*(1000-(1000*0.61365*exp(17.502*U255/(240.97+U255))/(AZ255+BA255)+AU255)/2)/(1000*0.61365*exp(17.502*U255/(240.97+U255))/(AZ255+BA255)-AU255)</f>
        <v>0</v>
      </c>
      <c r="R255">
        <f>1/((AO255+1)/(O255/1.6)+1/(P255/1.37)) + AO255/((AO255+1)/(O255/1.6) + AO255/(P255/1.37))</f>
        <v>0</v>
      </c>
      <c r="S255">
        <f>(AJ255*AM255)</f>
        <v>0</v>
      </c>
      <c r="T255">
        <f>(BB255+(S255+2*0.95*5.67E-8*(((BB255+$B$7)+273)^4-(BB255+273)^4)-44100*H255)/(1.84*29.3*P255+8*0.95*5.67E-8*(BB255+273)^3))</f>
        <v>0</v>
      </c>
      <c r="U255">
        <f>($C$7*BC255+$D$7*BD255+$E$7*T255)</f>
        <v>0</v>
      </c>
      <c r="V255">
        <f>0.61365*exp(17.502*U255/(240.97+U255))</f>
        <v>0</v>
      </c>
      <c r="W255">
        <f>(X255/Y255*100)</f>
        <v>0</v>
      </c>
      <c r="X255">
        <f>AU255*(AZ255+BA255)/1000</f>
        <v>0</v>
      </c>
      <c r="Y255">
        <f>0.61365*exp(17.502*BB255/(240.97+BB255))</f>
        <v>0</v>
      </c>
      <c r="Z255">
        <f>(V255-AU255*(AZ255+BA255)/1000)</f>
        <v>0</v>
      </c>
      <c r="AA255">
        <f>(-H255*44100)</f>
        <v>0</v>
      </c>
      <c r="AB255">
        <f>2*29.3*P255*0.92*(BB255-U255)</f>
        <v>0</v>
      </c>
      <c r="AC255">
        <f>2*0.95*5.67E-8*(((BB255+$B$7)+273)^4-(U255+273)^4)</f>
        <v>0</v>
      </c>
      <c r="AD255">
        <f>S255+AC255+AA255+AB255</f>
        <v>0</v>
      </c>
      <c r="AE255">
        <v>0</v>
      </c>
      <c r="AF255">
        <v>0</v>
      </c>
      <c r="AG255">
        <f>IF(AE255*$H$13&gt;=AI255,1.0,(AI255/(AI255-AE255*$H$13)))</f>
        <v>0</v>
      </c>
      <c r="AH255">
        <f>(AG255-1)*100</f>
        <v>0</v>
      </c>
      <c r="AI255">
        <f>MAX(0,($B$13+$C$13*BG255)/(1+$D$13*BG255)*AZ255/(BB255+273)*$E$13)</f>
        <v>0</v>
      </c>
      <c r="AJ255">
        <f>$B$11*BH255+$C$11*BI255+$D$11*BT255</f>
        <v>0</v>
      </c>
      <c r="AK255">
        <f>AJ255*AL255</f>
        <v>0</v>
      </c>
      <c r="AL255">
        <f>($B$11*$D$9+$C$11*$D$9+$D$11*(BU255*$E$9+BV255*$G$9))/($B$11+$C$11+$D$11)</f>
        <v>0</v>
      </c>
      <c r="AM255">
        <f>($B$11*$K$9+$C$11*$K$9+$D$11*(BU255*$L$9+BV255*$N$9))/($B$11+$C$11+$D$11)</f>
        <v>0</v>
      </c>
      <c r="AN255">
        <v>3</v>
      </c>
      <c r="AO255">
        <v>0.5</v>
      </c>
      <c r="AP255" t="s">
        <v>331</v>
      </c>
      <c r="AQ255">
        <v>2</v>
      </c>
      <c r="AR255">
        <v>1773210374</v>
      </c>
      <c r="AS255">
        <v>417.3146129032259</v>
      </c>
      <c r="AT255">
        <v>414.9261290322581</v>
      </c>
      <c r="AU255">
        <v>15.27713548387096</v>
      </c>
      <c r="AV255">
        <v>15.19453870967742</v>
      </c>
      <c r="AW255">
        <v>411.0831935483871</v>
      </c>
      <c r="AX255">
        <v>15.19654838709678</v>
      </c>
      <c r="AY255">
        <v>500.0357741935485</v>
      </c>
      <c r="AZ255">
        <v>99.91723225806452</v>
      </c>
      <c r="BA255">
        <v>0.04615558064516129</v>
      </c>
      <c r="BB255">
        <v>30.82573225806451</v>
      </c>
      <c r="BC255">
        <v>31.18481935483871</v>
      </c>
      <c r="BD255">
        <v>999.9000000000003</v>
      </c>
      <c r="BE255">
        <v>0</v>
      </c>
      <c r="BF255">
        <v>0</v>
      </c>
      <c r="BG255">
        <v>5003.064516129032</v>
      </c>
      <c r="BH255">
        <v>1.150088387096774</v>
      </c>
      <c r="BI255">
        <v>1729.140322580645</v>
      </c>
      <c r="BJ255">
        <v>2.388416451612903</v>
      </c>
      <c r="BK255">
        <v>423.7887419354839</v>
      </c>
      <c r="BL255">
        <v>421.328064516129</v>
      </c>
      <c r="BM255">
        <v>0.08260093870967743</v>
      </c>
      <c r="BN255">
        <v>414.9261290322581</v>
      </c>
      <c r="BO255">
        <v>15.19453870967742</v>
      </c>
      <c r="BP255">
        <v>1.526449032258064</v>
      </c>
      <c r="BQ255">
        <v>1.518196129032258</v>
      </c>
      <c r="BR255">
        <v>13.23569677419355</v>
      </c>
      <c r="BS255">
        <v>13.15265806451613</v>
      </c>
      <c r="BT255">
        <v>0</v>
      </c>
      <c r="BU255">
        <v>0</v>
      </c>
      <c r="BV255">
        <v>0</v>
      </c>
      <c r="BW255">
        <v>36</v>
      </c>
      <c r="BX255">
        <v>63.51504516129032</v>
      </c>
      <c r="BY255">
        <v>1773196010</v>
      </c>
      <c r="BZ255" t="s">
        <v>332</v>
      </c>
      <c r="CA255">
        <v>1773196010</v>
      </c>
      <c r="CB255">
        <v>1773196005.5</v>
      </c>
      <c r="CC255">
        <v>2</v>
      </c>
      <c r="CD255">
        <v>-0.279</v>
      </c>
      <c r="CE255">
        <v>-0.021</v>
      </c>
      <c r="CF255">
        <v>6.231</v>
      </c>
      <c r="CG255">
        <v>0.081</v>
      </c>
      <c r="CH255">
        <v>432</v>
      </c>
      <c r="CI255">
        <v>21</v>
      </c>
      <c r="CJ255">
        <v>0.03</v>
      </c>
      <c r="CK255">
        <v>0.06</v>
      </c>
      <c r="CL255">
        <v>414.9272258064516</v>
      </c>
      <c r="CM255">
        <v>0.06609677419358427</v>
      </c>
      <c r="CN255">
        <v>0.02831243848093794</v>
      </c>
      <c r="CO255">
        <v>-1</v>
      </c>
      <c r="CP255">
        <v>500.0197741935485</v>
      </c>
      <c r="CQ255">
        <v>1.154032258063297</v>
      </c>
      <c r="CR255">
        <v>0.1261191729501929</v>
      </c>
      <c r="CS255">
        <v>-1</v>
      </c>
      <c r="CT255">
        <v>0</v>
      </c>
      <c r="CU255">
        <v>0</v>
      </c>
      <c r="CV255" t="s">
        <v>333</v>
      </c>
      <c r="CW255">
        <v>3.17218</v>
      </c>
      <c r="CX255">
        <v>2.66597</v>
      </c>
      <c r="CY255">
        <v>0.0976471</v>
      </c>
      <c r="CZ255">
        <v>0.0983979</v>
      </c>
      <c r="DA255">
        <v>0.0801027</v>
      </c>
      <c r="DB255">
        <v>0.07983800000000001</v>
      </c>
      <c r="DC255">
        <v>21296.3</v>
      </c>
      <c r="DD255">
        <v>21896.2</v>
      </c>
      <c r="DE255">
        <v>22759.9</v>
      </c>
      <c r="DF255">
        <v>22238.8</v>
      </c>
      <c r="DG255">
        <v>31670.8</v>
      </c>
      <c r="DH255">
        <v>28824.2</v>
      </c>
      <c r="DI255">
        <v>40070.2</v>
      </c>
      <c r="DJ255">
        <v>36779.2</v>
      </c>
      <c r="DK255">
        <v>2.01494</v>
      </c>
      <c r="DL255">
        <v>1.47512</v>
      </c>
      <c r="DM255">
        <v>-0.11133</v>
      </c>
      <c r="DN255">
        <v>0</v>
      </c>
      <c r="DO255">
        <v>32.9945</v>
      </c>
      <c r="DP255">
        <v>999.9</v>
      </c>
      <c r="DQ255">
        <v>21.2</v>
      </c>
      <c r="DR255">
        <v>46.8</v>
      </c>
      <c r="DS255">
        <v>22.4255</v>
      </c>
      <c r="DT255">
        <v>30.6492</v>
      </c>
      <c r="DU255">
        <v>14.1386</v>
      </c>
      <c r="DV255">
        <v>1</v>
      </c>
      <c r="DW255">
        <v>1.0017</v>
      </c>
      <c r="DX255">
        <v>5.61392</v>
      </c>
      <c r="DY255">
        <v>20.2515</v>
      </c>
      <c r="DZ255">
        <v>5.20962</v>
      </c>
      <c r="EA255">
        <v>11.86</v>
      </c>
      <c r="EB255">
        <v>4.96712</v>
      </c>
      <c r="EC255">
        <v>3.293</v>
      </c>
      <c r="ED255">
        <v>879.4</v>
      </c>
      <c r="EE255">
        <v>9999</v>
      </c>
      <c r="EF255">
        <v>9999</v>
      </c>
      <c r="EG255">
        <v>80</v>
      </c>
      <c r="EH255">
        <v>4.97152</v>
      </c>
      <c r="EI255">
        <v>1.87209</v>
      </c>
      <c r="EJ255">
        <v>1.8695</v>
      </c>
      <c r="EK255">
        <v>1.87178</v>
      </c>
      <c r="EL255">
        <v>1.86954</v>
      </c>
      <c r="EM255">
        <v>1.86835</v>
      </c>
      <c r="EN255">
        <v>1.87013</v>
      </c>
      <c r="EO255">
        <v>1.87194</v>
      </c>
      <c r="EP255">
        <v>0</v>
      </c>
      <c r="EQ255">
        <v>0</v>
      </c>
      <c r="ER255">
        <v>0</v>
      </c>
      <c r="ES255">
        <v>0</v>
      </c>
      <c r="ET255" t="s">
        <v>334</v>
      </c>
      <c r="EU255" t="s">
        <v>335</v>
      </c>
      <c r="EV255" t="s">
        <v>336</v>
      </c>
      <c r="EW255" t="s">
        <v>336</v>
      </c>
      <c r="EX255" t="s">
        <v>336</v>
      </c>
      <c r="EY255" t="s">
        <v>336</v>
      </c>
      <c r="EZ255">
        <v>0</v>
      </c>
      <c r="FA255">
        <v>100</v>
      </c>
      <c r="FB255">
        <v>100</v>
      </c>
      <c r="FC255">
        <v>6.231</v>
      </c>
      <c r="FD255">
        <v>0.0806</v>
      </c>
      <c r="FE255">
        <v>6.23135000000002</v>
      </c>
      <c r="FF255">
        <v>0</v>
      </c>
      <c r="FG255">
        <v>0</v>
      </c>
      <c r="FH255">
        <v>0</v>
      </c>
      <c r="FI255">
        <v>0.08059047619047632</v>
      </c>
      <c r="FJ255">
        <v>0</v>
      </c>
      <c r="FK255">
        <v>0</v>
      </c>
      <c r="FL255">
        <v>0</v>
      </c>
      <c r="FM255">
        <v>-1</v>
      </c>
      <c r="FN255">
        <v>-1</v>
      </c>
      <c r="FO255">
        <v>-1</v>
      </c>
      <c r="FP255">
        <v>-1</v>
      </c>
      <c r="FQ255">
        <v>239.5</v>
      </c>
      <c r="FR255">
        <v>239.6</v>
      </c>
      <c r="FS255">
        <v>0.13916</v>
      </c>
      <c r="FT255">
        <v>4.99756</v>
      </c>
      <c r="FU255">
        <v>1.5979</v>
      </c>
      <c r="FV255">
        <v>2.10938</v>
      </c>
      <c r="FW255">
        <v>1.54785</v>
      </c>
      <c r="FX255">
        <v>2.47437</v>
      </c>
      <c r="FY255">
        <v>49.0753</v>
      </c>
      <c r="FZ255">
        <v>14.386</v>
      </c>
      <c r="GA255">
        <v>3</v>
      </c>
      <c r="GB255">
        <v>521.136</v>
      </c>
      <c r="GC255">
        <v>283.263</v>
      </c>
      <c r="GD255">
        <v>26.4647</v>
      </c>
      <c r="GE255">
        <v>39.1054</v>
      </c>
      <c r="GF255">
        <v>30.0004</v>
      </c>
      <c r="GG255">
        <v>38.9378</v>
      </c>
      <c r="GH255">
        <v>38.9098</v>
      </c>
      <c r="GI255">
        <v>-1</v>
      </c>
      <c r="GJ255">
        <v>100</v>
      </c>
      <c r="GK255">
        <v>0</v>
      </c>
      <c r="GL255">
        <v>26.4113</v>
      </c>
      <c r="GM255">
        <v>1200</v>
      </c>
      <c r="GN255">
        <v>19.4378</v>
      </c>
      <c r="GO255">
        <v>100.799</v>
      </c>
      <c r="GP255">
        <v>96.0455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2026-03-14T06:25:13Z</dcterms:created>
  <dcterms:modified xsi:type="dcterms:W3CDTF">2026-03-14T06:25:13Z</dcterms:modified>
</cp:coreProperties>
</file>